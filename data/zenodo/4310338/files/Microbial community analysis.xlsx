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mosque\OneDrive - UGent\emerging desktop\Personales\0.mis publicaciones\work on progress\Bioelectrochemical for peroxide\Data H2O2\"/>
    </mc:Choice>
  </mc:AlternateContent>
  <xr:revisionPtr revIDLastSave="3" documentId="13_ncr:1_{1C59AE1E-4CBC-467E-935C-2D13F90D8F96}" xr6:coauthVersionLast="36" xr6:coauthVersionMax="36" xr10:uidLastSave="{38BA3689-D4A5-4355-BF80-534B534F980F}"/>
  <bookViews>
    <workbookView xWindow="0" yWindow="0" windowWidth="23040" windowHeight="9828" activeTab="4" xr2:uid="{1B9C8A2D-A1BC-4FC2-9192-1406284E655B}"/>
  </bookViews>
  <sheets>
    <sheet name="Metadata" sheetId="8" r:id="rId1"/>
    <sheet name="Phylum%" sheetId="6" r:id="rId2"/>
    <sheet name="family" sheetId="4" r:id="rId3"/>
    <sheet name="genus (or lowest possible)" sheetId="5" r:id="rId4"/>
    <sheet name="Otu 30%" sheetId="3" r:id="rId5"/>
  </sheets>
  <definedNames>
    <definedName name="_xlnm._FilterDatabase" localSheetId="2" hidden="1">family!$A$2:$AH$130</definedName>
    <definedName name="_xlnm._FilterDatabase" localSheetId="3" hidden="1">'genus (or lowest possible)'!$A$1:$AM$1444</definedName>
    <definedName name="ExternalData_1" localSheetId="4" hidden="1">'Otu 30%'!$A$1:$AL$32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C1443" i="5" l="1"/>
  <c r="AD1443" i="5"/>
  <c r="U1441" i="5" l="1"/>
  <c r="U1443" i="5" s="1"/>
  <c r="U27" i="6"/>
  <c r="U26" i="6"/>
  <c r="S26" i="6"/>
  <c r="R26" i="6"/>
  <c r="Q26" i="6"/>
  <c r="T26" i="6" s="1"/>
  <c r="P26" i="6"/>
  <c r="O26" i="6"/>
  <c r="N26" i="6"/>
  <c r="J26" i="6"/>
  <c r="H26" i="6"/>
  <c r="G26" i="6"/>
  <c r="I26" i="6" s="1"/>
  <c r="F26" i="6"/>
  <c r="E26" i="6"/>
  <c r="D26" i="6"/>
  <c r="C26" i="6"/>
  <c r="U25" i="6"/>
  <c r="S25" i="6"/>
  <c r="R25" i="6"/>
  <c r="Q25" i="6"/>
  <c r="T25" i="6" s="1"/>
  <c r="P25" i="6"/>
  <c r="O25" i="6"/>
  <c r="N25" i="6"/>
  <c r="J25" i="6"/>
  <c r="H25" i="6"/>
  <c r="G25" i="6"/>
  <c r="I25" i="6" s="1"/>
  <c r="F25" i="6"/>
  <c r="E25" i="6"/>
  <c r="D25" i="6"/>
  <c r="C25" i="6"/>
  <c r="U24" i="6"/>
  <c r="S24" i="6"/>
  <c r="R24" i="6"/>
  <c r="Q24" i="6"/>
  <c r="T24" i="6" s="1"/>
  <c r="P24" i="6"/>
  <c r="O24" i="6"/>
  <c r="N24" i="6"/>
  <c r="J24" i="6"/>
  <c r="H24" i="6"/>
  <c r="G24" i="6"/>
  <c r="F24" i="6"/>
  <c r="I24" i="6" s="1"/>
  <c r="E24" i="6"/>
  <c r="D24" i="6"/>
  <c r="C24" i="6"/>
  <c r="U23" i="6"/>
  <c r="S23" i="6"/>
  <c r="R23" i="6"/>
  <c r="Q23" i="6"/>
  <c r="T23" i="6" s="1"/>
  <c r="P23" i="6"/>
  <c r="O23" i="6"/>
  <c r="N23" i="6"/>
  <c r="J23" i="6"/>
  <c r="H23" i="6"/>
  <c r="G23" i="6"/>
  <c r="F23" i="6"/>
  <c r="I23" i="6" s="1"/>
  <c r="E23" i="6"/>
  <c r="D23" i="6"/>
  <c r="C23" i="6"/>
  <c r="U22" i="6"/>
  <c r="S22" i="6"/>
  <c r="R22" i="6"/>
  <c r="Q22" i="6"/>
  <c r="T22" i="6" s="1"/>
  <c r="P22" i="6"/>
  <c r="O22" i="6"/>
  <c r="N22" i="6"/>
  <c r="J22" i="6"/>
  <c r="H22" i="6"/>
  <c r="G22" i="6"/>
  <c r="F22" i="6"/>
  <c r="I22" i="6" s="1"/>
  <c r="E22" i="6"/>
  <c r="D22" i="6"/>
  <c r="C22" i="6"/>
  <c r="U28" i="6" l="1"/>
  <c r="AM1441" i="5" l="1"/>
  <c r="AL1441" i="5"/>
  <c r="AJ1442" i="5" s="1"/>
  <c r="AK1441" i="5"/>
  <c r="AJ1441" i="5"/>
  <c r="AI1441" i="5"/>
  <c r="AH1441" i="5"/>
  <c r="AG1441" i="5"/>
  <c r="AF1441" i="5"/>
  <c r="AA1441" i="5"/>
  <c r="AA1443" i="5" s="1"/>
  <c r="Z1441" i="5"/>
  <c r="Z1443" i="5" s="1"/>
  <c r="Y1441" i="5"/>
  <c r="Y1443" i="5" s="1"/>
  <c r="X1441" i="5"/>
  <c r="X1443" i="5" s="1"/>
  <c r="W1441" i="5"/>
  <c r="W1443" i="5" s="1"/>
  <c r="V1441" i="5"/>
  <c r="V1443" i="5" s="1"/>
  <c r="AE1440" i="5"/>
  <c r="AE1441" i="5" s="1"/>
  <c r="AD1440" i="5"/>
  <c r="AD1441" i="5" s="1"/>
  <c r="AC1440" i="5"/>
  <c r="AC1441" i="5" s="1"/>
  <c r="AB1440" i="5"/>
  <c r="AE129" i="4"/>
  <c r="AA129" i="4"/>
  <c r="W130" i="4" s="1"/>
  <c r="X129" i="4"/>
  <c r="W129" i="4"/>
  <c r="AE130" i="4" s="1"/>
  <c r="V129" i="4"/>
  <c r="T129" i="4"/>
  <c r="M129" i="4"/>
  <c r="G129" i="4"/>
  <c r="Z1444" i="5" l="1"/>
  <c r="AK1442" i="5"/>
  <c r="AB1441" i="5"/>
  <c r="AA1444" i="5" l="1"/>
  <c r="U1444" i="5"/>
  <c r="V1444" i="5"/>
  <c r="W1444" i="5"/>
  <c r="X1444" i="5"/>
  <c r="Y1444" i="5"/>
  <c r="AD1442" i="5"/>
  <c r="AC1442" i="5"/>
  <c r="AB1443" i="5"/>
  <c r="AB1444" i="5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99AE3B6-1677-4B87-BE0A-D93223AFAA1A}" keepAlive="1" name="Query - Table1" description="Connection to the 'Table1' query in the workbook." type="5" refreshedVersion="6" background="1" saveData="1">
    <dbPr connection="Provider=Microsoft.Mashup.OleDb.1;Data Source=$Workbook$;Location=Table1;Extended Properties=&quot;&quot;" command="SELECT * FROM [Table1]"/>
  </connection>
  <connection id="2" xr16:uid="{6755826D-A9EB-4D0E-8365-3E1D59E65A23}" keepAlive="1" name="Query - Table1 (2)" description="Connection to the 'Table1 (2)' query in the workbook." type="5" refreshedVersion="6" background="1" saveData="1">
    <dbPr connection="Provider=Microsoft.Mashup.OleDb.1;Data Source=$Workbook$;Location=&quot;Table1 (2)&quot;;Extended Properties=&quot;&quot;" command="SELECT * FROM [Table1 (2)]"/>
  </connection>
  <connection id="3" xr16:uid="{150B8ABA-812D-4131-A9EE-001085A47834}" keepAlive="1" name="Query - Table1 (3)" description="Connection to the 'Table1 (3)' query in the workbook." type="5" refreshedVersion="6" background="1" saveData="1">
    <dbPr connection="Provider=Microsoft.Mashup.OleDb.1;Data Source=$Workbook$;Location=&quot;Table1 (3)&quot;;Extended Properties=&quot;&quot;" command="SELECT * FROM [Table1 (3)]"/>
  </connection>
</connections>
</file>

<file path=xl/sharedStrings.xml><?xml version="1.0" encoding="utf-8"?>
<sst xmlns="http://schemas.openxmlformats.org/spreadsheetml/2006/main" count="11291" uniqueCount="2391">
  <si>
    <t>Verrucomicrobia</t>
  </si>
  <si>
    <t>Tenericutes</t>
  </si>
  <si>
    <t>Synergistetes</t>
  </si>
  <si>
    <t>Spirochaetes</t>
  </si>
  <si>
    <t>Proteobacteria</t>
  </si>
  <si>
    <t>Planctomycetes</t>
  </si>
  <si>
    <t>Patescibacteria</t>
  </si>
  <si>
    <t>Lentisphaerae</t>
  </si>
  <si>
    <t>Firmicutes</t>
  </si>
  <si>
    <t>Epsilonbacteraeota</t>
  </si>
  <si>
    <t>Deinococcus-Thermus</t>
  </si>
  <si>
    <t>Deferribacteres</t>
  </si>
  <si>
    <t>Cloacimonetes</t>
  </si>
  <si>
    <t>Chloroflexi</t>
  </si>
  <si>
    <t>Chlamydiae</t>
  </si>
  <si>
    <t>Bacteroidetes</t>
  </si>
  <si>
    <t>Bacteria_unclassified</t>
  </si>
  <si>
    <t>Actinobacteria</t>
  </si>
  <si>
    <t/>
  </si>
  <si>
    <t>FC</t>
  </si>
  <si>
    <t>Column5</t>
  </si>
  <si>
    <t>Column4</t>
  </si>
  <si>
    <t>Column3</t>
  </si>
  <si>
    <t>Column2</t>
  </si>
  <si>
    <t>Column1</t>
  </si>
  <si>
    <t>uncultured(100)</t>
  </si>
  <si>
    <t>Rikenellaceae(100)</t>
  </si>
  <si>
    <t>Bacteroidales(100)</t>
  </si>
  <si>
    <t>Bacteroidia(100)</t>
  </si>
  <si>
    <t>Bacteroidetes(100)</t>
  </si>
  <si>
    <t>Bacteria(100)</t>
  </si>
  <si>
    <t>Otu1438</t>
  </si>
  <si>
    <t>Propionicimonas(100)</t>
  </si>
  <si>
    <t>Propionibacteriaceae(100)</t>
  </si>
  <si>
    <t>Propionibacteriales(100)</t>
  </si>
  <si>
    <t>Actinobacteria(100)</t>
  </si>
  <si>
    <t>Otu1437</t>
  </si>
  <si>
    <t>Otu1436</t>
  </si>
  <si>
    <t>Parabacteroides(100)</t>
  </si>
  <si>
    <t>Tannerellaceae(100)</t>
  </si>
  <si>
    <t>Otu1435</t>
  </si>
  <si>
    <t>Bacteria_unclassified(100)</t>
  </si>
  <si>
    <t>Otu1434</t>
  </si>
  <si>
    <t>Microbacteriaceae_unclassified(100)</t>
  </si>
  <si>
    <t>Microbacteriaceae(100)</t>
  </si>
  <si>
    <t>Micrococcales(100)</t>
  </si>
  <si>
    <t>Otu1433</t>
  </si>
  <si>
    <t>Otu1432</t>
  </si>
  <si>
    <t>Otu1431</t>
  </si>
  <si>
    <t>Otu1430</t>
  </si>
  <si>
    <t>Propionibacteriaceae_unclassified(100)</t>
  </si>
  <si>
    <t>Otu1429</t>
  </si>
  <si>
    <t>Otu1428</t>
  </si>
  <si>
    <t>Bacteroides(100)</t>
  </si>
  <si>
    <t>Bacteroidaceae(100)</t>
  </si>
  <si>
    <t>Otu1427</t>
  </si>
  <si>
    <t>Otu1426</t>
  </si>
  <si>
    <t>Mangroviflexus(100)</t>
  </si>
  <si>
    <t>Marinilabiliaceae(100)</t>
  </si>
  <si>
    <t>Otu1425</t>
  </si>
  <si>
    <t>Sunxiuqinia(100)</t>
  </si>
  <si>
    <t>Prolixibacteraceae(100)</t>
  </si>
  <si>
    <t>Otu1424</t>
  </si>
  <si>
    <t>Proteiniphilum(100)</t>
  </si>
  <si>
    <t>Dysgonomonadaceae(100)</t>
  </si>
  <si>
    <t>Otu1423</t>
  </si>
  <si>
    <t>ML635J-40_aquatic_group_ge(100)</t>
  </si>
  <si>
    <t>ML635J-40_aquatic_group(100)</t>
  </si>
  <si>
    <t>Otu1422</t>
  </si>
  <si>
    <t>Blvii28_wastewater-sludge_group(100)</t>
  </si>
  <si>
    <t>Otu1421</t>
  </si>
  <si>
    <t>Otu1420</t>
  </si>
  <si>
    <t>Otu1419</t>
  </si>
  <si>
    <t>Otu1418</t>
  </si>
  <si>
    <t>Otu1417</t>
  </si>
  <si>
    <t>Otu1416</t>
  </si>
  <si>
    <t>Otu1415</t>
  </si>
  <si>
    <t>Aeromonas(100)</t>
  </si>
  <si>
    <t>Aeromonadaceae(100)</t>
  </si>
  <si>
    <t>Aeromonadales(100)</t>
  </si>
  <si>
    <t>Gammaproteobacteria(100)</t>
  </si>
  <si>
    <t>Proteobacteria(100)</t>
  </si>
  <si>
    <t>Otu1414</t>
  </si>
  <si>
    <t>Otu1413</t>
  </si>
  <si>
    <t>Deltaproteobacteria_unclassified(100)</t>
  </si>
  <si>
    <t>Deltaproteobacteria(100)</t>
  </si>
  <si>
    <t>Otu1412</t>
  </si>
  <si>
    <t>Otu1411</t>
  </si>
  <si>
    <t>Otu1410</t>
  </si>
  <si>
    <t>Lentimicrobium(100)</t>
  </si>
  <si>
    <t>Lentimicrobiaceae(100)</t>
  </si>
  <si>
    <t>Sphingobacteriales(100)</t>
  </si>
  <si>
    <t>Otu1409</t>
  </si>
  <si>
    <t>Otu1408</t>
  </si>
  <si>
    <t>Sphingobacteriaceae_unclassified(100)</t>
  </si>
  <si>
    <t>Sphingobacteriaceae(100)</t>
  </si>
  <si>
    <t>Otu1407</t>
  </si>
  <si>
    <t>Otu1406</t>
  </si>
  <si>
    <t>Otu1405</t>
  </si>
  <si>
    <t>Lenti-02_ge(100)</t>
  </si>
  <si>
    <t>Lenti-02(100)</t>
  </si>
  <si>
    <t>Oligosphaerales(100)</t>
  </si>
  <si>
    <t>Oligosphaeria(100)</t>
  </si>
  <si>
    <t>Lentisphaerae(100)</t>
  </si>
  <si>
    <t>Otu1404</t>
  </si>
  <si>
    <t>Bacteroidia_unclassified(100)</t>
  </si>
  <si>
    <t>Otu1403</t>
  </si>
  <si>
    <t>Erysipelotrichaceae_UCG-003(100)</t>
  </si>
  <si>
    <t>Erysipelotrichaceae(100)</t>
  </si>
  <si>
    <t>Erysipelotrichales(100)</t>
  </si>
  <si>
    <t>Erysipelotrichia(100)</t>
  </si>
  <si>
    <t>Firmicutes(100)</t>
  </si>
  <si>
    <t>Otu1402</t>
  </si>
  <si>
    <t>Huakuichenia(100)</t>
  </si>
  <si>
    <t>Otu1401</t>
  </si>
  <si>
    <t>Otu1400</t>
  </si>
  <si>
    <t>Paracaedibacteraceae(100)</t>
  </si>
  <si>
    <t>Paracaedibacterales(100)</t>
  </si>
  <si>
    <t>Alphaproteobacteria(100)</t>
  </si>
  <si>
    <t>Otu1399</t>
  </si>
  <si>
    <t>SN8(100)</t>
  </si>
  <si>
    <t>Xanthomonadaceae(100)</t>
  </si>
  <si>
    <t>Xanthomonadales(100)</t>
  </si>
  <si>
    <t>Otu1398</t>
  </si>
  <si>
    <t>Stenotrophomonas(100)</t>
  </si>
  <si>
    <t>Otu1397</t>
  </si>
  <si>
    <t>Actinomycetaceae_unclassified(100)</t>
  </si>
  <si>
    <t>Actinomycetaceae(100)</t>
  </si>
  <si>
    <t>Actinomycetales(100)</t>
  </si>
  <si>
    <t>Otu1396</t>
  </si>
  <si>
    <t>Actinomyces(100)</t>
  </si>
  <si>
    <t>Otu1395</t>
  </si>
  <si>
    <t>LNR_A2-18(100)</t>
  </si>
  <si>
    <t>Cloacimonadaceae(100)</t>
  </si>
  <si>
    <t>Cloacimonadales(100)</t>
  </si>
  <si>
    <t>Cloacimonadia(100)</t>
  </si>
  <si>
    <t>Cloacimonetes(100)</t>
  </si>
  <si>
    <t>Otu1394</t>
  </si>
  <si>
    <t>Acetoanaerobium(100)</t>
  </si>
  <si>
    <t>Peptostreptococcaceae(100)</t>
  </si>
  <si>
    <t>Clostridiales(100)</t>
  </si>
  <si>
    <t>Clostridia(100)</t>
  </si>
  <si>
    <t>Otu1393</t>
  </si>
  <si>
    <t>Victivallis(100)</t>
  </si>
  <si>
    <t>Victivallaceae(100)</t>
  </si>
  <si>
    <t>Victivallales(100)</t>
  </si>
  <si>
    <t>Lentisphaeria(100)</t>
  </si>
  <si>
    <t>Otu1392</t>
  </si>
  <si>
    <t>Otu1391</t>
  </si>
  <si>
    <t>Otu1390</t>
  </si>
  <si>
    <t>Otu1389</t>
  </si>
  <si>
    <t>Salana(100)</t>
  </si>
  <si>
    <t>Beutenbergiaceae(100)</t>
  </si>
  <si>
    <t>Otu1388</t>
  </si>
  <si>
    <t>Erysipelotrichaceae_unclassified(100)</t>
  </si>
  <si>
    <t>Otu1387</t>
  </si>
  <si>
    <t>Otu1386</t>
  </si>
  <si>
    <t>Otu1385</t>
  </si>
  <si>
    <t>Otu1384</t>
  </si>
  <si>
    <t>Otu1383</t>
  </si>
  <si>
    <t>Paludibacteraceae(100)</t>
  </si>
  <si>
    <t>Otu1382</t>
  </si>
  <si>
    <t>Rikenellaceae_unclassified(100)</t>
  </si>
  <si>
    <t>Otu1381</t>
  </si>
  <si>
    <t>Otu1380</t>
  </si>
  <si>
    <t>Otu1379</t>
  </si>
  <si>
    <t>Otu1378</t>
  </si>
  <si>
    <t>Denitrobacterium(100)</t>
  </si>
  <si>
    <t>Eggerthellaceae(100)</t>
  </si>
  <si>
    <t>Coriobacteriales(100)</t>
  </si>
  <si>
    <t>Coriobacteriia(100)</t>
  </si>
  <si>
    <t>Otu1377</t>
  </si>
  <si>
    <t>Collinsella(100)</t>
  </si>
  <si>
    <t>Coriobacteriaceae(100)</t>
  </si>
  <si>
    <t>Otu1376</t>
  </si>
  <si>
    <t>Otu1375</t>
  </si>
  <si>
    <t>Otu1374</t>
  </si>
  <si>
    <t>Otu1373</t>
  </si>
  <si>
    <t>Petrimonas(100)</t>
  </si>
  <si>
    <t>Otu1372</t>
  </si>
  <si>
    <t>Otu1371</t>
  </si>
  <si>
    <t>Otu1370</t>
  </si>
  <si>
    <t>Otu1369</t>
  </si>
  <si>
    <t>Otu1368</t>
  </si>
  <si>
    <t>Otu1367</t>
  </si>
  <si>
    <t>Otu1366</t>
  </si>
  <si>
    <t>Otu1365</t>
  </si>
  <si>
    <t>Otu1364</t>
  </si>
  <si>
    <t>Magnetospirillaceae_unclassified(100)</t>
  </si>
  <si>
    <t>Magnetospirillaceae(100)</t>
  </si>
  <si>
    <t>Rhodospirillales(100)</t>
  </si>
  <si>
    <t>Otu1363</t>
  </si>
  <si>
    <t>Otu1362</t>
  </si>
  <si>
    <t>Otu1361</t>
  </si>
  <si>
    <t>Otu1360</t>
  </si>
  <si>
    <t>Otu1359</t>
  </si>
  <si>
    <t>Otu1358</t>
  </si>
  <si>
    <t>Otu1357</t>
  </si>
  <si>
    <t>Christensenellaceae_R-7_group(100)</t>
  </si>
  <si>
    <t>Christensenellaceae(100)</t>
  </si>
  <si>
    <t>Otu1356</t>
  </si>
  <si>
    <t>Otu1355</t>
  </si>
  <si>
    <t>Otu1354</t>
  </si>
  <si>
    <t>Otu1353</t>
  </si>
  <si>
    <t>Otu1352</t>
  </si>
  <si>
    <t>Anaerovorax(100)</t>
  </si>
  <si>
    <t>Family_XIII(100)</t>
  </si>
  <si>
    <t>Otu1351</t>
  </si>
  <si>
    <t>Otu1350</t>
  </si>
  <si>
    <t>Otu1349</t>
  </si>
  <si>
    <t>Enterobacteriaceae_unclassified(100)</t>
  </si>
  <si>
    <t>Enterobacteriaceae(100)</t>
  </si>
  <si>
    <t>Enterobacteriales(100)</t>
  </si>
  <si>
    <t>Otu1348</t>
  </si>
  <si>
    <t>Otu1347</t>
  </si>
  <si>
    <t>Otu1346</t>
  </si>
  <si>
    <t>Otu1345</t>
  </si>
  <si>
    <t>Otu1344</t>
  </si>
  <si>
    <t>Caulobacteraceae_unclassified(100)</t>
  </si>
  <si>
    <t>Caulobacteraceae(100)</t>
  </si>
  <si>
    <t>Caulobacterales(100)</t>
  </si>
  <si>
    <t>Otu1343</t>
  </si>
  <si>
    <t>Otu1342</t>
  </si>
  <si>
    <t>Dysgonomonas(100)</t>
  </si>
  <si>
    <t>Otu1341</t>
  </si>
  <si>
    <t>Otu1340</t>
  </si>
  <si>
    <t>Otu1339</t>
  </si>
  <si>
    <t>Otu1338</t>
  </si>
  <si>
    <t>Otu1337</t>
  </si>
  <si>
    <t>Otu1336</t>
  </si>
  <si>
    <t>Otu1335</t>
  </si>
  <si>
    <t>Otu1334</t>
  </si>
  <si>
    <t>Otu1333</t>
  </si>
  <si>
    <t>Paludibacteraceae_unclassified(100)</t>
  </si>
  <si>
    <t>Otu1332</t>
  </si>
  <si>
    <t>Otu1331</t>
  </si>
  <si>
    <t>Alphaproteobacteria_unclassified(100)</t>
  </si>
  <si>
    <t>Otu1330</t>
  </si>
  <si>
    <t>Mycobacterium(100)</t>
  </si>
  <si>
    <t>Mycobacteriaceae(100)</t>
  </si>
  <si>
    <t>Corynebacteriales(100)</t>
  </si>
  <si>
    <t>Otu1329</t>
  </si>
  <si>
    <t>Corynebacteriaceae_unclassified(100)</t>
  </si>
  <si>
    <t>Corynebacteriaceae(100)</t>
  </si>
  <si>
    <t>Otu1328</t>
  </si>
  <si>
    <t>Otu1327</t>
  </si>
  <si>
    <t>Otu1326</t>
  </si>
  <si>
    <t>Wolinella(100)</t>
  </si>
  <si>
    <t>Helicobacteraceae(100)</t>
  </si>
  <si>
    <t>Campylobacterales(100)</t>
  </si>
  <si>
    <t>Campylobacteria(100)</t>
  </si>
  <si>
    <t>Epsilonbacteraeota(100)</t>
  </si>
  <si>
    <t>Otu1325</t>
  </si>
  <si>
    <t>Otu1324</t>
  </si>
  <si>
    <t>Arcobacter(100)</t>
  </si>
  <si>
    <t>Arcobacteraceae(100)</t>
  </si>
  <si>
    <t>Otu1323</t>
  </si>
  <si>
    <t>Sulfurospirillum(100)</t>
  </si>
  <si>
    <t>Sulfurospirillaceae(100)</t>
  </si>
  <si>
    <t>Otu1322</t>
  </si>
  <si>
    <t>Sphaerochaeta(100)</t>
  </si>
  <si>
    <t>Spirochaetaceae(100)</t>
  </si>
  <si>
    <t>Spirochaetales(100)</t>
  </si>
  <si>
    <t>Spirochaetia(100)</t>
  </si>
  <si>
    <t>Spirochaetes(100)</t>
  </si>
  <si>
    <t>Otu1321</t>
  </si>
  <si>
    <t>Otu1320</t>
  </si>
  <si>
    <t>Otu1319</t>
  </si>
  <si>
    <t>Otu1318</t>
  </si>
  <si>
    <t>Acholeplasma(100)</t>
  </si>
  <si>
    <t>Acholeplasmataceae(100)</t>
  </si>
  <si>
    <t>Acholeplasmatales(100)</t>
  </si>
  <si>
    <t>Mollicutes(100)</t>
  </si>
  <si>
    <t>Tenericutes(100)</t>
  </si>
  <si>
    <t>Otu1317</t>
  </si>
  <si>
    <t>Peptococcaceae_unclassified(100)</t>
  </si>
  <si>
    <t>Peptococcaceae(100)</t>
  </si>
  <si>
    <t>Otu1316</t>
  </si>
  <si>
    <t>Otu1315</t>
  </si>
  <si>
    <t>Otu1314</t>
  </si>
  <si>
    <t>Otu1313</t>
  </si>
  <si>
    <t>Otu1312</t>
  </si>
  <si>
    <t>Otu1311</t>
  </si>
  <si>
    <t>Firmicutes_unclassified(100)</t>
  </si>
  <si>
    <t>Otu1310</t>
  </si>
  <si>
    <t>Otu1309</t>
  </si>
  <si>
    <t>Desulfuromonadales_unclassified(100)</t>
  </si>
  <si>
    <t>Desulfuromonadales(100)</t>
  </si>
  <si>
    <t>Otu1308</t>
  </si>
  <si>
    <t>Otu1307</t>
  </si>
  <si>
    <t>Psychromonas(100)</t>
  </si>
  <si>
    <t>Psychromonadaceae(100)</t>
  </si>
  <si>
    <t>Alteromonadales(100)</t>
  </si>
  <si>
    <t>Otu1306</t>
  </si>
  <si>
    <t>Lactobacillus(100)</t>
  </si>
  <si>
    <t>Lactobacillaceae(100)</t>
  </si>
  <si>
    <t>Lactobacillales(100)</t>
  </si>
  <si>
    <t>Bacilli(100)</t>
  </si>
  <si>
    <t>Otu1305</t>
  </si>
  <si>
    <t>RBG-16-49-21(100)</t>
  </si>
  <si>
    <t>Leptospiraceae(100)</t>
  </si>
  <si>
    <t>Leptospirales(100)</t>
  </si>
  <si>
    <t>Leptospirae(100)</t>
  </si>
  <si>
    <t>Otu1304</t>
  </si>
  <si>
    <t>Gammaproteobacteria_unclassified(100)</t>
  </si>
  <si>
    <t>Otu1303</t>
  </si>
  <si>
    <t>Otu1302</t>
  </si>
  <si>
    <t>Anaerolineaceae(100)</t>
  </si>
  <si>
    <t>Anaerolineales(100)</t>
  </si>
  <si>
    <t>Anaerolineae(100)</t>
  </si>
  <si>
    <t>Chloroflexi(100)</t>
  </si>
  <si>
    <t>Otu1301</t>
  </si>
  <si>
    <t>Desulfovibrio(100)</t>
  </si>
  <si>
    <t>Desulfovibrionaceae(100)</t>
  </si>
  <si>
    <t>Desulfovibrionales(100)</t>
  </si>
  <si>
    <t>Otu1300</t>
  </si>
  <si>
    <t>Otu1299</t>
  </si>
  <si>
    <t>Desulfomicrobium(100)</t>
  </si>
  <si>
    <t>Desulfomicrobiaceae(100)</t>
  </si>
  <si>
    <t>Otu1298</t>
  </si>
  <si>
    <t>Azospirillum(100)</t>
  </si>
  <si>
    <t>Azospirillaceae(100)</t>
  </si>
  <si>
    <t>Azospirillales(100)</t>
  </si>
  <si>
    <t>Otu1297</t>
  </si>
  <si>
    <t>67-14_ge(100)</t>
  </si>
  <si>
    <t>67-14(100)</t>
  </si>
  <si>
    <t>Solirubrobacterales(100)</t>
  </si>
  <si>
    <t>Thermoleophilia(100)</t>
  </si>
  <si>
    <t>Otu1296</t>
  </si>
  <si>
    <t>SRB2_ge(100)</t>
  </si>
  <si>
    <t>SRB2(100)</t>
  </si>
  <si>
    <t>Thermoanaerobacterales(100)</t>
  </si>
  <si>
    <t>Otu1295</t>
  </si>
  <si>
    <t>Otu1294</t>
  </si>
  <si>
    <t>Otu1293</t>
  </si>
  <si>
    <t>Oceanibaculum(100)</t>
  </si>
  <si>
    <t>Oceanibaculaceae(100)</t>
  </si>
  <si>
    <t>Thalassobaculales(100)</t>
  </si>
  <si>
    <t>Otu1292</t>
  </si>
  <si>
    <t>Otu1291</t>
  </si>
  <si>
    <t>Otu1290</t>
  </si>
  <si>
    <t>Desulfovibrionaceae_unclassified(100)</t>
  </si>
  <si>
    <t>Otu1289</t>
  </si>
  <si>
    <t>Otu1288</t>
  </si>
  <si>
    <t>Chitinophagaceae(100)</t>
  </si>
  <si>
    <t>Chitinophagales(100)</t>
  </si>
  <si>
    <t>Otu1287</t>
  </si>
  <si>
    <t>Otu1286</t>
  </si>
  <si>
    <t>Otu1285</t>
  </si>
  <si>
    <t>Actinobacteria_unclassified(100)</t>
  </si>
  <si>
    <t>Otu1284</t>
  </si>
  <si>
    <t>Proteobacteria_unclassified(100)</t>
  </si>
  <si>
    <t>Otu1283</t>
  </si>
  <si>
    <t>Otu1282</t>
  </si>
  <si>
    <t>Otu1281</t>
  </si>
  <si>
    <t>Otu1280</t>
  </si>
  <si>
    <t>Sphingomonadaceae_unclassified(100)</t>
  </si>
  <si>
    <t>Sphingomonadaceae(100)</t>
  </si>
  <si>
    <t>Sphingomonadales(100)</t>
  </si>
  <si>
    <t>Otu1279</t>
  </si>
  <si>
    <t>Otu1278</t>
  </si>
  <si>
    <t>Otu1277</t>
  </si>
  <si>
    <t>Otu1276</t>
  </si>
  <si>
    <t>Otu1275</t>
  </si>
  <si>
    <t>Otu1274</t>
  </si>
  <si>
    <t>Otu1273</t>
  </si>
  <si>
    <t>Otu1272</t>
  </si>
  <si>
    <t>Hydrotalea(100)</t>
  </si>
  <si>
    <t>Otu1271</t>
  </si>
  <si>
    <t>Otu1270</t>
  </si>
  <si>
    <t>Rhizobiales_unclassified(100)</t>
  </si>
  <si>
    <t>Rhizobiales(100)</t>
  </si>
  <si>
    <t>Otu1269</t>
  </si>
  <si>
    <t>Rhizobiaceae_unclassified(100)</t>
  </si>
  <si>
    <t>Rhizobiaceae(100)</t>
  </si>
  <si>
    <t>Otu1268</t>
  </si>
  <si>
    <t>Otu1267</t>
  </si>
  <si>
    <t>Otu1266</t>
  </si>
  <si>
    <t>Otu1265</t>
  </si>
  <si>
    <t>Otu1264</t>
  </si>
  <si>
    <t>Otu1263</t>
  </si>
  <si>
    <t>Otu1262</t>
  </si>
  <si>
    <t>Otu1261</t>
  </si>
  <si>
    <t>Otu1260</t>
  </si>
  <si>
    <t>Otu1259</t>
  </si>
  <si>
    <t>Otu1258</t>
  </si>
  <si>
    <t>Otu1257</t>
  </si>
  <si>
    <t>Flavobacteriales_unclassified(100)</t>
  </si>
  <si>
    <t>Flavobacteriales(100)</t>
  </si>
  <si>
    <t>Otu1256</t>
  </si>
  <si>
    <t>Otu1255</t>
  </si>
  <si>
    <t>Otu1254</t>
  </si>
  <si>
    <t>Otu1253</t>
  </si>
  <si>
    <t>Otu1252</t>
  </si>
  <si>
    <t>Otu1251</t>
  </si>
  <si>
    <t>Otu1250</t>
  </si>
  <si>
    <t>Otu1249</t>
  </si>
  <si>
    <t>Otu1248</t>
  </si>
  <si>
    <t>Otu1247</t>
  </si>
  <si>
    <t>Otu1246</t>
  </si>
  <si>
    <t>Otu1245</t>
  </si>
  <si>
    <t>Otu1244</t>
  </si>
  <si>
    <t>Otu1243</t>
  </si>
  <si>
    <t>Otu1242</t>
  </si>
  <si>
    <t>Otu1241</t>
  </si>
  <si>
    <t>Otu1240</t>
  </si>
  <si>
    <t>Otu1239</t>
  </si>
  <si>
    <t>Parachlamydia(100)</t>
  </si>
  <si>
    <t>Parachlamydiaceae(100)</t>
  </si>
  <si>
    <t>Chlamydiales(100)</t>
  </si>
  <si>
    <t>Chlamydiae(100)</t>
  </si>
  <si>
    <t>Otu1238</t>
  </si>
  <si>
    <t>Otu1237</t>
  </si>
  <si>
    <t>Otu1236</t>
  </si>
  <si>
    <t>Otu1235</t>
  </si>
  <si>
    <t>Otu1234</t>
  </si>
  <si>
    <t>Otu1233</t>
  </si>
  <si>
    <t>Otu1232</t>
  </si>
  <si>
    <t>Otu1231</t>
  </si>
  <si>
    <t>Otu1230</t>
  </si>
  <si>
    <t>Otu1229</t>
  </si>
  <si>
    <t>Otu1228</t>
  </si>
  <si>
    <t>Otu1227</t>
  </si>
  <si>
    <t>Xanthobacteraceae_unclassified(100)</t>
  </si>
  <si>
    <t>Xanthobacteraceae(100)</t>
  </si>
  <si>
    <t>Otu1226</t>
  </si>
  <si>
    <t>Otu1225</t>
  </si>
  <si>
    <t>Otu1224</t>
  </si>
  <si>
    <t>Stappia(100)</t>
  </si>
  <si>
    <t>Stappiaceae(100)</t>
  </si>
  <si>
    <t>Otu1223</t>
  </si>
  <si>
    <t>Otu1222</t>
  </si>
  <si>
    <t>Otu1221</t>
  </si>
  <si>
    <t>Otu1220</t>
  </si>
  <si>
    <t>28-YEA-48(100)</t>
  </si>
  <si>
    <t>Beijerinckiaceae(100)</t>
  </si>
  <si>
    <t>Otu1219</t>
  </si>
  <si>
    <t>Otu1218</t>
  </si>
  <si>
    <t>Otu1217</t>
  </si>
  <si>
    <t>Otu1216</t>
  </si>
  <si>
    <t>Hyphomicrobiaceae_unclassified(100)</t>
  </si>
  <si>
    <t>Hyphomicrobiaceae(100)</t>
  </si>
  <si>
    <t>Otu1215</t>
  </si>
  <si>
    <t>Otu1214</t>
  </si>
  <si>
    <t>Xanthobacter(100)</t>
  </si>
  <si>
    <t>Otu1213</t>
  </si>
  <si>
    <t>Otu1212</t>
  </si>
  <si>
    <t>Otu1211</t>
  </si>
  <si>
    <t>Otu1210</t>
  </si>
  <si>
    <t>Otu1209</t>
  </si>
  <si>
    <t>Otu1208</t>
  </si>
  <si>
    <t>Otu1207</t>
  </si>
  <si>
    <t>Otu1206</t>
  </si>
  <si>
    <t>Otu1205</t>
  </si>
  <si>
    <t>Otu1204</t>
  </si>
  <si>
    <t>Otu1203</t>
  </si>
  <si>
    <t>Otu1202</t>
  </si>
  <si>
    <t>Otu1201</t>
  </si>
  <si>
    <t>Otu1200</t>
  </si>
  <si>
    <t>Otu1199</t>
  </si>
  <si>
    <t>Otu1198</t>
  </si>
  <si>
    <t>Otu1197</t>
  </si>
  <si>
    <t>Otu1196</t>
  </si>
  <si>
    <t>Otu1195</t>
  </si>
  <si>
    <t>Otu1194</t>
  </si>
  <si>
    <t>Otu1193</t>
  </si>
  <si>
    <t>Otu1192</t>
  </si>
  <si>
    <t>Otu1191</t>
  </si>
  <si>
    <t>Otu1190</t>
  </si>
  <si>
    <t>Geobacter(100)</t>
  </si>
  <si>
    <t>Geobacteraceae(100)</t>
  </si>
  <si>
    <t>Otu1189</t>
  </si>
  <si>
    <t>Otu1188</t>
  </si>
  <si>
    <t>Otu1187</t>
  </si>
  <si>
    <t>Otu1186</t>
  </si>
  <si>
    <t>Otu1185</t>
  </si>
  <si>
    <t>Otu1184</t>
  </si>
  <si>
    <t>Otu1183</t>
  </si>
  <si>
    <t>Otu1182</t>
  </si>
  <si>
    <t>Otu1181</t>
  </si>
  <si>
    <t>Otu1180</t>
  </si>
  <si>
    <t>Otu1179</t>
  </si>
  <si>
    <t>Otu1178</t>
  </si>
  <si>
    <t>Otu1177</t>
  </si>
  <si>
    <t>Otu1176</t>
  </si>
  <si>
    <t>Otu1175</t>
  </si>
  <si>
    <t>Otu1174</t>
  </si>
  <si>
    <t>Otu1173</t>
  </si>
  <si>
    <t>Otu1172</t>
  </si>
  <si>
    <t>Otu1171</t>
  </si>
  <si>
    <t>Otu1170</t>
  </si>
  <si>
    <t>Otu1169</t>
  </si>
  <si>
    <t>Otu1168</t>
  </si>
  <si>
    <t>Otu1167</t>
  </si>
  <si>
    <t>Otu1166</t>
  </si>
  <si>
    <t>Otu1165</t>
  </si>
  <si>
    <t>Otu1164</t>
  </si>
  <si>
    <t>Otu1163</t>
  </si>
  <si>
    <t>Otu1162</t>
  </si>
  <si>
    <t>Otu1161</t>
  </si>
  <si>
    <t>Otu1160</t>
  </si>
  <si>
    <t>Otu1159</t>
  </si>
  <si>
    <t>Otu1158</t>
  </si>
  <si>
    <t>Otu1157</t>
  </si>
  <si>
    <t>Otu1156</t>
  </si>
  <si>
    <t>Otu1155</t>
  </si>
  <si>
    <t>Otu1154</t>
  </si>
  <si>
    <t>Otu1153</t>
  </si>
  <si>
    <t>Otu1152</t>
  </si>
  <si>
    <t>Otu1151</t>
  </si>
  <si>
    <t>Otu1150</t>
  </si>
  <si>
    <t>Otu1149</t>
  </si>
  <si>
    <t>Otu1148</t>
  </si>
  <si>
    <t>Otu1147</t>
  </si>
  <si>
    <t>Otu1146</t>
  </si>
  <si>
    <t>Otu1145</t>
  </si>
  <si>
    <t>Otu1144</t>
  </si>
  <si>
    <t>Otu1143</t>
  </si>
  <si>
    <t>Otu1142</t>
  </si>
  <si>
    <t>Otu1141</t>
  </si>
  <si>
    <t>Otu1140</t>
  </si>
  <si>
    <t>Otu1139</t>
  </si>
  <si>
    <t>Cloacibacillus(100)</t>
  </si>
  <si>
    <t>Synergistaceae(100)</t>
  </si>
  <si>
    <t>Synergistales(100)</t>
  </si>
  <si>
    <t>Synergistia(100)</t>
  </si>
  <si>
    <t>Synergistetes(100)</t>
  </si>
  <si>
    <t>Otu1138</t>
  </si>
  <si>
    <t>Otu1137</t>
  </si>
  <si>
    <t>Otu1136</t>
  </si>
  <si>
    <t>Aminiphilus(100)</t>
  </si>
  <si>
    <t>Otu1135</t>
  </si>
  <si>
    <t>Synergistaceae_unclassified(100)</t>
  </si>
  <si>
    <t>Otu1134</t>
  </si>
  <si>
    <t>Otu1133</t>
  </si>
  <si>
    <t>Otu1132</t>
  </si>
  <si>
    <t>Otu1131</t>
  </si>
  <si>
    <t>Otu1130</t>
  </si>
  <si>
    <t>Otu1129</t>
  </si>
  <si>
    <t>Otu1128</t>
  </si>
  <si>
    <t>Otu1127</t>
  </si>
  <si>
    <t>Otu1126</t>
  </si>
  <si>
    <t>Otu1125</t>
  </si>
  <si>
    <t>Otu1124</t>
  </si>
  <si>
    <t>Otu1123</t>
  </si>
  <si>
    <t>Otu1122</t>
  </si>
  <si>
    <t>Otu1121</t>
  </si>
  <si>
    <t>Otu1120</t>
  </si>
  <si>
    <t>Otu1119</t>
  </si>
  <si>
    <t>Otu1118</t>
  </si>
  <si>
    <t>Otu1117</t>
  </si>
  <si>
    <t>Otu1116</t>
  </si>
  <si>
    <t>Otu1115</t>
  </si>
  <si>
    <t>Otu1114</t>
  </si>
  <si>
    <t>Otu1113</t>
  </si>
  <si>
    <t>Otu1112</t>
  </si>
  <si>
    <t>Otu1111</t>
  </si>
  <si>
    <t>Otu1110</t>
  </si>
  <si>
    <t>Otu1109</t>
  </si>
  <si>
    <t>Syner-01(100)</t>
  </si>
  <si>
    <t>Otu1108</t>
  </si>
  <si>
    <t>Otu1107</t>
  </si>
  <si>
    <t>Otu1106</t>
  </si>
  <si>
    <t>Otu1105</t>
  </si>
  <si>
    <t>Otu1104</t>
  </si>
  <si>
    <t>Aminivibrio(100)</t>
  </si>
  <si>
    <t>Otu1103</t>
  </si>
  <si>
    <t>Otu1102</t>
  </si>
  <si>
    <t>Otu1101</t>
  </si>
  <si>
    <t>Otu1100</t>
  </si>
  <si>
    <t>Otu1099</t>
  </si>
  <si>
    <t>Otu1098</t>
  </si>
  <si>
    <t>Otu1097</t>
  </si>
  <si>
    <t>Otu1096</t>
  </si>
  <si>
    <t>Otu1095</t>
  </si>
  <si>
    <t>Otu1094</t>
  </si>
  <si>
    <t>Otu1093</t>
  </si>
  <si>
    <t>Otu1092</t>
  </si>
  <si>
    <t>Otu1091</t>
  </si>
  <si>
    <t>Otu1090</t>
  </si>
  <si>
    <t>Otu1089</t>
  </si>
  <si>
    <t>Otu1088</t>
  </si>
  <si>
    <t>Otu1087</t>
  </si>
  <si>
    <t>Otu1086</t>
  </si>
  <si>
    <t>Otu1085</t>
  </si>
  <si>
    <t>Otu1084</t>
  </si>
  <si>
    <t>Otu1083</t>
  </si>
  <si>
    <t>Otu1082</t>
  </si>
  <si>
    <t>Otu1081</t>
  </si>
  <si>
    <t>Otu1080</t>
  </si>
  <si>
    <t>Otu1079</t>
  </si>
  <si>
    <t>Anaerofilum(100)</t>
  </si>
  <si>
    <t>Ruminococcaceae(100)</t>
  </si>
  <si>
    <t>Otu1078</t>
  </si>
  <si>
    <t>Dethiosulfatibacter(100)</t>
  </si>
  <si>
    <t>Clostridiales_Incertae_Sedis(100)</t>
  </si>
  <si>
    <t>Otu1077</t>
  </si>
  <si>
    <t>Otu1076</t>
  </si>
  <si>
    <t>Dorea(100)</t>
  </si>
  <si>
    <t>Lachnospiraceae(100)</t>
  </si>
  <si>
    <t>Otu1075</t>
  </si>
  <si>
    <t>Eubacterium(100)</t>
  </si>
  <si>
    <t>Eubacteriaceae(100)</t>
  </si>
  <si>
    <t>Otu1074</t>
  </si>
  <si>
    <t>Clostridiales_unclassified(100)</t>
  </si>
  <si>
    <t>Otu1073</t>
  </si>
  <si>
    <t>Sedimentibacter(100)</t>
  </si>
  <si>
    <t>Family_XI(100)</t>
  </si>
  <si>
    <t>Otu1072</t>
  </si>
  <si>
    <t>Family_XIII_unclassified(100)</t>
  </si>
  <si>
    <t>Otu1071</t>
  </si>
  <si>
    <t>Otu1070</t>
  </si>
  <si>
    <t>Caproiciproducens(100)</t>
  </si>
  <si>
    <t>Otu1069</t>
  </si>
  <si>
    <t>Otu1068</t>
  </si>
  <si>
    <t>Otu1067</t>
  </si>
  <si>
    <t>Dechlorosoma(100)</t>
  </si>
  <si>
    <t>Rhodocyclaceae(100)</t>
  </si>
  <si>
    <t>Betaproteobacteriales(100)</t>
  </si>
  <si>
    <t>Otu1066</t>
  </si>
  <si>
    <t>Rhodocyclaceae_unclassified(100)</t>
  </si>
  <si>
    <t>Otu1065</t>
  </si>
  <si>
    <t>Otu1064</t>
  </si>
  <si>
    <t>Weeksellaceae_unclassified(100)</t>
  </si>
  <si>
    <t>Weeksellaceae(100)</t>
  </si>
  <si>
    <t>Otu1063</t>
  </si>
  <si>
    <t>Betaproteobacteriales_unclassified(100)</t>
  </si>
  <si>
    <t>Otu1062</t>
  </si>
  <si>
    <t>Burkholderiaceae_unclassified(100)</t>
  </si>
  <si>
    <t>Burkholderiaceae(100)</t>
  </si>
  <si>
    <t>Otu1061</t>
  </si>
  <si>
    <t>Otu1060</t>
  </si>
  <si>
    <t>Otu1059</t>
  </si>
  <si>
    <t>Otu1058</t>
  </si>
  <si>
    <t>Chryseobacterium(100)</t>
  </si>
  <si>
    <t>Otu1057</t>
  </si>
  <si>
    <t>Otu1056</t>
  </si>
  <si>
    <t>Otu1055</t>
  </si>
  <si>
    <t>Otu1054</t>
  </si>
  <si>
    <t>Otu1053</t>
  </si>
  <si>
    <t>Pseudomonas(100)</t>
  </si>
  <si>
    <t>Pseudomonadaceae(100)</t>
  </si>
  <si>
    <t>Pseudomonadales(100)</t>
  </si>
  <si>
    <t>Otu1052</t>
  </si>
  <si>
    <t>Acinetobacter(100)</t>
  </si>
  <si>
    <t>Moraxellaceae(100)</t>
  </si>
  <si>
    <t>Otu1051</t>
  </si>
  <si>
    <t>Otu1050</t>
  </si>
  <si>
    <t>Otu1049</t>
  </si>
  <si>
    <t>Otu1048</t>
  </si>
  <si>
    <t>Otu1047</t>
  </si>
  <si>
    <t>Otu1046</t>
  </si>
  <si>
    <t>Otu1045</t>
  </si>
  <si>
    <t>Otu1044</t>
  </si>
  <si>
    <t>Otu1043</t>
  </si>
  <si>
    <t>Otu1042</t>
  </si>
  <si>
    <t>Otu1041</t>
  </si>
  <si>
    <t>Hydrogenophaga(100)</t>
  </si>
  <si>
    <t>Otu1040</t>
  </si>
  <si>
    <t>Otu1039</t>
  </si>
  <si>
    <t>Otu1038</t>
  </si>
  <si>
    <t>Otu1037</t>
  </si>
  <si>
    <t>Otu1036</t>
  </si>
  <si>
    <t>Otu1035</t>
  </si>
  <si>
    <t>Otu1034</t>
  </si>
  <si>
    <t>Otu1033</t>
  </si>
  <si>
    <t>Otu1032</t>
  </si>
  <si>
    <t>Otu1031</t>
  </si>
  <si>
    <t>Otu1030</t>
  </si>
  <si>
    <t>Otu1029</t>
  </si>
  <si>
    <t>Otu1028</t>
  </si>
  <si>
    <t>Intestinimonas(100)</t>
  </si>
  <si>
    <t>Otu1027</t>
  </si>
  <si>
    <t>Otu1026</t>
  </si>
  <si>
    <t>Otu1025</t>
  </si>
  <si>
    <t>Otu1024</t>
  </si>
  <si>
    <t>Otu1023</t>
  </si>
  <si>
    <t>Otu1022</t>
  </si>
  <si>
    <t>Otu1021</t>
  </si>
  <si>
    <t>Otu1020</t>
  </si>
  <si>
    <t>Otu1019</t>
  </si>
  <si>
    <t>Otu1018</t>
  </si>
  <si>
    <t>Otu1017</t>
  </si>
  <si>
    <t>Candidatus_Paracaedibacter(100)</t>
  </si>
  <si>
    <t>Otu1016</t>
  </si>
  <si>
    <t>Otu1015</t>
  </si>
  <si>
    <t>Otu1014</t>
  </si>
  <si>
    <t>Otu1013</t>
  </si>
  <si>
    <t>Otu1012</t>
  </si>
  <si>
    <t>Otu1011</t>
  </si>
  <si>
    <t>Otu1010</t>
  </si>
  <si>
    <t>Otu1009</t>
  </si>
  <si>
    <t>Pseudomonadaceae_unclassified(100)</t>
  </si>
  <si>
    <t>Otu1008</t>
  </si>
  <si>
    <t>Otu1007</t>
  </si>
  <si>
    <t>Otu1006</t>
  </si>
  <si>
    <t>Otu1005</t>
  </si>
  <si>
    <t>Otu1004</t>
  </si>
  <si>
    <t>Otu1003</t>
  </si>
  <si>
    <t>Otu1002</t>
  </si>
  <si>
    <t>Otu1001</t>
  </si>
  <si>
    <t>Otu1000</t>
  </si>
  <si>
    <t>Otu0999</t>
  </si>
  <si>
    <t>Otu0998</t>
  </si>
  <si>
    <t>Otu0997</t>
  </si>
  <si>
    <t>Otu0996</t>
  </si>
  <si>
    <t>Anaerofustis(100)</t>
  </si>
  <si>
    <t>Otu0995</t>
  </si>
  <si>
    <t>Otu0994</t>
  </si>
  <si>
    <t>Otu0993</t>
  </si>
  <si>
    <t>Otu0992</t>
  </si>
  <si>
    <t>Otu0991</t>
  </si>
  <si>
    <t>Otu0990</t>
  </si>
  <si>
    <t>Otu0989</t>
  </si>
  <si>
    <t>Otu0988</t>
  </si>
  <si>
    <t>Otu0987</t>
  </si>
  <si>
    <t>Otu0986</t>
  </si>
  <si>
    <t>Otu0985</t>
  </si>
  <si>
    <t>Otu0984</t>
  </si>
  <si>
    <t>Otu0983</t>
  </si>
  <si>
    <t>Otu0982</t>
  </si>
  <si>
    <t>Otu0981</t>
  </si>
  <si>
    <t>Otu0980</t>
  </si>
  <si>
    <t>Otu0979</t>
  </si>
  <si>
    <t>Otu0978</t>
  </si>
  <si>
    <t>Otu0977</t>
  </si>
  <si>
    <t>Otu0976</t>
  </si>
  <si>
    <t>Otu0975</t>
  </si>
  <si>
    <t>Otu0974</t>
  </si>
  <si>
    <t>Otu0973</t>
  </si>
  <si>
    <t>Otu0972</t>
  </si>
  <si>
    <t>Otu0971</t>
  </si>
  <si>
    <t>Otu0970</t>
  </si>
  <si>
    <t>Otu0969</t>
  </si>
  <si>
    <t>Otu0968</t>
  </si>
  <si>
    <t>Fluviicola(100)</t>
  </si>
  <si>
    <t>Crocinitomicaceae(100)</t>
  </si>
  <si>
    <t>Otu0967</t>
  </si>
  <si>
    <t>Otu0966</t>
  </si>
  <si>
    <t>Otu0965</t>
  </si>
  <si>
    <t>Otu0964</t>
  </si>
  <si>
    <t>Otu0963</t>
  </si>
  <si>
    <t>Otu0962</t>
  </si>
  <si>
    <t>Ercella(100)</t>
  </si>
  <si>
    <t>Otu0961</t>
  </si>
  <si>
    <t>Otu0960</t>
  </si>
  <si>
    <t>Otu0959</t>
  </si>
  <si>
    <t>Otu0958</t>
  </si>
  <si>
    <t>Otu0957</t>
  </si>
  <si>
    <t>Otu0956</t>
  </si>
  <si>
    <t>Otu0955</t>
  </si>
  <si>
    <t>Otu0954</t>
  </si>
  <si>
    <t>Otu0953</t>
  </si>
  <si>
    <t>Otu0952</t>
  </si>
  <si>
    <t>Otu0951</t>
  </si>
  <si>
    <t>Otu0950</t>
  </si>
  <si>
    <t>Otu0949</t>
  </si>
  <si>
    <t>Otu0948</t>
  </si>
  <si>
    <t>Reyranella(100)</t>
  </si>
  <si>
    <t>Reyranellaceae(100)</t>
  </si>
  <si>
    <t>Reyranellales(100)</t>
  </si>
  <si>
    <t>Otu0947</t>
  </si>
  <si>
    <t>Otu0946</t>
  </si>
  <si>
    <t>Otu0945</t>
  </si>
  <si>
    <t>Otu0944</t>
  </si>
  <si>
    <t>Otu0943</t>
  </si>
  <si>
    <t>Otu0942</t>
  </si>
  <si>
    <t>Otu0941</t>
  </si>
  <si>
    <t>Otu0940</t>
  </si>
  <si>
    <t>Otu0939</t>
  </si>
  <si>
    <t>Otu0938</t>
  </si>
  <si>
    <t>Rhodococcus(67)</t>
  </si>
  <si>
    <t>Nocardiaceae(67)</t>
  </si>
  <si>
    <t>Otu0937</t>
  </si>
  <si>
    <t>Gordonia(67)</t>
  </si>
  <si>
    <t>Nocardiaceae(100)</t>
  </si>
  <si>
    <t>Otu0936</t>
  </si>
  <si>
    <t>Otu0935</t>
  </si>
  <si>
    <t>Otu0934</t>
  </si>
  <si>
    <t>Otu0933</t>
  </si>
  <si>
    <t>Otu0932</t>
  </si>
  <si>
    <t>Otu0931</t>
  </si>
  <si>
    <t>Otu0930</t>
  </si>
  <si>
    <t>Otu0929</t>
  </si>
  <si>
    <t>Otu0928</t>
  </si>
  <si>
    <t>Otu0927</t>
  </si>
  <si>
    <t>Otu0926</t>
  </si>
  <si>
    <t>Otu0925</t>
  </si>
  <si>
    <t>Pseudomonas(67)</t>
  </si>
  <si>
    <t>Otu0924</t>
  </si>
  <si>
    <t>Otu0923</t>
  </si>
  <si>
    <t>Otu0922</t>
  </si>
  <si>
    <t>Otu0921</t>
  </si>
  <si>
    <t>Otu0920</t>
  </si>
  <si>
    <t>Otu0919</t>
  </si>
  <si>
    <t>Otu0918</t>
  </si>
  <si>
    <t>Otu0917</t>
  </si>
  <si>
    <t>Bdellovibrio(100)</t>
  </si>
  <si>
    <t>Bdellovibrionaceae(100)</t>
  </si>
  <si>
    <t>Bdellovibrionales(100)</t>
  </si>
  <si>
    <t>Otu0916</t>
  </si>
  <si>
    <t>Parvibaculum(100)</t>
  </si>
  <si>
    <t>Parvibaculaceae(100)</t>
  </si>
  <si>
    <t>Parvibaculales(100)</t>
  </si>
  <si>
    <t>Otu0915</t>
  </si>
  <si>
    <t>Otu0914</t>
  </si>
  <si>
    <t>Dechlorosoma(67)</t>
  </si>
  <si>
    <t>Otu0913</t>
  </si>
  <si>
    <t>Otu0912</t>
  </si>
  <si>
    <t>Otu0911</t>
  </si>
  <si>
    <t>Otu0910</t>
  </si>
  <si>
    <t>Otu0909</t>
  </si>
  <si>
    <t>Otu0908</t>
  </si>
  <si>
    <t>Otu0907</t>
  </si>
  <si>
    <t>Otu0906</t>
  </si>
  <si>
    <t>Stenotrophomonas(67)</t>
  </si>
  <si>
    <t>Otu0905</t>
  </si>
  <si>
    <t>Desulfuromonadales_unclassified(67)</t>
  </si>
  <si>
    <t>Otu0904</t>
  </si>
  <si>
    <t>Otu0903</t>
  </si>
  <si>
    <t>Otu0902</t>
  </si>
  <si>
    <t>Otu0901</t>
  </si>
  <si>
    <t>Myroides(100)</t>
  </si>
  <si>
    <t>Flavobacteriaceae(100)</t>
  </si>
  <si>
    <t>Otu0900</t>
  </si>
  <si>
    <t>Otu0899</t>
  </si>
  <si>
    <t>Otu0898</t>
  </si>
  <si>
    <t>Otu0897</t>
  </si>
  <si>
    <t>Otu0896</t>
  </si>
  <si>
    <t>Flavobacterium(100)</t>
  </si>
  <si>
    <t>Otu0895</t>
  </si>
  <si>
    <t>Otu0894</t>
  </si>
  <si>
    <t>Weeksellaceae_unclassified(67)</t>
  </si>
  <si>
    <t>Otu0893</t>
  </si>
  <si>
    <t>Otu0892</t>
  </si>
  <si>
    <t>Otu0891</t>
  </si>
  <si>
    <t>Otu0890</t>
  </si>
  <si>
    <t>Otu0889</t>
  </si>
  <si>
    <t>Otu0888</t>
  </si>
  <si>
    <t>Otu0887</t>
  </si>
  <si>
    <t>Thiobacillus(100)</t>
  </si>
  <si>
    <t>Hydrogenophilaceae(100)</t>
  </si>
  <si>
    <t>Otu0886</t>
  </si>
  <si>
    <t>Otu0885</t>
  </si>
  <si>
    <t>Otu0884</t>
  </si>
  <si>
    <t>Otu0883</t>
  </si>
  <si>
    <t>Otu0882</t>
  </si>
  <si>
    <t>Otu0881</t>
  </si>
  <si>
    <t>Otu0880</t>
  </si>
  <si>
    <t>Desulfovibrio(67)</t>
  </si>
  <si>
    <t>Otu0879</t>
  </si>
  <si>
    <t>Otu0878</t>
  </si>
  <si>
    <t>Otu0877</t>
  </si>
  <si>
    <t>Otu0876</t>
  </si>
  <si>
    <t>Rhodocyclaceae_unclassified(67)</t>
  </si>
  <si>
    <t>Otu0875</t>
  </si>
  <si>
    <t>Otu0874</t>
  </si>
  <si>
    <t>Otu0873</t>
  </si>
  <si>
    <t>Otu0872</t>
  </si>
  <si>
    <t>Azovibrio(67)</t>
  </si>
  <si>
    <t>Otu0871</t>
  </si>
  <si>
    <t>Burkholderiaceae_unclassified(67)</t>
  </si>
  <si>
    <t>Otu0870</t>
  </si>
  <si>
    <t>Otu0869</t>
  </si>
  <si>
    <t>Otu0868</t>
  </si>
  <si>
    <t>Otu0867</t>
  </si>
  <si>
    <t>Otu0866</t>
  </si>
  <si>
    <t>Otu0865</t>
  </si>
  <si>
    <t>Otu0864</t>
  </si>
  <si>
    <t>Otu0863</t>
  </si>
  <si>
    <t>Otu0862</t>
  </si>
  <si>
    <t>Otu0861</t>
  </si>
  <si>
    <t>Otu0860</t>
  </si>
  <si>
    <t>Otu0859</t>
  </si>
  <si>
    <t>Otu0858</t>
  </si>
  <si>
    <t>Otu0857</t>
  </si>
  <si>
    <t>Otu0856</t>
  </si>
  <si>
    <t>Otu0855</t>
  </si>
  <si>
    <t>Otu0854</t>
  </si>
  <si>
    <t>Otu0853</t>
  </si>
  <si>
    <t>Otu0852</t>
  </si>
  <si>
    <t>Geobacter(67)</t>
  </si>
  <si>
    <t>Geobacteraceae(67)</t>
  </si>
  <si>
    <t>Otu0851</t>
  </si>
  <si>
    <t>Otu0850</t>
  </si>
  <si>
    <t>Otu0849</t>
  </si>
  <si>
    <t>Otu0848</t>
  </si>
  <si>
    <t>Otu0847</t>
  </si>
  <si>
    <t>Otu0846</t>
  </si>
  <si>
    <t>Otu0845</t>
  </si>
  <si>
    <t>Moheibacter(100)</t>
  </si>
  <si>
    <t>Otu0844</t>
  </si>
  <si>
    <t>Bifidobacterium(100)</t>
  </si>
  <si>
    <t>Bifidobacteriaceae(100)</t>
  </si>
  <si>
    <t>Bifidobacteriales(100)</t>
  </si>
  <si>
    <t>Otu0843</t>
  </si>
  <si>
    <t>Otu0842</t>
  </si>
  <si>
    <t>Otu0841</t>
  </si>
  <si>
    <t>Azospirillum(67)</t>
  </si>
  <si>
    <t>Otu0840</t>
  </si>
  <si>
    <t>Otu0839</t>
  </si>
  <si>
    <t>Propionibacteriaceae_unclassified(67)</t>
  </si>
  <si>
    <t>Otu0838</t>
  </si>
  <si>
    <t>Otu0837</t>
  </si>
  <si>
    <t>Propionicimonas(67)</t>
  </si>
  <si>
    <t>Otu0836</t>
  </si>
  <si>
    <t>Otu0835</t>
  </si>
  <si>
    <t>Otu0834</t>
  </si>
  <si>
    <t>Otu0833</t>
  </si>
  <si>
    <t>Otu0832</t>
  </si>
  <si>
    <t>Otu0831</t>
  </si>
  <si>
    <t>Otu0830</t>
  </si>
  <si>
    <t>Otu0829</t>
  </si>
  <si>
    <t>Otu0828</t>
  </si>
  <si>
    <t>Otu0827</t>
  </si>
  <si>
    <t>Otu0826</t>
  </si>
  <si>
    <t>Otu0825</t>
  </si>
  <si>
    <t>Otu0824</t>
  </si>
  <si>
    <t>Otu0823</t>
  </si>
  <si>
    <t>Otu0822</t>
  </si>
  <si>
    <t>Otu0821</t>
  </si>
  <si>
    <t>Otu0820</t>
  </si>
  <si>
    <t>Otu0819</t>
  </si>
  <si>
    <t>Otu0818</t>
  </si>
  <si>
    <t>Otu0817</t>
  </si>
  <si>
    <t>Otu0816</t>
  </si>
  <si>
    <t>Otu0815</t>
  </si>
  <si>
    <t>Otu0814</t>
  </si>
  <si>
    <t>Otu0813</t>
  </si>
  <si>
    <t>Otu0812</t>
  </si>
  <si>
    <t>Otu0811</t>
  </si>
  <si>
    <t>Otu0810</t>
  </si>
  <si>
    <t>Otu0809</t>
  </si>
  <si>
    <t>Otu0808</t>
  </si>
  <si>
    <t>Otu0807</t>
  </si>
  <si>
    <t>Otu0806</t>
  </si>
  <si>
    <t>Otu0805</t>
  </si>
  <si>
    <t>Otu0804</t>
  </si>
  <si>
    <t>Otu0803</t>
  </si>
  <si>
    <t>Otu0802</t>
  </si>
  <si>
    <t>Otu0801</t>
  </si>
  <si>
    <t>Otu0800</t>
  </si>
  <si>
    <t>Otu0799</t>
  </si>
  <si>
    <t>Anaerostipes(100)</t>
  </si>
  <si>
    <t>Otu0798</t>
  </si>
  <si>
    <t>Blautia(100)</t>
  </si>
  <si>
    <t>Otu0797</t>
  </si>
  <si>
    <t>Ruminococcus_2(100)</t>
  </si>
  <si>
    <t>Otu0796</t>
  </si>
  <si>
    <t>Acetobacterium(67)</t>
  </si>
  <si>
    <t>Otu0795</t>
  </si>
  <si>
    <t>Peptococcaceae_unclassified(67)</t>
  </si>
  <si>
    <t>Otu0794</t>
  </si>
  <si>
    <t>Otu0793</t>
  </si>
  <si>
    <t>Otu0792</t>
  </si>
  <si>
    <t>Lachnospiraceae_ge(100)</t>
  </si>
  <si>
    <t>Otu0791</t>
  </si>
  <si>
    <t>Otu0790</t>
  </si>
  <si>
    <t>Ruminococcaceae_unclassified(100)</t>
  </si>
  <si>
    <t>Otu0789</t>
  </si>
  <si>
    <t>Otu0788</t>
  </si>
  <si>
    <t>uncultured_ge(100)</t>
  </si>
  <si>
    <t>Otu0787</t>
  </si>
  <si>
    <t>Otu0786</t>
  </si>
  <si>
    <t>Subdoligranulum(100)</t>
  </si>
  <si>
    <t>Otu0785</t>
  </si>
  <si>
    <t>Otu0784</t>
  </si>
  <si>
    <t>Ruminococcaceae_UCG-010(100)</t>
  </si>
  <si>
    <t>Otu0783</t>
  </si>
  <si>
    <t>Dorea(67)</t>
  </si>
  <si>
    <t>Otu0782</t>
  </si>
  <si>
    <t>Catabacter(67)</t>
  </si>
  <si>
    <t>Otu0781</t>
  </si>
  <si>
    <t>Romboutsia(100)</t>
  </si>
  <si>
    <t>Otu0780</t>
  </si>
  <si>
    <t>Otu0779</t>
  </si>
  <si>
    <t>Otu0778</t>
  </si>
  <si>
    <t>Coprococcus_2(100)</t>
  </si>
  <si>
    <t>Otu0777</t>
  </si>
  <si>
    <t>Agathobacter(67)</t>
  </si>
  <si>
    <t>Otu0776</t>
  </si>
  <si>
    <t>Otu0775</t>
  </si>
  <si>
    <t>Otu0774</t>
  </si>
  <si>
    <t>Otu0773</t>
  </si>
  <si>
    <t>Otu0772</t>
  </si>
  <si>
    <t>Otu0771</t>
  </si>
  <si>
    <t>Otu0770</t>
  </si>
  <si>
    <t>Otu0769</t>
  </si>
  <si>
    <t>Otu0768</t>
  </si>
  <si>
    <t>Otu0767</t>
  </si>
  <si>
    <t>Otu0766</t>
  </si>
  <si>
    <t>Otu0765</t>
  </si>
  <si>
    <t>Otu0764</t>
  </si>
  <si>
    <t>Otu0763</t>
  </si>
  <si>
    <t>Otu0762</t>
  </si>
  <si>
    <t>Otu0761</t>
  </si>
  <si>
    <t>Otu0760</t>
  </si>
  <si>
    <t>GKS98_freshwater_group(100)</t>
  </si>
  <si>
    <t>Otu0759</t>
  </si>
  <si>
    <t>Otu0758</t>
  </si>
  <si>
    <t>Otu0757</t>
  </si>
  <si>
    <t>Otu0756</t>
  </si>
  <si>
    <t>Otu0755</t>
  </si>
  <si>
    <t>Otu0754</t>
  </si>
  <si>
    <t>Otu0753</t>
  </si>
  <si>
    <t>Otu0752</t>
  </si>
  <si>
    <t>Otu0751</t>
  </si>
  <si>
    <t>Otu0750</t>
  </si>
  <si>
    <t>Dysgonomonadaceae_unclassified(100)</t>
  </si>
  <si>
    <t>Otu0749</t>
  </si>
  <si>
    <t>Otu0748</t>
  </si>
  <si>
    <t>Alistipes(100)</t>
  </si>
  <si>
    <t>Otu0747</t>
  </si>
  <si>
    <t>Rhizobiaceae_unclassified(67)</t>
  </si>
  <si>
    <t>Otu0746</t>
  </si>
  <si>
    <t>Otu0745</t>
  </si>
  <si>
    <t>Rhizobiales_unclassified(67)</t>
  </si>
  <si>
    <t>Otu0744</t>
  </si>
  <si>
    <t>Otu0743</t>
  </si>
  <si>
    <t>Xanthobacteraceae_unclassified(67)</t>
  </si>
  <si>
    <t>Otu0742</t>
  </si>
  <si>
    <t>Otu0741</t>
  </si>
  <si>
    <t>Otu0740</t>
  </si>
  <si>
    <t>Xanthobacter(67)</t>
  </si>
  <si>
    <t>Otu0739</t>
  </si>
  <si>
    <t>Otu0738</t>
  </si>
  <si>
    <t>Otu0737</t>
  </si>
  <si>
    <t>Stappiaceae_unclassified(100)</t>
  </si>
  <si>
    <t>Otu0736</t>
  </si>
  <si>
    <t>Methylobacterium(100)</t>
  </si>
  <si>
    <t>Otu0735</t>
  </si>
  <si>
    <t>Otu0734</t>
  </si>
  <si>
    <t>Otu0733</t>
  </si>
  <si>
    <t>Otu0732</t>
  </si>
  <si>
    <t>Bauldia(100)</t>
  </si>
  <si>
    <t>Rhizobiales_Incertae_Sedis(100)</t>
  </si>
  <si>
    <t>Otu0731</t>
  </si>
  <si>
    <t>Otu0730</t>
  </si>
  <si>
    <t>Otu0729</t>
  </si>
  <si>
    <t>Otu0728</t>
  </si>
  <si>
    <t>Otu0727</t>
  </si>
  <si>
    <t>Otu0726</t>
  </si>
  <si>
    <t>Otu0725</t>
  </si>
  <si>
    <t>Otu0724</t>
  </si>
  <si>
    <t>Otu0723</t>
  </si>
  <si>
    <t>Geobacteraceae_unclassified(67)</t>
  </si>
  <si>
    <t>Otu0722</t>
  </si>
  <si>
    <t>Candidatus_Jidaibacter(100)</t>
  </si>
  <si>
    <t>Midichloriaceae(100)</t>
  </si>
  <si>
    <t>Rickettsiales(100)</t>
  </si>
  <si>
    <t>Otu0721</t>
  </si>
  <si>
    <t>Otu0720</t>
  </si>
  <si>
    <t>Otu0719</t>
  </si>
  <si>
    <t>Otu0718</t>
  </si>
  <si>
    <t>Sphingomonas(100)</t>
  </si>
  <si>
    <t>Otu0717</t>
  </si>
  <si>
    <t>Sphingobium(100)</t>
  </si>
  <si>
    <t>Otu0716</t>
  </si>
  <si>
    <t>Otu0715</t>
  </si>
  <si>
    <t>Otu0714</t>
  </si>
  <si>
    <t>Microbacteriaceae_unclassified(67)</t>
  </si>
  <si>
    <t>Microbacteriaceae(67)</t>
  </si>
  <si>
    <t>Otu0713</t>
  </si>
  <si>
    <t>Micrococcales_unclassified(67)</t>
  </si>
  <si>
    <t>Otu0712</t>
  </si>
  <si>
    <t>Leucobacter(100)</t>
  </si>
  <si>
    <t>Otu0711</t>
  </si>
  <si>
    <t>Otu0710</t>
  </si>
  <si>
    <t>Otu0709</t>
  </si>
  <si>
    <t>Otu0708</t>
  </si>
  <si>
    <t>Otu0707</t>
  </si>
  <si>
    <t>Otu0706</t>
  </si>
  <si>
    <t>Otu0705</t>
  </si>
  <si>
    <t>Otu0704</t>
  </si>
  <si>
    <t>Otu0703</t>
  </si>
  <si>
    <t>Otu0702</t>
  </si>
  <si>
    <t>Otu0701</t>
  </si>
  <si>
    <t>Otu0700</t>
  </si>
  <si>
    <t>Otu0699</t>
  </si>
  <si>
    <t>Otu0698</t>
  </si>
  <si>
    <t>Otu0697</t>
  </si>
  <si>
    <t>Otu0696</t>
  </si>
  <si>
    <t>Otu0695</t>
  </si>
  <si>
    <t>Otu0694</t>
  </si>
  <si>
    <t>Otu0693</t>
  </si>
  <si>
    <t>Otu0692</t>
  </si>
  <si>
    <t>Otu0691</t>
  </si>
  <si>
    <t>Otu0690</t>
  </si>
  <si>
    <t>Otu0689</t>
  </si>
  <si>
    <t>Otu0688</t>
  </si>
  <si>
    <t>Otu0687</t>
  </si>
  <si>
    <t>Otu0686</t>
  </si>
  <si>
    <t>Otu0685</t>
  </si>
  <si>
    <t>Otu0684</t>
  </si>
  <si>
    <t>Otu0683</t>
  </si>
  <si>
    <t>Otu0682</t>
  </si>
  <si>
    <t>Otu0681</t>
  </si>
  <si>
    <t>Otu0680</t>
  </si>
  <si>
    <t>Otu0679</t>
  </si>
  <si>
    <t>Otu0678</t>
  </si>
  <si>
    <t>Otu0677</t>
  </si>
  <si>
    <t>Otu0676</t>
  </si>
  <si>
    <t>Otu0675</t>
  </si>
  <si>
    <t>Otu0674</t>
  </si>
  <si>
    <t>Otu0673</t>
  </si>
  <si>
    <t>Otu0672</t>
  </si>
  <si>
    <t>Otu0671</t>
  </si>
  <si>
    <t>Otu0670</t>
  </si>
  <si>
    <t>Otu0669</t>
  </si>
  <si>
    <t>Otu0668</t>
  </si>
  <si>
    <t>Otu0667</t>
  </si>
  <si>
    <t>Otu0666</t>
  </si>
  <si>
    <t>Otu0665</t>
  </si>
  <si>
    <t>Otu0664</t>
  </si>
  <si>
    <t>Otu0663</t>
  </si>
  <si>
    <t>Otu0662</t>
  </si>
  <si>
    <t>Otu0661</t>
  </si>
  <si>
    <t>Otu0660</t>
  </si>
  <si>
    <t>Otu0659</t>
  </si>
  <si>
    <t>Otu0658</t>
  </si>
  <si>
    <t>Otu0657</t>
  </si>
  <si>
    <t>Otu0656</t>
  </si>
  <si>
    <t>Otu0655</t>
  </si>
  <si>
    <t>Otu0654</t>
  </si>
  <si>
    <t>Otu0653</t>
  </si>
  <si>
    <t>Otu0652</t>
  </si>
  <si>
    <t>Desulfuromonadales_unclassified(75)</t>
  </si>
  <si>
    <t>Otu0651</t>
  </si>
  <si>
    <t>Otu0650</t>
  </si>
  <si>
    <t>Otu0649</t>
  </si>
  <si>
    <t>Otu0648</t>
  </si>
  <si>
    <t>Otu0647</t>
  </si>
  <si>
    <t>Otu0646</t>
  </si>
  <si>
    <t>Otu0645</t>
  </si>
  <si>
    <t>Otu0644</t>
  </si>
  <si>
    <t>Otu0643</t>
  </si>
  <si>
    <t>Otu0642</t>
  </si>
  <si>
    <t>Otu0641</t>
  </si>
  <si>
    <t>Anaerovorax(75)</t>
  </si>
  <si>
    <t>Otu0640</t>
  </si>
  <si>
    <t>Parapusillimonas(100)</t>
  </si>
  <si>
    <t>Otu0639</t>
  </si>
  <si>
    <t>Otu0638</t>
  </si>
  <si>
    <t>EBM-39(100)</t>
  </si>
  <si>
    <t>Otu0637</t>
  </si>
  <si>
    <t>Otu0636</t>
  </si>
  <si>
    <t>Otu0635</t>
  </si>
  <si>
    <t>Otu0634</t>
  </si>
  <si>
    <t>Otu0633</t>
  </si>
  <si>
    <t>Otu0632</t>
  </si>
  <si>
    <t>Otu0631</t>
  </si>
  <si>
    <t>Micrococcales_unclassified(100)</t>
  </si>
  <si>
    <t>Otu0630</t>
  </si>
  <si>
    <t>Otu0629</t>
  </si>
  <si>
    <t>Desulfosporosinus(100)</t>
  </si>
  <si>
    <t>Otu0628</t>
  </si>
  <si>
    <t>Otu0627</t>
  </si>
  <si>
    <t>uncultured(75)</t>
  </si>
  <si>
    <t>Barnesiellaceae(75)</t>
  </si>
  <si>
    <t>Otu0626</t>
  </si>
  <si>
    <t>Geobacter(75)</t>
  </si>
  <si>
    <t>Geobacteraceae(75)</t>
  </si>
  <si>
    <t>Otu0625</t>
  </si>
  <si>
    <t>Otu0624</t>
  </si>
  <si>
    <t>Otu0623</t>
  </si>
  <si>
    <t>Otu0622</t>
  </si>
  <si>
    <t>Otu0621</t>
  </si>
  <si>
    <t>Desulfomonile(75)</t>
  </si>
  <si>
    <t>Syntrophaceae(100)</t>
  </si>
  <si>
    <t>Syntrophobacterales(100)</t>
  </si>
  <si>
    <t>Otu0620</t>
  </si>
  <si>
    <t>Otu0619</t>
  </si>
  <si>
    <t>Otu0618</t>
  </si>
  <si>
    <t>Escherichia-Shigella(100)</t>
  </si>
  <si>
    <t>Otu0617</t>
  </si>
  <si>
    <t>Truepera(100)</t>
  </si>
  <si>
    <t>Trueperaceae(100)</t>
  </si>
  <si>
    <t>Deinococcales(100)</t>
  </si>
  <si>
    <t>Deinococci(100)</t>
  </si>
  <si>
    <t>Deinococcus-Thermus(100)</t>
  </si>
  <si>
    <t>Otu0616</t>
  </si>
  <si>
    <t>Otu0615</t>
  </si>
  <si>
    <t>Otu0614</t>
  </si>
  <si>
    <t>Otu0613</t>
  </si>
  <si>
    <t>Otu0612</t>
  </si>
  <si>
    <t>Otu0611</t>
  </si>
  <si>
    <t>Otu0610</t>
  </si>
  <si>
    <t>Ruminococcaceae_unclassified(75)</t>
  </si>
  <si>
    <t>Otu0609</t>
  </si>
  <si>
    <t>Otu0608</t>
  </si>
  <si>
    <t>Otu0607</t>
  </si>
  <si>
    <t>Otu0606</t>
  </si>
  <si>
    <t>Otu0605</t>
  </si>
  <si>
    <t>Otu0604</t>
  </si>
  <si>
    <t>Otu0603</t>
  </si>
  <si>
    <t>Otu0602</t>
  </si>
  <si>
    <t>Otu0601</t>
  </si>
  <si>
    <t>Otu0600</t>
  </si>
  <si>
    <t>Otu0599</t>
  </si>
  <si>
    <t>Otu0598</t>
  </si>
  <si>
    <t>Otu0597</t>
  </si>
  <si>
    <t>Otu0596</t>
  </si>
  <si>
    <t>Otu0595</t>
  </si>
  <si>
    <t>Xanthobacter(75)</t>
  </si>
  <si>
    <t>Xanthobacteraceae(75)</t>
  </si>
  <si>
    <t>Otu0594</t>
  </si>
  <si>
    <t>Kaistia(100)</t>
  </si>
  <si>
    <t>Kaistiaceae(100)</t>
  </si>
  <si>
    <t>Otu0593</t>
  </si>
  <si>
    <t>Otu0592</t>
  </si>
  <si>
    <t>Rhizobiales_unclassified(75)</t>
  </si>
  <si>
    <t>Otu0591</t>
  </si>
  <si>
    <t>Otu0590</t>
  </si>
  <si>
    <t>Otu0589</t>
  </si>
  <si>
    <t>Azovibrio(100)</t>
  </si>
  <si>
    <t>Otu0588</t>
  </si>
  <si>
    <t>Streptococcus(100)</t>
  </si>
  <si>
    <t>Streptococcaceae(100)</t>
  </si>
  <si>
    <t>Otu0587</t>
  </si>
  <si>
    <t>Otu0586</t>
  </si>
  <si>
    <t>Rhodocyclaceae_unclassified(75)</t>
  </si>
  <si>
    <t>Otu0585</t>
  </si>
  <si>
    <t>Otu0584</t>
  </si>
  <si>
    <t>Otu0583</t>
  </si>
  <si>
    <t>Otu0582</t>
  </si>
  <si>
    <t>Otu0581</t>
  </si>
  <si>
    <t>Otu0580</t>
  </si>
  <si>
    <t>Otu0579</t>
  </si>
  <si>
    <t>Otu0578</t>
  </si>
  <si>
    <t>Otu0577</t>
  </si>
  <si>
    <t>Otu0576</t>
  </si>
  <si>
    <t>Otu0575</t>
  </si>
  <si>
    <t>Otu0574</t>
  </si>
  <si>
    <t>Propionibacteriaceae_unclassified(75)</t>
  </si>
  <si>
    <t>Otu0573</t>
  </si>
  <si>
    <t>Otu0572</t>
  </si>
  <si>
    <t>Otu0571</t>
  </si>
  <si>
    <t>Otu0570</t>
  </si>
  <si>
    <t>Otu0569</t>
  </si>
  <si>
    <t>Otu0568</t>
  </si>
  <si>
    <t>Otu0567</t>
  </si>
  <si>
    <t>Otu0566</t>
  </si>
  <si>
    <t>Pseudoxanthomonas(100)</t>
  </si>
  <si>
    <t>Otu0565</t>
  </si>
  <si>
    <t>Otu0564</t>
  </si>
  <si>
    <t>Otu0563</t>
  </si>
  <si>
    <t>Otu0562</t>
  </si>
  <si>
    <t>Otu0561</t>
  </si>
  <si>
    <t>Otu0560</t>
  </si>
  <si>
    <t>Otu0559</t>
  </si>
  <si>
    <t>Desulfuromonadales_unclassified(80)</t>
  </si>
  <si>
    <t>Otu0558</t>
  </si>
  <si>
    <t>Otu0557</t>
  </si>
  <si>
    <t>Geobacter(80)</t>
  </si>
  <si>
    <t>Geobacteraceae(80)</t>
  </si>
  <si>
    <t>Otu0556</t>
  </si>
  <si>
    <t>Propionicimonas(80)</t>
  </si>
  <si>
    <t>Otu0555</t>
  </si>
  <si>
    <t>Otu0554</t>
  </si>
  <si>
    <t>Otu0553</t>
  </si>
  <si>
    <t>Lentimicrobiaceae_ge(80)</t>
  </si>
  <si>
    <t>Lentimicrobiaceae(80)</t>
  </si>
  <si>
    <t>Otu0552</t>
  </si>
  <si>
    <t>Desulfuromonadales_unclassified(61)</t>
  </si>
  <si>
    <t>Otu0551</t>
  </si>
  <si>
    <t>Geobacter(61)</t>
  </si>
  <si>
    <t>Otu0550</t>
  </si>
  <si>
    <t>Otu0549</t>
  </si>
  <si>
    <t>Otu0548</t>
  </si>
  <si>
    <t>Otu0547</t>
  </si>
  <si>
    <t>Otu0546</t>
  </si>
  <si>
    <t>Otu0545</t>
  </si>
  <si>
    <t>Terrimonas(80)</t>
  </si>
  <si>
    <t>Otu0544</t>
  </si>
  <si>
    <t>Otu0543</t>
  </si>
  <si>
    <t>Otu0542</t>
  </si>
  <si>
    <t>Otu0541</t>
  </si>
  <si>
    <t>Otu0540</t>
  </si>
  <si>
    <t>Geobacteraceae_unclassified(61)</t>
  </si>
  <si>
    <t>Geobacteraceae(61)</t>
  </si>
  <si>
    <t>Otu0539</t>
  </si>
  <si>
    <t>Otu0538</t>
  </si>
  <si>
    <t>Otu0537</t>
  </si>
  <si>
    <t>Otu0536</t>
  </si>
  <si>
    <t>Otu0535</t>
  </si>
  <si>
    <t>Propionibacteriaceae_unclassified(61)</t>
  </si>
  <si>
    <t>Otu0534</t>
  </si>
  <si>
    <t>Otu0533</t>
  </si>
  <si>
    <t>Otu0532</t>
  </si>
  <si>
    <t>Otu0531</t>
  </si>
  <si>
    <t>Otu0530</t>
  </si>
  <si>
    <t>Otu0529</t>
  </si>
  <si>
    <t>Leifsonia(100)</t>
  </si>
  <si>
    <t>Otu0528</t>
  </si>
  <si>
    <t>Otu0527</t>
  </si>
  <si>
    <t>Xanthobacter(61)</t>
  </si>
  <si>
    <t>Xanthobacteraceae(61)</t>
  </si>
  <si>
    <t>Otu0526</t>
  </si>
  <si>
    <t>Otu0525</t>
  </si>
  <si>
    <t>Otu0524</t>
  </si>
  <si>
    <t>uncultured(80)</t>
  </si>
  <si>
    <t>Otu0523</t>
  </si>
  <si>
    <t>Rhizobiales_unclassified(80)</t>
  </si>
  <si>
    <t>Otu0522</t>
  </si>
  <si>
    <t>Otu0521</t>
  </si>
  <si>
    <t>Otu0520</t>
  </si>
  <si>
    <t>Otu0519</t>
  </si>
  <si>
    <t>Aquamicrobium(100)</t>
  </si>
  <si>
    <t>Otu0518</t>
  </si>
  <si>
    <t>Propionicimonas(61)</t>
  </si>
  <si>
    <t>Otu0517</t>
  </si>
  <si>
    <t>Xanthobacteraceae_unclassified(61)</t>
  </si>
  <si>
    <t>Otu0516</t>
  </si>
  <si>
    <t>Christensenellaceae_unclassified(100)</t>
  </si>
  <si>
    <t>Otu0515</t>
  </si>
  <si>
    <t>Cloacibacillus(80)</t>
  </si>
  <si>
    <t>Otu0514</t>
  </si>
  <si>
    <t>Otu0513</t>
  </si>
  <si>
    <t>uncultured(61)</t>
  </si>
  <si>
    <t>Otu0512</t>
  </si>
  <si>
    <t>Otu0511</t>
  </si>
  <si>
    <t>Pseudomonas(80)</t>
  </si>
  <si>
    <t>Otu0510</t>
  </si>
  <si>
    <t>Otu0509</t>
  </si>
  <si>
    <t>Otu0508</t>
  </si>
  <si>
    <t>Verticia(100)</t>
  </si>
  <si>
    <t>Otu0507</t>
  </si>
  <si>
    <t>Otu0506</t>
  </si>
  <si>
    <t>Otu0505</t>
  </si>
  <si>
    <t>Otu0504</t>
  </si>
  <si>
    <t>Otu0503</t>
  </si>
  <si>
    <t>KCLunmb-38-53_ge(100)</t>
  </si>
  <si>
    <t>KCLunmb-38-53(100)</t>
  </si>
  <si>
    <t>MSBL9(100)</t>
  </si>
  <si>
    <t>Phycisphaerae(100)</t>
  </si>
  <si>
    <t>Planctomycetes(100)</t>
  </si>
  <si>
    <t>Otu0502</t>
  </si>
  <si>
    <t>Otu0501</t>
  </si>
  <si>
    <t>Fusicatenibacter(100)</t>
  </si>
  <si>
    <t>Otu0500</t>
  </si>
  <si>
    <t>Otu0499</t>
  </si>
  <si>
    <t>Otu0498</t>
  </si>
  <si>
    <t>Otu0497</t>
  </si>
  <si>
    <t>Otu0496</t>
  </si>
  <si>
    <t>Otu0495</t>
  </si>
  <si>
    <t>Otu0494</t>
  </si>
  <si>
    <t>Otu0493</t>
  </si>
  <si>
    <t>Anaerovorax(80)</t>
  </si>
  <si>
    <t>Otu0492</t>
  </si>
  <si>
    <t>Otu0491</t>
  </si>
  <si>
    <t>Otu0490</t>
  </si>
  <si>
    <t>Otu0489</t>
  </si>
  <si>
    <t>Otu0488</t>
  </si>
  <si>
    <t>Ralstonia(100)</t>
  </si>
  <si>
    <t>Otu0487</t>
  </si>
  <si>
    <t>Otu0486</t>
  </si>
  <si>
    <t>Otu0485</t>
  </si>
  <si>
    <t>Otu0484</t>
  </si>
  <si>
    <t>Otu0483</t>
  </si>
  <si>
    <t>Desulfitobacterium(100)</t>
  </si>
  <si>
    <t>Otu0482</t>
  </si>
  <si>
    <t>Otu0481</t>
  </si>
  <si>
    <t>Otu0480</t>
  </si>
  <si>
    <t>Otu0479</t>
  </si>
  <si>
    <t>Otu0478</t>
  </si>
  <si>
    <t>Lachnospiraceae_unclassified(100)</t>
  </si>
  <si>
    <t>Otu0477</t>
  </si>
  <si>
    <t>Otu0476</t>
  </si>
  <si>
    <t>Otu0475</t>
  </si>
  <si>
    <t>Otu0474</t>
  </si>
  <si>
    <t>Otu0473</t>
  </si>
  <si>
    <t>Otu0472</t>
  </si>
  <si>
    <t>Sphingobacterium(100)</t>
  </si>
  <si>
    <t>Otu0471</t>
  </si>
  <si>
    <t>Otu0470</t>
  </si>
  <si>
    <t>Otu0469</t>
  </si>
  <si>
    <t>Enterococcus(67)</t>
  </si>
  <si>
    <t>Enterococcaceae(100)</t>
  </si>
  <si>
    <t>Otu0468</t>
  </si>
  <si>
    <t>Otu0467</t>
  </si>
  <si>
    <t>Otu0466</t>
  </si>
  <si>
    <t>Otu0465</t>
  </si>
  <si>
    <t>Otu0464</t>
  </si>
  <si>
    <t>Otu0463</t>
  </si>
  <si>
    <t>Otu0462</t>
  </si>
  <si>
    <t>Otu0461</t>
  </si>
  <si>
    <t>Otu0460</t>
  </si>
  <si>
    <t>Sphingopyxis(100)</t>
  </si>
  <si>
    <t>Otu0459</t>
  </si>
  <si>
    <t>Otu0458</t>
  </si>
  <si>
    <t>Hyphomicrobium(100)</t>
  </si>
  <si>
    <t>Otu0457</t>
  </si>
  <si>
    <t>Chitinophaga(100)</t>
  </si>
  <si>
    <t>Otu0456</t>
  </si>
  <si>
    <t>Otu0455</t>
  </si>
  <si>
    <t>Otu0454</t>
  </si>
  <si>
    <t>uncultured(84)</t>
  </si>
  <si>
    <t>Otu0453</t>
  </si>
  <si>
    <t>Variovorax(100)</t>
  </si>
  <si>
    <t>Otu0452</t>
  </si>
  <si>
    <t>Otu0451</t>
  </si>
  <si>
    <t>Geobacter(84)</t>
  </si>
  <si>
    <t>Geobacteraceae(84)</t>
  </si>
  <si>
    <t>Otu0450</t>
  </si>
  <si>
    <t>Otu0449</t>
  </si>
  <si>
    <t>Otu0448</t>
  </si>
  <si>
    <t>Pseudochrobactrum(67)</t>
  </si>
  <si>
    <t>Rhizobiaceae(84)</t>
  </si>
  <si>
    <t>Otu0447</t>
  </si>
  <si>
    <t>Otu0446</t>
  </si>
  <si>
    <t>Otu0445</t>
  </si>
  <si>
    <t>Desulfuromonadales_unclassified(72)</t>
  </si>
  <si>
    <t>Otu0444</t>
  </si>
  <si>
    <t>Pseudomonadaceae_unclassified(86)</t>
  </si>
  <si>
    <t>Otu0443</t>
  </si>
  <si>
    <t>Pedobacter(100)</t>
  </si>
  <si>
    <t>Otu0442</t>
  </si>
  <si>
    <t>Otu0441</t>
  </si>
  <si>
    <t>Otu0440</t>
  </si>
  <si>
    <t>Otu0439</t>
  </si>
  <si>
    <t>Pleomorphomonadaceae_unclassified(86)</t>
  </si>
  <si>
    <t>Pleomorphomonadaceae(100)</t>
  </si>
  <si>
    <t>Otu0438</t>
  </si>
  <si>
    <t>uncultured(86)</t>
  </si>
  <si>
    <t>Otu0437</t>
  </si>
  <si>
    <t>Xanthobacter(86)</t>
  </si>
  <si>
    <t>Otu0436</t>
  </si>
  <si>
    <t>Geobacter(58)</t>
  </si>
  <si>
    <t>Geobacteraceae(58)</t>
  </si>
  <si>
    <t>Otu0435</t>
  </si>
  <si>
    <t>Otu0434</t>
  </si>
  <si>
    <t>Otu0433</t>
  </si>
  <si>
    <t>Otu0432</t>
  </si>
  <si>
    <t>Otu0431</t>
  </si>
  <si>
    <t>Betaproteobacteriales_unclassified(86)</t>
  </si>
  <si>
    <t>Otu0430</t>
  </si>
  <si>
    <t>Rhodocyclaceae_unclassified(58)</t>
  </si>
  <si>
    <t>Rhodocyclaceae(86)</t>
  </si>
  <si>
    <t>Otu0429</t>
  </si>
  <si>
    <t>Otu0428</t>
  </si>
  <si>
    <t>uncultured(58)</t>
  </si>
  <si>
    <t>Otu0427</t>
  </si>
  <si>
    <t>Otu0426</t>
  </si>
  <si>
    <t>Otu0425</t>
  </si>
  <si>
    <t>Otu0424</t>
  </si>
  <si>
    <t>Weeksellaceae_unclassified(86)</t>
  </si>
  <si>
    <t>Otu0423</t>
  </si>
  <si>
    <t>Trichococcus(100)</t>
  </si>
  <si>
    <t>Carnobacteriaceae(100)</t>
  </si>
  <si>
    <t>Otu0422</t>
  </si>
  <si>
    <t>Azoarcus(72)</t>
  </si>
  <si>
    <t>Otu0421</t>
  </si>
  <si>
    <t>Otu0420</t>
  </si>
  <si>
    <t>Otu0419</t>
  </si>
  <si>
    <t>Rhodocyclaceae_unclassified(86)</t>
  </si>
  <si>
    <t>Otu0418</t>
  </si>
  <si>
    <t>Otu0417</t>
  </si>
  <si>
    <t>Otu0416</t>
  </si>
  <si>
    <t>Mesorhizobium(72)</t>
  </si>
  <si>
    <t>Otu0415</t>
  </si>
  <si>
    <t>Legionella(100)</t>
  </si>
  <si>
    <t>Legionellaceae(100)</t>
  </si>
  <si>
    <t>Legionellales(100)</t>
  </si>
  <si>
    <t>Otu0414</t>
  </si>
  <si>
    <t>Propionibacteriaceae_unclassified(72)</t>
  </si>
  <si>
    <t>Otu0413</t>
  </si>
  <si>
    <t>Otu0412</t>
  </si>
  <si>
    <t>Rhodocyclaceae(75)</t>
  </si>
  <si>
    <t>Otu0411</t>
  </si>
  <si>
    <t>Intestinimonas(88)</t>
  </si>
  <si>
    <t>Otu0410</t>
  </si>
  <si>
    <t>Dechlorosoma(63)</t>
  </si>
  <si>
    <t>Otu0409</t>
  </si>
  <si>
    <t>Otu0408</t>
  </si>
  <si>
    <t>Oscillibacter(100)</t>
  </si>
  <si>
    <t>Otu0407</t>
  </si>
  <si>
    <t>Otu0406</t>
  </si>
  <si>
    <t>Otu0405</t>
  </si>
  <si>
    <t>Otu0404</t>
  </si>
  <si>
    <t>uncultured(88)</t>
  </si>
  <si>
    <t>Otu0403</t>
  </si>
  <si>
    <t>Otu0402</t>
  </si>
  <si>
    <t>Otu0401</t>
  </si>
  <si>
    <t>Dechlorosoma(88)</t>
  </si>
  <si>
    <t>Otu0400</t>
  </si>
  <si>
    <t>Otu0399</t>
  </si>
  <si>
    <t>Otu0398</t>
  </si>
  <si>
    <t>Otu0397</t>
  </si>
  <si>
    <t>Cohnella(100)</t>
  </si>
  <si>
    <t>Paenibacillaceae(100)</t>
  </si>
  <si>
    <t>Bacillales(100)</t>
  </si>
  <si>
    <t>Otu0396</t>
  </si>
  <si>
    <t>Otu0395</t>
  </si>
  <si>
    <t>Otu0394</t>
  </si>
  <si>
    <t>Otu0393</t>
  </si>
  <si>
    <t>Burkholderia-Caballeronia-Paraburkholderia(100)</t>
  </si>
  <si>
    <t>Otu0392</t>
  </si>
  <si>
    <t>Otu0391</t>
  </si>
  <si>
    <t>Otu0390</t>
  </si>
  <si>
    <t>Otu0389</t>
  </si>
  <si>
    <t>Methylobacillus(100)</t>
  </si>
  <si>
    <t>Methylophilaceae(100)</t>
  </si>
  <si>
    <t>Otu0388</t>
  </si>
  <si>
    <t>Otu0387</t>
  </si>
  <si>
    <t>Otu0386</t>
  </si>
  <si>
    <t>Otu0385</t>
  </si>
  <si>
    <t>Otu0384</t>
  </si>
  <si>
    <t>Otu0383</t>
  </si>
  <si>
    <t>Gordonia(88)</t>
  </si>
  <si>
    <t>Otu0382</t>
  </si>
  <si>
    <t>Otu0381</t>
  </si>
  <si>
    <t>Otu0380</t>
  </si>
  <si>
    <t>Otu0379</t>
  </si>
  <si>
    <t>Otu0378</t>
  </si>
  <si>
    <t>Otu0377</t>
  </si>
  <si>
    <t>Otu0376</t>
  </si>
  <si>
    <t>Otu0375</t>
  </si>
  <si>
    <t>Otu0374</t>
  </si>
  <si>
    <t>Otu0373</t>
  </si>
  <si>
    <t>Otu0372</t>
  </si>
  <si>
    <t>Proteiniborus(100)</t>
  </si>
  <si>
    <t>Otu0371</t>
  </si>
  <si>
    <t>Desulfarculaceae_unclassified(78)</t>
  </si>
  <si>
    <t>Desulfarculaceae(100)</t>
  </si>
  <si>
    <t>Desulfarculales(100)</t>
  </si>
  <si>
    <t>Otu0370</t>
  </si>
  <si>
    <t>Otu0369</t>
  </si>
  <si>
    <t>Otu0368</t>
  </si>
  <si>
    <t>Otu0367</t>
  </si>
  <si>
    <t>Otu0366</t>
  </si>
  <si>
    <t>Desulfuromonadales_unclassified(56)</t>
  </si>
  <si>
    <t>Otu0365</t>
  </si>
  <si>
    <t>Otu0364</t>
  </si>
  <si>
    <t>Runella(100)</t>
  </si>
  <si>
    <t>Spirosomaceae(100)</t>
  </si>
  <si>
    <t>Cytophagales(100)</t>
  </si>
  <si>
    <t>Otu0363</t>
  </si>
  <si>
    <t>Burkholderiaceae_unclassified(80)</t>
  </si>
  <si>
    <t>Otu0362</t>
  </si>
  <si>
    <t>Syntrophomonas(100)</t>
  </si>
  <si>
    <t>Syntrophomonadaceae(100)</t>
  </si>
  <si>
    <t>Otu0361</t>
  </si>
  <si>
    <t>Otu0360</t>
  </si>
  <si>
    <t>Otu0359</t>
  </si>
  <si>
    <t>Otu0358</t>
  </si>
  <si>
    <t>Otu0357</t>
  </si>
  <si>
    <t>Bacillus(100)</t>
  </si>
  <si>
    <t>Bacillaceae(100)</t>
  </si>
  <si>
    <t>Otu0356</t>
  </si>
  <si>
    <t>Otu0355</t>
  </si>
  <si>
    <t>Olsenella(100)</t>
  </si>
  <si>
    <t>Atopobiaceae(100)</t>
  </si>
  <si>
    <t>Otu0354</t>
  </si>
  <si>
    <t>Otu0353</t>
  </si>
  <si>
    <t>Otu0352</t>
  </si>
  <si>
    <t>Otu0351</t>
  </si>
  <si>
    <t>Otu0350</t>
  </si>
  <si>
    <t>Otu0349</t>
  </si>
  <si>
    <t>Actinomyces(91)</t>
  </si>
  <si>
    <t>Otu0348</t>
  </si>
  <si>
    <t>Xanthobacteraceae_unclassified(73)</t>
  </si>
  <si>
    <t>Otu0347</t>
  </si>
  <si>
    <t>Otu0346</t>
  </si>
  <si>
    <t>vadinHA49_ge(100)</t>
  </si>
  <si>
    <t>vadinHA49_fa(100)</t>
  </si>
  <si>
    <t>vadinHA49_or(100)</t>
  </si>
  <si>
    <t>vadinHA49(100)</t>
  </si>
  <si>
    <t>Otu0345</t>
  </si>
  <si>
    <t>Otu0344</t>
  </si>
  <si>
    <t>Dechlorosoma(91)</t>
  </si>
  <si>
    <t>Otu0343</t>
  </si>
  <si>
    <t>Otu0342</t>
  </si>
  <si>
    <t>Pigmentiphaga(100)</t>
  </si>
  <si>
    <t>Otu0341</t>
  </si>
  <si>
    <t>Otu0340</t>
  </si>
  <si>
    <t>Otu0339</t>
  </si>
  <si>
    <t>Otu0338</t>
  </si>
  <si>
    <t>Otu0337</t>
  </si>
  <si>
    <t>Otu0336</t>
  </si>
  <si>
    <t>Otu0335</t>
  </si>
  <si>
    <t>Anaerovorax(82)</t>
  </si>
  <si>
    <t>Otu0334</t>
  </si>
  <si>
    <t>Propionicicella(67)</t>
  </si>
  <si>
    <t>Otu0333</t>
  </si>
  <si>
    <t>Xanthobacter(84)</t>
  </si>
  <si>
    <t>Xanthobacteraceae(84)</t>
  </si>
  <si>
    <t>Otu0332</t>
  </si>
  <si>
    <t>Otu0331</t>
  </si>
  <si>
    <t>Pseudolabrys(100)</t>
  </si>
  <si>
    <t>Otu0330</t>
  </si>
  <si>
    <t>Sedimentibacter(59)</t>
  </si>
  <si>
    <t>Family_XI(59)</t>
  </si>
  <si>
    <t>Otu0329</t>
  </si>
  <si>
    <t>Otu0328</t>
  </si>
  <si>
    <t>Dechlorosoma(84)</t>
  </si>
  <si>
    <t>Otu0327</t>
  </si>
  <si>
    <t>Otu0326</t>
  </si>
  <si>
    <t>Otu0325</t>
  </si>
  <si>
    <t>Otu0324</t>
  </si>
  <si>
    <t>Rhizobiales_unclassified(93)</t>
  </si>
  <si>
    <t>Otu0323</t>
  </si>
  <si>
    <t>Burkholderiaceae_unclassified(93)</t>
  </si>
  <si>
    <t>Otu0322</t>
  </si>
  <si>
    <t>Otu0321</t>
  </si>
  <si>
    <t>Otu0320</t>
  </si>
  <si>
    <t>Otu0319</t>
  </si>
  <si>
    <t>Otu0318</t>
  </si>
  <si>
    <t>Otu0317</t>
  </si>
  <si>
    <t>Novosphingobium(93)</t>
  </si>
  <si>
    <t>Otu0316</t>
  </si>
  <si>
    <t>Otu0315</t>
  </si>
  <si>
    <t>Otu0314</t>
  </si>
  <si>
    <t>uncultured(79)</t>
  </si>
  <si>
    <t>Otu0313</t>
  </si>
  <si>
    <t>Otu0312</t>
  </si>
  <si>
    <t>Lentimicrobiaceae_unclassified(100)</t>
  </si>
  <si>
    <t>Otu0311</t>
  </si>
  <si>
    <t>Otu0310</t>
  </si>
  <si>
    <t>Pediococcus(100)</t>
  </si>
  <si>
    <t>Otu0309</t>
  </si>
  <si>
    <t>Xanthobacteraceae_unclassified(86)</t>
  </si>
  <si>
    <t>Otu0308</t>
  </si>
  <si>
    <t>Otu0307</t>
  </si>
  <si>
    <t>Faecalibacterium(100)</t>
  </si>
  <si>
    <t>Otu0306</t>
  </si>
  <si>
    <t>Taonella(100)</t>
  </si>
  <si>
    <t>Sneathiellaceae(100)</t>
  </si>
  <si>
    <t>Sneathiellales(100)</t>
  </si>
  <si>
    <t>Otu0305</t>
  </si>
  <si>
    <t>Otu0304</t>
  </si>
  <si>
    <t>Otu0303</t>
  </si>
  <si>
    <t>Azonexus(67)</t>
  </si>
  <si>
    <t>Otu0302</t>
  </si>
  <si>
    <t>Enterobacteriaceae_unclassified(54)</t>
  </si>
  <si>
    <t>Otu0301</t>
  </si>
  <si>
    <t>Otu0300</t>
  </si>
  <si>
    <t>Otu0299</t>
  </si>
  <si>
    <t>Otu0298</t>
  </si>
  <si>
    <t>Otu0297</t>
  </si>
  <si>
    <t>Geobacter(82)</t>
  </si>
  <si>
    <t>Geobacteraceae(88)</t>
  </si>
  <si>
    <t>Otu0296</t>
  </si>
  <si>
    <t>Ruminiclostridium_1(100)</t>
  </si>
  <si>
    <t>Otu0295</t>
  </si>
  <si>
    <t>Rhodobacteraceae_unclassified(100)</t>
  </si>
  <si>
    <t>Rhodobacteraceae(100)</t>
  </si>
  <si>
    <t>Rhodobacterales(100)</t>
  </si>
  <si>
    <t>Otu0294</t>
  </si>
  <si>
    <t>Otu0293</t>
  </si>
  <si>
    <t>Pseudolabrys(94)</t>
  </si>
  <si>
    <t>Otu0292</t>
  </si>
  <si>
    <t>Sedimentibacter(95)</t>
  </si>
  <si>
    <t>Family_XI(95)</t>
  </si>
  <si>
    <t>Otu0291</t>
  </si>
  <si>
    <t>Otu0290</t>
  </si>
  <si>
    <t>Tyzzerella(100)</t>
  </si>
  <si>
    <t>Otu0289</t>
  </si>
  <si>
    <t>Geobacter(77)</t>
  </si>
  <si>
    <t>Geobacteraceae(77)</t>
  </si>
  <si>
    <t>Otu0288</t>
  </si>
  <si>
    <t>Otu0287</t>
  </si>
  <si>
    <t>Hyphomicrobium(89)</t>
  </si>
  <si>
    <t>Otu0286</t>
  </si>
  <si>
    <t>Devosia(95)</t>
  </si>
  <si>
    <t>Devosiaceae(100)</t>
  </si>
  <si>
    <t>Otu0285</t>
  </si>
  <si>
    <t>Otu0284</t>
  </si>
  <si>
    <t>Otu0283</t>
  </si>
  <si>
    <t>Otu0282</t>
  </si>
  <si>
    <t>Corynebacteriaceae_unclassified(95)</t>
  </si>
  <si>
    <t>Corynebacteriaceae(95)</t>
  </si>
  <si>
    <t>Otu0281</t>
  </si>
  <si>
    <t>Otu0280</t>
  </si>
  <si>
    <t>Otu0279</t>
  </si>
  <si>
    <t>Otu0278</t>
  </si>
  <si>
    <t>Devosia(90)</t>
  </si>
  <si>
    <t>Otu0277</t>
  </si>
  <si>
    <t>Cloacibacillus(90)</t>
  </si>
  <si>
    <t>Otu0276</t>
  </si>
  <si>
    <t>Synergistaceae_unclassified(90)</t>
  </si>
  <si>
    <t>Otu0275</t>
  </si>
  <si>
    <t>Alishewanella(100)</t>
  </si>
  <si>
    <t>Alteromonadaceae(100)</t>
  </si>
  <si>
    <t>Otu0274</t>
  </si>
  <si>
    <t>Family_XIII_unclassified(90)</t>
  </si>
  <si>
    <t>Otu0273</t>
  </si>
  <si>
    <t>Catabacter(100)</t>
  </si>
  <si>
    <t>Otu0272</t>
  </si>
  <si>
    <t>Synergistaceae_unclassified(85)</t>
  </si>
  <si>
    <t>Otu0271</t>
  </si>
  <si>
    <t>Lachnoclostridium_5(95)</t>
  </si>
  <si>
    <t>Otu0270</t>
  </si>
  <si>
    <t>Dietzia(100)</t>
  </si>
  <si>
    <t>Dietziaceae(100)</t>
  </si>
  <si>
    <t>Otu0269</t>
  </si>
  <si>
    <t>Otu0268</t>
  </si>
  <si>
    <t>Otu0267</t>
  </si>
  <si>
    <t>Otu0266</t>
  </si>
  <si>
    <t>Camelimonas(100)</t>
  </si>
  <si>
    <t>Otu0265</t>
  </si>
  <si>
    <t>uncultured(96)</t>
  </si>
  <si>
    <t>Otu0264</t>
  </si>
  <si>
    <t>Otu0263</t>
  </si>
  <si>
    <t>Otu0262</t>
  </si>
  <si>
    <t>Caulobacter(100)</t>
  </si>
  <si>
    <t>Otu0261</t>
  </si>
  <si>
    <t>Otu0260</t>
  </si>
  <si>
    <t>Clostridia_unclassified(100)</t>
  </si>
  <si>
    <t>Otu0259</t>
  </si>
  <si>
    <t>Xanthobacter(81)</t>
  </si>
  <si>
    <t>Otu0258</t>
  </si>
  <si>
    <t>Otu0257</t>
  </si>
  <si>
    <t>Otu0256</t>
  </si>
  <si>
    <t>Microbacterium(64)</t>
  </si>
  <si>
    <t>Otu0255</t>
  </si>
  <si>
    <t>Propionicicella(82)</t>
  </si>
  <si>
    <t>Otu0254</t>
  </si>
  <si>
    <t>Ruminococcaceae_unclassified(55)</t>
  </si>
  <si>
    <t>Otu0253</t>
  </si>
  <si>
    <t>Acidovorax(96)</t>
  </si>
  <si>
    <t>Otu0252</t>
  </si>
  <si>
    <t>Otu0251</t>
  </si>
  <si>
    <t>Azospira(100)</t>
  </si>
  <si>
    <t>Otu0250</t>
  </si>
  <si>
    <t>Lysinibacillus(100)</t>
  </si>
  <si>
    <t>Planococcaceae(100)</t>
  </si>
  <si>
    <t>Otu0249</t>
  </si>
  <si>
    <t>Geobacter(71)</t>
  </si>
  <si>
    <t>Geobacteraceae(71)</t>
  </si>
  <si>
    <t>Otu0248</t>
  </si>
  <si>
    <t>Otu0247</t>
  </si>
  <si>
    <t>Otu0246</t>
  </si>
  <si>
    <t>Otu0245</t>
  </si>
  <si>
    <t>Victivallaceae_ge(100)</t>
  </si>
  <si>
    <t>Otu0244</t>
  </si>
  <si>
    <t>Otu0243</t>
  </si>
  <si>
    <t>Otu0242</t>
  </si>
  <si>
    <t>Otu0241</t>
  </si>
  <si>
    <t>Otu0240</t>
  </si>
  <si>
    <t>Otu0239</t>
  </si>
  <si>
    <t>Pedomicrobium(97)</t>
  </si>
  <si>
    <t>Otu0238</t>
  </si>
  <si>
    <t>Eoetvoesia(100)</t>
  </si>
  <si>
    <t>Otu0237</t>
  </si>
  <si>
    <t>uncultured(90)</t>
  </si>
  <si>
    <t>Otu0236</t>
  </si>
  <si>
    <t>Betaproteobacteriales_unclassified(77)</t>
  </si>
  <si>
    <t>Otu0235</t>
  </si>
  <si>
    <t>Otu0234</t>
  </si>
  <si>
    <t>Cloacibacillus(97)</t>
  </si>
  <si>
    <t>Otu0233</t>
  </si>
  <si>
    <t>Brevundimonas(100)</t>
  </si>
  <si>
    <t>Otu0232</t>
  </si>
  <si>
    <t>Otu0231</t>
  </si>
  <si>
    <t>Candidatus_Soleaferrea(100)</t>
  </si>
  <si>
    <t>Otu0230</t>
  </si>
  <si>
    <t>Terrimonas(94)</t>
  </si>
  <si>
    <t>Otu0229</t>
  </si>
  <si>
    <t>Otu0228</t>
  </si>
  <si>
    <t>Otu0227</t>
  </si>
  <si>
    <t>Otu0226</t>
  </si>
  <si>
    <t>Gracilibacter(100)</t>
  </si>
  <si>
    <t>Gracilibacteraceae(100)</t>
  </si>
  <si>
    <t>Otu0225</t>
  </si>
  <si>
    <t>Otu0224</t>
  </si>
  <si>
    <t>Desulfarculaceae_unclassified(100)</t>
  </si>
  <si>
    <t>Otu0223</t>
  </si>
  <si>
    <t>Otu0222</t>
  </si>
  <si>
    <t>Corynebacteriaceae_unclassified(63)</t>
  </si>
  <si>
    <t>Otu0221</t>
  </si>
  <si>
    <t>Otu0220</t>
  </si>
  <si>
    <t>Cloacibacillus(96)</t>
  </si>
  <si>
    <t>Otu0219</t>
  </si>
  <si>
    <t>Delftia(96)</t>
  </si>
  <si>
    <t>Otu0218</t>
  </si>
  <si>
    <t>Otu0217</t>
  </si>
  <si>
    <t>Otu0216</t>
  </si>
  <si>
    <t>Pseudomonas(96)</t>
  </si>
  <si>
    <t>Otu0215</t>
  </si>
  <si>
    <t>Otu0214</t>
  </si>
  <si>
    <t>Aquabacterium(94)</t>
  </si>
  <si>
    <t>Otu0213</t>
  </si>
  <si>
    <t>Rhizobiaceae_unclassified(96)</t>
  </si>
  <si>
    <t>Rhizobiaceae(98)</t>
  </si>
  <si>
    <t>Otu0212</t>
  </si>
  <si>
    <t>Otu0211</t>
  </si>
  <si>
    <t>Otu0210</t>
  </si>
  <si>
    <t>Otu0209</t>
  </si>
  <si>
    <t>Otu0208</t>
  </si>
  <si>
    <t>Clostridium_sensu_stricto_1(100)</t>
  </si>
  <si>
    <t>Clostridiaceae_1(100)</t>
  </si>
  <si>
    <t>Otu0207</t>
  </si>
  <si>
    <t>Erysipelothrix(100)</t>
  </si>
  <si>
    <t>Otu0206</t>
  </si>
  <si>
    <t>Otu0205</t>
  </si>
  <si>
    <t>Acetobacterium(100)</t>
  </si>
  <si>
    <t>Otu0204</t>
  </si>
  <si>
    <t>Otu0203</t>
  </si>
  <si>
    <t>Geobacter(66)</t>
  </si>
  <si>
    <t>Geobacteraceae(66)</t>
  </si>
  <si>
    <t>Otu0202</t>
  </si>
  <si>
    <t>Pseudaminobacter(88)</t>
  </si>
  <si>
    <t>Otu0201</t>
  </si>
  <si>
    <t>Otu0200</t>
  </si>
  <si>
    <t>Otu0199</t>
  </si>
  <si>
    <t>Propionicicella(100)</t>
  </si>
  <si>
    <t>Otu0198</t>
  </si>
  <si>
    <t>Otu0197</t>
  </si>
  <si>
    <t>Otu0196</t>
  </si>
  <si>
    <t>Otu0195</t>
  </si>
  <si>
    <t>Otu0194</t>
  </si>
  <si>
    <t>Halomonas(99)</t>
  </si>
  <si>
    <t>Halomonadaceae(100)</t>
  </si>
  <si>
    <t>Oceanospirillales(100)</t>
  </si>
  <si>
    <t>Otu0193</t>
  </si>
  <si>
    <t>Rhodococcus(100)</t>
  </si>
  <si>
    <t>Otu0192</t>
  </si>
  <si>
    <t>Otu0191</t>
  </si>
  <si>
    <t>Otu0190</t>
  </si>
  <si>
    <t>Acetanaerobacterium(100)</t>
  </si>
  <si>
    <t>Otu0189</t>
  </si>
  <si>
    <t>Otu0188</t>
  </si>
  <si>
    <t>Otu0187</t>
  </si>
  <si>
    <t>Propionicicella(99)</t>
  </si>
  <si>
    <t>Otu0186</t>
  </si>
  <si>
    <t>Christensenellaceae_R-7_group(60)</t>
  </si>
  <si>
    <t>Otu0185</t>
  </si>
  <si>
    <t>Otu0184</t>
  </si>
  <si>
    <t>Otu0183</t>
  </si>
  <si>
    <t>Geobacter(85)</t>
  </si>
  <si>
    <t>Geobacteraceae(86)</t>
  </si>
  <si>
    <t>Otu0182</t>
  </si>
  <si>
    <t>Otu0181</t>
  </si>
  <si>
    <t>Acidovorax(91)</t>
  </si>
  <si>
    <t>Otu0180</t>
  </si>
  <si>
    <t>Otu0179</t>
  </si>
  <si>
    <t>Otu0178</t>
  </si>
  <si>
    <t>Aquabacterium(100)</t>
  </si>
  <si>
    <t>Otu0177</t>
  </si>
  <si>
    <t>Pandoraea(100)</t>
  </si>
  <si>
    <t>Otu0176</t>
  </si>
  <si>
    <t>Otu0175</t>
  </si>
  <si>
    <t>Starkeya(97)</t>
  </si>
  <si>
    <t>Otu0174</t>
  </si>
  <si>
    <t>Otu0173</t>
  </si>
  <si>
    <t>Burkholderiaceae_unclassified(97)</t>
  </si>
  <si>
    <t>Otu0172</t>
  </si>
  <si>
    <t>Otu0171</t>
  </si>
  <si>
    <t>Ruminococcaceae_NK4A214_group(86)</t>
  </si>
  <si>
    <t>Otu0170</t>
  </si>
  <si>
    <t>Otu0169</t>
  </si>
  <si>
    <t>Otu0168</t>
  </si>
  <si>
    <t>Otu0167</t>
  </si>
  <si>
    <t>Otu0166</t>
  </si>
  <si>
    <t>Otu0165</t>
  </si>
  <si>
    <t>Devosia(94)</t>
  </si>
  <si>
    <t>Otu0164</t>
  </si>
  <si>
    <t>Brevundimonas(98)</t>
  </si>
  <si>
    <t>Otu0163</t>
  </si>
  <si>
    <t>Ruminococcaceae_UCG-010(99)</t>
  </si>
  <si>
    <t>Otu0162</t>
  </si>
  <si>
    <t>Otu0161</t>
  </si>
  <si>
    <t>Thermovirga(100)</t>
  </si>
  <si>
    <t>Otu0160</t>
  </si>
  <si>
    <t>Methylocystis(97)</t>
  </si>
  <si>
    <t>Otu0159</t>
  </si>
  <si>
    <t>Otu0158</t>
  </si>
  <si>
    <t>Rhodospirillaceae_unclassified(100)</t>
  </si>
  <si>
    <t>Rhodospirillaceae(100)</t>
  </si>
  <si>
    <t>Otu0157</t>
  </si>
  <si>
    <t>Delftia(97)</t>
  </si>
  <si>
    <t>Otu0156</t>
  </si>
  <si>
    <t>Otu0155</t>
  </si>
  <si>
    <t>Azoarcus(96)</t>
  </si>
  <si>
    <t>Otu0154</t>
  </si>
  <si>
    <t>Otu0153</t>
  </si>
  <si>
    <t>Candidatus_Riegeria(100)</t>
  </si>
  <si>
    <t>Otu0152</t>
  </si>
  <si>
    <t>Otu0151</t>
  </si>
  <si>
    <t>Otu0150</t>
  </si>
  <si>
    <t>Otu0149</t>
  </si>
  <si>
    <t>Ruminococcaceae_NK4A214_group(91)</t>
  </si>
  <si>
    <t>Otu0148</t>
  </si>
  <si>
    <t>Otu0147</t>
  </si>
  <si>
    <t>Intestinimonas(91)</t>
  </si>
  <si>
    <t>Otu0146</t>
  </si>
  <si>
    <t>JGI_0000069-P22_ge(100)</t>
  </si>
  <si>
    <t>JGI_0000069-P22_fa(100)</t>
  </si>
  <si>
    <t>JGI_0000069-P22(100)</t>
  </si>
  <si>
    <t>Gracilibacteria(100)</t>
  </si>
  <si>
    <t>Patescibacteria(100)</t>
  </si>
  <si>
    <t>Otu0145</t>
  </si>
  <si>
    <t>Castellaniella(100)</t>
  </si>
  <si>
    <t>Otu0144</t>
  </si>
  <si>
    <t>Otu0143</t>
  </si>
  <si>
    <t>Otu0142</t>
  </si>
  <si>
    <t>Desulfomonile(100)</t>
  </si>
  <si>
    <t>Otu0141</t>
  </si>
  <si>
    <t>Ruminiclostridium(100)</t>
  </si>
  <si>
    <t>Otu0140</t>
  </si>
  <si>
    <t>Otu0139</t>
  </si>
  <si>
    <t>Otu0138</t>
  </si>
  <si>
    <t>Alicycliphilus(96)</t>
  </si>
  <si>
    <t>Otu0137</t>
  </si>
  <si>
    <t>Otu0136</t>
  </si>
  <si>
    <t>Pleomorphomonas(99)</t>
  </si>
  <si>
    <t>Otu0135</t>
  </si>
  <si>
    <t>Otu0134</t>
  </si>
  <si>
    <t>Actinotalea(94)</t>
  </si>
  <si>
    <t>Cellulomonadaceae(95)</t>
  </si>
  <si>
    <t>Otu0133</t>
  </si>
  <si>
    <t>Otu0132</t>
  </si>
  <si>
    <t>Aminobacter(64)</t>
  </si>
  <si>
    <t>Rhizobiaceae(99)</t>
  </si>
  <si>
    <t>Otu0131</t>
  </si>
  <si>
    <t>Otu0130</t>
  </si>
  <si>
    <t>Otu0129</t>
  </si>
  <si>
    <t>Otu0128</t>
  </si>
  <si>
    <t>Otu0127</t>
  </si>
  <si>
    <t>Otu0126</t>
  </si>
  <si>
    <t>Alcaligenes(100)</t>
  </si>
  <si>
    <t>Otu0125</t>
  </si>
  <si>
    <t>Comamonas(97)</t>
  </si>
  <si>
    <t>Otu0124</t>
  </si>
  <si>
    <t>Otu0123</t>
  </si>
  <si>
    <t>Enterobacter(61)</t>
  </si>
  <si>
    <t>Otu0122</t>
  </si>
  <si>
    <t>Fluviicola(96)</t>
  </si>
  <si>
    <t>Otu0121</t>
  </si>
  <si>
    <t>Dechlorobacter(100)</t>
  </si>
  <si>
    <t>Otu0120</t>
  </si>
  <si>
    <t>Otu0119</t>
  </si>
  <si>
    <t>Otu0118</t>
  </si>
  <si>
    <t>Rhodopseudomonas(71)</t>
  </si>
  <si>
    <t>Otu0117</t>
  </si>
  <si>
    <t>Otu0116</t>
  </si>
  <si>
    <t>Otu0115</t>
  </si>
  <si>
    <t>Rhodocyclaceae_unclassified(98)</t>
  </si>
  <si>
    <t>Rhodocyclaceae(98)</t>
  </si>
  <si>
    <t>Otu0114</t>
  </si>
  <si>
    <t>Pedosphaeraceae_ge(100)</t>
  </si>
  <si>
    <t>Pedosphaeraceae(100)</t>
  </si>
  <si>
    <t>Pedosphaerales(100)</t>
  </si>
  <si>
    <t>Verrucomicrobiae(100)</t>
  </si>
  <si>
    <t>Verrucomicrobia(100)</t>
  </si>
  <si>
    <t>Otu0113</t>
  </si>
  <si>
    <t>Otu0112</t>
  </si>
  <si>
    <t>Otu0111</t>
  </si>
  <si>
    <t>Otu0110</t>
  </si>
  <si>
    <t>Otu0109</t>
  </si>
  <si>
    <t>Propionibacteriaceae_unclassified(82)</t>
  </si>
  <si>
    <t>Otu0108</t>
  </si>
  <si>
    <t>Otu0107</t>
  </si>
  <si>
    <t>Niabella(100)</t>
  </si>
  <si>
    <t>Otu0106</t>
  </si>
  <si>
    <t>Microbacterium(95)</t>
  </si>
  <si>
    <t>Otu0105</t>
  </si>
  <si>
    <t>Otu0104</t>
  </si>
  <si>
    <t>Otu0103</t>
  </si>
  <si>
    <t>Halomonas(100)</t>
  </si>
  <si>
    <t>Otu0102</t>
  </si>
  <si>
    <t>Otu0101</t>
  </si>
  <si>
    <t>Hyphomonas(100)</t>
  </si>
  <si>
    <t>Hyphomonadaceae(100)</t>
  </si>
  <si>
    <t>Otu0100</t>
  </si>
  <si>
    <t>Aquamicrobium(97)</t>
  </si>
  <si>
    <t>Otu0099</t>
  </si>
  <si>
    <t>Otu0098</t>
  </si>
  <si>
    <t>Otu0097</t>
  </si>
  <si>
    <t>Empedobacter(100)</t>
  </si>
  <si>
    <t>Otu0096</t>
  </si>
  <si>
    <t>Shinella(95)</t>
  </si>
  <si>
    <t>Otu0095</t>
  </si>
  <si>
    <t>Taibaiella(100)</t>
  </si>
  <si>
    <t>Otu0094</t>
  </si>
  <si>
    <t>Otu0093</t>
  </si>
  <si>
    <t>Otu0092</t>
  </si>
  <si>
    <t>Otu0091</t>
  </si>
  <si>
    <t>Barnesiellaceae(100)</t>
  </si>
  <si>
    <t>Otu0090</t>
  </si>
  <si>
    <t>Proteiniclasticum(100)</t>
  </si>
  <si>
    <t>Otu0089</t>
  </si>
  <si>
    <t>Otu0088</t>
  </si>
  <si>
    <t>Achromobacter(100)</t>
  </si>
  <si>
    <t>Otu0087</t>
  </si>
  <si>
    <t>Bosea(100)</t>
  </si>
  <si>
    <t>Otu0086</t>
  </si>
  <si>
    <t>Otu0085</t>
  </si>
  <si>
    <t>Otu0084</t>
  </si>
  <si>
    <t>Gordonia(100)</t>
  </si>
  <si>
    <t>Otu0083</t>
  </si>
  <si>
    <t>Otu0082</t>
  </si>
  <si>
    <t>Otu0081</t>
  </si>
  <si>
    <t>Otu0080</t>
  </si>
  <si>
    <t>Otu0079</t>
  </si>
  <si>
    <t>Otu0078</t>
  </si>
  <si>
    <t>Otu0077</t>
  </si>
  <si>
    <t>Telmatospirillum(100)</t>
  </si>
  <si>
    <t>Otu0076</t>
  </si>
  <si>
    <t>Otu0075</t>
  </si>
  <si>
    <t>Stenotrophomonas(99)</t>
  </si>
  <si>
    <t>Otu0074</t>
  </si>
  <si>
    <t>Otu0073</t>
  </si>
  <si>
    <t>Otu0072</t>
  </si>
  <si>
    <t>Otu0071</t>
  </si>
  <si>
    <t>Soehngenia(100)</t>
  </si>
  <si>
    <t>Otu0070</t>
  </si>
  <si>
    <t>Stappia(99)</t>
  </si>
  <si>
    <t>Otu0069</t>
  </si>
  <si>
    <t>Otu0068</t>
  </si>
  <si>
    <t>Rhizobiaceae_unclassified(99)</t>
  </si>
  <si>
    <t>Otu0067</t>
  </si>
  <si>
    <t>Otu0066</t>
  </si>
  <si>
    <t>Anaerovorax(99)</t>
  </si>
  <si>
    <t>Otu0065</t>
  </si>
  <si>
    <t>Otu0064</t>
  </si>
  <si>
    <t>Christensenellaceae_unclassified(99)</t>
  </si>
  <si>
    <t>Christensenellaceae(99)</t>
  </si>
  <si>
    <t>Otu0063</t>
  </si>
  <si>
    <t>Otu0062</t>
  </si>
  <si>
    <t>Otu0061</t>
  </si>
  <si>
    <t>Otu0060</t>
  </si>
  <si>
    <t>Otu0059</t>
  </si>
  <si>
    <t>Otu0058</t>
  </si>
  <si>
    <t>Geovibrio(100)</t>
  </si>
  <si>
    <t>Deferribacteraceae(100)</t>
  </si>
  <si>
    <t>Deferribacterales(100)</t>
  </si>
  <si>
    <t>Deferribacteres(100)</t>
  </si>
  <si>
    <t>Otu0057</t>
  </si>
  <si>
    <t>Otu0056</t>
  </si>
  <si>
    <t>Intestinimonas(87)</t>
  </si>
  <si>
    <t>Otu0055</t>
  </si>
  <si>
    <t>Otu0054</t>
  </si>
  <si>
    <t>Otu0053</t>
  </si>
  <si>
    <t>Otu0052</t>
  </si>
  <si>
    <t>Otu0051</t>
  </si>
  <si>
    <t>Otu0050</t>
  </si>
  <si>
    <t>Cellulomonas(100)</t>
  </si>
  <si>
    <t>Cellulomonadaceae(100)</t>
  </si>
  <si>
    <t>Otu0049</t>
  </si>
  <si>
    <t>Otu0048</t>
  </si>
  <si>
    <t>Otu0047</t>
  </si>
  <si>
    <t>Otu0046</t>
  </si>
  <si>
    <t>Otu0045</t>
  </si>
  <si>
    <t>Otu0044</t>
  </si>
  <si>
    <t>Otu0043</t>
  </si>
  <si>
    <t>Otu0042</t>
  </si>
  <si>
    <t>Otu0041</t>
  </si>
  <si>
    <t>Otu0040</t>
  </si>
  <si>
    <t>Leucobacter(97)</t>
  </si>
  <si>
    <t>Otu0039</t>
  </si>
  <si>
    <t>Pannonibacter(99)</t>
  </si>
  <si>
    <t>Otu0038</t>
  </si>
  <si>
    <t>Otu0037</t>
  </si>
  <si>
    <t>Otu0036</t>
  </si>
  <si>
    <t>Otu0035</t>
  </si>
  <si>
    <t>Otu0034</t>
  </si>
  <si>
    <t>Otu0033</t>
  </si>
  <si>
    <t>Otu0032</t>
  </si>
  <si>
    <t>Otu0031</t>
  </si>
  <si>
    <t>Otu0030</t>
  </si>
  <si>
    <t>Otu0029</t>
  </si>
  <si>
    <t>Otu0028</t>
  </si>
  <si>
    <t>Otu0027</t>
  </si>
  <si>
    <t>Otu0026</t>
  </si>
  <si>
    <t>Otu0025</t>
  </si>
  <si>
    <t>Comamonas(93)</t>
  </si>
  <si>
    <t>Otu0024</t>
  </si>
  <si>
    <t>Otu0023</t>
  </si>
  <si>
    <t>Otu0022</t>
  </si>
  <si>
    <t>Otu0021</t>
  </si>
  <si>
    <t>Otu0020</t>
  </si>
  <si>
    <t>Otu0019</t>
  </si>
  <si>
    <t>Otu0018</t>
  </si>
  <si>
    <t>Otu0017</t>
  </si>
  <si>
    <t>Otu0016</t>
  </si>
  <si>
    <t>Otu0015</t>
  </si>
  <si>
    <t>Otu0014</t>
  </si>
  <si>
    <t>Otu0013</t>
  </si>
  <si>
    <t>Corynebacterium_1(100)</t>
  </si>
  <si>
    <t>Otu0012</t>
  </si>
  <si>
    <t>Hydrogenophaga(99)</t>
  </si>
  <si>
    <t>Otu0011</t>
  </si>
  <si>
    <t>Otu0010</t>
  </si>
  <si>
    <t>Otu0009</t>
  </si>
  <si>
    <t>Otu0008</t>
  </si>
  <si>
    <t>Otu0007</t>
  </si>
  <si>
    <t>Otu0006</t>
  </si>
  <si>
    <t>Otu0005</t>
  </si>
  <si>
    <t>Otu0004</t>
  </si>
  <si>
    <t>Otu0003</t>
  </si>
  <si>
    <t>Otu0002</t>
  </si>
  <si>
    <t>Otu0001</t>
  </si>
  <si>
    <t>G-GG-GAA-TA-TT-GG-G-C---AA-T-G-G--GG--GA-A--A--C-C-C-T-G-A-C-C-CA--GC-G--A-C-GCC-G-C-G-T-G-G-G--T--GA------A-G--A-A--A-T-CC-----TT-CG---G-G-A---T-G-T--A---AA-G-C-CC-----------------TG-TT-G-T--A-TGG----G--A-A--G---AGC---------------------------------------------------------G-----------------G-----------------------------A-A-G-A-C-G-----G-T---A-C-CA--------T-A-C-G---------A-G----G--AA---GC-C--CC-G--G-C-AAA---C--T-A-C-G-T---G-C-CA-G-C--A--G-C--CG---C-----------GG--TA-AT--AC--GT-AG-GGG--GCA-A-G-C-G-T-T--GT-C-CGG-AA--TT-A--C-T--GG-GC--GT-A--AA-GC-GC-AC--G-CA-G-G-C-T-G--A-AT-T-A-T---AA----G-T-C-G-G-T-A-G--TC--A-AA-GG--C-G-GA-G-G--------CT-C-AA------C-C-T-C-T-G-T--A-T----A-T--C-T---A--T----C--GA-T-A---C--T-G-T--AA--A-T-C--T-G-G-A-G-T--A-T-GT------GA-G-A------G-G-G-A---AG-C---GG-A--ATT-----C-C-C-G-GT--GT-A-G-CG-GT--G-------A-A-ATGC-GT-AG--ATA-TC--G-GG-A-G-G-A-AC-A-CC-AGT---G--GC-GAA-G--G-C----G-G--C-T-T-C--CTG-G--CA-C-A--A-T-A-C-T-GA--CGCTCA-TGT-G-CG-AAAGCT-AGGG-C-AGC-GAACG</t>
  </si>
  <si>
    <t>uncultured</t>
  </si>
  <si>
    <t>Synergistaceae</t>
  </si>
  <si>
    <t>G-GG-GAA-TA-TT-GG-G-C---AA-T-G-G--GG--GC-A--A--C-C-C-T-G-A-C-C-CA--GC-G--A-C-GCC-G-C-G-T-G-A-G--G--GA------A-G--A-A--G-G-CC-----TT-CG---G-G-T---C-G-T--A---AA-C-C-TC-----------------TT-TT-G-T--A-CGG----G--A-A--G---AA-----------------------------------G---------------------AA-----------------G-----------------------------A-T-G-A-C-G-----G-T---A-C-CG--------T-A-C-G---------A-A----G--AA---GT-C--CC-G--G-C-TAA---C--T-A-C-G-T---G-C-CA-G-C--A--G-C--CG---C-----------GG--TA-AT--AC--GT-AG-GGG--ACG-A-G-C-G-T-T--GT-C-CGG-AA--TT-A--C-T--GG-GC--GT-A--AA-GG-GC-GC--G-CA-G-G-C-T-G--C-GC-G-T-C---GA----G-T-C-G-G-C-T-G--TC--A-AA-GA--T-C-CG-G-G--------CT-T-AA------C-C-C-G-G-T-G--A------A-G--C-G---G--T----C--GA-G-A---C--C-G-A--CG--A-G-C--T-G-G-A-G-T--G-C-TG------CA-G-A------G-G-C-A---AG-T---GG-A--ATT-----C-C-C-G-GT--GT-A-G-CG-GT--G-------A-A-ATGC-GT-AG--ATA-TC--G-GG-A-A-G-A-AC-A-CC-GGT---G--GC-GAA-G--G-C----G-A--C-T-T-G--CTG-G--GC-A-G--C-A-A-C-T-GA--CGCTGA-GGC-G-CG-AAAGCC-AGGG-G-AGC-GAACG</t>
  </si>
  <si>
    <t>Syner-01</t>
  </si>
  <si>
    <t>G-GG-GAA-TA-TT-GG-G-C---AA-T-G-G--GG--GA-A--A--C-C-C-T-G-A-C-C-CA--GC-G--A-C-GCC-G-C-G-T-G-A-G--T--GA------A-G--A-A--A-T-CC-----CT-CG---G-G-A---T-G-T--A---AA-A-C-TC-----------------TG-TT-G-T--G-TGG----G--A-A--G---A-----------------------------------------------------------T-----------------A-----------------------------A-T-G-A-C-G-----G-T---A-C-CA--------C-A-C-G---------A-G----G--AA---GC-C--CC-G--G-C-AAA---C--T-A-C-G-T---G-C-CA-G-C--A--G-C--CG---C-----------GG--TA-AT--AC--GT-AG-GGG--GCG-A-G-C-G-T-T--GT-T-CGG-AA--TT-A--C-T--GG-GC--GT-A--AA-GC-GC-AC--G-CA-G-G-C-G-G--A-CC-A-G-T---AA----G-T-C-T-G-T-C-G--TC--A-AA-GG--C-G-GA-G-G--------CT-C-AA------C-C-T-T-C-G-T--T-C----C-A--C-G---A--T----A--GA-T-A---C--T-G-C--GG--G-T-C--T-A-G-A-G-T--A-T-GT------GA-G-A------G-G-G-A---AG-T---GG-A--ATT-----C-C-C-G-GT--GT-A-G-CG-GT--G-------A-A-ATGC-GT-AG--ATA-TC--G-GG-A-G-G-A-AC-A-CC-AGT---G--GC-GAA-G--G-C----G-G--C-T-T-C--CTG-G--CA-C-A--C-A-A-C-T-GA--CGCTCA-TGT-G-CG-AAAGCC-AGGG-C-AGC-GAACG</t>
  </si>
  <si>
    <t>Cloacibacillus</t>
  </si>
  <si>
    <t>T-AA-GAA-TC-TT-CC-G-C---AA-T-G-G--GC--GA-A--A--G-C-C-T-G-A-C-G-GA--GC-G--A-C-GCC-G-C-G-T-G-A-A--C--GA------A-G--A-A--G-G-CC-----GT-GA---G-G-T---T-G-T--A---AA-G-T-TC-----------------TT-TT-C-G--G-GAG----G--G-G--G---AA-CAAC-C---G-T-G--G-C--A---------G--G---------------------GA-------------A--------T--------GG---C-CGC-G-GG-A-T-G-A-C-G-----T-G---A-A-TC--------C-C-G-G---------A-A----T--AA---GC-C--CC-G--G-C-TAA---C--T-A-C-G-T---G-C-CA-G-C--A--G-C--CG---C-----------GG--TA-AC--AC--GT-AG-GGG--GCG-A-G-C-G-T-T--GT-T-CGG-AA--TC-A--T-T--GG-GC--GT-A--AA-GG-GC-GA--G-CA-G-G-C-G-G--T-CC-T-G-C---AA----G-T-C-C-G-G-C-G--TG--A-AA-GA--C-C-CC-G-G--------CC-C-AA------C-C-G-G-G-G-G--G-A----C-G--C-G---C--T----G--GA-A-A---C--T-G-C--GG--G-G-C--T-T-G-A-G-T--A-C-AG------GA-G-G------G-G-A-T---GC-C---GG-A--ATT-----C-C-A-G-GT--GT-A-G-GG-GT--G-------A-A-ATCT-GT-AG--ATA-TC--T-GG-A-A-G-A-AC-A-CC--AA-T-G--GC-GAA-G--G-C----A-G--G-C-A-T--CTG-G--CC-A-T--G-T-A-C-T-GA--CGCTGA-GAC-G-CG-AAGGTG-CGGG-G-AGC-AAACA</t>
  </si>
  <si>
    <t>Sphaerochaeta</t>
  </si>
  <si>
    <t>Spirochaetaceae</t>
  </si>
  <si>
    <t>G-GG-GAA-TA-TT-GG-A-C---AA-T-G-G--GC--GC-A--A--G-C-C-T-G-A-T-C-CA--GC-C--A-T-GCC-G-C-G-T-G-A-G--T--GA------T-G--A-A--G-G-CC-----TT-AG---G-G-T---T-G-T--A---AA-G-C-TC-----------------TT-TC-G-C--C-GGT----G--A-A--G---A------------------------------------T---------------------AA-------------------------------------------------T-G-A-C-G-----G-T---A-A-CC--------G-G-A-G---------A-A----G--AA---GC-C--CC-G--G-C-TAA---C--T-T-C-G-T---G-C-CA-G-C--A--G-C--CG---C-----------GG--TA-AT--AC--GA-AG-GGG--GCT-A-G-C-G-T-T--GC-T-CGG-AA--TC-A--C-T--GG-GC--GT-A--AA-GC-GC-AC--G-TA-G-G-C-G-G--A-TC-G-T-T---AA----G-T-C-A-G-G-G-G--TG--A-AA-TC--C-T-GG-G-G--------CT-C-AA------C-C-T-C-A-G-A--A-C----T-G--C-C---C--T----T--GA-T-A---C--T-G-G--CG--A-T-C--T-C-G-A-G-T--T-C-GA------GA-G-A------G-G-T-T---GG-T---GG-A--ACT-----C-C-G-A-GT--GT-A-G-AG-GT--G-------A-A-ATTC-GT-AG--ATA-TT--C-GG-A-A-G-A-AC-A-CC--AG-T-G--GC-GAA-G--G-C----G-G--C-C-A-A--CTG-G--CT-C-G--A-T-A-C-T-GA--CGCTGA-GGT-G-CG-AAAGCG-TGGG-G-AGC-AAACA</t>
  </si>
  <si>
    <t>Xanthobacter</t>
  </si>
  <si>
    <t>Xanthobacteraceae</t>
  </si>
  <si>
    <t>G-GG-GAA-TT-TT-GG-A-C---AA-T-G-G--GC--GC-A--A--G-C-C-T-G-A-T-C-CA--GC-C--A-T-GCC-G-C-G-T-G-A-G--T--GA------A-G--A-A--G-G-CC-----TT-CG---G-G-T---T-G-T--A---AA-G-C-TC-----------------TT-TC-G-G--C-TGG----G--A-A--G---AA--ATC-G---C-A-C--T-C--T---------C--T---------------------AA-------------T---A----C--------GG---G-GTG-T-GG-A-T-G-A-C-G-----G-T---A-C-CA--------G-C-A-T---------A-A----G--AA---GC-A--CC-G--G-C-TAA---C--T-A-C-G-T---G-C-CA-G-C--A--G-C--CG---C-----------GG--TA-AT--AC--GT-AG-GGT--GCG-A-G-C-G-T-T--AT-T-CGG-AA--TT-A--C-T--GG-GC--GT-A--AA-GC-GT-GC--G-CA-G-G-C-G-G--T-TG-T-G-T---AA----G-A-C-A-G-A-C-G--TG--A-AA-TC--C-C-CG-G-G--------CT-C-AA------C-C-T-G-G-G-A--A-C----T-G--C-G---T--T----T--GT-G-A---C--T-G-C--AC--G-G-C--T-A-G-A-G-T--A-C-GG------CA-G-A------G-G-G-G---GG-T---GG-A--ATT-----C-C-A-C-GT--GT-A-G-CA-GT--G-------A-A-ATGC-GT-AG--AGA-TG--T-GG-A-G-G-A-AC-A-CC--GA-T-G--GC-GAA-G--G-C----A-G--C-C-C-C--CTG-G--GC-C-A--G-T-A-C-T-GA--CGCTCA-TGC-A-CG-AAAGCG-TGGG-G-AGC-AAACA</t>
  </si>
  <si>
    <t>Dechlorosoma</t>
  </si>
  <si>
    <t>Rhodocyclaceae</t>
  </si>
  <si>
    <t>G-GG-GAA-TT-TT-GG-A-C---AA-T-G-G--GG--GC-A--A--C-C-C-T-G-A-T-C-CA--GC-C--A-T-GCC-G-C-G-T-G-A-G--T--GA------A-G--A-A--G-G-CC-----TT-CG---G-G-T---T-G-T--A---AA-G-C-TC-----------------TT-TC-G-G--C-CGG----G--A-A--G---AA--ATC-G---T-G-C--A-G--G---------C--T---------------------AA-------------T---A----C--------CC---T-GTA-T-GG-A-T-G-A-C-G-----G-T---A-C-CG--------G-A-A-T---------A-A----G--AA---GC-A--CC-G--G-C-TAA---C--T-A-C-G-T---G-C-CA-G-C--A--G-C--CG---C-----------GG--TA-AT--AC--GT-AG-GGT--GCG-A-G-C-G-T-T--AA-T-CGG-AA--TT-A--C-T--GG-GC--GT-A--AA-GC-GT-GC--G-CA-G-G-C-G-G--T-TT-T-G-T---AA----G-A-C-A-G-G-C-G--TG--A-AA-TC--C-C-CG-G-G--------CT-C-AA------C-C-T-G-G-G-A--A-C----T-G--C-G---C--T----T--GT-G-A---C--T-G-C--AA--G-A-C--T-A-G-A-G-T--A-C-GG------CA-G-A------G-G-G-G---GG-T---GG-A--ATT-----C-C-A-C-GT--GT-A-G-CA-GT--G-------A-A-ATGC-GT-AG--AGA-TG--T-GG-A-G-G-A-AC-A-CC--AA-T-G--GC-GAA-G--G-C----A-G--C-C-C-C--CTG-G--GT-C-G--A-T-A-C-T-GA--CGCTCA-TGC-A-CG-AAAGCG-TGGG-G-AGC-AAACA</t>
  </si>
  <si>
    <t>Azovibrio</t>
  </si>
  <si>
    <t>G-AG-GAA-TA-TT-GG-A-C---AA-T-G-G--GG--GA-A--A--C-C-C-T-G-A-T-C-CA--GC-A--A-T-GCC-G-C-G-T-G-A-G--T--GA------T-G--A-A--G-G-CC-----TT-CG---G-G-T---T-G-T--A---AA-G-C-TC-----------------TT-TT-A-T--C-AGG----G--A-A--G---A------------------------------------T---------------------AA-------------------------------------------------T-G-A-C-G-----G-T---A-C-CT--------G-A-T-G---------A-A----T--AA---GC-T--CC-G--G-C-TAA---C--T-T-C-G-T---G-C-CA-G-C--A--G-C--CG---C-----------GG--TA-AT--AC--GA-AG-GGA--GCT-A-G-C-G-T-T--GT-T-CGG-AA--TT-A--C-T--GG-GC--GT-A--AA-GG-GT-GC--G-TA-G-G-C-G-G--C-TT-C-G-T---AA----G-T-T-T-G-G-T-G--TG--A-AA-GA--C-C-TG-G-G--------CT-T-AA------C-C-T-G-G-G-A--A-T----T-G--C-A---T--C----A--AA-A-A---C--T-G-C--GT--T-G-C--T-T-G-A-G-A--A-C-GA------GA-G-A------G-G-A-A---AA-C---GG-A--ATT-----G-C-G-A-GT--GT-A-G-AG-GT--G-------G-A-ATTC-GT-AG--ATA-TT--C-GC-A-A-G-A-AC-A-CC--AA-T-G--GC-GAA-G--G-C----A-G--T-T-T-T--CTG-G--CT-C-GA-T-A-T-C-T-GA--CGCTGA-GGC-A-CG-AAAGCG-TGGG-G-AGC-AAACA</t>
  </si>
  <si>
    <t>Paracaedibacteraceae</t>
  </si>
  <si>
    <t>G-GG-GAA-TA-TT-GG-A-C---AA-T-G-G--GG--GG-A--A--C-C-C-T-G-A-T-C-CA--GC-C--A-T-GCC-G-C-G-T-G-T-G--T--GA------A-G--A-A--G-G-CC-----TT-AT---G-G-T---T-G-T--A---AA-G-C-AC-----------------TT-TA-A-G--C-GAG----G--A-G--G---AG--GCT-A---C-T-A--G-T--A---------T--T---------------------AA-------------T---A----C--------TA---C-TGGAT-AG-T-G-G-A-C-G-----T-T---A-C-TC--------G-C-A-G---------A-A----T--AA---GC-A--CC-G--G-C-TAA---C--T-C-T-G-T---G-C-CA-G-C--A--G-C--CG---C-----------GG--TA-AT--AC--AG-AG-GGT--GCG-A-G-C-G-T-T--AA-T-CGG-AT--TT-A--C-T--GG-GC--GT-A--AA-GC-GT-GC--G-TA-G-G-C-G-G--C-CA-T-T-T---AA----G-T-C-A-A-A-T-G--TG--A-AA-TC--C-C-CG-A-G--------CT-T-AA------C-T-T-G-G-G-A--A-T----T-G--C-A---T--T----C--GA-T-A---C--T-G-G--AT--G-G-C--T-A-G-A-G-T--A-T-GG------GA-G-A------G-G-A-T---GG-T---AG-A--ATT-----C-C-A-G-GT--GT-A-G-CG-GT--G-------A-A-ATGC-GT-AG--AGA-TC--T-GG-A-G-G-A-AT-A-CC--GA-T-G--GC-GAA-G--G-C----A-G--C-C-A-T--CTG-G--CC-T-A--A-T-A-C-T-GA--CGCTGA-GGT-A-CG-AAAGCA-TGGG-G-AGC-AAACA</t>
  </si>
  <si>
    <t>Acinetobacter</t>
  </si>
  <si>
    <t>Moraxellaceae</t>
  </si>
  <si>
    <t>G-GG-GAA-TA-TT-GG-A-C---AA-T-G-G--GG--GG-A--A--C-C-C-T-G-A-T-C-CA--GC-C--A-T-G-CCG-C-G-T-G-T-G--T--GA------A-G--A-A--G-G-CC-----TT-AT---G-G-T---T-G-T--A---AA-G-C-AC-----------------TT-TA-A-G--C-GAG----G--A-G--G---AG--GCT-C---T-T-C--T-A--G---------T--T---------------------AA-------------T---A----C---------C---T-AGGATGAG-T-G-G-A-C-G-----T-T---A-C-TC--------G-C-A-G---------A-A----T--AA---GC-A--CC-G--G-C-TAA---C--T-C-T-G-T---G-C-CA-G-C--A--G-C--CG---C-----------GG--TA-AT--AC--AG-AG-GGT--GCG-A-G-C-G-T-T--AA-T-CGG-AT--TT-A--C-T--GG-GC--GT-A--AA-GC-GT-GC--G-TAGG---C-G-G--C-TT-T-T-T---AA----G-T-C-G-G-A-T-G--TG--A-AA-TC--C-C-CG-A-G--------CT-T-AA------C-T-T-G-G-G-A--A-T----T-G--C-A---T--T----C--GA-T-A---C--T-G-G--GA--A-G-C--T-A-G-A-G-T--A-T-GG------GA-G-A------G-G-A-T---GG-T---AG-A--ATT-----C-C-A-G-GT--GT-A-G-CG-GT--G-------A-A-ATGC-GT-AG--AGA-TC--T-GG-A-G-G-A-AT-A-CC--GA-T-G--GC-GAA-G--G-C----A-G--C-C-A-T--CTG-G--CC-T-A--A-T-A-C-T-GA--CGCTGA-GGT-A-CG-AAAGCA-TGGG-G-AGC-AAACA</t>
  </si>
  <si>
    <t>G-GG-GAA-TT-TT-GC-G-C---AA-T-G-G--GG--GA-A--A--C-C-C-T-G-A-C-G-CA--GC-A--A-C-GCC-G-C-G-T-G-G-G--T--GA------T-G--A-A--G-G-CC-----TT-CG---G-G-T---C-G-T--A---AA-G-C-TC-----------------TG-TC-T-G--G-AGG----G--A-A--G---AA-ATGA-T---T-G-G--G-A--G---------C--T---------------------AA-------------T---A----C--------CT---C-TTG-A-TC-T-T-G-A-C-G-----G-T---A-C-CT--------C-T-G-A---------A-G----G--AA---GC-A--CC-G--G-C-TAA---C--T-C-C-G-T---G-C-CA-G-C--A--G-C--CG---C-----------GG--TA-AT--AC--GG-AG-GGT--GCA-A-G-C-G-T-T--GT-T-CGG-AA--TT-A--T-T--GG-GC--GT-A--AA-GC-GC-GT--G-TA-G-G-C-G-G--T-CT-T-T-T---AA----G-T-C-T-G-A-T-G--TG--A-AA-GC--C-C-CG-G-G--------CT-C-AA------C-C-T-G-G-G-A--A-G----T-G--C-A---T--T----G--GA-A-A---C--T-G-G--GA--G-G-C--T-T-G-A-G-T--A-C-GG------GA-G-A------G-G-A-G---AG-T---GG-A--ATT-----C-C-T-A-GT--GT-A-G-GA-GT--G-------A-A-ATCC-GT-AG--ATA-TT--A-GG-A-G-G-A-AC-A-CC-GGT---G--GC-GAA-G--G-C----G-G--C-T-C-T--CTG-G--AC-C-G--A-T-A-C-T-GA--CGCTGA-GAC-G-CG-AAAGCG-TGGG-T-AGC-AAACA</t>
  </si>
  <si>
    <t>Geobacter</t>
  </si>
  <si>
    <t>Geobacteraceae</t>
  </si>
  <si>
    <t>G-GG-GAA-TA-TT-GC-G-C---AA-T-G-G--GC--GA-A--A--G-C-C-T-G-A-C-G-CA--GC-G--A-C-GCC-G-C-G-T-G-A-G--G--GA------T-G--A-A--G-G-TT-----TT-CG---G-A-T---C-G-T--A---AA-C-C-TC-----------------TG-TC-A-G--A-AGG----G--A-A--G---AA-ACCG-C---A-C-C--G-T--G---------C--T---------------------AA-------------T---C-------------AG---C-GGT-G-CC-T-T-G-A-C-G-----G-T---A-C-CT--------T-C-A-A---------A-G----G--AA---GC-A--CC-G--G-C-TAA---C--T-C-C-G-T---G-C-CA-G-C--A--G-C--CG---C-----------GG--TA-AT--AC--GG-AG-GGT--GCA-A-G-C-G-T-T--AA-T-CGG-AA--TT-A--C-T--GG-GC--GT-A--AA-GC-GC-AC--G-TA-G-G-C-T-G--C-TT-T-G-T---AA----G-T-C-A-G-G-G-G--TG--A-AA-TC--C-C-AC-G-G--------CT-C-AA------C-C-G-T-G-G-A--A-C----T-G--C-C---T--T----T--GA-T-A---C--T-G-C--TT--A-G-C--T-T-G-A-A-T--C-C-GG------GA-G-A------G-G-G-T---GG-C---GG-A--ATT-----C-C-A-G-GT--GT-A-G-GA-GT--G-------A-A-ATCC-GT-AG--ATA-TC--T-GG-A-G-G-A-AC-A-TC-AGT---G--GC-GAA-G--G-C----G-G--C-C-A-C--CTG-G--AC-C-G--G-T-A-T-T-GA--CGCTGA-GGT-G-CG-AAAGCG-TGGG-G-AGC-AAACA</t>
  </si>
  <si>
    <t>Desulfovibrio</t>
  </si>
  <si>
    <t>Desulfovibrionaceae</t>
  </si>
  <si>
    <t>G-GG-GAA-TT-TT-GG-A-C---AA-T-G-G--GC--GC-A--A--G-C-C-T-G-A-T-C-CA--GC-A--A-T-GCC-G-C-G-T-G-C-A--G--GA------A-G--A-A--G-G-CC-----TT-CG---G-G-T---T-G-T--A---AA-C-T-GC-----------------TT-TT-G-T--A-CGG----A--A-C--G---AA--ACG-G---T-C-C--T-G--G---------T--T---------------------AA-------------T---A----C--------CT---G-GGG-C-TA-A-T-G-A-C-G-----G-T---A-C-CG--------T-A-A-G---------A-A----T--AA---GC-A--CC-G--G-C-TAA---C--T-A-C-G-T---G-C-CA-G-C--A--G-C--CG---C-----------GG--TA-AT--AC--GT-AG-GGT--GCG-A-G-C-G-T-T--AA-T-CGG-AA--TT-A--C-T--GG-GC--GT-A--AA-GC-GT-GC--G-CA-G-G-C-G-G--T-GC-T-G-T---AA----G-A-C-A-G-G-C-G--TG--A-AA-TC--C-C-CG-G-G--------CT-C-AA------C-C-T-G-G-G-A--A-T----T-G--C-G---C--T----T--GT-G-A---C--T-G-C--AG--T-G-C--T-G-G-A-G-T--A-C-GG------CA-G-A------G-G-G-G---GA-T---GG-A--ATT-----C-C-G-C-GT--GT-A-G-CA-GT--G-------A-A-ATGC-GT-AG--ATA-TG--C-GG-A-G-G-A-AC-A-CC--GA-T-G--GC-GAA-G--G-C----A-G--T-C-C-C--CTG-G--GC-C-T--G-T-A-C-T-GA--CGCTCA-TGC-A-CG-AAAGCG-TGGG-G-AGC-AAACA</t>
  </si>
  <si>
    <t>Hydrogenophaga</t>
  </si>
  <si>
    <t>Burkholderiaceae</t>
  </si>
  <si>
    <t>G-GG-GAA-TT-TT-GG-A-C---AA-T-G-G--GC--GC-A--A--G-C-C-T-G-A-T-C-CA--GC-A--A-T-GCC-G-C-G-T-G-C-A--G--GA------T-G--A-A--G-G-CC-----TT-CG---G-G-T---T-G-T--A---AA-C-T-GC-----------------TT-TT-G-T--A-CGG----A--A-C--G---AA--AAG-C---C-T-C--T-C--T---------C--T---------------------AA-------------T---A----C--------AG---G-GGG-G-TG-A-T-G-A-C-G-----G-T---A-C-CG--------T-A-A-G---------A-A----T--AA---GC-A--CC-G--G-C-TAA---C--T-A-C-G-T---G-C-CA-G-C--A--G-C--CG---C-----------GG--TA-AT--AC--GT-AG-GGT--GCA-A-G-C-G-T-T--AA-T-CGG-AA--TT-A--C-T--GG-GC--GT-A--AA-GC-GT-GC--G-CA-G-G-C-G-G--T-TT-T-G-T---AA----G-A-C-A-G-T-G-G--TG--A-AA-TC--C-C-CG-G-G--------CT-C-AA------C-C-T-G-G-G-A--A-C----T-G--C-C---A--T----T--GT-G-A---C--T-G-C--AA--G-G-C--T-G-G-A-G-T--G-C-GG------CA-G-A------G-G-G-G---GA-T---GG-A--ATT-----C-C-G-C-GT--GT-A-G-CA-GT--G-------A-A-ATGC-GT-AG--ATA-TG--C-GG-A-G-G-A-AC-A-CC-GAT---G--GC-GAA-G--G-C----A-A--T-C-C-C--CTG-G--GC-C-T--G-C-A-C-T-GA--CGCTCA-TGC-A-CG-AAAGCG-TGGG-G-AGC-AAACA</t>
  </si>
  <si>
    <t>Comamonas</t>
  </si>
  <si>
    <t>G-GG-GAA-TT-TT-GG-A-C---AA-T-G-G--GC--GA-A--A--G-C-C-T-G-A-T-C-CA--GC-A--A-T-GCC-G-C-G-T-G-C-A--G--GA------T-G--A-A--G-G-CC-----TT-CG---G-G-T---T-G-T--A---AA-C-T-GC-----------------TT-TT-G-T--A-CGG----A--A-C--G---AA--AAG-G---C-T-C--T-G--G---------C--T---------------------AA-------------T---A----C--------CT---G-GGG-C-AC-A-T-G-A-C-G-----G-T---A-C-CG--------T-A-A-G---------A-A----T--AA---GC-A--CC-G--G-C-TAA---C--T-A-C-G-T---G-C-CA-G-C--A--G-C--CG---C-----------GG--TA-AT--AC--GT-AG-GGT--GCG-A-G-C-G-T-T--AA-T-CGG-AA--TT-A--C-T--GG-GC--GT-A--AA-GC-GT-GC--G-CA-G-G-C-G-G--T-TT-T-G-T---AA----G-A-C-A-G-A-G-G--TG--A-AA-TC--C-C-CG-G-G--------CT-C-AA------C-C-T-G-G-G-A--A-C----T-G--C-C---T--T----T--GT-G-A---C--T-G-C--AA--A-G-C--T-G-G-A-G-T--G-C-GG------CA-G-A------G-G-G-G---GA-T---GG-A--ATT-----C-C-G-C-GT--GT-A-G-CA-GT--G-------A-A-ATGC-GT-AG--ATA-TG--C-GG-A-G-G-A-AC-A-CC--GA-T-G--GC-GAA-G--G-C----A-A--T-C-C-C--CTG-G--GC-C-T--G-C-A-C-T-GA--CGCTCA-TGC-A-CG-AAAGCG-TGGG-G-AGC-AAACA</t>
  </si>
  <si>
    <t>Burkholderiaceae_unclassified</t>
  </si>
  <si>
    <t>G-GG-GAA-TA-TT-GG-A-C---AA-T-G-G--GC--GC-A--A--G-C-C-T-G-A-T-C-CA--GC-A--A-T-GCC-G-C-G-T-G-A-G--T--GA------T-G--A-A--G-G-CC-----TT-AG---G-G-T---T-G-T--A---AA-G-C-TC-----------------TT-TC-G-C--A-CGC----G--A-C--G---A------------------------------------T---------------------GA-------------------------------------------------T-G-A-C-G-----G-T---A-G-CG--------T-G-A-G---------A-A----G--AA---GC-C--CC-G--G-C-TAA---C--T-T-C-G-T---G-C-CA-G-C--A--G-C--CG---C-----------GG--TA-AT--AC--GA-AG-GGG--GCT-A-G-C-G-T-T--GT-T-CGG-AA--TT-A--C-T--GG-GC--GT-A--AA-GG-GC-GC--G-TA-G-G-C-G-G--C-CT-G-T-T---TA----G-T-C-A-G-A-A-G--TG--A-AA-GC--C-C-CG-G-G--------CT-C-AA------C-C-T-G-G-G-A--A-T----A-G--C-T---T--T----T--GA-T-A---C--T-G-G--CA--G-G-C--T-T-G-A-G-T--T-C-CG------GA-G-A------G-G-A-T---GG-T---GG-A--ATT-----C-C-C-A-GT--GT-A-G-AG-GT--G-------A-A-ATTC-GT-AG--ATA-TT--G-GG-A-A-G-A-AC-A-CC-GGT---G--GC-GAA-G--G-C----G-G--C-C-A-T--CTG-G--AC-G-G--A-C-A-C-T-GA--CGCTGA-GGC-G-CG-AAAGCG-TGGG-G-AGC-AAACA</t>
  </si>
  <si>
    <t>Azospirillum</t>
  </si>
  <si>
    <t>Azospirillaceae</t>
  </si>
  <si>
    <t>G-GG-GAA-TA-TT-GC-A-C---AA-T-G-G--GG--GA-A--A--C-C-C-T-G-A-T-G-CA--GC-C--A-T-GCC-G-C-G-T-G-T-G--T--GA------A-G--A-A--G-G-CC-----TT-CG---G-G-T---T-G-T--A---AA-G-C-AC-----------------TT-TC-A-G--C-GAG----G--A-G--G---AA--AGG-T---C-A-G--T-A--G---------C--T---------------------AA-------------T---A----T--------CT---G-CTG-G-CT-G-T-G-A-C-G-----T-T---A-C-TC--------G-C-A-G---------A-A----G--AA---GC-A--CC-G--G-C-TAA---C--T-C-C-G-T---G-C-CA-G-C--A--G-C--CG---C-----------GG--TA-AT--AC--GG-AG-GGT--GCA-A-G-C-G-T-T--AA-T-CGG-AA--TT-A--C-T--GG-GC--GT-A--AA-GC-GC-AC--G-CA-G-G-C-G-G--T-TG-G-A-T---AA----G-T-T-A-G-A-T-G--TG--A-AA-GC--C-C-CG-G-G--------CT-C-AA------C-C-T-G-G-G-A--A-T----T-G--C-A---T--T----T--AA-A-A---C--T-G-T--CC--A-G-C--T-A-G-A-G-T--C-T-TG------TA-G-A------G-G-G-G---GG-T---AG-A--ATT-----C-C-A-G-GT--GT-A-G-CG-GT--G-------A-A-ATGC-GT-AG--AGA-TC--T-GG-A-G-G-A-AT-A-CC--GG-T-G--GC-GAA-G--G-C----G-G--C-C-C-C--CTG-G--AC-A-A--A-G-A-C-T-GA--CGCTCA-GGT-G-CG-AAAGCG-TGGG-G-AGC-AAACA</t>
  </si>
  <si>
    <t>Aeromonas</t>
  </si>
  <si>
    <t>Aeromonadaceae</t>
  </si>
  <si>
    <t>G-GG-GAA-TA-TT-GG-G-C---AA-T-G-G--GC--GA-A--A--G-C-C-T-G-A-C-C-CA--GC-A--A-C-GCC-G-C-G-T-G-A-A--G--GA------A-G--A-A--G-G-TT-----TT-CG---G-A-T---C-G-T--A---AA-C-T-TC-----------------TA-TC-C-T--T-GGT----G--A-A--G-------------------------------------A------------------------TA-----------------A----T----------------------------G-A-C-G-----G-T---A-G-CC--------A-A-G-A---------A-G----G--AA---GC-C--CC-G--G-C-TAA---C--T-A-C-G-T---G-C-CA-G-C--A--G-C--CG---C-----------GG--TA-AT--AC--GT-AG-GGG--GCA-A-G-C-G-T-T--GT-C-CGG-AA--TG-A--T-T--GG-GC--GT-A--AA-GG-GC-GC--G-TA-G-G-C-G-G--C-CC-G-G-T---AA----G-T-C-T-G-G-A-G--TG--A-AA-GT--C-C-TG-C-T--------TT-T-AA------G-G-T-G-G-G-A--A-T----T-G--C-T---T--T----G--GA-T-A---C--T-G-C--TG--G-G-C--T-T-G-A-G-T--G-C-AG------GA-G-A------G-G-T-A---AG-T---GG-A--ATT-----C-C-C-G-GT--GT-A-G-CG-GT--G-------A-A-ATGC-GT-AG--AGA-TC--G-GG-A-G-G-A-AC-A-CC--AG-T-G--GC-GAA-G--G-C----G-A--C-T-T-A--CTG-G--AC-T-G--T-A-A-C-T-GA--CGCTGA-GGC-G-CG-AAAGTG-TGGG-G-AGC-AAACA</t>
  </si>
  <si>
    <t>Christensenellaceae_R-7_group</t>
  </si>
  <si>
    <t>Christensenellaceae</t>
  </si>
  <si>
    <t>A-GG-GAA-TA-TT-GC-T-C---AA-T-G-G--GC--GA-A--A--G-C-C-T-G-A-A-G-CA--GC-A--A-C-GCC-G-C-G-T-G-G-A--G--GA------T-G--A-A--G-G-TC-----TT-CG---G-A-T---T-G-T--A---AA-C-T-CC-----------------TT-TT-C-T--A-AGA----G--A-A--G---A------------------------------------T---------------------TA-------------------------------------------------T-G-A-C-G-----G-T---A-T-CT--------T-A-G-G---------A-A----T--AA---GC-A--CC-G--G-C-TAA---C--T-C-C-G-T---G-C-CA-G-C--A--G-C--CG---C-----------GG--TA-AT--AC--GG-AG-GGT--GCA-A-G-C-G-T-T--AC-T-CGG-AA--TC-A--C-T--GG-GC--GT-A--AA-GA-GC-AC--G-TA-G-G-C-G-G--C-CT-T-G-C---AA----G-T-C-A-G-A-T-G--TG--A-AA-TC--C-A-AC-G-G--------CT-T-AA------C-C-G-T-T-G-A--A-C----T-G--C-A---T--T----T--GA-A-A---C--T-G-C--AA--G-G-C--T-A-G-A-G-T--A-T-GG------GA-G-A------G-G-T-A---GG-T---GG-A--ATT-----C-T-C-G-GT--GT-A-G-GG-GT--A-------A-A-ATCC-GT-AG--AGA-TC--G-AG-A-G-G-A-AT-A-CT--CA-T-T--GC-GAA-G--G-C----G-A--C-C-T-G--CTG-G--AA-C-A--T-T-A-C-T-GA--CGCTGA-GGT-G-CG-AAAGCG-TGGG-G-AGC-AAACA</t>
  </si>
  <si>
    <t>Wolinella</t>
  </si>
  <si>
    <t>Helicobacteraceae</t>
  </si>
  <si>
    <t>G-GG-GAA-TA-TT-GC-A-C---AA-T-G-G--AC--GA-A--A--G-T-C-T-G-A-T-G-CA--GC-A--A-C-GCC-G-C-G-T-G-G-A--G--GA------T-G--A-C--A-C-AT-----TT-CG---G-T-G---C-G-T--A---AA-C-T-CC-----------------TT-TT-A-T--A-TAG----G--A-A--G---A------------------------------------T---------------------AA-------------------------------------------------T-G-A-C-G-----G-T---A-C-TA--------T-A-T-G---------A-A----T--AA---GC-A--CC-G--G-C-TAA---C--T-C-C-G-T---G-C-CA-G-C--A--G-C--CG---C-----------GG--TA-AT--AC--GG-AG-GGT--GCA-A-G-C-G-T-T--AC-T-CGG-AA--TC-A--C-T--GG-GC--GT-A--AA-GA-GC-GT--G-TA-G-G-C-G-G--G-TA-T-A-T---AA----G-T-C-A-G-A-A-G--TG--A-AA-TC--C-A-AT-A-G--------CT-T-AA------C-T-A-T-T-G-A--A-C----T-G--C-T---T--T----T--GA-A-A---C--T-G-T--AT--A-C-C--T-A-G-A-A-T--G-T-GG------GA-G-A------G-G-T-A---GA-T---GG-A--ATT-----T-C-T-G-GT--GT-A-G-GG-GT--A-------A-A-ATCC-GT-AG--AGA-TC--A-GA-A-G-G-A-AT-A-CC-GAT---T--GC-GAA-G--G-C----G-A--T-C-T-A--CTG-G--AA-C-A--T-T-A-T-T-GA--CGCTGA-GAC-G-CG-AAAGCG-TGGG-G-AGC-AAACA</t>
  </si>
  <si>
    <t>Arcobacter</t>
  </si>
  <si>
    <t>Arcobacteraceae</t>
  </si>
  <si>
    <t>C-GA-GAA-TC-AT-TC-G-C---AA-T-G-G--GC--GA-A--A--G-C-C-T-G-A-C-G-AT--GC-G--A-C-GCC-G-T-G-T-G-A-G--C--GA------T-G--A-A--G-G-CC-----TT-AG---G-G-T---C-G-T--A---AA-G-C-TC-----------------TT-TC-G-C--C-TGG----G--A-G--C---AA--GAG-A---A-G-C--T-G--A---------C--T---------------------AA-------------T---A----T--------TC---G-GCT-A-AT-T-T-G-A-G-A-----G-T---A-C-CA--------G-G-T-A---------A-A----G--AA---GC-A--CC-G--G-C-TAA---C--T-C-C-G-T---G-C-CA-G-C--A--G-C--TG---C-----------GG--TA-AT--AC--GG-AG-GGT--GCA-A-G-C-A-T-T--AA-T-CGG-AT--TT-A--T-T--GG-GC--GT-A--AA-GG-GC-GC--G-TA-G-G-C-G-G--G-AA-C-A-T---AA----G-T-C-A-G-A-T-G--TG--A-AA-TC--C-T-GG-A-G--------CT-C-AA------C-T-C-C-A-G-A--A-C----A-G--C-A---T--T----T--GA-A-A---C--T-A-T--AT--T-T-C--T-T-G-A-G-G--G-T-AG------GC-G-G------A-G-A-A---AA-C---GG-A--ATT-----C-C-A-C-AT--GT-A-G-CG-GT--G-------A-A-ATGC-GT-AG--ATA-TG--T-GG-A-A-G-A-AC-A-TC--GG-T-G--GC-GAA-G--G-C----G-G--T-T-T-T--CTA-G--CT-T-A--T-T-C-C-T-GA--CGCTGA-GGC-G-CG-AAAGCA-AGGG-G-AGC-AAACA</t>
  </si>
  <si>
    <t>Parachlamydia</t>
  </si>
  <si>
    <t>Parachlamydiaceae</t>
  </si>
  <si>
    <t>G-AG-GAA-TA-TT-GG-A-C---AA-T-G-G--GT--GG-A--A--G-C-C-T-G-A-T-C-CA--GC-C--A-T-CCC-G-C-G-T-G-A-A--G--GA------T-G--A-C--G-G-TC--C--TA-TG---G-A-T---T-G-T--A---AA-C-T-TC-----------------TT-TT-G-T--A-CAG----G--G-A--T---AA-ACCT-G---C-C-C--T-----------------C---------------------GT-------------G----------------------A-GGG-C-AG-C-T-G-A-A-G-----G-T---A-C-TG--------T-A-C-G---------A-A----T--AA---GC-A--CC-G--G-C-TAA---C--T-C-C-G-T---G-C-CA-G-C--A--G-C--CG---C-----------GG--TA-AT--AC--GG-AG-GGT--GCG-A-G-C-G-T-T--AT-C-CGG-AT--TT-A--T-T--GG-GT--TT-A--AA-GG-GT-CC--G-TA-G-G-C-G-G--G-CC-T-G-T---AA----G-T-C-A-G-T-G-G--TG--A-AA-TC--T-C-AT-A-G--------CT-T-AA------C-T-A-T-G-A-A--A-C----T-G--C-C---A--T----T--GA-T-A---C--T-G-C--AG--G-C-C--T-T-G-A-G-T--A-A-AT------TT-G-A------A-G-T-G---GC-T---GG-A--ATA-----A-G-T-A-GT--GT-A-G-CG-GT--G-------A-A-ATGC-AT-AG--ATA-TT--A-CT-T-A-G-A-AC-A-CC--GA-T-T--GC-GAA-G--G-C----A-G--G-T-C-A--CTA-A--GA-T-T--T-A-A-C-T-GA--CGCTGA-TGG-A-CG-AAAGCG-TGGG-G-AGC-GAACA</t>
  </si>
  <si>
    <t>Chryseobacterium</t>
  </si>
  <si>
    <t>Weeksellaceae</t>
  </si>
  <si>
    <t>G-AG-GAA-TA-TT-GG-A-C---AA-T-G-G--GT--GA-G--A--G-C-C-T-G-A-T-C-CA--GC-C--A-T-CCC-G-C-G-T-G-A-A--G--GA------C-G--A-C--G-G-CC--C--TA-TG---G-G-T---T-G-T--A---AA-C-T-TC-----------------TT-TT-G-T--A-TAG----G--G-A--T---AA-ACCT-A---G-A-T--A-----------------C---------------------GT-------------G----------------------T-ATC-T-AG-C-T-G-A-A-G-----G-T---A-C-TA--------T-A-C-G---------A-A----T--AA---GC-A--CC-G--G-C-TAA---C--T-C-C-G-T---G-C-CA-G-C--A--G-C--CG---C-----------GG--TA-AT--AC--GG-AG-GGT--GCA-A-G-C-G-T-T--AT-C-CGG-AT--TT-A--T-T--GG-GT--TT-A--AA-GG-GT-CC--G-TA-G-G-C-G-G--A-TG-T-G-T---AA----G-T-C-A-G-T-G-G--TG--A-AA-TC--T-C-AC-A-G--------CT-T-AA------C-T-G-T-G-A-A--A-C----T-G--C-C---A--T----T--GA-T-A---C--T-G-C--AT--G-T-C--T-T-G-A-G-T--G-T-TG------TT-G-A------A-G-T-A---GC-T---GG-A--ATA-----A-G-T-A-GT--GT-A-G-CG-GT--G-------A-A-ATGC-AT-AG--ATA-TT--A-CT-T-A-G-A-AC-A-CC-AAT---T--GC-GAA-G--G-C----A-G--G-T-T-A--CTA-A--GC-A-A--C-A-A-C-T-GA--CGCTGA-TGG-A-CG-AAAGCG-TGGG-G-AGC-GAACA</t>
  </si>
  <si>
    <t>G-AG-GAA-TA-TT-GG-A-C---AA-T-G-G--AT--GG-A--A--A-T-C-T-G-A-T-C-CA--GC-C--A-T-GCC-G-C-G-T-G-C-A--G--GA------A-G--A-C--G-G-TC--C--TA-TG---G-A-T---T-G-T--A---AA-C-T-GC-----------------TT-TT-A-T--A-TGG----G--A-G--C---AA-TAAG-G---T-C-T--T-----------------T---------------------GC-------------G----------------------A-AGA-C-TG-A-T-G-A-G-A-----G-T---A-C-CA--------T-A-T-G---------A-A----T--AA---GC-A--TC-G--G-C-TAA---C--T-C-C-G-T---G-C-CA-G-C--A--G-C--CG---C-----------GG--TA-AT--AC--GG-AG-GAT--GCG-A-G-C-G-T-T--AT-C-CGG-AT--TT-A--T-T--GG-GT--TT-A--AA-GG-GT-GC--G-TA-G-G-C-G-G--T-TT-G-A-T---AA----G-T-C-A-G-T-G-G--TG--A-AA-GT--T-T-TC-A-G--------CT-T-AA------C-T-G-G-A-A-A--A-A----T-G--C-C---A--T----T--GA-T-A---C--T-G-T--CA--G-G-C--T-A-G-A-A-T--A-T-GG------TT-G-C------T-G-T-G---AG-T---GG-A--ATG-----T-G-T-G-GT--GT-A-G-CG-GT--G-------A-A-ATGC-TT-AG--ATA-TC--A-CA-C-A-G-A-AT-A-TC--GA-T-T--GC-GAA-G--G-C----A-G--C-T-C-A--CAA-A--GC-C-A--T-T-A-T-T-GA--CGCTGA-GGC-A-CG-AAAGTG-TGGG-G-ATC-AAACA</t>
  </si>
  <si>
    <t>Rikenellaceae</t>
  </si>
  <si>
    <t>A-AG-GAA-TA-TT-GG-T-C---AA-T-G-G--GC--GC-A--A--G-C-C-T-G-A-A-C-CA--GC-C--A-T-GCC-G-C-G-T-G-C-A--G--GA------A-G--A-C--G-G-CC--T--TA-TG---G-G-T---T-G-T--A---AA-C-T-GC-----------------TT-TT-A-T--A-CGG----G--A-G--T---AA-ACGC-A---C-G-T--T-----------------C---------------------GT-------------G----------------------A-ACG-T-GT-T-T-G-C-A-A-----G-T---A-C-CG--------T-A-T-G---------A-A----T--AA---GC-A--TC-G--G-C-TAA---C--T-C-C-G-T---G-C-CA-G-C--A--G-C--CG---C-----------GG--TA-AT--AC--GG-AG-GAT--GCA-A-G-C-G-T-T--AT-C-CGG-AT--TC-A--T-T--GG-GT--TT-A--AA-GG-GT-GC--G-TA-G-G-C-T-G--G-CC-A-A-T---AA----G-T-C-A-G-A-G-G--TG--A-AA-AG--C-A-TA-G-G--------CT-T-AA------C-T-T-A-T-G-C--A-C----T-G--C-C---T--T----T--GA-T-A---C--T-G-T--TG--G-T-C--T-T-G-A-G-T--G-C-AA------AT-G-A------G-G-T-T---GG-C---GG-A--ATG-----T-G-T-A-GT--GT-A-G-CG-GT--G-------A-A-ATGC-TT-AG--ATA-TT--A-CA-C-A-G-A-AC-A-CC-GAT---A--GC-GAA-G--G-C----A-G--C-T-A-A--CCA-A--GA-T-G--C-A-A-C-A-GA--CGCTGA-GGC-A-CG-AAAGCG-TGGG-G-ATC-AAACA</t>
  </si>
  <si>
    <t>ML635J-40_aquatic_group_ge</t>
  </si>
  <si>
    <t>ML635J-40_aquatic_group</t>
  </si>
  <si>
    <t>A-AG-GAA-TA-TT-GG-T-C---AA-T-G-G--GC--GC-A--A--G-C-C-T-G-A-A-C-CA--GC-C--A-T-GCC-G-C-G-T-G-C-A--G--GA------A-G--A-C--G-G-CC--C--TA-TG---G-G-T---T-G-T--A---AA-C-T-GC-----------------TT-TT-G-T--C-AGG----G--A-A--T---AA-ACCC-C---C-G-C--T-----------------C---------------------G--------------T----------------------G-AGCGG-GG-C-T-G-A-A-G-----G-T---A-C-CT--------G-A-A-G---------A-A----T--AA---GC-A--TC-G--G-C-TAA---C--T-C-C-G-T---G-C-CA-G-C--A--G-C--CG---C-----------GG--TA-AT--AC--GG-AG-GAT--GCA-A-G-C-G-T-T--AT-C-CGG-AT--TC-A--T-T--GG-GT--TT-A--AA-GG-GT-GC--G-CA-G-G-C-G-G--A-TT-G-G-T---AA----G-T-C-A-G-G-G-G--TG--A-AA-TC--C-C-AC-A-G--------CT-C-AA------C-T-G-T-G-G-A--A-C----T-G--C-C---T--T----T--GA-T-A---C--T-G-T--CA--G-T-C--T-A-G-A-G-T--A-T-AG------TT-G-A------A-G-T-T---GG-C---GG-A--ATG-----T-G-T-C-AT--GT-A-G-CG-GT--G-------A-A-ATGC-TT-AG--ATA-TG--A-CA-C-A-G-A-AC-A-CC--GA-T-C--GCGAA--G--G-C----A-G--C-T-A-G--CTA-A--GC-T-A--T-A-A-C-T-GA--CGCTCA-TGC-A-CG-AAAGCG-TGGG-G-ATC-AAACA</t>
  </si>
  <si>
    <t>Lentimicrobium</t>
  </si>
  <si>
    <t>Lentimicrobiaceae</t>
  </si>
  <si>
    <t>G-AG-GAA-TA-TT-GG-T-C---AA-T-G-G--AG--GC-A--A--C-T-C-T-G-A-A-C-CA--GC-C--A-T-GCC-G-C-G-T-G-C-A--G--GA------T-G--A-C--T-G-CC--C--TA-TG---G-G-T---T-G-T--A---AA-C-T-GC-----------------TT-TT-A-T--A-CAG----G--A-A--G---AA-ATGT-A---T-C-T--A-----------------C---------------------GC-------------G----------------------T-AGA-T-AT-T-T-G-A-C-G-----G-T---A-C-TG--------T-A-G-G---------A-A----T--AA---GG-A--TC-G--G-C-TAA---C--T-C-C-G-T---G-C-CA-G-C--A--G-C--CG---C-----------GG--TA-AT--AC--GG-AG-GAT--CCG-A-G-C-G-T-T--AT-C-CGG-AA--TT-A--T-T--GG-GT--TT-A--AA-GG-GT-TC--G-TA-G-G-C-G-G--C-CT-T-A-T---AA----G-T-C-A-G-G-G-G--TG--A-AA-TC--T-C-TC-A-G--------CT-C-AA------C-T-G-A-G-A-A--C-T----T-G--C-C---T--T----T--GA-T-A---C--T-G-T--AT--G-G-C--T-T-G-A-A-T--A-A-TA------TT-G-A------A-G-T-A---AC-T---AG-A--ATA-----T-G-T-A-GT--GT-A-G-CG-GT--G-------A-A-ATGC-AT-AG--ATA-TT--A-CA-T-G-G-A-AT-A-CC-AAT---T--GC-GAA-G--G-C----A-G--G-T-T-A--CTA-A--TT-A-T--T-T-A-T-T-GA--CGCTGA-TGA-A-CG-AAAGCG-TGGG-T-AGC-GAACA</t>
  </si>
  <si>
    <t>Myroides</t>
  </si>
  <si>
    <t>Flavobacteriaceae</t>
  </si>
  <si>
    <t>G-AG-GAA-TA-TT-GG-T-C---AA-T-G-G--GC--GC-A--A--G-C-C-T-G-A-A-C-CA--GC-C--A-T-GCC-G-C-G-T-G-C-A--G--GA------A-G--A-C--G-G-TC--C--TA-TG---G-A-T---T-G-T--A---AA-C-T-GC-----------------TT-TT-A-T--T-CGG----G--G-A--T---AA-ACCT-C---C-T-T--A-----------------C---------------------GT-------------G----------------------T-AGG-G-AG-C-T-G-A-AG------G-T---A-C-CG--------A-A-A-G---------A-A----T--AAG---C-A--CC-G--G-C-TAA---C--T-C-C-G-T---G-C-CA-G-C--AG---C--CG---C-----------GG--TA-AT--AC--GG-AG-GGT--GCA-A-G-C-G-T-T--AT-C-CGG-AA--TC-A--T-T--GG-GT--TT-A--AAGG--GT-CC--G-CA-G-G-C-G-G--G-AT-T-G-T---AA----G-T-C-A-G-T-G-G--TG--A-AA-AG--C-G-GC-A-G--------CT-CA-A------C-T-G-T-C-G-T--C-G----T-G--C-C---G--T----T--GA-T-A---C--T-G-C--AG--T-T-C--T-T-G-A-A-T--T-T-GA------TT-G-G------A-G-T-G---GG-C---GG-A--ATA-----T-G-T-C-AT--GT-A-G-CG-GT--G-------A-A-ATGC-TT-AG--ATA-TG--A-CA-T-A-G-A-AC-A-CC--GA-T-C--GC-GAA-G--G-C----A-G--C-T-C-A--CTA-A--GT-C-T--G-A-A-T-T-GA--CGCTCA-TGG-A-CG-AAAGCG-CGGG-T-AGC-AAACA</t>
  </si>
  <si>
    <t>Fluviicola</t>
  </si>
  <si>
    <t>Crocinitomicaceae</t>
  </si>
  <si>
    <t>G-GG-GAA-TA-TT-GC-G-C---AA-T-G-G--GG--GA-A--A--C-C-C-T-G-A-C-G-CA--GC-A--A-C-GCC-G-C-G-T-G-C-G--G--GA------T-G--A-A--G-G-CC-----TT-CG---G-G-T---T-G-T--A---AA-C-C-GC-----------------TT-TC-A-G--C-AGG----G--A-C--G---AA--G-G-G----------------------------T----------------------T-------------T----------------------------C------T-G-A-C-G-----G-T---A-C-CT--------G-C-A-G---------A-A----G--AA---GC-A--CC-G--G-C-TAA---C--T-A-C-G-T---G-C-CA-G-C--A--G-C--CG---C-----------GG--TG-AT--AC--GT-AG-GGT--GCG-A-G-C-G-T-T--GT-C-CGG-AA--TT-A--T-T--GG-GC--GT-A--AA-GA-GC-TT--G-TA-G-G-C-G-G--T-CC-G-T-C---GC----G-T-C-G-G-A-A-G--TG--A-AA-AC--T-C-AG-G-G--------CT-T-AA------C-C-C-T-G-A-G--C-C----T-G--C-T---T--T----C--GA-T-A---C--G-G-G--CA--G-A-C--T-T-G-A-G-G--G-A-TG------TA-G-G------G-G-A-G---AA-C---GG-A--ATT-----C-C-T-G-GT--GG-A-G-CG-GT--G-------G-A-ATGC-GC-AG--ATA-TC--A-GG-A-G-G-A-AC-A-CC--AG-T-G--GC-GAA--G-G-C----G-G--T-T-C-T--CTG-G--AC-A-T--T-T-C-C-T-GA--CGCTGA-GAA-G-CG-AAAGCG-TGGG-G-AGC-AAACA</t>
  </si>
  <si>
    <t>Propionibacteriaceae_unclassified</t>
  </si>
  <si>
    <t>Propionibacteriaceae</t>
  </si>
  <si>
    <t>G-GG-GAA-TA-TT-GC-A-C---AA-T-G-G--GC--GC-A--A--G-C-C-T-G-A-T-G-CA--GC-G--A-C-GCC-G-C-G-T-G-G-G--G--GA------T-G--A-C--G-G-CC-----TT-CG---G-G-T---T-G-T--A---AA-C-T-CC-----------------TT-TC-A-A--C-CAT----G--A-C--G---AA--G-C------------------------------T---------------------TTCG-----------G------------------------------G----T-G-A-C-G-----G-T---A-G-TG--------G-T-A-G---------A-A----G--AA---GC-A--CC-G--G-C-TAA---C--T-A-C-G-T---G-C-CA-G-C--A--G-C--CG---C-----------GG--TA-AT--AC--GT-AG-GGT--GCG-A-G-C-G-T-T--GT-C-CGG-AA--TT-A--C-T--GG-GC--GT-A--AA-GA-GC-TC--G-TA-G-G-T-G-G--T-TT-G-T-C---GC----G-T-C-G-T-C-T-G--TG--A-AA-TT--C-C-GG-G-G--------CT-T-AA------C-T-C-C-G-G-G--C-G----T-G--C-A---G--G----C--GA-T-A---C--G-G-G--CAT-A-A-C--T-T-G-A-G-T--G-C-TG------TA-G-G------G-G-A-G---AC-T---GG-A--ATT-----C-C-T-G-GT--GT-A-G-CG-GT--G-------A-A-ATGC-GC-AG--ATA-TC--A-GG-A-G-G-A-AC-A-CC-GAT---G--GC-GAA-G--G-C----A-G--G-T-C-T--CTG-G--GC-A-G--T-A-A-C-T-GA--CGCTGA-GGA-G-CG-AAAGCA-TGGG-T-AGC-GAACA</t>
  </si>
  <si>
    <t>Corynebacterium_1</t>
  </si>
  <si>
    <t>Corynebacteriaceae</t>
  </si>
  <si>
    <t>phylum</t>
  </si>
  <si>
    <t>familia</t>
  </si>
  <si>
    <t>S01</t>
  </si>
  <si>
    <t>S02</t>
  </si>
  <si>
    <t>S03</t>
  </si>
  <si>
    <t>S04</t>
  </si>
  <si>
    <t>S05</t>
  </si>
  <si>
    <t>S06</t>
  </si>
  <si>
    <t>S07</t>
  </si>
  <si>
    <t>S08</t>
  </si>
  <si>
    <t>S09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</si>
  <si>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</si>
  <si>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</si>
  <si>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</si>
  <si>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</si>
  <si>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</si>
  <si>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</si>
  <si>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</si>
  <si>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</si>
  <si>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</si>
  <si>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</si>
  <si>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</si>
  <si>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S21</t>
  </si>
  <si>
    <t>S22</t>
  </si>
  <si>
    <t>S23</t>
  </si>
  <si>
    <t>S24</t>
  </si>
  <si>
    <t>S25</t>
  </si>
  <si>
    <t>S26</t>
  </si>
  <si>
    <t>S27</t>
  </si>
  <si>
    <t>S28</t>
  </si>
  <si>
    <t>S29</t>
  </si>
  <si>
    <t>S30</t>
  </si>
  <si>
    <t>S31</t>
  </si>
  <si>
    <t>S32</t>
  </si>
  <si>
    <t>Lactobacillaceae</t>
  </si>
  <si>
    <t>Sphingomonadaceae</t>
  </si>
  <si>
    <t>Dysgonomonadaceae</t>
  </si>
  <si>
    <t>Ruminococcaceae</t>
  </si>
  <si>
    <t>Pseudomonadaceae</t>
  </si>
  <si>
    <t>Xanthomonadaceae</t>
  </si>
  <si>
    <t>Family_XI</t>
  </si>
  <si>
    <t>Rhizobiaceae</t>
  </si>
  <si>
    <t>Stappiaceae</t>
  </si>
  <si>
    <t>Microbacteriaceae</t>
  </si>
  <si>
    <t>Paludibacteraceae</t>
  </si>
  <si>
    <t>Erysipelotrichaceae</t>
  </si>
  <si>
    <t>Cellulomonadaceae</t>
  </si>
  <si>
    <t>Gammaproteobacteria_unclassified</t>
  </si>
  <si>
    <t>Bacteroidaceae</t>
  </si>
  <si>
    <t>Family_XIII</t>
  </si>
  <si>
    <t>Chitinophagaceae</t>
  </si>
  <si>
    <t>Deferribacteraceae</t>
  </si>
  <si>
    <t>Cloacimonadaceae</t>
  </si>
  <si>
    <t>Peptococcaceae</t>
  </si>
  <si>
    <t>Bdellovibrionaceae</t>
  </si>
  <si>
    <t>Magnetospirillaceae</t>
  </si>
  <si>
    <t>Clostridiaceae_1</t>
  </si>
  <si>
    <t>Desulfuromonadales_unclassified</t>
  </si>
  <si>
    <t>Desulfarculaceae</t>
  </si>
  <si>
    <t>Nocardiaceae</t>
  </si>
  <si>
    <t>Halomonadaceae</t>
  </si>
  <si>
    <t>Beijerinckiaceae</t>
  </si>
  <si>
    <t>Sphingobacteriaceae</t>
  </si>
  <si>
    <t>Barnesiellaceae</t>
  </si>
  <si>
    <t>Hydrogenophilaceae</t>
  </si>
  <si>
    <t>Enterobacteriaceae</t>
  </si>
  <si>
    <t>Hyphomonadaceae</t>
  </si>
  <si>
    <t>Pedosphaeraceae</t>
  </si>
  <si>
    <t>Deltaproteobacteria_unclassified</t>
  </si>
  <si>
    <t>Clostridiales_unclassified</t>
  </si>
  <si>
    <t>Actinomycetaceae</t>
  </si>
  <si>
    <t>Rhodospirillaceae</t>
  </si>
  <si>
    <t>Clostridiales_Incertae_Sedis</t>
  </si>
  <si>
    <t>Betaproteobacteriales_unclassified</t>
  </si>
  <si>
    <t>Pleomorphomonadaceae</t>
  </si>
  <si>
    <t>Midichloriaceae</t>
  </si>
  <si>
    <t>Syntrophaceae</t>
  </si>
  <si>
    <t>Prolixibacteraceae</t>
  </si>
  <si>
    <t>Caulobacteraceae</t>
  </si>
  <si>
    <t>Parvibaculaceae</t>
  </si>
  <si>
    <t>Alteromonadaceae</t>
  </si>
  <si>
    <t>Lachnospiraceae</t>
  </si>
  <si>
    <t>Mycobacteriaceae</t>
  </si>
  <si>
    <t>JGI_0000069-P22_fa</t>
  </si>
  <si>
    <t>Sulfurospirillaceae</t>
  </si>
  <si>
    <t>Devosiaceae</t>
  </si>
  <si>
    <t>Lenti-02</t>
  </si>
  <si>
    <t>Victivallaceae</t>
  </si>
  <si>
    <t>Rhodobacteraceae</t>
  </si>
  <si>
    <t>Eubacteriaceae</t>
  </si>
  <si>
    <t>Peptostreptococcaceae</t>
  </si>
  <si>
    <t>Proteobacteria_unclassified</t>
  </si>
  <si>
    <t>Hyphomicrobiaceae</t>
  </si>
  <si>
    <t>Rhizobiales_unclassified</t>
  </si>
  <si>
    <t>Gracilibacteraceae</t>
  </si>
  <si>
    <t>Alphaproteobacteria_unclassified</t>
  </si>
  <si>
    <t>Marinilabiliaceae</t>
  </si>
  <si>
    <t>Planococcaceae</t>
  </si>
  <si>
    <t>Bacteroidia_unclassified</t>
  </si>
  <si>
    <t>Clostridia_unclassified</t>
  </si>
  <si>
    <t>Dietziaceae</t>
  </si>
  <si>
    <t>Firmicutes_unclassified</t>
  </si>
  <si>
    <t>Sneathiellaceae</t>
  </si>
  <si>
    <t>vadinHA49_fa</t>
  </si>
  <si>
    <t>Atopobiaceae</t>
  </si>
  <si>
    <t>Bacillaceae</t>
  </si>
  <si>
    <t>Carnobacteriaceae</t>
  </si>
  <si>
    <t>Micrococcales_unclassified</t>
  </si>
  <si>
    <t>Syntrophomonadaceae</t>
  </si>
  <si>
    <t>Kaistiaceae</t>
  </si>
  <si>
    <t>Enterococcaceae</t>
  </si>
  <si>
    <t>Spirosomaceae</t>
  </si>
  <si>
    <t>Streptococcaceae</t>
  </si>
  <si>
    <t>Legionellaceae</t>
  </si>
  <si>
    <t>KCLunmb-38-53</t>
  </si>
  <si>
    <t>Paenibacillaceae</t>
  </si>
  <si>
    <t>Methylophilaceae</t>
  </si>
  <si>
    <t>Psychromonadaceae</t>
  </si>
  <si>
    <t>Flavobacteriales_unclassified</t>
  </si>
  <si>
    <t>Actinobacteria_unclassified</t>
  </si>
  <si>
    <t>Bifidobacteriaceae</t>
  </si>
  <si>
    <t>Tannerellaceae</t>
  </si>
  <si>
    <t>Trueperaceae</t>
  </si>
  <si>
    <t>Beutenbergiaceae</t>
  </si>
  <si>
    <t>Eggerthellaceae</t>
  </si>
  <si>
    <t>Coriobacteriaceae</t>
  </si>
  <si>
    <t>Rhizobiales_Incertae_Sedis</t>
  </si>
  <si>
    <t>SRB2</t>
  </si>
  <si>
    <t>Oceanibaculaceae</t>
  </si>
  <si>
    <t>Leptospiraceae</t>
  </si>
  <si>
    <t>Reyranellaceae</t>
  </si>
  <si>
    <t>Acholeplasmataceae</t>
  </si>
  <si>
    <t>Desulfomicrobiaceae</t>
  </si>
  <si>
    <t>Anaerolineaceae</t>
  </si>
  <si>
    <t>67-14</t>
  </si>
  <si>
    <t>OTU</t>
  </si>
  <si>
    <t>regnum</t>
  </si>
  <si>
    <t>classis</t>
  </si>
  <si>
    <t>ordo</t>
  </si>
  <si>
    <t>genus</t>
  </si>
  <si>
    <t>TOTAL GEOBACTER</t>
  </si>
  <si>
    <t>TIMES</t>
  </si>
  <si>
    <t>TOTAL CHRYSEOBACTERIUM</t>
  </si>
  <si>
    <t>P1</t>
  </si>
  <si>
    <t>P2</t>
  </si>
  <si>
    <t>C</t>
  </si>
  <si>
    <t>average reactor</t>
  </si>
  <si>
    <t>E1_P1_t0</t>
  </si>
  <si>
    <t>E1_C_t0</t>
  </si>
  <si>
    <t>E1_P1_t1</t>
  </si>
  <si>
    <t>E1_C_t1</t>
  </si>
  <si>
    <t>E1_C_t2</t>
  </si>
  <si>
    <t>E1_P1_t3</t>
  </si>
  <si>
    <t>E1_C_t3</t>
  </si>
  <si>
    <t>E1_P2_t0</t>
  </si>
  <si>
    <t>E1_P2_t1</t>
  </si>
  <si>
    <t>E1_P2_t2</t>
  </si>
  <si>
    <t>E2_P1_t0</t>
  </si>
  <si>
    <t>E2_C_t0</t>
  </si>
  <si>
    <t>E2_P2_t0</t>
  </si>
  <si>
    <t>E2_P1_t1</t>
  </si>
  <si>
    <t>E2_C_t1</t>
  </si>
  <si>
    <t>E2_P2_t1</t>
  </si>
  <si>
    <t>E2_P1_t2</t>
  </si>
  <si>
    <t>E2_C_t2</t>
  </si>
  <si>
    <t>E2_P2_t2</t>
  </si>
  <si>
    <t>E2_P1_t2_fc</t>
  </si>
  <si>
    <t>E2_P1_t2_fm</t>
  </si>
  <si>
    <t>E2_C_t2_fc</t>
  </si>
  <si>
    <t>E2_C_t2_fm</t>
  </si>
  <si>
    <t>E2_P2_t2_fc</t>
  </si>
  <si>
    <t>E2_P2_t2_fm</t>
  </si>
  <si>
    <t>to, day 0</t>
  </si>
  <si>
    <t>t1, day 14</t>
  </si>
  <si>
    <t>t2, day 28</t>
  </si>
  <si>
    <t>P1_2</t>
  </si>
  <si>
    <t>mix</t>
  </si>
  <si>
    <t>C_2</t>
  </si>
  <si>
    <t>P2_2</t>
  </si>
  <si>
    <t>Bfc</t>
  </si>
  <si>
    <t>Bfm</t>
  </si>
  <si>
    <t>time</t>
  </si>
  <si>
    <t>none</t>
  </si>
  <si>
    <t>Column38</t>
  </si>
  <si>
    <t>OUT</t>
  </si>
  <si>
    <t>Phylum</t>
  </si>
  <si>
    <t>Family</t>
  </si>
  <si>
    <t>Genus</t>
  </si>
  <si>
    <t>E1_P1_t2</t>
  </si>
  <si>
    <t>Experiment 1</t>
  </si>
  <si>
    <t>Experiment 2</t>
  </si>
  <si>
    <t>BES reactor</t>
  </si>
  <si>
    <t>5 g/L</t>
  </si>
  <si>
    <t>1 g/L</t>
  </si>
  <si>
    <t>Day 0</t>
  </si>
  <si>
    <t>Day 14</t>
  </si>
  <si>
    <t>Day 28</t>
  </si>
  <si>
    <t>Control</t>
  </si>
  <si>
    <t>Peroxide 1</t>
  </si>
  <si>
    <t>Peroxide 2</t>
  </si>
  <si>
    <t>E2_C_t2_fc1</t>
  </si>
  <si>
    <t>E2_C_t2_fc2</t>
  </si>
  <si>
    <t>E2_C_t2_fm1</t>
  </si>
  <si>
    <t>E2_P1_t2_fc1</t>
  </si>
  <si>
    <t>E2_P1_t2_fc2</t>
  </si>
  <si>
    <t>E2_P1_t2_fm1</t>
  </si>
  <si>
    <t>E2_P1_t2_fm2</t>
  </si>
  <si>
    <t>E2_C_t2_fm2</t>
  </si>
  <si>
    <t>E2_P2_t2_fc1</t>
  </si>
  <si>
    <r>
      <t>H</t>
    </r>
    <r>
      <rPr>
        <b/>
        <vertAlign val="subscript"/>
        <sz val="11"/>
        <color theme="1"/>
        <rFont val="Calibri"/>
        <family val="2"/>
        <scheme val="minor"/>
      </rPr>
      <t>2</t>
    </r>
    <r>
      <rPr>
        <b/>
        <sz val="11"/>
        <color theme="1"/>
        <rFont val="Calibri"/>
        <family val="2"/>
        <scheme val="minor"/>
      </rPr>
      <t>O</t>
    </r>
    <r>
      <rPr>
        <b/>
        <vertAlign val="subscript"/>
        <sz val="11"/>
        <color theme="1"/>
        <rFont val="Calibri"/>
        <family val="2"/>
        <scheme val="minor"/>
      </rPr>
      <t>2</t>
    </r>
    <r>
      <rPr>
        <b/>
        <sz val="11"/>
        <color theme="1"/>
        <rFont val="Calibri"/>
        <family val="2"/>
        <scheme val="minor"/>
      </rPr>
      <t xml:space="preserve"> expossure</t>
    </r>
  </si>
  <si>
    <t>Label</t>
  </si>
  <si>
    <t>Experiment</t>
  </si>
  <si>
    <t>E2_P1_t2_fm 1</t>
  </si>
  <si>
    <t>E2_P2_t2_fc 2</t>
  </si>
  <si>
    <t>EXPERIMENT 1</t>
  </si>
  <si>
    <t>EXPERIMENT 2</t>
  </si>
  <si>
    <t>sample</t>
  </si>
  <si>
    <t>Day 51</t>
  </si>
  <si>
    <t>position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</si>
</sst>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vertAlign val="subscript"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theme="9" tint="0.39997558519241921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0" fillId="0" borderId="0" xfId="0" applyNumberFormat="1"/>
    <xf numFmtId="0" fontId="1" fillId="0" borderId="0" xfId="0" applyFont="1"/>
    <xf numFmtId="0" fontId="0" fillId="2" borderId="0" xfId="0" applyFill="1"/>
    <xf numFmtId="0" fontId="2" fillId="0" borderId="0" xfId="0" applyFont="1"/>
    <xf numFmtId="0" fontId="2" fillId="2" borderId="0" xfId="0" applyFont="1" applyFill="1"/>
    <xf numFmtId="0" fontId="0" fillId="0" borderId="0" xfId="0" applyFill="1"/>
    <xf numFmtId="0" fontId="2" fillId="3" borderId="0" xfId="0" applyFont="1" applyFill="1"/>
    <xf numFmtId="0" fontId="2" fillId="4" borderId="0" xfId="0" applyFont="1" applyFill="1"/>
    <xf numFmtId="0" fontId="2" fillId="5" borderId="0" xfId="0" applyFont="1" applyFill="1"/>
    <xf numFmtId="0" fontId="2" fillId="6" borderId="0" xfId="0" applyFont="1" applyFill="1"/>
    <xf numFmtId="0" fontId="0" fillId="7" borderId="0" xfId="0" applyFill="1"/>
    <xf numFmtId="0" fontId="0" fillId="0" borderId="0" xfId="0" applyBorder="1"/>
    <xf numFmtId="0" fontId="0" fillId="7" borderId="0" xfId="0" applyFill="1" applyBorder="1"/>
    <xf numFmtId="0" fontId="0" fillId="0" borderId="4" xfId="0" applyBorder="1"/>
    <xf numFmtId="0" fontId="0" fillId="7" borderId="4" xfId="0" applyFill="1" applyBorder="1"/>
    <xf numFmtId="0" fontId="0" fillId="7" borderId="6" xfId="0" applyFill="1" applyBorder="1"/>
    <xf numFmtId="0" fontId="0" fillId="7" borderId="7" xfId="0" applyFill="1" applyBorder="1"/>
    <xf numFmtId="0" fontId="0" fillId="0" borderId="8" xfId="0" applyBorder="1"/>
    <xf numFmtId="0" fontId="0" fillId="0" borderId="7" xfId="0" applyBorder="1"/>
    <xf numFmtId="0" fontId="0" fillId="0" borderId="9" xfId="0" applyBorder="1"/>
    <xf numFmtId="0" fontId="0" fillId="0" borderId="6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4" xfId="0" applyBorder="1" applyAlignment="1">
      <alignment horizontal="left"/>
    </xf>
    <xf numFmtId="0" fontId="0" fillId="0" borderId="0" xfId="0" applyBorder="1" applyAlignment="1">
      <alignment horizontal="left"/>
    </xf>
    <xf numFmtId="0" fontId="0" fillId="0" borderId="8" xfId="0" applyBorder="1" applyAlignment="1">
      <alignment horizontal="left"/>
    </xf>
    <xf numFmtId="0" fontId="0" fillId="0" borderId="0" xfId="0" applyFill="1" applyBorder="1"/>
    <xf numFmtId="0" fontId="0" fillId="0" borderId="8" xfId="0" applyFill="1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3" borderId="16" xfId="0" applyFont="1" applyFill="1" applyBorder="1"/>
    <xf numFmtId="0" fontId="2" fillId="4" borderId="16" xfId="0" applyFont="1" applyFill="1" applyBorder="1"/>
    <xf numFmtId="0" fontId="2" fillId="5" borderId="16" xfId="0" applyFont="1" applyFill="1" applyBorder="1"/>
    <xf numFmtId="0" fontId="2" fillId="6" borderId="16" xfId="0" applyFont="1" applyFill="1" applyBorder="1"/>
    <xf numFmtId="0" fontId="2" fillId="0" borderId="18" xfId="0" applyFont="1" applyBorder="1"/>
    <xf numFmtId="0" fontId="2" fillId="0" borderId="16" xfId="0" applyFont="1" applyBorder="1"/>
    <xf numFmtId="0" fontId="0" fillId="0" borderId="1" xfId="0" applyFill="1" applyBorder="1"/>
    <xf numFmtId="0" fontId="0" fillId="0" borderId="2" xfId="0" applyFill="1" applyBorder="1"/>
    <xf numFmtId="0" fontId="0" fillId="0" borderId="3" xfId="0" applyFill="1" applyBorder="1"/>
    <xf numFmtId="0" fontId="0" fillId="0" borderId="6" xfId="0" applyFill="1" applyBorder="1"/>
    <xf numFmtId="0" fontId="0" fillId="0" borderId="5" xfId="0" applyFont="1" applyFill="1" applyBorder="1"/>
    <xf numFmtId="0" fontId="2" fillId="0" borderId="0" xfId="0" applyFont="1" applyFill="1"/>
  </cellXfs>
  <cellStyles count="1">
    <cellStyle name="Normal" xfId="0" builtinId="0"/>
  </cellStyles>
  <dxfs count="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F9D46FF5-A71F-41C0-81D3-BBCD31417DB9}" autoFormatId="16" applyNumberFormats="0" applyBorderFormats="0" applyFontFormats="0" applyPatternFormats="0" applyAlignmentFormats="0" applyWidthHeightFormats="0">
  <queryTableRefresh nextId="39">
    <queryTableFields count="38">
      <queryTableField id="1" name=";&quot;OTU&quot;;&quot;phylum&quot;;&quot;familia&quot;;&quot;genus&quot;;&quot;S01&quot;;&quot;S02&quot;;&quot;S03&quot;;&quot;S04&quot;;&quot;S05&quot;;&quot;S06&quot;;&quot;S07&quot;;&quot;S08" tableColumnId="1"/>
      <queryTableField id="2" name=";&quot;OTU&quot;;&quot;phylum&quot;;&quot;familia&quot;;&quot;genus&quot;;&quot;S01&quot;;&quot;S02&quot;;&quot;S03&quot;;&quot;S04&quot;;&quot;S05&quot;;&quot;S06&quot;;&quot;S07&quot;;&quot;S.1" tableColumnId="2"/>
      <queryTableField id="3" name=";&quot;OTU&quot;;&quot;phylum&quot;;&quot;familia&quot;;&quot;genus&quot;;&quot;S01&quot;;&quot;S02&quot;;&quot;S03&quot;;&quot;S04&quot;;&quot;S05&quot;;&quot;S06&quot;;&quot;S07&quot;;&quot;S.2" tableColumnId="3"/>
      <queryTableField id="4" name=";&quot;OTU&quot;;&quot;phylum&quot;;&quot;familia&quot;;&quot;genus&quot;;&quot;S01&quot;;&quot;S02&quot;;&quot;S03&quot;;&quot;S04&quot;;&quot;S05&quot;;&quot;S06&quot;;&quot;S07&quot;;&quot;S.3" tableColumnId="4"/>
      <queryTableField id="5" name=";&quot;OTU&quot;;&quot;phylum&quot;;&quot;familia&quot;;&quot;genus&quot;;&quot;S01&quot;;&quot;S02&quot;;&quot;S03&quot;;&quot;S04&quot;;&quot;S05&quot;;&quot;S06&quot;;&quot;S07&quot;;&quot;S.4" tableColumnId="5"/>
      <queryTableField id="6" name=";&quot;OTU&quot;;&quot;phylum&quot;;&quot;familia&quot;;&quot;genus&quot;;&quot;S01&quot;;&quot;S02&quot;;&quot;S03&quot;;&quot;S04&quot;;&quot;S05&quot;;&quot;S06&quot;;&quot;S07&quot;;&quot;S.5" tableColumnId="6"/>
      <queryTableField id="7" name=";&quot;OTU&quot;;&quot;phylum&quot;;&quot;familia&quot;;&quot;genus&quot;;&quot;S01&quot;;&quot;S02&quot;;&quot;S03&quot;;&quot;S04&quot;;&quot;S05&quot;;&quot;S06&quot;;&quot;S07&quot;;&quot;S.6" tableColumnId="7"/>
      <queryTableField id="8" name=";&quot;OTU&quot;;&quot;phylum&quot;;&quot;familia&quot;;&quot;genus&quot;;&quot;S01&quot;;&quot;S02&quot;;&quot;S03&quot;;&quot;S04&quot;;&quot;S05&quot;;&quot;S06&quot;;&quot;S07&quot;;&quot;S.7" tableColumnId="8"/>
      <queryTableField id="9" name=";&quot;OTU&quot;;&quot;phylum&quot;;&quot;familia&quot;;&quot;genus&quot;;&quot;S01&quot;;&quot;S02&quot;;&quot;S03&quot;;&quot;S04&quot;;&quot;S05&quot;;&quot;S06&quot;;&quot;S07&quot;;&quot;S.8" tableColumnId="9"/>
      <queryTableField id="10" name=";&quot;OTU&quot;;&quot;phylum&quot;;&quot;familia&quot;;&quot;genus&quot;;&quot;S01&quot;;&quot;S02&quot;;&quot;S03&quot;;&quot;S04&quot;;&quot;S05&quot;;&quot;S06&quot;;&quot;S07&quot;;&quot;S.9" tableColumnId="10"/>
      <queryTableField id="11" name=";&quot;OTU&quot;;&quot;phylum&quot;;&quot;familia&quot;;&quot;genus&quot;;&quot;S01&quot;;&quot;S02&quot;;&quot;S03&quot;;&quot;S04&quot;;&quot;S05&quot;;&quot;S06&quot;;&quot;S07&quot;;&quot;.10" tableColumnId="11"/>
      <queryTableField id="12" name=";&quot;OTU&quot;;&quot;phylum&quot;;&quot;familia&quot;;&quot;genus&quot;;&quot;S01&quot;;&quot;S02&quot;;&quot;S03&quot;;&quot;S04&quot;;&quot;S05&quot;;&quot;S06&quot;;&quot;S07&quot;;&quot;.11" tableColumnId="12"/>
      <queryTableField id="13" name=";&quot;OTU&quot;;&quot;phylum&quot;;&quot;familia&quot;;&quot;genus&quot;;&quot;S01&quot;;&quot;S02&quot;;&quot;S03&quot;;&quot;S04&quot;;&quot;S05&quot;;&quot;S06&quot;;&quot;S07&quot;;&quot;.12" tableColumnId="13"/>
      <queryTableField id="14" name=";&quot;OTU&quot;;&quot;phylum&quot;;&quot;familia&quot;;&quot;genus&quot;;&quot;S01&quot;;&quot;S02&quot;;&quot;S03&quot;;&quot;S04&quot;;&quot;S05&quot;;&quot;S06&quot;;&quot;S07&quot;;&quot;.13" tableColumnId="14"/>
      <queryTableField id="15" name=";&quot;OTU&quot;;&quot;phylum&quot;;&quot;familia&quot;;&quot;genus&quot;;&quot;S01&quot;;&quot;S02&quot;;&quot;S03&quot;;&quot;S04&quot;;&quot;S05&quot;;&quot;S06&quot;;&quot;S07&quot;;&quot;.14" tableColumnId="15"/>
      <queryTableField id="16" name=";&quot;OTU&quot;;&quot;phylum&quot;;&quot;familia&quot;;&quot;genus&quot;;&quot;S01&quot;;&quot;S02&quot;;&quot;S03&quot;;&quot;S04&quot;;&quot;S05&quot;;&quot;S06&quot;;&quot;S07&quot;;&quot;.15" tableColumnId="16"/>
      <queryTableField id="17" name=";&quot;OTU&quot;;&quot;phylum&quot;;&quot;familia&quot;;&quot;genus&quot;;&quot;S01&quot;;&quot;S02&quot;;&quot;S03&quot;;&quot;S04&quot;;&quot;S05&quot;;&quot;S06&quot;;&quot;S07&quot;;&quot;.16" tableColumnId="17"/>
      <queryTableField id="18" name=";&quot;OTU&quot;;&quot;phylum&quot;;&quot;familia&quot;;&quot;genus&quot;;&quot;S01&quot;;&quot;S02&quot;;&quot;S03&quot;;&quot;S04&quot;;&quot;S05&quot;;&quot;S06&quot;;&quot;S07&quot;;&quot;.17" tableColumnId="18"/>
      <queryTableField id="19" name=";&quot;OTU&quot;;&quot;phylum&quot;;&quot;familia&quot;;&quot;genus&quot;;&quot;S01&quot;;&quot;S02&quot;;&quot;S03&quot;;&quot;S04&quot;;&quot;S05&quot;;&quot;S06&quot;;&quot;S07&quot;;&quot;.18" tableColumnId="19"/>
      <queryTableField id="20" name=";&quot;OTU&quot;;&quot;phylum&quot;;&quot;familia&quot;;&quot;genus&quot;;&quot;S01&quot;;&quot;S02&quot;;&quot;S03&quot;;&quot;S04&quot;;&quot;S05&quot;;&quot;S06&quot;;&quot;S07&quot;;&quot;.19" tableColumnId="20"/>
      <queryTableField id="21" name=";&quot;OTU&quot;;&quot;phylum&quot;;&quot;familia&quot;;&quot;genus&quot;;&quot;S01&quot;;&quot;S02&quot;;&quot;S03&quot;;&quot;S04&quot;;&quot;S05&quot;;&quot;S06&quot;;&quot;S07&quot;;&quot;.20" tableColumnId="21"/>
      <queryTableField id="22" name=";&quot;OTU&quot;;&quot;phylum&quot;;&quot;familia&quot;;&quot;genus&quot;;&quot;S01&quot;;&quot;S02&quot;;&quot;S03&quot;;&quot;S04&quot;;&quot;S05&quot;;&quot;S06&quot;;&quot;S07&quot;;&quot;.21" tableColumnId="22"/>
      <queryTableField id="23" name=";&quot;OTU&quot;;&quot;phylum&quot;;&quot;familia&quot;;&quot;genus&quot;;&quot;S01&quot;;&quot;S02&quot;;&quot;S03&quot;;&quot;S04&quot;;&quot;S05&quot;;&quot;S06&quot;;&quot;S07&quot;;&quot;.22" tableColumnId="23"/>
      <queryTableField id="24" name=";&quot;OTU&quot;;&quot;phylum&quot;;&quot;familia&quot;;&quot;genus&quot;;&quot;S01&quot;;&quot;S02&quot;;&quot;S03&quot;;&quot;S04&quot;;&quot;S05&quot;;&quot;S06&quot;;&quot;S07&quot;;&quot;.23" tableColumnId="24"/>
      <queryTableField id="25" name=";&quot;OTU&quot;;&quot;phylum&quot;;&quot;familia&quot;;&quot;genus&quot;;&quot;S01&quot;;&quot;S02&quot;;&quot;S03&quot;;&quot;S04&quot;;&quot;S05&quot;;&quot;S06&quot;;&quot;S07&quot;;&quot;.24" tableColumnId="25"/>
      <queryTableField id="26" name=";&quot;OTU&quot;;&quot;phylum&quot;;&quot;familia&quot;;&quot;genus&quot;;&quot;S01&quot;;&quot;S02&quot;;&quot;S03&quot;;&quot;S04&quot;;&quot;S05&quot;;&quot;S06&quot;;&quot;S07&quot;;&quot;.25" tableColumnId="26"/>
      <queryTableField id="27" name=";&quot;OTU&quot;;&quot;phylum&quot;;&quot;familia&quot;;&quot;genus&quot;;&quot;S01&quot;;&quot;S02&quot;;&quot;S03&quot;;&quot;S04&quot;;&quot;S05&quot;;&quot;S06&quot;;&quot;S07&quot;;&quot;.26" tableColumnId="27"/>
      <queryTableField id="28" name=";&quot;OTU&quot;;&quot;phylum&quot;;&quot;familia&quot;;&quot;genus&quot;;&quot;S01&quot;;&quot;S02&quot;;&quot;S03&quot;;&quot;S04&quot;;&quot;S05&quot;;&quot;S06&quot;;&quot;S07&quot;;&quot;.27" tableColumnId="28"/>
      <queryTableField id="29" name=";&quot;OTU&quot;;&quot;phylum&quot;;&quot;familia&quot;;&quot;genus&quot;;&quot;S01&quot;;&quot;S02&quot;;&quot;S03&quot;;&quot;S04&quot;;&quot;S05&quot;;&quot;S06&quot;;&quot;S07&quot;;&quot;.28" tableColumnId="29"/>
      <queryTableField id="30" name=";&quot;OTU&quot;;&quot;phylum&quot;;&quot;familia&quot;;&quot;genus&quot;;&quot;S01&quot;;&quot;S02&quot;;&quot;S03&quot;;&quot;S04&quot;;&quot;S05&quot;;&quot;S06&quot;;&quot;S07&quot;;&quot;.29" tableColumnId="30"/>
      <queryTableField id="31" name=";&quot;OTU&quot;;&quot;phylum&quot;;&quot;familia&quot;;&quot;genus&quot;;&quot;S01&quot;;&quot;S02&quot;;&quot;S03&quot;;&quot;S04&quot;;&quot;S05&quot;;&quot;S06&quot;;&quot;S07&quot;;&quot;.30" tableColumnId="31"/>
      <queryTableField id="32" name=";&quot;OTU&quot;;&quot;phylum&quot;;&quot;familia&quot;;&quot;genus&quot;;&quot;S01&quot;;&quot;S02&quot;;&quot;S03&quot;;&quot;S04&quot;;&quot;S05&quot;;&quot;S06&quot;;&quot;S07&quot;;&quot;.31" tableColumnId="32"/>
      <queryTableField id="33" name=";&quot;OTU&quot;;&quot;phylum&quot;;&quot;familia&quot;;&quot;genus&quot;;&quot;S01&quot;;&quot;S02&quot;;&quot;S03&quot;;&quot;S04&quot;;&quot;S05&quot;;&quot;S06&quot;;&quot;S07&quot;;&quot;.32" tableColumnId="33"/>
      <queryTableField id="34" name=";&quot;OTU&quot;;&quot;phylum&quot;;&quot;familia&quot;;&quot;genus&quot;;&quot;S01&quot;;&quot;S02&quot;;&quot;S03&quot;;&quot;S04&quot;;&quot;S05&quot;;&quot;S06&quot;;&quot;S07&quot;;&quot;.33" tableColumnId="34"/>
      <queryTableField id="35" name=";&quot;OTU&quot;;&quot;phylum&quot;;&quot;familia&quot;;&quot;genus&quot;;&quot;S01&quot;;&quot;S02&quot;;&quot;S03&quot;;&quot;S04&quot;;&quot;S05&quot;;&quot;S06&quot;;&quot;S07&quot;;&quot;.34" tableColumnId="35"/>
      <queryTableField id="36" name=";&quot;OTU&quot;;&quot;phylum&quot;;&quot;familia&quot;;&quot;genus&quot;;&quot;S01&quot;;&quot;S02&quot;;&quot;S03&quot;;&quot;S04&quot;;&quot;S05&quot;;&quot;S06&quot;;&quot;S07&quot;;&quot;.35" tableColumnId="36"/>
      <queryTableField id="37" name=";&quot;OTU&quot;;&quot;phylum&quot;;&quot;familia&quot;;&quot;genus&quot;;&quot;S01&quot;;&quot;S02&quot;;&quot;S03&quot;;&quot;S04&quot;;&quot;S05&quot;;&quot;S06&quot;;&quot;S07&quot;;&quot;.36" tableColumnId="37"/>
      <queryTableField id="38" name=";&quot;OTU&quot;;&quot;phylum&quot;;&quot;familia&quot;;&quot;genus&quot;;&quot;S01&quot;;&quot;S02&quot;;&quot;S03&quot;;&quot;S04&quot;;&quot;S05&quot;;&quot;S06&quot;;&quot;S07&quot;;&quot;.37" tableColumnId="3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C15F7F9-D065-47BE-BB05-9145246EE488}" name="Table1_24" displayName="Table1_24" ref="A1:AL32" tableType="queryTable" totalsRowShown="0">
  <autoFilter ref="A1:AL32" xr:uid="{E2F86623-5A16-4A8C-936D-F201283D4052}"/>
  <tableColumns count="38">
    <tableColumn id="1" xr3:uid="{63CA4CD2-BA57-4219-9F4A-4EC7B074E5BC}" uniqueName="1" name="Column1" queryTableFieldId="1" dataDxfId="5"/>
    <tableColumn id="2" xr3:uid="{EBD9E598-C44F-4B30-9D52-328D5ABC4AD0}" uniqueName="2" name="Column2" queryTableFieldId="2" dataDxfId="4"/>
    <tableColumn id="3" xr3:uid="{D6E06F64-F183-4CD7-B3F8-A88DD0F068F7}" uniqueName="3" name="Column3" queryTableFieldId="3" dataDxfId="3"/>
    <tableColumn id="4" xr3:uid="{9F39A24C-C414-42F6-993F-8003D1E39A7D}" uniqueName="4" name="Column4" queryTableFieldId="4" dataDxfId="2"/>
    <tableColumn id="5" xr3:uid="{66C9F703-F770-417A-A399-44F8CF931F6B}" uniqueName="5" name="Column5" queryTableFieldId="5" dataDxfId="1"/>
    <tableColumn id="6" xr3:uid="{6CA0D77E-9CFA-417B-8AE6-AFB5C4F3929D}" uniqueName="6" name="S01" queryTableFieldId="6"/>
    <tableColumn id="7" xr3:uid="{F8C6E2FC-CC83-457D-89F5-74E87899D7A6}" uniqueName="7" name="S02" queryTableFieldId="7"/>
    <tableColumn id="8" xr3:uid="{13FC8A0E-A585-4809-9B05-9150DA3E9D7D}" uniqueName="8" name="S03" queryTableFieldId="8"/>
    <tableColumn id="9" xr3:uid="{4647C69B-17EC-42F1-B0B7-7B3C7A83B525}" uniqueName="9" name="S04" queryTableFieldId="9"/>
    <tableColumn id="10" xr3:uid="{0FEA1BCD-6855-4D2A-B745-99721CCF3513}" uniqueName="10" name="S05" queryTableFieldId="10"/>
    <tableColumn id="11" xr3:uid="{40887E89-D226-4171-AC9A-A4C92CD711D9}" uniqueName="11" name="S06" queryTableFieldId="11"/>
    <tableColumn id="12" xr3:uid="{9E5F545D-7ED5-49B9-A0C7-BD308D1018C7}" uniqueName="12" name="S07" queryTableFieldId="12"/>
    <tableColumn id="13" xr3:uid="{44C6BF88-8F0D-4901-AB08-D5EDE738E661}" uniqueName="13" name="S08" queryTableFieldId="13"/>
    <tableColumn id="14" xr3:uid="{37E631CF-C49E-44B0-8D57-C4BE9928FAC4}" uniqueName="14" name="S09" queryTableFieldId="14"/>
    <tableColumn id="15" xr3:uid="{6FCEAA3C-B8C3-440A-94C3-AE1BAF2307B0}" uniqueName="15" name="S10" queryTableFieldId="15"/>
    <tableColumn id="16" xr3:uid="{23C687DD-2427-430E-92DD-ADF15BB326DC}" uniqueName="16" name="S11" queryTableFieldId="16"/>
    <tableColumn id="17" xr3:uid="{FD609CD2-1003-4917-9655-EEBF059A0F98}" uniqueName="17" name="S12" queryTableFieldId="17"/>
    <tableColumn id="18" xr3:uid="{54A82025-C59C-49A7-A3A2-958C4168F5EF}" uniqueName="18" name="S13" queryTableFieldId="18"/>
    <tableColumn id="19" xr3:uid="{16A78507-52E0-40B8-929C-D8879AEBE85F}" uniqueName="19" name="S14" queryTableFieldId="19"/>
    <tableColumn id="20" xr3:uid="{65761A7D-F13B-43CF-8163-287E2E70414B}" uniqueName="20" name="S15" queryTableFieldId="20"/>
    <tableColumn id="21" xr3:uid="{A2B2AF8F-54A5-4F7C-A5BC-455F1D6DE42B}" uniqueName="21" name="S16" queryTableFieldId="21"/>
    <tableColumn id="22" xr3:uid="{EB8A22EE-47CC-48A9-9CCD-8F40837F6CCD}" uniqueName="22" name="S17" queryTableFieldId="22"/>
    <tableColumn id="23" xr3:uid="{2AD730FE-EC16-4A34-8A87-692FC8AC98A1}" uniqueName="23" name="S18" queryTableFieldId="23"/>
    <tableColumn id="24" xr3:uid="{F21B65D0-41FC-4AD6-806D-D4F16282F1AE}" uniqueName="24" name="S19" queryTableFieldId="24"/>
    <tableColumn id="25" xr3:uid="{3ED9CFE1-830E-4CC4-9943-B00DF67EA6F2}" uniqueName="25" name="S20" queryTableFieldId="25"/>
    <tableColumn id="26" xr3:uid="{2E1976B9-EFDC-49C8-8E3A-F7F56AB887DA}" uniqueName="26" name="S21" queryTableFieldId="26"/>
    <tableColumn id="27" xr3:uid="{B64CDB56-C59E-4AB7-BDF2-D3F649F0F10F}" uniqueName="27" name="S22" queryTableFieldId="27"/>
    <tableColumn id="28" xr3:uid="{F35D732D-2D29-4123-961B-ADC605985F34}" uniqueName="28" name="S23" queryTableFieldId="28"/>
    <tableColumn id="29" xr3:uid="{895ADF38-2835-46C7-B4D2-6A23C0788D0D}" uniqueName="29" name="S24" queryTableFieldId="29"/>
    <tableColumn id="30" xr3:uid="{6FD0B07F-951E-4F33-A4AF-37469D9D587A}" uniqueName="30" name="S25" queryTableFieldId="30"/>
    <tableColumn id="31" xr3:uid="{5B2D6EA0-DA16-4623-A75D-40E345566DA7}" uniqueName="31" name="S26" queryTableFieldId="31"/>
    <tableColumn id="32" xr3:uid="{90483338-A9C1-4A9D-822D-3D6AB70FB093}" uniqueName="32" name="S27" queryTableFieldId="32"/>
    <tableColumn id="33" xr3:uid="{678DD3BA-B82A-47CE-B9A7-F6708D188BC5}" uniqueName="33" name="S28" queryTableFieldId="33"/>
    <tableColumn id="34" xr3:uid="{D9393E37-6FA1-4D9A-B4DB-FFBA7B0F54E7}" uniqueName="34" name="S29" queryTableFieldId="34"/>
    <tableColumn id="35" xr3:uid="{7B0FC74F-4CC1-4C20-8F39-5E0CBC203D8B}" uniqueName="35" name="S30" queryTableFieldId="35"/>
    <tableColumn id="36" xr3:uid="{C1C89463-BDE4-4967-9897-75359443E355}" uniqueName="36" name="S31" queryTableFieldId="36"/>
    <tableColumn id="37" xr3:uid="{AD939A60-472E-4811-8D8D-6126AF2C9130}" uniqueName="37" name="S32" queryTableFieldId="37"/>
    <tableColumn id="38" xr3:uid="{930195FD-0256-4261-B9A5-0779E833FBCC}" uniqueName="38" name="Column38" queryTableFieldId="38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771DFF-3478-4554-A4E9-B0AB28E3A007}">
  <dimension ref="A1:F42"/>
  <sheetViews>
    <sheetView zoomScale="82" workbookViewId="0">
      <selection activeCell="E25" sqref="E25"/>
    </sheetView>
  </sheetViews>
  <sheetFormatPr defaultRowHeight="14.4" x14ac:dyDescent="0.3"/>
  <cols>
    <col min="1" max="2" width="21.6640625" bestFit="1" customWidth="1"/>
    <col min="3" max="3" width="15.44140625" customWidth="1"/>
    <col min="4" max="4" width="10.109375" customWidth="1"/>
  </cols>
  <sheetData>
    <row r="1" spans="1:6" ht="30" x14ac:dyDescent="0.3">
      <c r="A1" s="38" t="s">
        <v>2382</v>
      </c>
      <c r="B1" s="38" t="s">
        <v>2383</v>
      </c>
      <c r="C1" s="38" t="s">
        <v>2363</v>
      </c>
      <c r="D1" s="39" t="s">
        <v>2381</v>
      </c>
      <c r="E1" s="38" t="s">
        <v>2353</v>
      </c>
      <c r="F1" s="38" t="s">
        <v>2388</v>
      </c>
    </row>
    <row r="2" spans="1:6" x14ac:dyDescent="0.3">
      <c r="A2" s="19" t="s">
        <v>2320</v>
      </c>
      <c r="B2" s="14" t="s">
        <v>2361</v>
      </c>
      <c r="C2" s="14" t="s">
        <v>2369</v>
      </c>
      <c r="D2" s="14" t="s">
        <v>2354</v>
      </c>
      <c r="E2" s="25" t="s">
        <v>2366</v>
      </c>
      <c r="F2" s="20" t="s">
        <v>2175</v>
      </c>
    </row>
    <row r="3" spans="1:6" x14ac:dyDescent="0.3">
      <c r="A3" s="21" t="s">
        <v>2322</v>
      </c>
      <c r="B3" s="12" t="s">
        <v>2361</v>
      </c>
      <c r="C3" s="12" t="s">
        <v>2369</v>
      </c>
      <c r="D3" s="12" t="s">
        <v>2354</v>
      </c>
      <c r="E3" s="26" t="s">
        <v>2367</v>
      </c>
      <c r="F3" s="22" t="s">
        <v>2177</v>
      </c>
    </row>
    <row r="4" spans="1:6" x14ac:dyDescent="0.3">
      <c r="A4" s="21" t="s">
        <v>2323</v>
      </c>
      <c r="B4" s="12" t="s">
        <v>2361</v>
      </c>
      <c r="C4" s="12" t="s">
        <v>2369</v>
      </c>
      <c r="D4" s="12" t="s">
        <v>2354</v>
      </c>
      <c r="E4" s="26" t="s">
        <v>2368</v>
      </c>
      <c r="F4" s="22" t="s">
        <v>2179</v>
      </c>
    </row>
    <row r="5" spans="1:6" x14ac:dyDescent="0.3">
      <c r="A5" s="21" t="s">
        <v>2325</v>
      </c>
      <c r="B5" s="12" t="s">
        <v>2361</v>
      </c>
      <c r="C5" s="12" t="s">
        <v>2369</v>
      </c>
      <c r="D5" s="28" t="s">
        <v>2354</v>
      </c>
      <c r="E5" s="26" t="s">
        <v>2389</v>
      </c>
      <c r="F5" s="22" t="s">
        <v>2181</v>
      </c>
    </row>
    <row r="6" spans="1:6" x14ac:dyDescent="0.3">
      <c r="A6" s="21" t="s">
        <v>2319</v>
      </c>
      <c r="B6" s="12" t="s">
        <v>2361</v>
      </c>
      <c r="C6" s="12" t="s">
        <v>2370</v>
      </c>
      <c r="D6" s="12" t="s">
        <v>2365</v>
      </c>
      <c r="E6" s="26" t="s">
        <v>2366</v>
      </c>
      <c r="F6" s="22" t="s">
        <v>2174</v>
      </c>
    </row>
    <row r="7" spans="1:6" x14ac:dyDescent="0.3">
      <c r="A7" s="21" t="s">
        <v>2321</v>
      </c>
      <c r="B7" s="12" t="s">
        <v>2361</v>
      </c>
      <c r="C7" s="12" t="s">
        <v>2370</v>
      </c>
      <c r="D7" s="12" t="s">
        <v>2365</v>
      </c>
      <c r="E7" s="26" t="s">
        <v>2367</v>
      </c>
      <c r="F7" s="22" t="s">
        <v>2176</v>
      </c>
    </row>
    <row r="8" spans="1:6" x14ac:dyDescent="0.3">
      <c r="A8" s="21" t="s">
        <v>2360</v>
      </c>
      <c r="B8" s="12" t="s">
        <v>2361</v>
      </c>
      <c r="C8" s="12" t="s">
        <v>2370</v>
      </c>
      <c r="D8" s="12" t="s">
        <v>2365</v>
      </c>
      <c r="E8" s="26" t="s">
        <v>2368</v>
      </c>
      <c r="F8" s="22" t="s">
        <v>2178</v>
      </c>
    </row>
    <row r="9" spans="1:6" x14ac:dyDescent="0.3">
      <c r="A9" s="21" t="s">
        <v>2324</v>
      </c>
      <c r="B9" s="12" t="s">
        <v>2361</v>
      </c>
      <c r="C9" s="12" t="s">
        <v>2370</v>
      </c>
      <c r="D9" s="28" t="s">
        <v>2365</v>
      </c>
      <c r="E9" s="26" t="s">
        <v>2389</v>
      </c>
      <c r="F9" s="22" t="s">
        <v>2180</v>
      </c>
    </row>
    <row r="10" spans="1:6" x14ac:dyDescent="0.3">
      <c r="A10" s="21" t="s">
        <v>2326</v>
      </c>
      <c r="B10" s="12" t="s">
        <v>2361</v>
      </c>
      <c r="C10" s="12" t="s">
        <v>2371</v>
      </c>
      <c r="D10" s="12" t="s">
        <v>2365</v>
      </c>
      <c r="E10" s="26" t="s">
        <v>2366</v>
      </c>
      <c r="F10" s="22" t="s">
        <v>2182</v>
      </c>
    </row>
    <row r="11" spans="1:6" x14ac:dyDescent="0.3">
      <c r="A11" s="21" t="s">
        <v>2327</v>
      </c>
      <c r="B11" s="12" t="s">
        <v>2361</v>
      </c>
      <c r="C11" s="12" t="s">
        <v>2371</v>
      </c>
      <c r="D11" s="12" t="s">
        <v>2365</v>
      </c>
      <c r="E11" s="26" t="s">
        <v>2367</v>
      </c>
      <c r="F11" s="22" t="s">
        <v>2183</v>
      </c>
    </row>
    <row r="12" spans="1:6" x14ac:dyDescent="0.3">
      <c r="A12" s="23" t="s">
        <v>2328</v>
      </c>
      <c r="B12" s="18" t="s">
        <v>2361</v>
      </c>
      <c r="C12" s="18" t="s">
        <v>2371</v>
      </c>
      <c r="D12" s="18" t="s">
        <v>2365</v>
      </c>
      <c r="E12" s="27" t="s">
        <v>2368</v>
      </c>
      <c r="F12" s="24" t="s">
        <v>2184</v>
      </c>
    </row>
    <row r="13" spans="1:6" ht="13.8" customHeight="1" x14ac:dyDescent="0.3">
      <c r="A13" s="21" t="s">
        <v>2330</v>
      </c>
      <c r="B13" s="12" t="s">
        <v>2362</v>
      </c>
      <c r="C13" s="12" t="s">
        <v>2369</v>
      </c>
      <c r="D13" s="12" t="s">
        <v>2354</v>
      </c>
      <c r="E13" s="26" t="s">
        <v>2366</v>
      </c>
      <c r="F13" s="22" t="s">
        <v>2186</v>
      </c>
    </row>
    <row r="14" spans="1:6" x14ac:dyDescent="0.3">
      <c r="A14" s="21" t="s">
        <v>2333</v>
      </c>
      <c r="B14" s="12" t="s">
        <v>2362</v>
      </c>
      <c r="C14" s="12" t="s">
        <v>2369</v>
      </c>
      <c r="D14" s="12" t="s">
        <v>2354</v>
      </c>
      <c r="E14" s="26" t="s">
        <v>2367</v>
      </c>
      <c r="F14" s="22" t="s">
        <v>2189</v>
      </c>
    </row>
    <row r="15" spans="1:6" x14ac:dyDescent="0.3">
      <c r="A15" s="21" t="s">
        <v>2336</v>
      </c>
      <c r="B15" s="12" t="s">
        <v>2362</v>
      </c>
      <c r="C15" s="12" t="s">
        <v>2369</v>
      </c>
      <c r="D15" s="12" t="s">
        <v>2354</v>
      </c>
      <c r="E15" s="26" t="s">
        <v>2368</v>
      </c>
      <c r="F15" s="22" t="s">
        <v>2192</v>
      </c>
    </row>
    <row r="16" spans="1:6" x14ac:dyDescent="0.3">
      <c r="A16" s="21" t="s">
        <v>2329</v>
      </c>
      <c r="B16" s="12" t="s">
        <v>2362</v>
      </c>
      <c r="C16" s="12" t="s">
        <v>2370</v>
      </c>
      <c r="D16" s="12" t="s">
        <v>2364</v>
      </c>
      <c r="E16" s="26" t="s">
        <v>2366</v>
      </c>
      <c r="F16" s="22" t="s">
        <v>2185</v>
      </c>
    </row>
    <row r="17" spans="1:6" x14ac:dyDescent="0.3">
      <c r="A17" s="21" t="s">
        <v>2332</v>
      </c>
      <c r="B17" s="12" t="s">
        <v>2362</v>
      </c>
      <c r="C17" s="12" t="s">
        <v>2370</v>
      </c>
      <c r="D17" s="12" t="s">
        <v>2364</v>
      </c>
      <c r="E17" s="26" t="s">
        <v>2367</v>
      </c>
      <c r="F17" s="22" t="s">
        <v>2188</v>
      </c>
    </row>
    <row r="18" spans="1:6" x14ac:dyDescent="0.3">
      <c r="A18" s="21" t="s">
        <v>2335</v>
      </c>
      <c r="B18" s="12" t="s">
        <v>2362</v>
      </c>
      <c r="C18" s="12" t="s">
        <v>2370</v>
      </c>
      <c r="D18" s="12" t="s">
        <v>2364</v>
      </c>
      <c r="E18" s="26" t="s">
        <v>2368</v>
      </c>
      <c r="F18" s="22" t="s">
        <v>2191</v>
      </c>
    </row>
    <row r="19" spans="1:6" x14ac:dyDescent="0.3">
      <c r="A19" s="21" t="s">
        <v>2331</v>
      </c>
      <c r="B19" s="12" t="s">
        <v>2362</v>
      </c>
      <c r="C19" s="12" t="s">
        <v>2371</v>
      </c>
      <c r="D19" s="12" t="s">
        <v>2364</v>
      </c>
      <c r="E19" s="26" t="s">
        <v>2366</v>
      </c>
      <c r="F19" s="22" t="s">
        <v>2187</v>
      </c>
    </row>
    <row r="20" spans="1:6" x14ac:dyDescent="0.3">
      <c r="A20" s="21" t="s">
        <v>2334</v>
      </c>
      <c r="B20" s="12" t="s">
        <v>2362</v>
      </c>
      <c r="C20" s="12" t="s">
        <v>2371</v>
      </c>
      <c r="D20" s="12" t="s">
        <v>2364</v>
      </c>
      <c r="E20" s="26" t="s">
        <v>2367</v>
      </c>
      <c r="F20" s="22" t="s">
        <v>2190</v>
      </c>
    </row>
    <row r="21" spans="1:6" x14ac:dyDescent="0.3">
      <c r="A21" s="23" t="s">
        <v>2337</v>
      </c>
      <c r="B21" s="18" t="s">
        <v>2362</v>
      </c>
      <c r="C21" s="18" t="s">
        <v>2371</v>
      </c>
      <c r="D21" s="18" t="s">
        <v>2364</v>
      </c>
      <c r="E21" s="27" t="s">
        <v>2368</v>
      </c>
      <c r="F21" s="24" t="s">
        <v>2193</v>
      </c>
    </row>
    <row r="24" spans="1:6" ht="30" x14ac:dyDescent="0.3">
      <c r="A24" s="38" t="s">
        <v>2382</v>
      </c>
      <c r="B24" s="38" t="s">
        <v>2383</v>
      </c>
      <c r="C24" s="38" t="s">
        <v>2363</v>
      </c>
      <c r="D24" s="39" t="s">
        <v>2381</v>
      </c>
      <c r="E24" s="38" t="s">
        <v>2390</v>
      </c>
    </row>
    <row r="25" spans="1:6" ht="14.4" customHeight="1" x14ac:dyDescent="0.3">
      <c r="A25" s="19" t="s">
        <v>2336</v>
      </c>
      <c r="B25" s="14" t="s">
        <v>2362</v>
      </c>
      <c r="C25" s="14" t="s">
        <v>2349</v>
      </c>
      <c r="D25" s="14" t="s">
        <v>2354</v>
      </c>
      <c r="E25" s="14" t="s">
        <v>2348</v>
      </c>
      <c r="F25" s="20" t="s">
        <v>2192</v>
      </c>
    </row>
    <row r="26" spans="1:6" ht="14.4" customHeight="1" x14ac:dyDescent="0.3">
      <c r="A26" s="21" t="s">
        <v>2335</v>
      </c>
      <c r="B26" s="12" t="s">
        <v>2362</v>
      </c>
      <c r="C26" s="12" t="s">
        <v>2347</v>
      </c>
      <c r="D26" s="12" t="s">
        <v>2364</v>
      </c>
      <c r="E26" s="12" t="s">
        <v>2348</v>
      </c>
      <c r="F26" s="22" t="s">
        <v>2191</v>
      </c>
    </row>
    <row r="27" spans="1:6" ht="14.4" customHeight="1" x14ac:dyDescent="0.3">
      <c r="A27" s="21" t="s">
        <v>2337</v>
      </c>
      <c r="B27" s="12" t="s">
        <v>2362</v>
      </c>
      <c r="C27" s="12" t="s">
        <v>2350</v>
      </c>
      <c r="D27" s="12" t="s">
        <v>2364</v>
      </c>
      <c r="E27" s="12" t="s">
        <v>2348</v>
      </c>
      <c r="F27" s="22" t="s">
        <v>2193</v>
      </c>
    </row>
    <row r="28" spans="1:6" ht="14.4" customHeight="1" x14ac:dyDescent="0.3">
      <c r="A28" s="21" t="s">
        <v>2372</v>
      </c>
      <c r="B28" s="12" t="s">
        <v>2362</v>
      </c>
      <c r="C28" s="12" t="s">
        <v>2349</v>
      </c>
      <c r="D28" s="12" t="s">
        <v>2354</v>
      </c>
      <c r="E28" s="12" t="s">
        <v>2351</v>
      </c>
      <c r="F28" s="22" t="s">
        <v>2198</v>
      </c>
    </row>
    <row r="29" spans="1:6" ht="14.4" customHeight="1" x14ac:dyDescent="0.3">
      <c r="A29" s="21" t="s">
        <v>2373</v>
      </c>
      <c r="B29" s="12" t="s">
        <v>2362</v>
      </c>
      <c r="C29" s="12" t="s">
        <v>2349</v>
      </c>
      <c r="D29" s="28" t="s">
        <v>2354</v>
      </c>
      <c r="E29" s="12" t="s">
        <v>2351</v>
      </c>
      <c r="F29" s="22" t="s">
        <v>2200</v>
      </c>
    </row>
    <row r="30" spans="1:6" ht="14.4" customHeight="1" x14ac:dyDescent="0.3">
      <c r="A30" s="21" t="s">
        <v>2374</v>
      </c>
      <c r="B30" s="12" t="s">
        <v>2362</v>
      </c>
      <c r="C30" s="12" t="s">
        <v>2349</v>
      </c>
      <c r="D30" s="12" t="s">
        <v>2354</v>
      </c>
      <c r="E30" s="12" t="s">
        <v>2352</v>
      </c>
      <c r="F30" s="22" t="s">
        <v>2199</v>
      </c>
    </row>
    <row r="31" spans="1:6" ht="14.4" customHeight="1" x14ac:dyDescent="0.3">
      <c r="A31" s="21" t="s">
        <v>2379</v>
      </c>
      <c r="B31" s="12" t="s">
        <v>2362</v>
      </c>
      <c r="C31" s="12" t="s">
        <v>2349</v>
      </c>
      <c r="D31" s="28" t="s">
        <v>2354</v>
      </c>
      <c r="E31" s="12" t="s">
        <v>2352</v>
      </c>
      <c r="F31" s="22" t="s">
        <v>2201</v>
      </c>
    </row>
    <row r="32" spans="1:6" ht="14.4" customHeight="1" x14ac:dyDescent="0.3">
      <c r="A32" s="21" t="s">
        <v>2375</v>
      </c>
      <c r="B32" s="12" t="s">
        <v>2362</v>
      </c>
      <c r="C32" s="12" t="s">
        <v>2347</v>
      </c>
      <c r="D32" s="12" t="s">
        <v>2364</v>
      </c>
      <c r="E32" s="12" t="s">
        <v>2351</v>
      </c>
      <c r="F32" s="22" t="s">
        <v>2194</v>
      </c>
    </row>
    <row r="33" spans="1:6" ht="14.4" customHeight="1" x14ac:dyDescent="0.3">
      <c r="A33" s="21" t="s">
        <v>2376</v>
      </c>
      <c r="B33" s="12" t="s">
        <v>2362</v>
      </c>
      <c r="C33" s="12" t="s">
        <v>2347</v>
      </c>
      <c r="D33" s="12" t="s">
        <v>2364</v>
      </c>
      <c r="E33" s="12" t="s">
        <v>2351</v>
      </c>
      <c r="F33" s="22" t="s">
        <v>2195</v>
      </c>
    </row>
    <row r="34" spans="1:6" ht="14.4" customHeight="1" x14ac:dyDescent="0.3">
      <c r="A34" s="21" t="s">
        <v>2377</v>
      </c>
      <c r="B34" s="12" t="s">
        <v>2362</v>
      </c>
      <c r="C34" s="12" t="s">
        <v>2347</v>
      </c>
      <c r="D34" s="12" t="s">
        <v>2364</v>
      </c>
      <c r="E34" s="12" t="s">
        <v>2352</v>
      </c>
      <c r="F34" s="22" t="s">
        <v>2196</v>
      </c>
    </row>
    <row r="35" spans="1:6" ht="14.4" customHeight="1" x14ac:dyDescent="0.3">
      <c r="A35" s="21" t="s">
        <v>2378</v>
      </c>
      <c r="B35" s="12" t="s">
        <v>2362</v>
      </c>
      <c r="C35" s="12" t="s">
        <v>2347</v>
      </c>
      <c r="D35" s="12" t="s">
        <v>2364</v>
      </c>
      <c r="E35" s="12" t="s">
        <v>2352</v>
      </c>
      <c r="F35" s="22" t="s">
        <v>2197</v>
      </c>
    </row>
    <row r="36" spans="1:6" ht="14.4" customHeight="1" x14ac:dyDescent="0.3">
      <c r="A36" s="21" t="s">
        <v>2380</v>
      </c>
      <c r="B36" s="12" t="s">
        <v>2362</v>
      </c>
      <c r="C36" s="12" t="s">
        <v>2350</v>
      </c>
      <c r="D36" s="28" t="s">
        <v>2364</v>
      </c>
      <c r="E36" s="12" t="s">
        <v>2351</v>
      </c>
      <c r="F36" s="22" t="s">
        <v>2202</v>
      </c>
    </row>
    <row r="37" spans="1:6" ht="14.4" customHeight="1" x14ac:dyDescent="0.3">
      <c r="A37" s="21" t="s">
        <v>2384</v>
      </c>
      <c r="B37" s="12" t="s">
        <v>2362</v>
      </c>
      <c r="C37" s="12" t="s">
        <v>2350</v>
      </c>
      <c r="D37" s="28" t="s">
        <v>2364</v>
      </c>
      <c r="E37" s="12" t="s">
        <v>2352</v>
      </c>
      <c r="F37" s="22" t="s">
        <v>2203</v>
      </c>
    </row>
    <row r="38" spans="1:6" ht="14.4" customHeight="1" x14ac:dyDescent="0.3">
      <c r="A38" s="23" t="s">
        <v>2385</v>
      </c>
      <c r="B38" s="18" t="s">
        <v>2362</v>
      </c>
      <c r="C38" s="18" t="s">
        <v>2350</v>
      </c>
      <c r="D38" s="29" t="s">
        <v>2364</v>
      </c>
      <c r="E38" s="18" t="s">
        <v>2351</v>
      </c>
      <c r="F38" s="24" t="s">
        <v>2204</v>
      </c>
    </row>
    <row r="39" spans="1:6" x14ac:dyDescent="0.3">
      <c r="B39" s="12"/>
    </row>
    <row r="40" spans="1:6" x14ac:dyDescent="0.3">
      <c r="B40" s="12"/>
    </row>
    <row r="41" spans="1:6" x14ac:dyDescent="0.3">
      <c r="B41" s="12"/>
    </row>
    <row r="42" spans="1:6" x14ac:dyDescent="0.3">
      <c r="B42" s="12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E30885-25C1-42A2-8D39-DA5346264697}">
  <dimension ref="A1:AG28"/>
  <sheetViews>
    <sheetView zoomScale="71" workbookViewId="0"/>
  </sheetViews>
  <sheetFormatPr defaultRowHeight="14.4" x14ac:dyDescent="0.3"/>
  <cols>
    <col min="2" max="2" width="19.33203125" bestFit="1" customWidth="1"/>
    <col min="13" max="13" width="14.21875" bestFit="1" customWidth="1"/>
    <col min="14" max="18" width="13.44140625" bestFit="1" customWidth="1"/>
    <col min="20" max="20" width="16" bestFit="1" customWidth="1"/>
    <col min="21" max="22" width="13.44140625" bestFit="1" customWidth="1"/>
    <col min="29" max="32" width="12.44140625" bestFit="1" customWidth="1"/>
  </cols>
  <sheetData>
    <row r="1" spans="1:33" x14ac:dyDescent="0.3">
      <c r="B1" t="s">
        <v>2172</v>
      </c>
      <c r="C1" t="s">
        <v>2174</v>
      </c>
      <c r="D1" t="s">
        <v>2175</v>
      </c>
      <c r="E1" t="s">
        <v>2176</v>
      </c>
      <c r="F1" t="s">
        <v>2177</v>
      </c>
      <c r="G1" t="s">
        <v>2178</v>
      </c>
      <c r="H1" t="s">
        <v>2179</v>
      </c>
      <c r="I1" t="s">
        <v>2180</v>
      </c>
      <c r="J1" t="s">
        <v>2181</v>
      </c>
      <c r="K1" t="s">
        <v>2182</v>
      </c>
      <c r="L1" t="s">
        <v>2183</v>
      </c>
      <c r="M1" t="s">
        <v>2184</v>
      </c>
      <c r="N1" t="s">
        <v>2185</v>
      </c>
      <c r="O1" t="s">
        <v>2186</v>
      </c>
      <c r="P1" t="s">
        <v>2187</v>
      </c>
      <c r="Q1" t="s">
        <v>2188</v>
      </c>
      <c r="R1" t="s">
        <v>2189</v>
      </c>
      <c r="S1" t="s">
        <v>2190</v>
      </c>
      <c r="T1" t="s">
        <v>2191</v>
      </c>
      <c r="U1" t="s">
        <v>2192</v>
      </c>
      <c r="V1" t="s">
        <v>2193</v>
      </c>
      <c r="W1" t="s">
        <v>2194</v>
      </c>
      <c r="X1" t="s">
        <v>2195</v>
      </c>
      <c r="Y1" t="s">
        <v>2196</v>
      </c>
      <c r="Z1" t="s">
        <v>2197</v>
      </c>
      <c r="AA1" t="s">
        <v>2198</v>
      </c>
      <c r="AB1" t="s">
        <v>2199</v>
      </c>
      <c r="AC1" t="s">
        <v>2200</v>
      </c>
      <c r="AD1" t="s">
        <v>2201</v>
      </c>
      <c r="AE1" t="s">
        <v>2202</v>
      </c>
      <c r="AF1" t="s">
        <v>2203</v>
      </c>
      <c r="AG1" t="s">
        <v>2204</v>
      </c>
    </row>
    <row r="2" spans="1:33" x14ac:dyDescent="0.3">
      <c r="C2" t="s">
        <v>2319</v>
      </c>
      <c r="D2" t="s">
        <v>2320</v>
      </c>
      <c r="E2" t="s">
        <v>2321</v>
      </c>
      <c r="F2" t="s">
        <v>2322</v>
      </c>
      <c r="G2" t="s">
        <v>2360</v>
      </c>
      <c r="H2" t="s">
        <v>2323</v>
      </c>
      <c r="I2" t="s">
        <v>2324</v>
      </c>
      <c r="J2" t="s">
        <v>2325</v>
      </c>
      <c r="K2" t="s">
        <v>2326</v>
      </c>
      <c r="L2" t="s">
        <v>2327</v>
      </c>
      <c r="M2" t="s">
        <v>2328</v>
      </c>
      <c r="N2" t="s">
        <v>2329</v>
      </c>
      <c r="O2" t="s">
        <v>2330</v>
      </c>
      <c r="P2" t="s">
        <v>2331</v>
      </c>
      <c r="Q2" t="s">
        <v>2332</v>
      </c>
      <c r="R2" t="s">
        <v>2333</v>
      </c>
      <c r="S2" t="s">
        <v>2334</v>
      </c>
      <c r="T2" t="s">
        <v>2335</v>
      </c>
      <c r="U2" t="s">
        <v>2336</v>
      </c>
      <c r="V2" t="s">
        <v>2337</v>
      </c>
      <c r="W2" t="s">
        <v>2338</v>
      </c>
      <c r="X2" t="s">
        <v>2338</v>
      </c>
      <c r="Y2" t="s">
        <v>2339</v>
      </c>
      <c r="Z2" t="s">
        <v>2339</v>
      </c>
      <c r="AA2" t="s">
        <v>2340</v>
      </c>
      <c r="AB2" t="s">
        <v>2341</v>
      </c>
      <c r="AC2" t="s">
        <v>2340</v>
      </c>
      <c r="AD2" t="s">
        <v>2341</v>
      </c>
      <c r="AE2" t="s">
        <v>2342</v>
      </c>
      <c r="AF2" t="s">
        <v>2339</v>
      </c>
      <c r="AG2" t="s">
        <v>2343</v>
      </c>
    </row>
    <row r="3" spans="1:33" x14ac:dyDescent="0.3">
      <c r="A3">
        <v>2</v>
      </c>
      <c r="B3" s="7" t="s">
        <v>17</v>
      </c>
      <c r="C3">
        <v>7.1565203000000004</v>
      </c>
      <c r="D3">
        <v>8.5015357659999999</v>
      </c>
      <c r="E3">
        <v>38.336457559999999</v>
      </c>
      <c r="F3">
        <v>6.513496688</v>
      </c>
      <c r="G3">
        <v>9.2716106440000008</v>
      </c>
      <c r="H3">
        <v>35.25090496</v>
      </c>
      <c r="I3">
        <v>17.917220520000001</v>
      </c>
      <c r="J3">
        <v>18.713669599999999</v>
      </c>
      <c r="K3">
        <v>7.8996503379999998</v>
      </c>
      <c r="L3">
        <v>1.979490279</v>
      </c>
      <c r="M3">
        <v>1.575368597</v>
      </c>
      <c r="N3">
        <v>0.33094456100000003</v>
      </c>
      <c r="O3">
        <v>0.51201391900000004</v>
      </c>
      <c r="P3">
        <v>0.42588141000000002</v>
      </c>
      <c r="Q3">
        <v>4.2107926410000003</v>
      </c>
      <c r="R3">
        <v>10.616566219999999</v>
      </c>
      <c r="S3">
        <v>0.23769754600000001</v>
      </c>
      <c r="T3">
        <v>3.6024699280000001</v>
      </c>
      <c r="U3">
        <v>5.9163701120000001</v>
      </c>
      <c r="V3">
        <v>3.6184654100000002</v>
      </c>
      <c r="W3">
        <v>9.0236419999999998E-2</v>
      </c>
      <c r="X3">
        <v>1.625197762</v>
      </c>
      <c r="Y3">
        <v>5.0330291999999999E-2</v>
      </c>
      <c r="Z3">
        <v>13.52769679</v>
      </c>
      <c r="AA3">
        <v>4.5857243539999999</v>
      </c>
      <c r="AB3">
        <v>1.5818254350000001</v>
      </c>
      <c r="AC3">
        <v>2.223047292</v>
      </c>
      <c r="AD3">
        <v>2.8040820119999998</v>
      </c>
      <c r="AE3">
        <v>1.206766512</v>
      </c>
      <c r="AF3">
        <v>0.49421408</v>
      </c>
      <c r="AG3">
        <v>0.96422682299999996</v>
      </c>
    </row>
    <row r="4" spans="1:33" x14ac:dyDescent="0.3">
      <c r="A4">
        <v>3</v>
      </c>
      <c r="B4" t="s">
        <v>16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3.7502339999999999E-3</v>
      </c>
      <c r="K4">
        <v>0</v>
      </c>
      <c r="L4">
        <v>2.7492920000000001E-2</v>
      </c>
      <c r="M4">
        <v>1.7952920000000001E-2</v>
      </c>
      <c r="N4">
        <v>1.9906440000000001E-2</v>
      </c>
      <c r="O4">
        <v>6.692992E-3</v>
      </c>
      <c r="P4">
        <v>4.5630150000000001E-2</v>
      </c>
      <c r="Q4">
        <v>3.6144139999999998E-3</v>
      </c>
      <c r="R4">
        <v>5.333618E-3</v>
      </c>
      <c r="S4">
        <v>3.8545547999999999E-2</v>
      </c>
      <c r="T4">
        <v>2.9264579999999998E-3</v>
      </c>
      <c r="U4">
        <v>1.5887137999999999E-2</v>
      </c>
      <c r="V4">
        <v>8.9899760000000002E-3</v>
      </c>
      <c r="W4">
        <v>4.5118210000000001E-3</v>
      </c>
      <c r="X4">
        <v>7.1911409999999999E-3</v>
      </c>
      <c r="Y4">
        <v>0</v>
      </c>
      <c r="Z4">
        <v>0</v>
      </c>
      <c r="AA4">
        <v>1.5101178E-2</v>
      </c>
      <c r="AB4">
        <v>0</v>
      </c>
      <c r="AC4">
        <v>4.1769155000000002E-2</v>
      </c>
      <c r="AD4">
        <v>6.8952839999999998E-3</v>
      </c>
      <c r="AE4">
        <v>0</v>
      </c>
      <c r="AF4">
        <v>3.6162005999999997E-2</v>
      </c>
      <c r="AG4">
        <v>3.584486E-3</v>
      </c>
    </row>
    <row r="5" spans="1:33" x14ac:dyDescent="0.3">
      <c r="A5">
        <v>4</v>
      </c>
      <c r="B5" s="8" t="s">
        <v>15</v>
      </c>
      <c r="C5">
        <v>39.995010010000001</v>
      </c>
      <c r="D5">
        <v>39.553166599999997</v>
      </c>
      <c r="E5">
        <v>26.51379747</v>
      </c>
      <c r="F5">
        <v>43.840190139999997</v>
      </c>
      <c r="G5">
        <v>24.149772169999999</v>
      </c>
      <c r="H5">
        <v>19.53651786</v>
      </c>
      <c r="I5">
        <v>14.296191049999999</v>
      </c>
      <c r="J5">
        <v>17.02981436</v>
      </c>
      <c r="K5">
        <v>49.943986160000001</v>
      </c>
      <c r="L5">
        <v>31.831303439999999</v>
      </c>
      <c r="M5">
        <v>23.520567320000001</v>
      </c>
      <c r="N5">
        <v>23.021797549999999</v>
      </c>
      <c r="O5">
        <v>15.66829529</v>
      </c>
      <c r="P5">
        <v>7.0209594199999996</v>
      </c>
      <c r="Q5">
        <v>5.2192142239999999</v>
      </c>
      <c r="R5">
        <v>11.02458798</v>
      </c>
      <c r="S5">
        <v>11.383785169999999</v>
      </c>
      <c r="T5">
        <v>16.30037166</v>
      </c>
      <c r="U5">
        <v>12.776436199999999</v>
      </c>
      <c r="V5">
        <v>11.785858770000001</v>
      </c>
      <c r="W5">
        <v>11.595379899999999</v>
      </c>
      <c r="X5">
        <v>13.842945500000001</v>
      </c>
      <c r="Y5">
        <v>26.756841770000001</v>
      </c>
      <c r="Z5">
        <v>34.220545350000002</v>
      </c>
      <c r="AA5">
        <v>4.7468035869999996</v>
      </c>
      <c r="AB5">
        <v>10.150437699999999</v>
      </c>
      <c r="AC5">
        <v>4.6131712089999999</v>
      </c>
      <c r="AD5">
        <v>29.6336306</v>
      </c>
      <c r="AE5">
        <v>12.261609740000001</v>
      </c>
      <c r="AF5">
        <v>9.5166345240000005</v>
      </c>
      <c r="AG5">
        <v>8.072263242</v>
      </c>
    </row>
    <row r="6" spans="1:33" x14ac:dyDescent="0.3">
      <c r="A6">
        <v>5</v>
      </c>
      <c r="B6" t="s">
        <v>14</v>
      </c>
      <c r="C6">
        <v>1.66334E-2</v>
      </c>
      <c r="D6">
        <v>4.0222319999999999E-2</v>
      </c>
      <c r="E6">
        <v>1.3078164E-2</v>
      </c>
      <c r="F6">
        <v>5.6589889999999997E-3</v>
      </c>
      <c r="G6">
        <v>1.3207422999999999E-2</v>
      </c>
      <c r="H6">
        <v>0</v>
      </c>
      <c r="I6">
        <v>0.16042535599999999</v>
      </c>
      <c r="J6">
        <v>4.1252577999999998E-2</v>
      </c>
      <c r="K6">
        <v>2.7158231000000001E-2</v>
      </c>
      <c r="L6">
        <v>1.0419816900000001</v>
      </c>
      <c r="M6">
        <v>4.9931554499999997</v>
      </c>
      <c r="N6">
        <v>0</v>
      </c>
      <c r="O6">
        <v>0</v>
      </c>
      <c r="P6">
        <v>0</v>
      </c>
      <c r="Q6">
        <v>3.6144139999999998E-3</v>
      </c>
      <c r="R6">
        <v>2.666809E-3</v>
      </c>
      <c r="S6">
        <v>0</v>
      </c>
      <c r="T6">
        <v>18.963448540000002</v>
      </c>
      <c r="U6">
        <v>5.7193696000000002E-2</v>
      </c>
      <c r="V6">
        <v>0</v>
      </c>
      <c r="W6">
        <v>9.0732719730000007</v>
      </c>
      <c r="X6">
        <v>2.3299295280000001</v>
      </c>
      <c r="Y6">
        <v>3.2871972299999999</v>
      </c>
      <c r="Z6">
        <v>5.6937060539999997</v>
      </c>
      <c r="AA6">
        <v>0.12584314899999999</v>
      </c>
      <c r="AB6">
        <v>4.8839447060000003</v>
      </c>
      <c r="AC6">
        <v>0.12530746700000001</v>
      </c>
      <c r="AD6">
        <v>2.7420244560000002</v>
      </c>
      <c r="AE6">
        <v>0</v>
      </c>
      <c r="AF6">
        <v>0</v>
      </c>
      <c r="AG6">
        <v>0</v>
      </c>
    </row>
    <row r="7" spans="1:33" x14ac:dyDescent="0.3">
      <c r="A7">
        <v>6</v>
      </c>
      <c r="B7" t="s">
        <v>13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5.333618E-3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</row>
    <row r="8" spans="1:33" x14ac:dyDescent="0.3">
      <c r="A8">
        <v>7</v>
      </c>
      <c r="B8" t="s">
        <v>12</v>
      </c>
      <c r="C8">
        <v>8.3166999999999998E-3</v>
      </c>
      <c r="D8">
        <v>2.1939447000000001E-2</v>
      </c>
      <c r="E8">
        <v>1.3078164E-2</v>
      </c>
      <c r="F8">
        <v>0</v>
      </c>
      <c r="G8">
        <v>0.20471505000000001</v>
      </c>
      <c r="H8">
        <v>3.5488680000000002E-3</v>
      </c>
      <c r="I8">
        <v>0.23376266200000001</v>
      </c>
      <c r="J8">
        <v>0.116257266</v>
      </c>
      <c r="K8">
        <v>3.3947790000000001E-3</v>
      </c>
      <c r="L8">
        <v>4.3988672999999999E-2</v>
      </c>
      <c r="M8">
        <v>0.161576266</v>
      </c>
      <c r="N8">
        <v>9.9532200000000005E-3</v>
      </c>
      <c r="O8">
        <v>0</v>
      </c>
      <c r="P8">
        <v>0</v>
      </c>
      <c r="Q8">
        <v>1.4457657E-2</v>
      </c>
      <c r="R8">
        <v>5.333618E-3</v>
      </c>
      <c r="S8">
        <v>0.14775793400000001</v>
      </c>
      <c r="T8">
        <v>0.59992391199999995</v>
      </c>
      <c r="U8">
        <v>3.1774275999999997E-2</v>
      </c>
      <c r="V8">
        <v>0.18429451199999999</v>
      </c>
      <c r="W8">
        <v>0.130842808</v>
      </c>
      <c r="X8">
        <v>0.20854307499999999</v>
      </c>
      <c r="Y8">
        <v>8.4932368999999994E-2</v>
      </c>
      <c r="Z8">
        <v>5.1449150999999999E-2</v>
      </c>
      <c r="AA8">
        <v>2.5168630000000001E-2</v>
      </c>
      <c r="AB8">
        <v>4.693844E-3</v>
      </c>
      <c r="AC8">
        <v>9.2820349999999992E-3</v>
      </c>
      <c r="AD8">
        <v>6.8952839999999998E-3</v>
      </c>
      <c r="AE8">
        <v>0.21549402000000001</v>
      </c>
      <c r="AF8">
        <v>9.0405014000000006E-2</v>
      </c>
      <c r="AG8">
        <v>8.6027671999999999E-2</v>
      </c>
    </row>
    <row r="9" spans="1:33" x14ac:dyDescent="0.3">
      <c r="A9">
        <v>8</v>
      </c>
      <c r="B9" t="s">
        <v>11</v>
      </c>
      <c r="C9">
        <v>0</v>
      </c>
      <c r="D9">
        <v>0</v>
      </c>
      <c r="E9">
        <v>0</v>
      </c>
      <c r="F9">
        <v>0</v>
      </c>
      <c r="G9">
        <v>0.11886680299999999</v>
      </c>
      <c r="H9">
        <v>7.0977360000000003E-3</v>
      </c>
      <c r="I9">
        <v>5.9586561000000003E-2</v>
      </c>
      <c r="J9">
        <v>0.105006563</v>
      </c>
      <c r="K9">
        <v>0</v>
      </c>
      <c r="L9">
        <v>2.749292E-3</v>
      </c>
      <c r="M9">
        <v>0</v>
      </c>
      <c r="N9">
        <v>0</v>
      </c>
      <c r="O9">
        <v>0</v>
      </c>
      <c r="P9">
        <v>0</v>
      </c>
      <c r="Q9">
        <v>0</v>
      </c>
      <c r="R9">
        <v>2.400128E-2</v>
      </c>
      <c r="S9">
        <v>1.2848516000000001E-2</v>
      </c>
      <c r="T9">
        <v>0</v>
      </c>
      <c r="U9">
        <v>7.3080833999999997E-2</v>
      </c>
      <c r="V9">
        <v>0.55737852300000001</v>
      </c>
      <c r="W9">
        <v>1.3535462999999999E-2</v>
      </c>
      <c r="X9">
        <v>7.1911409999999999E-3</v>
      </c>
      <c r="Y9">
        <v>9.4369299999999996E-3</v>
      </c>
      <c r="Z9">
        <v>0</v>
      </c>
      <c r="AA9">
        <v>1.5101178E-2</v>
      </c>
      <c r="AB9">
        <v>1.1734609999999999E-2</v>
      </c>
      <c r="AC9">
        <v>9.2820349999999992E-3</v>
      </c>
      <c r="AD9">
        <v>6.8952839999999998E-3</v>
      </c>
      <c r="AE9">
        <v>1.670078655</v>
      </c>
      <c r="AF9">
        <v>0.42189006800000001</v>
      </c>
      <c r="AG9">
        <v>0.73481969999999996</v>
      </c>
    </row>
    <row r="10" spans="1:33" x14ac:dyDescent="0.3">
      <c r="A10">
        <v>9</v>
      </c>
      <c r="B10" t="s">
        <v>10</v>
      </c>
      <c r="C10">
        <v>0</v>
      </c>
      <c r="D10">
        <v>3.656575E-3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3.1456430000000001E-3</v>
      </c>
      <c r="Z10">
        <v>0</v>
      </c>
      <c r="AA10">
        <v>0</v>
      </c>
      <c r="AB10">
        <v>4.693844E-3</v>
      </c>
      <c r="AC10">
        <v>0</v>
      </c>
      <c r="AD10">
        <v>0</v>
      </c>
      <c r="AE10">
        <v>0</v>
      </c>
      <c r="AF10">
        <v>0</v>
      </c>
      <c r="AG10">
        <v>0</v>
      </c>
    </row>
    <row r="11" spans="1:33" x14ac:dyDescent="0.3">
      <c r="A11">
        <v>10</v>
      </c>
      <c r="B11" s="4" t="s">
        <v>9</v>
      </c>
      <c r="C11">
        <v>5.1397205599999998</v>
      </c>
      <c r="D11">
        <v>2.8045926579999998</v>
      </c>
      <c r="E11">
        <v>4.5904355030000001</v>
      </c>
      <c r="F11">
        <v>1.30156754</v>
      </c>
      <c r="G11">
        <v>1.769794624</v>
      </c>
      <c r="H11">
        <v>5.490098658</v>
      </c>
      <c r="I11">
        <v>0.29793280500000002</v>
      </c>
      <c r="J11">
        <v>0.56253515799999998</v>
      </c>
      <c r="K11">
        <v>2.960247141</v>
      </c>
      <c r="L11">
        <v>0.35465867499999998</v>
      </c>
      <c r="M11">
        <v>0.74504611600000004</v>
      </c>
      <c r="N11">
        <v>0.44042997900000003</v>
      </c>
      <c r="O11">
        <v>0.74961515199999995</v>
      </c>
      <c r="P11">
        <v>8.5176279999999993E-2</v>
      </c>
      <c r="Q11">
        <v>5.4216213999999999E-2</v>
      </c>
      <c r="R11">
        <v>0.52536135299999998</v>
      </c>
      <c r="S11">
        <v>0.713092638</v>
      </c>
      <c r="T11">
        <v>0.122911241</v>
      </c>
      <c r="U11">
        <v>4.5024148459999997</v>
      </c>
      <c r="V11">
        <v>0.32363914300000002</v>
      </c>
      <c r="W11">
        <v>0.21205558599999999</v>
      </c>
      <c r="X11">
        <v>2.1573421999999998E-2</v>
      </c>
      <c r="Y11">
        <v>0.100660585</v>
      </c>
      <c r="Z11">
        <v>6.8598867999999993E-2</v>
      </c>
      <c r="AA11">
        <v>7.1680257730000001</v>
      </c>
      <c r="AB11">
        <v>0.39193597600000002</v>
      </c>
      <c r="AC11">
        <v>4.6410172999999999E-2</v>
      </c>
      <c r="AD11">
        <v>0.213753793</v>
      </c>
      <c r="AE11">
        <v>2.4135330239999999</v>
      </c>
      <c r="AF11">
        <v>1.904532305</v>
      </c>
      <c r="AG11">
        <v>1.8961932749999999</v>
      </c>
    </row>
    <row r="12" spans="1:33" x14ac:dyDescent="0.3">
      <c r="A12">
        <v>11</v>
      </c>
      <c r="B12" s="9" t="s">
        <v>8</v>
      </c>
      <c r="C12">
        <v>5.9173320199999999</v>
      </c>
      <c r="D12">
        <v>6.7792891720000004</v>
      </c>
      <c r="E12">
        <v>3.0602903399999999</v>
      </c>
      <c r="F12">
        <v>3.2256239020000002</v>
      </c>
      <c r="G12">
        <v>5.8706993299999999</v>
      </c>
      <c r="H12">
        <v>1.9980126410000001</v>
      </c>
      <c r="I12">
        <v>6.4995187269999999</v>
      </c>
      <c r="J12">
        <v>7.6692293229999997</v>
      </c>
      <c r="K12">
        <v>2.057235972</v>
      </c>
      <c r="L12">
        <v>1.3389052260000001</v>
      </c>
      <c r="M12">
        <v>1.285877787</v>
      </c>
      <c r="N12">
        <v>3.6354135580000002</v>
      </c>
      <c r="O12">
        <v>0.67599222999999997</v>
      </c>
      <c r="P12">
        <v>1.3263164000000001</v>
      </c>
      <c r="Q12">
        <v>3.6469440149999999</v>
      </c>
      <c r="R12">
        <v>1.6960904619999999</v>
      </c>
      <c r="S12">
        <v>2.0300655280000002</v>
      </c>
      <c r="T12">
        <v>3.2103245419999999</v>
      </c>
      <c r="U12">
        <v>1.6236654880000001</v>
      </c>
      <c r="V12">
        <v>2.0092596710000001</v>
      </c>
      <c r="W12">
        <v>0.58202490799999995</v>
      </c>
      <c r="X12">
        <v>1.912843385</v>
      </c>
      <c r="Y12">
        <v>0.54105064300000005</v>
      </c>
      <c r="Z12">
        <v>0.63453952300000005</v>
      </c>
      <c r="AA12">
        <v>0.86580086999999994</v>
      </c>
      <c r="AB12">
        <v>0.30744678199999997</v>
      </c>
      <c r="AC12">
        <v>0.91892142399999999</v>
      </c>
      <c r="AD12">
        <v>0.30339248400000002</v>
      </c>
      <c r="AE12">
        <v>1.0846532339999999</v>
      </c>
      <c r="AF12">
        <v>0.76542912600000002</v>
      </c>
      <c r="AG12">
        <v>0.903290555</v>
      </c>
    </row>
    <row r="13" spans="1:33" x14ac:dyDescent="0.3">
      <c r="A13">
        <v>12</v>
      </c>
      <c r="B13" t="s">
        <v>7</v>
      </c>
      <c r="C13">
        <v>0</v>
      </c>
      <c r="D13">
        <v>0</v>
      </c>
      <c r="E13">
        <v>0</v>
      </c>
      <c r="F13">
        <v>0</v>
      </c>
      <c r="G13">
        <v>6.603711E-3</v>
      </c>
      <c r="H13">
        <v>0</v>
      </c>
      <c r="I13">
        <v>2.2917908000000001E-2</v>
      </c>
      <c r="J13">
        <v>3.0001874000000001E-2</v>
      </c>
      <c r="K13">
        <v>8.8264249000000003E-2</v>
      </c>
      <c r="L13">
        <v>3.8490087999999999E-2</v>
      </c>
      <c r="M13">
        <v>4.7126411E-2</v>
      </c>
      <c r="N13">
        <v>4.9766100000000002E-3</v>
      </c>
      <c r="O13">
        <v>1.6732481E-2</v>
      </c>
      <c r="P13">
        <v>0</v>
      </c>
      <c r="Q13">
        <v>3.6144139999999998E-3</v>
      </c>
      <c r="R13">
        <v>3.4668516000000003E-2</v>
      </c>
      <c r="S13">
        <v>1.9272773999999999E-2</v>
      </c>
      <c r="T13">
        <v>1.7558747999999999E-2</v>
      </c>
      <c r="U13">
        <v>9.8500254999999995E-2</v>
      </c>
      <c r="V13">
        <v>0</v>
      </c>
      <c r="W13">
        <v>2.2559104999999999E-2</v>
      </c>
      <c r="X13">
        <v>7.1911409999999999E-3</v>
      </c>
      <c r="Y13">
        <v>3.4602077000000002E-2</v>
      </c>
      <c r="Z13">
        <v>6.8598870000000003E-3</v>
      </c>
      <c r="AA13">
        <v>4.0269807999999997E-2</v>
      </c>
      <c r="AB13">
        <v>3.5203829999999998E-2</v>
      </c>
      <c r="AC13">
        <v>4.6410169999999999E-3</v>
      </c>
      <c r="AD13">
        <v>6.8952839999999998E-3</v>
      </c>
      <c r="AE13">
        <v>1.0774700999999999E-2</v>
      </c>
      <c r="AF13">
        <v>2.4108003999999999E-2</v>
      </c>
      <c r="AG13">
        <v>3.584486E-3</v>
      </c>
    </row>
    <row r="14" spans="1:33" x14ac:dyDescent="0.3">
      <c r="A14">
        <v>13</v>
      </c>
      <c r="B14" t="s">
        <v>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6.7323440000000003E-3</v>
      </c>
      <c r="N14">
        <v>0</v>
      </c>
      <c r="O14">
        <v>0</v>
      </c>
      <c r="P14">
        <v>0</v>
      </c>
      <c r="Q14">
        <v>0</v>
      </c>
      <c r="R14">
        <v>0.170675769</v>
      </c>
      <c r="S14">
        <v>0</v>
      </c>
      <c r="T14">
        <v>0</v>
      </c>
      <c r="U14">
        <v>6.0371123999999998E-2</v>
      </c>
      <c r="V14">
        <v>0</v>
      </c>
      <c r="W14">
        <v>0</v>
      </c>
      <c r="X14">
        <v>0</v>
      </c>
      <c r="Y14">
        <v>0</v>
      </c>
      <c r="Z14">
        <v>0</v>
      </c>
      <c r="AA14">
        <v>0.115775697</v>
      </c>
      <c r="AB14">
        <v>5.8673049999999997E-2</v>
      </c>
      <c r="AC14">
        <v>0</v>
      </c>
      <c r="AD14">
        <v>2.2984279999999999E-3</v>
      </c>
      <c r="AE14">
        <v>0</v>
      </c>
      <c r="AF14">
        <v>0</v>
      </c>
      <c r="AG14">
        <v>0</v>
      </c>
    </row>
    <row r="15" spans="1:33" x14ac:dyDescent="0.3">
      <c r="A15">
        <v>14</v>
      </c>
      <c r="B15" t="s">
        <v>5</v>
      </c>
      <c r="C15">
        <v>0</v>
      </c>
      <c r="D15">
        <v>3.656575E-3</v>
      </c>
      <c r="E15">
        <v>0</v>
      </c>
      <c r="F15">
        <v>2.8294947000000001E-2</v>
      </c>
      <c r="G15">
        <v>1.3207422999999999E-2</v>
      </c>
      <c r="H15">
        <v>7.0977360000000003E-3</v>
      </c>
      <c r="I15">
        <v>4.5835820000000001E-3</v>
      </c>
      <c r="J15">
        <v>1.1250703000000001E-2</v>
      </c>
      <c r="K15">
        <v>0</v>
      </c>
      <c r="L15">
        <v>2.749292E-3</v>
      </c>
      <c r="M15">
        <v>2.2441150000000001E-3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</row>
    <row r="16" spans="1:33" x14ac:dyDescent="0.3">
      <c r="A16">
        <v>15</v>
      </c>
      <c r="B16" s="10" t="s">
        <v>4</v>
      </c>
      <c r="C16">
        <v>29.07518301</v>
      </c>
      <c r="D16">
        <v>23.445955850000001</v>
      </c>
      <c r="E16">
        <v>21.27381316</v>
      </c>
      <c r="F16">
        <v>33.427649819999999</v>
      </c>
      <c r="G16">
        <v>44.766558799999999</v>
      </c>
      <c r="H16">
        <v>33.572290449999997</v>
      </c>
      <c r="I16">
        <v>51.019846919999999</v>
      </c>
      <c r="J16">
        <v>45.231576959999998</v>
      </c>
      <c r="K16">
        <v>23.68197713</v>
      </c>
      <c r="L16">
        <v>53.905369360000002</v>
      </c>
      <c r="M16">
        <v>60.451964750000002</v>
      </c>
      <c r="N16">
        <v>48.840449900000003</v>
      </c>
      <c r="O16">
        <v>69.225620750000004</v>
      </c>
      <c r="P16">
        <v>77.945426280000007</v>
      </c>
      <c r="Q16">
        <v>48.848809039999999</v>
      </c>
      <c r="R16">
        <v>51.362739359999999</v>
      </c>
      <c r="S16">
        <v>58.518566110000002</v>
      </c>
      <c r="T16">
        <v>46.24974392</v>
      </c>
      <c r="U16">
        <v>64.708312190000001</v>
      </c>
      <c r="V16">
        <v>48.141322420000002</v>
      </c>
      <c r="W16">
        <v>74.093123989999995</v>
      </c>
      <c r="X16">
        <v>71.968934309999995</v>
      </c>
      <c r="Y16">
        <v>66.857502359999998</v>
      </c>
      <c r="Z16">
        <v>42.359801050000002</v>
      </c>
      <c r="AA16">
        <v>77.438840240000005</v>
      </c>
      <c r="AB16">
        <v>81.198807759999994</v>
      </c>
      <c r="AC16">
        <v>76.762426309999995</v>
      </c>
      <c r="AD16">
        <v>56.27011126</v>
      </c>
      <c r="AE16">
        <v>63.667708220000002</v>
      </c>
      <c r="AF16">
        <v>69.009161050000003</v>
      </c>
      <c r="AG16">
        <v>70.488923909999997</v>
      </c>
    </row>
    <row r="17" spans="1:33" x14ac:dyDescent="0.3">
      <c r="A17">
        <v>16</v>
      </c>
      <c r="B17" t="s">
        <v>3</v>
      </c>
      <c r="C17">
        <v>2.8858948899999999</v>
      </c>
      <c r="D17">
        <v>3.3311393919999999</v>
      </c>
      <c r="E17">
        <v>2.3148349979999998</v>
      </c>
      <c r="F17">
        <v>4.7195970799999998</v>
      </c>
      <c r="G17">
        <v>2.535825134</v>
      </c>
      <c r="H17">
        <v>0.91560792099999999</v>
      </c>
      <c r="I17">
        <v>0.93046706899999998</v>
      </c>
      <c r="J17">
        <v>4.6615413449999998</v>
      </c>
      <c r="K17">
        <v>1.9927351740000001</v>
      </c>
      <c r="L17">
        <v>1.968493112</v>
      </c>
      <c r="M17">
        <v>2.3136823720000002</v>
      </c>
      <c r="N17">
        <v>2.869015627</v>
      </c>
      <c r="O17">
        <v>1.054146308</v>
      </c>
      <c r="P17">
        <v>0.36808321999999999</v>
      </c>
      <c r="Q17">
        <v>0.60360718499999999</v>
      </c>
      <c r="R17">
        <v>0.54669582400000005</v>
      </c>
      <c r="S17">
        <v>5.1394064000000003E-2</v>
      </c>
      <c r="T17">
        <v>1.650522373</v>
      </c>
      <c r="U17">
        <v>0.44166243199999999</v>
      </c>
      <c r="V17">
        <v>0.121364678</v>
      </c>
      <c r="W17">
        <v>0.11279552399999999</v>
      </c>
      <c r="X17">
        <v>0.52495325900000001</v>
      </c>
      <c r="Y17">
        <v>0.58194400599999996</v>
      </c>
      <c r="Z17">
        <v>0.43560281200000001</v>
      </c>
      <c r="AA17">
        <v>0.10067452</v>
      </c>
      <c r="AB17">
        <v>4.4591517999999997E-2</v>
      </c>
      <c r="AC17">
        <v>0.20420476100000001</v>
      </c>
      <c r="AD17">
        <v>0.38613588399999998</v>
      </c>
      <c r="AE17">
        <v>0.43457960699999998</v>
      </c>
      <c r="AF17">
        <v>0.210945035</v>
      </c>
      <c r="AG17">
        <v>0.60577818999999999</v>
      </c>
    </row>
    <row r="18" spans="1:33" x14ac:dyDescent="0.3">
      <c r="A18">
        <v>17</v>
      </c>
      <c r="B18" s="4" t="s">
        <v>2</v>
      </c>
      <c r="C18">
        <v>9.7970725299999994</v>
      </c>
      <c r="D18">
        <v>15.507532550000001</v>
      </c>
      <c r="E18">
        <v>3.862417717</v>
      </c>
      <c r="F18">
        <v>6.9379208840000004</v>
      </c>
      <c r="G18">
        <v>10.955557020000001</v>
      </c>
      <c r="H18">
        <v>3.2188231950000001</v>
      </c>
      <c r="I18">
        <v>8.3650364419999992</v>
      </c>
      <c r="J18">
        <v>5.7566097860000003</v>
      </c>
      <c r="K18">
        <v>11.34195607</v>
      </c>
      <c r="L18">
        <v>7.4588293500000002</v>
      </c>
      <c r="M18">
        <v>4.874217367</v>
      </c>
      <c r="N18">
        <v>20.827112570000001</v>
      </c>
      <c r="O18">
        <v>12.090890829999999</v>
      </c>
      <c r="P18">
        <v>12.77948467</v>
      </c>
      <c r="Q18">
        <v>37.376658110000001</v>
      </c>
      <c r="R18">
        <v>23.969278360000001</v>
      </c>
      <c r="S18">
        <v>26.834125660000002</v>
      </c>
      <c r="T18">
        <v>9.2329753290000003</v>
      </c>
      <c r="U18">
        <v>9.6847991909999998</v>
      </c>
      <c r="V18">
        <v>33.164022109999998</v>
      </c>
      <c r="W18">
        <v>4.0290561269999996</v>
      </c>
      <c r="X18">
        <v>7.3349633289999998</v>
      </c>
      <c r="Y18">
        <v>1.626297578</v>
      </c>
      <c r="Z18">
        <v>2.9703309889999998</v>
      </c>
      <c r="AA18">
        <v>4.7417698570000004</v>
      </c>
      <c r="AB18">
        <v>1.316623248</v>
      </c>
      <c r="AC18">
        <v>15.036896090000001</v>
      </c>
      <c r="AD18">
        <v>7.6123931259999997</v>
      </c>
      <c r="AE18">
        <v>16.99888661</v>
      </c>
      <c r="AF18">
        <v>17.508437799999999</v>
      </c>
      <c r="AG18">
        <v>16.191124810000002</v>
      </c>
    </row>
    <row r="19" spans="1:33" x14ac:dyDescent="0.3">
      <c r="A19">
        <v>18</v>
      </c>
      <c r="B19" t="s">
        <v>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3.3947790000000001E-3</v>
      </c>
      <c r="L19">
        <v>2.749292E-3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</row>
    <row r="20" spans="1:33" ht="15" thickBot="1" x14ac:dyDescent="0.35">
      <c r="A20">
        <v>19</v>
      </c>
      <c r="B20" t="s">
        <v>0</v>
      </c>
      <c r="C20">
        <v>8.3166999999999998E-3</v>
      </c>
      <c r="D20">
        <v>7.3131489999999997E-3</v>
      </c>
      <c r="E20">
        <v>2.1796940000000001E-2</v>
      </c>
      <c r="F20">
        <v>0</v>
      </c>
      <c r="G20">
        <v>0.32358185299999997</v>
      </c>
      <c r="H20">
        <v>0</v>
      </c>
      <c r="I20">
        <v>0.19251042800000001</v>
      </c>
      <c r="J20">
        <v>6.7504219000000004E-2</v>
      </c>
      <c r="K20">
        <v>0</v>
      </c>
      <c r="L20">
        <v>2.749292E-3</v>
      </c>
      <c r="M20">
        <v>4.4882300000000002E-3</v>
      </c>
      <c r="N20">
        <v>0</v>
      </c>
      <c r="O20">
        <v>0</v>
      </c>
      <c r="P20">
        <v>3.0420099999999999E-3</v>
      </c>
      <c r="Q20">
        <v>1.4457657E-2</v>
      </c>
      <c r="R20">
        <v>1.0667236E-2</v>
      </c>
      <c r="S20">
        <v>1.2848516000000001E-2</v>
      </c>
      <c r="T20">
        <v>4.6823330000000003E-2</v>
      </c>
      <c r="U20">
        <v>9.5322830000000008E-3</v>
      </c>
      <c r="V20">
        <v>8.5404774000000003E-2</v>
      </c>
      <c r="W20">
        <v>4.0606389E-2</v>
      </c>
      <c r="X20">
        <v>0.20854307499999999</v>
      </c>
      <c r="Y20">
        <v>6.6058509000000001E-2</v>
      </c>
      <c r="Z20">
        <v>3.0869490999999999E-2</v>
      </c>
      <c r="AA20">
        <v>1.5101178E-2</v>
      </c>
      <c r="AB20">
        <v>9.3876879999999999E-3</v>
      </c>
      <c r="AC20">
        <v>4.6410169999999999E-3</v>
      </c>
      <c r="AD20">
        <v>4.5968559999999999E-3</v>
      </c>
      <c r="AE20">
        <v>3.5915669999999997E-2</v>
      </c>
      <c r="AF20">
        <v>1.8081002999999998E-2</v>
      </c>
      <c r="AG20">
        <v>5.0182809000000002E-2</v>
      </c>
    </row>
    <row r="21" spans="1:33" x14ac:dyDescent="0.3">
      <c r="B21" s="30" t="s">
        <v>2386</v>
      </c>
      <c r="C21" s="31" t="s">
        <v>2344</v>
      </c>
      <c r="D21" s="31" t="s">
        <v>2345</v>
      </c>
      <c r="E21" s="31" t="s">
        <v>2346</v>
      </c>
      <c r="F21" s="31" t="s">
        <v>2315</v>
      </c>
      <c r="G21" s="31" t="s">
        <v>2316</v>
      </c>
      <c r="H21" s="31" t="s">
        <v>2317</v>
      </c>
      <c r="I21" s="31" t="s">
        <v>2318</v>
      </c>
      <c r="J21" s="32"/>
      <c r="M21" s="30" t="s">
        <v>2387</v>
      </c>
      <c r="N21" s="31" t="s">
        <v>2344</v>
      </c>
      <c r="O21" s="31" t="s">
        <v>2345</v>
      </c>
      <c r="P21" s="31" t="s">
        <v>2346</v>
      </c>
      <c r="Q21" s="31" t="s">
        <v>2315</v>
      </c>
      <c r="R21" s="31" t="s">
        <v>2316</v>
      </c>
      <c r="S21" s="31" t="s">
        <v>2317</v>
      </c>
      <c r="T21" s="31" t="s">
        <v>2318</v>
      </c>
      <c r="U21" s="32"/>
    </row>
    <row r="22" spans="1:33" x14ac:dyDescent="0.3">
      <c r="B22" s="40" t="s">
        <v>17</v>
      </c>
      <c r="C22" s="12">
        <f>(+C3+D3+K3)/3</f>
        <v>7.8525688013333337</v>
      </c>
      <c r="D22" s="12">
        <f>(+E3+F3+L3)/3</f>
        <v>15.609814842333334</v>
      </c>
      <c r="E22" s="12">
        <f>(+G3+H3+M3)/3</f>
        <v>15.365961400333333</v>
      </c>
      <c r="F22" s="12">
        <f>(+C3+E3+G3)/3</f>
        <v>18.254862834666664</v>
      </c>
      <c r="G22" s="12">
        <f>(+D3+F3+H3)/3</f>
        <v>16.755312471333333</v>
      </c>
      <c r="H22" s="12">
        <f>(+K3+L3+M3)/3</f>
        <v>3.8181697379999999</v>
      </c>
      <c r="I22" s="12">
        <f>+AVERAGE(F22:H22)</f>
        <v>12.942781681333331</v>
      </c>
      <c r="J22" s="34">
        <f>+_xlfn.STDEV.S(F22:H22)</f>
        <v>7.937636308143583</v>
      </c>
      <c r="M22" s="40" t="s">
        <v>17</v>
      </c>
      <c r="N22" s="12">
        <f>(+N3+O3+P3)/3</f>
        <v>0.42294663000000005</v>
      </c>
      <c r="O22" s="12">
        <f>(+Q3+R3+S3)/3</f>
        <v>5.0216854690000003</v>
      </c>
      <c r="P22" s="12">
        <f>(+T3+U3+V3)/3</f>
        <v>4.3791018166666671</v>
      </c>
      <c r="Q22" s="12">
        <f>(+N3+Q3+T3)/3</f>
        <v>2.7147357099999998</v>
      </c>
      <c r="R22" s="12">
        <f>(+P3+S3+V3)/3</f>
        <v>1.4273481219999999</v>
      </c>
      <c r="S22" s="12">
        <f>(+O3+R3+U3)/3</f>
        <v>5.6816500836666668</v>
      </c>
      <c r="T22" s="12">
        <f>+AVERAGE(Q22:S22)</f>
        <v>3.2745779718888888</v>
      </c>
      <c r="U22" s="34">
        <f>+_xlfn.STDEV.S(Q22:S22)</f>
        <v>2.1817054828523172</v>
      </c>
    </row>
    <row r="23" spans="1:33" x14ac:dyDescent="0.3">
      <c r="B23" s="41" t="s">
        <v>15</v>
      </c>
      <c r="C23" s="12">
        <f>(+C5+D5+K5)/3</f>
        <v>43.164054256666667</v>
      </c>
      <c r="D23" s="12">
        <f>(+E5+F5+L5)/3</f>
        <v>34.061763683333332</v>
      </c>
      <c r="E23" s="12">
        <f>(+G5+H5+M5)/3</f>
        <v>22.40228578333333</v>
      </c>
      <c r="F23" s="12">
        <f>(+C5+E5+G5)/3</f>
        <v>30.219526550000001</v>
      </c>
      <c r="G23" s="12">
        <f>(+D5+F5+H5)/3</f>
        <v>34.309958200000004</v>
      </c>
      <c r="H23" s="12">
        <f>(+K5+L5+M5)/3</f>
        <v>35.098618973333338</v>
      </c>
      <c r="I23" s="12">
        <f>+AVERAGE(F23:H23)</f>
        <v>33.209367907777782</v>
      </c>
      <c r="J23" s="34">
        <f t="shared" ref="J23:J26" si="0">+_xlfn.STDEV.S(F23:H23)</f>
        <v>2.6191334372951567</v>
      </c>
      <c r="M23" s="41" t="s">
        <v>15</v>
      </c>
      <c r="N23" s="12">
        <f>(+N5+O5+P5)/3</f>
        <v>15.237017419999999</v>
      </c>
      <c r="O23" s="12">
        <f>(+Q5+R5+S5)/3</f>
        <v>9.2091957913333324</v>
      </c>
      <c r="P23" s="12">
        <f>(+T5+U5+V5)/3</f>
        <v>13.620888876666667</v>
      </c>
      <c r="Q23" s="12">
        <f>(+N5+Q5+T5)/3</f>
        <v>14.847127811333332</v>
      </c>
      <c r="R23" s="12">
        <f>(+P5+S5+V5)/3</f>
        <v>10.063534453333334</v>
      </c>
      <c r="S23" s="12">
        <f>(+O5+R5+U54)/3</f>
        <v>8.8976277566666671</v>
      </c>
      <c r="T23" s="12">
        <f>+AVERAGE(Q23:S23)</f>
        <v>11.269430007111112</v>
      </c>
      <c r="U23" s="34">
        <f t="shared" ref="U23:U26" si="1">+_xlfn.STDEV.S(Q23:S23)</f>
        <v>3.1527409963530793</v>
      </c>
    </row>
    <row r="24" spans="1:33" x14ac:dyDescent="0.3">
      <c r="B24" s="42" t="s">
        <v>8</v>
      </c>
      <c r="C24" s="12">
        <f>(+C12+D12+K12)/3</f>
        <v>4.9179523879999998</v>
      </c>
      <c r="D24" s="12">
        <f>(+E12+F12+L12)/3</f>
        <v>2.5416064893333332</v>
      </c>
      <c r="E24" s="12">
        <f>(+G12+H12+M12)/3</f>
        <v>3.0515299193333334</v>
      </c>
      <c r="F24" s="12">
        <f>(+C12+E12+G12)/3</f>
        <v>4.9494405633333329</v>
      </c>
      <c r="G24" s="12">
        <f>(+D12+F12+H12)/3</f>
        <v>4.0009752383333339</v>
      </c>
      <c r="H24" s="12">
        <f>(+K12+L12+M12)/3</f>
        <v>1.560672995</v>
      </c>
      <c r="I24" s="12">
        <f>+AVERAGE(F24:H24)</f>
        <v>3.5036962655555555</v>
      </c>
      <c r="J24" s="34">
        <f t="shared" si="0"/>
        <v>1.7482566146370351</v>
      </c>
      <c r="M24" s="42" t="s">
        <v>8</v>
      </c>
      <c r="N24" s="12">
        <f>(+N12+O12+P12)/3</f>
        <v>1.8792407293333333</v>
      </c>
      <c r="O24" s="12">
        <f>(+Q12+R12+S12)/3</f>
        <v>2.4577000016666664</v>
      </c>
      <c r="P24" s="12">
        <f>(+T12+U12+V12)/3</f>
        <v>2.2810832336666667</v>
      </c>
      <c r="Q24" s="12">
        <f>(+N12+Q12+T12)/3</f>
        <v>3.4975607050000002</v>
      </c>
      <c r="R24" s="12">
        <f>(+P12+S12+V12)/3</f>
        <v>1.7885471996666666</v>
      </c>
      <c r="S24" s="12">
        <f>(+O12+R12+U12)/3</f>
        <v>1.33191606</v>
      </c>
      <c r="T24" s="12">
        <f>+AVERAGE(Q24:S24)</f>
        <v>2.2060079882222223</v>
      </c>
      <c r="U24" s="34">
        <f t="shared" si="1"/>
        <v>1.1415819351191414</v>
      </c>
    </row>
    <row r="25" spans="1:33" x14ac:dyDescent="0.3">
      <c r="B25" s="43" t="s">
        <v>4</v>
      </c>
      <c r="C25" s="12">
        <f>(+C16+D16+K16)/3</f>
        <v>25.401038663333335</v>
      </c>
      <c r="D25" s="12">
        <f>(+E16+F16+L16)/3</f>
        <v>36.20227744666667</v>
      </c>
      <c r="E25" s="12">
        <f>(+G16+H16+M16)/3</f>
        <v>46.263604666666673</v>
      </c>
      <c r="F25" s="12">
        <f>(+C16+E16+G16)/3</f>
        <v>31.705184990000003</v>
      </c>
      <c r="G25" s="12">
        <f>(+D16+F16+H16)/3</f>
        <v>30.148632039999999</v>
      </c>
      <c r="H25" s="12">
        <f>(+K16+L16+M16)/3</f>
        <v>46.013103746666673</v>
      </c>
      <c r="I25" s="12">
        <f>+AVERAGE(F25:H25)</f>
        <v>35.955640258888891</v>
      </c>
      <c r="J25" s="34">
        <f t="shared" si="0"/>
        <v>8.7447208719047147</v>
      </c>
      <c r="M25" s="43" t="s">
        <v>4</v>
      </c>
      <c r="N25" s="12">
        <f>(+N16+O16+P16)/3</f>
        <v>65.337165643333336</v>
      </c>
      <c r="O25" s="12">
        <f>(+Q16+R16+S16)/3</f>
        <v>52.91003817</v>
      </c>
      <c r="P25" s="12">
        <f>(+T16+U16+V16)/3</f>
        <v>53.033126176666663</v>
      </c>
      <c r="Q25" s="12">
        <f>(+N16+Q16+T16)/3</f>
        <v>47.979667620000008</v>
      </c>
      <c r="R25" s="12">
        <f>(+P16+S16+V16)/3</f>
        <v>61.53510493666667</v>
      </c>
      <c r="S25" s="12">
        <f>(+O16+R16+U16)/3</f>
        <v>61.765557433333335</v>
      </c>
      <c r="T25" s="12">
        <f>+AVERAGE(Q25:S25)</f>
        <v>57.093443330000007</v>
      </c>
      <c r="U25" s="34">
        <f t="shared" si="1"/>
        <v>7.8936023371743591</v>
      </c>
    </row>
    <row r="26" spans="1:33" ht="15" thickBot="1" x14ac:dyDescent="0.35">
      <c r="B26" s="44" t="s">
        <v>2</v>
      </c>
      <c r="C26" s="36">
        <f>(+C18+D18+K18)/3</f>
        <v>12.215520383333335</v>
      </c>
      <c r="D26" s="36">
        <f>(+E18+F18+L18)/3</f>
        <v>6.086389317000001</v>
      </c>
      <c r="E26" s="36">
        <f>(+G18+H18+M18)/3</f>
        <v>6.3495325273333334</v>
      </c>
      <c r="F26" s="36">
        <f>(+C18+E18+G18)/3</f>
        <v>8.2050157556666665</v>
      </c>
      <c r="G26" s="36">
        <f>(+D18+F18+H18)/3</f>
        <v>8.5547588763333327</v>
      </c>
      <c r="H26" s="36">
        <f>(+K18+L18+M18)/3</f>
        <v>7.8916675956666671</v>
      </c>
      <c r="I26" s="36">
        <f>+AVERAGE(F26:H26)</f>
        <v>8.217147409222223</v>
      </c>
      <c r="J26" s="37">
        <f t="shared" si="0"/>
        <v>0.33171206548380733</v>
      </c>
      <c r="M26" s="45" t="s">
        <v>2</v>
      </c>
      <c r="N26" s="12">
        <f>(+N18+O18+P18)/3</f>
        <v>15.232496023333335</v>
      </c>
      <c r="O26" s="12">
        <f>(+Q18+R18+S18)/3</f>
        <v>29.393354043333332</v>
      </c>
      <c r="P26" s="12">
        <f>(+T18+U18+V18)/3</f>
        <v>17.360598876666668</v>
      </c>
      <c r="Q26" s="12">
        <f>(+N18+Q18+T18)/3</f>
        <v>22.478915336333333</v>
      </c>
      <c r="R26" s="12">
        <f>(+P18+S18+V18)/3</f>
        <v>24.259210813333329</v>
      </c>
      <c r="S26" s="12">
        <f>(+O18+R18+U18)/3</f>
        <v>15.248322793666665</v>
      </c>
      <c r="T26" s="12">
        <f>+AVERAGE(Q26:S26)</f>
        <v>20.662149647777778</v>
      </c>
      <c r="U26" s="34">
        <f t="shared" si="1"/>
        <v>4.7722640225659703</v>
      </c>
    </row>
    <row r="27" spans="1:33" x14ac:dyDescent="0.3">
      <c r="M27" s="33"/>
      <c r="N27" s="12"/>
      <c r="O27" s="12"/>
      <c r="P27" s="12"/>
      <c r="Q27" s="12"/>
      <c r="R27" s="12"/>
      <c r="S27" s="12"/>
      <c r="T27" s="12"/>
      <c r="U27" s="34">
        <f>_xlfn.STDEV.S(F25:H25,Q25:S25)</f>
        <v>13.767848633534237</v>
      </c>
    </row>
    <row r="28" spans="1:33" ht="15" thickBot="1" x14ac:dyDescent="0.35">
      <c r="M28" s="35"/>
      <c r="N28" s="36"/>
      <c r="O28" s="36"/>
      <c r="P28" s="36"/>
      <c r="Q28" s="36"/>
      <c r="R28" s="36"/>
      <c r="S28" s="36"/>
      <c r="T28" s="36"/>
      <c r="U28" s="37">
        <f>+_xlfn.STDEV.S(I25,T25)</f>
        <v>14.946683890968538</v>
      </c>
    </row>
  </sheetData>
  <conditionalFormatting sqref="C22:H26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22:I26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N22:S26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T22:T26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22:J26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U22:U28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FFF4B1-5A90-4C4C-BD0E-5BCE56B28434}">
  <dimension ref="A1:AH130"/>
  <sheetViews>
    <sheetView zoomScale="35" zoomScaleNormal="70" workbookViewId="0">
      <selection activeCell="J9" sqref="J9"/>
    </sheetView>
  </sheetViews>
  <sheetFormatPr defaultRowHeight="14.4" x14ac:dyDescent="0.3"/>
  <cols>
    <col min="1" max="1" width="19.21875" bestFit="1" customWidth="1"/>
    <col min="2" max="2" width="30.5546875" bestFit="1" customWidth="1"/>
    <col min="3" max="22" width="12" bestFit="1" customWidth="1"/>
    <col min="23" max="24" width="15" bestFit="1" customWidth="1"/>
    <col min="25" max="26" width="15.6640625" bestFit="1" customWidth="1"/>
    <col min="27" max="27" width="12.88671875" bestFit="1" customWidth="1"/>
    <col min="28" max="28" width="13.5546875" bestFit="1" customWidth="1"/>
    <col min="29" max="29" width="12.88671875" bestFit="1" customWidth="1"/>
    <col min="30" max="30" width="13.5546875" bestFit="1" customWidth="1"/>
    <col min="31" max="31" width="13.77734375" bestFit="1" customWidth="1"/>
    <col min="32" max="33" width="14.44140625" bestFit="1" customWidth="1"/>
  </cols>
  <sheetData>
    <row r="1" spans="1:34" x14ac:dyDescent="0.3">
      <c r="A1" t="s">
        <v>2172</v>
      </c>
      <c r="B1" t="s">
        <v>2173</v>
      </c>
      <c r="C1" t="s">
        <v>2174</v>
      </c>
      <c r="D1" t="s">
        <v>2175</v>
      </c>
      <c r="E1" t="s">
        <v>2176</v>
      </c>
      <c r="F1" t="s">
        <v>2177</v>
      </c>
      <c r="G1" t="s">
        <v>2178</v>
      </c>
      <c r="H1" t="s">
        <v>2179</v>
      </c>
      <c r="I1" t="s">
        <v>2180</v>
      </c>
      <c r="J1" t="s">
        <v>2181</v>
      </c>
      <c r="K1" t="s">
        <v>2182</v>
      </c>
      <c r="L1" t="s">
        <v>2183</v>
      </c>
      <c r="M1" t="s">
        <v>2184</v>
      </c>
      <c r="N1" t="s">
        <v>2185</v>
      </c>
      <c r="O1" t="s">
        <v>2186</v>
      </c>
      <c r="P1" t="s">
        <v>2187</v>
      </c>
      <c r="Q1" t="s">
        <v>2188</v>
      </c>
      <c r="R1" t="s">
        <v>2189</v>
      </c>
      <c r="S1" t="s">
        <v>2190</v>
      </c>
      <c r="T1" t="s">
        <v>2191</v>
      </c>
      <c r="U1" t="s">
        <v>2192</v>
      </c>
      <c r="V1" t="s">
        <v>2193</v>
      </c>
      <c r="W1" t="s">
        <v>2194</v>
      </c>
      <c r="X1" t="s">
        <v>2195</v>
      </c>
      <c r="Y1" t="s">
        <v>2196</v>
      </c>
      <c r="Z1" t="s">
        <v>2197</v>
      </c>
      <c r="AA1" t="s">
        <v>2198</v>
      </c>
      <c r="AB1" t="s">
        <v>2199</v>
      </c>
      <c r="AC1" t="s">
        <v>2200</v>
      </c>
      <c r="AD1" t="s">
        <v>2201</v>
      </c>
      <c r="AE1" t="s">
        <v>2202</v>
      </c>
      <c r="AF1" t="s">
        <v>2203</v>
      </c>
      <c r="AG1" t="s">
        <v>2204</v>
      </c>
      <c r="AH1" t="s">
        <v>2205</v>
      </c>
    </row>
    <row r="2" spans="1:34" x14ac:dyDescent="0.3">
      <c r="C2" s="2" t="s">
        <v>2319</v>
      </c>
      <c r="D2" t="s">
        <v>2320</v>
      </c>
      <c r="E2" s="2" t="s">
        <v>2321</v>
      </c>
      <c r="F2" t="s">
        <v>2322</v>
      </c>
      <c r="G2" s="2" t="s">
        <v>2360</v>
      </c>
      <c r="H2" t="s">
        <v>2323</v>
      </c>
      <c r="I2" s="2" t="s">
        <v>2324</v>
      </c>
      <c r="J2" t="s">
        <v>2325</v>
      </c>
      <c r="K2" t="s">
        <v>2326</v>
      </c>
      <c r="L2" t="s">
        <v>2327</v>
      </c>
      <c r="M2" t="s">
        <v>2328</v>
      </c>
      <c r="N2" s="2" t="s">
        <v>2329</v>
      </c>
      <c r="O2" t="s">
        <v>2330</v>
      </c>
      <c r="P2" t="s">
        <v>2331</v>
      </c>
      <c r="Q2" s="2" t="s">
        <v>2332</v>
      </c>
      <c r="R2" t="s">
        <v>2333</v>
      </c>
      <c r="S2" t="s">
        <v>2334</v>
      </c>
      <c r="T2" s="2" t="s">
        <v>2335</v>
      </c>
      <c r="U2" t="s">
        <v>2336</v>
      </c>
      <c r="V2" t="s">
        <v>2337</v>
      </c>
      <c r="W2" t="s">
        <v>2338</v>
      </c>
      <c r="X2" t="s">
        <v>2338</v>
      </c>
      <c r="Y2" t="s">
        <v>2339</v>
      </c>
      <c r="Z2" t="s">
        <v>2339</v>
      </c>
      <c r="AA2" t="s">
        <v>2340</v>
      </c>
      <c r="AB2" t="s">
        <v>2341</v>
      </c>
      <c r="AC2" t="s">
        <v>2340</v>
      </c>
      <c r="AD2" t="s">
        <v>2341</v>
      </c>
      <c r="AE2" t="s">
        <v>2342</v>
      </c>
      <c r="AF2" t="s">
        <v>2339</v>
      </c>
      <c r="AG2" t="s">
        <v>2343</v>
      </c>
    </row>
    <row r="3" spans="1:34" x14ac:dyDescent="0.3">
      <c r="A3" t="s">
        <v>4</v>
      </c>
      <c r="B3" t="s">
        <v>2119</v>
      </c>
      <c r="C3">
        <v>0.40335995000000002</v>
      </c>
      <c r="D3">
        <v>0.72765833000000002</v>
      </c>
      <c r="E3">
        <v>0.63211125199999996</v>
      </c>
      <c r="F3">
        <v>2.2522777430000001</v>
      </c>
      <c r="G3">
        <v>2.6811067820000001</v>
      </c>
      <c r="H3">
        <v>2.831996593</v>
      </c>
      <c r="I3">
        <v>34.867305309999999</v>
      </c>
      <c r="J3">
        <v>34.228389270000001</v>
      </c>
      <c r="K3">
        <v>12.105781309999999</v>
      </c>
      <c r="L3">
        <v>48.459021800000002</v>
      </c>
      <c r="M3">
        <v>55.229909569999997</v>
      </c>
      <c r="N3">
        <v>42.719219670000001</v>
      </c>
      <c r="O3">
        <v>61.491868009999997</v>
      </c>
      <c r="P3">
        <v>73.966477040000001</v>
      </c>
      <c r="Q3">
        <v>40.676618349999998</v>
      </c>
      <c r="R3">
        <v>19.16102192</v>
      </c>
      <c r="S3">
        <v>54.336374149999997</v>
      </c>
      <c r="T3">
        <v>37.268444000000002</v>
      </c>
      <c r="U3">
        <v>45.913828170000002</v>
      </c>
      <c r="V3">
        <v>38.077044090000001</v>
      </c>
      <c r="W3">
        <v>9.6507850570000002</v>
      </c>
      <c r="X3">
        <v>51.452610389999997</v>
      </c>
      <c r="Y3">
        <v>3.9163258889999999</v>
      </c>
      <c r="Z3">
        <v>7.0862630749999997</v>
      </c>
      <c r="AA3">
        <v>35.653880999999998</v>
      </c>
      <c r="AB3">
        <v>3.0979370560000001</v>
      </c>
      <c r="AC3">
        <v>57.608947880000002</v>
      </c>
      <c r="AD3">
        <v>21.862645950000001</v>
      </c>
      <c r="AE3">
        <v>60.018676149999997</v>
      </c>
      <c r="AF3">
        <v>66.724927679999993</v>
      </c>
      <c r="AG3">
        <v>67.703778049999997</v>
      </c>
      <c r="AH3">
        <v>0</v>
      </c>
    </row>
    <row r="4" spans="1:34" x14ac:dyDescent="0.3">
      <c r="A4" t="s">
        <v>2</v>
      </c>
      <c r="B4" t="s">
        <v>2095</v>
      </c>
      <c r="C4">
        <v>9.7970725299999994</v>
      </c>
      <c r="D4">
        <v>15.507532550000001</v>
      </c>
      <c r="E4">
        <v>3.862417717</v>
      </c>
      <c r="F4">
        <v>6.9379208840000004</v>
      </c>
      <c r="G4">
        <v>10.955557020000001</v>
      </c>
      <c r="H4">
        <v>3.2188231950000001</v>
      </c>
      <c r="I4">
        <v>8.3650364419999992</v>
      </c>
      <c r="J4">
        <v>5.7566097860000003</v>
      </c>
      <c r="K4">
        <v>11.34195607</v>
      </c>
      <c r="L4">
        <v>7.4588293500000002</v>
      </c>
      <c r="M4">
        <v>4.874217367</v>
      </c>
      <c r="N4">
        <v>20.827112570000001</v>
      </c>
      <c r="O4">
        <v>12.090890829999999</v>
      </c>
      <c r="P4">
        <v>12.77948467</v>
      </c>
      <c r="Q4">
        <v>37.376658110000001</v>
      </c>
      <c r="R4">
        <v>23.969278360000001</v>
      </c>
      <c r="S4">
        <v>26.834125660000002</v>
      </c>
      <c r="T4">
        <v>9.2329753290000003</v>
      </c>
      <c r="U4">
        <v>9.6847991909999998</v>
      </c>
      <c r="V4" s="6">
        <v>33.164022109999998</v>
      </c>
      <c r="W4" s="6">
        <v>4.0290561269999996</v>
      </c>
      <c r="X4" s="6">
        <v>7.3349633289999998</v>
      </c>
      <c r="Y4" s="6">
        <v>1.626297578</v>
      </c>
      <c r="Z4" s="6">
        <v>2.9703309889999998</v>
      </c>
      <c r="AA4" s="6">
        <v>4.7417698570000004</v>
      </c>
      <c r="AB4" s="6">
        <v>1.316623248</v>
      </c>
      <c r="AC4" s="6">
        <v>15.036896090000001</v>
      </c>
      <c r="AD4" s="6">
        <v>7.6123931259999997</v>
      </c>
      <c r="AE4" s="6">
        <v>16.99888661</v>
      </c>
      <c r="AF4" s="6">
        <v>17.508437799999999</v>
      </c>
      <c r="AG4">
        <v>16.191124810000002</v>
      </c>
      <c r="AH4">
        <v>0</v>
      </c>
    </row>
    <row r="5" spans="1:34" ht="15" thickBot="1" x14ac:dyDescent="0.35">
      <c r="A5" t="s">
        <v>15</v>
      </c>
      <c r="B5" t="s">
        <v>2153</v>
      </c>
      <c r="C5">
        <v>33.287591489999997</v>
      </c>
      <c r="D5">
        <v>28.42255376</v>
      </c>
      <c r="E5">
        <v>18.706133659999999</v>
      </c>
      <c r="F5">
        <v>37.875615410000002</v>
      </c>
      <c r="G5">
        <v>13.94703823</v>
      </c>
      <c r="H5">
        <v>17.992760310000001</v>
      </c>
      <c r="I5">
        <v>5.1519457309999996</v>
      </c>
      <c r="J5">
        <v>6.9416838539999999</v>
      </c>
      <c r="K5">
        <v>46.094306959999997</v>
      </c>
      <c r="L5">
        <v>22.612927169999999</v>
      </c>
      <c r="M5">
        <v>15.251004249999999</v>
      </c>
      <c r="N5">
        <v>19.826813980000001</v>
      </c>
      <c r="O5">
        <v>13.349173410000001</v>
      </c>
      <c r="P5">
        <v>5.1987953600000001</v>
      </c>
      <c r="Q5">
        <v>1.008421585</v>
      </c>
      <c r="R5">
        <v>5.4056216340000001</v>
      </c>
      <c r="S5">
        <v>7.561351664</v>
      </c>
      <c r="T5">
        <v>0.21363144100000001</v>
      </c>
      <c r="U5">
        <v>6.0371123549999997</v>
      </c>
      <c r="V5" s="6">
        <v>3.209421495</v>
      </c>
      <c r="W5" s="6">
        <v>6.3165494000000003E-2</v>
      </c>
      <c r="X5" s="6">
        <v>0.15820509199999999</v>
      </c>
      <c r="Y5" s="6">
        <v>4.7184649000000002E-2</v>
      </c>
      <c r="Z5" s="6">
        <v>5.1449150999999999E-2</v>
      </c>
      <c r="AA5" s="6">
        <v>1.515151514</v>
      </c>
      <c r="AB5" s="6">
        <v>0.37550752199999998</v>
      </c>
      <c r="AC5" s="6">
        <v>1.220587552</v>
      </c>
      <c r="AD5" s="6">
        <v>0.76307805500000003</v>
      </c>
      <c r="AE5" s="6">
        <v>6.4037639620000002</v>
      </c>
      <c r="AF5" s="6">
        <v>6.876808101</v>
      </c>
      <c r="AG5">
        <v>3.1256720900000001</v>
      </c>
      <c r="AH5">
        <v>0</v>
      </c>
    </row>
    <row r="6" spans="1:34" ht="15" thickBot="1" x14ac:dyDescent="0.35">
      <c r="A6" t="s">
        <v>4</v>
      </c>
      <c r="B6" t="s">
        <v>2108</v>
      </c>
      <c r="C6">
        <v>2.04174984</v>
      </c>
      <c r="D6">
        <v>1.850226709</v>
      </c>
      <c r="E6">
        <v>1.0200967780000001</v>
      </c>
      <c r="F6">
        <v>0.34519834700000002</v>
      </c>
      <c r="G6">
        <v>2.9782737890000002</v>
      </c>
      <c r="H6">
        <v>0.117112641</v>
      </c>
      <c r="I6">
        <v>3.6485309629999998</v>
      </c>
      <c r="J6">
        <v>2.2763922729999999</v>
      </c>
      <c r="K6">
        <v>1.785653664</v>
      </c>
      <c r="L6">
        <v>1.039232398</v>
      </c>
      <c r="M6">
        <v>0.86174008800000002</v>
      </c>
      <c r="N6">
        <v>0.89827809400000003</v>
      </c>
      <c r="O6">
        <v>8.7008901E-2</v>
      </c>
      <c r="P6">
        <v>0.44717549000000001</v>
      </c>
      <c r="Q6">
        <v>1.040951314</v>
      </c>
      <c r="R6">
        <v>1.578750868</v>
      </c>
      <c r="S6">
        <v>1.9272773999999999E-2</v>
      </c>
      <c r="T6">
        <v>2.9732814360000002</v>
      </c>
      <c r="U6">
        <v>0.285968479</v>
      </c>
      <c r="V6" s="6">
        <v>0.22474940400000001</v>
      </c>
      <c r="W6" s="6">
        <v>58.315286049999997</v>
      </c>
      <c r="X6" s="6">
        <v>15.734215450000001</v>
      </c>
      <c r="Y6" s="6">
        <v>58.889587919999997</v>
      </c>
      <c r="Z6" s="6">
        <v>13.112673640000001</v>
      </c>
      <c r="AA6" s="46">
        <v>3.584012886</v>
      </c>
      <c r="AB6" s="47">
        <v>9.7561548029999994</v>
      </c>
      <c r="AC6" s="47">
        <v>0.403768505</v>
      </c>
      <c r="AD6" s="48">
        <v>1.3560724470000001</v>
      </c>
      <c r="AE6" s="6">
        <v>0.43098804000000002</v>
      </c>
      <c r="AF6" s="6">
        <v>0.15067502399999999</v>
      </c>
      <c r="AG6">
        <v>7.1689726999999995E-2</v>
      </c>
      <c r="AH6">
        <v>0</v>
      </c>
    </row>
    <row r="7" spans="1:34" x14ac:dyDescent="0.3">
      <c r="A7" t="s">
        <v>4</v>
      </c>
      <c r="B7" t="s">
        <v>2105</v>
      </c>
      <c r="C7">
        <v>0.3659348</v>
      </c>
      <c r="D7">
        <v>0.25596021699999999</v>
      </c>
      <c r="E7">
        <v>0.209250621</v>
      </c>
      <c r="F7">
        <v>0.16976967900000001</v>
      </c>
      <c r="G7">
        <v>0.99716040399999994</v>
      </c>
      <c r="H7">
        <v>0.344240188</v>
      </c>
      <c r="I7">
        <v>1.7463445950000001</v>
      </c>
      <c r="J7">
        <v>1.691355709</v>
      </c>
      <c r="K7">
        <v>0.461689921</v>
      </c>
      <c r="L7">
        <v>0.24743628500000001</v>
      </c>
      <c r="M7">
        <v>0.41291712600000002</v>
      </c>
      <c r="N7">
        <v>2.4883050000000001E-3</v>
      </c>
      <c r="O7">
        <v>0.120473863</v>
      </c>
      <c r="P7">
        <v>1.5210049999999999E-2</v>
      </c>
      <c r="Q7">
        <v>1.4168503990000001</v>
      </c>
      <c r="R7">
        <v>23.110565900000001</v>
      </c>
      <c r="S7">
        <v>6.4242580000000004E-3</v>
      </c>
      <c r="T7">
        <v>1.2905680260000001</v>
      </c>
      <c r="U7">
        <v>8.5282155589999995</v>
      </c>
      <c r="V7" s="6">
        <v>4.0454892999999999E-2</v>
      </c>
      <c r="W7" s="6">
        <v>7.6700957E-2</v>
      </c>
      <c r="X7" s="6">
        <v>0.73349633299999994</v>
      </c>
      <c r="Y7" s="6">
        <v>1.8873859999999999E-2</v>
      </c>
      <c r="Z7" s="6">
        <v>13.92900017</v>
      </c>
      <c r="AA7" s="6">
        <v>25.903553809999998</v>
      </c>
      <c r="AB7" s="6">
        <v>38.344011829999999</v>
      </c>
      <c r="AC7" s="6">
        <v>12.6282081</v>
      </c>
      <c r="AD7" s="6">
        <v>14.971959180000001</v>
      </c>
      <c r="AE7" s="6">
        <v>1.4366268E-2</v>
      </c>
      <c r="AF7" s="6">
        <v>6.0270009999999997E-3</v>
      </c>
      <c r="AG7">
        <v>7.168972E-3</v>
      </c>
      <c r="AH7">
        <v>0</v>
      </c>
    </row>
    <row r="8" spans="1:34" x14ac:dyDescent="0.3">
      <c r="A8" t="s">
        <v>17</v>
      </c>
      <c r="B8" t="s">
        <v>2168</v>
      </c>
      <c r="C8">
        <v>4.7488356600000001</v>
      </c>
      <c r="D8">
        <v>4.7133245590000001</v>
      </c>
      <c r="E8">
        <v>34.020663499999998</v>
      </c>
      <c r="F8">
        <v>2.2522777430000001</v>
      </c>
      <c r="G8">
        <v>5.1773096479999996</v>
      </c>
      <c r="H8">
        <v>33.228050250000003</v>
      </c>
      <c r="I8">
        <v>6.5682724490000002</v>
      </c>
      <c r="J8">
        <v>13.87211701</v>
      </c>
      <c r="K8">
        <v>3.8666530880000001</v>
      </c>
      <c r="L8">
        <v>0.68732301399999995</v>
      </c>
      <c r="M8">
        <v>1.140010323</v>
      </c>
      <c r="N8">
        <v>0.17915795800000001</v>
      </c>
      <c r="O8">
        <v>7.3622915999999997E-2</v>
      </c>
      <c r="P8">
        <v>0.29203297</v>
      </c>
      <c r="Q8">
        <v>1.756605341</v>
      </c>
      <c r="R8">
        <v>6.3576724100000002</v>
      </c>
      <c r="S8">
        <v>0.167030708</v>
      </c>
      <c r="T8">
        <v>1.946094641</v>
      </c>
      <c r="U8">
        <v>4.4769954280000004</v>
      </c>
      <c r="V8" s="6">
        <v>3.371241065</v>
      </c>
      <c r="W8" s="6">
        <v>4.9630030999999998E-2</v>
      </c>
      <c r="X8" s="6">
        <v>0.71911405299999998</v>
      </c>
      <c r="Y8" s="6">
        <v>3.1456432999999999E-2</v>
      </c>
      <c r="Z8" s="6">
        <v>0.88492539800000003</v>
      </c>
      <c r="AA8" s="6">
        <v>2.5520990640000001</v>
      </c>
      <c r="AB8" s="6">
        <v>0.67356661699999998</v>
      </c>
      <c r="AC8" s="6">
        <v>1.7218174230000001</v>
      </c>
      <c r="AD8" s="6">
        <v>2.2478624639999998</v>
      </c>
      <c r="AE8" s="6">
        <v>1.030779729</v>
      </c>
      <c r="AF8" s="6">
        <v>0.42189006800000001</v>
      </c>
      <c r="AG8">
        <v>0.91762850299999998</v>
      </c>
      <c r="AH8">
        <v>0</v>
      </c>
    </row>
    <row r="9" spans="1:34" x14ac:dyDescent="0.3">
      <c r="A9" t="s">
        <v>4</v>
      </c>
      <c r="B9" t="s">
        <v>2125</v>
      </c>
      <c r="C9">
        <v>15.94727213</v>
      </c>
      <c r="D9">
        <v>8.2309492550000005</v>
      </c>
      <c r="E9">
        <v>11.312611710000001</v>
      </c>
      <c r="F9">
        <v>14.0739064</v>
      </c>
      <c r="G9">
        <v>28.211054610000001</v>
      </c>
      <c r="H9">
        <v>4.0811980999999999</v>
      </c>
      <c r="I9">
        <v>3.4056011370000001</v>
      </c>
      <c r="J9">
        <v>2.2501406340000001</v>
      </c>
      <c r="K9">
        <v>4.0329972520000004</v>
      </c>
      <c r="L9">
        <v>2.0207296609999998</v>
      </c>
      <c r="M9">
        <v>2.1992325159999999</v>
      </c>
      <c r="N9">
        <v>1.595003486</v>
      </c>
      <c r="O9">
        <v>3.9254400619999998</v>
      </c>
      <c r="P9">
        <v>0.21294070000000001</v>
      </c>
      <c r="Q9">
        <v>2.280695412</v>
      </c>
      <c r="R9">
        <v>1.5600832060000001</v>
      </c>
      <c r="S9">
        <v>3.8545547999999999E-2</v>
      </c>
      <c r="T9">
        <v>0.49457141799999998</v>
      </c>
      <c r="U9">
        <v>2.9994916169999999</v>
      </c>
      <c r="V9" s="6">
        <v>0.55737851999999999</v>
      </c>
      <c r="W9" s="6">
        <v>0.24815015400000001</v>
      </c>
      <c r="X9" s="6">
        <v>1.251258451</v>
      </c>
      <c r="Y9" s="6">
        <v>0.54419628799999997</v>
      </c>
      <c r="Z9" s="6">
        <v>2.359801064</v>
      </c>
      <c r="AA9" s="6">
        <v>2.3960535589999998</v>
      </c>
      <c r="AB9" s="6">
        <v>6.1372010589999997</v>
      </c>
      <c r="AC9" s="6">
        <v>1.355177053</v>
      </c>
      <c r="AD9" s="6">
        <v>7.0584720079999999</v>
      </c>
      <c r="AE9" s="6">
        <v>9.6972309000000007E-2</v>
      </c>
      <c r="AF9" s="6">
        <v>3.6162005999999997E-2</v>
      </c>
      <c r="AG9">
        <v>7.5274211999999993E-2</v>
      </c>
      <c r="AH9">
        <v>0</v>
      </c>
    </row>
    <row r="10" spans="1:34" x14ac:dyDescent="0.3">
      <c r="A10" t="s">
        <v>15</v>
      </c>
      <c r="B10" t="s">
        <v>2150</v>
      </c>
      <c r="C10">
        <v>0.96057884000000004</v>
      </c>
      <c r="D10">
        <v>0.42050607000000001</v>
      </c>
      <c r="E10">
        <v>0.387985527</v>
      </c>
      <c r="F10">
        <v>0.413106219</v>
      </c>
      <c r="G10">
        <v>0.75282308600000003</v>
      </c>
      <c r="H10">
        <v>3.1939811999999998E-2</v>
      </c>
      <c r="I10">
        <v>0.14667461200000001</v>
      </c>
      <c r="J10">
        <v>0.13500843700000001</v>
      </c>
      <c r="K10">
        <v>7.1290355999999999E-2</v>
      </c>
      <c r="L10">
        <v>1.058477442</v>
      </c>
      <c r="M10">
        <v>1.050245732</v>
      </c>
      <c r="N10">
        <v>8.9578979000000003E-2</v>
      </c>
      <c r="O10">
        <v>0.11378087100000001</v>
      </c>
      <c r="P10">
        <v>2.7378090000000001E-2</v>
      </c>
      <c r="Q10">
        <v>0.35421259900000002</v>
      </c>
      <c r="R10">
        <v>0.54402901599999998</v>
      </c>
      <c r="S10">
        <v>9.6363870000000004E-2</v>
      </c>
      <c r="T10">
        <v>12.34672675</v>
      </c>
      <c r="U10">
        <v>0.98182511500000003</v>
      </c>
      <c r="V10" s="6">
        <v>0.16181957199999999</v>
      </c>
      <c r="W10" s="6">
        <v>8.640137159</v>
      </c>
      <c r="X10" s="6">
        <v>10.801093059999999</v>
      </c>
      <c r="Y10" s="6">
        <v>16.420257939999999</v>
      </c>
      <c r="Z10" s="6">
        <v>31.637797970000001</v>
      </c>
      <c r="AA10" s="6">
        <v>0.49833887100000002</v>
      </c>
      <c r="AB10" s="6">
        <v>5.9893449739999998</v>
      </c>
      <c r="AC10" s="6">
        <v>1.8842530289999999</v>
      </c>
      <c r="AD10" s="6">
        <v>26.480187560000001</v>
      </c>
      <c r="AE10" s="6">
        <v>5.7465071999999999E-2</v>
      </c>
      <c r="AF10" s="6">
        <v>3.0135004999999999E-2</v>
      </c>
      <c r="AG10">
        <v>4.3013836E-2</v>
      </c>
      <c r="AH10">
        <v>0</v>
      </c>
    </row>
    <row r="11" spans="1:34" x14ac:dyDescent="0.3">
      <c r="A11" t="s">
        <v>8</v>
      </c>
      <c r="B11" t="s">
        <v>2206</v>
      </c>
      <c r="C11">
        <v>1.247505E-2</v>
      </c>
      <c r="D11">
        <v>1.0969724E-2</v>
      </c>
      <c r="E11">
        <v>8.7187759999999993E-3</v>
      </c>
      <c r="F11">
        <v>0</v>
      </c>
      <c r="G11">
        <v>2.6414844999999999E-2</v>
      </c>
      <c r="H11">
        <v>0</v>
      </c>
      <c r="I11">
        <v>2.750149E-2</v>
      </c>
      <c r="J11">
        <v>1.5000937000000001E-2</v>
      </c>
      <c r="K11">
        <v>6.7895580000000002E-3</v>
      </c>
      <c r="L11">
        <v>8.2478759999999995E-3</v>
      </c>
      <c r="M11">
        <v>2.2441150000000001E-3</v>
      </c>
      <c r="N11">
        <v>0</v>
      </c>
      <c r="O11">
        <v>3.346496E-3</v>
      </c>
      <c r="P11">
        <v>0</v>
      </c>
      <c r="Q11">
        <v>3.6144139999999998E-3</v>
      </c>
      <c r="R11">
        <v>0</v>
      </c>
      <c r="S11">
        <v>1.9272773999999999E-2</v>
      </c>
      <c r="T11">
        <v>2.0485206999999998E-2</v>
      </c>
      <c r="U11">
        <v>3.1774279999999999E-3</v>
      </c>
      <c r="V11" s="6">
        <v>0</v>
      </c>
      <c r="W11" s="6">
        <v>0</v>
      </c>
      <c r="X11" s="6">
        <v>0</v>
      </c>
      <c r="Y11" s="6">
        <v>1.8873859E-2</v>
      </c>
      <c r="Z11" s="6">
        <v>0</v>
      </c>
      <c r="AA11" s="6">
        <v>0</v>
      </c>
      <c r="AB11" s="6">
        <v>4.693844E-3</v>
      </c>
      <c r="AC11" s="6">
        <v>0</v>
      </c>
      <c r="AD11" s="6">
        <v>2.2984279999999999E-3</v>
      </c>
      <c r="AE11" s="6">
        <v>0</v>
      </c>
      <c r="AF11" s="6">
        <v>6.0270009999999997E-3</v>
      </c>
      <c r="AG11">
        <v>3.584486E-3</v>
      </c>
      <c r="AH11">
        <v>66.666659999999993</v>
      </c>
    </row>
    <row r="12" spans="1:34" x14ac:dyDescent="0.3">
      <c r="A12" t="s">
        <v>17</v>
      </c>
      <c r="B12" t="s">
        <v>2171</v>
      </c>
      <c r="C12">
        <v>1.4554224899999999</v>
      </c>
      <c r="D12">
        <v>1.806347814</v>
      </c>
      <c r="E12">
        <v>3.3785256549999998</v>
      </c>
      <c r="F12">
        <v>2.6484069940000001</v>
      </c>
      <c r="G12">
        <v>3.658456052</v>
      </c>
      <c r="H12">
        <v>1.348569806</v>
      </c>
      <c r="I12">
        <v>10.487234730000001</v>
      </c>
      <c r="J12">
        <v>3.885242828</v>
      </c>
      <c r="K12">
        <v>3.4049631659999999</v>
      </c>
      <c r="L12">
        <v>1.1299590349999999</v>
      </c>
      <c r="M12">
        <v>0.334373107</v>
      </c>
      <c r="N12">
        <v>4.9766099000000001E-2</v>
      </c>
      <c r="O12">
        <v>0.33130312499999998</v>
      </c>
      <c r="P12">
        <v>3.9546129999999999E-2</v>
      </c>
      <c r="Q12">
        <v>1.6481729140000001</v>
      </c>
      <c r="R12">
        <v>1.936103259</v>
      </c>
      <c r="S12">
        <v>2.5697032000000002E-2</v>
      </c>
      <c r="T12">
        <v>0.89549618099999995</v>
      </c>
      <c r="U12">
        <v>0.40353329999999998</v>
      </c>
      <c r="V12" s="6">
        <v>6.2929833000000004E-2</v>
      </c>
      <c r="W12" s="6">
        <v>2.2559104999999999E-2</v>
      </c>
      <c r="X12" s="6">
        <v>0.66158492800000002</v>
      </c>
      <c r="Y12" s="6">
        <v>1.5728216E-2</v>
      </c>
      <c r="Z12" s="6">
        <v>12.49871377</v>
      </c>
      <c r="AA12" s="6">
        <v>0.87586831799999998</v>
      </c>
      <c r="AB12" s="6">
        <v>0.49754746599999999</v>
      </c>
      <c r="AC12" s="6">
        <v>0.16243560600000001</v>
      </c>
      <c r="AD12" s="6">
        <v>0.31488461899999998</v>
      </c>
      <c r="AE12" s="6">
        <v>8.6197607999999995E-2</v>
      </c>
      <c r="AF12" s="6">
        <v>3.0135004999999999E-2</v>
      </c>
      <c r="AG12">
        <v>1.4337945E-2</v>
      </c>
      <c r="AH12">
        <v>0</v>
      </c>
    </row>
    <row r="13" spans="1:34" x14ac:dyDescent="0.3">
      <c r="A13" t="s">
        <v>14</v>
      </c>
      <c r="B13" t="s">
        <v>2147</v>
      </c>
      <c r="C13">
        <v>1.66334E-2</v>
      </c>
      <c r="D13">
        <v>4.0222319999999999E-2</v>
      </c>
      <c r="E13">
        <v>1.3078164E-2</v>
      </c>
      <c r="F13">
        <v>5.6589889999999997E-3</v>
      </c>
      <c r="G13">
        <v>1.3207422999999999E-2</v>
      </c>
      <c r="H13">
        <v>0</v>
      </c>
      <c r="I13">
        <v>0.16042535599999999</v>
      </c>
      <c r="J13">
        <v>4.1252577999999998E-2</v>
      </c>
      <c r="K13">
        <v>2.7158231000000001E-2</v>
      </c>
      <c r="L13">
        <v>1.0419816900000001</v>
      </c>
      <c r="M13">
        <v>4.9931554499999997</v>
      </c>
      <c r="N13">
        <v>0</v>
      </c>
      <c r="O13">
        <v>0</v>
      </c>
      <c r="P13">
        <v>0</v>
      </c>
      <c r="Q13">
        <v>3.6144139999999998E-3</v>
      </c>
      <c r="R13">
        <v>2.666809E-3</v>
      </c>
      <c r="S13">
        <v>0</v>
      </c>
      <c r="T13">
        <v>18.963448540000002</v>
      </c>
      <c r="U13">
        <v>5.7193696000000002E-2</v>
      </c>
      <c r="V13" s="6">
        <v>0</v>
      </c>
      <c r="W13" s="6">
        <v>9.0732719730000007</v>
      </c>
      <c r="X13" s="6">
        <v>2.3299295280000001</v>
      </c>
      <c r="Y13" s="6">
        <v>3.2871972299999999</v>
      </c>
      <c r="Z13" s="6">
        <v>5.6937060539999997</v>
      </c>
      <c r="AA13" s="6">
        <v>0.12584314899999999</v>
      </c>
      <c r="AB13" s="6">
        <v>4.8839447060000003</v>
      </c>
      <c r="AC13" s="6">
        <v>0.12530746700000001</v>
      </c>
      <c r="AD13" s="6">
        <v>2.7420244560000002</v>
      </c>
      <c r="AE13" s="6">
        <v>0</v>
      </c>
      <c r="AF13" s="6">
        <v>0</v>
      </c>
      <c r="AG13">
        <v>0</v>
      </c>
      <c r="AH13">
        <v>0</v>
      </c>
    </row>
    <row r="14" spans="1:34" x14ac:dyDescent="0.3">
      <c r="A14" t="s">
        <v>15</v>
      </c>
      <c r="B14" t="s">
        <v>2156</v>
      </c>
      <c r="C14">
        <v>0.61959414999999995</v>
      </c>
      <c r="D14">
        <v>2.6912388479999998</v>
      </c>
      <c r="E14">
        <v>5.1702341000000001</v>
      </c>
      <c r="F14">
        <v>2.461660347</v>
      </c>
      <c r="G14">
        <v>4.4310902719999996</v>
      </c>
      <c r="H14">
        <v>1.0753069770000001</v>
      </c>
      <c r="I14">
        <v>6.8112022740000002</v>
      </c>
      <c r="J14">
        <v>8.1680104999999994</v>
      </c>
      <c r="K14">
        <v>1.2255151580000001</v>
      </c>
      <c r="L14">
        <v>3.1809309099999998</v>
      </c>
      <c r="M14">
        <v>1.438477593</v>
      </c>
      <c r="N14">
        <v>0.30854981599999998</v>
      </c>
      <c r="O14">
        <v>0.93032594800000001</v>
      </c>
      <c r="P14">
        <v>0.16426855000000001</v>
      </c>
      <c r="Q14">
        <v>7.2288279999999996E-3</v>
      </c>
      <c r="R14">
        <v>2.1494479709999998</v>
      </c>
      <c r="S14">
        <v>0.488243608</v>
      </c>
      <c r="T14">
        <v>1.4632289999999999E-2</v>
      </c>
      <c r="U14">
        <v>1.0803253690000001</v>
      </c>
      <c r="V14" s="6">
        <v>0.47646873699999998</v>
      </c>
      <c r="W14" s="6">
        <v>0</v>
      </c>
      <c r="X14" s="6">
        <v>3.5955702999999999E-2</v>
      </c>
      <c r="Y14" s="6">
        <v>3.1456430000000001E-3</v>
      </c>
      <c r="Z14" s="6">
        <v>0</v>
      </c>
      <c r="AA14" s="6">
        <v>0.47317024099999999</v>
      </c>
      <c r="AB14" s="6">
        <v>2.1122298000000001E-2</v>
      </c>
      <c r="AC14" s="6">
        <v>8.8179329000000001E-2</v>
      </c>
      <c r="AD14" s="6">
        <v>2.2984279999999999E-3</v>
      </c>
      <c r="AE14" s="6">
        <v>0.19394461800000001</v>
      </c>
      <c r="AF14" s="6">
        <v>8.4378014000000001E-2</v>
      </c>
      <c r="AG14">
        <v>0.121872536</v>
      </c>
      <c r="AH14">
        <v>0</v>
      </c>
    </row>
    <row r="15" spans="1:34" x14ac:dyDescent="0.3">
      <c r="A15" t="s">
        <v>3</v>
      </c>
      <c r="B15" t="s">
        <v>2102</v>
      </c>
      <c r="C15">
        <v>2.8858948899999999</v>
      </c>
      <c r="D15">
        <v>3.3311393919999999</v>
      </c>
      <c r="E15">
        <v>2.3148349979999998</v>
      </c>
      <c r="F15">
        <v>4.7195970799999998</v>
      </c>
      <c r="G15">
        <v>2.535825134</v>
      </c>
      <c r="H15">
        <v>0.91560792099999999</v>
      </c>
      <c r="I15">
        <v>0.93046706899999998</v>
      </c>
      <c r="J15">
        <v>4.6615413449999998</v>
      </c>
      <c r="K15">
        <v>1.9927351740000001</v>
      </c>
      <c r="L15">
        <v>1.968493112</v>
      </c>
      <c r="M15">
        <v>2.3136823720000002</v>
      </c>
      <c r="N15">
        <v>2.869015627</v>
      </c>
      <c r="O15">
        <v>1.054146308</v>
      </c>
      <c r="P15">
        <v>0.36808321999999999</v>
      </c>
      <c r="Q15">
        <v>0.60360718499999999</v>
      </c>
      <c r="R15">
        <v>0.54669582400000005</v>
      </c>
      <c r="S15">
        <v>5.1394064000000003E-2</v>
      </c>
      <c r="T15">
        <v>1.650522373</v>
      </c>
      <c r="U15">
        <v>0.44166243199999999</v>
      </c>
      <c r="V15" s="6">
        <v>0.121364678</v>
      </c>
      <c r="W15" s="6">
        <v>0.11279552399999999</v>
      </c>
      <c r="X15" s="6">
        <v>0.52495325900000001</v>
      </c>
      <c r="Y15" s="6">
        <v>0.58194400599999996</v>
      </c>
      <c r="Z15" s="6">
        <v>0.43560281200000001</v>
      </c>
      <c r="AA15" s="6">
        <v>0.10067452</v>
      </c>
      <c r="AB15" s="6">
        <v>4.4591517999999997E-2</v>
      </c>
      <c r="AC15" s="6">
        <v>0.20420476100000001</v>
      </c>
      <c r="AD15" s="6">
        <v>0.38613588399999998</v>
      </c>
      <c r="AE15" s="6">
        <v>0.43457960699999998</v>
      </c>
      <c r="AF15" s="6">
        <v>0.210945035</v>
      </c>
      <c r="AG15">
        <v>0.59860921700000003</v>
      </c>
      <c r="AH15">
        <v>0</v>
      </c>
    </row>
    <row r="16" spans="1:34" x14ac:dyDescent="0.3">
      <c r="A16" t="s">
        <v>4</v>
      </c>
      <c r="B16" t="s">
        <v>2115</v>
      </c>
      <c r="C16">
        <v>2.5823353299999998</v>
      </c>
      <c r="D16">
        <v>6.4501974579999999</v>
      </c>
      <c r="E16">
        <v>2.275600506</v>
      </c>
      <c r="F16">
        <v>6.2192292450000002</v>
      </c>
      <c r="G16">
        <v>1.4528164830000001</v>
      </c>
      <c r="H16">
        <v>1.646674711</v>
      </c>
      <c r="I16">
        <v>2.6630609160000001</v>
      </c>
      <c r="J16">
        <v>0.971310707</v>
      </c>
      <c r="K16">
        <v>1.0897240050000001</v>
      </c>
      <c r="L16">
        <v>0.18420256800000001</v>
      </c>
      <c r="M16">
        <v>3.8149952000000001E-2</v>
      </c>
      <c r="N16">
        <v>1.699512293</v>
      </c>
      <c r="O16">
        <v>0.75965464199999999</v>
      </c>
      <c r="P16">
        <v>0.60536002</v>
      </c>
      <c r="Q16">
        <v>0.36867025599999997</v>
      </c>
      <c r="R16">
        <v>0.18667662400000001</v>
      </c>
      <c r="S16">
        <v>0.14133367599999999</v>
      </c>
      <c r="T16">
        <v>0.16388165399999999</v>
      </c>
      <c r="U16">
        <v>0.18746822599999999</v>
      </c>
      <c r="V16" s="6">
        <v>6.3064682860000003</v>
      </c>
      <c r="W16" s="6">
        <v>0.460205739</v>
      </c>
      <c r="X16" s="6">
        <v>0.12944053</v>
      </c>
      <c r="Y16" s="6">
        <v>0.64800251499999995</v>
      </c>
      <c r="Z16" s="6">
        <v>0.174927113</v>
      </c>
      <c r="AA16" s="6">
        <v>3.0202356E-2</v>
      </c>
      <c r="AB16" s="6">
        <v>3.5203829999999998E-2</v>
      </c>
      <c r="AC16" s="6">
        <v>5.1051188999999997E-2</v>
      </c>
      <c r="AD16" s="6">
        <v>7.1251263999999995E-2</v>
      </c>
      <c r="AE16" s="6">
        <v>0.100563876</v>
      </c>
      <c r="AF16" s="6">
        <v>4.8216007999999998E-2</v>
      </c>
      <c r="AG16">
        <v>8.2443186000000002E-2</v>
      </c>
      <c r="AH16">
        <v>0</v>
      </c>
    </row>
    <row r="17" spans="1:34" x14ac:dyDescent="0.3">
      <c r="A17" t="s">
        <v>4</v>
      </c>
      <c r="B17" t="s">
        <v>2207</v>
      </c>
      <c r="C17">
        <v>9.1483700000000001E-2</v>
      </c>
      <c r="D17">
        <v>0.19379845000000001</v>
      </c>
      <c r="E17">
        <v>2.1796940000000001E-2</v>
      </c>
      <c r="F17">
        <v>5.6589889999999997E-3</v>
      </c>
      <c r="G17">
        <v>5.9433402000000003E-2</v>
      </c>
      <c r="H17">
        <v>1.0646604E-2</v>
      </c>
      <c r="I17">
        <v>4.1252234999999998E-2</v>
      </c>
      <c r="J17">
        <v>2.2501406000000002E-2</v>
      </c>
      <c r="K17">
        <v>6.7895580000000002E-3</v>
      </c>
      <c r="L17">
        <v>5.4985839999999999E-3</v>
      </c>
      <c r="M17">
        <v>2.2441150000000001E-3</v>
      </c>
      <c r="N17">
        <v>1.7418135000000001E-2</v>
      </c>
      <c r="O17">
        <v>3.346496E-3</v>
      </c>
      <c r="P17">
        <v>3.0420099999999999E-3</v>
      </c>
      <c r="Q17">
        <v>1.4457657E-2</v>
      </c>
      <c r="R17">
        <v>2.1334471000000001E-2</v>
      </c>
      <c r="S17">
        <v>0</v>
      </c>
      <c r="T17">
        <v>2.6338123000000001E-2</v>
      </c>
      <c r="U17">
        <v>1.2709711E-2</v>
      </c>
      <c r="V17" s="6">
        <v>8.9899760000000002E-3</v>
      </c>
      <c r="W17" s="6">
        <v>1.8047284E-2</v>
      </c>
      <c r="X17" s="6">
        <v>4.3146843999999997E-2</v>
      </c>
      <c r="Y17" s="6">
        <v>3.4602076000000002E-2</v>
      </c>
      <c r="Z17" s="6">
        <v>0.19893671700000001</v>
      </c>
      <c r="AA17" s="6">
        <v>2.0134903999999999E-2</v>
      </c>
      <c r="AB17" s="6">
        <v>0.22061066900000001</v>
      </c>
      <c r="AC17" s="6">
        <v>1.3923052E-2</v>
      </c>
      <c r="AD17" s="6">
        <v>0.121816677</v>
      </c>
      <c r="AE17" s="6">
        <v>0</v>
      </c>
      <c r="AF17" s="6">
        <v>6.0270009999999997E-3</v>
      </c>
      <c r="AG17">
        <v>3.584486E-3</v>
      </c>
      <c r="AH17">
        <v>33.333329999999997</v>
      </c>
    </row>
    <row r="18" spans="1:34" x14ac:dyDescent="0.3">
      <c r="A18" t="s">
        <v>4</v>
      </c>
      <c r="B18" t="s">
        <v>2132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2.666809E-3</v>
      </c>
      <c r="S18">
        <v>0</v>
      </c>
      <c r="T18">
        <v>0</v>
      </c>
      <c r="U18">
        <v>3.0598627359999999</v>
      </c>
      <c r="V18" s="6">
        <v>0</v>
      </c>
      <c r="W18" s="6">
        <v>4.9630030999999998E-2</v>
      </c>
      <c r="X18" s="6">
        <v>6.4720264999999999E-2</v>
      </c>
      <c r="Y18" s="6">
        <v>1.2582573E-2</v>
      </c>
      <c r="Z18" s="6">
        <v>4.8019208000000001E-2</v>
      </c>
      <c r="AA18" s="6">
        <v>6.5035739460000004</v>
      </c>
      <c r="AB18" s="6">
        <v>16.16559882</v>
      </c>
      <c r="AC18" s="6">
        <v>1.981714392</v>
      </c>
      <c r="AD18" s="6">
        <v>6.5505194449999999</v>
      </c>
      <c r="AE18" s="6">
        <v>0</v>
      </c>
      <c r="AF18" s="6">
        <v>0</v>
      </c>
      <c r="AG18">
        <v>0</v>
      </c>
      <c r="AH18">
        <v>0</v>
      </c>
    </row>
    <row r="19" spans="1:34" x14ac:dyDescent="0.3">
      <c r="A19" t="s">
        <v>9</v>
      </c>
      <c r="B19" t="s">
        <v>2141</v>
      </c>
      <c r="C19">
        <v>5.1397205599999998</v>
      </c>
      <c r="D19">
        <v>2.797279509</v>
      </c>
      <c r="E19">
        <v>4.586076115</v>
      </c>
      <c r="F19">
        <v>1.2676136039999999</v>
      </c>
      <c r="G19">
        <v>1.7631909130000001</v>
      </c>
      <c r="H19">
        <v>5.4226701679999998</v>
      </c>
      <c r="I19">
        <v>0.28418206000000001</v>
      </c>
      <c r="J19">
        <v>0.52128258000000005</v>
      </c>
      <c r="K19">
        <v>2.9534575830000001</v>
      </c>
      <c r="L19">
        <v>0.15121106300000001</v>
      </c>
      <c r="M19">
        <v>0.66874621300000003</v>
      </c>
      <c r="N19">
        <v>0.43545336899999998</v>
      </c>
      <c r="O19">
        <v>0.200789773</v>
      </c>
      <c r="P19">
        <v>5.4756180000000002E-2</v>
      </c>
      <c r="Q19">
        <v>5.0601800000000002E-2</v>
      </c>
      <c r="R19">
        <v>3.7335325000000003E-2</v>
      </c>
      <c r="S19">
        <v>0.64885005799999995</v>
      </c>
      <c r="T19">
        <v>4.0970413999999997E-2</v>
      </c>
      <c r="U19">
        <v>4.4483986000000003E-2</v>
      </c>
      <c r="V19" s="6">
        <v>0.287679238</v>
      </c>
      <c r="W19" s="6">
        <v>0.21205558599999999</v>
      </c>
      <c r="X19" s="6">
        <v>1.4382281E-2</v>
      </c>
      <c r="Y19" s="6">
        <v>9.7514941999999993E-2</v>
      </c>
      <c r="Z19" s="6">
        <v>6.5168925000000003E-2</v>
      </c>
      <c r="AA19" s="6">
        <v>1.0067451999999999E-2</v>
      </c>
      <c r="AB19" s="6">
        <v>1.6428453999999999E-2</v>
      </c>
      <c r="AC19" s="6">
        <v>1.3923052E-2</v>
      </c>
      <c r="AD19" s="6">
        <v>2.0685851000000002E-2</v>
      </c>
      <c r="AE19" s="6">
        <v>2.3919836220000001</v>
      </c>
      <c r="AF19" s="6">
        <v>1.8743973</v>
      </c>
      <c r="AG19">
        <v>1.8675173839999999</v>
      </c>
      <c r="AH19">
        <v>0</v>
      </c>
    </row>
    <row r="20" spans="1:34" x14ac:dyDescent="0.3">
      <c r="A20" t="s">
        <v>15</v>
      </c>
      <c r="B20" t="s">
        <v>2159</v>
      </c>
      <c r="C20">
        <v>0.11227545</v>
      </c>
      <c r="D20">
        <v>1.820974112</v>
      </c>
      <c r="E20">
        <v>3.4875103999999997E-2</v>
      </c>
      <c r="F20">
        <v>0</v>
      </c>
      <c r="G20">
        <v>4.6225979E-2</v>
      </c>
      <c r="H20">
        <v>7.0977360000000003E-3</v>
      </c>
      <c r="I20">
        <v>1.8334327000000001E-2</v>
      </c>
      <c r="J20">
        <v>6.0003750000000002E-2</v>
      </c>
      <c r="K20">
        <v>3.0553009999999999E-2</v>
      </c>
      <c r="L20">
        <v>3.5740795999999998E-2</v>
      </c>
      <c r="M20">
        <v>4.4882296000000002E-2</v>
      </c>
      <c r="N20">
        <v>0.21399422700000001</v>
      </c>
      <c r="O20">
        <v>0.92028645899999995</v>
      </c>
      <c r="P20">
        <v>1.2350561200000001</v>
      </c>
      <c r="Q20">
        <v>0.198792785</v>
      </c>
      <c r="R20">
        <v>1.829430903</v>
      </c>
      <c r="S20">
        <v>2.7367339070000001</v>
      </c>
      <c r="T20">
        <v>0.62626203499999999</v>
      </c>
      <c r="U20">
        <v>3.0789273009999998</v>
      </c>
      <c r="V20" s="6">
        <v>6.6615723469999999</v>
      </c>
      <c r="W20" s="6">
        <v>8.5724597999999999E-2</v>
      </c>
      <c r="X20" s="6">
        <v>0.56810010099999997</v>
      </c>
      <c r="Y20" s="6">
        <v>4.7184649000000002E-2</v>
      </c>
      <c r="Z20" s="6">
        <v>3.0869490999999999E-2</v>
      </c>
      <c r="AA20" s="6">
        <v>0.86580086599999995</v>
      </c>
      <c r="AB20" s="6">
        <v>0.100917647</v>
      </c>
      <c r="AC20" s="6">
        <v>0.66366547499999995</v>
      </c>
      <c r="AD20" s="6">
        <v>0.39992644999999999</v>
      </c>
      <c r="AE20" s="6">
        <v>4.8270660489999999</v>
      </c>
      <c r="AF20" s="6">
        <v>1.711668274</v>
      </c>
      <c r="AG20">
        <v>3.8497383319999998</v>
      </c>
      <c r="AH20">
        <v>0</v>
      </c>
    </row>
    <row r="21" spans="1:34" x14ac:dyDescent="0.3">
      <c r="A21" t="s">
        <v>15</v>
      </c>
      <c r="B21" t="s">
        <v>2208</v>
      </c>
      <c r="C21">
        <v>1.2391882999999999</v>
      </c>
      <c r="D21">
        <v>2.4316220569999998</v>
      </c>
      <c r="E21">
        <v>1.0898469850000001</v>
      </c>
      <c r="F21">
        <v>0.61682983400000002</v>
      </c>
      <c r="G21">
        <v>3.0112923469999999</v>
      </c>
      <c r="H21">
        <v>0.23777415099999999</v>
      </c>
      <c r="I21">
        <v>1.4988311860000001</v>
      </c>
      <c r="J21">
        <v>1.207575474</v>
      </c>
      <c r="K21">
        <v>1.3341480809999999</v>
      </c>
      <c r="L21">
        <v>1.3801446129999999</v>
      </c>
      <c r="M21">
        <v>1.945647541</v>
      </c>
      <c r="N21">
        <v>1.960784313</v>
      </c>
      <c r="O21">
        <v>0.133859847</v>
      </c>
      <c r="P21">
        <v>0.32853707999999998</v>
      </c>
      <c r="Q21">
        <v>1.3951639149999999</v>
      </c>
      <c r="R21">
        <v>0.42935623299999998</v>
      </c>
      <c r="S21">
        <v>0.379031222</v>
      </c>
      <c r="T21">
        <v>1.5832138360000001</v>
      </c>
      <c r="U21">
        <v>0.79435688900000001</v>
      </c>
      <c r="V21" s="6">
        <v>0.99788735500000003</v>
      </c>
      <c r="W21" s="6">
        <v>1.028695183</v>
      </c>
      <c r="X21" s="6">
        <v>1.3087875739999999</v>
      </c>
      <c r="Y21" s="6">
        <v>0.70462409699999995</v>
      </c>
      <c r="Z21" s="6">
        <v>1.0186931910000001</v>
      </c>
      <c r="AA21" s="6">
        <v>0.563777309</v>
      </c>
      <c r="AB21" s="6">
        <v>0.15254993</v>
      </c>
      <c r="AC21" s="6">
        <v>0.38056341999999999</v>
      </c>
      <c r="AD21" s="6">
        <v>0.41371701799999999</v>
      </c>
      <c r="AE21" s="6">
        <v>0.56028445199999999</v>
      </c>
      <c r="AF21" s="6">
        <v>0.69913211099999995</v>
      </c>
      <c r="AG21">
        <v>0.77424904999999999</v>
      </c>
      <c r="AH21">
        <v>0</v>
      </c>
    </row>
    <row r="22" spans="1:34" x14ac:dyDescent="0.3">
      <c r="A22" t="s">
        <v>4</v>
      </c>
      <c r="B22" t="s">
        <v>2122</v>
      </c>
      <c r="C22">
        <v>0.58216900000000005</v>
      </c>
      <c r="D22">
        <v>1.0384671649999999</v>
      </c>
      <c r="E22">
        <v>0.51004839000000002</v>
      </c>
      <c r="F22">
        <v>0.215041594</v>
      </c>
      <c r="G22">
        <v>1.2282902979999999</v>
      </c>
      <c r="H22">
        <v>0.12066151</v>
      </c>
      <c r="I22">
        <v>0.46294174399999999</v>
      </c>
      <c r="J22">
        <v>0.54378398699999997</v>
      </c>
      <c r="K22">
        <v>0.44811080599999997</v>
      </c>
      <c r="L22">
        <v>0.25568416100000002</v>
      </c>
      <c r="M22">
        <v>0.17055272499999999</v>
      </c>
      <c r="N22">
        <v>1.010251816</v>
      </c>
      <c r="O22">
        <v>1.3017870279999999</v>
      </c>
      <c r="P22">
        <v>1.44495482</v>
      </c>
      <c r="Q22">
        <v>1.666244984</v>
      </c>
      <c r="R22">
        <v>3.98954611</v>
      </c>
      <c r="S22">
        <v>2.332005653</v>
      </c>
      <c r="T22">
        <v>1.3725088519999999</v>
      </c>
      <c r="U22">
        <v>1.9986019319999999</v>
      </c>
      <c r="V22" s="6">
        <v>1.6451656400000001</v>
      </c>
      <c r="W22" s="6">
        <v>0.69030860900000002</v>
      </c>
      <c r="X22" s="6">
        <v>1.0858622200000001</v>
      </c>
      <c r="Y22" s="6">
        <v>0.67631330599999995</v>
      </c>
      <c r="Z22" s="6">
        <v>0.83690618999999999</v>
      </c>
      <c r="AA22" s="6">
        <v>1.0168126449999999</v>
      </c>
      <c r="AB22" s="6">
        <v>0.36846675600000001</v>
      </c>
      <c r="AC22" s="6">
        <v>1.0627929629999999</v>
      </c>
      <c r="AD22" s="6">
        <v>0.45508872</v>
      </c>
      <c r="AE22" s="6">
        <v>1.4043026970000001</v>
      </c>
      <c r="AF22" s="6">
        <v>0.52434908400000002</v>
      </c>
      <c r="AG22">
        <v>1.1111907670000001</v>
      </c>
      <c r="AH22">
        <v>0</v>
      </c>
    </row>
    <row r="23" spans="1:34" x14ac:dyDescent="0.3">
      <c r="A23" t="s">
        <v>8</v>
      </c>
      <c r="B23" t="s">
        <v>2138</v>
      </c>
      <c r="C23">
        <v>2.47005988</v>
      </c>
      <c r="D23">
        <v>3.367705135</v>
      </c>
      <c r="E23">
        <v>0.47081389800000001</v>
      </c>
      <c r="F23">
        <v>1.13179786</v>
      </c>
      <c r="G23">
        <v>1.4131942150000001</v>
      </c>
      <c r="H23">
        <v>0.92980339400000001</v>
      </c>
      <c r="I23">
        <v>2.0992803769999999</v>
      </c>
      <c r="J23">
        <v>2.8014250879999998</v>
      </c>
      <c r="K23">
        <v>0.55674372699999997</v>
      </c>
      <c r="L23">
        <v>0.13746460199999999</v>
      </c>
      <c r="M23">
        <v>0.231143826</v>
      </c>
      <c r="N23">
        <v>0.15427490799999999</v>
      </c>
      <c r="O23">
        <v>0.240947726</v>
      </c>
      <c r="P23">
        <v>0.25248683</v>
      </c>
      <c r="Q23">
        <v>0.35421259900000002</v>
      </c>
      <c r="R23">
        <v>0.79470905300000005</v>
      </c>
      <c r="S23">
        <v>0.66169857399999998</v>
      </c>
      <c r="T23">
        <v>0.58236516400000005</v>
      </c>
      <c r="U23">
        <v>0.47979156299999998</v>
      </c>
      <c r="V23">
        <v>0.71919809199999996</v>
      </c>
      <c r="W23">
        <v>6.3165494000000003E-2</v>
      </c>
      <c r="X23">
        <v>0.31641018500000001</v>
      </c>
      <c r="Y23">
        <v>5.9767223000000001E-2</v>
      </c>
      <c r="Z23">
        <v>5.1449149999999999E-2</v>
      </c>
      <c r="AA23">
        <v>0.397664352</v>
      </c>
      <c r="AB23">
        <v>9.3876879999999996E-2</v>
      </c>
      <c r="AC23">
        <v>0.264537986</v>
      </c>
      <c r="AD23">
        <v>8.9638687999999994E-2</v>
      </c>
      <c r="AE23">
        <v>0.47767841100000002</v>
      </c>
      <c r="AF23">
        <v>0.27121504400000002</v>
      </c>
      <c r="AG23">
        <v>0.24732955700000001</v>
      </c>
      <c r="AH23">
        <v>0</v>
      </c>
    </row>
    <row r="24" spans="1:34" x14ac:dyDescent="0.3">
      <c r="A24" t="s">
        <v>4</v>
      </c>
      <c r="B24" t="s">
        <v>2112</v>
      </c>
      <c r="C24">
        <v>1.0562208900000001</v>
      </c>
      <c r="D24">
        <v>1.18838672</v>
      </c>
      <c r="E24">
        <v>0.18309429399999999</v>
      </c>
      <c r="F24">
        <v>0.37349329399999998</v>
      </c>
      <c r="G24">
        <v>0.52169319199999997</v>
      </c>
      <c r="H24">
        <v>4.9684151000000003E-2</v>
      </c>
      <c r="I24">
        <v>0.28876564100000002</v>
      </c>
      <c r="J24">
        <v>0.26251640700000001</v>
      </c>
      <c r="K24">
        <v>1.089724004</v>
      </c>
      <c r="L24">
        <v>0.61309212899999999</v>
      </c>
      <c r="M24">
        <v>0.56776104699999996</v>
      </c>
      <c r="N24">
        <v>0.204041007</v>
      </c>
      <c r="O24">
        <v>0.77304062600000001</v>
      </c>
      <c r="P24">
        <v>0.70878836999999995</v>
      </c>
      <c r="Q24">
        <v>0.34336935699999999</v>
      </c>
      <c r="R24">
        <v>0.56536348599999997</v>
      </c>
      <c r="S24">
        <v>1.1370936659999999</v>
      </c>
      <c r="T24">
        <v>0.96865763400000005</v>
      </c>
      <c r="U24">
        <v>0.495678699</v>
      </c>
      <c r="V24">
        <v>0.69672315399999996</v>
      </c>
      <c r="W24">
        <v>3.7493232270000001</v>
      </c>
      <c r="X24">
        <v>0.46742413300000002</v>
      </c>
      <c r="Y24">
        <v>1.2708398860000001</v>
      </c>
      <c r="Z24">
        <v>0.32584462400000003</v>
      </c>
      <c r="AA24">
        <v>0.191281586</v>
      </c>
      <c r="AB24">
        <v>0.26520218699999998</v>
      </c>
      <c r="AC24">
        <v>0.36199935</v>
      </c>
      <c r="AD24">
        <v>0.41601544600000001</v>
      </c>
      <c r="AE24">
        <v>1.0271881620000001</v>
      </c>
      <c r="AF24">
        <v>0.64488910300000002</v>
      </c>
      <c r="AG24">
        <v>0.85669223500000002</v>
      </c>
      <c r="AH24">
        <v>0</v>
      </c>
    </row>
    <row r="25" spans="1:34" x14ac:dyDescent="0.3">
      <c r="A25" t="s">
        <v>8</v>
      </c>
      <c r="B25" t="s">
        <v>2209</v>
      </c>
      <c r="C25">
        <v>1.3473054</v>
      </c>
      <c r="D25">
        <v>1.08965921</v>
      </c>
      <c r="E25">
        <v>0.832643099</v>
      </c>
      <c r="F25">
        <v>0.48101409099999998</v>
      </c>
      <c r="G25">
        <v>0.84527504499999995</v>
      </c>
      <c r="H25">
        <v>0.13485698300000001</v>
      </c>
      <c r="I25">
        <v>0.45835816200000001</v>
      </c>
      <c r="J25">
        <v>0.50253140900000004</v>
      </c>
      <c r="K25">
        <v>0.499032488</v>
      </c>
      <c r="L25">
        <v>0.23643911500000001</v>
      </c>
      <c r="M25">
        <v>0.244608514</v>
      </c>
      <c r="N25">
        <v>3.0631034150000001</v>
      </c>
      <c r="O25">
        <v>0.23090823699999999</v>
      </c>
      <c r="P25">
        <v>0.45021749999999999</v>
      </c>
      <c r="Q25">
        <v>2.4397296439999998</v>
      </c>
      <c r="R25">
        <v>0.58136434000000003</v>
      </c>
      <c r="S25">
        <v>0.59103173600000003</v>
      </c>
      <c r="T25">
        <v>1.477861342</v>
      </c>
      <c r="U25">
        <v>0.54334011299999996</v>
      </c>
      <c r="V25">
        <v>0.64278329599999995</v>
      </c>
      <c r="W25">
        <v>0.175961019</v>
      </c>
      <c r="X25">
        <v>1.0858622200000001</v>
      </c>
      <c r="Y25">
        <v>0.116388801</v>
      </c>
      <c r="Z25">
        <v>0.34985422399999999</v>
      </c>
      <c r="AA25">
        <v>0.25168629999999997</v>
      </c>
      <c r="AB25">
        <v>9.1529957999999995E-2</v>
      </c>
      <c r="AC25">
        <v>0.41305053899999999</v>
      </c>
      <c r="AD25">
        <v>0.133308819</v>
      </c>
      <c r="AE25">
        <v>0.219085587</v>
      </c>
      <c r="AF25">
        <v>0.18081003000000001</v>
      </c>
      <c r="AG25">
        <v>0.35127966199999999</v>
      </c>
      <c r="AH25">
        <v>0</v>
      </c>
    </row>
    <row r="26" spans="1:34" x14ac:dyDescent="0.3">
      <c r="A26" t="s">
        <v>4</v>
      </c>
      <c r="B26" t="s">
        <v>2135</v>
      </c>
      <c r="C26">
        <v>9.9800399999999997E-2</v>
      </c>
      <c r="D26">
        <v>7.3131489999999993E-2</v>
      </c>
      <c r="E26">
        <v>4.3593879000000002E-2</v>
      </c>
      <c r="F26">
        <v>8.4884840000000003E-2</v>
      </c>
      <c r="G26">
        <v>1.3207422999999999E-2</v>
      </c>
      <c r="H26">
        <v>18.262474269999998</v>
      </c>
      <c r="I26">
        <v>4.5835820000000001E-3</v>
      </c>
      <c r="J26">
        <v>0</v>
      </c>
      <c r="K26">
        <v>6.7895580000000002E-3</v>
      </c>
      <c r="L26">
        <v>2.749292E-3</v>
      </c>
      <c r="M26">
        <v>4.4882300000000002E-3</v>
      </c>
      <c r="N26">
        <v>7.4649149999999999E-3</v>
      </c>
      <c r="O26">
        <v>0</v>
      </c>
      <c r="P26">
        <v>0</v>
      </c>
      <c r="Q26">
        <v>3.6144139999999998E-3</v>
      </c>
      <c r="R26">
        <v>0</v>
      </c>
      <c r="S26">
        <v>1.2848516000000001E-2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</row>
    <row r="27" spans="1:34" x14ac:dyDescent="0.3">
      <c r="A27" t="s">
        <v>15</v>
      </c>
      <c r="B27" t="s">
        <v>2162</v>
      </c>
      <c r="C27">
        <v>3.2559880300000001</v>
      </c>
      <c r="D27">
        <v>3.4883720930000002</v>
      </c>
      <c r="E27">
        <v>0.70622084699999998</v>
      </c>
      <c r="F27">
        <v>1.969328279</v>
      </c>
      <c r="G27">
        <v>0.50188205699999999</v>
      </c>
      <c r="H27">
        <v>7.8075093999999998E-2</v>
      </c>
      <c r="I27">
        <v>0.105422377</v>
      </c>
      <c r="J27">
        <v>7.5004688E-2</v>
      </c>
      <c r="K27">
        <v>0.15276504799999999</v>
      </c>
      <c r="L27">
        <v>3.0352184310000001</v>
      </c>
      <c r="M27">
        <v>3.28538408</v>
      </c>
      <c r="N27">
        <v>3.9812880000000002E-2</v>
      </c>
      <c r="O27">
        <v>7.6969413E-2</v>
      </c>
      <c r="P27">
        <v>2.1294069999999998E-2</v>
      </c>
      <c r="Q27">
        <v>3.9758557E-2</v>
      </c>
      <c r="R27">
        <v>2.9334898000000002E-2</v>
      </c>
      <c r="S27">
        <v>6.4242580000000004E-3</v>
      </c>
      <c r="T27">
        <v>7.9014369000000001E-2</v>
      </c>
      <c r="U27">
        <v>9.5322830000000008E-3</v>
      </c>
      <c r="V27">
        <v>4.4949880000000001E-3</v>
      </c>
      <c r="W27">
        <v>0.166937376</v>
      </c>
      <c r="X27">
        <v>5.7529124000000001E-2</v>
      </c>
      <c r="Y27">
        <v>0.42466184299999998</v>
      </c>
      <c r="Z27">
        <v>0.37043388700000002</v>
      </c>
      <c r="AA27">
        <v>2.0134903999999999E-2</v>
      </c>
      <c r="AB27">
        <v>0.23469220099999999</v>
      </c>
      <c r="AC27">
        <v>9.2820349999999992E-3</v>
      </c>
      <c r="AD27">
        <v>3.9073273999999998E-2</v>
      </c>
      <c r="AE27">
        <v>0</v>
      </c>
      <c r="AF27">
        <v>0</v>
      </c>
      <c r="AG27">
        <v>3.584486E-3</v>
      </c>
      <c r="AH27">
        <v>0</v>
      </c>
    </row>
    <row r="28" spans="1:34" x14ac:dyDescent="0.3">
      <c r="A28" t="s">
        <v>4</v>
      </c>
      <c r="B28" t="s">
        <v>2210</v>
      </c>
      <c r="C28">
        <v>3.35994678</v>
      </c>
      <c r="D28">
        <v>0.96167909900000004</v>
      </c>
      <c r="E28">
        <v>2.41510092</v>
      </c>
      <c r="F28">
        <v>4.3064908600000003</v>
      </c>
      <c r="G28">
        <v>0.706597107</v>
      </c>
      <c r="H28">
        <v>1.220810562</v>
      </c>
      <c r="I28">
        <v>0.16042535599999999</v>
      </c>
      <c r="J28">
        <v>0.1200075</v>
      </c>
      <c r="K28">
        <v>0.213871067</v>
      </c>
      <c r="L28">
        <v>5.2236548000000001E-2</v>
      </c>
      <c r="M28">
        <v>1.5708804E-2</v>
      </c>
      <c r="N28">
        <v>7.7137454999999994E-2</v>
      </c>
      <c r="O28">
        <v>0.34468911000000002</v>
      </c>
      <c r="P28">
        <v>2.433608E-2</v>
      </c>
      <c r="Q28">
        <v>1.8072070999999999E-2</v>
      </c>
      <c r="R28">
        <v>8.2671076999999996E-2</v>
      </c>
      <c r="S28">
        <v>6.4242580000000004E-3</v>
      </c>
      <c r="T28">
        <v>3.8043953999999998E-2</v>
      </c>
      <c r="U28">
        <v>0.149339096</v>
      </c>
      <c r="V28">
        <v>1.3484964E-2</v>
      </c>
      <c r="W28">
        <v>4.5118210000000001E-3</v>
      </c>
      <c r="X28">
        <v>2.8764562E-2</v>
      </c>
      <c r="Y28">
        <v>3.1456430000000001E-3</v>
      </c>
      <c r="Z28">
        <v>1.3719772999999999E-2</v>
      </c>
      <c r="AA28">
        <v>0.68962045699999996</v>
      </c>
      <c r="AB28">
        <v>0.110305334</v>
      </c>
      <c r="AC28">
        <v>4.6410169999999999E-3</v>
      </c>
      <c r="AD28">
        <v>2.5282707000000001E-2</v>
      </c>
      <c r="AE28">
        <v>0</v>
      </c>
      <c r="AF28">
        <v>0</v>
      </c>
      <c r="AG28">
        <v>0</v>
      </c>
      <c r="AH28">
        <v>0</v>
      </c>
    </row>
    <row r="29" spans="1:34" x14ac:dyDescent="0.3">
      <c r="A29" t="s">
        <v>4</v>
      </c>
      <c r="B29" t="s">
        <v>2211</v>
      </c>
      <c r="C29">
        <v>1.02711244</v>
      </c>
      <c r="D29">
        <v>1.203013017</v>
      </c>
      <c r="E29">
        <v>1.630411091</v>
      </c>
      <c r="F29">
        <v>2.0485541280000001</v>
      </c>
      <c r="G29">
        <v>2.8263884309999998</v>
      </c>
      <c r="H29">
        <v>0.76300660099999995</v>
      </c>
      <c r="I29">
        <v>1.5217490950000001</v>
      </c>
      <c r="J29">
        <v>0.866304144</v>
      </c>
      <c r="K29">
        <v>0.68235054500000003</v>
      </c>
      <c r="L29">
        <v>9.3475929999999999E-2</v>
      </c>
      <c r="M29">
        <v>8.9764592000000004E-2</v>
      </c>
      <c r="N29">
        <v>5.474271E-2</v>
      </c>
      <c r="O29">
        <v>5.0197442000000002E-2</v>
      </c>
      <c r="P29">
        <v>1.5210049999999999E-2</v>
      </c>
      <c r="Q29">
        <v>0.16264864200000001</v>
      </c>
      <c r="R29">
        <v>9.0671503000000001E-2</v>
      </c>
      <c r="S29">
        <v>6.4242580000000004E-3</v>
      </c>
      <c r="T29">
        <v>6.1455620000000002E-2</v>
      </c>
      <c r="U29">
        <v>4.4483986000000003E-2</v>
      </c>
      <c r="V29">
        <v>4.4949880000000001E-3</v>
      </c>
      <c r="W29">
        <v>2.7070925999999999E-2</v>
      </c>
      <c r="X29">
        <v>0.165396233</v>
      </c>
      <c r="Y29">
        <v>4.4039005999999999E-2</v>
      </c>
      <c r="Z29">
        <v>0.74772766300000004</v>
      </c>
      <c r="AA29">
        <v>3.0202356E-2</v>
      </c>
      <c r="AB29">
        <v>0.34265061400000002</v>
      </c>
      <c r="AC29">
        <v>9.2820349999999992E-3</v>
      </c>
      <c r="AD29">
        <v>8.7340260000000003E-2</v>
      </c>
      <c r="AE29">
        <v>0</v>
      </c>
      <c r="AF29">
        <v>0</v>
      </c>
      <c r="AG29">
        <v>0</v>
      </c>
      <c r="AH29">
        <v>0</v>
      </c>
    </row>
    <row r="30" spans="1:34" x14ac:dyDescent="0.3">
      <c r="A30" t="s">
        <v>9</v>
      </c>
      <c r="B30" t="s">
        <v>2144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0.203447612</v>
      </c>
      <c r="M30">
        <v>6.7323443999999996E-2</v>
      </c>
      <c r="N30">
        <v>4.9766100000000002E-3</v>
      </c>
      <c r="O30">
        <v>0.54213238699999999</v>
      </c>
      <c r="P30">
        <v>3.0420099999999999E-2</v>
      </c>
      <c r="Q30">
        <v>3.6144139999999998E-3</v>
      </c>
      <c r="R30">
        <v>0.48535921900000001</v>
      </c>
      <c r="S30">
        <v>0</v>
      </c>
      <c r="T30">
        <v>8.1940826999999994E-2</v>
      </c>
      <c r="U30">
        <v>4.4515760049999997</v>
      </c>
      <c r="V30">
        <v>0</v>
      </c>
      <c r="W30">
        <v>0</v>
      </c>
      <c r="X30">
        <v>7.1911409999999999E-3</v>
      </c>
      <c r="Y30">
        <v>3.1456430000000001E-3</v>
      </c>
      <c r="Z30">
        <v>3.429943E-3</v>
      </c>
      <c r="AA30">
        <v>7.1579583209999997</v>
      </c>
      <c r="AB30">
        <v>0.37550752199999998</v>
      </c>
      <c r="AC30">
        <v>3.2487121000000001E-2</v>
      </c>
      <c r="AD30">
        <v>0.19306794199999999</v>
      </c>
      <c r="AE30">
        <v>0</v>
      </c>
      <c r="AF30">
        <v>0</v>
      </c>
      <c r="AG30">
        <v>0</v>
      </c>
      <c r="AH30">
        <v>0</v>
      </c>
    </row>
    <row r="31" spans="1:34" x14ac:dyDescent="0.3">
      <c r="A31" t="s">
        <v>8</v>
      </c>
      <c r="B31" t="s">
        <v>2212</v>
      </c>
      <c r="C31">
        <v>1.0395874899999999</v>
      </c>
      <c r="D31">
        <v>1.07503291</v>
      </c>
      <c r="E31">
        <v>0.77161166599999997</v>
      </c>
      <c r="F31">
        <v>0.58287589799999995</v>
      </c>
      <c r="G31">
        <v>0.77923793200000002</v>
      </c>
      <c r="H31">
        <v>0.10291717</v>
      </c>
      <c r="I31">
        <v>1.388825228</v>
      </c>
      <c r="J31">
        <v>1.927620476</v>
      </c>
      <c r="K31">
        <v>0.26139796900000001</v>
      </c>
      <c r="L31">
        <v>0.37115442700000001</v>
      </c>
      <c r="M31">
        <v>0.33212899200000001</v>
      </c>
      <c r="N31">
        <v>0.17169304299999999</v>
      </c>
      <c r="O31">
        <v>0.10374138199999999</v>
      </c>
      <c r="P31">
        <v>0.29811699000000003</v>
      </c>
      <c r="Q31">
        <v>0.66143781499999998</v>
      </c>
      <c r="R31">
        <v>8.2671075999999996E-2</v>
      </c>
      <c r="S31">
        <v>0.34690993199999998</v>
      </c>
      <c r="T31">
        <v>0.80477597899999997</v>
      </c>
      <c r="U31">
        <v>0.13345195800000001</v>
      </c>
      <c r="V31">
        <v>0.18429451099999999</v>
      </c>
      <c r="W31">
        <v>0.21656740699999999</v>
      </c>
      <c r="X31">
        <v>0.22292535699999999</v>
      </c>
      <c r="Y31">
        <v>0.19817552699999999</v>
      </c>
      <c r="Z31">
        <v>6.5168924000000003E-2</v>
      </c>
      <c r="AA31">
        <v>3.0202356E-2</v>
      </c>
      <c r="AB31">
        <v>2.8163064000000002E-2</v>
      </c>
      <c r="AC31">
        <v>6.4974242000000001E-2</v>
      </c>
      <c r="AD31">
        <v>2.5282707000000001E-2</v>
      </c>
      <c r="AE31">
        <v>0.13647954600000001</v>
      </c>
      <c r="AF31">
        <v>9.0405015000000005E-2</v>
      </c>
      <c r="AG31">
        <v>9.6781131000000006E-2</v>
      </c>
      <c r="AH31">
        <v>0</v>
      </c>
    </row>
    <row r="32" spans="1:34" x14ac:dyDescent="0.3">
      <c r="A32" t="s">
        <v>15</v>
      </c>
      <c r="B32" t="s">
        <v>2165</v>
      </c>
      <c r="C32">
        <v>1.247505E-2</v>
      </c>
      <c r="D32">
        <v>1.4626297999999999E-2</v>
      </c>
      <c r="E32">
        <v>6.9750206999999995E-2</v>
      </c>
      <c r="F32">
        <v>9.0543829000000006E-2</v>
      </c>
      <c r="G32">
        <v>3.3018555999999998E-2</v>
      </c>
      <c r="H32">
        <v>3.5488680000000002E-3</v>
      </c>
      <c r="I32">
        <v>4.5835816000000001E-2</v>
      </c>
      <c r="J32">
        <v>6.0003750000000002E-2</v>
      </c>
      <c r="K32">
        <v>0.45490036299999997</v>
      </c>
      <c r="L32">
        <v>0.13196601899999999</v>
      </c>
      <c r="M32">
        <v>0.118938085</v>
      </c>
      <c r="N32">
        <v>1.7418135000000001E-2</v>
      </c>
      <c r="O32">
        <v>4.3504451E-2</v>
      </c>
      <c r="P32">
        <v>0</v>
      </c>
      <c r="Q32">
        <v>3.6144139999999998E-3</v>
      </c>
      <c r="R32">
        <v>0.14934129900000001</v>
      </c>
      <c r="S32">
        <v>0</v>
      </c>
      <c r="T32">
        <v>2.9264579999999998E-3</v>
      </c>
      <c r="U32">
        <v>0.120742247</v>
      </c>
      <c r="V32">
        <v>4.0454892999999999E-2</v>
      </c>
      <c r="W32">
        <v>0.82115141700000005</v>
      </c>
      <c r="X32">
        <v>2.1573421999999998E-2</v>
      </c>
      <c r="Y32">
        <v>7.398553004</v>
      </c>
      <c r="Z32">
        <v>1.3719774000000001E-2</v>
      </c>
      <c r="AA32">
        <v>0.18624786099999999</v>
      </c>
      <c r="AB32">
        <v>0.73223966699999998</v>
      </c>
      <c r="AC32">
        <v>2.3205086999999999E-2</v>
      </c>
      <c r="AD32">
        <v>1.3790567E-2</v>
      </c>
      <c r="AE32">
        <v>7.1831339999999999E-3</v>
      </c>
      <c r="AF32">
        <v>0</v>
      </c>
      <c r="AG32">
        <v>1.0753459E-2</v>
      </c>
      <c r="AH32">
        <v>0</v>
      </c>
    </row>
    <row r="33" spans="1:34" x14ac:dyDescent="0.3">
      <c r="A33" t="s">
        <v>4</v>
      </c>
      <c r="B33" t="s">
        <v>2213</v>
      </c>
      <c r="C33">
        <v>0.27860944999999998</v>
      </c>
      <c r="D33">
        <v>0.182828728</v>
      </c>
      <c r="E33">
        <v>0.23104756200000001</v>
      </c>
      <c r="F33">
        <v>0.305585422</v>
      </c>
      <c r="G33">
        <v>0.33018556500000001</v>
      </c>
      <c r="H33">
        <v>0.14550358499999999</v>
      </c>
      <c r="I33">
        <v>0.14209103000000001</v>
      </c>
      <c r="J33">
        <v>0.14250890699999999</v>
      </c>
      <c r="K33">
        <v>0.11202770200000001</v>
      </c>
      <c r="L33">
        <v>9.0726637999999998E-2</v>
      </c>
      <c r="M33">
        <v>0.100985167</v>
      </c>
      <c r="N33">
        <v>2.2394745000000001E-2</v>
      </c>
      <c r="O33">
        <v>2.3425471999999999E-2</v>
      </c>
      <c r="P33">
        <v>2.7378090000000001E-2</v>
      </c>
      <c r="Q33">
        <v>0.20602161499999999</v>
      </c>
      <c r="R33">
        <v>0.36801962799999999</v>
      </c>
      <c r="S33">
        <v>1.9272773999999999E-2</v>
      </c>
      <c r="T33">
        <v>0.71405577799999997</v>
      </c>
      <c r="U33">
        <v>0.235129641</v>
      </c>
      <c r="V33">
        <v>5.3939857000000001E-2</v>
      </c>
      <c r="W33">
        <v>0.130842809</v>
      </c>
      <c r="X33">
        <v>0.26607219999999998</v>
      </c>
      <c r="Y33">
        <v>6.9204152000000005E-2</v>
      </c>
      <c r="Z33">
        <v>2.4592694220000002</v>
      </c>
      <c r="AA33">
        <v>0.33222591499999998</v>
      </c>
      <c r="AB33">
        <v>1.4949893219999999</v>
      </c>
      <c r="AC33">
        <v>0.24597391800000001</v>
      </c>
      <c r="AD33">
        <v>0.96763813600000004</v>
      </c>
      <c r="AE33">
        <v>4.3098803999999998E-2</v>
      </c>
      <c r="AF33">
        <v>1.8081002999999998E-2</v>
      </c>
      <c r="AG33">
        <v>2.1506917E-2</v>
      </c>
      <c r="AH33">
        <v>0</v>
      </c>
    </row>
    <row r="34" spans="1:34" x14ac:dyDescent="0.3">
      <c r="A34" t="s">
        <v>4</v>
      </c>
      <c r="B34" t="s">
        <v>2214</v>
      </c>
      <c r="C34">
        <v>0.33266800000000002</v>
      </c>
      <c r="D34">
        <v>0.40587977200000003</v>
      </c>
      <c r="E34">
        <v>0.24412572499999999</v>
      </c>
      <c r="F34">
        <v>0.72435063099999997</v>
      </c>
      <c r="G34">
        <v>0.706597107</v>
      </c>
      <c r="H34">
        <v>1.7850805599999999</v>
      </c>
      <c r="I34">
        <v>0.73337305699999999</v>
      </c>
      <c r="J34">
        <v>0.83630226799999996</v>
      </c>
      <c r="K34">
        <v>0.35984655599999998</v>
      </c>
      <c r="L34">
        <v>7.1481592999999996E-2</v>
      </c>
      <c r="M34">
        <v>8.3032248000000003E-2</v>
      </c>
      <c r="N34">
        <v>9.9532200000000005E-3</v>
      </c>
      <c r="O34">
        <v>1.3385985E-2</v>
      </c>
      <c r="P34">
        <v>4.2588139999999997E-2</v>
      </c>
      <c r="Q34">
        <v>5.0601800000000002E-2</v>
      </c>
      <c r="R34">
        <v>0.104005547</v>
      </c>
      <c r="S34">
        <v>5.1394064000000003E-2</v>
      </c>
      <c r="T34">
        <v>8.1940826999999994E-2</v>
      </c>
      <c r="U34">
        <v>7.9435689000000004E-2</v>
      </c>
      <c r="V34">
        <v>2.6969928000000001E-2</v>
      </c>
      <c r="W34">
        <v>6.3165494000000003E-2</v>
      </c>
      <c r="X34">
        <v>4.3146842999999997E-2</v>
      </c>
      <c r="Y34">
        <v>5.6621578999999998E-2</v>
      </c>
      <c r="Z34">
        <v>0.233236152</v>
      </c>
      <c r="AA34">
        <v>0.24665257199999999</v>
      </c>
      <c r="AB34">
        <v>1.431622427</v>
      </c>
      <c r="AC34">
        <v>0.15779458900000001</v>
      </c>
      <c r="AD34">
        <v>0.25052863800000003</v>
      </c>
      <c r="AE34">
        <v>3.9507237000000001E-2</v>
      </c>
      <c r="AF34">
        <v>1.2054001999999999E-2</v>
      </c>
      <c r="AG34">
        <v>1.4337945E-2</v>
      </c>
      <c r="AH34">
        <v>0</v>
      </c>
    </row>
    <row r="35" spans="1:34" x14ac:dyDescent="0.3">
      <c r="A35" t="s">
        <v>17</v>
      </c>
      <c r="B35" t="s">
        <v>2215</v>
      </c>
      <c r="C35">
        <v>0.37840984999999999</v>
      </c>
      <c r="D35">
        <v>0.987275122</v>
      </c>
      <c r="E35">
        <v>0.387985527</v>
      </c>
      <c r="F35">
        <v>0.76396355599999999</v>
      </c>
      <c r="G35">
        <v>0.15848907000000001</v>
      </c>
      <c r="H35">
        <v>0.36553339499999998</v>
      </c>
      <c r="I35">
        <v>0.46752532499999999</v>
      </c>
      <c r="J35">
        <v>0.64504031500000003</v>
      </c>
      <c r="K35">
        <v>0.38700478599999999</v>
      </c>
      <c r="L35">
        <v>6.3233716999999995E-2</v>
      </c>
      <c r="M35">
        <v>2.2441148000000001E-2</v>
      </c>
      <c r="N35">
        <v>9.9532200000000005E-3</v>
      </c>
      <c r="O35">
        <v>6.6929924000000002E-2</v>
      </c>
      <c r="P35">
        <v>3.0420099999999999E-2</v>
      </c>
      <c r="Q35">
        <v>0.21686485699999999</v>
      </c>
      <c r="R35">
        <v>1.4827457479999999</v>
      </c>
      <c r="S35">
        <v>0</v>
      </c>
      <c r="T35">
        <v>0.12876415599999999</v>
      </c>
      <c r="U35">
        <v>0.39082359</v>
      </c>
      <c r="V35">
        <v>3.5959905E-2</v>
      </c>
      <c r="W35">
        <v>9.0236420000000001E-3</v>
      </c>
      <c r="X35">
        <v>4.3146842999999997E-2</v>
      </c>
      <c r="Y35">
        <v>3.1456430000000001E-3</v>
      </c>
      <c r="Z35">
        <v>4.4589265000000003E-2</v>
      </c>
      <c r="AA35">
        <v>0.68962045699999996</v>
      </c>
      <c r="AB35">
        <v>0.147856087</v>
      </c>
      <c r="AC35">
        <v>0.20884577900000001</v>
      </c>
      <c r="AD35">
        <v>0.112622966</v>
      </c>
      <c r="AE35">
        <v>1.4366268E-2</v>
      </c>
      <c r="AF35">
        <v>6.0270009999999997E-3</v>
      </c>
      <c r="AG35">
        <v>1.0753458E-2</v>
      </c>
      <c r="AH35">
        <v>0</v>
      </c>
    </row>
    <row r="36" spans="1:34" x14ac:dyDescent="0.3">
      <c r="A36" t="s">
        <v>15</v>
      </c>
      <c r="B36" t="s">
        <v>2216</v>
      </c>
      <c r="C36">
        <v>0.35761809999999999</v>
      </c>
      <c r="D36">
        <v>0.18648530199999999</v>
      </c>
      <c r="E36">
        <v>0.309516544</v>
      </c>
      <c r="F36">
        <v>0.33388036999999998</v>
      </c>
      <c r="G36">
        <v>1.228290299</v>
      </c>
      <c r="H36">
        <v>8.5172831000000004E-2</v>
      </c>
      <c r="I36">
        <v>0.42627309000000002</v>
      </c>
      <c r="J36">
        <v>0.31876992300000001</v>
      </c>
      <c r="K36">
        <v>0.49224293099999999</v>
      </c>
      <c r="L36">
        <v>0.31067000299999997</v>
      </c>
      <c r="M36">
        <v>0.25807320299999997</v>
      </c>
      <c r="N36">
        <v>0.146809993</v>
      </c>
      <c r="O36">
        <v>5.0197443000000001E-2</v>
      </c>
      <c r="P36">
        <v>4.2588139999999997E-2</v>
      </c>
      <c r="Q36">
        <v>8.3131527999999996E-2</v>
      </c>
      <c r="R36">
        <v>0.37868686400000001</v>
      </c>
      <c r="S36">
        <v>3.2121289999999997E-2</v>
      </c>
      <c r="T36">
        <v>0.59992391199999995</v>
      </c>
      <c r="U36">
        <v>0.48296898900000002</v>
      </c>
      <c r="V36">
        <v>7.6414797000000007E-2</v>
      </c>
      <c r="W36">
        <v>0.10828370399999999</v>
      </c>
      <c r="X36">
        <v>0.14382281</v>
      </c>
      <c r="Y36">
        <v>0.204466813</v>
      </c>
      <c r="Z36">
        <v>0.154347453</v>
      </c>
      <c r="AA36">
        <v>0.32215846199999998</v>
      </c>
      <c r="AB36">
        <v>0.16897838500000001</v>
      </c>
      <c r="AC36">
        <v>0.16243560600000001</v>
      </c>
      <c r="AD36">
        <v>0.29879562399999998</v>
      </c>
      <c r="AE36">
        <v>6.4648206E-2</v>
      </c>
      <c r="AF36">
        <v>7.8351012999999997E-2</v>
      </c>
      <c r="AG36">
        <v>5.3767295E-2</v>
      </c>
      <c r="AH36">
        <v>0</v>
      </c>
    </row>
    <row r="37" spans="1:34" x14ac:dyDescent="0.3">
      <c r="A37" t="s">
        <v>8</v>
      </c>
      <c r="B37" t="s">
        <v>2217</v>
      </c>
      <c r="C37">
        <v>0.59880239999999996</v>
      </c>
      <c r="D37">
        <v>0.58870849800000002</v>
      </c>
      <c r="E37">
        <v>0.47953267399999999</v>
      </c>
      <c r="F37">
        <v>0.43574217799999998</v>
      </c>
      <c r="G37">
        <v>1.281119989</v>
      </c>
      <c r="H37">
        <v>7.0977359000000004E-2</v>
      </c>
      <c r="I37">
        <v>0.44919099800000001</v>
      </c>
      <c r="J37">
        <v>0.495030939</v>
      </c>
      <c r="K37">
        <v>0.48884815199999998</v>
      </c>
      <c r="L37">
        <v>0.230940533</v>
      </c>
      <c r="M37">
        <v>0.17055272499999999</v>
      </c>
      <c r="N37">
        <v>0.106997113</v>
      </c>
      <c r="O37">
        <v>2.0078977000000001E-2</v>
      </c>
      <c r="P37">
        <v>6.6924220000000006E-2</v>
      </c>
      <c r="Q37">
        <v>3.2529729E-2</v>
      </c>
      <c r="R37">
        <v>4.5335751000000001E-2</v>
      </c>
      <c r="S37">
        <v>1.2848516000000001E-2</v>
      </c>
      <c r="T37">
        <v>5.8529162000000003E-2</v>
      </c>
      <c r="U37">
        <v>0.209710219</v>
      </c>
      <c r="V37">
        <v>4.9444869000000002E-2</v>
      </c>
      <c r="W37">
        <v>1.8047284E-2</v>
      </c>
      <c r="X37">
        <v>3.5955702999999999E-2</v>
      </c>
      <c r="Y37">
        <v>2.2019502999999999E-2</v>
      </c>
      <c r="Z37">
        <v>2.4009604E-2</v>
      </c>
      <c r="AA37">
        <v>8.5573341999999997E-2</v>
      </c>
      <c r="AB37">
        <v>4.2244596000000002E-2</v>
      </c>
      <c r="AC37">
        <v>4.6410172E-2</v>
      </c>
      <c r="AD37">
        <v>2.9879563000000001E-2</v>
      </c>
      <c r="AE37">
        <v>4.3098803999999998E-2</v>
      </c>
      <c r="AF37">
        <v>3.6162005999999997E-2</v>
      </c>
      <c r="AG37">
        <v>3.5844862999999998E-2</v>
      </c>
      <c r="AH37">
        <v>0</v>
      </c>
    </row>
    <row r="38" spans="1:34" x14ac:dyDescent="0.3">
      <c r="A38" t="s">
        <v>17</v>
      </c>
      <c r="B38" t="s">
        <v>2218</v>
      </c>
      <c r="C38">
        <v>0.49484365000000002</v>
      </c>
      <c r="D38">
        <v>0.72400175600000005</v>
      </c>
      <c r="E38">
        <v>0.40542307900000002</v>
      </c>
      <c r="F38">
        <v>0.58287589799999995</v>
      </c>
      <c r="G38">
        <v>0.17830020499999999</v>
      </c>
      <c r="H38">
        <v>0.22002980999999999</v>
      </c>
      <c r="I38">
        <v>0.23834624400000001</v>
      </c>
      <c r="J38">
        <v>0.138758672</v>
      </c>
      <c r="K38">
        <v>0.142580711</v>
      </c>
      <c r="L38">
        <v>6.3233716999999995E-2</v>
      </c>
      <c r="M38">
        <v>5.3858755000000001E-2</v>
      </c>
      <c r="N38">
        <v>1.492983E-2</v>
      </c>
      <c r="O38">
        <v>1.6732481E-2</v>
      </c>
      <c r="P38">
        <v>3.3462110000000003E-2</v>
      </c>
      <c r="Q38">
        <v>9.7589185999999994E-2</v>
      </c>
      <c r="R38">
        <v>0.48269241099999999</v>
      </c>
      <c r="S38">
        <v>3.8545547999999999E-2</v>
      </c>
      <c r="T38">
        <v>0.23411664900000001</v>
      </c>
      <c r="U38">
        <v>0.53698525699999999</v>
      </c>
      <c r="V38">
        <v>4.4949880999999997E-2</v>
      </c>
      <c r="W38">
        <v>9.0236420000000001E-3</v>
      </c>
      <c r="X38">
        <v>2.8764563E-2</v>
      </c>
      <c r="Y38">
        <v>0</v>
      </c>
      <c r="Z38">
        <v>4.4589264000000003E-2</v>
      </c>
      <c r="AA38">
        <v>0.31712473600000002</v>
      </c>
      <c r="AB38">
        <v>0.18540683899999999</v>
      </c>
      <c r="AC38">
        <v>7.8897294000000007E-2</v>
      </c>
      <c r="AD38">
        <v>6.4355981000000007E-2</v>
      </c>
      <c r="AE38">
        <v>2.1549401999999999E-2</v>
      </c>
      <c r="AF38">
        <v>0</v>
      </c>
      <c r="AG38">
        <v>7.168972E-3</v>
      </c>
      <c r="AH38">
        <v>0</v>
      </c>
    </row>
    <row r="39" spans="1:34" x14ac:dyDescent="0.3">
      <c r="A39" t="s">
        <v>4</v>
      </c>
      <c r="B39" t="s">
        <v>2219</v>
      </c>
      <c r="C39">
        <v>0.41167664999999998</v>
      </c>
      <c r="D39">
        <v>0.135293257</v>
      </c>
      <c r="E39">
        <v>0.17437551800000001</v>
      </c>
      <c r="F39">
        <v>1.0299360529999999</v>
      </c>
      <c r="G39">
        <v>0.81225648800000005</v>
      </c>
      <c r="H39">
        <v>0.40102207400000001</v>
      </c>
      <c r="I39">
        <v>0.49961039600000001</v>
      </c>
      <c r="J39">
        <v>0.30376898600000002</v>
      </c>
      <c r="K39">
        <v>0.499032488</v>
      </c>
      <c r="L39">
        <v>0.32441646299999999</v>
      </c>
      <c r="M39">
        <v>9.8741051999999996E-2</v>
      </c>
      <c r="N39">
        <v>9.9532200000000005E-3</v>
      </c>
      <c r="O39">
        <v>3.346496E-3</v>
      </c>
      <c r="P39">
        <v>1.5210049999999999E-2</v>
      </c>
      <c r="Q39">
        <v>1.0843243000000001E-2</v>
      </c>
      <c r="R39">
        <v>2.9334898000000002E-2</v>
      </c>
      <c r="S39">
        <v>0</v>
      </c>
      <c r="T39">
        <v>5.8529159999999997E-3</v>
      </c>
      <c r="U39">
        <v>2.2241993000000002E-2</v>
      </c>
      <c r="V39">
        <v>0</v>
      </c>
      <c r="W39">
        <v>0</v>
      </c>
      <c r="X39">
        <v>0</v>
      </c>
      <c r="Y39">
        <v>0</v>
      </c>
      <c r="Z39">
        <v>0</v>
      </c>
      <c r="AA39">
        <v>5.0337259999999997E-3</v>
      </c>
      <c r="AB39">
        <v>2.346922E-3</v>
      </c>
      <c r="AC39">
        <v>0</v>
      </c>
      <c r="AD39">
        <v>0</v>
      </c>
      <c r="AE39">
        <v>2.1549401999999999E-2</v>
      </c>
      <c r="AF39">
        <v>0</v>
      </c>
      <c r="AG39">
        <v>0</v>
      </c>
      <c r="AH39">
        <v>0</v>
      </c>
    </row>
    <row r="40" spans="1:34" x14ac:dyDescent="0.3">
      <c r="A40" t="s">
        <v>15</v>
      </c>
      <c r="B40" t="s">
        <v>2220</v>
      </c>
      <c r="C40">
        <v>1.247505E-2</v>
      </c>
      <c r="D40">
        <v>0</v>
      </c>
      <c r="E40">
        <v>0</v>
      </c>
      <c r="F40">
        <v>0</v>
      </c>
      <c r="G40">
        <v>1.3207422999999999E-2</v>
      </c>
      <c r="H40">
        <v>3.5488680000000002E-3</v>
      </c>
      <c r="I40">
        <v>0</v>
      </c>
      <c r="J40">
        <v>7.5004679999999997E-3</v>
      </c>
      <c r="K40">
        <v>0</v>
      </c>
      <c r="L40">
        <v>0</v>
      </c>
      <c r="M40">
        <v>0</v>
      </c>
      <c r="N40">
        <v>0.36826913500000003</v>
      </c>
      <c r="O40">
        <v>2.6771969999999999E-2</v>
      </c>
      <c r="P40">
        <v>0</v>
      </c>
      <c r="Q40">
        <v>2.0963602849999998</v>
      </c>
      <c r="R40">
        <v>4.2668942000000001E-2</v>
      </c>
      <c r="S40">
        <v>0</v>
      </c>
      <c r="T40">
        <v>0.48579204599999998</v>
      </c>
      <c r="U40">
        <v>0.108032537</v>
      </c>
      <c r="V40">
        <v>2.2474939999999999E-2</v>
      </c>
      <c r="W40">
        <v>4.9630030999999998E-2</v>
      </c>
      <c r="X40">
        <v>0.35236588499999999</v>
      </c>
      <c r="Y40">
        <v>6.6058509000000001E-2</v>
      </c>
      <c r="Z40">
        <v>0.49048190699999999</v>
      </c>
      <c r="AA40">
        <v>0.16611295700000001</v>
      </c>
      <c r="AB40">
        <v>5.8673049999999997E-2</v>
      </c>
      <c r="AC40">
        <v>9.7461363999999995E-2</v>
      </c>
      <c r="AD40">
        <v>0.28270662899999999</v>
      </c>
      <c r="AE40">
        <v>0</v>
      </c>
      <c r="AF40">
        <v>1.2054001999999999E-2</v>
      </c>
      <c r="AG40">
        <v>1.0753459E-2</v>
      </c>
      <c r="AH40">
        <v>0</v>
      </c>
    </row>
    <row r="41" spans="1:34" x14ac:dyDescent="0.3">
      <c r="A41" t="s">
        <v>8</v>
      </c>
      <c r="B41" t="s">
        <v>2221</v>
      </c>
      <c r="C41">
        <v>0.16633400000000001</v>
      </c>
      <c r="D41">
        <v>0.27789966399999999</v>
      </c>
      <c r="E41">
        <v>0.24412572499999999</v>
      </c>
      <c r="F41">
        <v>0.1584517</v>
      </c>
      <c r="G41">
        <v>0.48867463500000002</v>
      </c>
      <c r="H41">
        <v>8.5172830000000005E-2</v>
      </c>
      <c r="I41">
        <v>0.40793876299999998</v>
      </c>
      <c r="J41">
        <v>0.36002250099999999</v>
      </c>
      <c r="K41">
        <v>8.1474692000000001E-2</v>
      </c>
      <c r="L41">
        <v>0.123718142</v>
      </c>
      <c r="M41">
        <v>9.8741051999999996E-2</v>
      </c>
      <c r="N41">
        <v>9.7043894000000006E-2</v>
      </c>
      <c r="O41">
        <v>7.0276420000000006E-2</v>
      </c>
      <c r="P41">
        <v>6.3882209999999995E-2</v>
      </c>
      <c r="Q41">
        <v>9.7589184999999995E-2</v>
      </c>
      <c r="R41">
        <v>0.14934129900000001</v>
      </c>
      <c r="S41">
        <v>0.199151998</v>
      </c>
      <c r="T41">
        <v>0.17851394500000001</v>
      </c>
      <c r="U41">
        <v>0.139806812</v>
      </c>
      <c r="V41">
        <v>0.193284488</v>
      </c>
      <c r="W41">
        <v>6.3165494000000003E-2</v>
      </c>
      <c r="X41">
        <v>0.15820509099999999</v>
      </c>
      <c r="Y41">
        <v>4.0893362000000003E-2</v>
      </c>
      <c r="Z41">
        <v>0.10975818900000001</v>
      </c>
      <c r="AA41">
        <v>6.5438438000000002E-2</v>
      </c>
      <c r="AB41">
        <v>1.1734609999999999E-2</v>
      </c>
      <c r="AC41">
        <v>6.9615259999999998E-2</v>
      </c>
      <c r="AD41">
        <v>1.1492139E-2</v>
      </c>
      <c r="AE41">
        <v>0.12211327800000001</v>
      </c>
      <c r="AF41">
        <v>0.126567021</v>
      </c>
      <c r="AG41">
        <v>8.2443185000000002E-2</v>
      </c>
      <c r="AH41">
        <v>0</v>
      </c>
    </row>
    <row r="42" spans="1:34" x14ac:dyDescent="0.3">
      <c r="A42" t="s">
        <v>15</v>
      </c>
      <c r="B42" t="s">
        <v>2222</v>
      </c>
      <c r="C42">
        <v>2.0791750000000001E-2</v>
      </c>
      <c r="D42">
        <v>3.656575E-3</v>
      </c>
      <c r="E42">
        <v>1.7437551999999999E-2</v>
      </c>
      <c r="F42">
        <v>1.6976967999999999E-2</v>
      </c>
      <c r="G42">
        <v>8.5848246000000003E-2</v>
      </c>
      <c r="H42">
        <v>7.0977360000000003E-3</v>
      </c>
      <c r="I42">
        <v>2.750149E-2</v>
      </c>
      <c r="J42">
        <v>1.8751172E-2</v>
      </c>
      <c r="K42">
        <v>3.7342567E-2</v>
      </c>
      <c r="L42">
        <v>3.8490088999999998E-2</v>
      </c>
      <c r="M42">
        <v>6.2835215E-2</v>
      </c>
      <c r="N42">
        <v>7.4649149999999999E-3</v>
      </c>
      <c r="O42">
        <v>0</v>
      </c>
      <c r="P42">
        <v>0</v>
      </c>
      <c r="Q42">
        <v>3.6144139999999998E-3</v>
      </c>
      <c r="R42">
        <v>2.4001280999999999E-2</v>
      </c>
      <c r="S42">
        <v>6.4242580000000004E-3</v>
      </c>
      <c r="T42">
        <v>5.8529159999999997E-3</v>
      </c>
      <c r="U42">
        <v>2.8596849000000001E-2</v>
      </c>
      <c r="V42">
        <v>4.4949880000000001E-3</v>
      </c>
      <c r="W42">
        <v>5.4141851999999997E-2</v>
      </c>
      <c r="X42">
        <v>0</v>
      </c>
      <c r="Y42">
        <v>0.60081786800000003</v>
      </c>
      <c r="Z42">
        <v>8.9178528000000007E-2</v>
      </c>
      <c r="AA42">
        <v>3.5236082000000002E-2</v>
      </c>
      <c r="AB42">
        <v>1.9901898650000001</v>
      </c>
      <c r="AC42">
        <v>3.7128138999999998E-2</v>
      </c>
      <c r="AD42">
        <v>0.71940792499999995</v>
      </c>
      <c r="AE42">
        <v>0</v>
      </c>
      <c r="AF42">
        <v>0</v>
      </c>
      <c r="AG42">
        <v>0</v>
      </c>
      <c r="AH42">
        <v>0</v>
      </c>
    </row>
    <row r="43" spans="1:34" x14ac:dyDescent="0.3">
      <c r="A43" t="s">
        <v>11</v>
      </c>
      <c r="B43" t="s">
        <v>2223</v>
      </c>
      <c r="C43">
        <v>0</v>
      </c>
      <c r="D43">
        <v>0</v>
      </c>
      <c r="E43">
        <v>0</v>
      </c>
      <c r="F43">
        <v>0</v>
      </c>
      <c r="G43">
        <v>0.11886680299999999</v>
      </c>
      <c r="H43">
        <v>7.0977360000000003E-3</v>
      </c>
      <c r="I43">
        <v>5.9586561000000003E-2</v>
      </c>
      <c r="J43">
        <v>0.105006563</v>
      </c>
      <c r="K43">
        <v>0</v>
      </c>
      <c r="L43">
        <v>2.749292E-3</v>
      </c>
      <c r="M43">
        <v>0</v>
      </c>
      <c r="N43">
        <v>0</v>
      </c>
      <c r="O43">
        <v>0</v>
      </c>
      <c r="P43">
        <v>0</v>
      </c>
      <c r="Q43">
        <v>0</v>
      </c>
      <c r="R43">
        <v>2.400128E-2</v>
      </c>
      <c r="S43">
        <v>1.2848516000000001E-2</v>
      </c>
      <c r="T43">
        <v>0</v>
      </c>
      <c r="U43">
        <v>7.3080833999999997E-2</v>
      </c>
      <c r="V43">
        <v>0.55737852300000001</v>
      </c>
      <c r="W43">
        <v>1.3535462999999999E-2</v>
      </c>
      <c r="X43">
        <v>7.1911409999999999E-3</v>
      </c>
      <c r="Y43">
        <v>9.4369299999999996E-3</v>
      </c>
      <c r="Z43">
        <v>0</v>
      </c>
      <c r="AA43">
        <v>1.5101178E-2</v>
      </c>
      <c r="AB43">
        <v>1.1734609999999999E-2</v>
      </c>
      <c r="AC43">
        <v>9.2820349999999992E-3</v>
      </c>
      <c r="AD43">
        <v>6.8952839999999998E-3</v>
      </c>
      <c r="AE43">
        <v>1.670078655</v>
      </c>
      <c r="AF43">
        <v>0.42189006800000001</v>
      </c>
      <c r="AG43">
        <v>0.73481969999999996</v>
      </c>
      <c r="AH43">
        <v>0</v>
      </c>
    </row>
    <row r="44" spans="1:34" x14ac:dyDescent="0.3">
      <c r="A44" t="s">
        <v>12</v>
      </c>
      <c r="B44" t="s">
        <v>2224</v>
      </c>
      <c r="C44">
        <v>8.3166999999999998E-3</v>
      </c>
      <c r="D44">
        <v>2.1939447000000001E-2</v>
      </c>
      <c r="E44">
        <v>1.3078164E-2</v>
      </c>
      <c r="F44">
        <v>0</v>
      </c>
      <c r="G44">
        <v>0.20471505000000001</v>
      </c>
      <c r="H44">
        <v>3.5488680000000002E-3</v>
      </c>
      <c r="I44">
        <v>0.23376266200000001</v>
      </c>
      <c r="J44">
        <v>0.116257266</v>
      </c>
      <c r="K44">
        <v>3.3947790000000001E-3</v>
      </c>
      <c r="L44">
        <v>4.3988672999999999E-2</v>
      </c>
      <c r="M44">
        <v>0.161576266</v>
      </c>
      <c r="N44">
        <v>9.9532200000000005E-3</v>
      </c>
      <c r="O44">
        <v>0</v>
      </c>
      <c r="P44">
        <v>0</v>
      </c>
      <c r="Q44">
        <v>1.4457657E-2</v>
      </c>
      <c r="R44">
        <v>5.333618E-3</v>
      </c>
      <c r="S44">
        <v>0.14775793400000001</v>
      </c>
      <c r="T44">
        <v>0.59992391199999995</v>
      </c>
      <c r="U44">
        <v>3.1774275999999997E-2</v>
      </c>
      <c r="V44">
        <v>0.18429451199999999</v>
      </c>
      <c r="W44">
        <v>0.130842808</v>
      </c>
      <c r="X44">
        <v>0.20854307499999999</v>
      </c>
      <c r="Y44">
        <v>8.4932368999999994E-2</v>
      </c>
      <c r="Z44">
        <v>5.1449150999999999E-2</v>
      </c>
      <c r="AA44">
        <v>2.5168630000000001E-2</v>
      </c>
      <c r="AB44">
        <v>4.693844E-3</v>
      </c>
      <c r="AC44">
        <v>9.2820349999999992E-3</v>
      </c>
      <c r="AD44">
        <v>6.8952839999999998E-3</v>
      </c>
      <c r="AE44">
        <v>0.21549402000000001</v>
      </c>
      <c r="AF44">
        <v>9.0405014000000006E-2</v>
      </c>
      <c r="AG44">
        <v>8.6027671999999999E-2</v>
      </c>
      <c r="AH44">
        <v>0</v>
      </c>
    </row>
    <row r="45" spans="1:34" x14ac:dyDescent="0.3">
      <c r="A45" t="s">
        <v>8</v>
      </c>
      <c r="B45" t="s">
        <v>2225</v>
      </c>
      <c r="C45">
        <v>0.1247505</v>
      </c>
      <c r="D45">
        <v>8.4101216000000006E-2</v>
      </c>
      <c r="E45">
        <v>0.108984699</v>
      </c>
      <c r="F45">
        <v>0.18674664599999999</v>
      </c>
      <c r="G45">
        <v>0.48867463300000002</v>
      </c>
      <c r="H45">
        <v>7.8075094999999997E-2</v>
      </c>
      <c r="I45">
        <v>0.74254022200000003</v>
      </c>
      <c r="J45">
        <v>0.33752109400000002</v>
      </c>
      <c r="K45">
        <v>5.0921683000000002E-2</v>
      </c>
      <c r="L45">
        <v>4.9487256E-2</v>
      </c>
      <c r="M45">
        <v>6.7323443999999996E-2</v>
      </c>
      <c r="N45">
        <v>4.9766100000000002E-3</v>
      </c>
      <c r="O45">
        <v>0</v>
      </c>
      <c r="P45">
        <v>6.0840199999999999E-3</v>
      </c>
      <c r="Q45">
        <v>7.228829E-3</v>
      </c>
      <c r="R45">
        <v>5.333618E-3</v>
      </c>
      <c r="S45">
        <v>1.2848516000000001E-2</v>
      </c>
      <c r="T45">
        <v>1.1705831999999999E-2</v>
      </c>
      <c r="U45">
        <v>6.3548559999999999E-3</v>
      </c>
      <c r="V45">
        <v>2.6969928000000001E-2</v>
      </c>
      <c r="W45">
        <v>1.3535462999999999E-2</v>
      </c>
      <c r="X45">
        <v>2.8764563E-2</v>
      </c>
      <c r="Y45">
        <v>3.4602076000000002E-2</v>
      </c>
      <c r="Z45">
        <v>3.429943E-3</v>
      </c>
      <c r="AA45">
        <v>1.0067451999999999E-2</v>
      </c>
      <c r="AB45">
        <v>2.346922E-3</v>
      </c>
      <c r="AC45">
        <v>0</v>
      </c>
      <c r="AD45">
        <v>0</v>
      </c>
      <c r="AE45">
        <v>1.4366268E-2</v>
      </c>
      <c r="AF45">
        <v>1.2054001999999999E-2</v>
      </c>
      <c r="AG45">
        <v>1.4337945E-2</v>
      </c>
      <c r="AH45">
        <v>0</v>
      </c>
    </row>
    <row r="46" spans="1:34" x14ac:dyDescent="0.3">
      <c r="A46" t="s">
        <v>4</v>
      </c>
      <c r="B46" t="s">
        <v>2226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1.0997168E-2</v>
      </c>
      <c r="M46">
        <v>0</v>
      </c>
      <c r="N46">
        <v>2.4883050000000001E-3</v>
      </c>
      <c r="O46">
        <v>0</v>
      </c>
      <c r="P46">
        <v>3.0420099999999999E-3</v>
      </c>
      <c r="Q46">
        <v>0</v>
      </c>
      <c r="R46">
        <v>0</v>
      </c>
      <c r="S46">
        <v>0</v>
      </c>
      <c r="T46">
        <v>0</v>
      </c>
      <c r="U46">
        <v>2.2241993000000002E-2</v>
      </c>
      <c r="V46">
        <v>0</v>
      </c>
      <c r="W46">
        <v>0</v>
      </c>
      <c r="X46">
        <v>7.1911409999999999E-3</v>
      </c>
      <c r="Y46">
        <v>0</v>
      </c>
      <c r="Z46">
        <v>0</v>
      </c>
      <c r="AA46">
        <v>0.11074197099999999</v>
      </c>
      <c r="AB46">
        <v>1.828252247</v>
      </c>
      <c r="AC46">
        <v>3.2487121000000001E-2</v>
      </c>
      <c r="AD46">
        <v>0.37694217099999999</v>
      </c>
      <c r="AE46">
        <v>0</v>
      </c>
      <c r="AF46">
        <v>0</v>
      </c>
      <c r="AG46">
        <v>3.584486E-3</v>
      </c>
      <c r="AH46">
        <v>0</v>
      </c>
    </row>
    <row r="47" spans="1:34" x14ac:dyDescent="0.3">
      <c r="A47" t="s">
        <v>4</v>
      </c>
      <c r="B47" t="s">
        <v>2227</v>
      </c>
      <c r="C47">
        <v>0.10395875</v>
      </c>
      <c r="D47">
        <v>0.10604066099999999</v>
      </c>
      <c r="E47">
        <v>4.3593879000000002E-2</v>
      </c>
      <c r="F47">
        <v>3.3953935999999997E-2</v>
      </c>
      <c r="G47">
        <v>0.17830020499999999</v>
      </c>
      <c r="H47">
        <v>3.5488679000000002E-2</v>
      </c>
      <c r="I47">
        <v>8.7088051E-2</v>
      </c>
      <c r="J47">
        <v>6.7504219000000004E-2</v>
      </c>
      <c r="K47">
        <v>0.10523814400000001</v>
      </c>
      <c r="L47">
        <v>4.6737964999999999E-2</v>
      </c>
      <c r="M47">
        <v>5.8346984999999997E-2</v>
      </c>
      <c r="N47">
        <v>0.14183338300000001</v>
      </c>
      <c r="O47">
        <v>2.6771969999999999E-2</v>
      </c>
      <c r="P47">
        <v>3.0420099999999999E-2</v>
      </c>
      <c r="Q47">
        <v>0.20602161399999999</v>
      </c>
      <c r="R47">
        <v>7.200384E-2</v>
      </c>
      <c r="S47">
        <v>4.4969806000000001E-2</v>
      </c>
      <c r="T47">
        <v>2.3411665000000002E-2</v>
      </c>
      <c r="U47">
        <v>0.165226233</v>
      </c>
      <c r="V47">
        <v>3.5959905E-2</v>
      </c>
      <c r="W47">
        <v>4.5118210000000001E-3</v>
      </c>
      <c r="X47">
        <v>9.3484827000000006E-2</v>
      </c>
      <c r="Y47">
        <v>1.5728216999999999E-2</v>
      </c>
      <c r="Z47">
        <v>0.12004801900000001</v>
      </c>
      <c r="AA47">
        <v>0.120809423</v>
      </c>
      <c r="AB47">
        <v>3.5203829999999998E-2</v>
      </c>
      <c r="AC47">
        <v>0.16707662300000001</v>
      </c>
      <c r="AD47">
        <v>5.7460696999999998E-2</v>
      </c>
      <c r="AE47">
        <v>3.9507237000000001E-2</v>
      </c>
      <c r="AF47">
        <v>7.8351012999999997E-2</v>
      </c>
      <c r="AG47">
        <v>3.2260377E-2</v>
      </c>
      <c r="AH47">
        <v>0</v>
      </c>
    </row>
    <row r="48" spans="1:34" x14ac:dyDescent="0.3">
      <c r="A48" t="s">
        <v>8</v>
      </c>
      <c r="B48" t="s">
        <v>2228</v>
      </c>
      <c r="C48">
        <v>4.1583499999999999E-3</v>
      </c>
      <c r="D48">
        <v>1.8282873000000002E-2</v>
      </c>
      <c r="E48">
        <v>0.10026592300000001</v>
      </c>
      <c r="F48">
        <v>9.0543829000000006E-2</v>
      </c>
      <c r="G48">
        <v>5.2829689999999999E-2</v>
      </c>
      <c r="H48">
        <v>0.48619490399999998</v>
      </c>
      <c r="I48">
        <v>0.52252830400000005</v>
      </c>
      <c r="J48">
        <v>0.74254640900000002</v>
      </c>
      <c r="K48">
        <v>2.0368673E-2</v>
      </c>
      <c r="L48">
        <v>1.6495751999999999E-2</v>
      </c>
      <c r="M48">
        <v>6.7323440000000003E-3</v>
      </c>
      <c r="N48">
        <v>0</v>
      </c>
      <c r="O48">
        <v>0</v>
      </c>
      <c r="P48">
        <v>3.0420099999999999E-3</v>
      </c>
      <c r="Q48">
        <v>0</v>
      </c>
      <c r="R48">
        <v>0</v>
      </c>
      <c r="S48">
        <v>6.4242579999999994E-2</v>
      </c>
      <c r="T48">
        <v>0</v>
      </c>
      <c r="U48">
        <v>9.5322830000000008E-3</v>
      </c>
      <c r="V48">
        <v>2.2474939999999999E-2</v>
      </c>
      <c r="W48">
        <v>0</v>
      </c>
      <c r="X48">
        <v>0</v>
      </c>
      <c r="Y48">
        <v>0</v>
      </c>
      <c r="Z48">
        <v>0</v>
      </c>
      <c r="AA48">
        <v>5.0337259999999997E-3</v>
      </c>
      <c r="AB48">
        <v>0</v>
      </c>
      <c r="AC48">
        <v>0</v>
      </c>
      <c r="AD48">
        <v>0</v>
      </c>
      <c r="AE48">
        <v>7.1831339999999999E-3</v>
      </c>
      <c r="AF48">
        <v>0</v>
      </c>
      <c r="AG48">
        <v>0</v>
      </c>
      <c r="AH48">
        <v>0</v>
      </c>
    </row>
    <row r="49" spans="1:34" x14ac:dyDescent="0.3">
      <c r="A49" t="s">
        <v>4</v>
      </c>
      <c r="B49" t="s">
        <v>2229</v>
      </c>
      <c r="C49">
        <v>4.1583499999999999E-3</v>
      </c>
      <c r="D49">
        <v>0</v>
      </c>
      <c r="E49">
        <v>0</v>
      </c>
      <c r="F49">
        <v>0</v>
      </c>
      <c r="G49">
        <v>0</v>
      </c>
      <c r="H49">
        <v>0</v>
      </c>
      <c r="I49">
        <v>6.4170147999999996E-2</v>
      </c>
      <c r="J49">
        <v>6.3753979000000002E-2</v>
      </c>
      <c r="K49">
        <v>4.4132127E-2</v>
      </c>
      <c r="L49">
        <v>9.3475928E-2</v>
      </c>
      <c r="M49">
        <v>0.14137924299999999</v>
      </c>
      <c r="N49">
        <v>7.4649149999999997E-2</v>
      </c>
      <c r="O49">
        <v>0.14389932999999999</v>
      </c>
      <c r="P49">
        <v>0.15818452</v>
      </c>
      <c r="Q49">
        <v>0.104818008</v>
      </c>
      <c r="R49">
        <v>8.2671078999999995E-2</v>
      </c>
      <c r="S49">
        <v>8.3515354E-2</v>
      </c>
      <c r="T49">
        <v>0.11120540499999999</v>
      </c>
      <c r="U49">
        <v>8.2613125999999995E-2</v>
      </c>
      <c r="V49">
        <v>9.8889737000000005E-2</v>
      </c>
      <c r="W49">
        <v>2.2559104999999999E-2</v>
      </c>
      <c r="X49">
        <v>8.6293692000000005E-2</v>
      </c>
      <c r="Y49">
        <v>1.5728216E-2</v>
      </c>
      <c r="Z49">
        <v>3.4299429999999999E-2</v>
      </c>
      <c r="AA49">
        <v>8.5573341999999997E-2</v>
      </c>
      <c r="AB49">
        <v>1.1734609999999999E-2</v>
      </c>
      <c r="AC49">
        <v>0.116025427</v>
      </c>
      <c r="AD49">
        <v>2.0685852000000001E-2</v>
      </c>
      <c r="AE49">
        <v>0.12211327800000001</v>
      </c>
      <c r="AF49">
        <v>0.15670202599999999</v>
      </c>
      <c r="AG49">
        <v>0.143379442</v>
      </c>
      <c r="AH49">
        <v>0</v>
      </c>
    </row>
    <row r="50" spans="1:34" x14ac:dyDescent="0.3">
      <c r="A50" t="s">
        <v>4</v>
      </c>
      <c r="B50" t="s">
        <v>2230</v>
      </c>
      <c r="C50">
        <v>7.900865E-2</v>
      </c>
      <c r="D50">
        <v>5.8505192999999997E-2</v>
      </c>
      <c r="E50">
        <v>6.1031430999999997E-2</v>
      </c>
      <c r="F50">
        <v>0.152792711</v>
      </c>
      <c r="G50">
        <v>0.31697814200000002</v>
      </c>
      <c r="H50">
        <v>0.156150188</v>
      </c>
      <c r="I50">
        <v>0.11917312200000001</v>
      </c>
      <c r="J50">
        <v>6.0003750000000002E-2</v>
      </c>
      <c r="K50">
        <v>2.0368673E-2</v>
      </c>
      <c r="L50">
        <v>2.1994336E-2</v>
      </c>
      <c r="M50">
        <v>6.7323443999999996E-2</v>
      </c>
      <c r="N50">
        <v>2.4883050000000001E-3</v>
      </c>
      <c r="O50">
        <v>3.346496E-3</v>
      </c>
      <c r="P50">
        <v>4.2588139999999997E-2</v>
      </c>
      <c r="Q50">
        <v>2.8915314000000001E-2</v>
      </c>
      <c r="R50">
        <v>9.3338310999999993E-2</v>
      </c>
      <c r="S50">
        <v>3.2121289999999997E-2</v>
      </c>
      <c r="T50">
        <v>0.122911241</v>
      </c>
      <c r="U50">
        <v>0.10485511</v>
      </c>
      <c r="V50">
        <v>3.5959905E-2</v>
      </c>
      <c r="W50">
        <v>2.7070925999999999E-2</v>
      </c>
      <c r="X50">
        <v>4.3146842999999997E-2</v>
      </c>
      <c r="Y50">
        <v>2.2019502999999999E-2</v>
      </c>
      <c r="Z50">
        <v>4.4589264000000003E-2</v>
      </c>
      <c r="AA50">
        <v>9.5640793000000002E-2</v>
      </c>
      <c r="AB50">
        <v>3.9897674000000001E-2</v>
      </c>
      <c r="AC50">
        <v>0.10210238100000001</v>
      </c>
      <c r="AD50">
        <v>6.6654407999999998E-2</v>
      </c>
      <c r="AE50">
        <v>5.7465071999999999E-2</v>
      </c>
      <c r="AF50">
        <v>6.0270009999999997E-3</v>
      </c>
      <c r="AG50">
        <v>6.8105239999999997E-2</v>
      </c>
      <c r="AH50">
        <v>0</v>
      </c>
    </row>
    <row r="51" spans="1:34" x14ac:dyDescent="0.3">
      <c r="A51" t="s">
        <v>17</v>
      </c>
      <c r="B51" t="s">
        <v>2231</v>
      </c>
      <c r="C51">
        <v>4.9900199999999999E-2</v>
      </c>
      <c r="D51">
        <v>6.9474915999999998E-2</v>
      </c>
      <c r="E51">
        <v>3.9234491000000003E-2</v>
      </c>
      <c r="F51">
        <v>9.0543829000000006E-2</v>
      </c>
      <c r="G51">
        <v>4.6225979E-2</v>
      </c>
      <c r="H51">
        <v>3.1939810999999999E-2</v>
      </c>
      <c r="I51">
        <v>4.1252233999999999E-2</v>
      </c>
      <c r="J51">
        <v>5.6253514999999997E-2</v>
      </c>
      <c r="K51">
        <v>8.4869471000000002E-2</v>
      </c>
      <c r="L51">
        <v>1.6495751999999999E-2</v>
      </c>
      <c r="M51">
        <v>8.9764600000000003E-3</v>
      </c>
      <c r="N51">
        <v>5.9719319E-2</v>
      </c>
      <c r="O51">
        <v>1.6732481E-2</v>
      </c>
      <c r="P51">
        <v>1.5210049999999999E-2</v>
      </c>
      <c r="Q51">
        <v>0.44457295699999999</v>
      </c>
      <c r="R51">
        <v>0.29068217000000002</v>
      </c>
      <c r="S51">
        <v>0</v>
      </c>
      <c r="T51">
        <v>0.33946914</v>
      </c>
      <c r="U51">
        <v>6.6725979000000005E-2</v>
      </c>
      <c r="V51">
        <v>4.0454892999999999E-2</v>
      </c>
      <c r="W51">
        <v>0</v>
      </c>
      <c r="X51">
        <v>8.6293686999999994E-2</v>
      </c>
      <c r="Y51">
        <v>0</v>
      </c>
      <c r="Z51">
        <v>2.7439547000000002E-2</v>
      </c>
      <c r="AA51">
        <v>9.5640793000000002E-2</v>
      </c>
      <c r="AB51">
        <v>3.9897674000000001E-2</v>
      </c>
      <c r="AC51">
        <v>1.8564068999999999E-2</v>
      </c>
      <c r="AD51">
        <v>2.2984279E-2</v>
      </c>
      <c r="AE51">
        <v>1.7957834999999998E-2</v>
      </c>
      <c r="AF51">
        <v>1.2054001999999999E-2</v>
      </c>
      <c r="AG51">
        <v>7.168972E-3</v>
      </c>
      <c r="AH51">
        <v>0</v>
      </c>
    </row>
    <row r="52" spans="1:34" x14ac:dyDescent="0.3">
      <c r="A52" t="s">
        <v>4</v>
      </c>
      <c r="B52" t="s">
        <v>2232</v>
      </c>
      <c r="C52">
        <v>1.66334E-2</v>
      </c>
      <c r="D52">
        <v>2.1939447000000001E-2</v>
      </c>
      <c r="E52">
        <v>4.7953267000000001E-2</v>
      </c>
      <c r="F52">
        <v>0.72435063099999997</v>
      </c>
      <c r="G52">
        <v>0.10565938</v>
      </c>
      <c r="H52">
        <v>0.269713961</v>
      </c>
      <c r="I52">
        <v>4.1252233999999999E-2</v>
      </c>
      <c r="J52">
        <v>7.8754922000000005E-2</v>
      </c>
      <c r="K52">
        <v>3.3947790000000001E-3</v>
      </c>
      <c r="L52">
        <v>0</v>
      </c>
      <c r="M52">
        <v>0</v>
      </c>
      <c r="N52">
        <v>4.9766100000000002E-3</v>
      </c>
      <c r="O52">
        <v>0</v>
      </c>
      <c r="P52">
        <v>0</v>
      </c>
      <c r="Q52">
        <v>0</v>
      </c>
      <c r="R52">
        <v>0</v>
      </c>
      <c r="S52">
        <v>7.0666837999999996E-2</v>
      </c>
      <c r="T52">
        <v>0</v>
      </c>
      <c r="U52">
        <v>0</v>
      </c>
      <c r="V52">
        <v>8.0909785999999997E-2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8.6197607999999995E-2</v>
      </c>
      <c r="AF52">
        <v>0.30135004799999998</v>
      </c>
      <c r="AG52">
        <v>0.132625995</v>
      </c>
      <c r="AH52">
        <v>0</v>
      </c>
    </row>
    <row r="53" spans="1:34" x14ac:dyDescent="0.3">
      <c r="A53" t="s">
        <v>4</v>
      </c>
      <c r="B53" t="s">
        <v>2233</v>
      </c>
      <c r="C53">
        <v>2.0791750000000001E-2</v>
      </c>
      <c r="D53">
        <v>3.6565744999999997E-2</v>
      </c>
      <c r="E53">
        <v>2.1796940000000001E-2</v>
      </c>
      <c r="F53">
        <v>0</v>
      </c>
      <c r="G53">
        <v>3.9622267000000003E-2</v>
      </c>
      <c r="H53">
        <v>0</v>
      </c>
      <c r="I53">
        <v>4.5835816000000001E-2</v>
      </c>
      <c r="J53">
        <v>4.5002812000000003E-2</v>
      </c>
      <c r="K53">
        <v>4.7526904000000002E-2</v>
      </c>
      <c r="L53">
        <v>1.0997168E-2</v>
      </c>
      <c r="M53">
        <v>3.3661721999999998E-2</v>
      </c>
      <c r="N53">
        <v>2.4883050000000001E-3</v>
      </c>
      <c r="O53">
        <v>3.346496E-3</v>
      </c>
      <c r="P53">
        <v>3.0420099999999999E-3</v>
      </c>
      <c r="Q53">
        <v>2.5300900000000001E-2</v>
      </c>
      <c r="R53">
        <v>2.6668088999999999E-2</v>
      </c>
      <c r="S53">
        <v>0</v>
      </c>
      <c r="T53">
        <v>4.9749788000000003E-2</v>
      </c>
      <c r="U53">
        <v>6.9903406000000001E-2</v>
      </c>
      <c r="V53">
        <v>0</v>
      </c>
      <c r="W53">
        <v>5.4141851999999997E-2</v>
      </c>
      <c r="X53">
        <v>7.1911409999999999E-3</v>
      </c>
      <c r="Y53">
        <v>1.2582573E-2</v>
      </c>
      <c r="Z53">
        <v>0.19893671800000001</v>
      </c>
      <c r="AA53">
        <v>0.115775698</v>
      </c>
      <c r="AB53">
        <v>0.57264897100000001</v>
      </c>
      <c r="AC53">
        <v>8.817933E-2</v>
      </c>
      <c r="AD53">
        <v>0.418313873</v>
      </c>
      <c r="AE53">
        <v>0</v>
      </c>
      <c r="AF53">
        <v>0</v>
      </c>
      <c r="AG53">
        <v>0</v>
      </c>
      <c r="AH53">
        <v>0</v>
      </c>
    </row>
    <row r="54" spans="1:34" x14ac:dyDescent="0.3">
      <c r="A54" t="s">
        <v>15</v>
      </c>
      <c r="B54" t="s">
        <v>2234</v>
      </c>
      <c r="C54">
        <v>8.3167000000000005E-2</v>
      </c>
      <c r="D54">
        <v>1.0969724E-2</v>
      </c>
      <c r="E54">
        <v>4.3593879999999996E-3</v>
      </c>
      <c r="F54">
        <v>1.1317979000000001E-2</v>
      </c>
      <c r="G54">
        <v>2.6414844999999999E-2</v>
      </c>
      <c r="H54">
        <v>0</v>
      </c>
      <c r="I54">
        <v>3.6668653000000002E-2</v>
      </c>
      <c r="J54">
        <v>7.5004679999999997E-3</v>
      </c>
      <c r="K54">
        <v>0</v>
      </c>
      <c r="L54">
        <v>5.4985839999999999E-3</v>
      </c>
      <c r="M54">
        <v>1.5708804E-2</v>
      </c>
      <c r="N54">
        <v>2.4883050000000001E-3</v>
      </c>
      <c r="O54">
        <v>0</v>
      </c>
      <c r="P54">
        <v>0</v>
      </c>
      <c r="Q54">
        <v>0</v>
      </c>
      <c r="R54">
        <v>2.666809E-3</v>
      </c>
      <c r="S54">
        <v>0</v>
      </c>
      <c r="T54">
        <v>1.4632291E-2</v>
      </c>
      <c r="U54">
        <v>3.1774279999999999E-3</v>
      </c>
      <c r="V54">
        <v>0</v>
      </c>
      <c r="W54">
        <v>0.25717379600000001</v>
      </c>
      <c r="X54">
        <v>0.17258737299999999</v>
      </c>
      <c r="Y54">
        <v>0.43409877299999999</v>
      </c>
      <c r="Z54">
        <v>0.27096552800000001</v>
      </c>
      <c r="AA54">
        <v>1.5101178E-2</v>
      </c>
      <c r="AB54">
        <v>0.28163064100000001</v>
      </c>
      <c r="AC54">
        <v>2.3205086E-2</v>
      </c>
      <c r="AD54">
        <v>0.18847108600000001</v>
      </c>
      <c r="AE54">
        <v>0</v>
      </c>
      <c r="AF54">
        <v>0</v>
      </c>
      <c r="AG54">
        <v>0</v>
      </c>
      <c r="AH54">
        <v>0</v>
      </c>
    </row>
    <row r="55" spans="1:34" x14ac:dyDescent="0.3">
      <c r="A55" t="s">
        <v>15</v>
      </c>
      <c r="B55" t="s">
        <v>2235</v>
      </c>
      <c r="C55">
        <v>3.3266799999999999E-2</v>
      </c>
      <c r="D55">
        <v>5.4848618000000002E-2</v>
      </c>
      <c r="E55">
        <v>1.7437551999999999E-2</v>
      </c>
      <c r="F55">
        <v>3.9612925E-2</v>
      </c>
      <c r="G55">
        <v>4.6225979E-2</v>
      </c>
      <c r="H55">
        <v>7.0977360000000003E-3</v>
      </c>
      <c r="I55">
        <v>1.3750745E-2</v>
      </c>
      <c r="J55">
        <v>7.5004690000000001E-3</v>
      </c>
      <c r="K55">
        <v>4.0737346000000001E-2</v>
      </c>
      <c r="L55">
        <v>1.6495751999999999E-2</v>
      </c>
      <c r="M55">
        <v>1.3464689E-2</v>
      </c>
      <c r="N55">
        <v>3.9812879000000002E-2</v>
      </c>
      <c r="O55">
        <v>2.3425474000000002E-2</v>
      </c>
      <c r="P55">
        <v>0</v>
      </c>
      <c r="Q55">
        <v>2.5300900000000001E-2</v>
      </c>
      <c r="R55">
        <v>3.7335325000000003E-2</v>
      </c>
      <c r="S55">
        <v>1.2848516000000001E-2</v>
      </c>
      <c r="T55">
        <v>0.30727810100000003</v>
      </c>
      <c r="U55">
        <v>2.2241993000000002E-2</v>
      </c>
      <c r="V55">
        <v>1.3484964E-2</v>
      </c>
      <c r="W55">
        <v>0.31131564699999997</v>
      </c>
      <c r="X55">
        <v>0.20135193400000001</v>
      </c>
      <c r="Y55">
        <v>0.34287511799999998</v>
      </c>
      <c r="Z55">
        <v>8.5748585000000002E-2</v>
      </c>
      <c r="AA55">
        <v>2.5168630000000001E-2</v>
      </c>
      <c r="AB55">
        <v>1.6428453999999999E-2</v>
      </c>
      <c r="AC55">
        <v>1.3923052E-2</v>
      </c>
      <c r="AD55">
        <v>1.8387423E-2</v>
      </c>
      <c r="AE55">
        <v>7.1831339999999999E-3</v>
      </c>
      <c r="AF55">
        <v>0</v>
      </c>
      <c r="AG55">
        <v>3.584486E-3</v>
      </c>
      <c r="AH55">
        <v>0</v>
      </c>
    </row>
    <row r="56" spans="1:34" x14ac:dyDescent="0.3">
      <c r="A56" t="s">
        <v>4</v>
      </c>
      <c r="B56" t="s">
        <v>2236</v>
      </c>
      <c r="C56">
        <v>0</v>
      </c>
      <c r="D56">
        <v>0</v>
      </c>
      <c r="E56">
        <v>4.3593879999999996E-3</v>
      </c>
      <c r="F56">
        <v>0</v>
      </c>
      <c r="G56">
        <v>6.6037112999999995E-2</v>
      </c>
      <c r="H56">
        <v>0</v>
      </c>
      <c r="I56">
        <v>1.3750745E-2</v>
      </c>
      <c r="J56">
        <v>1.1250703000000001E-2</v>
      </c>
      <c r="K56">
        <v>3.3947790000000001E-3</v>
      </c>
      <c r="L56">
        <v>2.749292E-3</v>
      </c>
      <c r="M56">
        <v>6.7323440000000003E-3</v>
      </c>
      <c r="N56">
        <v>1.2441525E-2</v>
      </c>
      <c r="O56">
        <v>0</v>
      </c>
      <c r="P56">
        <v>3.0420099999999999E-3</v>
      </c>
      <c r="Q56">
        <v>0</v>
      </c>
      <c r="R56">
        <v>4.2668942000000001E-2</v>
      </c>
      <c r="S56">
        <v>0</v>
      </c>
      <c r="T56">
        <v>2.0485206999999998E-2</v>
      </c>
      <c r="U56">
        <v>6.9903406000000001E-2</v>
      </c>
      <c r="V56">
        <v>8.9899760000000002E-3</v>
      </c>
      <c r="W56">
        <v>1.3535462999999999E-2</v>
      </c>
      <c r="X56">
        <v>7.1911409999999999E-3</v>
      </c>
      <c r="Y56">
        <v>6.2912865999999998E-2</v>
      </c>
      <c r="Z56">
        <v>0.164637283</v>
      </c>
      <c r="AA56">
        <v>2.0134903999999999E-2</v>
      </c>
      <c r="AB56">
        <v>0.16897838500000001</v>
      </c>
      <c r="AC56">
        <v>0.16707662300000001</v>
      </c>
      <c r="AD56">
        <v>0.87570102100000002</v>
      </c>
      <c r="AE56">
        <v>0</v>
      </c>
      <c r="AF56">
        <v>0</v>
      </c>
      <c r="AG56">
        <v>0</v>
      </c>
      <c r="AH56">
        <v>0</v>
      </c>
    </row>
    <row r="57" spans="1:34" x14ac:dyDescent="0.3">
      <c r="A57" t="s">
        <v>4</v>
      </c>
      <c r="B57" t="s">
        <v>2237</v>
      </c>
      <c r="C57">
        <v>3.7425149999999997E-2</v>
      </c>
      <c r="D57">
        <v>4.0222319999999999E-2</v>
      </c>
      <c r="E57">
        <v>4.3593880000000002E-2</v>
      </c>
      <c r="F57">
        <v>8.4884839000000004E-2</v>
      </c>
      <c r="G57">
        <v>7.9244535000000005E-2</v>
      </c>
      <c r="H57">
        <v>1.132088864</v>
      </c>
      <c r="I57">
        <v>5.500298E-2</v>
      </c>
      <c r="J57">
        <v>2.6251640999999999E-2</v>
      </c>
      <c r="K57">
        <v>8.4869470000000002E-2</v>
      </c>
      <c r="L57">
        <v>1.374646E-2</v>
      </c>
      <c r="M57">
        <v>6.7323449999999998E-3</v>
      </c>
      <c r="N57">
        <v>4.9766100000000002E-3</v>
      </c>
      <c r="O57">
        <v>0</v>
      </c>
      <c r="P57">
        <v>0</v>
      </c>
      <c r="Q57">
        <v>0</v>
      </c>
      <c r="R57">
        <v>0</v>
      </c>
      <c r="S57">
        <v>0</v>
      </c>
      <c r="T57">
        <v>1.4632289999999999E-2</v>
      </c>
      <c r="U57">
        <v>6.3548559999999999E-3</v>
      </c>
      <c r="V57">
        <v>0</v>
      </c>
      <c r="W57">
        <v>0</v>
      </c>
      <c r="X57">
        <v>7.1911409999999999E-3</v>
      </c>
      <c r="Y57">
        <v>0</v>
      </c>
      <c r="Z57">
        <v>1.7149716999999998E-2</v>
      </c>
      <c r="AA57">
        <v>0</v>
      </c>
      <c r="AB57">
        <v>2.346922E-3</v>
      </c>
      <c r="AC57">
        <v>0</v>
      </c>
      <c r="AD57">
        <v>0</v>
      </c>
      <c r="AE57">
        <v>3.5915669999999999E-3</v>
      </c>
      <c r="AF57">
        <v>0</v>
      </c>
      <c r="AG57">
        <v>0</v>
      </c>
      <c r="AH57">
        <v>0</v>
      </c>
    </row>
    <row r="58" spans="1:34" x14ac:dyDescent="0.3">
      <c r="A58" t="s">
        <v>4</v>
      </c>
      <c r="B58" t="s">
        <v>2238</v>
      </c>
      <c r="C58">
        <v>1.66334E-2</v>
      </c>
      <c r="D58">
        <v>3.656575E-3</v>
      </c>
      <c r="E58">
        <v>4.3593879000000002E-2</v>
      </c>
      <c r="F58">
        <v>8.4884840000000003E-2</v>
      </c>
      <c r="G58">
        <v>0.14528164800000001</v>
      </c>
      <c r="H58">
        <v>2.1293207000000001E-2</v>
      </c>
      <c r="I58">
        <v>0.132923867</v>
      </c>
      <c r="J58">
        <v>0.105006563</v>
      </c>
      <c r="K58">
        <v>0.34626744100000001</v>
      </c>
      <c r="L58">
        <v>0.14021389500000001</v>
      </c>
      <c r="M58">
        <v>0.105473396</v>
      </c>
      <c r="N58">
        <v>7.4649149999999999E-3</v>
      </c>
      <c r="O58">
        <v>2.3425474000000002E-2</v>
      </c>
      <c r="P58">
        <v>9.1260300000000003E-3</v>
      </c>
      <c r="Q58">
        <v>3.6144139999999998E-3</v>
      </c>
      <c r="R58">
        <v>1.8667662000000002E-2</v>
      </c>
      <c r="S58">
        <v>0</v>
      </c>
      <c r="T58">
        <v>8.7793739999999995E-3</v>
      </c>
      <c r="U58">
        <v>1.2709710000000001E-2</v>
      </c>
      <c r="V58">
        <v>4.4949880000000001E-3</v>
      </c>
      <c r="W58">
        <v>4.5118210000000001E-3</v>
      </c>
      <c r="X58">
        <v>0</v>
      </c>
      <c r="Y58">
        <v>2.2019502999999999E-2</v>
      </c>
      <c r="Z58">
        <v>0</v>
      </c>
      <c r="AA58">
        <v>1.5101178E-2</v>
      </c>
      <c r="AB58">
        <v>7.0407660000000004E-3</v>
      </c>
      <c r="AC58">
        <v>9.2820349999999992E-3</v>
      </c>
      <c r="AD58">
        <v>9.1937119999999997E-3</v>
      </c>
      <c r="AE58">
        <v>3.5915669999999999E-3</v>
      </c>
      <c r="AF58">
        <v>0</v>
      </c>
      <c r="AG58">
        <v>3.584486E-3</v>
      </c>
      <c r="AH58">
        <v>0</v>
      </c>
    </row>
    <row r="59" spans="1:34" x14ac:dyDescent="0.3">
      <c r="A59" t="s">
        <v>0</v>
      </c>
      <c r="B59" t="s">
        <v>2239</v>
      </c>
      <c r="C59">
        <v>8.3166999999999998E-3</v>
      </c>
      <c r="D59">
        <v>7.3131489999999997E-3</v>
      </c>
      <c r="E59">
        <v>2.1796940000000001E-2</v>
      </c>
      <c r="F59">
        <v>0</v>
      </c>
      <c r="G59">
        <v>0.32358185299999997</v>
      </c>
      <c r="H59">
        <v>0</v>
      </c>
      <c r="I59">
        <v>0.19251042800000001</v>
      </c>
      <c r="J59">
        <v>6.7504219000000004E-2</v>
      </c>
      <c r="K59">
        <v>0</v>
      </c>
      <c r="L59">
        <v>2.749292E-3</v>
      </c>
      <c r="M59">
        <v>4.4882300000000002E-3</v>
      </c>
      <c r="N59">
        <v>0</v>
      </c>
      <c r="O59">
        <v>0</v>
      </c>
      <c r="P59">
        <v>3.0420099999999999E-3</v>
      </c>
      <c r="Q59">
        <v>1.4457657E-2</v>
      </c>
      <c r="R59">
        <v>1.0667236E-2</v>
      </c>
      <c r="S59">
        <v>1.2848516000000001E-2</v>
      </c>
      <c r="T59">
        <v>4.6823330000000003E-2</v>
      </c>
      <c r="U59">
        <v>9.5322830000000008E-3</v>
      </c>
      <c r="V59">
        <v>8.5404774000000003E-2</v>
      </c>
      <c r="W59">
        <v>4.0606389E-2</v>
      </c>
      <c r="X59">
        <v>0.20854307499999999</v>
      </c>
      <c r="Y59">
        <v>6.6058509000000001E-2</v>
      </c>
      <c r="Z59">
        <v>3.0869490999999999E-2</v>
      </c>
      <c r="AA59">
        <v>1.5101178E-2</v>
      </c>
      <c r="AB59">
        <v>9.3876879999999999E-3</v>
      </c>
      <c r="AC59">
        <v>4.6410169999999999E-3</v>
      </c>
      <c r="AD59">
        <v>4.5968559999999999E-3</v>
      </c>
      <c r="AE59">
        <v>3.5915669999999997E-2</v>
      </c>
      <c r="AF59">
        <v>1.8081002999999998E-2</v>
      </c>
      <c r="AG59">
        <v>5.0182809000000002E-2</v>
      </c>
      <c r="AH59">
        <v>0</v>
      </c>
    </row>
    <row r="60" spans="1:34" x14ac:dyDescent="0.3">
      <c r="A60" t="s">
        <v>4</v>
      </c>
      <c r="B60" t="s">
        <v>2240</v>
      </c>
      <c r="C60">
        <v>0</v>
      </c>
      <c r="D60">
        <v>0</v>
      </c>
      <c r="E60">
        <v>4.3593879999999996E-3</v>
      </c>
      <c r="F60">
        <v>0</v>
      </c>
      <c r="G60">
        <v>0</v>
      </c>
      <c r="H60">
        <v>1.0646604E-2</v>
      </c>
      <c r="I60">
        <v>2.2917909E-2</v>
      </c>
      <c r="J60">
        <v>4.1252575999999999E-2</v>
      </c>
      <c r="K60">
        <v>3.3947790000000001E-3</v>
      </c>
      <c r="L60">
        <v>4.9487256E-2</v>
      </c>
      <c r="M60">
        <v>5.6102873999999997E-2</v>
      </c>
      <c r="N60">
        <v>5.9719319999999999E-2</v>
      </c>
      <c r="O60">
        <v>7.0276416999999994E-2</v>
      </c>
      <c r="P60">
        <v>8.2134269999999995E-2</v>
      </c>
      <c r="Q60">
        <v>3.6144141999999997E-2</v>
      </c>
      <c r="R60">
        <v>1.8667663000000001E-2</v>
      </c>
      <c r="S60">
        <v>0.12848515999999999</v>
      </c>
      <c r="T60">
        <v>4.0970411999999998E-2</v>
      </c>
      <c r="U60">
        <v>4.4483990000000001E-2</v>
      </c>
      <c r="V60">
        <v>0.116869689</v>
      </c>
      <c r="W60">
        <v>3.6094568E-2</v>
      </c>
      <c r="X60">
        <v>6.4720267999999997E-2</v>
      </c>
      <c r="Y60">
        <v>6.2912860000000001E-3</v>
      </c>
      <c r="Z60">
        <v>6.8598859999999999E-3</v>
      </c>
      <c r="AA60">
        <v>4.0269807999999997E-2</v>
      </c>
      <c r="AB60">
        <v>9.3876879999999999E-3</v>
      </c>
      <c r="AC60">
        <v>6.0333222999999998E-2</v>
      </c>
      <c r="AD60">
        <v>2.7581135999999999E-2</v>
      </c>
      <c r="AE60">
        <v>7.9014474000000001E-2</v>
      </c>
      <c r="AF60">
        <v>0.102459017</v>
      </c>
      <c r="AG60">
        <v>6.0936262999999997E-2</v>
      </c>
      <c r="AH60">
        <v>0</v>
      </c>
    </row>
    <row r="61" spans="1:34" x14ac:dyDescent="0.3">
      <c r="A61" t="s">
        <v>8</v>
      </c>
      <c r="B61" t="s">
        <v>2241</v>
      </c>
      <c r="C61">
        <v>2.4950099999999999E-2</v>
      </c>
      <c r="D61">
        <v>3.2909171000000001E-2</v>
      </c>
      <c r="E61">
        <v>8.7187759999999993E-3</v>
      </c>
      <c r="F61">
        <v>1.1317977999999999E-2</v>
      </c>
      <c r="G61">
        <v>0.11886680299999999</v>
      </c>
      <c r="H61">
        <v>1.0646604E-2</v>
      </c>
      <c r="I61">
        <v>5.0419397999999997E-2</v>
      </c>
      <c r="J61">
        <v>6.7504219000000004E-2</v>
      </c>
      <c r="K61">
        <v>2.0368673E-2</v>
      </c>
      <c r="L61">
        <v>8.7977345999999998E-2</v>
      </c>
      <c r="M61">
        <v>6.2835215E-2</v>
      </c>
      <c r="N61">
        <v>7.4649149999999999E-3</v>
      </c>
      <c r="O61">
        <v>3.346496E-3</v>
      </c>
      <c r="P61">
        <v>0.12472242</v>
      </c>
      <c r="Q61">
        <v>3.9758557E-2</v>
      </c>
      <c r="R61">
        <v>1.3334044E-2</v>
      </c>
      <c r="S61">
        <v>0.10278812800000001</v>
      </c>
      <c r="T61">
        <v>2.3411665000000002E-2</v>
      </c>
      <c r="U61">
        <v>6.3548550999999995E-2</v>
      </c>
      <c r="V61">
        <v>0.143839619</v>
      </c>
      <c r="W61">
        <v>1.3535462999999999E-2</v>
      </c>
      <c r="X61">
        <v>2.8764562E-2</v>
      </c>
      <c r="Y61">
        <v>0</v>
      </c>
      <c r="Z61">
        <v>3.429943E-3</v>
      </c>
      <c r="AA61">
        <v>5.0337259999999997E-3</v>
      </c>
      <c r="AB61">
        <v>4.693844E-3</v>
      </c>
      <c r="AC61">
        <v>4.6410172999999999E-2</v>
      </c>
      <c r="AD61">
        <v>6.8952839999999998E-3</v>
      </c>
      <c r="AE61">
        <v>3.9507237000000001E-2</v>
      </c>
      <c r="AF61">
        <v>1.2054001999999999E-2</v>
      </c>
      <c r="AG61">
        <v>5.3767295E-2</v>
      </c>
      <c r="AH61">
        <v>0</v>
      </c>
    </row>
    <row r="62" spans="1:34" x14ac:dyDescent="0.3">
      <c r="A62" t="s">
        <v>17</v>
      </c>
      <c r="B62" t="s">
        <v>2242</v>
      </c>
      <c r="C62">
        <v>2.4950099999999999E-2</v>
      </c>
      <c r="D62">
        <v>1.4626297999999999E-2</v>
      </c>
      <c r="E62">
        <v>4.7953268E-2</v>
      </c>
      <c r="F62">
        <v>0.16976967900000001</v>
      </c>
      <c r="G62">
        <v>3.3018555999999998E-2</v>
      </c>
      <c r="H62">
        <v>5.6781887000000003E-2</v>
      </c>
      <c r="I62">
        <v>8.708805E-2</v>
      </c>
      <c r="J62">
        <v>0.105006562</v>
      </c>
      <c r="K62">
        <v>1.0184337E-2</v>
      </c>
      <c r="L62">
        <v>8.2478759999999995E-3</v>
      </c>
      <c r="M62">
        <v>1.1220574000000001E-2</v>
      </c>
      <c r="N62">
        <v>1.7418135000000001E-2</v>
      </c>
      <c r="O62">
        <v>6.692992E-3</v>
      </c>
      <c r="P62">
        <v>3.0420099999999999E-3</v>
      </c>
      <c r="Q62">
        <v>3.2529729E-2</v>
      </c>
      <c r="R62">
        <v>5.6002986999999997E-2</v>
      </c>
      <c r="S62">
        <v>6.4242580000000004E-3</v>
      </c>
      <c r="T62">
        <v>4.0970412999999997E-2</v>
      </c>
      <c r="U62">
        <v>2.8596848000000001E-2</v>
      </c>
      <c r="V62">
        <v>1.7979952E-2</v>
      </c>
      <c r="W62">
        <v>0</v>
      </c>
      <c r="X62">
        <v>3.5955702999999999E-2</v>
      </c>
      <c r="Y62">
        <v>0</v>
      </c>
      <c r="Z62">
        <v>2.057966E-2</v>
      </c>
      <c r="AA62">
        <v>4.5303533999999999E-2</v>
      </c>
      <c r="AB62">
        <v>7.0407660000000004E-3</v>
      </c>
      <c r="AC62">
        <v>1.3923052E-2</v>
      </c>
      <c r="AD62">
        <v>1.149214E-2</v>
      </c>
      <c r="AE62">
        <v>1.0774700999999999E-2</v>
      </c>
      <c r="AF62">
        <v>6.0270009999999997E-3</v>
      </c>
      <c r="AG62">
        <v>0</v>
      </c>
      <c r="AH62">
        <v>0</v>
      </c>
    </row>
    <row r="63" spans="1:34" x14ac:dyDescent="0.3">
      <c r="A63" t="s">
        <v>4</v>
      </c>
      <c r="B63" t="s">
        <v>2243</v>
      </c>
      <c r="C63">
        <v>4.9900199999999999E-2</v>
      </c>
      <c r="D63">
        <v>2.1939447000000001E-2</v>
      </c>
      <c r="E63">
        <v>1.3078164E-2</v>
      </c>
      <c r="F63">
        <v>0</v>
      </c>
      <c r="G63">
        <v>0.12547051400000001</v>
      </c>
      <c r="H63">
        <v>3.5488679000000002E-2</v>
      </c>
      <c r="I63">
        <v>4.5835820000000001E-3</v>
      </c>
      <c r="J63">
        <v>7.5004679999999997E-3</v>
      </c>
      <c r="K63">
        <v>9.1659028000000003E-2</v>
      </c>
      <c r="L63">
        <v>1.6495751999999999E-2</v>
      </c>
      <c r="M63">
        <v>6.7323449999999998E-3</v>
      </c>
      <c r="N63">
        <v>0.12441524900000001</v>
      </c>
      <c r="O63">
        <v>1.6732481E-2</v>
      </c>
      <c r="P63">
        <v>6.0840199999999999E-3</v>
      </c>
      <c r="Q63">
        <v>3.6144142999999997E-2</v>
      </c>
      <c r="R63">
        <v>0</v>
      </c>
      <c r="S63">
        <v>0</v>
      </c>
      <c r="T63">
        <v>8.4867285000000001E-2</v>
      </c>
      <c r="U63">
        <v>6.3548550000000004E-3</v>
      </c>
      <c r="V63">
        <v>1.7979952E-2</v>
      </c>
      <c r="W63">
        <v>4.5118210000000001E-3</v>
      </c>
      <c r="X63">
        <v>5.0337984000000002E-2</v>
      </c>
      <c r="Y63">
        <v>0</v>
      </c>
      <c r="Z63">
        <v>5.1449150999999999E-2</v>
      </c>
      <c r="AA63">
        <v>0</v>
      </c>
      <c r="AB63">
        <v>0</v>
      </c>
      <c r="AC63">
        <v>0</v>
      </c>
      <c r="AD63">
        <v>4.5968559999999999E-3</v>
      </c>
      <c r="AE63">
        <v>1.7957834999999998E-2</v>
      </c>
      <c r="AF63">
        <v>7.2324011999999993E-2</v>
      </c>
      <c r="AG63">
        <v>2.8675889999999999E-2</v>
      </c>
      <c r="AH63">
        <v>0</v>
      </c>
    </row>
    <row r="64" spans="1:34" x14ac:dyDescent="0.3">
      <c r="A64" t="s">
        <v>8</v>
      </c>
      <c r="B64" t="s">
        <v>2244</v>
      </c>
      <c r="C64">
        <v>8.3166999999999998E-3</v>
      </c>
      <c r="D64">
        <v>5.4848618000000002E-2</v>
      </c>
      <c r="E64">
        <v>8.7187759999999993E-3</v>
      </c>
      <c r="F64">
        <v>6.2248881999999998E-2</v>
      </c>
      <c r="G64">
        <v>0.105659381</v>
      </c>
      <c r="H64">
        <v>4.2586415000000002E-2</v>
      </c>
      <c r="I64">
        <v>0.20626117199999999</v>
      </c>
      <c r="J64">
        <v>0.243765236</v>
      </c>
      <c r="K64">
        <v>3.3947790000000001E-3</v>
      </c>
      <c r="L64">
        <v>3.5740796999999998E-2</v>
      </c>
      <c r="M64">
        <v>2.2441148000000001E-2</v>
      </c>
      <c r="N64">
        <v>2.4883050000000001E-3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2.2241993000000002E-2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2.346922E-3</v>
      </c>
      <c r="AC64">
        <v>0</v>
      </c>
      <c r="AD64">
        <v>0</v>
      </c>
      <c r="AE64">
        <v>3.5915669999999999E-3</v>
      </c>
      <c r="AF64">
        <v>0</v>
      </c>
      <c r="AG64">
        <v>0</v>
      </c>
      <c r="AH64">
        <v>0</v>
      </c>
    </row>
    <row r="65" spans="1:34" x14ac:dyDescent="0.3">
      <c r="A65" t="s">
        <v>4</v>
      </c>
      <c r="B65" t="s">
        <v>2245</v>
      </c>
      <c r="C65">
        <v>4.1583499999999999E-3</v>
      </c>
      <c r="D65">
        <v>3.656575E-3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6.7323440000000003E-3</v>
      </c>
      <c r="N65">
        <v>0</v>
      </c>
      <c r="O65">
        <v>0</v>
      </c>
      <c r="P65">
        <v>0</v>
      </c>
      <c r="Q65">
        <v>0</v>
      </c>
      <c r="R65">
        <v>5.333618E-3</v>
      </c>
      <c r="S65">
        <v>1.2848516000000001E-2</v>
      </c>
      <c r="T65">
        <v>2.9264579999999998E-3</v>
      </c>
      <c r="U65">
        <v>3.1774279999999999E-3</v>
      </c>
      <c r="V65">
        <v>0</v>
      </c>
      <c r="W65">
        <v>0.315827468</v>
      </c>
      <c r="X65">
        <v>7.1911409999999999E-3</v>
      </c>
      <c r="Y65">
        <v>0.39320540900000001</v>
      </c>
      <c r="Z65">
        <v>0</v>
      </c>
      <c r="AA65">
        <v>0</v>
      </c>
      <c r="AB65">
        <v>9.3876879999999999E-3</v>
      </c>
      <c r="AC65">
        <v>0</v>
      </c>
      <c r="AD65">
        <v>2.2984279999999999E-3</v>
      </c>
      <c r="AE65">
        <v>0</v>
      </c>
      <c r="AF65">
        <v>0</v>
      </c>
      <c r="AG65">
        <v>0</v>
      </c>
      <c r="AH65">
        <v>0</v>
      </c>
    </row>
    <row r="66" spans="1:34" x14ac:dyDescent="0.3">
      <c r="A66" t="s">
        <v>4</v>
      </c>
      <c r="B66" t="s">
        <v>2246</v>
      </c>
      <c r="C66">
        <v>2.9108450000000001E-2</v>
      </c>
      <c r="D66">
        <v>6.9474915999999998E-2</v>
      </c>
      <c r="E66">
        <v>2.6156328E-2</v>
      </c>
      <c r="F66">
        <v>1.1317979000000001E-2</v>
      </c>
      <c r="G66">
        <v>2.6414844999999999E-2</v>
      </c>
      <c r="H66">
        <v>2.1293207000000001E-2</v>
      </c>
      <c r="I66">
        <v>5.0419397999999997E-2</v>
      </c>
      <c r="J66">
        <v>2.6251640999999999E-2</v>
      </c>
      <c r="K66">
        <v>6.7895580000000002E-3</v>
      </c>
      <c r="L66">
        <v>8.2478759999999995E-3</v>
      </c>
      <c r="M66">
        <v>2.2441150000000001E-3</v>
      </c>
      <c r="N66">
        <v>2.4883050000000001E-3</v>
      </c>
      <c r="O66">
        <v>0</v>
      </c>
      <c r="P66">
        <v>0</v>
      </c>
      <c r="Q66">
        <v>7.5902700000000003E-2</v>
      </c>
      <c r="R66">
        <v>4.2668942000000001E-2</v>
      </c>
      <c r="S66">
        <v>0</v>
      </c>
      <c r="T66">
        <v>3.8043954999999997E-2</v>
      </c>
      <c r="U66">
        <v>1.2709710000000001E-2</v>
      </c>
      <c r="V66">
        <v>1.7979952E-2</v>
      </c>
      <c r="W66">
        <v>4.5118210000000001E-3</v>
      </c>
      <c r="X66">
        <v>1.4382281E-2</v>
      </c>
      <c r="Y66">
        <v>0</v>
      </c>
      <c r="Z66">
        <v>7.5458755000000002E-2</v>
      </c>
      <c r="AA66">
        <v>1.0067451999999999E-2</v>
      </c>
      <c r="AB66">
        <v>9.3876879999999999E-3</v>
      </c>
      <c r="AC66">
        <v>3.2487121000000001E-2</v>
      </c>
      <c r="AD66">
        <v>9.1937119999999997E-3</v>
      </c>
      <c r="AE66">
        <v>7.1831339999999999E-3</v>
      </c>
      <c r="AF66">
        <v>1.2054001999999999E-2</v>
      </c>
      <c r="AG66">
        <v>1.4337945E-2</v>
      </c>
      <c r="AH66">
        <v>0</v>
      </c>
    </row>
    <row r="67" spans="1:34" x14ac:dyDescent="0.3">
      <c r="A67" t="s">
        <v>4</v>
      </c>
      <c r="B67" t="s">
        <v>2247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4.5835820000000001E-3</v>
      </c>
      <c r="J67">
        <v>7.5004690000000001E-3</v>
      </c>
      <c r="K67">
        <v>0</v>
      </c>
      <c r="L67">
        <v>1.0997168E-2</v>
      </c>
      <c r="M67">
        <v>4.7126411E-2</v>
      </c>
      <c r="N67">
        <v>0</v>
      </c>
      <c r="O67">
        <v>0</v>
      </c>
      <c r="P67">
        <v>0</v>
      </c>
      <c r="Q67">
        <v>7.228829E-3</v>
      </c>
      <c r="R67">
        <v>2.666809E-3</v>
      </c>
      <c r="S67">
        <v>0</v>
      </c>
      <c r="T67">
        <v>0.19899915100000001</v>
      </c>
      <c r="U67">
        <v>3.1774279999999999E-3</v>
      </c>
      <c r="V67">
        <v>0</v>
      </c>
      <c r="W67">
        <v>8.5724597999999999E-2</v>
      </c>
      <c r="X67">
        <v>6.4720264999999999E-2</v>
      </c>
      <c r="Y67">
        <v>9.7514941999999993E-2</v>
      </c>
      <c r="Z67">
        <v>4.1159320999999999E-2</v>
      </c>
      <c r="AA67">
        <v>1.0067451999999999E-2</v>
      </c>
      <c r="AB67">
        <v>1.6428453999999999E-2</v>
      </c>
      <c r="AC67">
        <v>1.3923052E-2</v>
      </c>
      <c r="AD67">
        <v>3.2177989999999997E-2</v>
      </c>
      <c r="AE67">
        <v>0</v>
      </c>
      <c r="AF67">
        <v>0</v>
      </c>
      <c r="AG67">
        <v>0</v>
      </c>
      <c r="AH67">
        <v>0</v>
      </c>
    </row>
    <row r="68" spans="1:34" x14ac:dyDescent="0.3">
      <c r="A68" t="s">
        <v>4</v>
      </c>
      <c r="B68" t="s">
        <v>2248</v>
      </c>
      <c r="C68">
        <v>3.3266799999999999E-2</v>
      </c>
      <c r="D68">
        <v>8.4101213999999994E-2</v>
      </c>
      <c r="E68">
        <v>2.1796940000000001E-2</v>
      </c>
      <c r="F68">
        <v>5.6589889999999997E-3</v>
      </c>
      <c r="G68">
        <v>8.5848247000000003E-2</v>
      </c>
      <c r="H68">
        <v>7.0977360000000003E-3</v>
      </c>
      <c r="I68">
        <v>0.15584177499999999</v>
      </c>
      <c r="J68">
        <v>0.12375773499999999</v>
      </c>
      <c r="K68">
        <v>0</v>
      </c>
      <c r="L68">
        <v>0</v>
      </c>
      <c r="M68">
        <v>4.4882300000000002E-3</v>
      </c>
      <c r="N68">
        <v>0</v>
      </c>
      <c r="O68">
        <v>0</v>
      </c>
      <c r="P68">
        <v>0</v>
      </c>
      <c r="Q68">
        <v>3.6144139999999998E-3</v>
      </c>
      <c r="R68">
        <v>1.6000852999999999E-2</v>
      </c>
      <c r="S68">
        <v>0</v>
      </c>
      <c r="T68">
        <v>8.7793739999999995E-3</v>
      </c>
      <c r="U68">
        <v>9.5322830000000008E-3</v>
      </c>
      <c r="V68">
        <v>4.4949880000000001E-3</v>
      </c>
      <c r="W68">
        <v>0</v>
      </c>
      <c r="X68">
        <v>7.1911409999999999E-3</v>
      </c>
      <c r="Y68">
        <v>0</v>
      </c>
      <c r="Z68">
        <v>3.429943E-3</v>
      </c>
      <c r="AA68">
        <v>4.0269807999999997E-2</v>
      </c>
      <c r="AB68">
        <v>4.693844E-3</v>
      </c>
      <c r="AC68">
        <v>4.6410169999999999E-3</v>
      </c>
      <c r="AD68">
        <v>4.5968559999999999E-3</v>
      </c>
      <c r="AE68">
        <v>7.1831339999999999E-3</v>
      </c>
      <c r="AF68">
        <v>6.0270009999999997E-3</v>
      </c>
      <c r="AG68">
        <v>0</v>
      </c>
      <c r="AH68">
        <v>0</v>
      </c>
    </row>
    <row r="69" spans="1:34" x14ac:dyDescent="0.3">
      <c r="A69" t="s">
        <v>15</v>
      </c>
      <c r="B69" t="s">
        <v>2249</v>
      </c>
      <c r="C69">
        <v>0</v>
      </c>
      <c r="D69">
        <v>0</v>
      </c>
      <c r="E69">
        <v>0</v>
      </c>
      <c r="F69">
        <v>0</v>
      </c>
      <c r="G69">
        <v>6.603711E-3</v>
      </c>
      <c r="H69">
        <v>0</v>
      </c>
      <c r="I69">
        <v>0</v>
      </c>
      <c r="J69">
        <v>0</v>
      </c>
      <c r="K69">
        <v>0</v>
      </c>
      <c r="L69">
        <v>1.9245043999999999E-2</v>
      </c>
      <c r="M69">
        <v>3.1417607E-2</v>
      </c>
      <c r="N69">
        <v>0</v>
      </c>
      <c r="O69">
        <v>0</v>
      </c>
      <c r="P69">
        <v>3.0420099999999999E-3</v>
      </c>
      <c r="Q69">
        <v>3.6144139999999998E-3</v>
      </c>
      <c r="R69">
        <v>0</v>
      </c>
      <c r="S69">
        <v>6.4242579999999994E-2</v>
      </c>
      <c r="T69">
        <v>1.1705831999999999E-2</v>
      </c>
      <c r="U69">
        <v>2.2241993000000002E-2</v>
      </c>
      <c r="V69">
        <v>0.11237470200000001</v>
      </c>
      <c r="W69">
        <v>4.5118210000000001E-3</v>
      </c>
      <c r="X69">
        <v>2.1573421999999998E-2</v>
      </c>
      <c r="Y69">
        <v>0</v>
      </c>
      <c r="Z69">
        <v>6.8598859999999999E-3</v>
      </c>
      <c r="AA69">
        <v>6.0404711999999999E-2</v>
      </c>
      <c r="AB69">
        <v>7.0407660000000004E-3</v>
      </c>
      <c r="AC69">
        <v>9.2820349999999992E-3</v>
      </c>
      <c r="AD69">
        <v>1.1492139E-2</v>
      </c>
      <c r="AE69">
        <v>0.12570484500000001</v>
      </c>
      <c r="AF69">
        <v>2.4108003999999999E-2</v>
      </c>
      <c r="AG69">
        <v>7.1689726999999995E-2</v>
      </c>
      <c r="AH69">
        <v>0</v>
      </c>
    </row>
    <row r="70" spans="1:34" x14ac:dyDescent="0.3">
      <c r="A70" t="s">
        <v>4</v>
      </c>
      <c r="B70" t="s">
        <v>2250</v>
      </c>
      <c r="C70">
        <v>4.1583499999999999E-3</v>
      </c>
      <c r="D70">
        <v>1.4626297999999999E-2</v>
      </c>
      <c r="E70">
        <v>1.3078164E-2</v>
      </c>
      <c r="F70">
        <v>2.2635957000000002E-2</v>
      </c>
      <c r="G70">
        <v>3.9622268000000002E-2</v>
      </c>
      <c r="H70">
        <v>2.1293207000000001E-2</v>
      </c>
      <c r="I70">
        <v>9.1671630000000007E-3</v>
      </c>
      <c r="J70">
        <v>0</v>
      </c>
      <c r="K70">
        <v>0</v>
      </c>
      <c r="L70">
        <v>0</v>
      </c>
      <c r="M70">
        <v>2.2441150000000001E-3</v>
      </c>
      <c r="N70">
        <v>4.9766100000000002E-3</v>
      </c>
      <c r="O70">
        <v>1.0039487999999999E-2</v>
      </c>
      <c r="P70">
        <v>0</v>
      </c>
      <c r="Q70">
        <v>0</v>
      </c>
      <c r="R70">
        <v>1.0667236E-2</v>
      </c>
      <c r="S70">
        <v>6.4242580000000004E-3</v>
      </c>
      <c r="T70">
        <v>5.8529159999999997E-3</v>
      </c>
      <c r="U70">
        <v>3.1774275999999997E-2</v>
      </c>
      <c r="V70">
        <v>0</v>
      </c>
      <c r="W70">
        <v>9.0236420000000001E-3</v>
      </c>
      <c r="X70">
        <v>1.4382282E-2</v>
      </c>
      <c r="Y70">
        <v>9.4369299999999996E-3</v>
      </c>
      <c r="Z70">
        <v>5.1449150999999999E-2</v>
      </c>
      <c r="AA70">
        <v>1.0067451999999999E-2</v>
      </c>
      <c r="AB70">
        <v>0.17132530700000001</v>
      </c>
      <c r="AC70">
        <v>9.2820339999999998E-3</v>
      </c>
      <c r="AD70">
        <v>3.6774846E-2</v>
      </c>
      <c r="AE70">
        <v>0</v>
      </c>
      <c r="AF70">
        <v>0</v>
      </c>
      <c r="AG70">
        <v>0</v>
      </c>
      <c r="AH70">
        <v>0</v>
      </c>
    </row>
    <row r="71" spans="1:34" x14ac:dyDescent="0.3">
      <c r="A71" t="s">
        <v>4</v>
      </c>
      <c r="B71" t="s">
        <v>2251</v>
      </c>
      <c r="C71">
        <v>3.3266799999999999E-2</v>
      </c>
      <c r="D71">
        <v>5.8505191999999998E-2</v>
      </c>
      <c r="E71">
        <v>0</v>
      </c>
      <c r="F71">
        <v>2.8294947000000001E-2</v>
      </c>
      <c r="G71">
        <v>1.3207422999999999E-2</v>
      </c>
      <c r="H71">
        <v>2.1293207000000001E-2</v>
      </c>
      <c r="I71">
        <v>1.3750745E-2</v>
      </c>
      <c r="J71">
        <v>1.5000938E-2</v>
      </c>
      <c r="K71">
        <v>2.0368673E-2</v>
      </c>
      <c r="L71">
        <v>5.4985839999999999E-3</v>
      </c>
      <c r="M71">
        <v>4.4882300000000002E-3</v>
      </c>
      <c r="N71">
        <v>4.9766100000000002E-3</v>
      </c>
      <c r="O71">
        <v>6.692992E-3</v>
      </c>
      <c r="P71">
        <v>0</v>
      </c>
      <c r="Q71">
        <v>2.5300900000000001E-2</v>
      </c>
      <c r="R71">
        <v>1.0667236E-2</v>
      </c>
      <c r="S71">
        <v>6.4242580000000004E-3</v>
      </c>
      <c r="T71">
        <v>2.3411665000000002E-2</v>
      </c>
      <c r="U71">
        <v>2.2241993000000002E-2</v>
      </c>
      <c r="V71">
        <v>3.5959905E-2</v>
      </c>
      <c r="W71">
        <v>4.5118210000000001E-3</v>
      </c>
      <c r="X71">
        <v>2.1573421999999998E-2</v>
      </c>
      <c r="Y71">
        <v>3.1456430000000001E-3</v>
      </c>
      <c r="Z71">
        <v>0</v>
      </c>
      <c r="AA71">
        <v>1.5101178E-2</v>
      </c>
      <c r="AB71">
        <v>2.5816142E-2</v>
      </c>
      <c r="AC71">
        <v>9.2820349999999992E-3</v>
      </c>
      <c r="AD71">
        <v>2.7581135E-2</v>
      </c>
      <c r="AE71">
        <v>1.4366268E-2</v>
      </c>
      <c r="AF71">
        <v>1.2054001999999999E-2</v>
      </c>
      <c r="AG71">
        <v>7.1689730000000004E-3</v>
      </c>
      <c r="AH71">
        <v>0</v>
      </c>
    </row>
    <row r="72" spans="1:34" x14ac:dyDescent="0.3">
      <c r="A72" t="s">
        <v>4</v>
      </c>
      <c r="B72" t="s">
        <v>2252</v>
      </c>
      <c r="C72">
        <v>8.3166999999999998E-3</v>
      </c>
      <c r="D72">
        <v>1.4626297999999999E-2</v>
      </c>
      <c r="E72">
        <v>2.6156328E-2</v>
      </c>
      <c r="F72">
        <v>0.11883877599999999</v>
      </c>
      <c r="G72">
        <v>1.9811134000000001E-2</v>
      </c>
      <c r="H72">
        <v>5.6781887000000003E-2</v>
      </c>
      <c r="I72">
        <v>4.5835820000000001E-3</v>
      </c>
      <c r="J72">
        <v>3.0001875000000001E-2</v>
      </c>
      <c r="K72">
        <v>3.3947790000000001E-3</v>
      </c>
      <c r="L72">
        <v>0</v>
      </c>
      <c r="M72">
        <v>2.2441150000000001E-3</v>
      </c>
      <c r="N72">
        <v>1.7418135000000001E-2</v>
      </c>
      <c r="O72">
        <v>1.0039489E-2</v>
      </c>
      <c r="P72">
        <v>6.0840199999999999E-3</v>
      </c>
      <c r="Q72">
        <v>7.228829E-3</v>
      </c>
      <c r="R72">
        <v>0</v>
      </c>
      <c r="S72">
        <v>0</v>
      </c>
      <c r="T72">
        <v>0</v>
      </c>
      <c r="U72">
        <v>0</v>
      </c>
      <c r="V72">
        <v>8.9899760000000002E-3</v>
      </c>
      <c r="W72">
        <v>0</v>
      </c>
      <c r="X72">
        <v>0</v>
      </c>
      <c r="Y72">
        <v>0</v>
      </c>
      <c r="Z72">
        <v>0</v>
      </c>
      <c r="AA72">
        <v>0</v>
      </c>
      <c r="AB72">
        <v>2.346922E-3</v>
      </c>
      <c r="AC72">
        <v>0</v>
      </c>
      <c r="AD72">
        <v>0</v>
      </c>
      <c r="AE72">
        <v>2.8732535999999999E-2</v>
      </c>
      <c r="AF72">
        <v>6.0270009999999999E-2</v>
      </c>
      <c r="AG72">
        <v>3.2260377E-2</v>
      </c>
      <c r="AH72">
        <v>0</v>
      </c>
    </row>
    <row r="73" spans="1:34" x14ac:dyDescent="0.3">
      <c r="A73" t="s">
        <v>8</v>
      </c>
      <c r="B73" t="s">
        <v>2253</v>
      </c>
      <c r="C73">
        <v>2.9108450000000001E-2</v>
      </c>
      <c r="D73">
        <v>4.0222320999999998E-2</v>
      </c>
      <c r="E73">
        <v>4.3593879999999996E-3</v>
      </c>
      <c r="F73">
        <v>1.6976967999999999E-2</v>
      </c>
      <c r="G73">
        <v>8.5848246000000003E-2</v>
      </c>
      <c r="H73">
        <v>0</v>
      </c>
      <c r="I73">
        <v>5.0419397999999997E-2</v>
      </c>
      <c r="J73">
        <v>5.6253514999999997E-2</v>
      </c>
      <c r="K73">
        <v>6.7895580000000002E-3</v>
      </c>
      <c r="L73">
        <v>2.749292E-3</v>
      </c>
      <c r="M73">
        <v>8.9764600000000003E-3</v>
      </c>
      <c r="N73">
        <v>2.4883050000000001E-3</v>
      </c>
      <c r="O73">
        <v>0</v>
      </c>
      <c r="P73">
        <v>2.1294069999999998E-2</v>
      </c>
      <c r="Q73">
        <v>0</v>
      </c>
      <c r="R73">
        <v>0</v>
      </c>
      <c r="S73">
        <v>6.4242580000000004E-3</v>
      </c>
      <c r="T73">
        <v>3.5117497999999997E-2</v>
      </c>
      <c r="U73">
        <v>0</v>
      </c>
      <c r="V73">
        <v>0</v>
      </c>
      <c r="W73">
        <v>1.3535462999999999E-2</v>
      </c>
      <c r="X73">
        <v>2.1573421999999998E-2</v>
      </c>
      <c r="Y73">
        <v>1.2582573E-2</v>
      </c>
      <c r="Z73">
        <v>1.7149715999999999E-2</v>
      </c>
      <c r="AA73">
        <v>0</v>
      </c>
      <c r="AB73">
        <v>2.346922E-3</v>
      </c>
      <c r="AC73">
        <v>0</v>
      </c>
      <c r="AD73">
        <v>2.2984279999999999E-3</v>
      </c>
      <c r="AE73">
        <v>3.5915669999999999E-3</v>
      </c>
      <c r="AF73">
        <v>0</v>
      </c>
      <c r="AG73">
        <v>3.584486E-3</v>
      </c>
      <c r="AH73">
        <v>0</v>
      </c>
    </row>
    <row r="74" spans="1:34" x14ac:dyDescent="0.3">
      <c r="A74" t="s">
        <v>17</v>
      </c>
      <c r="B74" t="s">
        <v>2254</v>
      </c>
      <c r="C74">
        <v>0</v>
      </c>
      <c r="D74">
        <v>0.179172152</v>
      </c>
      <c r="E74">
        <v>0</v>
      </c>
      <c r="F74">
        <v>5.6589889999999997E-3</v>
      </c>
      <c r="G74">
        <v>0</v>
      </c>
      <c r="H74">
        <v>0</v>
      </c>
      <c r="I74">
        <v>0</v>
      </c>
      <c r="J74">
        <v>0</v>
      </c>
      <c r="K74">
        <v>0</v>
      </c>
      <c r="L74">
        <v>5.4985839999999999E-3</v>
      </c>
      <c r="M74">
        <v>4.4882300000000002E-3</v>
      </c>
      <c r="N74">
        <v>0</v>
      </c>
      <c r="O74">
        <v>0</v>
      </c>
      <c r="P74">
        <v>3.0420099999999999E-3</v>
      </c>
      <c r="Q74">
        <v>1.0843243000000001E-2</v>
      </c>
      <c r="R74">
        <v>2.666809E-3</v>
      </c>
      <c r="S74">
        <v>0</v>
      </c>
      <c r="T74">
        <v>1.1705831999999999E-2</v>
      </c>
      <c r="U74">
        <v>1.2709710000000001E-2</v>
      </c>
      <c r="V74">
        <v>3.5959905E-2</v>
      </c>
      <c r="W74">
        <v>0</v>
      </c>
      <c r="X74">
        <v>4.3146843999999997E-2</v>
      </c>
      <c r="Y74">
        <v>0</v>
      </c>
      <c r="Z74">
        <v>6.8598870000000003E-3</v>
      </c>
      <c r="AA74">
        <v>1.0067451999999999E-2</v>
      </c>
      <c r="AB74">
        <v>1.8775376E-2</v>
      </c>
      <c r="AC74">
        <v>9.2820349999999992E-3</v>
      </c>
      <c r="AD74">
        <v>2.7581135E-2</v>
      </c>
      <c r="AE74">
        <v>2.1549401999999999E-2</v>
      </c>
      <c r="AF74">
        <v>1.8081002999999998E-2</v>
      </c>
      <c r="AG74">
        <v>7.1689730000000004E-3</v>
      </c>
      <c r="AH74">
        <v>0</v>
      </c>
    </row>
    <row r="75" spans="1:34" x14ac:dyDescent="0.3">
      <c r="A75" t="s">
        <v>6</v>
      </c>
      <c r="B75" t="s">
        <v>2255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6.7323440000000003E-3</v>
      </c>
      <c r="N75">
        <v>0</v>
      </c>
      <c r="O75">
        <v>0</v>
      </c>
      <c r="P75">
        <v>0</v>
      </c>
      <c r="Q75">
        <v>0</v>
      </c>
      <c r="R75">
        <v>0.170675769</v>
      </c>
      <c r="S75">
        <v>0</v>
      </c>
      <c r="T75">
        <v>0</v>
      </c>
      <c r="U75">
        <v>6.0371123999999998E-2</v>
      </c>
      <c r="V75">
        <v>0</v>
      </c>
      <c r="W75">
        <v>0</v>
      </c>
      <c r="X75">
        <v>0</v>
      </c>
      <c r="Y75">
        <v>0</v>
      </c>
      <c r="Z75">
        <v>0</v>
      </c>
      <c r="AA75">
        <v>0.115775697</v>
      </c>
      <c r="AB75">
        <v>5.8673049999999997E-2</v>
      </c>
      <c r="AC75">
        <v>0</v>
      </c>
      <c r="AD75">
        <v>2.2984279999999999E-3</v>
      </c>
      <c r="AE75">
        <v>0</v>
      </c>
      <c r="AF75">
        <v>0</v>
      </c>
      <c r="AG75">
        <v>0</v>
      </c>
      <c r="AH75">
        <v>0</v>
      </c>
    </row>
    <row r="76" spans="1:34" x14ac:dyDescent="0.3">
      <c r="A76" t="s">
        <v>9</v>
      </c>
      <c r="B76" t="s">
        <v>2256</v>
      </c>
      <c r="C76">
        <v>0</v>
      </c>
      <c r="D76">
        <v>7.3131489999999997E-3</v>
      </c>
      <c r="E76">
        <v>4.3593879999999996E-3</v>
      </c>
      <c r="F76">
        <v>3.3953935999999997E-2</v>
      </c>
      <c r="G76">
        <v>6.603711E-3</v>
      </c>
      <c r="H76">
        <v>6.7428489999999994E-2</v>
      </c>
      <c r="I76">
        <v>1.3750745E-2</v>
      </c>
      <c r="J76">
        <v>4.1252577999999998E-2</v>
      </c>
      <c r="K76">
        <v>6.7895580000000002E-3</v>
      </c>
      <c r="L76">
        <v>0</v>
      </c>
      <c r="M76">
        <v>8.9764589999999991E-3</v>
      </c>
      <c r="N76">
        <v>0</v>
      </c>
      <c r="O76">
        <v>6.692992E-3</v>
      </c>
      <c r="P76">
        <v>0</v>
      </c>
      <c r="Q76">
        <v>0</v>
      </c>
      <c r="R76">
        <v>2.666809E-3</v>
      </c>
      <c r="S76">
        <v>6.4242579999999994E-2</v>
      </c>
      <c r="T76">
        <v>0</v>
      </c>
      <c r="U76">
        <v>6.3548550000000004E-3</v>
      </c>
      <c r="V76">
        <v>3.5959905E-2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2.1549401999999999E-2</v>
      </c>
      <c r="AF76">
        <v>3.0135004999999999E-2</v>
      </c>
      <c r="AG76">
        <v>2.8675890999999998E-2</v>
      </c>
      <c r="AH76">
        <v>0</v>
      </c>
    </row>
    <row r="77" spans="1:34" x14ac:dyDescent="0.3">
      <c r="A77" t="s">
        <v>4</v>
      </c>
      <c r="B77" t="s">
        <v>2257</v>
      </c>
      <c r="C77">
        <v>0</v>
      </c>
      <c r="D77">
        <v>0</v>
      </c>
      <c r="E77">
        <v>0</v>
      </c>
      <c r="F77">
        <v>5.6589889999999997E-3</v>
      </c>
      <c r="G77">
        <v>0</v>
      </c>
      <c r="H77">
        <v>0</v>
      </c>
      <c r="I77">
        <v>9.1671640000000002E-3</v>
      </c>
      <c r="J77">
        <v>0</v>
      </c>
      <c r="K77">
        <v>0</v>
      </c>
      <c r="L77">
        <v>0</v>
      </c>
      <c r="M77">
        <v>4.4882300000000002E-3</v>
      </c>
      <c r="N77">
        <v>0</v>
      </c>
      <c r="O77">
        <v>0</v>
      </c>
      <c r="P77">
        <v>0</v>
      </c>
      <c r="Q77">
        <v>0</v>
      </c>
      <c r="R77">
        <v>5.333618E-3</v>
      </c>
      <c r="S77">
        <v>0</v>
      </c>
      <c r="T77">
        <v>5.8529159999999997E-3</v>
      </c>
      <c r="U77">
        <v>0</v>
      </c>
      <c r="V77">
        <v>0</v>
      </c>
      <c r="W77">
        <v>0</v>
      </c>
      <c r="X77">
        <v>0</v>
      </c>
      <c r="Y77">
        <v>3.1456430000000001E-3</v>
      </c>
      <c r="Z77">
        <v>6.8598859999999999E-3</v>
      </c>
      <c r="AA77">
        <v>2.5168630000000001E-2</v>
      </c>
      <c r="AB77">
        <v>0.26754910900000001</v>
      </c>
      <c r="AC77">
        <v>1.3923052E-2</v>
      </c>
      <c r="AD77">
        <v>2.2984279E-2</v>
      </c>
      <c r="AE77">
        <v>3.5915669999999999E-3</v>
      </c>
      <c r="AF77">
        <v>0</v>
      </c>
      <c r="AG77">
        <v>3.584486E-3</v>
      </c>
      <c r="AH77">
        <v>0</v>
      </c>
    </row>
    <row r="78" spans="1:34" x14ac:dyDescent="0.3">
      <c r="A78" t="s">
        <v>7</v>
      </c>
      <c r="B78" t="s">
        <v>2258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2.2501406000000002E-2</v>
      </c>
      <c r="K78">
        <v>5.0921682000000003E-2</v>
      </c>
      <c r="L78">
        <v>8.2478759999999995E-3</v>
      </c>
      <c r="M78">
        <v>1.5708804E-2</v>
      </c>
      <c r="N78">
        <v>0</v>
      </c>
      <c r="O78">
        <v>6.692992E-3</v>
      </c>
      <c r="P78">
        <v>0</v>
      </c>
      <c r="Q78">
        <v>0</v>
      </c>
      <c r="R78">
        <v>3.2001706999999997E-2</v>
      </c>
      <c r="S78">
        <v>1.2848516000000001E-2</v>
      </c>
      <c r="T78">
        <v>0</v>
      </c>
      <c r="U78">
        <v>9.5322826999999999E-2</v>
      </c>
      <c r="V78">
        <v>0</v>
      </c>
      <c r="W78">
        <v>0</v>
      </c>
      <c r="X78">
        <v>0</v>
      </c>
      <c r="Y78">
        <v>0</v>
      </c>
      <c r="Z78">
        <v>0</v>
      </c>
      <c r="AA78">
        <v>3.0202356E-2</v>
      </c>
      <c r="AB78">
        <v>1.6428453999999999E-2</v>
      </c>
      <c r="AC78">
        <v>4.6410169999999999E-3</v>
      </c>
      <c r="AD78">
        <v>4.5968559999999999E-3</v>
      </c>
      <c r="AE78">
        <v>7.1831339999999999E-3</v>
      </c>
      <c r="AF78">
        <v>2.4108003999999999E-2</v>
      </c>
      <c r="AG78">
        <v>3.584486E-3</v>
      </c>
      <c r="AH78">
        <v>0</v>
      </c>
    </row>
    <row r="79" spans="1:34" x14ac:dyDescent="0.3">
      <c r="A79" t="s">
        <v>16</v>
      </c>
      <c r="B79" t="s">
        <v>16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3.7502339999999999E-3</v>
      </c>
      <c r="K79">
        <v>0</v>
      </c>
      <c r="L79">
        <v>2.7492920000000001E-2</v>
      </c>
      <c r="M79">
        <v>1.7952920000000001E-2</v>
      </c>
      <c r="N79">
        <v>1.9906440000000001E-2</v>
      </c>
      <c r="O79">
        <v>6.692992E-3</v>
      </c>
      <c r="P79">
        <v>4.5630150000000001E-2</v>
      </c>
      <c r="Q79">
        <v>3.6144139999999998E-3</v>
      </c>
      <c r="R79">
        <v>5.333618E-3</v>
      </c>
      <c r="S79">
        <v>3.8545547999999999E-2</v>
      </c>
      <c r="T79">
        <v>2.9264579999999998E-3</v>
      </c>
      <c r="U79">
        <v>1.5887137999999999E-2</v>
      </c>
      <c r="V79">
        <v>8.9899760000000002E-3</v>
      </c>
      <c r="W79">
        <v>4.5118210000000001E-3</v>
      </c>
      <c r="X79">
        <v>7.1911409999999999E-3</v>
      </c>
      <c r="Y79">
        <v>0</v>
      </c>
      <c r="Z79">
        <v>0</v>
      </c>
      <c r="AA79">
        <v>1.5101178E-2</v>
      </c>
      <c r="AB79">
        <v>0</v>
      </c>
      <c r="AC79">
        <v>4.1769155000000002E-2</v>
      </c>
      <c r="AD79">
        <v>6.8952839999999998E-3</v>
      </c>
      <c r="AE79">
        <v>0</v>
      </c>
      <c r="AF79">
        <v>3.6162005999999997E-2</v>
      </c>
      <c r="AG79">
        <v>3.584486E-3</v>
      </c>
      <c r="AH79">
        <v>0</v>
      </c>
    </row>
    <row r="80" spans="1:34" x14ac:dyDescent="0.3">
      <c r="A80" t="s">
        <v>7</v>
      </c>
      <c r="B80" t="s">
        <v>2259</v>
      </c>
      <c r="C80">
        <v>0</v>
      </c>
      <c r="D80">
        <v>0</v>
      </c>
      <c r="E80">
        <v>0</v>
      </c>
      <c r="F80">
        <v>0</v>
      </c>
      <c r="G80">
        <v>6.603711E-3</v>
      </c>
      <c r="H80">
        <v>0</v>
      </c>
      <c r="I80">
        <v>2.2917908000000001E-2</v>
      </c>
      <c r="J80">
        <v>7.5004679999999997E-3</v>
      </c>
      <c r="K80">
        <v>3.7342567E-2</v>
      </c>
      <c r="L80">
        <v>3.0242212000000001E-2</v>
      </c>
      <c r="M80">
        <v>3.1417607E-2</v>
      </c>
      <c r="N80">
        <v>4.9766100000000002E-3</v>
      </c>
      <c r="O80">
        <v>1.0039489E-2</v>
      </c>
      <c r="P80">
        <v>0</v>
      </c>
      <c r="Q80">
        <v>3.6144139999999998E-3</v>
      </c>
      <c r="R80">
        <v>2.666809E-3</v>
      </c>
      <c r="S80">
        <v>6.4242580000000004E-3</v>
      </c>
      <c r="T80">
        <v>1.7558747999999999E-2</v>
      </c>
      <c r="U80">
        <v>3.1774279999999999E-3</v>
      </c>
      <c r="V80">
        <v>0</v>
      </c>
      <c r="W80">
        <v>2.2559104999999999E-2</v>
      </c>
      <c r="X80">
        <v>7.1911409999999999E-3</v>
      </c>
      <c r="Y80">
        <v>3.4602077000000002E-2</v>
      </c>
      <c r="Z80">
        <v>6.8598870000000003E-3</v>
      </c>
      <c r="AA80">
        <v>1.0067451999999999E-2</v>
      </c>
      <c r="AB80">
        <v>1.8775376E-2</v>
      </c>
      <c r="AC80">
        <v>0</v>
      </c>
      <c r="AD80">
        <v>2.2984279999999999E-3</v>
      </c>
      <c r="AE80">
        <v>3.5915669999999999E-3</v>
      </c>
      <c r="AF80">
        <v>0</v>
      </c>
      <c r="AG80">
        <v>0</v>
      </c>
      <c r="AH80">
        <v>0</v>
      </c>
    </row>
    <row r="81" spans="1:34" x14ac:dyDescent="0.3">
      <c r="A81" t="s">
        <v>8</v>
      </c>
      <c r="B81" t="s">
        <v>2094</v>
      </c>
      <c r="C81">
        <v>0</v>
      </c>
      <c r="D81">
        <v>4.7535468999999997E-2</v>
      </c>
      <c r="E81">
        <v>1.3078164E-2</v>
      </c>
      <c r="F81">
        <v>2.8294947000000001E-2</v>
      </c>
      <c r="G81">
        <v>9.9055668999999999E-2</v>
      </c>
      <c r="H81">
        <v>7.0977360000000003E-3</v>
      </c>
      <c r="I81">
        <v>3.2085071999999999E-2</v>
      </c>
      <c r="J81">
        <v>2.2501406000000002E-2</v>
      </c>
      <c r="K81">
        <v>0</v>
      </c>
      <c r="L81">
        <v>1.374646E-2</v>
      </c>
      <c r="M81">
        <v>6.7323440000000003E-3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3.1774279999999999E-3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</row>
    <row r="82" spans="1:34" x14ac:dyDescent="0.3">
      <c r="A82" t="s">
        <v>4</v>
      </c>
      <c r="B82" t="s">
        <v>2260</v>
      </c>
      <c r="C82">
        <v>0</v>
      </c>
      <c r="D82">
        <v>3.656575E-3</v>
      </c>
      <c r="E82">
        <v>0</v>
      </c>
      <c r="F82">
        <v>0</v>
      </c>
      <c r="G82">
        <v>0</v>
      </c>
      <c r="H82">
        <v>0</v>
      </c>
      <c r="I82">
        <v>0</v>
      </c>
      <c r="J82">
        <v>3.7502339999999999E-3</v>
      </c>
      <c r="K82">
        <v>0</v>
      </c>
      <c r="L82">
        <v>0</v>
      </c>
      <c r="M82">
        <v>0</v>
      </c>
      <c r="N82">
        <v>1.2441525E-2</v>
      </c>
      <c r="O82">
        <v>6.692992E-3</v>
      </c>
      <c r="P82">
        <v>3.0420099999999999E-3</v>
      </c>
      <c r="Q82">
        <v>1.8072070999999999E-2</v>
      </c>
      <c r="R82">
        <v>4.0002134000000002E-2</v>
      </c>
      <c r="S82">
        <v>0</v>
      </c>
      <c r="T82">
        <v>0</v>
      </c>
      <c r="U82">
        <v>9.5322830000000008E-3</v>
      </c>
      <c r="V82">
        <v>0</v>
      </c>
      <c r="W82">
        <v>0</v>
      </c>
      <c r="X82">
        <v>0</v>
      </c>
      <c r="Y82">
        <v>3.1456430000000001E-3</v>
      </c>
      <c r="Z82">
        <v>0</v>
      </c>
      <c r="AA82">
        <v>2.0134903999999999E-2</v>
      </c>
      <c r="AB82">
        <v>9.8570723999999998E-2</v>
      </c>
      <c r="AC82">
        <v>1.3923052E-2</v>
      </c>
      <c r="AD82">
        <v>6.8952839999999998E-3</v>
      </c>
      <c r="AE82">
        <v>0</v>
      </c>
      <c r="AF82">
        <v>6.0270009999999997E-3</v>
      </c>
      <c r="AG82">
        <v>0</v>
      </c>
      <c r="AH82">
        <v>0</v>
      </c>
    </row>
    <row r="83" spans="1:34" x14ac:dyDescent="0.3">
      <c r="A83" t="s">
        <v>8</v>
      </c>
      <c r="B83" t="s">
        <v>2261</v>
      </c>
      <c r="C83">
        <v>8.3166999999999998E-3</v>
      </c>
      <c r="D83">
        <v>2.1939447000000001E-2</v>
      </c>
      <c r="E83">
        <v>0</v>
      </c>
      <c r="F83">
        <v>2.8294947000000001E-2</v>
      </c>
      <c r="G83">
        <v>2.6414844999999999E-2</v>
      </c>
      <c r="H83">
        <v>0</v>
      </c>
      <c r="I83">
        <v>1.8334326000000001E-2</v>
      </c>
      <c r="J83">
        <v>1.5000937000000001E-2</v>
      </c>
      <c r="K83">
        <v>2.7158231000000001E-2</v>
      </c>
      <c r="L83">
        <v>5.4985839999999999E-3</v>
      </c>
      <c r="M83">
        <v>6.7323449999999998E-3</v>
      </c>
      <c r="N83">
        <v>0</v>
      </c>
      <c r="O83">
        <v>3.346496E-3</v>
      </c>
      <c r="P83">
        <v>3.0420099999999999E-3</v>
      </c>
      <c r="Q83">
        <v>7.228829E-3</v>
      </c>
      <c r="R83">
        <v>5.333618E-3</v>
      </c>
      <c r="S83">
        <v>0</v>
      </c>
      <c r="T83">
        <v>1.1705831999999999E-2</v>
      </c>
      <c r="U83">
        <v>0</v>
      </c>
      <c r="V83">
        <v>8.9899760000000002E-3</v>
      </c>
      <c r="W83">
        <v>0</v>
      </c>
      <c r="X83">
        <v>7.1911409999999999E-3</v>
      </c>
      <c r="Y83">
        <v>0</v>
      </c>
      <c r="Z83">
        <v>6.8598870000000003E-3</v>
      </c>
      <c r="AA83">
        <v>1.0067451999999999E-2</v>
      </c>
      <c r="AB83">
        <v>0</v>
      </c>
      <c r="AC83">
        <v>9.2820349999999992E-3</v>
      </c>
      <c r="AD83">
        <v>2.2984279999999999E-3</v>
      </c>
      <c r="AE83">
        <v>0</v>
      </c>
      <c r="AF83">
        <v>0</v>
      </c>
      <c r="AG83">
        <v>3.584486E-3</v>
      </c>
      <c r="AH83">
        <v>0</v>
      </c>
    </row>
    <row r="84" spans="1:34" x14ac:dyDescent="0.3">
      <c r="A84" t="s">
        <v>8</v>
      </c>
      <c r="B84" t="s">
        <v>2262</v>
      </c>
      <c r="C84">
        <v>0</v>
      </c>
      <c r="D84">
        <v>0</v>
      </c>
      <c r="E84">
        <v>0</v>
      </c>
      <c r="F84">
        <v>0</v>
      </c>
      <c r="G84">
        <v>1.3207422999999999E-2</v>
      </c>
      <c r="H84">
        <v>0</v>
      </c>
      <c r="I84">
        <v>2.2917908000000001E-2</v>
      </c>
      <c r="J84">
        <v>3.0001875000000001E-2</v>
      </c>
      <c r="K84">
        <v>1.6973894E-2</v>
      </c>
      <c r="L84">
        <v>1.374646E-2</v>
      </c>
      <c r="M84">
        <v>2.2441148000000001E-2</v>
      </c>
      <c r="N84">
        <v>7.4649149999999999E-3</v>
      </c>
      <c r="O84">
        <v>0</v>
      </c>
      <c r="P84">
        <v>3.3462110000000003E-2</v>
      </c>
      <c r="Q84">
        <v>3.6144139999999998E-3</v>
      </c>
      <c r="R84">
        <v>5.333618E-3</v>
      </c>
      <c r="S84">
        <v>1.2848516000000001E-2</v>
      </c>
      <c r="T84">
        <v>0</v>
      </c>
      <c r="U84">
        <v>0</v>
      </c>
      <c r="V84">
        <v>1.7979952E-2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1.0774700999999999E-2</v>
      </c>
      <c r="AF84">
        <v>1.2054001999999999E-2</v>
      </c>
      <c r="AG84">
        <v>7.1689730000000004E-3</v>
      </c>
      <c r="AH84">
        <v>0</v>
      </c>
    </row>
    <row r="85" spans="1:34" x14ac:dyDescent="0.3">
      <c r="A85" t="s">
        <v>4</v>
      </c>
      <c r="B85" t="s">
        <v>2263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1.0997168E-2</v>
      </c>
      <c r="M85">
        <v>8.9764600000000003E-3</v>
      </c>
      <c r="N85">
        <v>2.985966E-2</v>
      </c>
      <c r="O85">
        <v>0</v>
      </c>
      <c r="P85">
        <v>6.9966230000000004E-2</v>
      </c>
      <c r="Q85">
        <v>0</v>
      </c>
      <c r="R85">
        <v>0</v>
      </c>
      <c r="S85">
        <v>1.9272773999999999E-2</v>
      </c>
      <c r="T85">
        <v>2.9264579999999998E-3</v>
      </c>
      <c r="U85">
        <v>0</v>
      </c>
      <c r="V85">
        <v>1.3484964E-2</v>
      </c>
      <c r="W85">
        <v>1.8047284E-2</v>
      </c>
      <c r="X85">
        <v>7.1911409999999999E-3</v>
      </c>
      <c r="Y85">
        <v>6.2912869999999996E-3</v>
      </c>
      <c r="Z85">
        <v>0</v>
      </c>
      <c r="AA85">
        <v>5.0337259999999997E-3</v>
      </c>
      <c r="AB85">
        <v>0</v>
      </c>
      <c r="AC85">
        <v>0</v>
      </c>
      <c r="AD85">
        <v>0</v>
      </c>
      <c r="AE85">
        <v>0</v>
      </c>
      <c r="AF85">
        <v>1.2054001999999999E-2</v>
      </c>
      <c r="AG85">
        <v>3.584486E-3</v>
      </c>
      <c r="AH85">
        <v>0</v>
      </c>
    </row>
    <row r="86" spans="1:34" x14ac:dyDescent="0.3">
      <c r="A86" t="s">
        <v>4</v>
      </c>
      <c r="B86" t="s">
        <v>2264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3.3947790000000001E-3</v>
      </c>
      <c r="L86">
        <v>2.749292E-3</v>
      </c>
      <c r="M86">
        <v>4.4882300000000002E-3</v>
      </c>
      <c r="N86">
        <v>0</v>
      </c>
      <c r="O86">
        <v>0</v>
      </c>
      <c r="P86">
        <v>0</v>
      </c>
      <c r="Q86">
        <v>3.6144139999999998E-3</v>
      </c>
      <c r="R86">
        <v>5.333618E-3</v>
      </c>
      <c r="S86">
        <v>6.4242580000000004E-3</v>
      </c>
      <c r="T86">
        <v>0</v>
      </c>
      <c r="U86">
        <v>3.1774279999999999E-3</v>
      </c>
      <c r="V86">
        <v>0</v>
      </c>
      <c r="W86">
        <v>0</v>
      </c>
      <c r="X86">
        <v>0</v>
      </c>
      <c r="Y86">
        <v>0</v>
      </c>
      <c r="Z86">
        <v>6.8598859999999999E-3</v>
      </c>
      <c r="AA86">
        <v>3.0202356E-2</v>
      </c>
      <c r="AB86">
        <v>7.2754581999999998E-2</v>
      </c>
      <c r="AC86">
        <v>9.2820339999999998E-3</v>
      </c>
      <c r="AD86">
        <v>1.8387423E-2</v>
      </c>
      <c r="AE86">
        <v>0</v>
      </c>
      <c r="AF86">
        <v>0</v>
      </c>
      <c r="AG86">
        <v>0</v>
      </c>
      <c r="AH86">
        <v>0</v>
      </c>
    </row>
    <row r="87" spans="1:34" x14ac:dyDescent="0.3">
      <c r="A87" t="s">
        <v>4</v>
      </c>
      <c r="B87" t="s">
        <v>2265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3.6144139999999998E-3</v>
      </c>
      <c r="R87">
        <v>1.8667663000000001E-2</v>
      </c>
      <c r="S87">
        <v>0</v>
      </c>
      <c r="T87">
        <v>8.7793739999999995E-3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4.0269807999999997E-2</v>
      </c>
      <c r="AB87">
        <v>2.3469219999999999E-2</v>
      </c>
      <c r="AC87">
        <v>1.3923051000000001E-2</v>
      </c>
      <c r="AD87">
        <v>2.7581135E-2</v>
      </c>
      <c r="AE87">
        <v>0</v>
      </c>
      <c r="AF87">
        <v>6.0270009999999997E-3</v>
      </c>
      <c r="AG87">
        <v>0</v>
      </c>
      <c r="AH87">
        <v>0</v>
      </c>
    </row>
    <row r="88" spans="1:34" x14ac:dyDescent="0.3">
      <c r="A88" t="s">
        <v>8</v>
      </c>
      <c r="B88" t="s">
        <v>2266</v>
      </c>
      <c r="C88">
        <v>4.1583499999999999E-3</v>
      </c>
      <c r="D88">
        <v>0</v>
      </c>
      <c r="E88">
        <v>8.7187759999999993E-3</v>
      </c>
      <c r="F88">
        <v>0</v>
      </c>
      <c r="G88">
        <v>1.3207422999999999E-2</v>
      </c>
      <c r="H88">
        <v>0</v>
      </c>
      <c r="I88">
        <v>4.5835820000000001E-3</v>
      </c>
      <c r="J88">
        <v>1.1250703000000001E-2</v>
      </c>
      <c r="K88">
        <v>6.7895580000000002E-3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2.666809E-3</v>
      </c>
      <c r="S88">
        <v>0</v>
      </c>
      <c r="T88">
        <v>5.8529159999999997E-3</v>
      </c>
      <c r="U88">
        <v>0</v>
      </c>
      <c r="V88">
        <v>0</v>
      </c>
      <c r="W88">
        <v>4.5118210000000001E-3</v>
      </c>
      <c r="X88">
        <v>7.1911409999999999E-3</v>
      </c>
      <c r="Y88">
        <v>3.7747718999999999E-2</v>
      </c>
      <c r="Z88">
        <v>3.429943E-3</v>
      </c>
      <c r="AA88">
        <v>0</v>
      </c>
      <c r="AB88">
        <v>4.693844E-3</v>
      </c>
      <c r="AC88">
        <v>4.6410169999999999E-3</v>
      </c>
      <c r="AD88">
        <v>0</v>
      </c>
      <c r="AE88">
        <v>7.1831339999999999E-3</v>
      </c>
      <c r="AF88">
        <v>1.2054001999999999E-2</v>
      </c>
      <c r="AG88">
        <v>0</v>
      </c>
      <c r="AH88">
        <v>0</v>
      </c>
    </row>
    <row r="89" spans="1:34" x14ac:dyDescent="0.3">
      <c r="A89" t="s">
        <v>4</v>
      </c>
      <c r="B89" t="s">
        <v>2267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3.346496E-3</v>
      </c>
      <c r="P89">
        <v>0</v>
      </c>
      <c r="Q89">
        <v>3.6144139999999998E-3</v>
      </c>
      <c r="R89">
        <v>0</v>
      </c>
      <c r="S89">
        <v>0</v>
      </c>
      <c r="T89">
        <v>8.7793739999999995E-3</v>
      </c>
      <c r="U89">
        <v>1.2709710000000001E-2</v>
      </c>
      <c r="V89">
        <v>0</v>
      </c>
      <c r="W89">
        <v>4.5118210000000001E-3</v>
      </c>
      <c r="X89">
        <v>0</v>
      </c>
      <c r="Y89">
        <v>0</v>
      </c>
      <c r="Z89">
        <v>0</v>
      </c>
      <c r="AA89">
        <v>2.0134903999999999E-2</v>
      </c>
      <c r="AB89">
        <v>4.693844E-3</v>
      </c>
      <c r="AC89">
        <v>1.3923052E-2</v>
      </c>
      <c r="AD89">
        <v>2.5282707000000001E-2</v>
      </c>
      <c r="AE89">
        <v>0</v>
      </c>
      <c r="AF89">
        <v>6.0270009999999997E-3</v>
      </c>
      <c r="AG89">
        <v>7.1689730000000004E-3</v>
      </c>
      <c r="AH89">
        <v>0</v>
      </c>
    </row>
    <row r="90" spans="1:34" x14ac:dyDescent="0.3">
      <c r="A90" t="s">
        <v>15</v>
      </c>
      <c r="B90" t="s">
        <v>2268</v>
      </c>
      <c r="C90">
        <v>0</v>
      </c>
      <c r="D90">
        <v>7.3131489999999997E-3</v>
      </c>
      <c r="E90">
        <v>0</v>
      </c>
      <c r="F90">
        <v>0</v>
      </c>
      <c r="G90">
        <v>6.603711E-3</v>
      </c>
      <c r="H90">
        <v>7.0977360000000003E-3</v>
      </c>
      <c r="I90">
        <v>1.3750745E-2</v>
      </c>
      <c r="J90">
        <v>2.2501406000000002E-2</v>
      </c>
      <c r="K90">
        <v>6.7895580000000002E-3</v>
      </c>
      <c r="L90">
        <v>5.4985839999999999E-3</v>
      </c>
      <c r="M90">
        <v>4.4882300000000002E-3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6.3548550000000004E-3</v>
      </c>
      <c r="V90">
        <v>4.4949880000000001E-3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1.4366268E-2</v>
      </c>
      <c r="AF90">
        <v>0</v>
      </c>
      <c r="AG90">
        <v>3.584486E-3</v>
      </c>
      <c r="AH90">
        <v>0</v>
      </c>
    </row>
    <row r="91" spans="1:34" x14ac:dyDescent="0.3">
      <c r="A91" t="s">
        <v>8</v>
      </c>
      <c r="B91" t="s">
        <v>2269</v>
      </c>
      <c r="C91">
        <v>6.237525E-2</v>
      </c>
      <c r="D91">
        <v>1.4626297999999999E-2</v>
      </c>
      <c r="E91">
        <v>0</v>
      </c>
      <c r="F91">
        <v>0</v>
      </c>
      <c r="G91">
        <v>0</v>
      </c>
      <c r="H91">
        <v>0</v>
      </c>
      <c r="I91">
        <v>0</v>
      </c>
      <c r="J91">
        <v>1.5000938E-2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</row>
    <row r="92" spans="1:34" x14ac:dyDescent="0.3">
      <c r="A92" t="s">
        <v>15</v>
      </c>
      <c r="B92" t="s">
        <v>2270</v>
      </c>
      <c r="C92">
        <v>0</v>
      </c>
      <c r="D92">
        <v>0</v>
      </c>
      <c r="E92">
        <v>0</v>
      </c>
      <c r="F92">
        <v>1.1317979000000001E-2</v>
      </c>
      <c r="G92">
        <v>0</v>
      </c>
      <c r="H92">
        <v>0</v>
      </c>
      <c r="I92">
        <v>0</v>
      </c>
      <c r="J92">
        <v>0</v>
      </c>
      <c r="K92">
        <v>3.3947790000000001E-3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2.666809E-3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5.9767222000000002E-2</v>
      </c>
      <c r="Z92">
        <v>0</v>
      </c>
      <c r="AA92">
        <v>0</v>
      </c>
      <c r="AB92">
        <v>2.346922E-3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</row>
    <row r="93" spans="1:34" x14ac:dyDescent="0.3">
      <c r="A93" t="s">
        <v>8</v>
      </c>
      <c r="B93" t="s">
        <v>2271</v>
      </c>
      <c r="C93">
        <v>0</v>
      </c>
      <c r="D93">
        <v>4.3878894000000002E-2</v>
      </c>
      <c r="E93">
        <v>0</v>
      </c>
      <c r="F93">
        <v>0</v>
      </c>
      <c r="G93">
        <v>6.603711E-3</v>
      </c>
      <c r="H93">
        <v>3.5488680000000002E-3</v>
      </c>
      <c r="I93">
        <v>0</v>
      </c>
      <c r="J93">
        <v>7.5004690000000001E-3</v>
      </c>
      <c r="K93">
        <v>6.7895580000000002E-3</v>
      </c>
      <c r="L93">
        <v>2.749292E-3</v>
      </c>
      <c r="M93">
        <v>2.2441150000000001E-3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6.0270009999999997E-3</v>
      </c>
      <c r="AG93">
        <v>0</v>
      </c>
      <c r="AH93">
        <v>0</v>
      </c>
    </row>
    <row r="94" spans="1:34" x14ac:dyDescent="0.3">
      <c r="A94" t="s">
        <v>17</v>
      </c>
      <c r="B94" t="s">
        <v>2272</v>
      </c>
      <c r="C94">
        <v>0</v>
      </c>
      <c r="D94">
        <v>7.3131489999999997E-3</v>
      </c>
      <c r="E94">
        <v>0</v>
      </c>
      <c r="F94">
        <v>0</v>
      </c>
      <c r="G94">
        <v>1.3207422999999999E-2</v>
      </c>
      <c r="H94">
        <v>0</v>
      </c>
      <c r="I94">
        <v>1.3750745E-2</v>
      </c>
      <c r="J94">
        <v>3.7502339999999999E-3</v>
      </c>
      <c r="K94">
        <v>0</v>
      </c>
      <c r="L94">
        <v>2.749292E-3</v>
      </c>
      <c r="M94">
        <v>0</v>
      </c>
      <c r="N94">
        <v>0</v>
      </c>
      <c r="O94">
        <v>0</v>
      </c>
      <c r="P94">
        <v>3.0420099999999999E-3</v>
      </c>
      <c r="Q94">
        <v>3.6144139999999998E-3</v>
      </c>
      <c r="R94">
        <v>8.0004269999999992E-3</v>
      </c>
      <c r="S94">
        <v>0</v>
      </c>
      <c r="T94">
        <v>2.9264579999999998E-3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4.693844E-3</v>
      </c>
      <c r="AC94">
        <v>4.6410169999999999E-3</v>
      </c>
      <c r="AD94">
        <v>2.2984279999999999E-3</v>
      </c>
      <c r="AE94">
        <v>3.5915669999999999E-3</v>
      </c>
      <c r="AF94">
        <v>0</v>
      </c>
      <c r="AG94">
        <v>0</v>
      </c>
      <c r="AH94">
        <v>0</v>
      </c>
    </row>
    <row r="95" spans="1:34" x14ac:dyDescent="0.3">
      <c r="A95" t="s">
        <v>8</v>
      </c>
      <c r="B95" t="s">
        <v>2273</v>
      </c>
      <c r="C95">
        <v>8.3166999999999998E-3</v>
      </c>
      <c r="D95">
        <v>7.3131489999999997E-3</v>
      </c>
      <c r="E95">
        <v>0</v>
      </c>
      <c r="F95">
        <v>0</v>
      </c>
      <c r="G95">
        <v>1.9811134000000001E-2</v>
      </c>
      <c r="H95">
        <v>7.0977360000000003E-3</v>
      </c>
      <c r="I95">
        <v>0</v>
      </c>
      <c r="J95">
        <v>3.7502339999999999E-3</v>
      </c>
      <c r="K95">
        <v>3.3947790000000001E-3</v>
      </c>
      <c r="L95">
        <v>2.749292E-3</v>
      </c>
      <c r="M95">
        <v>0</v>
      </c>
      <c r="N95">
        <v>2.4883050000000001E-3</v>
      </c>
      <c r="O95">
        <v>0</v>
      </c>
      <c r="P95">
        <v>0</v>
      </c>
      <c r="Q95">
        <v>0</v>
      </c>
      <c r="R95">
        <v>2.666809E-3</v>
      </c>
      <c r="S95">
        <v>0</v>
      </c>
      <c r="T95">
        <v>0</v>
      </c>
      <c r="U95">
        <v>3.1774279999999999E-3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</row>
    <row r="96" spans="1:34" x14ac:dyDescent="0.3">
      <c r="A96" t="s">
        <v>4</v>
      </c>
      <c r="B96" t="s">
        <v>2274</v>
      </c>
      <c r="C96">
        <v>4.9900199999999999E-2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3.3947790000000001E-3</v>
      </c>
      <c r="L96">
        <v>0</v>
      </c>
      <c r="M96">
        <v>2.2441150000000001E-3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2.2984279999999999E-3</v>
      </c>
      <c r="AE96">
        <v>0</v>
      </c>
      <c r="AF96">
        <v>0</v>
      </c>
      <c r="AG96">
        <v>0</v>
      </c>
      <c r="AH96">
        <v>0</v>
      </c>
    </row>
    <row r="97" spans="1:34" x14ac:dyDescent="0.3">
      <c r="A97" t="s">
        <v>5</v>
      </c>
      <c r="B97" t="s">
        <v>2275</v>
      </c>
      <c r="C97">
        <v>0</v>
      </c>
      <c r="D97">
        <v>0</v>
      </c>
      <c r="E97">
        <v>0</v>
      </c>
      <c r="F97">
        <v>2.8294947000000001E-2</v>
      </c>
      <c r="G97">
        <v>1.3207422999999999E-2</v>
      </c>
      <c r="H97">
        <v>7.0977360000000003E-3</v>
      </c>
      <c r="I97">
        <v>0</v>
      </c>
      <c r="J97">
        <v>0</v>
      </c>
      <c r="K97">
        <v>0</v>
      </c>
      <c r="L97">
        <v>2.749292E-3</v>
      </c>
      <c r="M97">
        <v>2.2441150000000001E-3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</row>
    <row r="98" spans="1:34" x14ac:dyDescent="0.3">
      <c r="A98" t="s">
        <v>17</v>
      </c>
      <c r="B98" t="s">
        <v>2276</v>
      </c>
      <c r="C98">
        <v>0</v>
      </c>
      <c r="D98">
        <v>0</v>
      </c>
      <c r="E98">
        <v>4.3593879000000002E-2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</row>
    <row r="99" spans="1:34" x14ac:dyDescent="0.3">
      <c r="A99" t="s">
        <v>8</v>
      </c>
      <c r="B99" t="s">
        <v>2277</v>
      </c>
      <c r="C99">
        <v>0</v>
      </c>
      <c r="D99">
        <v>0</v>
      </c>
      <c r="E99">
        <v>0</v>
      </c>
      <c r="F99">
        <v>0</v>
      </c>
      <c r="G99">
        <v>0</v>
      </c>
      <c r="H99">
        <v>3.5488679000000002E-2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</row>
    <row r="100" spans="1:34" x14ac:dyDescent="0.3">
      <c r="A100" t="s">
        <v>8</v>
      </c>
      <c r="B100" t="s">
        <v>2278</v>
      </c>
      <c r="C100">
        <v>0</v>
      </c>
      <c r="D100">
        <v>0</v>
      </c>
      <c r="E100">
        <v>0</v>
      </c>
      <c r="F100">
        <v>5.6589889999999997E-3</v>
      </c>
      <c r="G100">
        <v>0</v>
      </c>
      <c r="H100">
        <v>0</v>
      </c>
      <c r="I100">
        <v>4.5835820000000001E-3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3.0420099999999999E-3</v>
      </c>
      <c r="Q100">
        <v>0</v>
      </c>
      <c r="R100">
        <v>2.666809E-3</v>
      </c>
      <c r="S100">
        <v>0</v>
      </c>
      <c r="T100">
        <v>0</v>
      </c>
      <c r="U100">
        <v>3.1774279999999999E-3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5.0337259999999997E-3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3.584486E-3</v>
      </c>
      <c r="AH100">
        <v>0</v>
      </c>
    </row>
    <row r="101" spans="1:34" x14ac:dyDescent="0.3">
      <c r="A101" t="s">
        <v>17</v>
      </c>
      <c r="B101" t="s">
        <v>2279</v>
      </c>
      <c r="C101">
        <v>0</v>
      </c>
      <c r="D101">
        <v>0</v>
      </c>
      <c r="E101">
        <v>4.3593879999999996E-3</v>
      </c>
      <c r="F101">
        <v>0</v>
      </c>
      <c r="G101">
        <v>0</v>
      </c>
      <c r="H101">
        <v>0</v>
      </c>
      <c r="I101">
        <v>9.1671640000000002E-3</v>
      </c>
      <c r="J101">
        <v>7.5004690000000001E-3</v>
      </c>
      <c r="K101">
        <v>3.3947790000000001E-3</v>
      </c>
      <c r="L101">
        <v>2.749292E-3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</row>
    <row r="102" spans="1:34" x14ac:dyDescent="0.3">
      <c r="A102" t="s">
        <v>8</v>
      </c>
      <c r="B102" t="s">
        <v>2280</v>
      </c>
      <c r="C102">
        <v>0</v>
      </c>
      <c r="D102">
        <v>3.656575E-3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1.492983E-2</v>
      </c>
      <c r="O102">
        <v>0</v>
      </c>
      <c r="P102">
        <v>0</v>
      </c>
      <c r="Q102">
        <v>0</v>
      </c>
      <c r="R102">
        <v>5.333618E-3</v>
      </c>
      <c r="S102">
        <v>0</v>
      </c>
      <c r="T102">
        <v>0</v>
      </c>
      <c r="U102">
        <v>3.1774279999999999E-3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</row>
    <row r="103" spans="1:34" x14ac:dyDescent="0.3">
      <c r="A103" t="s">
        <v>4</v>
      </c>
      <c r="B103" t="s">
        <v>2281</v>
      </c>
      <c r="C103">
        <v>4.1583499999999999E-3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4.4882300000000002E-3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2.9264579999999998E-3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1.028983E-2</v>
      </c>
      <c r="AA103">
        <v>0</v>
      </c>
      <c r="AB103">
        <v>2.346922E-3</v>
      </c>
      <c r="AC103">
        <v>0</v>
      </c>
      <c r="AD103">
        <v>2.2984279999999999E-3</v>
      </c>
      <c r="AE103">
        <v>0</v>
      </c>
      <c r="AF103">
        <v>0</v>
      </c>
      <c r="AG103">
        <v>0</v>
      </c>
      <c r="AH103">
        <v>0</v>
      </c>
    </row>
    <row r="104" spans="1:34" x14ac:dyDescent="0.3">
      <c r="A104" t="s">
        <v>8</v>
      </c>
      <c r="B104" t="s">
        <v>2282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3.5488680000000002E-3</v>
      </c>
      <c r="I104">
        <v>1.3750745E-2</v>
      </c>
      <c r="J104">
        <v>7.5004690000000001E-3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</row>
    <row r="105" spans="1:34" x14ac:dyDescent="0.3">
      <c r="A105" t="s">
        <v>15</v>
      </c>
      <c r="B105" t="s">
        <v>2283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1.8775376E-2</v>
      </c>
      <c r="AC105">
        <v>0</v>
      </c>
      <c r="AD105">
        <v>2.2984279999999999E-3</v>
      </c>
      <c r="AE105">
        <v>0</v>
      </c>
      <c r="AF105">
        <v>0</v>
      </c>
      <c r="AG105">
        <v>0</v>
      </c>
      <c r="AH105">
        <v>0</v>
      </c>
    </row>
    <row r="106" spans="1:34" x14ac:dyDescent="0.3">
      <c r="A106" t="s">
        <v>8</v>
      </c>
      <c r="B106" t="s">
        <v>2284</v>
      </c>
      <c r="C106">
        <v>8.3166999999999998E-3</v>
      </c>
      <c r="D106">
        <v>0</v>
      </c>
      <c r="E106">
        <v>0</v>
      </c>
      <c r="F106">
        <v>5.6589889999999997E-3</v>
      </c>
      <c r="G106">
        <v>6.603711E-3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</row>
    <row r="107" spans="1:34" x14ac:dyDescent="0.3">
      <c r="A107" t="s">
        <v>4</v>
      </c>
      <c r="B107" t="s">
        <v>2285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3.1774279999999999E-3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5.0337259999999997E-3</v>
      </c>
      <c r="AB107">
        <v>1.1734609999999999E-2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</row>
    <row r="108" spans="1:34" x14ac:dyDescent="0.3">
      <c r="A108" t="s">
        <v>5</v>
      </c>
      <c r="B108" t="s">
        <v>2286</v>
      </c>
      <c r="C108">
        <v>0</v>
      </c>
      <c r="D108">
        <v>3.656575E-3</v>
      </c>
      <c r="E108">
        <v>0</v>
      </c>
      <c r="F108">
        <v>0</v>
      </c>
      <c r="G108">
        <v>0</v>
      </c>
      <c r="H108">
        <v>0</v>
      </c>
      <c r="I108">
        <v>4.5835820000000001E-3</v>
      </c>
      <c r="J108">
        <v>1.1250703000000001E-2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</row>
    <row r="109" spans="1:34" x14ac:dyDescent="0.3">
      <c r="A109" t="s">
        <v>8</v>
      </c>
      <c r="B109" t="s">
        <v>2287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1.8775376E-2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</row>
    <row r="110" spans="1:34" x14ac:dyDescent="0.3">
      <c r="A110" t="s">
        <v>4</v>
      </c>
      <c r="B110" t="s">
        <v>2288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1.8775376E-2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</row>
    <row r="111" spans="1:34" x14ac:dyDescent="0.3">
      <c r="A111" t="s">
        <v>4</v>
      </c>
      <c r="B111" t="s">
        <v>2289</v>
      </c>
      <c r="C111">
        <v>0</v>
      </c>
      <c r="D111">
        <v>7.3131489999999997E-3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5.8529159999999997E-3</v>
      </c>
      <c r="U111">
        <v>0</v>
      </c>
      <c r="V111">
        <v>4.4949880000000001E-3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</row>
    <row r="112" spans="1:34" x14ac:dyDescent="0.3">
      <c r="A112" t="s">
        <v>15</v>
      </c>
      <c r="B112" t="s">
        <v>2290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8.7793739999999995E-3</v>
      </c>
      <c r="U112">
        <v>0</v>
      </c>
      <c r="V112">
        <v>0</v>
      </c>
      <c r="W112">
        <v>4.5118210000000001E-3</v>
      </c>
      <c r="X112">
        <v>0</v>
      </c>
      <c r="Y112">
        <v>3.1456430000000001E-3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</row>
    <row r="113" spans="1:34" x14ac:dyDescent="0.3">
      <c r="A113" t="s">
        <v>17</v>
      </c>
      <c r="B113" t="s">
        <v>2291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3.0420099999999999E-3</v>
      </c>
      <c r="Q113">
        <v>0</v>
      </c>
      <c r="R113">
        <v>0</v>
      </c>
      <c r="S113">
        <v>0</v>
      </c>
      <c r="T113">
        <v>2.9264579999999998E-3</v>
      </c>
      <c r="U113">
        <v>0</v>
      </c>
      <c r="V113">
        <v>4.4949880000000001E-3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4.6410169999999999E-3</v>
      </c>
      <c r="AD113">
        <v>0</v>
      </c>
      <c r="AE113">
        <v>0</v>
      </c>
      <c r="AF113">
        <v>0</v>
      </c>
      <c r="AG113">
        <v>0</v>
      </c>
      <c r="AH113">
        <v>0</v>
      </c>
    </row>
    <row r="114" spans="1:34" x14ac:dyDescent="0.3">
      <c r="A114" t="s">
        <v>17</v>
      </c>
      <c r="B114" t="s">
        <v>2292</v>
      </c>
      <c r="C114">
        <v>0</v>
      </c>
      <c r="D114">
        <v>0</v>
      </c>
      <c r="E114">
        <v>0</v>
      </c>
      <c r="F114">
        <v>0</v>
      </c>
      <c r="G114">
        <v>6.603711E-3</v>
      </c>
      <c r="H114">
        <v>0</v>
      </c>
      <c r="I114">
        <v>4.5835820000000001E-3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3.0420099999999999E-3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</row>
    <row r="115" spans="1:34" x14ac:dyDescent="0.3">
      <c r="A115" t="s">
        <v>15</v>
      </c>
      <c r="B115" t="s">
        <v>2293</v>
      </c>
      <c r="C115">
        <v>0</v>
      </c>
      <c r="D115">
        <v>0</v>
      </c>
      <c r="E115">
        <v>0</v>
      </c>
      <c r="F115">
        <v>0</v>
      </c>
      <c r="G115">
        <v>1.3207422999999999E-2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</row>
    <row r="116" spans="1:34" x14ac:dyDescent="0.3">
      <c r="A116" t="s">
        <v>10</v>
      </c>
      <c r="B116" t="s">
        <v>2294</v>
      </c>
      <c r="C116">
        <v>0</v>
      </c>
      <c r="D116">
        <v>3.656575E-3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3.1456430000000001E-3</v>
      </c>
      <c r="Z116">
        <v>0</v>
      </c>
      <c r="AA116">
        <v>0</v>
      </c>
      <c r="AB116">
        <v>4.693844E-3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</row>
    <row r="117" spans="1:34" x14ac:dyDescent="0.3">
      <c r="A117" t="s">
        <v>17</v>
      </c>
      <c r="B117" t="s">
        <v>2295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7.1911409999999999E-3</v>
      </c>
      <c r="Y117">
        <v>0</v>
      </c>
      <c r="Z117">
        <v>0</v>
      </c>
      <c r="AA117">
        <v>0</v>
      </c>
      <c r="AB117">
        <v>2.346922E-3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</row>
    <row r="118" spans="1:34" x14ac:dyDescent="0.3">
      <c r="A118" t="s">
        <v>17</v>
      </c>
      <c r="B118" t="s">
        <v>2296</v>
      </c>
      <c r="C118">
        <v>0</v>
      </c>
      <c r="D118">
        <v>0</v>
      </c>
      <c r="E118">
        <v>8.7187759999999993E-3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</row>
    <row r="119" spans="1:34" x14ac:dyDescent="0.3">
      <c r="A119" t="s">
        <v>17</v>
      </c>
      <c r="B119" t="s">
        <v>2297</v>
      </c>
      <c r="C119">
        <v>4.1583499999999999E-3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4.4949880000000001E-3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</row>
    <row r="120" spans="1:34" x14ac:dyDescent="0.3">
      <c r="A120" t="s">
        <v>4</v>
      </c>
      <c r="B120" t="s">
        <v>2298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3.7502339999999999E-3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4.693844E-3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</row>
    <row r="121" spans="1:34" x14ac:dyDescent="0.3">
      <c r="A121" t="s">
        <v>8</v>
      </c>
      <c r="B121" t="s">
        <v>2299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7.5004690000000001E-3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</row>
    <row r="122" spans="1:34" x14ac:dyDescent="0.3">
      <c r="A122" t="s">
        <v>4</v>
      </c>
      <c r="B122" t="s">
        <v>2300</v>
      </c>
      <c r="C122">
        <v>0</v>
      </c>
      <c r="D122">
        <v>3.656575E-3</v>
      </c>
      <c r="E122">
        <v>0</v>
      </c>
      <c r="F122">
        <v>0</v>
      </c>
      <c r="G122">
        <v>0</v>
      </c>
      <c r="H122">
        <v>3.5488680000000002E-3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</row>
    <row r="123" spans="1:34" x14ac:dyDescent="0.3">
      <c r="A123" t="s">
        <v>3</v>
      </c>
      <c r="B123" t="s">
        <v>2301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7.1689730000000004E-3</v>
      </c>
      <c r="AH123">
        <v>0</v>
      </c>
    </row>
    <row r="124" spans="1:34" x14ac:dyDescent="0.3">
      <c r="A124" t="s">
        <v>4</v>
      </c>
      <c r="B124" t="s">
        <v>2302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7.0407660000000004E-3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</row>
    <row r="125" spans="1:34" x14ac:dyDescent="0.3">
      <c r="A125" t="s">
        <v>1</v>
      </c>
      <c r="B125" t="s">
        <v>2303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3.3947790000000001E-3</v>
      </c>
      <c r="L125">
        <v>2.749292E-3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</row>
    <row r="126" spans="1:34" x14ac:dyDescent="0.3">
      <c r="A126" t="s">
        <v>4</v>
      </c>
      <c r="B126" t="s">
        <v>2304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2.4883050000000001E-3</v>
      </c>
      <c r="O126">
        <v>3.346496E-3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</row>
    <row r="127" spans="1:34" x14ac:dyDescent="0.3">
      <c r="A127" t="s">
        <v>13</v>
      </c>
      <c r="B127" t="s">
        <v>2305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5.333618E-3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</row>
    <row r="128" spans="1:34" x14ac:dyDescent="0.3">
      <c r="A128" t="s">
        <v>17</v>
      </c>
      <c r="B128" t="s">
        <v>2306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4.693844E-3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</row>
    <row r="129" spans="7:31" x14ac:dyDescent="0.3">
      <c r="G129" s="4">
        <f>+G6/H6</f>
        <v>25.430848143882265</v>
      </c>
      <c r="M129">
        <f>+G6/M6</f>
        <v>3.4561160963420332</v>
      </c>
      <c r="T129" s="4">
        <f>+T6/U6</f>
        <v>10.397234850488539</v>
      </c>
      <c r="V129">
        <f>+T6/V6</f>
        <v>13.229318445712096</v>
      </c>
      <c r="W129">
        <f>+AVERAGE(W6,X6,Y6,Z6)</f>
        <v>36.512940764999996</v>
      </c>
      <c r="X129">
        <f>+_xlfn.STDEV.S(T6,W6,X6,Y6,Z6)</f>
        <v>26.717557538946231</v>
      </c>
      <c r="AA129">
        <f>+AVERAGE(AA6:AD6,U6)</f>
        <v>3.0771954240000001</v>
      </c>
      <c r="AE129">
        <f>+AVERAGE(AE6:AG6,V6)</f>
        <v>0.21952554874999999</v>
      </c>
    </row>
    <row r="130" spans="7:31" x14ac:dyDescent="0.3">
      <c r="W130" s="4">
        <f>+W129/AA129</f>
        <v>11.865655486234076</v>
      </c>
      <c r="AE130">
        <f>+W129/AE129</f>
        <v>166.32661197253924</v>
      </c>
    </row>
  </sheetData>
  <autoFilter ref="A2:AH130" xr:uid="{7CF8C58A-F32F-4844-A649-24662BFF0B4A}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51375D-E3C3-4654-B956-29CE5CDE0A53}">
  <sheetPr filterMode="1"/>
  <dimension ref="A1:AM1444"/>
  <sheetViews>
    <sheetView zoomScale="48" zoomScaleNormal="70" workbookViewId="0">
      <selection activeCell="R1450" sqref="R1450"/>
    </sheetView>
  </sheetViews>
  <sheetFormatPr defaultRowHeight="14.4" x14ac:dyDescent="0.3"/>
  <cols>
    <col min="1" max="1" width="8.88671875" style="6"/>
    <col min="2" max="2" width="11.88671875" style="6" bestFit="1" customWidth="1"/>
    <col min="3" max="3" width="23.44140625" style="6" bestFit="1" customWidth="1"/>
    <col min="4" max="4" width="28.21875" style="6" bestFit="1" customWidth="1"/>
    <col min="5" max="6" width="34.77734375" style="6" bestFit="1" customWidth="1"/>
    <col min="7" max="7" width="41.6640625" style="6" bestFit="1" customWidth="1"/>
    <col min="8" max="20" width="10.77734375" style="6" customWidth="1"/>
    <col min="21" max="28" width="9" style="6" bestFit="1" customWidth="1"/>
    <col min="29" max="30" width="13.6640625" style="6" bestFit="1" customWidth="1"/>
    <col min="31" max="36" width="9" style="6" bestFit="1" customWidth="1"/>
    <col min="37" max="37" width="13.6640625" style="6" bestFit="1" customWidth="1"/>
    <col min="38" max="39" width="9" style="6" bestFit="1" customWidth="1"/>
    <col min="40" max="16384" width="8.88671875" style="6"/>
  </cols>
  <sheetData>
    <row r="1" spans="1:39" x14ac:dyDescent="0.3">
      <c r="A1" s="6" t="s">
        <v>2307</v>
      </c>
      <c r="B1" s="6" t="s">
        <v>2308</v>
      </c>
      <c r="C1" s="6" t="s">
        <v>2172</v>
      </c>
      <c r="D1" s="6" t="s">
        <v>2309</v>
      </c>
      <c r="E1" s="6" t="s">
        <v>2310</v>
      </c>
      <c r="F1" s="6" t="s">
        <v>2173</v>
      </c>
      <c r="G1" s="6" t="s">
        <v>2311</v>
      </c>
      <c r="H1" s="49" t="s">
        <v>2319</v>
      </c>
      <c r="I1" s="6" t="s">
        <v>2320</v>
      </c>
      <c r="J1" s="6" t="s">
        <v>2321</v>
      </c>
      <c r="K1" s="6" t="s">
        <v>2322</v>
      </c>
      <c r="L1" s="6" t="s">
        <v>2360</v>
      </c>
      <c r="M1" s="6" t="s">
        <v>2323</v>
      </c>
      <c r="N1" s="6" t="s">
        <v>2324</v>
      </c>
      <c r="O1" s="6" t="s">
        <v>2325</v>
      </c>
      <c r="P1" s="6" t="s">
        <v>2326</v>
      </c>
      <c r="Q1" s="6" t="s">
        <v>2327</v>
      </c>
      <c r="R1" s="6" t="s">
        <v>2328</v>
      </c>
      <c r="S1" s="6" t="s">
        <v>2329</v>
      </c>
      <c r="T1" s="6" t="s">
        <v>2330</v>
      </c>
      <c r="U1" s="50" t="s">
        <v>2331</v>
      </c>
      <c r="V1" s="50" t="s">
        <v>2332</v>
      </c>
      <c r="W1" s="50" t="s">
        <v>2333</v>
      </c>
      <c r="X1" s="50" t="s">
        <v>2334</v>
      </c>
      <c r="Y1" s="50" t="s">
        <v>2335</v>
      </c>
      <c r="Z1" s="50" t="s">
        <v>2336</v>
      </c>
      <c r="AA1" s="50" t="s">
        <v>2337</v>
      </c>
      <c r="AB1" s="50" t="s">
        <v>2338</v>
      </c>
      <c r="AC1" s="50" t="s">
        <v>2338</v>
      </c>
      <c r="AD1" s="50" t="s">
        <v>2339</v>
      </c>
      <c r="AE1" s="50" t="s">
        <v>2339</v>
      </c>
      <c r="AF1" s="50" t="s">
        <v>2340</v>
      </c>
      <c r="AG1" s="50" t="s">
        <v>2341</v>
      </c>
      <c r="AH1" s="50" t="s">
        <v>2340</v>
      </c>
      <c r="AI1" s="50" t="s">
        <v>2341</v>
      </c>
      <c r="AJ1" s="50" t="s">
        <v>2342</v>
      </c>
      <c r="AK1" s="50" t="s">
        <v>2339</v>
      </c>
      <c r="AL1" s="50" t="s">
        <v>2343</v>
      </c>
      <c r="AM1" s="6" t="s">
        <v>2205</v>
      </c>
    </row>
    <row r="2" spans="1:39" customFormat="1" hidden="1" x14ac:dyDescent="0.3">
      <c r="A2" t="s">
        <v>2092</v>
      </c>
      <c r="B2" t="s">
        <v>30</v>
      </c>
      <c r="C2" t="s">
        <v>81</v>
      </c>
      <c r="D2" t="s">
        <v>85</v>
      </c>
      <c r="E2" t="s">
        <v>287</v>
      </c>
      <c r="F2" s="14" t="s">
        <v>470</v>
      </c>
      <c r="G2" s="14" t="s">
        <v>469</v>
      </c>
      <c r="H2" s="17">
        <v>0.40335994677311998</v>
      </c>
      <c r="I2" s="15">
        <v>0.72765832967675903</v>
      </c>
      <c r="J2" s="15">
        <v>0.63211125158027803</v>
      </c>
      <c r="K2" s="15">
        <v>2.2522777431950698</v>
      </c>
      <c r="L2" s="15">
        <v>2.68110678201149</v>
      </c>
      <c r="M2" s="15">
        <v>2.8284477251756699</v>
      </c>
      <c r="N2" s="15">
        <v>34.8443874043177</v>
      </c>
      <c r="O2" s="15">
        <v>34.183386461653903</v>
      </c>
      <c r="P2" s="15">
        <v>12.088807414196999</v>
      </c>
      <c r="Q2" s="15">
        <v>48.371044456052601</v>
      </c>
      <c r="R2" s="15">
        <v>55.162586117905803</v>
      </c>
      <c r="S2" s="15">
        <v>42.689360007962598</v>
      </c>
      <c r="T2" s="15">
        <v>61.408205608727698</v>
      </c>
      <c r="U2" s="14">
        <v>73.899552824506401</v>
      </c>
      <c r="V2" s="14">
        <v>40.618787725449103</v>
      </c>
      <c r="W2" s="14">
        <v>19.1050189343432</v>
      </c>
      <c r="X2" s="14">
        <v>54.2528587948092</v>
      </c>
      <c r="Y2" s="14">
        <v>37.195282549530297</v>
      </c>
      <c r="Z2" s="14">
        <v>45.875699034062002</v>
      </c>
      <c r="AA2" s="14">
        <v>38.000629298332399</v>
      </c>
      <c r="AB2" s="14">
        <v>9.6237141310232808</v>
      </c>
      <c r="AC2" s="14">
        <v>51.366316697828303</v>
      </c>
      <c r="AD2" s="14">
        <v>3.9037433155080201</v>
      </c>
      <c r="AE2" s="14">
        <v>7.0759732464414302</v>
      </c>
      <c r="AF2" s="14">
        <v>35.553206483438998</v>
      </c>
      <c r="AG2" s="14">
        <v>3.0955901335398601</v>
      </c>
      <c r="AH2" s="14">
        <v>57.478999396667803</v>
      </c>
      <c r="AI2" s="14">
        <v>21.825871104164801</v>
      </c>
      <c r="AJ2" s="14">
        <v>59.914520705383801</v>
      </c>
      <c r="AK2" s="14">
        <v>66.622468659595</v>
      </c>
      <c r="AL2" s="14">
        <v>67.635672808086596</v>
      </c>
      <c r="AM2" s="14">
        <v>0</v>
      </c>
    </row>
    <row r="3" spans="1:39" customFormat="1" hidden="1" x14ac:dyDescent="0.3">
      <c r="A3" t="s">
        <v>2090</v>
      </c>
      <c r="B3" t="s">
        <v>30</v>
      </c>
      <c r="C3" t="s">
        <v>526</v>
      </c>
      <c r="D3" t="s">
        <v>525</v>
      </c>
      <c r="E3" t="s">
        <v>524</v>
      </c>
      <c r="F3" s="12" t="s">
        <v>523</v>
      </c>
      <c r="G3" s="12" t="s">
        <v>522</v>
      </c>
      <c r="H3" s="16">
        <v>33.050565535595503</v>
      </c>
      <c r="I3" s="13">
        <v>28.236068451074999</v>
      </c>
      <c r="J3" s="13">
        <v>18.488164261737701</v>
      </c>
      <c r="K3" s="13">
        <v>37.688868768037999</v>
      </c>
      <c r="L3" s="13">
        <v>13.3857227762002</v>
      </c>
      <c r="M3" s="13">
        <v>17.829512385548998</v>
      </c>
      <c r="N3" s="13">
        <v>4.3773204381903996</v>
      </c>
      <c r="O3" s="13">
        <v>6.2553909619351202</v>
      </c>
      <c r="P3" s="13">
        <v>45.880435889601799</v>
      </c>
      <c r="Q3" s="13">
        <v>22.4672146922168</v>
      </c>
      <c r="R3" s="13">
        <v>15.0535221381926</v>
      </c>
      <c r="S3" s="13">
        <v>19.632726186921499</v>
      </c>
      <c r="T3" s="13">
        <v>13.2186600629141</v>
      </c>
      <c r="U3" s="12">
        <v>10.817388130076401</v>
      </c>
      <c r="V3" s="12">
        <v>33.802002385513397</v>
      </c>
      <c r="W3" s="12">
        <v>8.3604458904474903</v>
      </c>
      <c r="X3" s="12">
        <v>21.450597455993801</v>
      </c>
      <c r="Y3" s="12">
        <v>7.5941587896169302</v>
      </c>
      <c r="Z3" s="12">
        <v>2.5927808845958298</v>
      </c>
      <c r="AA3" s="12">
        <v>16.2718568795793</v>
      </c>
      <c r="AB3" s="12">
        <v>2.5762497744089501</v>
      </c>
      <c r="AC3" s="12">
        <v>5.1632388896879</v>
      </c>
      <c r="AD3" s="12">
        <v>1.0034602076124599</v>
      </c>
      <c r="AE3" s="12">
        <v>2.51071857314354</v>
      </c>
      <c r="AF3" s="12">
        <v>0.77016007248565399</v>
      </c>
      <c r="AG3" s="12">
        <v>0.40836443004998901</v>
      </c>
      <c r="AH3" s="12">
        <v>6.0611686081589102</v>
      </c>
      <c r="AI3" s="12">
        <v>3.4338512457479098</v>
      </c>
      <c r="AJ3" s="12">
        <v>6.8167941672951899</v>
      </c>
      <c r="AK3" s="12">
        <v>6.7562680810028901</v>
      </c>
      <c r="AL3" s="12">
        <v>6.6778980572083997</v>
      </c>
      <c r="AM3" s="12">
        <v>0</v>
      </c>
    </row>
    <row r="4" spans="1:39" customFormat="1" hidden="1" x14ac:dyDescent="0.3">
      <c r="A4" t="s">
        <v>2086</v>
      </c>
      <c r="B4" s="3" t="s">
        <v>30</v>
      </c>
      <c r="C4" s="3" t="s">
        <v>526</v>
      </c>
      <c r="D4" s="3" t="s">
        <v>525</v>
      </c>
      <c r="E4" s="3" t="s">
        <v>524</v>
      </c>
      <c r="F4" s="3" t="s">
        <v>523</v>
      </c>
      <c r="G4" s="3" t="s">
        <v>25</v>
      </c>
      <c r="H4" s="16">
        <v>6.6242514970059903</v>
      </c>
      <c r="I4" s="11">
        <v>5.1118911803422602</v>
      </c>
      <c r="J4" s="11">
        <v>2.4717729630759799</v>
      </c>
      <c r="K4" s="11">
        <v>4.49889649708562</v>
      </c>
      <c r="L4" s="11">
        <v>4.15373439873209</v>
      </c>
      <c r="M4" s="11">
        <v>0.61395414862658804</v>
      </c>
      <c r="N4" s="11">
        <v>1.3659073199798299</v>
      </c>
      <c r="O4" s="11">
        <v>0.94505906619163704</v>
      </c>
      <c r="P4" s="11">
        <v>9.5596971857283499</v>
      </c>
      <c r="Q4" s="11">
        <v>4.7865174717510204</v>
      </c>
      <c r="R4" s="11">
        <v>2.5044321267476</v>
      </c>
      <c r="S4" s="11">
        <v>19.839255499154</v>
      </c>
      <c r="T4" s="11">
        <v>8.84478950538786</v>
      </c>
      <c r="U4">
        <v>1.1742159218811801</v>
      </c>
      <c r="V4">
        <v>3.1445404272237698</v>
      </c>
      <c r="W4">
        <v>14.942130246946499</v>
      </c>
      <c r="X4">
        <v>4.3363741487858096</v>
      </c>
      <c r="Y4">
        <v>1.44859676333733</v>
      </c>
      <c r="Z4">
        <v>6.7361464158617199</v>
      </c>
      <c r="AA4">
        <v>14.770530858093201</v>
      </c>
      <c r="AB4">
        <v>1.35805811225411</v>
      </c>
      <c r="AC4">
        <v>1.8625053933553899</v>
      </c>
      <c r="AD4">
        <v>0.58194400754954401</v>
      </c>
      <c r="AE4">
        <v>0.39101354827645302</v>
      </c>
      <c r="AF4">
        <v>3.7652270210409702</v>
      </c>
      <c r="AG4">
        <v>0.82142270412354201</v>
      </c>
      <c r="AH4">
        <v>8.7204715273588</v>
      </c>
      <c r="AI4">
        <v>4.0337409212098896</v>
      </c>
      <c r="AJ4">
        <v>8.7706066156664093</v>
      </c>
      <c r="AK4">
        <v>8.2389103182256491</v>
      </c>
      <c r="AL4">
        <v>8.1869668076564608</v>
      </c>
      <c r="AM4">
        <v>0</v>
      </c>
    </row>
    <row r="5" spans="1:39" customFormat="1" hidden="1" x14ac:dyDescent="0.3">
      <c r="A5" t="s">
        <v>2074</v>
      </c>
      <c r="B5" t="s">
        <v>30</v>
      </c>
      <c r="C5" t="s">
        <v>29</v>
      </c>
      <c r="D5" t="s">
        <v>28</v>
      </c>
      <c r="E5" t="s">
        <v>91</v>
      </c>
      <c r="F5" t="s">
        <v>90</v>
      </c>
      <c r="G5" t="s">
        <v>89</v>
      </c>
      <c r="H5" s="16">
        <v>0.28276779773785798</v>
      </c>
      <c r="I5" s="11">
        <v>0.142606406318561</v>
      </c>
      <c r="J5" s="11">
        <v>0.20925062121278201</v>
      </c>
      <c r="K5" s="11">
        <v>0.16411068983079599</v>
      </c>
      <c r="L5" s="11">
        <v>0.96414184771841804</v>
      </c>
      <c r="M5" s="11">
        <v>0.33359358364681702</v>
      </c>
      <c r="N5" s="11">
        <v>1.7096759407801301</v>
      </c>
      <c r="O5" s="11">
        <v>1.68385524095256</v>
      </c>
      <c r="P5" s="11">
        <v>0.45829514207149402</v>
      </c>
      <c r="Q5" s="11">
        <v>0.24193770104198201</v>
      </c>
      <c r="R5" s="11">
        <v>0.39272009155988402</v>
      </c>
      <c r="S5" s="11">
        <v>2.4883049666567102E-3</v>
      </c>
      <c r="T5" s="11">
        <v>0.110434375209156</v>
      </c>
      <c r="U5">
        <v>1.21680406412557</v>
      </c>
      <c r="V5">
        <v>0.195178371344924</v>
      </c>
      <c r="W5">
        <v>1.7974291962238</v>
      </c>
      <c r="X5">
        <v>2.69176410124631</v>
      </c>
      <c r="Y5">
        <v>0.61748266073571201</v>
      </c>
      <c r="Z5">
        <v>3.0407981698017301</v>
      </c>
      <c r="AA5">
        <v>6.56717759697937</v>
      </c>
      <c r="AB5">
        <v>8.5724598447933606E-2</v>
      </c>
      <c r="AC5">
        <v>0.56090896016108105</v>
      </c>
      <c r="AD5">
        <v>4.4039005976722202E-2</v>
      </c>
      <c r="AE5">
        <v>3.0869490653404202E-2</v>
      </c>
      <c r="AF5">
        <v>0.85069968790898998</v>
      </c>
      <c r="AG5">
        <v>0.10091764650660701</v>
      </c>
      <c r="AH5">
        <v>0.65902445816122901</v>
      </c>
      <c r="AI5">
        <v>0.39762802243265599</v>
      </c>
      <c r="AJ5">
        <v>4.7624178429048598</v>
      </c>
      <c r="AK5">
        <v>1.6935872709739599</v>
      </c>
      <c r="AL5">
        <v>3.7995555236934599</v>
      </c>
      <c r="AM5">
        <v>0</v>
      </c>
    </row>
    <row r="6" spans="1:39" customFormat="1" hidden="1" x14ac:dyDescent="0.3">
      <c r="A6" t="s">
        <v>2069</v>
      </c>
      <c r="B6" t="s">
        <v>30</v>
      </c>
      <c r="C6" t="s">
        <v>81</v>
      </c>
      <c r="D6" t="s">
        <v>80</v>
      </c>
      <c r="E6" t="s">
        <v>642</v>
      </c>
      <c r="F6" t="s">
        <v>645</v>
      </c>
      <c r="G6" t="s">
        <v>644</v>
      </c>
      <c r="H6" s="16">
        <v>1.5302727877578199</v>
      </c>
      <c r="I6" s="11">
        <v>1.3675588708497901</v>
      </c>
      <c r="J6" s="11">
        <v>0.51876716509002097</v>
      </c>
      <c r="K6" s="11">
        <v>0.26597249731198003</v>
      </c>
      <c r="L6" s="11">
        <v>0.792445354289111</v>
      </c>
      <c r="M6" s="11">
        <v>5.6781886578181603E-2</v>
      </c>
      <c r="N6" s="11">
        <v>2.7409818031810098</v>
      </c>
      <c r="O6" s="11">
        <v>1.7213575848490501</v>
      </c>
      <c r="P6" s="11">
        <v>7.4685134263502706E-2</v>
      </c>
      <c r="Q6" s="11">
        <v>2.4743628515657201E-2</v>
      </c>
      <c r="R6" s="11">
        <v>7.4055788694149596E-2</v>
      </c>
      <c r="S6" s="11">
        <v>2.4883049666567102E-3</v>
      </c>
      <c r="T6" s="11">
        <v>0</v>
      </c>
      <c r="U6">
        <v>0.30115900587108002</v>
      </c>
      <c r="V6">
        <v>0.25662341417573298</v>
      </c>
      <c r="W6">
        <v>0.11200597365192801</v>
      </c>
      <c r="X6">
        <v>0.102788127971219</v>
      </c>
      <c r="Y6">
        <v>0.11413186620233499</v>
      </c>
      <c r="Z6">
        <v>8.8967971530249101E-2</v>
      </c>
      <c r="AA6">
        <v>6.01878905020902</v>
      </c>
      <c r="AB6">
        <v>9.4748240389821298E-2</v>
      </c>
      <c r="AC6">
        <v>7.9102545663742294E-2</v>
      </c>
      <c r="AD6">
        <v>0.12582573136206399</v>
      </c>
      <c r="AE6">
        <v>0.116618075801749</v>
      </c>
      <c r="AF6">
        <v>1.51011778918756E-2</v>
      </c>
      <c r="AG6">
        <v>3.2856908164941703E-2</v>
      </c>
      <c r="AH6">
        <v>3.2487121176962001E-2</v>
      </c>
      <c r="AI6">
        <v>6.8952836259998193E-2</v>
      </c>
      <c r="AJ6">
        <v>8.6197608016377505E-2</v>
      </c>
      <c r="AK6">
        <v>4.82160077145612E-2</v>
      </c>
      <c r="AL6">
        <v>6.8105240519033605E-2</v>
      </c>
      <c r="AM6">
        <v>0</v>
      </c>
    </row>
    <row r="7" spans="1:39" customFormat="1" hidden="1" x14ac:dyDescent="0.3">
      <c r="A7" t="s">
        <v>2087</v>
      </c>
      <c r="B7" t="s">
        <v>30</v>
      </c>
      <c r="C7" t="s">
        <v>35</v>
      </c>
      <c r="D7" t="s">
        <v>35</v>
      </c>
      <c r="E7" t="s">
        <v>34</v>
      </c>
      <c r="F7" t="s">
        <v>33</v>
      </c>
      <c r="G7" t="s">
        <v>50</v>
      </c>
      <c r="H7" s="16">
        <v>4.7030938123752497</v>
      </c>
      <c r="I7" s="11">
        <v>4.6840719613865698</v>
      </c>
      <c r="J7" s="11">
        <v>33.728584506735302</v>
      </c>
      <c r="K7" s="11">
        <v>2.2296417859770199</v>
      </c>
      <c r="L7" s="11">
        <v>5.1508948028792201</v>
      </c>
      <c r="M7" s="11">
        <v>32.621193839165301</v>
      </c>
      <c r="N7" s="11">
        <v>6.51326946876289</v>
      </c>
      <c r="O7" s="11">
        <v>13.785861616350999</v>
      </c>
      <c r="P7" s="11">
        <v>3.8123366262688001</v>
      </c>
      <c r="Q7" s="11">
        <v>0.68182443020922101</v>
      </c>
      <c r="R7" s="11">
        <v>1.1287897488835501</v>
      </c>
      <c r="S7" s="11">
        <v>0.17169304269931299</v>
      </c>
      <c r="T7" s="11">
        <v>6.6929924369185503E-2</v>
      </c>
      <c r="U7">
        <v>0.27378091442825397</v>
      </c>
      <c r="V7">
        <v>1.6662449850001799</v>
      </c>
      <c r="W7">
        <v>6.2243319643714301</v>
      </c>
      <c r="X7">
        <v>0.16703070795323099</v>
      </c>
      <c r="Y7">
        <v>1.8290363173451201</v>
      </c>
      <c r="Z7">
        <v>4.3975597356380298</v>
      </c>
      <c r="AA7">
        <v>3.33078617341664</v>
      </c>
      <c r="AB7">
        <v>4.9630030680382603E-2</v>
      </c>
      <c r="AC7">
        <v>0.69034948942902297</v>
      </c>
      <c r="AD7">
        <v>3.1456432840515899E-2</v>
      </c>
      <c r="AE7">
        <v>0.85062596467158302</v>
      </c>
      <c r="AF7">
        <v>2.5369978858350999</v>
      </c>
      <c r="AG7">
        <v>0.65713816329883401</v>
      </c>
      <c r="AH7">
        <v>1.6846892838910299</v>
      </c>
      <c r="AI7">
        <v>2.2110876160706101</v>
      </c>
      <c r="AJ7">
        <v>1.00204719319039</v>
      </c>
      <c r="AK7">
        <v>0.40380906460944999</v>
      </c>
      <c r="AL7">
        <v>0.91045953114918599</v>
      </c>
      <c r="AM7">
        <v>0</v>
      </c>
    </row>
    <row r="8" spans="1:39" customFormat="1" hidden="1" x14ac:dyDescent="0.3">
      <c r="A8" t="s">
        <v>2091</v>
      </c>
      <c r="B8" t="s">
        <v>30</v>
      </c>
      <c r="C8" t="s">
        <v>29</v>
      </c>
      <c r="D8" t="s">
        <v>28</v>
      </c>
      <c r="E8" t="s">
        <v>27</v>
      </c>
      <c r="F8" t="s">
        <v>26</v>
      </c>
      <c r="G8" t="s">
        <v>25</v>
      </c>
      <c r="H8" s="16">
        <v>2.0043246839653999</v>
      </c>
      <c r="I8" s="11">
        <v>8.4028082492321197</v>
      </c>
      <c r="J8" s="11">
        <v>0.61031431187061302</v>
      </c>
      <c r="K8" s="11">
        <v>0.843189406372022</v>
      </c>
      <c r="L8" s="11">
        <v>2.8131810077263402</v>
      </c>
      <c r="M8" s="11">
        <v>1.0504649016963601</v>
      </c>
      <c r="N8" s="11">
        <v>3.0251638630425801</v>
      </c>
      <c r="O8" s="11">
        <v>1.8451153197074801</v>
      </c>
      <c r="P8" s="11">
        <v>1.1508300234239699</v>
      </c>
      <c r="Q8" s="11">
        <v>1.40213894922058</v>
      </c>
      <c r="R8" s="11">
        <v>1.37339826305514</v>
      </c>
      <c r="S8" s="11">
        <v>0.78381606449686503</v>
      </c>
      <c r="T8" s="11">
        <v>2.4262097583829698</v>
      </c>
      <c r="U8">
        <v>5.1379551607702396</v>
      </c>
      <c r="V8">
        <v>0.87830267105215598</v>
      </c>
      <c r="W8">
        <v>4.9442636940636797</v>
      </c>
      <c r="X8">
        <v>7.2915328279583704</v>
      </c>
      <c r="Y8">
        <v>0.10827894998683101</v>
      </c>
      <c r="Z8">
        <v>1.9191662430096601</v>
      </c>
      <c r="AA8">
        <v>3.0026520429720902</v>
      </c>
      <c r="AB8">
        <v>4.9630030680382603E-2</v>
      </c>
      <c r="AC8">
        <v>7.9102545663742294E-2</v>
      </c>
      <c r="AD8">
        <v>4.0893362692670701E-2</v>
      </c>
      <c r="AE8">
        <v>4.11593208712056E-2</v>
      </c>
      <c r="AF8">
        <v>1.2231954092419199</v>
      </c>
      <c r="AG8">
        <v>0.34265061372010602</v>
      </c>
      <c r="AH8">
        <v>1.0767160161507401</v>
      </c>
      <c r="AI8">
        <v>0.73549692010664702</v>
      </c>
      <c r="AJ8">
        <v>6.1774952411737196</v>
      </c>
      <c r="AK8">
        <v>6.7261330761812896</v>
      </c>
      <c r="AL8">
        <v>2.8496666427700901</v>
      </c>
      <c r="AM8">
        <v>0</v>
      </c>
    </row>
    <row r="9" spans="1:39" customFormat="1" hidden="1" x14ac:dyDescent="0.3">
      <c r="A9" t="s">
        <v>2073</v>
      </c>
      <c r="B9" t="s">
        <v>30</v>
      </c>
      <c r="C9" t="s">
        <v>81</v>
      </c>
      <c r="D9" t="s">
        <v>85</v>
      </c>
      <c r="E9" t="s">
        <v>314</v>
      </c>
      <c r="F9" t="s">
        <v>313</v>
      </c>
      <c r="G9" t="s">
        <v>312</v>
      </c>
      <c r="H9" s="16">
        <v>0.75266134397870899</v>
      </c>
      <c r="I9" s="11">
        <v>0.35834430305689602</v>
      </c>
      <c r="J9" s="11">
        <v>9.5906534722525E-2</v>
      </c>
      <c r="K9" s="11">
        <v>2.26359572180409E-2</v>
      </c>
      <c r="L9" s="11">
        <v>0.49527834643069402</v>
      </c>
      <c r="M9" s="11">
        <v>1.4195471644545401E-2</v>
      </c>
      <c r="N9" s="11">
        <v>5.5002979328046903E-2</v>
      </c>
      <c r="O9" s="11">
        <v>6.00037502343896E-2</v>
      </c>
      <c r="P9" s="11">
        <v>0</v>
      </c>
      <c r="Q9" s="11">
        <v>5.4985841145904898E-3</v>
      </c>
      <c r="R9" s="11">
        <v>2.2441148089136199E-3</v>
      </c>
      <c r="S9" s="11">
        <v>0</v>
      </c>
      <c r="T9" s="11">
        <v>6.69299243691855E-3</v>
      </c>
      <c r="U9">
        <v>1.3445684908587601</v>
      </c>
      <c r="V9">
        <v>1.46383778508693</v>
      </c>
      <c r="W9">
        <v>3.9255426956104298</v>
      </c>
      <c r="X9">
        <v>2.25491455736862</v>
      </c>
      <c r="Y9">
        <v>1.17058324310088</v>
      </c>
      <c r="Z9">
        <v>1.9032791052364</v>
      </c>
      <c r="AA9">
        <v>1.55077089045714</v>
      </c>
      <c r="AB9">
        <v>0.61360765204836698</v>
      </c>
      <c r="AC9">
        <v>0.84855458075650803</v>
      </c>
      <c r="AD9">
        <v>0.61969172695816299</v>
      </c>
      <c r="AE9">
        <v>0.66197907734522399</v>
      </c>
      <c r="AF9">
        <v>0.97654283700795297</v>
      </c>
      <c r="AG9">
        <v>0.35438522377901399</v>
      </c>
      <c r="AH9">
        <v>0.979254652619854</v>
      </c>
      <c r="AI9">
        <v>0.42750758481198903</v>
      </c>
      <c r="AJ9">
        <v>1.3468376252559</v>
      </c>
      <c r="AK9">
        <v>0.43394406943105102</v>
      </c>
      <c r="AL9">
        <v>1.0502544985303599</v>
      </c>
      <c r="AM9">
        <v>0</v>
      </c>
    </row>
    <row r="10" spans="1:39" customFormat="1" hidden="1" x14ac:dyDescent="0.3">
      <c r="A10" t="s">
        <v>2055</v>
      </c>
      <c r="B10" t="s">
        <v>30</v>
      </c>
      <c r="C10" t="s">
        <v>526</v>
      </c>
      <c r="D10" t="s">
        <v>525</v>
      </c>
      <c r="E10" t="s">
        <v>524</v>
      </c>
      <c r="F10" t="s">
        <v>523</v>
      </c>
      <c r="G10" t="s">
        <v>565</v>
      </c>
      <c r="H10" s="16">
        <v>1.66333998669328E-2</v>
      </c>
      <c r="I10" s="11">
        <v>4.0222319730876102E-2</v>
      </c>
      <c r="J10" s="11">
        <v>1.30781638257989E-2</v>
      </c>
      <c r="K10" s="11">
        <v>5.6589893045102101E-3</v>
      </c>
      <c r="L10" s="11">
        <v>1.3207422571485199E-2</v>
      </c>
      <c r="M10" s="11">
        <v>0</v>
      </c>
      <c r="N10" s="11">
        <v>0.16042535637347</v>
      </c>
      <c r="O10" s="11">
        <v>4.1252578286142899E-2</v>
      </c>
      <c r="P10" s="11">
        <v>2.7158230641273699E-2</v>
      </c>
      <c r="Q10" s="11">
        <v>1.0392323976575999</v>
      </c>
      <c r="R10" s="11">
        <v>4.96622607212585</v>
      </c>
      <c r="S10" s="11">
        <v>0</v>
      </c>
      <c r="T10" s="11">
        <v>0</v>
      </c>
      <c r="U10">
        <v>0.441091473245521</v>
      </c>
      <c r="V10">
        <v>9.0360357104131303E-2</v>
      </c>
      <c r="W10">
        <v>0.31468344978398799</v>
      </c>
      <c r="X10">
        <v>0.35975844789926797</v>
      </c>
      <c r="Y10">
        <v>7.3161452693804696E-2</v>
      </c>
      <c r="Z10">
        <v>0.117564819522115</v>
      </c>
      <c r="AA10">
        <v>1.37996134310244</v>
      </c>
      <c r="AB10">
        <v>1.8047283883775501E-2</v>
      </c>
      <c r="AC10">
        <v>8.6293686178627899E-2</v>
      </c>
      <c r="AD10">
        <v>9.4369298521547705E-3</v>
      </c>
      <c r="AE10">
        <v>1.37197736237352E-2</v>
      </c>
      <c r="AF10">
        <v>3.0202355783751099E-2</v>
      </c>
      <c r="AG10">
        <v>1.8775376094252401E-2</v>
      </c>
      <c r="AH10">
        <v>6.4974242353924003E-2</v>
      </c>
      <c r="AI10">
        <v>1.8387423002666201E-2</v>
      </c>
      <c r="AJ10">
        <v>0.76141220414466804</v>
      </c>
      <c r="AK10">
        <v>1.66947926711668</v>
      </c>
      <c r="AL10">
        <v>0.813678399885296</v>
      </c>
      <c r="AM10">
        <v>0</v>
      </c>
    </row>
    <row r="11" spans="1:39" customFormat="1" hidden="1" x14ac:dyDescent="0.3">
      <c r="A11" t="s">
        <v>2071</v>
      </c>
      <c r="B11" t="s">
        <v>30</v>
      </c>
      <c r="C11" t="s">
        <v>81</v>
      </c>
      <c r="D11" t="s">
        <v>118</v>
      </c>
      <c r="E11" t="s">
        <v>117</v>
      </c>
      <c r="F11" t="s">
        <v>116</v>
      </c>
      <c r="G11" t="s">
        <v>25</v>
      </c>
      <c r="H11" s="16">
        <v>0</v>
      </c>
      <c r="I11" s="11">
        <v>3.6565745209887401E-3</v>
      </c>
      <c r="J11" s="11">
        <v>1.7437551767731801E-2</v>
      </c>
      <c r="K11" s="11">
        <v>1.1317978609020399E-2</v>
      </c>
      <c r="L11" s="11">
        <v>1.9811133857227801E-2</v>
      </c>
      <c r="M11" s="11">
        <v>3.5488679111363502E-3</v>
      </c>
      <c r="N11" s="11">
        <v>6.4170142549388104E-2</v>
      </c>
      <c r="O11" s="11">
        <v>4.8753047065441597E-2</v>
      </c>
      <c r="P11" s="11">
        <v>6.1106018942865901E-2</v>
      </c>
      <c r="Q11" s="11">
        <v>1.0419816897148999</v>
      </c>
      <c r="R11" s="11">
        <v>1.03453692690918</v>
      </c>
      <c r="S11" s="11">
        <v>6.2207624166417799E-2</v>
      </c>
      <c r="T11" s="11">
        <v>7.3622916806104E-2</v>
      </c>
      <c r="U11">
        <v>0.70270434703251905</v>
      </c>
      <c r="V11">
        <v>0.32891169985903801</v>
      </c>
      <c r="W11">
        <v>0.53069497039842095</v>
      </c>
      <c r="X11">
        <v>1.1242451496852099</v>
      </c>
      <c r="Y11">
        <v>0.31605747563723602</v>
      </c>
      <c r="Z11">
        <v>0.40988815455007599</v>
      </c>
      <c r="AA11">
        <v>0.69222816559536104</v>
      </c>
      <c r="AB11">
        <v>0.23010286951813799</v>
      </c>
      <c r="AC11">
        <v>0.25168991802099799</v>
      </c>
      <c r="AD11">
        <v>0.14784523435042499</v>
      </c>
      <c r="AE11">
        <v>0.14062767964328601</v>
      </c>
      <c r="AF11">
        <v>9.56407933152119E-2</v>
      </c>
      <c r="AG11">
        <v>5.6326128282757203E-2</v>
      </c>
      <c r="AH11">
        <v>0.19492272706177199</v>
      </c>
      <c r="AI11">
        <v>0.18847108577732799</v>
      </c>
      <c r="AJ11">
        <v>1.0200050281938</v>
      </c>
      <c r="AK11">
        <v>0.64488910318225701</v>
      </c>
      <c r="AL11">
        <v>0.84952326331636696</v>
      </c>
      <c r="AM11">
        <v>0</v>
      </c>
    </row>
    <row r="12" spans="1:39" customFormat="1" hidden="1" x14ac:dyDescent="0.3">
      <c r="A12" t="s">
        <v>2028</v>
      </c>
      <c r="B12" t="s">
        <v>30</v>
      </c>
      <c r="C12" t="s">
        <v>2027</v>
      </c>
      <c r="D12" t="s">
        <v>2027</v>
      </c>
      <c r="E12" t="s">
        <v>2026</v>
      </c>
      <c r="F12" t="s">
        <v>2025</v>
      </c>
      <c r="G12" t="s">
        <v>2024</v>
      </c>
      <c r="H12" s="16">
        <v>10.986360612109101</v>
      </c>
      <c r="I12" s="11">
        <v>6.2417727073277796</v>
      </c>
      <c r="J12" s="11">
        <v>6.6829417149832198</v>
      </c>
      <c r="K12" s="11">
        <v>11.4254994058061</v>
      </c>
      <c r="L12" s="11">
        <v>18.965858812652701</v>
      </c>
      <c r="M12" s="11">
        <v>3.01298885655476</v>
      </c>
      <c r="N12" s="11">
        <v>1.5996699821240301</v>
      </c>
      <c r="O12" s="11">
        <v>0.87755484717794896</v>
      </c>
      <c r="P12" s="11">
        <v>2.8651933326543801</v>
      </c>
      <c r="Q12" s="11">
        <v>1.0062408929700599</v>
      </c>
      <c r="R12" s="11">
        <v>0.59693453917102401</v>
      </c>
      <c r="S12" s="11">
        <v>0.204041007265851</v>
      </c>
      <c r="T12" s="11">
        <v>3.3464962184592703E-2</v>
      </c>
      <c r="U12">
        <v>0</v>
      </c>
      <c r="V12">
        <v>0</v>
      </c>
      <c r="W12">
        <v>2.4001280068270299E-2</v>
      </c>
      <c r="X12">
        <v>1.2848515996402399E-2</v>
      </c>
      <c r="Y12">
        <v>0</v>
      </c>
      <c r="Z12">
        <v>7.3080833756990302E-2</v>
      </c>
      <c r="AA12">
        <v>0.55737852294691403</v>
      </c>
      <c r="AB12">
        <v>1.35354629128316E-2</v>
      </c>
      <c r="AC12">
        <v>7.1911405148856597E-3</v>
      </c>
      <c r="AD12">
        <v>9.4369298521547705E-3</v>
      </c>
      <c r="AE12">
        <v>0</v>
      </c>
      <c r="AF12">
        <v>1.51011778918756E-2</v>
      </c>
      <c r="AG12">
        <v>1.1734610058907699E-2</v>
      </c>
      <c r="AH12">
        <v>9.2820346219891405E-3</v>
      </c>
      <c r="AI12">
        <v>6.89528362599982E-3</v>
      </c>
      <c r="AJ12">
        <v>1.6700786553173099</v>
      </c>
      <c r="AK12">
        <v>0.42189006750241098</v>
      </c>
      <c r="AL12">
        <v>0.73481970033694199</v>
      </c>
      <c r="AM12">
        <v>0</v>
      </c>
    </row>
    <row r="13" spans="1:39" customFormat="1" hidden="1" x14ac:dyDescent="0.3">
      <c r="A13" t="s">
        <v>2076</v>
      </c>
      <c r="B13" t="s">
        <v>30</v>
      </c>
      <c r="C13" t="s">
        <v>29</v>
      </c>
      <c r="D13" t="s">
        <v>28</v>
      </c>
      <c r="E13" t="s">
        <v>27</v>
      </c>
      <c r="F13" t="s">
        <v>67</v>
      </c>
      <c r="G13" t="s">
        <v>66</v>
      </c>
      <c r="H13" s="16">
        <v>1.45542248835662</v>
      </c>
      <c r="I13" s="11">
        <v>1.7917215152844801</v>
      </c>
      <c r="J13" s="11">
        <v>3.3654474911722398</v>
      </c>
      <c r="K13" s="11">
        <v>2.6370890159017599</v>
      </c>
      <c r="L13" s="11">
        <v>3.6386449184441698</v>
      </c>
      <c r="M13" s="11">
        <v>1.3450209383206799</v>
      </c>
      <c r="N13" s="11">
        <v>10.4551496539396</v>
      </c>
      <c r="O13" s="11">
        <v>3.87774235889743</v>
      </c>
      <c r="P13" s="11">
        <v>3.3744101571782599</v>
      </c>
      <c r="Q13" s="11">
        <v>1.1244604514337599</v>
      </c>
      <c r="R13" s="11">
        <v>0.32988487691030299</v>
      </c>
      <c r="S13" s="11">
        <v>4.9766099333134299E-2</v>
      </c>
      <c r="T13" s="11">
        <v>0.32461013319054899</v>
      </c>
      <c r="U13">
        <v>0.15210050801569699</v>
      </c>
      <c r="V13">
        <v>3.6144142841652502E-3</v>
      </c>
      <c r="W13">
        <v>2.0161075257347099</v>
      </c>
      <c r="X13">
        <v>0.43684954387768199</v>
      </c>
      <c r="Y13">
        <v>8.7793743232565599E-3</v>
      </c>
      <c r="Z13">
        <v>0.89921199796644602</v>
      </c>
      <c r="AA13">
        <v>0.45848878500472001</v>
      </c>
      <c r="AB13">
        <v>0</v>
      </c>
      <c r="AC13">
        <v>2.87645620595426E-2</v>
      </c>
      <c r="AD13">
        <v>3.14564328405159E-3</v>
      </c>
      <c r="AE13">
        <v>0</v>
      </c>
      <c r="AF13">
        <v>0.453035336756267</v>
      </c>
      <c r="AG13">
        <v>1.64284540824708E-2</v>
      </c>
      <c r="AH13">
        <v>8.3538311597902301E-2</v>
      </c>
      <c r="AI13">
        <v>2.2984278753332699E-3</v>
      </c>
      <c r="AJ13">
        <v>0.18676148403548501</v>
      </c>
      <c r="AK13">
        <v>7.8351012536162001E-2</v>
      </c>
      <c r="AL13">
        <v>0.11470356297942499</v>
      </c>
      <c r="AM13">
        <v>0</v>
      </c>
    </row>
    <row r="14" spans="1:39" customFormat="1" hidden="1" x14ac:dyDescent="0.3">
      <c r="A14" t="s">
        <v>2067</v>
      </c>
      <c r="B14" t="s">
        <v>30</v>
      </c>
      <c r="C14" t="s">
        <v>81</v>
      </c>
      <c r="D14" t="s">
        <v>80</v>
      </c>
      <c r="E14" t="s">
        <v>618</v>
      </c>
      <c r="F14" t="s">
        <v>629</v>
      </c>
      <c r="G14" t="s">
        <v>2066</v>
      </c>
      <c r="H14" s="16">
        <v>0</v>
      </c>
      <c r="I14" s="11">
        <v>0</v>
      </c>
      <c r="J14" s="11">
        <v>0</v>
      </c>
      <c r="K14" s="11">
        <v>0</v>
      </c>
      <c r="L14" s="11">
        <v>0</v>
      </c>
      <c r="M14" s="11">
        <v>0</v>
      </c>
      <c r="N14" s="11">
        <v>0</v>
      </c>
      <c r="O14" s="11">
        <v>0</v>
      </c>
      <c r="P14" s="11">
        <v>0</v>
      </c>
      <c r="Q14" s="11">
        <v>0</v>
      </c>
      <c r="R14" s="11">
        <v>0</v>
      </c>
      <c r="S14" s="11">
        <v>0</v>
      </c>
      <c r="T14" s="11">
        <v>0</v>
      </c>
      <c r="U14">
        <v>3.3462111763453303E-2</v>
      </c>
      <c r="V14">
        <v>0.108432428524958</v>
      </c>
      <c r="W14">
        <v>0.42935623233239101</v>
      </c>
      <c r="X14">
        <v>6.4242579982012101E-3</v>
      </c>
      <c r="Y14">
        <v>8.1940827017061194E-2</v>
      </c>
      <c r="Z14">
        <v>0.25737163192679202</v>
      </c>
      <c r="AA14">
        <v>0.32813413044455397</v>
      </c>
      <c r="AB14">
        <v>9.0236419418877507E-3</v>
      </c>
      <c r="AC14">
        <v>5.0337983604199603E-2</v>
      </c>
      <c r="AD14">
        <v>6.2912865681031801E-3</v>
      </c>
      <c r="AE14">
        <v>5.8309037900874598E-2</v>
      </c>
      <c r="AF14">
        <v>0.64935064935064901</v>
      </c>
      <c r="AG14">
        <v>0.25581449928418898</v>
      </c>
      <c r="AH14">
        <v>7.4256276975913096E-2</v>
      </c>
      <c r="AI14">
        <v>0.19766479727866099</v>
      </c>
      <c r="AJ14">
        <v>6.10566390116008E-2</v>
      </c>
      <c r="AK14">
        <v>1.20540019286403E-2</v>
      </c>
      <c r="AL14">
        <v>1.79224317155352E-2</v>
      </c>
      <c r="AM14">
        <v>0</v>
      </c>
    </row>
    <row r="15" spans="1:39" customFormat="1" hidden="1" x14ac:dyDescent="0.3">
      <c r="A15" t="s">
        <v>2018</v>
      </c>
      <c r="B15" t="s">
        <v>30</v>
      </c>
      <c r="C15" t="s">
        <v>111</v>
      </c>
      <c r="D15" t="s">
        <v>141</v>
      </c>
      <c r="E15" t="s">
        <v>140</v>
      </c>
      <c r="F15" t="s">
        <v>2017</v>
      </c>
      <c r="G15" t="s">
        <v>2016</v>
      </c>
      <c r="H15" s="16">
        <v>3.90053226879574</v>
      </c>
      <c r="I15" s="11">
        <v>1.50285212812637</v>
      </c>
      <c r="J15" s="11">
        <v>3.4439164741270298</v>
      </c>
      <c r="K15" s="11">
        <v>0.96768717107124702</v>
      </c>
      <c r="L15" s="11">
        <v>7.9508683880340802</v>
      </c>
      <c r="M15" s="11">
        <v>0.22357867840158999</v>
      </c>
      <c r="N15" s="11">
        <v>1.33840583031581</v>
      </c>
      <c r="O15" s="11">
        <v>1.01631351959497</v>
      </c>
      <c r="P15" s="11">
        <v>0.53976983399531497</v>
      </c>
      <c r="Q15" s="11">
        <v>0.33266433893272501</v>
      </c>
      <c r="R15" s="11">
        <v>1.2207984560490099</v>
      </c>
      <c r="S15" s="11">
        <v>6.4695929133074606E-2</v>
      </c>
      <c r="T15" s="11">
        <v>6.6929924369185503E-2</v>
      </c>
      <c r="U15">
        <v>7.60502540078484E-2</v>
      </c>
      <c r="V15">
        <v>8.6745942819966004E-2</v>
      </c>
      <c r="W15">
        <v>0.29601578750866703</v>
      </c>
      <c r="X15">
        <v>0.32121289991006002</v>
      </c>
      <c r="Y15">
        <v>0.178513944572883</v>
      </c>
      <c r="Z15">
        <v>0.225597356380275</v>
      </c>
      <c r="AA15">
        <v>0.28767923765002001</v>
      </c>
      <c r="AB15">
        <v>1.35354629128316E-2</v>
      </c>
      <c r="AC15">
        <v>0.100675967208399</v>
      </c>
      <c r="AD15">
        <v>2.2019502988361101E-2</v>
      </c>
      <c r="AE15">
        <v>6.8598868118676E-3</v>
      </c>
      <c r="AF15">
        <v>0.17114668277459</v>
      </c>
      <c r="AG15">
        <v>3.2856908164941703E-2</v>
      </c>
      <c r="AH15">
        <v>8.3538311597902301E-2</v>
      </c>
      <c r="AI15">
        <v>1.8387423002666201E-2</v>
      </c>
      <c r="AJ15">
        <v>0.244226556046403</v>
      </c>
      <c r="AK15">
        <v>4.21890067502411E-2</v>
      </c>
      <c r="AL15">
        <v>0.11828804932253199</v>
      </c>
      <c r="AM15">
        <v>0</v>
      </c>
    </row>
    <row r="16" spans="1:39" customFormat="1" hidden="1" x14ac:dyDescent="0.3">
      <c r="A16" t="s">
        <v>2075</v>
      </c>
      <c r="B16" t="s">
        <v>30</v>
      </c>
      <c r="C16" t="s">
        <v>251</v>
      </c>
      <c r="D16" t="s">
        <v>250</v>
      </c>
      <c r="E16" t="s">
        <v>249</v>
      </c>
      <c r="F16" t="s">
        <v>248</v>
      </c>
      <c r="G16" t="s">
        <v>247</v>
      </c>
      <c r="H16" s="16">
        <v>0.58216899534264799</v>
      </c>
      <c r="I16" s="11">
        <v>2.4791575252303599</v>
      </c>
      <c r="J16" s="11">
        <v>4.8607175552552402</v>
      </c>
      <c r="K16" s="11">
        <v>2.2522777431950698</v>
      </c>
      <c r="L16" s="11">
        <v>4.1405269761605998</v>
      </c>
      <c r="M16" s="11">
        <v>0.99723188302931398</v>
      </c>
      <c r="N16" s="11">
        <v>6.3207590411147301</v>
      </c>
      <c r="O16" s="11">
        <v>7.6692293268329301</v>
      </c>
      <c r="P16" s="11">
        <v>1.17798825406525</v>
      </c>
      <c r="Q16" s="11">
        <v>2.9334946251340299</v>
      </c>
      <c r="R16" s="11">
        <v>1.3330041964946899</v>
      </c>
      <c r="S16" s="11">
        <v>0.298596595998806</v>
      </c>
      <c r="T16" s="11">
        <v>0.85670303192557395</v>
      </c>
      <c r="U16">
        <v>5.4756182885650803E-2</v>
      </c>
      <c r="V16">
        <v>5.0601799978313503E-2</v>
      </c>
      <c r="W16">
        <v>3.7335324550642701E-2</v>
      </c>
      <c r="X16">
        <v>0.64885005781832195</v>
      </c>
      <c r="Y16">
        <v>4.0970413508530597E-2</v>
      </c>
      <c r="Z16">
        <v>4.4483985765124599E-2</v>
      </c>
      <c r="AA16">
        <v>0.28318424956173899</v>
      </c>
      <c r="AB16">
        <v>0.212055585634362</v>
      </c>
      <c r="AC16">
        <v>1.43822810297713E-2</v>
      </c>
      <c r="AD16">
        <v>9.7514941805599206E-2</v>
      </c>
      <c r="AE16">
        <v>6.5168924712742202E-2</v>
      </c>
      <c r="AF16">
        <v>1.0067451927917E-2</v>
      </c>
      <c r="AG16">
        <v>1.64284540824708E-2</v>
      </c>
      <c r="AH16">
        <v>1.39230519329837E-2</v>
      </c>
      <c r="AI16">
        <v>2.0685850877999401E-2</v>
      </c>
      <c r="AJ16">
        <v>2.37761735445175</v>
      </c>
      <c r="AK16">
        <v>1.8743972999035701</v>
      </c>
      <c r="AL16">
        <v>1.86393289841566</v>
      </c>
      <c r="AM16">
        <v>0</v>
      </c>
    </row>
    <row r="17" spans="1:39" customFormat="1" hidden="1" x14ac:dyDescent="0.3">
      <c r="A17" t="s">
        <v>2040</v>
      </c>
      <c r="B17" t="s">
        <v>30</v>
      </c>
      <c r="C17" t="s">
        <v>29</v>
      </c>
      <c r="D17" t="s">
        <v>28</v>
      </c>
      <c r="E17" t="s">
        <v>27</v>
      </c>
      <c r="F17" t="s">
        <v>64</v>
      </c>
      <c r="G17" t="s">
        <v>223</v>
      </c>
      <c r="H17" s="16">
        <v>5.1397205588822397</v>
      </c>
      <c r="I17" s="11">
        <v>2.7972795085563802</v>
      </c>
      <c r="J17" s="11">
        <v>4.5817167269715302</v>
      </c>
      <c r="K17" s="11">
        <v>1.2676136042102899</v>
      </c>
      <c r="L17" s="11">
        <v>1.7631909132932699</v>
      </c>
      <c r="M17" s="11">
        <v>5.4155724323940699</v>
      </c>
      <c r="N17" s="11">
        <v>0.28418205986157602</v>
      </c>
      <c r="O17" s="11">
        <v>0.52128258016125995</v>
      </c>
      <c r="P17" s="11">
        <v>2.9466680245782002</v>
      </c>
      <c r="Q17" s="11">
        <v>0.145712479036648</v>
      </c>
      <c r="R17" s="11">
        <v>0.66874621305626003</v>
      </c>
      <c r="S17" s="11">
        <v>0.43296506419826802</v>
      </c>
      <c r="T17" s="11">
        <v>0.200789773107556</v>
      </c>
      <c r="U17">
        <v>9.1260304809418092E-3</v>
      </c>
      <c r="V17">
        <v>0.59276394260310095</v>
      </c>
      <c r="W17">
        <v>1.6000853378846901E-2</v>
      </c>
      <c r="X17">
        <v>5.1394063985609702E-2</v>
      </c>
      <c r="Y17">
        <v>1.02133387960551</v>
      </c>
      <c r="Z17">
        <v>4.1306558210472799E-2</v>
      </c>
      <c r="AA17">
        <v>0.26070930912033102</v>
      </c>
      <c r="AB17">
        <v>0.58653672622270303</v>
      </c>
      <c r="AC17">
        <v>0.77664317560765095</v>
      </c>
      <c r="AD17">
        <v>0.283107895564643</v>
      </c>
      <c r="AE17">
        <v>0.40473332190018901</v>
      </c>
      <c r="AF17">
        <v>2.0134903855834101E-2</v>
      </c>
      <c r="AG17">
        <v>1.4081532070689301E-2</v>
      </c>
      <c r="AH17">
        <v>4.1769155798951102E-2</v>
      </c>
      <c r="AI17">
        <v>8.7340259262664297E-2</v>
      </c>
      <c r="AJ17">
        <v>3.2324103006141601E-2</v>
      </c>
      <c r="AK17">
        <v>0.102459016393443</v>
      </c>
      <c r="AL17">
        <v>0.30826582550720499</v>
      </c>
      <c r="AM17">
        <v>0</v>
      </c>
    </row>
    <row r="18" spans="1:39" customFormat="1" hidden="1" x14ac:dyDescent="0.3">
      <c r="A18" t="s">
        <v>2029</v>
      </c>
      <c r="B18" t="s">
        <v>30</v>
      </c>
      <c r="C18" t="s">
        <v>29</v>
      </c>
      <c r="D18" t="s">
        <v>28</v>
      </c>
      <c r="E18" t="s">
        <v>27</v>
      </c>
      <c r="F18" t="s">
        <v>64</v>
      </c>
      <c r="G18" t="s">
        <v>178</v>
      </c>
      <c r="H18" s="16">
        <v>0.112275449101796</v>
      </c>
      <c r="I18" s="11">
        <v>1.8026912388474501</v>
      </c>
      <c r="J18" s="11">
        <v>3.4875103535463602E-2</v>
      </c>
      <c r="K18" s="11">
        <v>0</v>
      </c>
      <c r="L18" s="11">
        <v>4.6225979000198099E-2</v>
      </c>
      <c r="M18" s="11">
        <v>0</v>
      </c>
      <c r="N18" s="11">
        <v>9.1671632213411597E-3</v>
      </c>
      <c r="O18" s="11">
        <v>6.00037502343896E-2</v>
      </c>
      <c r="P18" s="11">
        <v>6.78955766031843E-3</v>
      </c>
      <c r="Q18" s="11">
        <v>1.92450444010667E-2</v>
      </c>
      <c r="R18" s="11">
        <v>4.4882296178272503E-2</v>
      </c>
      <c r="S18" s="11">
        <v>0.20901761719916401</v>
      </c>
      <c r="T18" s="11">
        <v>0.91024697142092204</v>
      </c>
      <c r="U18">
        <v>4.2588142244395097E-2</v>
      </c>
      <c r="V18">
        <v>1.0843242852495801E-2</v>
      </c>
      <c r="W18">
        <v>8.5337884687183299E-2</v>
      </c>
      <c r="X18">
        <v>8.9939611974816897E-2</v>
      </c>
      <c r="Y18">
        <v>3.5117497293026302E-2</v>
      </c>
      <c r="Z18">
        <v>0.327275038129131</v>
      </c>
      <c r="AA18">
        <v>0.247224344855486</v>
      </c>
      <c r="AB18">
        <v>2.2559104854719399E-2</v>
      </c>
      <c r="AC18">
        <v>1.43822810297713E-2</v>
      </c>
      <c r="AD18">
        <v>1.8873859704309499E-2</v>
      </c>
      <c r="AE18">
        <v>3.4299434059338E-3</v>
      </c>
      <c r="AF18">
        <v>0.16611295681063101</v>
      </c>
      <c r="AG18">
        <v>1.8775376094252401E-2</v>
      </c>
      <c r="AH18">
        <v>6.9615259664918494E-2</v>
      </c>
      <c r="AI18">
        <v>1.8387423002666201E-2</v>
      </c>
      <c r="AJ18">
        <v>0.19035305103616701</v>
      </c>
      <c r="AK18">
        <v>0.108486017357763</v>
      </c>
      <c r="AL18">
        <v>0.13621048103806699</v>
      </c>
      <c r="AM18">
        <v>0</v>
      </c>
    </row>
    <row r="19" spans="1:39" customFormat="1" hidden="1" x14ac:dyDescent="0.3">
      <c r="A19" t="s">
        <v>2060</v>
      </c>
      <c r="B19" t="s">
        <v>30</v>
      </c>
      <c r="C19" t="s">
        <v>526</v>
      </c>
      <c r="D19" t="s">
        <v>525</v>
      </c>
      <c r="E19" t="s">
        <v>524</v>
      </c>
      <c r="F19" t="s">
        <v>523</v>
      </c>
      <c r="G19" t="s">
        <v>559</v>
      </c>
      <c r="H19" s="16">
        <v>0.54474384564204903</v>
      </c>
      <c r="I19" s="11">
        <v>0.95436594997806101</v>
      </c>
      <c r="J19" s="11">
        <v>0.483892061554558</v>
      </c>
      <c r="K19" s="11">
        <v>0.14147473261275501</v>
      </c>
      <c r="L19" s="11">
        <v>1.14244205243347</v>
      </c>
      <c r="M19" s="11">
        <v>9.9368301511817705E-2</v>
      </c>
      <c r="N19" s="11">
        <v>0.35751936563230502</v>
      </c>
      <c r="O19" s="11">
        <v>0.45752859553722103</v>
      </c>
      <c r="P19" s="11">
        <v>0.43453169026038002</v>
      </c>
      <c r="Q19" s="11">
        <v>0.230940532812801</v>
      </c>
      <c r="R19" s="11">
        <v>0.15035569219721301</v>
      </c>
      <c r="S19" s="11">
        <v>0.93560266746292398</v>
      </c>
      <c r="T19" s="11">
        <v>1.2582825781406901</v>
      </c>
      <c r="U19">
        <v>0.12168040641255699</v>
      </c>
      <c r="V19">
        <v>7.2288285683305004E-2</v>
      </c>
      <c r="W19">
        <v>0.17067576937436699</v>
      </c>
      <c r="X19">
        <v>0.26981883592445099</v>
      </c>
      <c r="Y19">
        <v>4.6823329724035002E-2</v>
      </c>
      <c r="Z19">
        <v>0.12391967463141799</v>
      </c>
      <c r="AA19">
        <v>0.22025441632579701</v>
      </c>
      <c r="AB19">
        <v>4.9630030680382603E-2</v>
      </c>
      <c r="AC19">
        <v>6.4720264633970903E-2</v>
      </c>
      <c r="AD19">
        <v>1.5728216420257901E-2</v>
      </c>
      <c r="AE19">
        <v>2.05796604356028E-2</v>
      </c>
      <c r="AF19">
        <v>9.56407933152119E-2</v>
      </c>
      <c r="AG19">
        <v>3.7550752188504802E-2</v>
      </c>
      <c r="AH19">
        <v>2.32050865549728E-2</v>
      </c>
      <c r="AI19">
        <v>2.9879562379332501E-2</v>
      </c>
      <c r="AJ19">
        <v>0.334015731063463</v>
      </c>
      <c r="AK19">
        <v>0.524349083895853</v>
      </c>
      <c r="AL19">
        <v>0.21506918058642199</v>
      </c>
      <c r="AM19">
        <v>0</v>
      </c>
    </row>
    <row r="20" spans="1:39" customFormat="1" hidden="1" x14ac:dyDescent="0.3">
      <c r="A20" t="s">
        <v>1991</v>
      </c>
      <c r="B20" t="s">
        <v>30</v>
      </c>
      <c r="C20" t="s">
        <v>29</v>
      </c>
      <c r="D20" t="s">
        <v>28</v>
      </c>
      <c r="E20" t="s">
        <v>27</v>
      </c>
      <c r="F20" t="s">
        <v>64</v>
      </c>
      <c r="G20" t="s">
        <v>178</v>
      </c>
      <c r="H20" s="16">
        <v>0.59880239520958101</v>
      </c>
      <c r="I20" s="11">
        <v>1.2322656135732</v>
      </c>
      <c r="J20" s="11">
        <v>0.64083002746414397</v>
      </c>
      <c r="K20" s="11">
        <v>1.52226812291325</v>
      </c>
      <c r="L20" s="11">
        <v>0.58773030443108998</v>
      </c>
      <c r="M20" s="11">
        <v>0.37972886649158899</v>
      </c>
      <c r="N20" s="11">
        <v>0.307099967914929</v>
      </c>
      <c r="O20" s="11">
        <v>1.77386086630414</v>
      </c>
      <c r="P20" s="11">
        <v>0.85887904403028104</v>
      </c>
      <c r="Q20" s="11">
        <v>0.89626921067825005</v>
      </c>
      <c r="R20" s="11">
        <v>0.87071654585848601</v>
      </c>
      <c r="S20" s="11">
        <v>2.4186324275903299</v>
      </c>
      <c r="T20" s="11">
        <v>0.95375142226089304</v>
      </c>
      <c r="U20">
        <v>8.8218294649104106E-2</v>
      </c>
      <c r="V20">
        <v>1.8072071420826299E-2</v>
      </c>
      <c r="W20">
        <v>5.3336177929489602E-2</v>
      </c>
      <c r="X20">
        <v>7.0666837980213296E-2</v>
      </c>
      <c r="Y20">
        <v>2.92645810775219E-2</v>
      </c>
      <c r="Z20">
        <v>0.14616166751398099</v>
      </c>
      <c r="AA20">
        <v>0.19777947588438899</v>
      </c>
      <c r="AB20">
        <v>4.5118209709438702E-3</v>
      </c>
      <c r="AC20">
        <v>2.1573421544656999E-2</v>
      </c>
      <c r="AD20">
        <v>0</v>
      </c>
      <c r="AE20">
        <v>0</v>
      </c>
      <c r="AF20">
        <v>0.14597805295479699</v>
      </c>
      <c r="AG20">
        <v>4.9285362247412499E-2</v>
      </c>
      <c r="AH20">
        <v>7.8897294286907699E-2</v>
      </c>
      <c r="AI20">
        <v>0.11262296589133</v>
      </c>
      <c r="AJ20">
        <v>0.13647954602593099</v>
      </c>
      <c r="AK20">
        <v>0.28929604628736699</v>
      </c>
      <c r="AL20">
        <v>0.139794967381174</v>
      </c>
      <c r="AM20">
        <v>0</v>
      </c>
    </row>
    <row r="21" spans="1:39" customFormat="1" hidden="1" x14ac:dyDescent="0.3">
      <c r="A21" t="s">
        <v>2061</v>
      </c>
      <c r="B21" t="s">
        <v>30</v>
      </c>
      <c r="C21" t="s">
        <v>81</v>
      </c>
      <c r="D21" t="s">
        <v>80</v>
      </c>
      <c r="E21" t="s">
        <v>618</v>
      </c>
      <c r="F21" t="s">
        <v>617</v>
      </c>
      <c r="G21" t="s">
        <v>1214</v>
      </c>
      <c r="H21" s="16">
        <v>1.05622089155023</v>
      </c>
      <c r="I21" s="11">
        <v>1.18473014480035</v>
      </c>
      <c r="J21" s="11">
        <v>0.17873490561925101</v>
      </c>
      <c r="K21" s="11">
        <v>0.37349329409767401</v>
      </c>
      <c r="L21" s="11">
        <v>0.52169319157366401</v>
      </c>
      <c r="M21" s="11">
        <v>4.9684150755908901E-2</v>
      </c>
      <c r="N21" s="11">
        <v>0.24751340697621099</v>
      </c>
      <c r="O21" s="11">
        <v>0.24376523532720801</v>
      </c>
      <c r="P21" s="11">
        <v>1.0761448891604699</v>
      </c>
      <c r="Q21" s="11">
        <v>0.55810628763093495</v>
      </c>
      <c r="R21" s="11">
        <v>0.44882296178272502</v>
      </c>
      <c r="S21" s="11">
        <v>0.199064397332537</v>
      </c>
      <c r="T21" s="11">
        <v>0.75965464159025498</v>
      </c>
      <c r="U21" s="3">
        <v>0.41675539196300898</v>
      </c>
      <c r="V21">
        <v>3.9758557125817801E-2</v>
      </c>
      <c r="W21">
        <v>8.0004266894234399E-3</v>
      </c>
      <c r="X21">
        <v>1.9272773994603601E-2</v>
      </c>
      <c r="Y21">
        <v>4.0970413508530597E-2</v>
      </c>
      <c r="Z21">
        <v>1.9064565327910499E-2</v>
      </c>
      <c r="AA21" s="3">
        <v>0.18878949970782599</v>
      </c>
      <c r="AB21">
        <v>2.2559104854719399E-2</v>
      </c>
      <c r="AC21">
        <v>1.43822810297713E-2</v>
      </c>
      <c r="AD21" s="3">
        <v>1.8873859704309499E-2</v>
      </c>
      <c r="AE21" s="3">
        <v>2.05796604356028E-2</v>
      </c>
      <c r="AF21">
        <v>5.03372596395852E-3</v>
      </c>
      <c r="AG21">
        <v>4.6938440235631002E-3</v>
      </c>
      <c r="AH21">
        <v>4.6410173109945703E-3</v>
      </c>
      <c r="AI21">
        <v>9.1937115013330899E-3</v>
      </c>
      <c r="AJ21" s="5">
        <v>0.122113278023202</v>
      </c>
      <c r="AK21" s="5">
        <v>0.13862102217936401</v>
      </c>
      <c r="AL21" s="5">
        <v>6.09362678328196E-2</v>
      </c>
      <c r="AM21">
        <v>0</v>
      </c>
    </row>
    <row r="22" spans="1:39" customFormat="1" hidden="1" x14ac:dyDescent="0.3">
      <c r="A22" t="s">
        <v>2012</v>
      </c>
      <c r="B22" t="s">
        <v>30</v>
      </c>
      <c r="C22" t="s">
        <v>136</v>
      </c>
      <c r="D22" t="s">
        <v>135</v>
      </c>
      <c r="E22" t="s">
        <v>134</v>
      </c>
      <c r="F22" t="s">
        <v>133</v>
      </c>
      <c r="G22" t="s">
        <v>132</v>
      </c>
      <c r="H22" s="16">
        <v>1.76314038589488</v>
      </c>
      <c r="I22" s="11">
        <v>5.9638730437326304</v>
      </c>
      <c r="J22" s="11">
        <v>0.353110423296569</v>
      </c>
      <c r="K22" s="11">
        <v>3.2029879463527799</v>
      </c>
      <c r="L22" s="11">
        <v>0.67357855114574405</v>
      </c>
      <c r="M22" s="11">
        <v>1.3663141457874901</v>
      </c>
      <c r="N22" s="11">
        <v>0.26126415180822299</v>
      </c>
      <c r="O22" s="11">
        <v>0.23251453215826001</v>
      </c>
      <c r="P22" s="11">
        <v>0.89961638999219196</v>
      </c>
      <c r="Q22" s="11">
        <v>0.13471531080746699</v>
      </c>
      <c r="R22" s="11">
        <v>3.1417607324790701E-2</v>
      </c>
      <c r="S22" s="11">
        <v>0.393152184731761</v>
      </c>
      <c r="T22" s="11">
        <v>0.147245833612208</v>
      </c>
      <c r="U22">
        <v>0</v>
      </c>
      <c r="V22">
        <v>1.4457657136661001E-2</v>
      </c>
      <c r="W22">
        <v>5.3336177929489597E-3</v>
      </c>
      <c r="X22">
        <v>0.14775793395862799</v>
      </c>
      <c r="Y22">
        <v>0.59992391208919804</v>
      </c>
      <c r="Z22">
        <v>3.1774275546517503E-2</v>
      </c>
      <c r="AA22">
        <v>0.18429451161954399</v>
      </c>
      <c r="AB22">
        <v>0.13084280815737201</v>
      </c>
      <c r="AC22">
        <v>0.208543074931684</v>
      </c>
      <c r="AD22">
        <v>8.4932368669392896E-2</v>
      </c>
      <c r="AE22">
        <v>5.1449151089007002E-2</v>
      </c>
      <c r="AF22">
        <v>2.51686298197926E-2</v>
      </c>
      <c r="AG22">
        <v>4.6938440235631002E-3</v>
      </c>
      <c r="AH22">
        <v>9.2820346219891405E-3</v>
      </c>
      <c r="AI22">
        <v>2.2984278753332699E-3</v>
      </c>
      <c r="AJ22">
        <v>0.21549402004094401</v>
      </c>
      <c r="AK22">
        <v>9.04050144648023E-2</v>
      </c>
      <c r="AL22">
        <v>8.6027672234568794E-2</v>
      </c>
      <c r="AM22">
        <v>0</v>
      </c>
    </row>
    <row r="23" spans="1:39" customFormat="1" hidden="1" x14ac:dyDescent="0.3">
      <c r="A23" t="s">
        <v>1992</v>
      </c>
      <c r="B23" t="s">
        <v>30</v>
      </c>
      <c r="C23" t="s">
        <v>111</v>
      </c>
      <c r="D23" t="s">
        <v>141</v>
      </c>
      <c r="E23" t="s">
        <v>140</v>
      </c>
      <c r="F23" t="s">
        <v>199</v>
      </c>
      <c r="G23" t="s">
        <v>198</v>
      </c>
      <c r="H23" s="16">
        <v>0.64454424484364603</v>
      </c>
      <c r="I23" s="11">
        <v>0.124323533713617</v>
      </c>
      <c r="J23" s="11">
        <v>1.85709926326344</v>
      </c>
      <c r="K23" s="11">
        <v>2.7615867806009802</v>
      </c>
      <c r="L23" s="11">
        <v>0.73301195271742703</v>
      </c>
      <c r="M23" s="11">
        <v>0.18808999929022599</v>
      </c>
      <c r="N23" s="11">
        <v>0.50877755878443398</v>
      </c>
      <c r="O23" s="11">
        <v>0.251265704106507</v>
      </c>
      <c r="P23" s="11">
        <v>0.115422480225413</v>
      </c>
      <c r="Q23" s="11">
        <v>4.3988672916723898E-2</v>
      </c>
      <c r="R23" s="11">
        <v>2.2441148089136199E-3</v>
      </c>
      <c r="S23" s="11">
        <v>0.41057031949835798</v>
      </c>
      <c r="T23" s="11">
        <v>0.32126363697208998</v>
      </c>
      <c r="U23">
        <v>5.7798193045964799E-2</v>
      </c>
      <c r="V23">
        <v>5.4216214262478801E-2</v>
      </c>
      <c r="W23">
        <v>8.2671075790708801E-2</v>
      </c>
      <c r="X23">
        <v>0.134909417962225</v>
      </c>
      <c r="Y23">
        <v>8.4867285124813396E-2</v>
      </c>
      <c r="Z23">
        <v>6.0371123538383302E-2</v>
      </c>
      <c r="AA23">
        <v>0.175304535442981</v>
      </c>
      <c r="AB23">
        <v>0</v>
      </c>
      <c r="AC23">
        <v>3.5955702574428303E-2</v>
      </c>
      <c r="AD23">
        <v>6.2912865681031801E-3</v>
      </c>
      <c r="AE23">
        <v>0</v>
      </c>
      <c r="AF23">
        <v>5.5370985603543699E-2</v>
      </c>
      <c r="AG23">
        <v>9.3876880471262004E-3</v>
      </c>
      <c r="AH23">
        <v>6.4974242353924003E-2</v>
      </c>
      <c r="AI23">
        <v>1.14921393766664E-2</v>
      </c>
      <c r="AJ23">
        <v>7.1831340013648007E-2</v>
      </c>
      <c r="AK23">
        <v>8.4378013500482199E-2</v>
      </c>
      <c r="AL23">
        <v>5.0182808803498499E-2</v>
      </c>
      <c r="AM23">
        <v>0</v>
      </c>
    </row>
    <row r="24" spans="1:39" customFormat="1" hidden="1" x14ac:dyDescent="0.3">
      <c r="A24" t="s">
        <v>2070</v>
      </c>
      <c r="B24" t="s">
        <v>30</v>
      </c>
      <c r="C24" t="s">
        <v>81</v>
      </c>
      <c r="D24" t="s">
        <v>80</v>
      </c>
      <c r="E24" t="s">
        <v>642</v>
      </c>
      <c r="F24" t="s">
        <v>645</v>
      </c>
      <c r="G24" t="s">
        <v>644</v>
      </c>
      <c r="H24" s="16">
        <v>0</v>
      </c>
      <c r="I24" s="11">
        <v>0</v>
      </c>
      <c r="J24" s="11">
        <v>0</v>
      </c>
      <c r="K24" s="11">
        <v>0</v>
      </c>
      <c r="L24" s="11">
        <v>0</v>
      </c>
      <c r="M24" s="11">
        <v>0</v>
      </c>
      <c r="N24" s="11">
        <v>0</v>
      </c>
      <c r="O24" s="11">
        <v>0</v>
      </c>
      <c r="P24" s="11">
        <v>0</v>
      </c>
      <c r="Q24" s="11">
        <v>0.197949028125258</v>
      </c>
      <c r="R24" s="11">
        <v>6.7323444267408702E-2</v>
      </c>
      <c r="S24" s="11">
        <v>4.9766099333134299E-3</v>
      </c>
      <c r="T24" s="11">
        <v>0.54213238739040204</v>
      </c>
      <c r="U24">
        <v>8.2134274328476295E-2</v>
      </c>
      <c r="V24">
        <v>3.9758557125817801E-2</v>
      </c>
      <c r="W24">
        <v>1.6000853378846901E-2</v>
      </c>
      <c r="X24">
        <v>6.4242579982012101E-3</v>
      </c>
      <c r="Y24">
        <v>4.38968716162828E-2</v>
      </c>
      <c r="Z24">
        <v>1.9064565327910499E-2</v>
      </c>
      <c r="AA24">
        <v>0.161819571178136</v>
      </c>
      <c r="AB24">
        <v>0</v>
      </c>
      <c r="AC24">
        <v>0</v>
      </c>
      <c r="AD24">
        <v>3.14564328405159E-3</v>
      </c>
      <c r="AE24">
        <v>3.4299434059338E-3</v>
      </c>
      <c r="AF24">
        <v>0</v>
      </c>
      <c r="AG24">
        <v>0</v>
      </c>
      <c r="AH24">
        <v>4.6410173109945703E-3</v>
      </c>
      <c r="AI24">
        <v>0</v>
      </c>
      <c r="AJ24">
        <v>1.4366268002729599E-2</v>
      </c>
      <c r="AK24">
        <v>0</v>
      </c>
      <c r="AL24">
        <v>1.43379453724281E-2</v>
      </c>
      <c r="AM24">
        <v>0</v>
      </c>
    </row>
    <row r="25" spans="1:39" customFormat="1" hidden="1" x14ac:dyDescent="0.3">
      <c r="A25" t="s">
        <v>2053</v>
      </c>
      <c r="B25" t="s">
        <v>30</v>
      </c>
      <c r="C25" t="s">
        <v>29</v>
      </c>
      <c r="D25" t="s">
        <v>28</v>
      </c>
      <c r="E25" t="s">
        <v>27</v>
      </c>
      <c r="F25" t="s">
        <v>26</v>
      </c>
      <c r="G25" t="s">
        <v>69</v>
      </c>
      <c r="H25" s="16">
        <v>0.20375914836992701</v>
      </c>
      <c r="I25" s="11">
        <v>0.186485300570426</v>
      </c>
      <c r="J25" s="11">
        <v>0.71929901041893696</v>
      </c>
      <c r="K25" s="11">
        <v>1.1148208929885099</v>
      </c>
      <c r="L25" s="11">
        <v>0.105659380571881</v>
      </c>
      <c r="M25" s="11">
        <v>0.46135282844772502</v>
      </c>
      <c r="N25" s="11">
        <v>0.22917908053352901</v>
      </c>
      <c r="O25" s="11">
        <v>0.28126757922370099</v>
      </c>
      <c r="P25" s="11">
        <v>0.25460841226194098</v>
      </c>
      <c r="Q25" s="11">
        <v>0.49762186237043998</v>
      </c>
      <c r="R25" s="11">
        <v>0.23563205493593101</v>
      </c>
      <c r="S25" s="11">
        <v>1.1023191002289201</v>
      </c>
      <c r="T25" s="11">
        <v>3.6844923365236601</v>
      </c>
      <c r="U25">
        <v>3.3462111763453303E-2</v>
      </c>
      <c r="V25">
        <v>0.112046842809123</v>
      </c>
      <c r="W25">
        <v>0.35468558323110599</v>
      </c>
      <c r="X25">
        <v>0.19272773994603601</v>
      </c>
      <c r="Y25">
        <v>9.3646659448070005E-2</v>
      </c>
      <c r="Z25">
        <v>3.96542958820539</v>
      </c>
      <c r="AA25">
        <v>0.14383961882501001</v>
      </c>
      <c r="AB25">
        <v>4.5118209709438702E-3</v>
      </c>
      <c r="AC25">
        <v>7.1911405148856605E-2</v>
      </c>
      <c r="AD25">
        <v>3.14564328405159E-3</v>
      </c>
      <c r="AE25">
        <v>6.8598868118676E-3</v>
      </c>
      <c r="AF25">
        <v>0.21141649048625799</v>
      </c>
      <c r="AG25">
        <v>2.1122298106033902E-2</v>
      </c>
      <c r="AH25">
        <v>0.120666450085859</v>
      </c>
      <c r="AI25">
        <v>9.1937115013330899E-3</v>
      </c>
      <c r="AJ25">
        <v>0.107747010020472</v>
      </c>
      <c r="AK25">
        <v>8.4378013500482199E-2</v>
      </c>
      <c r="AL25">
        <v>0.225822639615743</v>
      </c>
      <c r="AM25">
        <v>0</v>
      </c>
    </row>
    <row r="26" spans="1:39" customFormat="1" hidden="1" x14ac:dyDescent="0.3">
      <c r="A26" t="s">
        <v>1994</v>
      </c>
      <c r="B26" t="s">
        <v>30</v>
      </c>
      <c r="C26" t="s">
        <v>111</v>
      </c>
      <c r="D26" t="s">
        <v>141</v>
      </c>
      <c r="E26" t="s">
        <v>140</v>
      </c>
      <c r="F26" t="s">
        <v>592</v>
      </c>
      <c r="G26" t="s">
        <v>958</v>
      </c>
      <c r="H26" s="16">
        <v>3.7425149700598799E-2</v>
      </c>
      <c r="I26" s="11">
        <v>2.1939447125932401E-2</v>
      </c>
      <c r="J26" s="11">
        <v>4.3593879419329502E-3</v>
      </c>
      <c r="K26" s="11">
        <v>7.3566860958632796E-2</v>
      </c>
      <c r="L26" s="11">
        <v>0</v>
      </c>
      <c r="M26" s="11">
        <v>10.9979416566115</v>
      </c>
      <c r="N26" s="11">
        <v>0</v>
      </c>
      <c r="O26" s="11">
        <v>0</v>
      </c>
      <c r="P26" s="11">
        <v>3.3947788301592198E-3</v>
      </c>
      <c r="Q26" s="11">
        <v>0</v>
      </c>
      <c r="R26" s="11">
        <v>0</v>
      </c>
      <c r="S26" s="11">
        <v>2.4883049666567102E-3</v>
      </c>
      <c r="T26" s="11">
        <v>0</v>
      </c>
      <c r="U26">
        <v>0.10951236577130199</v>
      </c>
      <c r="V26">
        <v>0.466259442657317</v>
      </c>
      <c r="W26">
        <v>5.3336177929489597E-3</v>
      </c>
      <c r="X26">
        <v>9.6363869973018101E-2</v>
      </c>
      <c r="Y26">
        <v>0.36580726346902298</v>
      </c>
      <c r="Z26">
        <v>3.8129130655820999E-2</v>
      </c>
      <c r="AA26">
        <v>0.14383961882501001</v>
      </c>
      <c r="AB26">
        <v>3.6094567767551003E-2</v>
      </c>
      <c r="AC26">
        <v>0.467424133467568</v>
      </c>
      <c r="AD26">
        <v>1.5728216420257901E-2</v>
      </c>
      <c r="AE26">
        <v>0.106328245583948</v>
      </c>
      <c r="AF26">
        <v>1.0067451927917E-2</v>
      </c>
      <c r="AG26">
        <v>2.3469220117815501E-3</v>
      </c>
      <c r="AH26">
        <v>3.7128138487956597E-2</v>
      </c>
      <c r="AI26">
        <v>9.1937115013330899E-3</v>
      </c>
      <c r="AJ26">
        <v>7.5422907014330395E-2</v>
      </c>
      <c r="AK26">
        <v>4.82160077145612E-2</v>
      </c>
      <c r="AL26">
        <v>0.103950103950104</v>
      </c>
      <c r="AM26">
        <v>0</v>
      </c>
    </row>
    <row r="27" spans="1:39" customFormat="1" hidden="1" x14ac:dyDescent="0.3">
      <c r="A27" t="s">
        <v>2046</v>
      </c>
      <c r="B27" t="s">
        <v>30</v>
      </c>
      <c r="C27" t="s">
        <v>111</v>
      </c>
      <c r="D27" t="s">
        <v>141</v>
      </c>
      <c r="E27" t="s">
        <v>140</v>
      </c>
      <c r="F27" t="s">
        <v>592</v>
      </c>
      <c r="G27" t="s">
        <v>1474</v>
      </c>
      <c r="H27" s="16">
        <v>1.2475049900199601E-2</v>
      </c>
      <c r="I27" s="11">
        <v>1.4626298083955E-2</v>
      </c>
      <c r="J27" s="11">
        <v>6.9750207070927203E-2</v>
      </c>
      <c r="K27" s="11">
        <v>7.9225850263142994E-2</v>
      </c>
      <c r="L27" s="11">
        <v>3.3018556428712903E-2</v>
      </c>
      <c r="M27" s="11">
        <v>3.5488679111363502E-3</v>
      </c>
      <c r="N27" s="11">
        <v>4.5835816106705798E-2</v>
      </c>
      <c r="O27" s="11">
        <v>6.00037502343896E-2</v>
      </c>
      <c r="P27" s="11">
        <v>0.43113691143021998</v>
      </c>
      <c r="Q27" s="11">
        <v>0.120968850520991</v>
      </c>
      <c r="R27" s="11">
        <v>0.118938084872422</v>
      </c>
      <c r="S27" s="11">
        <v>1.7418134766596999E-2</v>
      </c>
      <c r="T27" s="11">
        <v>4.35044508399706E-2</v>
      </c>
      <c r="U27">
        <v>0.13993246737444101</v>
      </c>
      <c r="V27">
        <v>0.94336212816713105</v>
      </c>
      <c r="W27">
        <v>3.2001706757693697E-2</v>
      </c>
      <c r="X27">
        <v>0.154182191956829</v>
      </c>
      <c r="Y27">
        <v>0.66430599045974603</v>
      </c>
      <c r="Z27">
        <v>5.4016268429079799E-2</v>
      </c>
      <c r="AA27">
        <v>0.13934463073672901</v>
      </c>
      <c r="AB27">
        <v>3.1582746796607102E-2</v>
      </c>
      <c r="AC27">
        <v>0.33079246368474002</v>
      </c>
      <c r="AD27">
        <v>2.8310789556464301E-2</v>
      </c>
      <c r="AE27">
        <v>9.2608471960212699E-2</v>
      </c>
      <c r="AF27">
        <v>2.51686298197926E-2</v>
      </c>
      <c r="AG27">
        <v>2.3469220117815501E-3</v>
      </c>
      <c r="AH27">
        <v>3.7128138487956597E-2</v>
      </c>
      <c r="AI27">
        <v>1.14921393766664E-2</v>
      </c>
      <c r="AJ27">
        <v>2.8732536005459199E-2</v>
      </c>
      <c r="AK27">
        <v>6.02700096432015E-3</v>
      </c>
      <c r="AL27">
        <v>8.2443185891461795E-2</v>
      </c>
      <c r="AM27">
        <v>0</v>
      </c>
    </row>
    <row r="28" spans="1:39" customFormat="1" hidden="1" x14ac:dyDescent="0.3">
      <c r="A28" t="s">
        <v>2014</v>
      </c>
      <c r="B28" t="s">
        <v>30</v>
      </c>
      <c r="C28" t="s">
        <v>111</v>
      </c>
      <c r="D28" t="s">
        <v>141</v>
      </c>
      <c r="E28" t="s">
        <v>140</v>
      </c>
      <c r="F28" t="s">
        <v>206</v>
      </c>
      <c r="G28" t="s">
        <v>2013</v>
      </c>
      <c r="H28" s="16">
        <v>2.1415502328675999</v>
      </c>
      <c r="I28" s="11">
        <v>2.2049144361562099</v>
      </c>
      <c r="J28" s="11">
        <v>0.313875931819173</v>
      </c>
      <c r="K28" s="11">
        <v>0.96768717107124702</v>
      </c>
      <c r="L28" s="11">
        <v>1.10942349600475</v>
      </c>
      <c r="M28" s="11">
        <v>0.70977358222726905</v>
      </c>
      <c r="N28" s="11">
        <v>1.39799239125453</v>
      </c>
      <c r="O28" s="11">
        <v>2.0288768048003001</v>
      </c>
      <c r="P28" s="11">
        <v>0.39039956546831001</v>
      </c>
      <c r="Q28" s="11">
        <v>4.9487257031314402E-2</v>
      </c>
      <c r="R28" s="11">
        <v>6.5079329458495094E-2</v>
      </c>
      <c r="S28" s="11">
        <v>3.7324574499850702E-2</v>
      </c>
      <c r="T28" s="11">
        <v>4.35044508399706E-2</v>
      </c>
      <c r="U28">
        <v>4.8672162565022999E-2</v>
      </c>
      <c r="V28">
        <v>7.5902699967470302E-2</v>
      </c>
      <c r="W28">
        <v>0.114672782548403</v>
      </c>
      <c r="X28">
        <v>0.134909417962225</v>
      </c>
      <c r="Y28">
        <v>0.12876415674109601</v>
      </c>
      <c r="Z28">
        <v>0.104855109303508</v>
      </c>
      <c r="AA28">
        <v>0.13934463073672901</v>
      </c>
      <c r="AB28">
        <v>5.8653672622270399E-2</v>
      </c>
      <c r="AC28">
        <v>0.129440529267942</v>
      </c>
      <c r="AD28">
        <v>3.7747719408619103E-2</v>
      </c>
      <c r="AE28">
        <v>0.106328245583948</v>
      </c>
      <c r="AF28">
        <v>4.53035336756267E-2</v>
      </c>
      <c r="AG28">
        <v>7.0407660353446503E-3</v>
      </c>
      <c r="AH28">
        <v>6.03332250429294E-2</v>
      </c>
      <c r="AI28">
        <v>1.14921393766664E-2</v>
      </c>
      <c r="AJ28">
        <v>8.9789175017059894E-2</v>
      </c>
      <c r="AK28">
        <v>7.2324011571841901E-2</v>
      </c>
      <c r="AL28">
        <v>6.8105240519033605E-2</v>
      </c>
      <c r="AM28">
        <v>0</v>
      </c>
    </row>
    <row r="29" spans="1:39" customFormat="1" hidden="1" x14ac:dyDescent="0.3">
      <c r="A29" t="s">
        <v>1946</v>
      </c>
      <c r="B29" t="s">
        <v>30</v>
      </c>
      <c r="C29" t="s">
        <v>111</v>
      </c>
      <c r="D29" t="s">
        <v>141</v>
      </c>
      <c r="E29" t="s">
        <v>140</v>
      </c>
      <c r="F29" t="s">
        <v>604</v>
      </c>
      <c r="G29" t="s">
        <v>604</v>
      </c>
      <c r="H29" s="16">
        <v>0.224550898203593</v>
      </c>
      <c r="I29" s="11">
        <v>0.299839110721076</v>
      </c>
      <c r="J29" s="11">
        <v>2.6156327651597699E-2</v>
      </c>
      <c r="K29" s="11">
        <v>2.8294946522551101E-2</v>
      </c>
      <c r="L29" s="11">
        <v>0.21792247242950499</v>
      </c>
      <c r="M29" s="11">
        <v>3.5488679111363502E-3</v>
      </c>
      <c r="N29" s="11">
        <v>3.2085071274694003E-2</v>
      </c>
      <c r="O29" s="11">
        <v>1.50009375585974E-2</v>
      </c>
      <c r="P29" s="11">
        <v>0.10523814373493599</v>
      </c>
      <c r="Q29" s="11">
        <v>3.01872267891018</v>
      </c>
      <c r="R29" s="11">
        <v>3.2741635062049799</v>
      </c>
      <c r="S29" s="11">
        <v>0</v>
      </c>
      <c r="T29" s="11">
        <v>0</v>
      </c>
      <c r="U29">
        <v>0.12168040641255699</v>
      </c>
      <c r="V29">
        <v>3.6144142841652502E-2</v>
      </c>
      <c r="W29">
        <v>1.33340444823724E-2</v>
      </c>
      <c r="X29">
        <v>8.9939611974816897E-2</v>
      </c>
      <c r="Y29">
        <v>2.3411664862017501E-2</v>
      </c>
      <c r="Z29">
        <v>6.3548551093035102E-2</v>
      </c>
      <c r="AA29">
        <v>0.13934463073672901</v>
      </c>
      <c r="AB29">
        <v>1.35354629128316E-2</v>
      </c>
      <c r="AC29">
        <v>2.87645620595426E-2</v>
      </c>
      <c r="AD29">
        <v>0</v>
      </c>
      <c r="AE29">
        <v>3.4299434059338E-3</v>
      </c>
      <c r="AF29">
        <v>5.03372596395852E-3</v>
      </c>
      <c r="AG29">
        <v>2.3469220117815501E-3</v>
      </c>
      <c r="AH29">
        <v>4.1769155798951102E-2</v>
      </c>
      <c r="AI29">
        <v>6.89528362599982E-3</v>
      </c>
      <c r="AJ29">
        <v>3.2324103006141601E-2</v>
      </c>
      <c r="AK29">
        <v>1.20540019286403E-2</v>
      </c>
      <c r="AL29">
        <v>5.0182808803498499E-2</v>
      </c>
      <c r="AM29">
        <v>0</v>
      </c>
    </row>
    <row r="30" spans="1:39" x14ac:dyDescent="0.3">
      <c r="A30" s="6" t="s">
        <v>2083</v>
      </c>
      <c r="B30" s="6" t="s">
        <v>30</v>
      </c>
      <c r="C30" s="6" t="s">
        <v>29</v>
      </c>
      <c r="D30" s="6" t="s">
        <v>28</v>
      </c>
      <c r="E30" s="6" t="s">
        <v>388</v>
      </c>
      <c r="F30" s="6" t="s">
        <v>624</v>
      </c>
      <c r="G30" s="6" t="s">
        <v>634</v>
      </c>
      <c r="H30" s="49">
        <v>0.34514304723885603</v>
      </c>
      <c r="I30" s="6">
        <v>0.35834430305689602</v>
      </c>
      <c r="J30" s="6">
        <v>0.49261083743842399</v>
      </c>
      <c r="K30" s="6">
        <v>6.22488823496124E-2</v>
      </c>
      <c r="L30" s="6">
        <v>2.17262101300931</v>
      </c>
      <c r="M30" s="6">
        <v>6.0330754489317899E-2</v>
      </c>
      <c r="N30" s="6">
        <v>0.88463125085942196</v>
      </c>
      <c r="O30" s="6">
        <v>0.54378398649915605</v>
      </c>
      <c r="P30" s="6">
        <v>1.69059985741929</v>
      </c>
      <c r="Q30" s="6">
        <v>0.98424655651169801</v>
      </c>
      <c r="R30" s="6">
        <v>0.77421960907520004</v>
      </c>
      <c r="S30" s="6">
        <v>0.69921369563053604</v>
      </c>
      <c r="T30" s="6">
        <v>4.68509470584298E-2</v>
      </c>
      <c r="U30" s="6">
        <v>1.5210050801569701E-2</v>
      </c>
      <c r="V30" s="6">
        <v>0.16264864278743599</v>
      </c>
      <c r="W30" s="6">
        <v>0.50136007253720205</v>
      </c>
      <c r="X30" s="6">
        <v>7.0666837980213296E-2</v>
      </c>
      <c r="Y30" s="6">
        <v>0.175587486465131</v>
      </c>
      <c r="Z30" s="6">
        <v>0.861082867310625</v>
      </c>
      <c r="AA30" s="6">
        <v>0.13484964264844701</v>
      </c>
      <c r="AB30" s="6">
        <v>2.70709258256632E-2</v>
      </c>
      <c r="AC30" s="6">
        <v>0.115058248238171</v>
      </c>
      <c r="AD30" s="6">
        <v>0.110097514941806</v>
      </c>
      <c r="AE30" s="6">
        <v>0.21265649116789601</v>
      </c>
      <c r="AF30" s="6">
        <v>0.453035336756267</v>
      </c>
      <c r="AG30" s="6">
        <v>5.1092492196484303</v>
      </c>
      <c r="AH30" s="6">
        <v>1.81927878590987</v>
      </c>
      <c r="AI30" s="6">
        <v>24.977015721246701</v>
      </c>
      <c r="AJ30" s="6">
        <v>3.9507237007506399E-2</v>
      </c>
      <c r="AK30" s="6">
        <v>1.20540019286403E-2</v>
      </c>
      <c r="AL30" s="6">
        <v>3.2260377087963303E-2</v>
      </c>
      <c r="AM30" s="6">
        <v>0</v>
      </c>
    </row>
    <row r="31" spans="1:39" customFormat="1" hidden="1" x14ac:dyDescent="0.3">
      <c r="A31" t="s">
        <v>2063</v>
      </c>
      <c r="B31" t="s">
        <v>30</v>
      </c>
      <c r="C31" t="s">
        <v>111</v>
      </c>
      <c r="D31" t="s">
        <v>141</v>
      </c>
      <c r="E31" t="s">
        <v>140</v>
      </c>
      <c r="F31" t="s">
        <v>199</v>
      </c>
      <c r="G31" t="s">
        <v>198</v>
      </c>
      <c r="H31" s="16">
        <v>0.51563539587491702</v>
      </c>
      <c r="I31" s="11">
        <v>0.76422407488664601</v>
      </c>
      <c r="J31" s="11">
        <v>0.30079776799337399</v>
      </c>
      <c r="K31" s="11">
        <v>0.74132759889083799</v>
      </c>
      <c r="L31" s="11">
        <v>1.7697946245790099</v>
      </c>
      <c r="M31" s="11">
        <v>0.54297679040386104</v>
      </c>
      <c r="N31" s="11">
        <v>1.0954760049502701</v>
      </c>
      <c r="O31" s="11">
        <v>0.99381211325707897</v>
      </c>
      <c r="P31" s="11">
        <v>0.166344162677802</v>
      </c>
      <c r="Q31" s="11">
        <v>0.43163885299535398</v>
      </c>
      <c r="R31" s="11">
        <v>0.27153789187854899</v>
      </c>
      <c r="S31" s="11">
        <v>2.73713546332238E-2</v>
      </c>
      <c r="T31" s="11">
        <v>0.47185596680275699</v>
      </c>
      <c r="U31">
        <v>5.1714172725336897E-2</v>
      </c>
      <c r="V31">
        <v>5.4216214262478801E-2</v>
      </c>
      <c r="W31">
        <v>0.27468131633687098</v>
      </c>
      <c r="X31">
        <v>0.122060901965823</v>
      </c>
      <c r="Y31">
        <v>0.12291124052559201</v>
      </c>
      <c r="Z31">
        <v>0.10803253685816</v>
      </c>
      <c r="AA31">
        <v>0.12585966647188401</v>
      </c>
      <c r="AB31">
        <v>1.8047283883775501E-2</v>
      </c>
      <c r="AC31">
        <v>5.7529124119085298E-2</v>
      </c>
      <c r="AD31">
        <v>0</v>
      </c>
      <c r="AE31">
        <v>6.8598868118676E-3</v>
      </c>
      <c r="AF31">
        <v>8.0539615423336305E-2</v>
      </c>
      <c r="AG31">
        <v>2.8163064141378601E-2</v>
      </c>
      <c r="AH31">
        <v>5.5692207731934798E-2</v>
      </c>
      <c r="AI31">
        <v>2.7581134503999301E-2</v>
      </c>
      <c r="AJ31">
        <v>6.8239773012965604E-2</v>
      </c>
      <c r="AK31">
        <v>9.04050144648023E-2</v>
      </c>
      <c r="AL31">
        <v>1.79224317155352E-2</v>
      </c>
      <c r="AM31">
        <v>0</v>
      </c>
    </row>
    <row r="32" spans="1:39" customFormat="1" hidden="1" x14ac:dyDescent="0.3">
      <c r="A32" t="s">
        <v>2057</v>
      </c>
      <c r="B32" t="s">
        <v>30</v>
      </c>
      <c r="C32" t="s">
        <v>29</v>
      </c>
      <c r="D32" t="s">
        <v>28</v>
      </c>
      <c r="E32" t="s">
        <v>27</v>
      </c>
      <c r="F32" t="s">
        <v>64</v>
      </c>
      <c r="G32" t="s">
        <v>63</v>
      </c>
      <c r="H32" s="16">
        <v>1.1518629407851</v>
      </c>
      <c r="I32" s="11">
        <v>0.88489103407927505</v>
      </c>
      <c r="J32" s="11">
        <v>0.81520554514146204</v>
      </c>
      <c r="K32" s="11">
        <v>1.7090147699620799</v>
      </c>
      <c r="L32" s="11">
        <v>0.87829360100376397</v>
      </c>
      <c r="M32" s="11">
        <v>0.28745830080204399</v>
      </c>
      <c r="N32" s="11">
        <v>0.16500893798414101</v>
      </c>
      <c r="O32" s="11">
        <v>0.97131070691918198</v>
      </c>
      <c r="P32" s="11">
        <v>0.35984655599687698</v>
      </c>
      <c r="Q32" s="11">
        <v>0.434388145052649</v>
      </c>
      <c r="R32" s="11">
        <v>0.73382554251475496</v>
      </c>
      <c r="S32" s="11">
        <v>0.22892405693241799</v>
      </c>
      <c r="T32" s="11">
        <v>2.34254735292149E-2</v>
      </c>
      <c r="U32">
        <v>9.1260304809418102E-2</v>
      </c>
      <c r="V32">
        <v>7.2288285683305004E-2</v>
      </c>
      <c r="W32">
        <v>0.141340871513147</v>
      </c>
      <c r="X32">
        <v>4.4969805987408497E-2</v>
      </c>
      <c r="Y32">
        <v>7.9014368909309102E-2</v>
      </c>
      <c r="Z32">
        <v>0.155693950177936</v>
      </c>
      <c r="AA32">
        <v>0.12585966647188401</v>
      </c>
      <c r="AB32">
        <v>3.1582746796607102E-2</v>
      </c>
      <c r="AC32">
        <v>6.4720264633970903E-2</v>
      </c>
      <c r="AD32">
        <v>7.2349795533186503E-2</v>
      </c>
      <c r="AE32">
        <v>2.05796604356028E-2</v>
      </c>
      <c r="AF32">
        <v>0.140944326990839</v>
      </c>
      <c r="AG32">
        <v>2.8163064141378601E-2</v>
      </c>
      <c r="AH32">
        <v>7.4256276975913096E-2</v>
      </c>
      <c r="AI32">
        <v>8.9638687137997594E-2</v>
      </c>
      <c r="AJ32">
        <v>0.100563876019107</v>
      </c>
      <c r="AK32">
        <v>0.126567020250723</v>
      </c>
      <c r="AL32">
        <v>7.8858699548354699E-2</v>
      </c>
      <c r="AM32">
        <v>0</v>
      </c>
    </row>
    <row r="33" spans="1:39" customFormat="1" hidden="1" x14ac:dyDescent="0.3">
      <c r="A33" t="s">
        <v>2043</v>
      </c>
      <c r="B33" t="s">
        <v>30</v>
      </c>
      <c r="C33" t="s">
        <v>111</v>
      </c>
      <c r="D33" t="s">
        <v>141</v>
      </c>
      <c r="E33" t="s">
        <v>140</v>
      </c>
      <c r="F33" t="s">
        <v>607</v>
      </c>
      <c r="G33" t="s">
        <v>606</v>
      </c>
      <c r="H33" s="16">
        <v>3.0314371257485</v>
      </c>
      <c r="I33" s="11">
        <v>3.18853298230218</v>
      </c>
      <c r="J33" s="11">
        <v>0.68006451894154096</v>
      </c>
      <c r="K33" s="11">
        <v>1.92971535283798</v>
      </c>
      <c r="L33" s="11">
        <v>0.28395958528693099</v>
      </c>
      <c r="M33" s="11">
        <v>7.4526226133863296E-2</v>
      </c>
      <c r="N33" s="11">
        <v>7.3337305770729194E-2</v>
      </c>
      <c r="O33" s="11">
        <v>6.00037502343896E-2</v>
      </c>
      <c r="P33" s="11">
        <v>4.7526903622229E-2</v>
      </c>
      <c r="Q33" s="11">
        <v>1.3746460286476201E-2</v>
      </c>
      <c r="R33" s="11">
        <v>1.12205740445681E-2</v>
      </c>
      <c r="S33" s="11">
        <v>1.9906439733253699E-2</v>
      </c>
      <c r="T33" s="11">
        <v>6.0236931932266903E-2</v>
      </c>
      <c r="U33">
        <v>0.20077267058071999</v>
      </c>
      <c r="V33">
        <v>7.2288285683305004E-3</v>
      </c>
      <c r="W33">
        <v>6.9337031308336405E-2</v>
      </c>
      <c r="X33">
        <v>0.25697031992804797</v>
      </c>
      <c r="Y33">
        <v>3.8043955400778401E-2</v>
      </c>
      <c r="Z33">
        <v>8.8967971530249101E-2</v>
      </c>
      <c r="AA33">
        <v>0.12585966647188401</v>
      </c>
      <c r="AB33">
        <v>9.0236419418877507E-3</v>
      </c>
      <c r="AC33">
        <v>7.1911405148856597E-3</v>
      </c>
      <c r="AD33">
        <v>1.25825731362064E-2</v>
      </c>
      <c r="AE33">
        <v>3.4299434059338E-3</v>
      </c>
      <c r="AF33">
        <v>3.0202355783751099E-2</v>
      </c>
      <c r="AG33">
        <v>2.3469220117815501E-3</v>
      </c>
      <c r="AH33">
        <v>1.8564069243978298E-2</v>
      </c>
      <c r="AI33">
        <v>0</v>
      </c>
      <c r="AJ33">
        <v>0.107747010020472</v>
      </c>
      <c r="AK33">
        <v>4.82160077145612E-2</v>
      </c>
      <c r="AL33">
        <v>7.1689726862140701E-2</v>
      </c>
      <c r="AM33">
        <v>0</v>
      </c>
    </row>
    <row r="34" spans="1:39" customFormat="1" hidden="1" x14ac:dyDescent="0.3">
      <c r="A34" t="s">
        <v>2036</v>
      </c>
      <c r="B34" t="s">
        <v>30</v>
      </c>
      <c r="C34" t="s">
        <v>29</v>
      </c>
      <c r="D34" t="s">
        <v>28</v>
      </c>
      <c r="E34" t="s">
        <v>27</v>
      </c>
      <c r="F34" t="s">
        <v>64</v>
      </c>
      <c r="G34" t="s">
        <v>63</v>
      </c>
      <c r="H34" s="16">
        <v>0.58632734530938102</v>
      </c>
      <c r="I34" s="11">
        <v>1.7222465993856999</v>
      </c>
      <c r="J34" s="11">
        <v>0.43593879419329501</v>
      </c>
      <c r="K34" s="11">
        <v>0.350857336879633</v>
      </c>
      <c r="L34" s="11">
        <v>1.2084791652908899</v>
      </c>
      <c r="M34" s="11">
        <v>0.110014905245227</v>
      </c>
      <c r="N34" s="11">
        <v>0.64170142549388098</v>
      </c>
      <c r="O34" s="11">
        <v>0.45002812675792198</v>
      </c>
      <c r="P34" s="11">
        <v>0.44471602675085697</v>
      </c>
      <c r="Q34" s="11">
        <v>0.40139664036510603</v>
      </c>
      <c r="R34" s="11">
        <v>0.77197549426628698</v>
      </c>
      <c r="S34" s="11">
        <v>4.4789489399820803E-2</v>
      </c>
      <c r="T34" s="11">
        <v>4.0157954621511303E-2</v>
      </c>
      <c r="U34">
        <v>3.9546132084081198E-2</v>
      </c>
      <c r="V34">
        <v>0.15903422850327101</v>
      </c>
      <c r="W34">
        <v>8.2671075790708801E-2</v>
      </c>
      <c r="X34">
        <v>8.9939611974816897E-2</v>
      </c>
      <c r="Y34">
        <v>0.15802873781861801</v>
      </c>
      <c r="Z34">
        <v>8.2613116420945598E-2</v>
      </c>
      <c r="AA34">
        <v>0.121364678383602</v>
      </c>
      <c r="AB34">
        <v>7.6700956506045803E-2</v>
      </c>
      <c r="AC34">
        <v>0.115058248238171</v>
      </c>
      <c r="AD34">
        <v>7.86410821012897E-2</v>
      </c>
      <c r="AE34">
        <v>1.7149717029669002E-2</v>
      </c>
      <c r="AF34">
        <v>4.53035336756267E-2</v>
      </c>
      <c r="AG34">
        <v>2.8163064141378601E-2</v>
      </c>
      <c r="AH34">
        <v>6.9615259664918494E-2</v>
      </c>
      <c r="AI34">
        <v>8.0444975636664501E-2</v>
      </c>
      <c r="AJ34">
        <v>7.5422907014330395E-2</v>
      </c>
      <c r="AK34">
        <v>6.0270009643201498E-2</v>
      </c>
      <c r="AL34">
        <v>9.6781131263889902E-2</v>
      </c>
      <c r="AM34">
        <v>0</v>
      </c>
    </row>
    <row r="35" spans="1:39" customFormat="1" hidden="1" x14ac:dyDescent="0.3">
      <c r="A35" t="s">
        <v>2082</v>
      </c>
      <c r="B35" t="s">
        <v>30</v>
      </c>
      <c r="C35" t="s">
        <v>81</v>
      </c>
      <c r="D35" t="s">
        <v>80</v>
      </c>
      <c r="E35" t="s">
        <v>618</v>
      </c>
      <c r="F35" t="s">
        <v>629</v>
      </c>
      <c r="G35" t="s">
        <v>2081</v>
      </c>
      <c r="H35" s="16">
        <v>0.41167664670658699</v>
      </c>
      <c r="I35" s="11">
        <v>0.36200087757788502</v>
      </c>
      <c r="J35" s="11">
        <v>0.40542307859976501</v>
      </c>
      <c r="K35" s="11">
        <v>0.54892196253749104</v>
      </c>
      <c r="L35" s="11">
        <v>0.24433731757247601</v>
      </c>
      <c r="M35" s="11">
        <v>7.4526226133863296E-2</v>
      </c>
      <c r="N35" s="11">
        <v>9.62552138240821E-2</v>
      </c>
      <c r="O35" s="11">
        <v>0.262516407275455</v>
      </c>
      <c r="P35" s="11">
        <v>0.40737345961910598</v>
      </c>
      <c r="Q35" s="11">
        <v>0.151211063151239</v>
      </c>
      <c r="R35" s="11">
        <v>0.118938084872422</v>
      </c>
      <c r="S35" s="11">
        <v>0.116950333432866</v>
      </c>
      <c r="T35" s="11">
        <v>1.33859848738371E-2</v>
      </c>
      <c r="U35">
        <v>2.12940711221975E-2</v>
      </c>
      <c r="V35">
        <v>7.5902699967470302E-2</v>
      </c>
      <c r="W35">
        <v>0.114672782548403</v>
      </c>
      <c r="X35">
        <v>6.4242579982012101E-3</v>
      </c>
      <c r="Y35">
        <v>3.8043955400778401E-2</v>
      </c>
      <c r="Z35">
        <v>8.8967971530249101E-2</v>
      </c>
      <c r="AA35">
        <v>0.116869690295321</v>
      </c>
      <c r="AB35">
        <v>1.8047283883775501E-2</v>
      </c>
      <c r="AC35">
        <v>0.129440529267942</v>
      </c>
      <c r="AD35">
        <v>0.13840830449826999</v>
      </c>
      <c r="AE35">
        <v>0.26410564225690297</v>
      </c>
      <c r="AF35">
        <v>0.37249572133293102</v>
      </c>
      <c r="AG35">
        <v>1.49029547748128</v>
      </c>
      <c r="AH35">
        <v>6.4974242353924003E-2</v>
      </c>
      <c r="AI35">
        <v>0.16548680702399601</v>
      </c>
      <c r="AJ35">
        <v>1.4366268002729599E-2</v>
      </c>
      <c r="AK35">
        <v>6.02700096432015E-3</v>
      </c>
      <c r="AL35">
        <v>2.5091404401749201E-2</v>
      </c>
      <c r="AM35">
        <v>0</v>
      </c>
    </row>
    <row r="36" spans="1:39" customFormat="1" hidden="1" x14ac:dyDescent="0.3">
      <c r="A36" t="s">
        <v>2033</v>
      </c>
      <c r="B36" t="s">
        <v>30</v>
      </c>
      <c r="C36" t="s">
        <v>111</v>
      </c>
      <c r="D36" t="s">
        <v>141</v>
      </c>
      <c r="E36" t="s">
        <v>140</v>
      </c>
      <c r="F36" t="s">
        <v>592</v>
      </c>
      <c r="G36" t="s">
        <v>591</v>
      </c>
      <c r="H36" s="16">
        <v>9.5642049234863594E-2</v>
      </c>
      <c r="I36" s="11">
        <v>6.2161766856808499E-2</v>
      </c>
      <c r="J36" s="11">
        <v>6.9750207070927203E-2</v>
      </c>
      <c r="K36" s="11">
        <v>6.22488823496124E-2</v>
      </c>
      <c r="L36" s="11">
        <v>0.29716700785841599</v>
      </c>
      <c r="M36" s="11">
        <v>2.4842075377954399E-2</v>
      </c>
      <c r="N36" s="11">
        <v>0.20167759086950501</v>
      </c>
      <c r="O36" s="11">
        <v>6.7504219013688402E-2</v>
      </c>
      <c r="P36" s="11">
        <v>0.21726584513019001</v>
      </c>
      <c r="Q36" s="11">
        <v>0.43988672916723898</v>
      </c>
      <c r="R36" s="11">
        <v>0.28500258073203</v>
      </c>
      <c r="S36" s="11">
        <v>0.102020503632925</v>
      </c>
      <c r="T36" s="11">
        <v>0.19075028445217901</v>
      </c>
      <c r="U36">
        <v>8.5176284488790194E-2</v>
      </c>
      <c r="V36">
        <v>0.51686124263563105</v>
      </c>
      <c r="W36">
        <v>0.30134940530161602</v>
      </c>
      <c r="X36">
        <v>8.3515353976615705E-2</v>
      </c>
      <c r="Y36">
        <v>0.17266102835737901</v>
      </c>
      <c r="Z36">
        <v>0.152516522623284</v>
      </c>
      <c r="AA36">
        <v>0.112374702207039</v>
      </c>
      <c r="AB36">
        <v>4.5118209709438702E-3</v>
      </c>
      <c r="AC36">
        <v>5.7529124119085298E-2</v>
      </c>
      <c r="AD36">
        <v>6.2912865681031801E-3</v>
      </c>
      <c r="AE36">
        <v>6.5168924712742202E-2</v>
      </c>
      <c r="AF36">
        <v>4.53035336756267E-2</v>
      </c>
      <c r="AG36">
        <v>2.8163064141378601E-2</v>
      </c>
      <c r="AH36">
        <v>0.23669188286072301</v>
      </c>
      <c r="AI36">
        <v>6.20575526339983E-2</v>
      </c>
      <c r="AJ36">
        <v>2.51409690047768E-2</v>
      </c>
      <c r="AK36">
        <v>5.4243008678881398E-2</v>
      </c>
      <c r="AL36">
        <v>3.2260377087963303E-2</v>
      </c>
      <c r="AM36">
        <v>0</v>
      </c>
    </row>
    <row r="37" spans="1:39" customFormat="1" hidden="1" x14ac:dyDescent="0.3">
      <c r="A37" t="s">
        <v>1900</v>
      </c>
      <c r="B37" t="s">
        <v>30</v>
      </c>
      <c r="C37" t="s">
        <v>29</v>
      </c>
      <c r="D37" t="s">
        <v>28</v>
      </c>
      <c r="E37" t="s">
        <v>27</v>
      </c>
      <c r="F37" t="s">
        <v>61</v>
      </c>
      <c r="G37" t="s">
        <v>60</v>
      </c>
      <c r="H37" s="16">
        <v>6.2375249500998001E-2</v>
      </c>
      <c r="I37" s="11">
        <v>5.1192043293842297E-2</v>
      </c>
      <c r="J37" s="11">
        <v>3.9234491477396598E-2</v>
      </c>
      <c r="K37" s="11">
        <v>1.1317978609020399E-2</v>
      </c>
      <c r="L37" s="11">
        <v>1.3207422571485199E-2</v>
      </c>
      <c r="M37" s="11">
        <v>7.1332245013840598</v>
      </c>
      <c r="N37" s="11">
        <v>4.5835816106705798E-3</v>
      </c>
      <c r="O37" s="11">
        <v>0</v>
      </c>
      <c r="P37" s="11">
        <v>3.3947788301592198E-3</v>
      </c>
      <c r="Q37" s="11">
        <v>2.7492920572952501E-3</v>
      </c>
      <c r="R37" s="11">
        <v>4.4882296178272501E-3</v>
      </c>
      <c r="S37" s="11">
        <v>2.4883049666567102E-3</v>
      </c>
      <c r="T37" s="11">
        <v>0</v>
      </c>
      <c r="U37">
        <v>3.04201016031394E-3</v>
      </c>
      <c r="V37">
        <v>3.6144142841652502E-3</v>
      </c>
      <c r="W37">
        <v>0</v>
      </c>
      <c r="X37">
        <v>6.4242579982012105E-2</v>
      </c>
      <c r="Y37">
        <v>1.17058324310087E-2</v>
      </c>
      <c r="Z37">
        <v>2.22419928825623E-2</v>
      </c>
      <c r="AA37">
        <v>0.112374702207039</v>
      </c>
      <c r="AB37">
        <v>0</v>
      </c>
      <c r="AC37">
        <v>2.1573421544656999E-2</v>
      </c>
      <c r="AD37">
        <v>0</v>
      </c>
      <c r="AE37">
        <v>3.4299434059338E-3</v>
      </c>
      <c r="AF37">
        <v>6.0404711567502302E-2</v>
      </c>
      <c r="AG37">
        <v>7.0407660353446503E-3</v>
      </c>
      <c r="AH37">
        <v>9.2820346219891405E-3</v>
      </c>
      <c r="AI37">
        <v>1.14921393766664E-2</v>
      </c>
      <c r="AJ37">
        <v>0.12570484502388399</v>
      </c>
      <c r="AK37">
        <v>2.41080038572806E-2</v>
      </c>
      <c r="AL37">
        <v>7.1689726862140701E-2</v>
      </c>
      <c r="AM37">
        <v>0</v>
      </c>
    </row>
    <row r="38" spans="1:39" customFormat="1" hidden="1" x14ac:dyDescent="0.3">
      <c r="A38" t="s">
        <v>1945</v>
      </c>
      <c r="B38" t="s">
        <v>30</v>
      </c>
      <c r="C38" t="s">
        <v>1944</v>
      </c>
      <c r="D38" t="s">
        <v>1943</v>
      </c>
      <c r="E38" t="s">
        <v>1942</v>
      </c>
      <c r="F38" t="s">
        <v>1941</v>
      </c>
      <c r="G38" t="s">
        <v>1940</v>
      </c>
      <c r="H38" s="16">
        <v>3.32667997338656E-2</v>
      </c>
      <c r="I38" s="11">
        <v>3.2909170688898599E-2</v>
      </c>
      <c r="J38" s="11">
        <v>0</v>
      </c>
      <c r="K38" s="11">
        <v>1.1317978609020399E-2</v>
      </c>
      <c r="L38" s="11">
        <v>6.6037112857425901E-3</v>
      </c>
      <c r="M38" s="11">
        <v>3.5488679111363502E-3</v>
      </c>
      <c r="N38" s="11">
        <v>0.25668057019755203</v>
      </c>
      <c r="O38" s="11">
        <v>0.42377648603037699</v>
      </c>
      <c r="P38" s="11">
        <v>3.7342567131751402E-2</v>
      </c>
      <c r="Q38" s="11">
        <v>3.5740796744838203E-2</v>
      </c>
      <c r="R38" s="11">
        <v>0.103229281210027</v>
      </c>
      <c r="S38" s="11">
        <v>0.13436846819946299</v>
      </c>
      <c r="T38" s="11">
        <v>3.3464962184592703E-2</v>
      </c>
      <c r="U38">
        <v>3.04201016031394E-3</v>
      </c>
      <c r="V38">
        <v>1.4457657136661001E-2</v>
      </c>
      <c r="W38">
        <v>1.06672355858979E-2</v>
      </c>
      <c r="X38">
        <v>1.2848515996402399E-2</v>
      </c>
      <c r="Y38">
        <v>4.6823329724035002E-2</v>
      </c>
      <c r="Z38">
        <v>9.5322826639552601E-3</v>
      </c>
      <c r="AA38">
        <v>8.5404773677349805E-2</v>
      </c>
      <c r="AB38">
        <v>4.0606388738494897E-2</v>
      </c>
      <c r="AC38">
        <v>0.208543074931684</v>
      </c>
      <c r="AD38">
        <v>6.6058508965083404E-2</v>
      </c>
      <c r="AE38">
        <v>3.0869490653404202E-2</v>
      </c>
      <c r="AF38">
        <v>1.51011778918756E-2</v>
      </c>
      <c r="AG38">
        <v>9.3876880471262004E-3</v>
      </c>
      <c r="AH38">
        <v>4.6410173109945703E-3</v>
      </c>
      <c r="AI38">
        <v>4.5968557506665397E-3</v>
      </c>
      <c r="AJ38">
        <v>3.5915670006824003E-2</v>
      </c>
      <c r="AK38">
        <v>1.8081002892960499E-2</v>
      </c>
      <c r="AL38">
        <v>5.0182808803498499E-2</v>
      </c>
      <c r="AM38">
        <v>0</v>
      </c>
    </row>
    <row r="39" spans="1:39" customFormat="1" hidden="1" x14ac:dyDescent="0.3">
      <c r="A39" t="s">
        <v>1847</v>
      </c>
      <c r="B39" t="s">
        <v>30</v>
      </c>
      <c r="C39" t="s">
        <v>29</v>
      </c>
      <c r="D39" t="s">
        <v>28</v>
      </c>
      <c r="E39" t="s">
        <v>91</v>
      </c>
      <c r="F39" t="s">
        <v>90</v>
      </c>
      <c r="G39" t="s">
        <v>89</v>
      </c>
      <c r="H39" s="16">
        <v>0.33266799733865599</v>
      </c>
      <c r="I39" s="11">
        <v>0.20476817317536899</v>
      </c>
      <c r="J39" s="11">
        <v>0.24412572474824501</v>
      </c>
      <c r="K39" s="11">
        <v>0.47535510157885802</v>
      </c>
      <c r="L39" s="11">
        <v>0.402826388430298</v>
      </c>
      <c r="M39" s="11">
        <v>0.82333735538363295</v>
      </c>
      <c r="N39" s="11">
        <v>0.38502085529632901</v>
      </c>
      <c r="O39" s="11">
        <v>0.40877554847177899</v>
      </c>
      <c r="P39" s="11">
        <v>0.19350239331907501</v>
      </c>
      <c r="Q39" s="11">
        <v>6.8732301432381196E-2</v>
      </c>
      <c r="R39" s="11">
        <v>7.8544018311976799E-2</v>
      </c>
      <c r="S39" s="11">
        <v>7.4649148999701397E-3</v>
      </c>
      <c r="T39" s="11">
        <v>1.33859848738371E-2</v>
      </c>
      <c r="U39">
        <v>1.8252060961883601E-2</v>
      </c>
      <c r="V39">
        <v>0</v>
      </c>
      <c r="W39">
        <v>2.4001280068270299E-2</v>
      </c>
      <c r="X39">
        <v>3.2121289991005997E-2</v>
      </c>
      <c r="Y39">
        <v>5.8529162155043701E-3</v>
      </c>
      <c r="Z39">
        <v>2.8596847991865799E-2</v>
      </c>
      <c r="AA39">
        <v>8.0909785589068195E-2</v>
      </c>
      <c r="AB39">
        <v>0</v>
      </c>
      <c r="AC39">
        <v>7.1911405148856597E-3</v>
      </c>
      <c r="AD39">
        <v>0</v>
      </c>
      <c r="AE39">
        <v>0</v>
      </c>
      <c r="AF39">
        <v>1.51011778918756E-2</v>
      </c>
      <c r="AG39">
        <v>0</v>
      </c>
      <c r="AH39">
        <v>4.6410173109945703E-3</v>
      </c>
      <c r="AI39">
        <v>2.2984278753332699E-3</v>
      </c>
      <c r="AJ39">
        <v>5.3873505010236002E-2</v>
      </c>
      <c r="AK39">
        <v>1.20540019286403E-2</v>
      </c>
      <c r="AL39">
        <v>4.3013836117284397E-2</v>
      </c>
      <c r="AM39">
        <v>0</v>
      </c>
    </row>
    <row r="40" spans="1:39" customFormat="1" hidden="1" x14ac:dyDescent="0.3">
      <c r="A40" t="s">
        <v>1975</v>
      </c>
      <c r="B40" t="s">
        <v>30</v>
      </c>
      <c r="C40" t="s">
        <v>111</v>
      </c>
      <c r="D40" t="s">
        <v>141</v>
      </c>
      <c r="E40" t="s">
        <v>140</v>
      </c>
      <c r="F40" t="s">
        <v>199</v>
      </c>
      <c r="G40" t="s">
        <v>198</v>
      </c>
      <c r="H40" s="16">
        <v>0.33266799733865599</v>
      </c>
      <c r="I40" s="11">
        <v>0.42050606991370498</v>
      </c>
      <c r="J40" s="11">
        <v>0.353110423296569</v>
      </c>
      <c r="K40" s="11">
        <v>0.72435063097730701</v>
      </c>
      <c r="L40" s="11">
        <v>0.125470514429109</v>
      </c>
      <c r="M40" s="11">
        <v>0.33714245155795303</v>
      </c>
      <c r="N40" s="11">
        <v>0.40335518173901103</v>
      </c>
      <c r="O40" s="11">
        <v>0.55503468966810399</v>
      </c>
      <c r="P40" s="11">
        <v>0.356451777166718</v>
      </c>
      <c r="Q40" s="11">
        <v>4.6737964974019199E-2</v>
      </c>
      <c r="R40" s="11">
        <v>1.7952918471309001E-2</v>
      </c>
      <c r="S40" s="11">
        <v>7.4649148999701397E-3</v>
      </c>
      <c r="T40" s="11">
        <v>6.0236931932266903E-2</v>
      </c>
      <c r="U40">
        <v>2.4336081282511499E-2</v>
      </c>
      <c r="V40">
        <v>7.2288285683305004E-2</v>
      </c>
      <c r="W40">
        <v>5.8669795722438502E-2</v>
      </c>
      <c r="X40">
        <v>1.2848515996402399E-2</v>
      </c>
      <c r="Y40">
        <v>8.7793743232565599E-2</v>
      </c>
      <c r="Z40">
        <v>4.4483985765124599E-2</v>
      </c>
      <c r="AA40">
        <v>7.1919809412505101E-2</v>
      </c>
      <c r="AB40">
        <v>4.5118209709438702E-3</v>
      </c>
      <c r="AC40">
        <v>3.5955702574428303E-2</v>
      </c>
      <c r="AD40">
        <v>0</v>
      </c>
      <c r="AE40">
        <v>1.02898302178014E-2</v>
      </c>
      <c r="AF40">
        <v>2.0134903855834101E-2</v>
      </c>
      <c r="AG40">
        <v>4.6938440235631002E-3</v>
      </c>
      <c r="AH40">
        <v>1.8564069243978298E-2</v>
      </c>
      <c r="AI40">
        <v>4.5968557506665397E-3</v>
      </c>
      <c r="AJ40">
        <v>2.1549402004094401E-2</v>
      </c>
      <c r="AK40">
        <v>6.02700096432015E-3</v>
      </c>
      <c r="AL40">
        <v>1.43379453724281E-2</v>
      </c>
      <c r="AM40">
        <v>0</v>
      </c>
    </row>
    <row r="41" spans="1:39" customFormat="1" hidden="1" x14ac:dyDescent="0.3">
      <c r="A41" t="s">
        <v>1935</v>
      </c>
      <c r="B41" t="s">
        <v>30</v>
      </c>
      <c r="C41" t="s">
        <v>111</v>
      </c>
      <c r="D41" t="s">
        <v>141</v>
      </c>
      <c r="E41" t="s">
        <v>140</v>
      </c>
      <c r="F41" t="s">
        <v>592</v>
      </c>
      <c r="G41" t="s">
        <v>1642</v>
      </c>
      <c r="H41" s="16">
        <v>2.4950099800399202E-2</v>
      </c>
      <c r="I41" s="11">
        <v>0.74228462776071402</v>
      </c>
      <c r="J41" s="11">
        <v>0.62339247569641199</v>
      </c>
      <c r="K41" s="11">
        <v>0.79791749193593997</v>
      </c>
      <c r="L41" s="11">
        <v>2.2914878161526802</v>
      </c>
      <c r="M41" s="11">
        <v>0.63524735609340599</v>
      </c>
      <c r="N41" s="11">
        <v>1.4300774625292201</v>
      </c>
      <c r="O41" s="11">
        <v>0.75004687792987101</v>
      </c>
      <c r="P41" s="11">
        <v>0.61445496825881796</v>
      </c>
      <c r="Q41" s="11">
        <v>7.9729469661562094E-2</v>
      </c>
      <c r="R41" s="11">
        <v>5.16146406050133E-2</v>
      </c>
      <c r="S41" s="11">
        <v>2.4883049666567102E-3</v>
      </c>
      <c r="T41" s="11">
        <v>0</v>
      </c>
      <c r="U41">
        <v>6.0840203206278696E-3</v>
      </c>
      <c r="V41">
        <v>7.2288285683305004E-3</v>
      </c>
      <c r="W41">
        <v>1.33340444823724E-2</v>
      </c>
      <c r="X41">
        <v>4.4969805987408497E-2</v>
      </c>
      <c r="Y41">
        <v>1.46322905387609E-2</v>
      </c>
      <c r="Z41">
        <v>7.9435688866293805E-2</v>
      </c>
      <c r="AA41">
        <v>7.1919809412505101E-2</v>
      </c>
      <c r="AB41">
        <v>1.8047283883775501E-2</v>
      </c>
      <c r="AC41">
        <v>2.87645620595426E-2</v>
      </c>
      <c r="AD41">
        <v>9.4369298521547705E-3</v>
      </c>
      <c r="AE41">
        <v>3.4299434059338E-3</v>
      </c>
      <c r="AF41">
        <v>5.5370985603543699E-2</v>
      </c>
      <c r="AG41">
        <v>9.3876880471262004E-3</v>
      </c>
      <c r="AH41">
        <v>2.7846103865967399E-2</v>
      </c>
      <c r="AI41">
        <v>2.2984278753332699E-3</v>
      </c>
      <c r="AJ41">
        <v>2.8732536005459199E-2</v>
      </c>
      <c r="AK41">
        <v>1.20540019286403E-2</v>
      </c>
      <c r="AL41">
        <v>2.8675890744856301E-2</v>
      </c>
      <c r="AM41">
        <v>0</v>
      </c>
    </row>
    <row r="42" spans="1:39" customFormat="1" hidden="1" x14ac:dyDescent="0.3">
      <c r="A42" t="s">
        <v>2080</v>
      </c>
      <c r="B42" t="s">
        <v>30</v>
      </c>
      <c r="C42" t="s">
        <v>35</v>
      </c>
      <c r="D42" t="s">
        <v>35</v>
      </c>
      <c r="E42" t="s">
        <v>240</v>
      </c>
      <c r="F42" t="s">
        <v>243</v>
      </c>
      <c r="G42" t="s">
        <v>2079</v>
      </c>
      <c r="H42" s="16">
        <v>0</v>
      </c>
      <c r="I42" s="11">
        <v>0</v>
      </c>
      <c r="J42" s="11">
        <v>4.3593879419329502E-3</v>
      </c>
      <c r="K42" s="11">
        <v>0</v>
      </c>
      <c r="L42" s="11">
        <v>0</v>
      </c>
      <c r="M42" s="11">
        <v>0</v>
      </c>
      <c r="N42" s="11">
        <v>4.1252234496035198E-2</v>
      </c>
      <c r="O42" s="11">
        <v>1.50009375585974E-2</v>
      </c>
      <c r="P42" s="11">
        <v>1.01843364904776E-2</v>
      </c>
      <c r="Q42" s="11">
        <v>4.3988672916723898E-2</v>
      </c>
      <c r="R42" s="11">
        <v>0.114449855254595</v>
      </c>
      <c r="S42" s="11">
        <v>4.9766099333134299E-3</v>
      </c>
      <c r="T42" s="11">
        <v>6.69299243691855E-3</v>
      </c>
      <c r="U42">
        <v>3.9546132084081198E-2</v>
      </c>
      <c r="V42">
        <v>1.62648642787436</v>
      </c>
      <c r="W42">
        <v>1.9227692143581001</v>
      </c>
      <c r="X42">
        <v>2.5697031992804799E-2</v>
      </c>
      <c r="Y42">
        <v>0.88379034854116101</v>
      </c>
      <c r="Z42">
        <v>0.39717844433146898</v>
      </c>
      <c r="AA42">
        <v>6.2929833235941895E-2</v>
      </c>
      <c r="AB42">
        <v>2.2559104854719399E-2</v>
      </c>
      <c r="AC42">
        <v>0.65439378685459504</v>
      </c>
      <c r="AD42">
        <v>1.5728216420257901E-2</v>
      </c>
      <c r="AE42">
        <v>12.478134110787201</v>
      </c>
      <c r="AF42">
        <v>0.86580086580086602</v>
      </c>
      <c r="AG42">
        <v>0.49285362247412501</v>
      </c>
      <c r="AH42">
        <v>0.15779458857381501</v>
      </c>
      <c r="AI42">
        <v>0.314884618920658</v>
      </c>
      <c r="AJ42">
        <v>8.6197608016377505E-2</v>
      </c>
      <c r="AK42">
        <v>3.0135004821600801E-2</v>
      </c>
      <c r="AL42">
        <v>1.43379453724281E-2</v>
      </c>
      <c r="AM42">
        <v>0</v>
      </c>
    </row>
    <row r="43" spans="1:39" customFormat="1" hidden="1" x14ac:dyDescent="0.3">
      <c r="A43" t="s">
        <v>1932</v>
      </c>
      <c r="B43" t="s">
        <v>30</v>
      </c>
      <c r="C43" t="s">
        <v>526</v>
      </c>
      <c r="D43" t="s">
        <v>525</v>
      </c>
      <c r="E43" t="s">
        <v>524</v>
      </c>
      <c r="F43" t="s">
        <v>523</v>
      </c>
      <c r="G43" t="s">
        <v>1143</v>
      </c>
      <c r="H43" s="16">
        <v>0.16217564870259499</v>
      </c>
      <c r="I43" s="11">
        <v>0.23402076934327901</v>
      </c>
      <c r="J43" s="11">
        <v>1.7437551767731801E-2</v>
      </c>
      <c r="K43" s="11">
        <v>1.1317978609020399E-2</v>
      </c>
      <c r="L43" s="11">
        <v>9.2451958000396198E-2</v>
      </c>
      <c r="M43" s="11">
        <v>0</v>
      </c>
      <c r="N43" s="11">
        <v>4.5835816106705798E-2</v>
      </c>
      <c r="O43" s="11">
        <v>2.6251640727545499E-2</v>
      </c>
      <c r="P43" s="11">
        <v>1.6973894150796101E-2</v>
      </c>
      <c r="Q43" s="11">
        <v>1.0997168229181E-2</v>
      </c>
      <c r="R43" s="11">
        <v>2.0197033280222602E-2</v>
      </c>
      <c r="S43" s="11">
        <v>1.4208221359609801</v>
      </c>
      <c r="T43" s="11">
        <v>6.69299243691855E-3</v>
      </c>
      <c r="U43">
        <v>5.1714172725336897E-2</v>
      </c>
      <c r="V43">
        <v>1.8072071420826299E-2</v>
      </c>
      <c r="W43">
        <v>1.6000853378846901E-2</v>
      </c>
      <c r="X43">
        <v>5.1394063985609702E-2</v>
      </c>
      <c r="Y43">
        <v>0</v>
      </c>
      <c r="Z43">
        <v>9.5322826639552601E-3</v>
      </c>
      <c r="AA43">
        <v>5.3939857059378801E-2</v>
      </c>
      <c r="AB43">
        <v>0</v>
      </c>
      <c r="AC43">
        <v>0</v>
      </c>
      <c r="AD43">
        <v>0</v>
      </c>
      <c r="AE43">
        <v>6.8598868118676E-3</v>
      </c>
      <c r="AF43">
        <v>0</v>
      </c>
      <c r="AG43">
        <v>0</v>
      </c>
      <c r="AH43">
        <v>1.39230519329837E-2</v>
      </c>
      <c r="AI43">
        <v>4.5968557506665397E-3</v>
      </c>
      <c r="AJ43">
        <v>3.2324103006141601E-2</v>
      </c>
      <c r="AK43">
        <v>9.04050144648023E-2</v>
      </c>
      <c r="AL43">
        <v>5.3767295146605498E-2</v>
      </c>
      <c r="AM43">
        <v>0</v>
      </c>
    </row>
    <row r="44" spans="1:39" customFormat="1" hidden="1" x14ac:dyDescent="0.3">
      <c r="A44" t="s">
        <v>1880</v>
      </c>
      <c r="B44" t="s">
        <v>30</v>
      </c>
      <c r="C44" t="s">
        <v>81</v>
      </c>
      <c r="D44" t="s">
        <v>85</v>
      </c>
      <c r="E44" t="s">
        <v>314</v>
      </c>
      <c r="F44" t="s">
        <v>313</v>
      </c>
      <c r="G44" t="s">
        <v>312</v>
      </c>
      <c r="H44" s="16">
        <v>0.35345974717232198</v>
      </c>
      <c r="I44" s="11">
        <v>0.56311247623226601</v>
      </c>
      <c r="J44" s="11">
        <v>0.23104756092244599</v>
      </c>
      <c r="K44" s="11">
        <v>0.52628600531945002</v>
      </c>
      <c r="L44" s="11">
        <v>1.2547051442910899</v>
      </c>
      <c r="M44" s="11">
        <v>0.70267584640499703</v>
      </c>
      <c r="N44" s="11">
        <v>0.866296924416739</v>
      </c>
      <c r="O44" s="11">
        <v>0.82130133133320804</v>
      </c>
      <c r="P44" s="11">
        <v>2.37634518111145E-2</v>
      </c>
      <c r="Q44" s="11">
        <v>5.7735133203200201E-2</v>
      </c>
      <c r="R44" s="11">
        <v>7.4055788694149596E-2</v>
      </c>
      <c r="S44" s="11">
        <v>1.7418134766596999E-2</v>
      </c>
      <c r="T44" s="11">
        <v>3.01184659661335E-2</v>
      </c>
      <c r="U44">
        <v>6.6924223526906607E-2</v>
      </c>
      <c r="V44">
        <v>2.53008999891568E-2</v>
      </c>
      <c r="W44">
        <v>2.13344711717958E-2</v>
      </c>
      <c r="X44">
        <v>4.4969805987408497E-2</v>
      </c>
      <c r="Y44">
        <v>5.8529162155043701E-3</v>
      </c>
      <c r="Z44">
        <v>1.58871377732588E-2</v>
      </c>
      <c r="AA44">
        <v>5.3939857059378801E-2</v>
      </c>
      <c r="AB44">
        <v>0</v>
      </c>
      <c r="AC44">
        <v>7.1911405148856597E-3</v>
      </c>
      <c r="AD44">
        <v>6.2912865681031801E-3</v>
      </c>
      <c r="AE44">
        <v>3.4299434059338E-3</v>
      </c>
      <c r="AF44">
        <v>5.03372596395852E-3</v>
      </c>
      <c r="AG44">
        <v>0</v>
      </c>
      <c r="AH44">
        <v>4.6410173109945703E-3</v>
      </c>
      <c r="AI44">
        <v>0</v>
      </c>
      <c r="AJ44">
        <v>2.1549402004094401E-2</v>
      </c>
      <c r="AK44">
        <v>6.0270009643201498E-2</v>
      </c>
      <c r="AL44">
        <v>3.2260377087963303E-2</v>
      </c>
      <c r="AM44">
        <v>0</v>
      </c>
    </row>
    <row r="45" spans="1:39" customFormat="1" hidden="1" x14ac:dyDescent="0.3">
      <c r="A45" t="s">
        <v>2059</v>
      </c>
      <c r="B45" t="s">
        <v>30</v>
      </c>
      <c r="C45" t="s">
        <v>264</v>
      </c>
      <c r="D45" t="s">
        <v>263</v>
      </c>
      <c r="E45" t="s">
        <v>262</v>
      </c>
      <c r="F45" t="s">
        <v>261</v>
      </c>
      <c r="G45" t="s">
        <v>260</v>
      </c>
      <c r="H45" s="16">
        <v>0.62791084497671301</v>
      </c>
      <c r="I45" s="11">
        <v>0.13529325727658301</v>
      </c>
      <c r="J45" s="11">
        <v>2.0227560050568898</v>
      </c>
      <c r="K45" s="11">
        <v>2.5748401335521498</v>
      </c>
      <c r="L45" s="11">
        <v>0.53490061414515</v>
      </c>
      <c r="M45" s="11">
        <v>0.564269997870679</v>
      </c>
      <c r="N45" s="11">
        <v>0.10083879543475301</v>
      </c>
      <c r="O45" s="11">
        <v>6.7504219013688402E-2</v>
      </c>
      <c r="P45" s="11">
        <v>2.37634518111145E-2</v>
      </c>
      <c r="Q45" s="11">
        <v>1.0997168229181E-2</v>
      </c>
      <c r="R45" s="11">
        <v>4.4882296178272501E-3</v>
      </c>
      <c r="S45" s="11">
        <v>1.9906439733253699E-2</v>
      </c>
      <c r="T45" s="11">
        <v>2.34254735292149E-2</v>
      </c>
      <c r="U45">
        <v>5.1714172725336897E-2</v>
      </c>
      <c r="V45">
        <v>0.14819098565077499</v>
      </c>
      <c r="W45">
        <v>2.9334897861219299E-2</v>
      </c>
      <c r="X45">
        <v>1.2848515996402399E-2</v>
      </c>
      <c r="Y45">
        <v>0.105352491879079</v>
      </c>
      <c r="Z45">
        <v>2.22419928825623E-2</v>
      </c>
      <c r="AA45">
        <v>4.9444868971097199E-2</v>
      </c>
      <c r="AB45">
        <v>0</v>
      </c>
      <c r="AC45">
        <v>8.6293686178627899E-2</v>
      </c>
      <c r="AD45">
        <v>1.25825731362064E-2</v>
      </c>
      <c r="AE45">
        <v>9.6038415366146504E-2</v>
      </c>
      <c r="AF45">
        <v>5.03372596395852E-3</v>
      </c>
      <c r="AG45">
        <v>0</v>
      </c>
      <c r="AH45">
        <v>1.39230519329837E-2</v>
      </c>
      <c r="AI45">
        <v>3.4476418129999097E-2</v>
      </c>
      <c r="AJ45">
        <v>0.100563876019107</v>
      </c>
      <c r="AK45">
        <v>4.21890067502411E-2</v>
      </c>
      <c r="AL45">
        <v>0.16488637178292401</v>
      </c>
      <c r="AM45">
        <v>0</v>
      </c>
    </row>
    <row r="46" spans="1:39" customFormat="1" hidden="1" x14ac:dyDescent="0.3">
      <c r="A46" t="s">
        <v>2019</v>
      </c>
      <c r="B46" t="s">
        <v>30</v>
      </c>
      <c r="C46" t="s">
        <v>81</v>
      </c>
      <c r="D46" t="s">
        <v>80</v>
      </c>
      <c r="E46" t="s">
        <v>642</v>
      </c>
      <c r="F46" t="s">
        <v>645</v>
      </c>
      <c r="G46" t="s">
        <v>644</v>
      </c>
      <c r="H46" s="16">
        <v>0.71939454424484395</v>
      </c>
      <c r="I46" s="11">
        <v>0.61064794500511899</v>
      </c>
      <c r="J46" s="11">
        <v>0.53184532891582004</v>
      </c>
      <c r="K46" s="11">
        <v>0.311244411748062</v>
      </c>
      <c r="L46" s="11">
        <v>0.43584494485901099</v>
      </c>
      <c r="M46" s="11">
        <v>8.5172829867272301E-2</v>
      </c>
      <c r="N46" s="11">
        <v>0.31626713113626997</v>
      </c>
      <c r="O46" s="11">
        <v>0.33752109506844202</v>
      </c>
      <c r="P46" s="11">
        <v>0.230844960450827</v>
      </c>
      <c r="Q46" s="11">
        <v>0.31341929453165801</v>
      </c>
      <c r="R46" s="11">
        <v>0.27153789187854899</v>
      </c>
      <c r="S46" s="11">
        <v>4.9766099333134299E-2</v>
      </c>
      <c r="T46" s="11">
        <v>9.7048390335318896E-2</v>
      </c>
      <c r="U46">
        <v>0.19468865026009199</v>
      </c>
      <c r="V46">
        <v>6.5059457114974503E-2</v>
      </c>
      <c r="W46">
        <v>3.2001706757693697E-2</v>
      </c>
      <c r="X46">
        <v>2.5697031992804799E-2</v>
      </c>
      <c r="Y46">
        <v>0</v>
      </c>
      <c r="Z46">
        <v>0</v>
      </c>
      <c r="AA46">
        <v>4.9444868971097199E-2</v>
      </c>
      <c r="AB46">
        <v>0.35643385670456601</v>
      </c>
      <c r="AC46">
        <v>5.0337983604199603E-2</v>
      </c>
      <c r="AD46">
        <v>0.512739855300409</v>
      </c>
      <c r="AE46">
        <v>5.48790944949408E-2</v>
      </c>
      <c r="AF46">
        <v>0</v>
      </c>
      <c r="AG46">
        <v>2.3469220117815501E-3</v>
      </c>
      <c r="AH46">
        <v>4.6410173109945703E-3</v>
      </c>
      <c r="AI46">
        <v>2.2984278753332699E-3</v>
      </c>
      <c r="AJ46">
        <v>0</v>
      </c>
      <c r="AK46">
        <v>0</v>
      </c>
      <c r="AL46">
        <v>0</v>
      </c>
      <c r="AM46">
        <v>0</v>
      </c>
    </row>
    <row r="47" spans="1:39" customFormat="1" hidden="1" x14ac:dyDescent="0.3">
      <c r="A47" t="s">
        <v>1996</v>
      </c>
      <c r="B47" t="s">
        <v>30</v>
      </c>
      <c r="C47" t="s">
        <v>29</v>
      </c>
      <c r="D47" t="s">
        <v>28</v>
      </c>
      <c r="E47" t="s">
        <v>27</v>
      </c>
      <c r="F47" t="s">
        <v>26</v>
      </c>
      <c r="G47" t="s">
        <v>25</v>
      </c>
      <c r="H47" s="16">
        <v>0.249500998003992</v>
      </c>
      <c r="I47" s="11">
        <v>0.32543513236799798</v>
      </c>
      <c r="J47" s="11">
        <v>0.126422250316056</v>
      </c>
      <c r="K47" s="11">
        <v>4.5271914436081702E-2</v>
      </c>
      <c r="L47" s="11">
        <v>0.20471504985802</v>
      </c>
      <c r="M47" s="11">
        <v>1.4195471644545401E-2</v>
      </c>
      <c r="N47" s="11">
        <v>9.62552138240821E-2</v>
      </c>
      <c r="O47" s="11">
        <v>3.00018751171948E-2</v>
      </c>
      <c r="P47" s="11">
        <v>4.41321247920698E-2</v>
      </c>
      <c r="Q47" s="11">
        <v>2.4743628515657201E-2</v>
      </c>
      <c r="R47" s="11">
        <v>6.28352146495815E-2</v>
      </c>
      <c r="S47" s="11">
        <v>1.7592316114263</v>
      </c>
      <c r="T47" s="11">
        <v>3.6811458403052E-2</v>
      </c>
      <c r="U47">
        <v>1.8252060961883601E-2</v>
      </c>
      <c r="V47">
        <v>1.4457657136661001E-2</v>
      </c>
      <c r="W47">
        <v>8.0004266894234399E-2</v>
      </c>
      <c r="X47">
        <v>1.2848515996402399E-2</v>
      </c>
      <c r="Y47">
        <v>1.17058324310087E-2</v>
      </c>
      <c r="Z47">
        <v>0.101677681748856</v>
      </c>
      <c r="AA47">
        <v>4.9444868971097199E-2</v>
      </c>
      <c r="AB47">
        <v>9.0236419418877507E-3</v>
      </c>
      <c r="AC47">
        <v>7.1911405148856597E-3</v>
      </c>
      <c r="AD47">
        <v>3.14564328405159E-3</v>
      </c>
      <c r="AE47">
        <v>3.4299434059338E-3</v>
      </c>
      <c r="AF47">
        <v>7.5505889459377806E-2</v>
      </c>
      <c r="AG47">
        <v>1.1734610058907699E-2</v>
      </c>
      <c r="AH47">
        <v>4.6410173109945703E-3</v>
      </c>
      <c r="AI47">
        <v>1.6088995127332899E-2</v>
      </c>
      <c r="AJ47">
        <v>7.1831340013648007E-2</v>
      </c>
      <c r="AK47">
        <v>1.8081002892960499E-2</v>
      </c>
      <c r="AL47">
        <v>3.2260377087963303E-2</v>
      </c>
      <c r="AM47">
        <v>0</v>
      </c>
    </row>
    <row r="48" spans="1:39" customFormat="1" hidden="1" x14ac:dyDescent="0.3">
      <c r="A48" t="s">
        <v>1894</v>
      </c>
      <c r="B48" t="s">
        <v>30</v>
      </c>
      <c r="C48" t="s">
        <v>111</v>
      </c>
      <c r="D48" t="s">
        <v>141</v>
      </c>
      <c r="E48" t="s">
        <v>140</v>
      </c>
      <c r="F48" t="s">
        <v>607</v>
      </c>
      <c r="G48" t="s">
        <v>606</v>
      </c>
      <c r="H48" s="16">
        <v>0</v>
      </c>
      <c r="I48" s="11">
        <v>0</v>
      </c>
      <c r="J48" s="11">
        <v>0</v>
      </c>
      <c r="K48" s="11">
        <v>0</v>
      </c>
      <c r="L48" s="11">
        <v>0</v>
      </c>
      <c r="M48" s="11">
        <v>0</v>
      </c>
      <c r="N48" s="11">
        <v>0</v>
      </c>
      <c r="O48" s="11">
        <v>0</v>
      </c>
      <c r="P48" s="11">
        <v>0</v>
      </c>
      <c r="Q48" s="11">
        <v>0</v>
      </c>
      <c r="R48" s="11">
        <v>0</v>
      </c>
      <c r="S48" s="11">
        <v>0.36826913506519399</v>
      </c>
      <c r="T48" s="11">
        <v>2.67719697476742E-2</v>
      </c>
      <c r="U48">
        <v>6.0840203206278698E-2</v>
      </c>
      <c r="V48">
        <v>2.1686485704991501E-2</v>
      </c>
      <c r="W48">
        <v>0</v>
      </c>
      <c r="X48">
        <v>5.1394063985609702E-2</v>
      </c>
      <c r="Y48">
        <v>2.6338122969769701E-2</v>
      </c>
      <c r="Z48">
        <v>0</v>
      </c>
      <c r="AA48">
        <v>4.9444868971097199E-2</v>
      </c>
      <c r="AB48">
        <v>4.5118209709438702E-3</v>
      </c>
      <c r="AC48">
        <v>1.43822810297713E-2</v>
      </c>
      <c r="AD48">
        <v>0</v>
      </c>
      <c r="AE48">
        <v>0</v>
      </c>
      <c r="AF48">
        <v>0</v>
      </c>
      <c r="AG48">
        <v>0</v>
      </c>
      <c r="AH48">
        <v>1.39230519329837E-2</v>
      </c>
      <c r="AI48">
        <v>0</v>
      </c>
      <c r="AJ48">
        <v>1.4366268002729599E-2</v>
      </c>
      <c r="AK48">
        <v>1.20540019286403E-2</v>
      </c>
      <c r="AL48">
        <v>1.79224317155352E-2</v>
      </c>
      <c r="AM48">
        <v>0</v>
      </c>
    </row>
    <row r="49" spans="1:39" customFormat="1" hidden="1" x14ac:dyDescent="0.3">
      <c r="A49" t="s">
        <v>2003</v>
      </c>
      <c r="B49" t="s">
        <v>30</v>
      </c>
      <c r="C49" t="s">
        <v>29</v>
      </c>
      <c r="D49" t="s">
        <v>28</v>
      </c>
      <c r="E49" t="s">
        <v>27</v>
      </c>
      <c r="F49" t="s">
        <v>160</v>
      </c>
      <c r="G49" t="s">
        <v>233</v>
      </c>
      <c r="H49" s="16">
        <v>5.8216899534264802E-2</v>
      </c>
      <c r="I49" s="11">
        <v>5.85051923358198E-2</v>
      </c>
      <c r="J49" s="11">
        <v>7.8468982954793196E-2</v>
      </c>
      <c r="K49" s="11">
        <v>5.6589893045102101E-3</v>
      </c>
      <c r="L49" s="11">
        <v>0.21792247242950499</v>
      </c>
      <c r="M49" s="11">
        <v>3.5488679111363502E-3</v>
      </c>
      <c r="N49" s="11">
        <v>1.8334326442682299E-2</v>
      </c>
      <c r="O49" s="11">
        <v>3.75023438964935E-3</v>
      </c>
      <c r="P49" s="11">
        <v>0.10523814373493599</v>
      </c>
      <c r="Q49" s="11">
        <v>5.4985841145904898E-3</v>
      </c>
      <c r="R49" s="11">
        <v>1.12205740445681E-2</v>
      </c>
      <c r="S49" s="11">
        <v>8.9578978799641704E-2</v>
      </c>
      <c r="T49" s="11">
        <v>3.3464962184592698E-3</v>
      </c>
      <c r="U49">
        <v>2.12940711221975E-2</v>
      </c>
      <c r="V49">
        <v>6.1445042830809302E-2</v>
      </c>
      <c r="W49">
        <v>0.10933916475545399</v>
      </c>
      <c r="X49">
        <v>2.5697031992804799E-2</v>
      </c>
      <c r="Y49">
        <v>0.11998478241784</v>
      </c>
      <c r="Z49">
        <v>0.152516522623284</v>
      </c>
      <c r="AA49">
        <v>4.49498808828157E-2</v>
      </c>
      <c r="AB49">
        <v>3.1582746796607102E-2</v>
      </c>
      <c r="AC49">
        <v>5.7529124119085298E-2</v>
      </c>
      <c r="AD49">
        <v>6.9204152249134898E-2</v>
      </c>
      <c r="AE49">
        <v>0.116618075801749</v>
      </c>
      <c r="AF49">
        <v>0.12080942313500501</v>
      </c>
      <c r="AG49">
        <v>0.119693022600859</v>
      </c>
      <c r="AH49">
        <v>0.125307467396853</v>
      </c>
      <c r="AI49">
        <v>0.25282706628666002</v>
      </c>
      <c r="AJ49">
        <v>2.8732536005459199E-2</v>
      </c>
      <c r="AK49">
        <v>3.6162005785920902E-2</v>
      </c>
      <c r="AL49">
        <v>3.9429349774177398E-2</v>
      </c>
      <c r="AM49">
        <v>0</v>
      </c>
    </row>
    <row r="50" spans="1:39" customFormat="1" hidden="1" x14ac:dyDescent="0.3">
      <c r="A50" t="s">
        <v>1899</v>
      </c>
      <c r="B50" t="s">
        <v>30</v>
      </c>
      <c r="C50" t="s">
        <v>111</v>
      </c>
      <c r="D50" t="s">
        <v>141</v>
      </c>
      <c r="E50" t="s">
        <v>140</v>
      </c>
      <c r="F50" t="s">
        <v>592</v>
      </c>
      <c r="G50" t="s">
        <v>1898</v>
      </c>
      <c r="H50" s="16">
        <v>0.49484364604125097</v>
      </c>
      <c r="I50" s="11">
        <v>0.72034518063478103</v>
      </c>
      <c r="J50" s="11">
        <v>0.39670430271589902</v>
      </c>
      <c r="K50" s="11">
        <v>0.582875898364552</v>
      </c>
      <c r="L50" s="11">
        <v>0.16509278214356499</v>
      </c>
      <c r="M50" s="11">
        <v>0.220029810490454</v>
      </c>
      <c r="N50" s="11">
        <v>0.22459549892285799</v>
      </c>
      <c r="O50" s="11">
        <v>0.120007500468779</v>
      </c>
      <c r="P50" s="11">
        <v>0.13918593203652799</v>
      </c>
      <c r="Q50" s="11">
        <v>6.3233717317790705E-2</v>
      </c>
      <c r="R50" s="11">
        <v>5.3858755413926998E-2</v>
      </c>
      <c r="S50" s="11">
        <v>9.9532198666268494E-3</v>
      </c>
      <c r="T50" s="11">
        <v>3.3464962184592698E-3</v>
      </c>
      <c r="U50">
        <v>3.04201016031394E-3</v>
      </c>
      <c r="V50">
        <v>7.2288285683305004E-3</v>
      </c>
      <c r="W50">
        <v>5.60029868259641E-2</v>
      </c>
      <c r="X50">
        <v>4.4969805987408497E-2</v>
      </c>
      <c r="Y50">
        <v>5.2676245939539401E-2</v>
      </c>
      <c r="Z50">
        <v>8.2613116420945598E-2</v>
      </c>
      <c r="AA50">
        <v>4.49498808828157E-2</v>
      </c>
      <c r="AB50">
        <v>1.35354629128316E-2</v>
      </c>
      <c r="AC50">
        <v>8.6293686178627899E-2</v>
      </c>
      <c r="AD50">
        <v>6.2912865681031801E-3</v>
      </c>
      <c r="AE50">
        <v>3.4299434059338E-3</v>
      </c>
      <c r="AF50">
        <v>5.03372596395852E-3</v>
      </c>
      <c r="AG50">
        <v>7.0407660353446503E-3</v>
      </c>
      <c r="AH50">
        <v>4.6410173109945703E-3</v>
      </c>
      <c r="AI50">
        <v>0</v>
      </c>
      <c r="AJ50">
        <v>0</v>
      </c>
      <c r="AK50">
        <v>2.41080038572806E-2</v>
      </c>
      <c r="AL50">
        <v>1.79224317155352E-2</v>
      </c>
      <c r="AM50">
        <v>0</v>
      </c>
    </row>
    <row r="51" spans="1:39" customFormat="1" hidden="1" x14ac:dyDescent="0.3">
      <c r="A51" t="s">
        <v>1882</v>
      </c>
      <c r="B51" t="s">
        <v>30</v>
      </c>
      <c r="C51" t="s">
        <v>111</v>
      </c>
      <c r="D51" t="s">
        <v>141</v>
      </c>
      <c r="E51" t="s">
        <v>140</v>
      </c>
      <c r="F51" t="s">
        <v>592</v>
      </c>
      <c r="G51" t="s">
        <v>1881</v>
      </c>
      <c r="H51" s="16">
        <v>0.15801729873586201</v>
      </c>
      <c r="I51" s="11">
        <v>0.12798010823460601</v>
      </c>
      <c r="J51" s="11">
        <v>0.33567287152883701</v>
      </c>
      <c r="K51" s="11">
        <v>0.113179786090204</v>
      </c>
      <c r="L51" s="11">
        <v>0.64716370600277395</v>
      </c>
      <c r="M51" s="11">
        <v>5.6781886578181603E-2</v>
      </c>
      <c r="N51" s="11">
        <v>0.38960443690699897</v>
      </c>
      <c r="O51" s="11">
        <v>0.43877742358897398</v>
      </c>
      <c r="P51" s="11">
        <v>0.24781885460162301</v>
      </c>
      <c r="Q51" s="11">
        <v>0.27767849778682002</v>
      </c>
      <c r="R51" s="11">
        <v>0.48472879872534302</v>
      </c>
      <c r="S51" s="11">
        <v>4.23011844331641E-2</v>
      </c>
      <c r="T51" s="11">
        <v>3.6811458403052E-2</v>
      </c>
      <c r="U51">
        <v>1.2168040641255699E-2</v>
      </c>
      <c r="V51">
        <v>0.10120359995662701</v>
      </c>
      <c r="W51">
        <v>3.2001706757693697E-2</v>
      </c>
      <c r="X51">
        <v>3.8545547989207202E-2</v>
      </c>
      <c r="Y51">
        <v>2.92645810775219E-2</v>
      </c>
      <c r="Z51">
        <v>3.1774275546517499E-3</v>
      </c>
      <c r="AA51">
        <v>4.49498808828157E-2</v>
      </c>
      <c r="AB51">
        <v>4.5118209709438702E-3</v>
      </c>
      <c r="AC51">
        <v>7.1911405148856597E-3</v>
      </c>
      <c r="AD51">
        <v>0</v>
      </c>
      <c r="AE51">
        <v>3.4299434059338E-3</v>
      </c>
      <c r="AF51">
        <v>1.0067451927917E-2</v>
      </c>
      <c r="AG51">
        <v>0</v>
      </c>
      <c r="AH51">
        <v>1.39230519329837E-2</v>
      </c>
      <c r="AI51">
        <v>0</v>
      </c>
      <c r="AJ51">
        <v>2.51409690047768E-2</v>
      </c>
      <c r="AK51">
        <v>1.20540019286403E-2</v>
      </c>
      <c r="AL51">
        <v>1.43379453724281E-2</v>
      </c>
      <c r="AM51">
        <v>0</v>
      </c>
    </row>
    <row r="52" spans="1:39" customFormat="1" hidden="1" x14ac:dyDescent="0.3">
      <c r="A52" t="s">
        <v>1678</v>
      </c>
      <c r="B52" t="s">
        <v>30</v>
      </c>
      <c r="C52" t="s">
        <v>526</v>
      </c>
      <c r="D52" t="s">
        <v>525</v>
      </c>
      <c r="E52" t="s">
        <v>524</v>
      </c>
      <c r="F52" t="s">
        <v>523</v>
      </c>
      <c r="G52" t="s">
        <v>1677</v>
      </c>
      <c r="H52" s="16">
        <v>0.46573519627411802</v>
      </c>
      <c r="I52" s="11">
        <v>0.44610209156062602</v>
      </c>
      <c r="J52" s="11">
        <v>0.23540694886437899</v>
      </c>
      <c r="K52" s="11">
        <v>0.72435063097730701</v>
      </c>
      <c r="L52" s="11">
        <v>0.40943009971604</v>
      </c>
      <c r="M52" s="11">
        <v>0.10646603733409001</v>
      </c>
      <c r="N52" s="11">
        <v>5.9586560938717503E-2</v>
      </c>
      <c r="O52" s="11">
        <v>0.46877929870616902</v>
      </c>
      <c r="P52" s="11">
        <v>0.26818752758257802</v>
      </c>
      <c r="Q52" s="11">
        <v>0.340912215104611</v>
      </c>
      <c r="R52" s="11">
        <v>0.43984650254706997</v>
      </c>
      <c r="S52" s="11">
        <v>7.4649148999701403E-2</v>
      </c>
      <c r="T52" s="11">
        <v>1.33859848738371E-2</v>
      </c>
      <c r="U52">
        <v>0</v>
      </c>
      <c r="V52">
        <v>7.2288285683305004E-3</v>
      </c>
      <c r="W52">
        <v>0</v>
      </c>
      <c r="X52">
        <v>3.8545547989207202E-2</v>
      </c>
      <c r="Y52">
        <v>0</v>
      </c>
      <c r="Z52">
        <v>0</v>
      </c>
      <c r="AA52">
        <v>4.49498808828157E-2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</row>
    <row r="53" spans="1:39" customFormat="1" hidden="1" x14ac:dyDescent="0.3">
      <c r="A53" t="s">
        <v>2064</v>
      </c>
      <c r="B53" t="s">
        <v>30</v>
      </c>
      <c r="C53" t="s">
        <v>29</v>
      </c>
      <c r="D53" t="s">
        <v>28</v>
      </c>
      <c r="E53" t="s">
        <v>388</v>
      </c>
      <c r="F53" t="s">
        <v>736</v>
      </c>
      <c r="G53" t="s">
        <v>735</v>
      </c>
      <c r="H53" s="16">
        <v>0.15385894876912801</v>
      </c>
      <c r="I53" s="11">
        <v>0.37662717566184001</v>
      </c>
      <c r="J53" s="11">
        <v>0.156937965909586</v>
      </c>
      <c r="K53" s="11">
        <v>0.23201856148491901</v>
      </c>
      <c r="L53" s="11">
        <v>0.51508948028792201</v>
      </c>
      <c r="M53" s="11">
        <v>0.220029810490454</v>
      </c>
      <c r="N53" s="11">
        <v>1.59050281890269</v>
      </c>
      <c r="O53" s="11">
        <v>0.903806487905494</v>
      </c>
      <c r="P53" s="11">
        <v>0.125606816715891</v>
      </c>
      <c r="Q53" s="11">
        <v>0.18145327578148601</v>
      </c>
      <c r="R53" s="11">
        <v>0.222167366082449</v>
      </c>
      <c r="S53" s="11">
        <v>0</v>
      </c>
      <c r="T53" s="11">
        <v>1.00394886553778E-2</v>
      </c>
      <c r="U53">
        <v>0</v>
      </c>
      <c r="V53">
        <v>3.6144142841652502E-3</v>
      </c>
      <c r="W53">
        <v>0.141340871513147</v>
      </c>
      <c r="X53">
        <v>0</v>
      </c>
      <c r="Y53">
        <v>2.9264581077521898E-3</v>
      </c>
      <c r="Z53">
        <v>0.111209964412811</v>
      </c>
      <c r="AA53">
        <v>4.0454892794534097E-2</v>
      </c>
      <c r="AB53">
        <v>0.76249774408951498</v>
      </c>
      <c r="AC53">
        <v>2.1573421544656999E-2</v>
      </c>
      <c r="AD53">
        <v>6.9329977980497004</v>
      </c>
      <c r="AE53">
        <v>1.37197736237352E-2</v>
      </c>
      <c r="AF53">
        <v>0.18624786066646501</v>
      </c>
      <c r="AG53">
        <v>0.67121969536952297</v>
      </c>
      <c r="AH53">
        <v>2.32050865549728E-2</v>
      </c>
      <c r="AI53">
        <v>1.37905672519996E-2</v>
      </c>
      <c r="AJ53">
        <v>7.1831340013647996E-3</v>
      </c>
      <c r="AK53">
        <v>0</v>
      </c>
      <c r="AL53">
        <v>1.0753459029321099E-2</v>
      </c>
      <c r="AM53">
        <v>0</v>
      </c>
    </row>
    <row r="54" spans="1:39" customFormat="1" hidden="1" x14ac:dyDescent="0.3">
      <c r="A54" t="s">
        <v>2056</v>
      </c>
      <c r="B54" t="s">
        <v>30</v>
      </c>
      <c r="C54" t="s">
        <v>264</v>
      </c>
      <c r="D54" t="s">
        <v>263</v>
      </c>
      <c r="E54" t="s">
        <v>262</v>
      </c>
      <c r="F54" t="s">
        <v>261</v>
      </c>
      <c r="G54" t="s">
        <v>260</v>
      </c>
      <c r="H54" s="16">
        <v>0.50316034597471704</v>
      </c>
      <c r="I54" s="11">
        <v>0.31812198332601999</v>
      </c>
      <c r="J54" s="11">
        <v>0.100265922664458</v>
      </c>
      <c r="K54" s="11">
        <v>0.130156754003735</v>
      </c>
      <c r="L54" s="11">
        <v>0.22452618371524799</v>
      </c>
      <c r="M54" s="11">
        <v>5.6781886578181603E-2</v>
      </c>
      <c r="N54" s="11">
        <v>3.6668652885364597E-2</v>
      </c>
      <c r="O54" s="11">
        <v>7.5004687792987093E-2</v>
      </c>
      <c r="P54" s="11">
        <v>7.8079913093661996E-2</v>
      </c>
      <c r="Q54" s="11">
        <v>8.2478761718857395E-3</v>
      </c>
      <c r="R54" s="11">
        <v>1.7952918471309001E-2</v>
      </c>
      <c r="S54" s="11">
        <v>0.482731163531402</v>
      </c>
      <c r="T54" s="11">
        <v>0.12382036008299301</v>
      </c>
      <c r="U54">
        <v>0.19468865026009199</v>
      </c>
      <c r="V54">
        <v>0.27830989988072402</v>
      </c>
      <c r="W54">
        <v>0.200010667235586</v>
      </c>
      <c r="X54">
        <v>2.5697031992804799E-2</v>
      </c>
      <c r="Y54">
        <v>1.4076263498288</v>
      </c>
      <c r="Z54">
        <v>0.222419928825623</v>
      </c>
      <c r="AA54">
        <v>4.0454892794534097E-2</v>
      </c>
      <c r="AB54">
        <v>8.5724598447933606E-2</v>
      </c>
      <c r="AC54">
        <v>0.33079246368474002</v>
      </c>
      <c r="AD54">
        <v>0.512739855300409</v>
      </c>
      <c r="AE54">
        <v>0.28811524609843903</v>
      </c>
      <c r="AF54">
        <v>5.03372596395852E-2</v>
      </c>
      <c r="AG54">
        <v>3.2856908164941703E-2</v>
      </c>
      <c r="AH54">
        <v>0.153153571262821</v>
      </c>
      <c r="AI54">
        <v>0.29649719591799201</v>
      </c>
      <c r="AJ54">
        <v>0.16521208203139001</v>
      </c>
      <c r="AK54">
        <v>6.6297010607521703E-2</v>
      </c>
      <c r="AL54">
        <v>0.29034339379167001</v>
      </c>
      <c r="AM54">
        <v>0</v>
      </c>
    </row>
    <row r="55" spans="1:39" customFormat="1" hidden="1" x14ac:dyDescent="0.3">
      <c r="A55" t="s">
        <v>2045</v>
      </c>
      <c r="B55" t="s">
        <v>30</v>
      </c>
      <c r="C55" t="s">
        <v>526</v>
      </c>
      <c r="D55" t="s">
        <v>525</v>
      </c>
      <c r="E55" t="s">
        <v>524</v>
      </c>
      <c r="F55" t="s">
        <v>523</v>
      </c>
      <c r="G55" t="s">
        <v>530</v>
      </c>
      <c r="H55" s="16">
        <v>0.41167664670658699</v>
      </c>
      <c r="I55" s="11">
        <v>0.13529325727658301</v>
      </c>
      <c r="J55" s="11">
        <v>0.17437551767731799</v>
      </c>
      <c r="K55" s="11">
        <v>1.0299360534208599</v>
      </c>
      <c r="L55" s="11">
        <v>0.812256488146338</v>
      </c>
      <c r="M55" s="11">
        <v>0.39392433813613498</v>
      </c>
      <c r="N55" s="11">
        <v>0.499610395563093</v>
      </c>
      <c r="O55" s="11">
        <v>0.30376898556159798</v>
      </c>
      <c r="P55" s="11">
        <v>0.499032488033405</v>
      </c>
      <c r="Q55" s="11">
        <v>0.321667170703544</v>
      </c>
      <c r="R55" s="11">
        <v>9.4252821974372195E-2</v>
      </c>
      <c r="S55" s="11">
        <v>7.4649148999701397E-3</v>
      </c>
      <c r="T55" s="11">
        <v>0</v>
      </c>
      <c r="U55">
        <v>4.2588142244395097E-2</v>
      </c>
      <c r="V55">
        <v>4.6987385694148301E-2</v>
      </c>
      <c r="W55">
        <v>5.0669369033015103E-2</v>
      </c>
      <c r="X55">
        <v>1.9272773994603601E-2</v>
      </c>
      <c r="Y55">
        <v>1.17058324310087E-2</v>
      </c>
      <c r="Z55">
        <v>5.4016268429079799E-2</v>
      </c>
      <c r="AA55">
        <v>4.0454892794534097E-2</v>
      </c>
      <c r="AB55">
        <v>4.5118209709438702E-3</v>
      </c>
      <c r="AC55">
        <v>4.3146843089313998E-2</v>
      </c>
      <c r="AD55">
        <v>0</v>
      </c>
      <c r="AE55">
        <v>2.4009603841536602E-2</v>
      </c>
      <c r="AF55">
        <v>7.0472163495419293E-2</v>
      </c>
      <c r="AG55">
        <v>2.1122298106033902E-2</v>
      </c>
      <c r="AH55">
        <v>6.9615259664918494E-2</v>
      </c>
      <c r="AI55">
        <v>4.3670129631332197E-2</v>
      </c>
      <c r="AJ55">
        <v>0.100563876019107</v>
      </c>
      <c r="AK55">
        <v>6.6297010607521703E-2</v>
      </c>
      <c r="AL55">
        <v>2.8675890744856301E-2</v>
      </c>
      <c r="AM55">
        <v>0</v>
      </c>
    </row>
    <row r="56" spans="1:39" customFormat="1" hidden="1" x14ac:dyDescent="0.3">
      <c r="A56" t="s">
        <v>1993</v>
      </c>
      <c r="B56" t="s">
        <v>30</v>
      </c>
      <c r="C56" t="s">
        <v>111</v>
      </c>
      <c r="D56" t="s">
        <v>110</v>
      </c>
      <c r="E56" t="s">
        <v>109</v>
      </c>
      <c r="F56" t="s">
        <v>108</v>
      </c>
      <c r="G56" t="s">
        <v>154</v>
      </c>
      <c r="H56" s="16">
        <v>0.44494344644045197</v>
      </c>
      <c r="I56" s="11">
        <v>0.391253473745795</v>
      </c>
      <c r="J56" s="11">
        <v>0.292078992109508</v>
      </c>
      <c r="K56" s="11">
        <v>0.19806462565785801</v>
      </c>
      <c r="L56" s="11">
        <v>0.15848907085782199</v>
      </c>
      <c r="M56" s="11">
        <v>7.0977358222727004E-3</v>
      </c>
      <c r="N56" s="11">
        <v>2.75014896640235E-2</v>
      </c>
      <c r="O56" s="11">
        <v>3.7502343896493498E-2</v>
      </c>
      <c r="P56" s="11">
        <v>0.18671283565875699</v>
      </c>
      <c r="Q56" s="11">
        <v>6.5983009375085902E-2</v>
      </c>
      <c r="R56" s="11">
        <v>6.7323444267408702E-2</v>
      </c>
      <c r="S56" s="11">
        <v>0.985368766796059</v>
      </c>
      <c r="T56" s="11">
        <v>5.35439394953484E-2</v>
      </c>
      <c r="U56">
        <v>4.8672162565022999E-2</v>
      </c>
      <c r="V56">
        <v>2.53008999891568E-2</v>
      </c>
      <c r="W56">
        <v>1.6000853378846901E-2</v>
      </c>
      <c r="X56">
        <v>1.2848515996402399E-2</v>
      </c>
      <c r="Y56">
        <v>4.38968716162828E-2</v>
      </c>
      <c r="Z56">
        <v>0.114387391967463</v>
      </c>
      <c r="AA56">
        <v>4.0454892794534097E-2</v>
      </c>
      <c r="AB56">
        <v>1.8047283883775501E-2</v>
      </c>
      <c r="AC56">
        <v>3.5955702574428303E-2</v>
      </c>
      <c r="AD56">
        <v>1.5728216420257901E-2</v>
      </c>
      <c r="AE56">
        <v>2.4009603841536602E-2</v>
      </c>
      <c r="AF56">
        <v>5.5370985603543699E-2</v>
      </c>
      <c r="AG56">
        <v>3.2856908164941703E-2</v>
      </c>
      <c r="AH56">
        <v>3.7128138487956597E-2</v>
      </c>
      <c r="AI56">
        <v>2.5282706628666E-2</v>
      </c>
      <c r="AJ56">
        <v>7.1831340013647996E-3</v>
      </c>
      <c r="AK56">
        <v>6.02700096432015E-3</v>
      </c>
      <c r="AL56">
        <v>1.79224317155352E-2</v>
      </c>
      <c r="AM56">
        <v>0</v>
      </c>
    </row>
    <row r="57" spans="1:39" customFormat="1" hidden="1" x14ac:dyDescent="0.3">
      <c r="A57" t="s">
        <v>1960</v>
      </c>
      <c r="B57" t="s">
        <v>30</v>
      </c>
      <c r="C57" t="s">
        <v>81</v>
      </c>
      <c r="D57" t="s">
        <v>80</v>
      </c>
      <c r="E57" t="s">
        <v>1813</v>
      </c>
      <c r="F57" t="s">
        <v>1812</v>
      </c>
      <c r="G57" t="s">
        <v>1959</v>
      </c>
      <c r="H57" s="16">
        <v>0</v>
      </c>
      <c r="I57" s="11">
        <v>0</v>
      </c>
      <c r="J57" s="11">
        <v>0</v>
      </c>
      <c r="K57" s="11">
        <v>0</v>
      </c>
      <c r="L57" s="11">
        <v>0.198111338572278</v>
      </c>
      <c r="M57" s="11">
        <v>2.4842075377954399E-2</v>
      </c>
      <c r="N57" s="11">
        <v>0.13750744832011699</v>
      </c>
      <c r="O57" s="11">
        <v>0.15000937558597399</v>
      </c>
      <c r="P57" s="11">
        <v>0.43113691143021998</v>
      </c>
      <c r="Q57" s="11">
        <v>0.59109779231847803</v>
      </c>
      <c r="R57" s="11">
        <v>0.502681717196652</v>
      </c>
      <c r="S57" s="11">
        <v>4.9766099333134299E-3</v>
      </c>
      <c r="T57" s="11">
        <v>6.69299243691855E-3</v>
      </c>
      <c r="U57">
        <v>0</v>
      </c>
      <c r="V57">
        <v>0</v>
      </c>
      <c r="W57">
        <v>0</v>
      </c>
      <c r="X57">
        <v>5.1394063985609702E-2</v>
      </c>
      <c r="Y57">
        <v>0</v>
      </c>
      <c r="Z57">
        <v>0</v>
      </c>
      <c r="AA57">
        <v>4.0454892794534097E-2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6.10566390116008E-2</v>
      </c>
      <c r="AK57">
        <v>0.120540019286403</v>
      </c>
      <c r="AL57">
        <v>9.3196644920782806E-2</v>
      </c>
      <c r="AM57">
        <v>0</v>
      </c>
    </row>
    <row r="58" spans="1:39" customFormat="1" hidden="1" x14ac:dyDescent="0.3">
      <c r="A58" t="s">
        <v>1814</v>
      </c>
      <c r="B58" t="s">
        <v>30</v>
      </c>
      <c r="C58" t="s">
        <v>81</v>
      </c>
      <c r="D58" t="s">
        <v>80</v>
      </c>
      <c r="E58" t="s">
        <v>1813</v>
      </c>
      <c r="F58" t="s">
        <v>1812</v>
      </c>
      <c r="G58" t="s">
        <v>1811</v>
      </c>
      <c r="H58" s="16">
        <v>0</v>
      </c>
      <c r="I58" s="11">
        <v>0</v>
      </c>
      <c r="J58" s="11">
        <v>0</v>
      </c>
      <c r="K58" s="11">
        <v>0</v>
      </c>
      <c r="L58" s="11">
        <v>0.11886680314336701</v>
      </c>
      <c r="M58" s="11">
        <v>7.0977358222727004E-3</v>
      </c>
      <c r="N58" s="11">
        <v>5.9586560938717503E-2</v>
      </c>
      <c r="O58" s="11">
        <v>0.105006562910182</v>
      </c>
      <c r="P58" s="11">
        <v>0</v>
      </c>
      <c r="Q58" s="11">
        <v>2.7492920572952501E-3</v>
      </c>
      <c r="R58" s="11">
        <v>0</v>
      </c>
      <c r="S58" s="11">
        <v>0</v>
      </c>
      <c r="T58" s="11">
        <v>0</v>
      </c>
      <c r="U58">
        <v>0</v>
      </c>
      <c r="V58">
        <v>0</v>
      </c>
      <c r="W58">
        <v>0</v>
      </c>
      <c r="X58">
        <v>1.9272773994603601E-2</v>
      </c>
      <c r="Y58">
        <v>0</v>
      </c>
      <c r="Z58">
        <v>0</v>
      </c>
      <c r="AA58">
        <v>4.0454892794534097E-2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2.51409690047768E-2</v>
      </c>
      <c r="AK58">
        <v>0.18081002892960499</v>
      </c>
      <c r="AL58">
        <v>3.9429349774177398E-2</v>
      </c>
      <c r="AM58">
        <v>0</v>
      </c>
    </row>
    <row r="59" spans="1:39" customFormat="1" hidden="1" x14ac:dyDescent="0.3">
      <c r="A59" t="s">
        <v>1772</v>
      </c>
      <c r="B59" t="s">
        <v>30</v>
      </c>
      <c r="C59" t="s">
        <v>526</v>
      </c>
      <c r="D59" t="s">
        <v>525</v>
      </c>
      <c r="E59" t="s">
        <v>524</v>
      </c>
      <c r="F59" t="s">
        <v>523</v>
      </c>
      <c r="G59" t="s">
        <v>1771</v>
      </c>
      <c r="H59" s="16">
        <v>0.25781769793745801</v>
      </c>
      <c r="I59" s="11">
        <v>0.38028375018282901</v>
      </c>
      <c r="J59" s="11">
        <v>0.15257857796765301</v>
      </c>
      <c r="K59" s="11">
        <v>9.6202818176673699E-2</v>
      </c>
      <c r="L59" s="11">
        <v>0.22452618371524799</v>
      </c>
      <c r="M59" s="11">
        <v>3.5488679111363502E-3</v>
      </c>
      <c r="N59" s="11">
        <v>9.1671632213411597E-2</v>
      </c>
      <c r="O59" s="11">
        <v>7.1254453403337706E-2</v>
      </c>
      <c r="P59" s="11">
        <v>1.01843364904776E-2</v>
      </c>
      <c r="Q59" s="11">
        <v>2.7492920572952501E-3</v>
      </c>
      <c r="R59" s="11">
        <v>8.9764592356545003E-3</v>
      </c>
      <c r="S59" s="11">
        <v>9.2067283766298399E-2</v>
      </c>
      <c r="T59" s="11">
        <v>3.3464962184592698E-3</v>
      </c>
      <c r="U59">
        <v>6.0840203206278696E-3</v>
      </c>
      <c r="V59">
        <v>3.6144142841652502E-3</v>
      </c>
      <c r="W59">
        <v>8.0004266894234399E-3</v>
      </c>
      <c r="X59">
        <v>4.4969805987408497E-2</v>
      </c>
      <c r="Y59">
        <v>0</v>
      </c>
      <c r="Z59">
        <v>0</v>
      </c>
      <c r="AA59">
        <v>4.0454892794534097E-2</v>
      </c>
      <c r="AB59">
        <v>4.5118209709438702E-3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2.2984278753332699E-3</v>
      </c>
      <c r="AJ59">
        <v>2.1549402004094401E-2</v>
      </c>
      <c r="AK59">
        <v>6.02700096432015E-3</v>
      </c>
      <c r="AL59">
        <v>3.5844863431070302E-3</v>
      </c>
      <c r="AM59">
        <v>0</v>
      </c>
    </row>
    <row r="60" spans="1:39" customFormat="1" hidden="1" x14ac:dyDescent="0.3">
      <c r="A60" t="s">
        <v>2034</v>
      </c>
      <c r="B60" t="s">
        <v>30</v>
      </c>
      <c r="C60" t="s">
        <v>526</v>
      </c>
      <c r="D60" t="s">
        <v>525</v>
      </c>
      <c r="E60" t="s">
        <v>524</v>
      </c>
      <c r="F60" t="s">
        <v>523</v>
      </c>
      <c r="G60" t="s">
        <v>25</v>
      </c>
      <c r="H60" s="16">
        <v>0</v>
      </c>
      <c r="I60" s="11">
        <v>0</v>
      </c>
      <c r="J60" s="11">
        <v>0</v>
      </c>
      <c r="K60" s="11">
        <v>0</v>
      </c>
      <c r="L60" s="11">
        <v>0</v>
      </c>
      <c r="M60" s="11">
        <v>0</v>
      </c>
      <c r="N60" s="11">
        <v>0</v>
      </c>
      <c r="O60" s="11">
        <v>0</v>
      </c>
      <c r="P60" s="11">
        <v>0</v>
      </c>
      <c r="Q60" s="11">
        <v>0</v>
      </c>
      <c r="R60" s="11">
        <v>0</v>
      </c>
      <c r="S60" s="11">
        <v>0</v>
      </c>
      <c r="T60" s="11">
        <v>0</v>
      </c>
      <c r="U60">
        <v>3.0420101603139401E-2</v>
      </c>
      <c r="V60">
        <v>0</v>
      </c>
      <c r="W60">
        <v>2.6668088964744798E-3</v>
      </c>
      <c r="X60">
        <v>1.2848515996402399E-2</v>
      </c>
      <c r="Y60">
        <v>5.8529162155043701E-3</v>
      </c>
      <c r="Z60">
        <v>3.1774275546517499E-3</v>
      </c>
      <c r="AA60">
        <v>3.5959904706252502E-2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2.3469220117815501E-3</v>
      </c>
      <c r="AH60">
        <v>0</v>
      </c>
      <c r="AI60">
        <v>6.89528362599982E-3</v>
      </c>
      <c r="AJ60">
        <v>1.7957835003412002E-2</v>
      </c>
      <c r="AK60">
        <v>2.41080038572806E-2</v>
      </c>
      <c r="AL60">
        <v>5.3767295146605498E-2</v>
      </c>
      <c r="AM60">
        <v>0</v>
      </c>
    </row>
    <row r="61" spans="1:39" customFormat="1" hidden="1" x14ac:dyDescent="0.3">
      <c r="A61" t="s">
        <v>2031</v>
      </c>
      <c r="B61" t="s">
        <v>30</v>
      </c>
      <c r="C61" t="s">
        <v>111</v>
      </c>
      <c r="D61" t="s">
        <v>141</v>
      </c>
      <c r="E61" t="s">
        <v>140</v>
      </c>
      <c r="F61" t="s">
        <v>592</v>
      </c>
      <c r="G61" t="s">
        <v>2030</v>
      </c>
      <c r="H61" s="16">
        <v>0.20791749833666001</v>
      </c>
      <c r="I61" s="11">
        <v>0.138949831797572</v>
      </c>
      <c r="J61" s="11">
        <v>0.17437551767731799</v>
      </c>
      <c r="K61" s="11">
        <v>0.118838775394715</v>
      </c>
      <c r="L61" s="11">
        <v>0.16509278214356499</v>
      </c>
      <c r="M61" s="11">
        <v>3.5488679111363497E-2</v>
      </c>
      <c r="N61" s="11">
        <v>7.3337305770729194E-2</v>
      </c>
      <c r="O61" s="11">
        <v>6.3753984624039001E-2</v>
      </c>
      <c r="P61" s="11">
        <v>4.41321247920698E-2</v>
      </c>
      <c r="Q61" s="11">
        <v>2.7492920572952498E-2</v>
      </c>
      <c r="R61" s="11">
        <v>1.3464688853481699E-2</v>
      </c>
      <c r="S61" s="11">
        <v>7.4649148999701397E-3</v>
      </c>
      <c r="T61" s="11">
        <v>3.3464962184592698E-3</v>
      </c>
      <c r="U61">
        <v>5.4756182885650803E-2</v>
      </c>
      <c r="V61">
        <v>0.29638197130155097</v>
      </c>
      <c r="W61">
        <v>5.60029868259641E-2</v>
      </c>
      <c r="X61">
        <v>3.2121289991005997E-2</v>
      </c>
      <c r="Y61">
        <v>0.111205408094583</v>
      </c>
      <c r="Z61">
        <v>4.1306558210472799E-2</v>
      </c>
      <c r="AA61">
        <v>3.5959904706252502E-2</v>
      </c>
      <c r="AB61">
        <v>2.2559104854719399E-2</v>
      </c>
      <c r="AC61">
        <v>5.0337983604199603E-2</v>
      </c>
      <c r="AD61">
        <v>6.2912865681031801E-3</v>
      </c>
      <c r="AE61">
        <v>2.74395472474704E-2</v>
      </c>
      <c r="AF61">
        <v>2.0134903855834101E-2</v>
      </c>
      <c r="AG61">
        <v>4.6938440235631002E-3</v>
      </c>
      <c r="AH61">
        <v>2.32050865549728E-2</v>
      </c>
      <c r="AI61">
        <v>2.7581134503999301E-2</v>
      </c>
      <c r="AJ61">
        <v>1.4366268002729599E-2</v>
      </c>
      <c r="AK61">
        <v>1.20540019286403E-2</v>
      </c>
      <c r="AL61">
        <v>2.8675890744856301E-2</v>
      </c>
      <c r="AM61">
        <v>0</v>
      </c>
    </row>
    <row r="62" spans="1:39" customFormat="1" hidden="1" x14ac:dyDescent="0.3">
      <c r="A62" t="s">
        <v>1998</v>
      </c>
      <c r="B62" t="s">
        <v>30</v>
      </c>
      <c r="C62" t="s">
        <v>81</v>
      </c>
      <c r="D62" t="s">
        <v>118</v>
      </c>
      <c r="E62" t="s">
        <v>190</v>
      </c>
      <c r="F62" t="s">
        <v>189</v>
      </c>
      <c r="G62" t="s">
        <v>1997</v>
      </c>
      <c r="H62" s="16">
        <v>0.80671989354624096</v>
      </c>
      <c r="I62" s="11">
        <v>0.35834430305689602</v>
      </c>
      <c r="J62" s="11">
        <v>0.76289288983826697</v>
      </c>
      <c r="K62" s="11">
        <v>0.59985286627808299</v>
      </c>
      <c r="L62" s="11">
        <v>0.31697814171564398</v>
      </c>
      <c r="M62" s="11">
        <v>7.8075094044999696E-2</v>
      </c>
      <c r="N62" s="11">
        <v>5.5002979328046903E-2</v>
      </c>
      <c r="O62" s="11">
        <v>9.0005625351584503E-2</v>
      </c>
      <c r="P62" s="11">
        <v>2.7158230641273699E-2</v>
      </c>
      <c r="Q62" s="11">
        <v>0</v>
      </c>
      <c r="R62" s="11">
        <v>6.7323444267408704E-3</v>
      </c>
      <c r="S62" s="11">
        <v>2.4883049666567101E-2</v>
      </c>
      <c r="T62" s="11">
        <v>2.00789773107556E-2</v>
      </c>
      <c r="U62">
        <v>3.0420101603139401E-2</v>
      </c>
      <c r="V62">
        <v>0.20602161419741899</v>
      </c>
      <c r="W62">
        <v>7.2003840204810904E-2</v>
      </c>
      <c r="X62">
        <v>4.4969805987408497E-2</v>
      </c>
      <c r="Y62">
        <v>2.3411664862017501E-2</v>
      </c>
      <c r="Z62">
        <v>0.165226232841891</v>
      </c>
      <c r="AA62">
        <v>3.5959904706252502E-2</v>
      </c>
      <c r="AB62">
        <v>4.5118209709438702E-3</v>
      </c>
      <c r="AC62">
        <v>9.3484826693513601E-2</v>
      </c>
      <c r="AD62">
        <v>9.4369298521547705E-3</v>
      </c>
      <c r="AE62">
        <v>0.120048019207683</v>
      </c>
      <c r="AF62">
        <v>0.12080942313500501</v>
      </c>
      <c r="AG62">
        <v>3.5203830176723197E-2</v>
      </c>
      <c r="AH62">
        <v>0.16707662319580499</v>
      </c>
      <c r="AI62">
        <v>5.7460696883331802E-2</v>
      </c>
      <c r="AJ62">
        <v>3.9507237007506399E-2</v>
      </c>
      <c r="AK62">
        <v>7.8351012536162001E-2</v>
      </c>
      <c r="AL62">
        <v>3.2260377087963303E-2</v>
      </c>
      <c r="AM62">
        <v>0</v>
      </c>
    </row>
    <row r="63" spans="1:39" customFormat="1" hidden="1" x14ac:dyDescent="0.3">
      <c r="A63" t="s">
        <v>1982</v>
      </c>
      <c r="B63" t="s">
        <v>30</v>
      </c>
      <c r="C63" t="s">
        <v>81</v>
      </c>
      <c r="D63" t="s">
        <v>85</v>
      </c>
      <c r="E63" t="s">
        <v>1524</v>
      </c>
      <c r="F63" t="s">
        <v>1523</v>
      </c>
      <c r="G63" t="s">
        <v>1765</v>
      </c>
      <c r="H63" s="16">
        <v>0</v>
      </c>
      <c r="I63" s="11">
        <v>3.6565745209887401E-3</v>
      </c>
      <c r="J63" s="11">
        <v>4.3593879419329502E-3</v>
      </c>
      <c r="K63" s="11">
        <v>0</v>
      </c>
      <c r="L63" s="11">
        <v>0</v>
      </c>
      <c r="M63" s="11">
        <v>3.5488679111363502E-3</v>
      </c>
      <c r="N63" s="11">
        <v>4.5835816106705798E-3</v>
      </c>
      <c r="O63" s="11">
        <v>0</v>
      </c>
      <c r="P63" s="11">
        <v>3.3947788301592198E-3</v>
      </c>
      <c r="Q63" s="11">
        <v>0</v>
      </c>
      <c r="R63" s="11">
        <v>0</v>
      </c>
      <c r="S63" s="11">
        <v>0.83358216382999895</v>
      </c>
      <c r="T63" s="11">
        <v>0.25433371260290499</v>
      </c>
      <c r="U63">
        <v>1.5210050801569701E-2</v>
      </c>
      <c r="V63">
        <v>2.8915314273322001E-2</v>
      </c>
      <c r="W63">
        <v>9.3338311376606795E-2</v>
      </c>
      <c r="X63">
        <v>1.2848515996402399E-2</v>
      </c>
      <c r="Y63">
        <v>7.0234994586052493E-2</v>
      </c>
      <c r="Z63">
        <v>0.101677681748856</v>
      </c>
      <c r="AA63">
        <v>3.5959904706252502E-2</v>
      </c>
      <c r="AB63">
        <v>2.70709258256632E-2</v>
      </c>
      <c r="AC63">
        <v>4.3146843089313998E-2</v>
      </c>
      <c r="AD63">
        <v>2.2019502988361101E-2</v>
      </c>
      <c r="AE63">
        <v>4.4589264277139398E-2</v>
      </c>
      <c r="AF63">
        <v>9.56407933152119E-2</v>
      </c>
      <c r="AG63">
        <v>3.9897674200286302E-2</v>
      </c>
      <c r="AH63">
        <v>0.102102380841881</v>
      </c>
      <c r="AI63">
        <v>6.6654408384664895E-2</v>
      </c>
      <c r="AJ63">
        <v>5.3873505010236002E-2</v>
      </c>
      <c r="AK63">
        <v>0</v>
      </c>
      <c r="AL63">
        <v>3.9429349774177398E-2</v>
      </c>
      <c r="AM63">
        <v>0</v>
      </c>
    </row>
    <row r="64" spans="1:39" customFormat="1" hidden="1" x14ac:dyDescent="0.3">
      <c r="A64" t="s">
        <v>1966</v>
      </c>
      <c r="B64" t="s">
        <v>30</v>
      </c>
      <c r="C64" t="s">
        <v>81</v>
      </c>
      <c r="D64" t="s">
        <v>118</v>
      </c>
      <c r="E64" t="s">
        <v>371</v>
      </c>
      <c r="F64" t="s">
        <v>374</v>
      </c>
      <c r="G64" t="s">
        <v>1965</v>
      </c>
      <c r="H64" s="16">
        <v>0</v>
      </c>
      <c r="I64" s="11">
        <v>0.13529325727658301</v>
      </c>
      <c r="J64" s="11">
        <v>0</v>
      </c>
      <c r="K64" s="11">
        <v>0</v>
      </c>
      <c r="L64" s="11">
        <v>1.9811133857227801E-2</v>
      </c>
      <c r="M64" s="11">
        <v>0</v>
      </c>
      <c r="N64" s="11">
        <v>3.6668652885364597E-2</v>
      </c>
      <c r="O64" s="11">
        <v>7.8754922182636397E-2</v>
      </c>
      <c r="P64" s="11">
        <v>6.78955766031843E-3</v>
      </c>
      <c r="Q64" s="11">
        <v>1.0997168229181E-2</v>
      </c>
      <c r="R64" s="11">
        <v>4.9370525796099698E-2</v>
      </c>
      <c r="S64" s="11">
        <v>6.4695929133074606E-2</v>
      </c>
      <c r="T64" s="11">
        <v>9.7048390335318896E-2</v>
      </c>
      <c r="U64">
        <v>0</v>
      </c>
      <c r="V64">
        <v>4.6987385694148301E-2</v>
      </c>
      <c r="W64">
        <v>9.8671929169555694E-2</v>
      </c>
      <c r="X64">
        <v>0</v>
      </c>
      <c r="Y64">
        <v>8.4867285124813396E-2</v>
      </c>
      <c r="Z64">
        <v>7.3080833756990302E-2</v>
      </c>
      <c r="AA64">
        <v>3.5959904706252502E-2</v>
      </c>
      <c r="AB64">
        <v>9.0236419418877507E-3</v>
      </c>
      <c r="AC64">
        <v>0</v>
      </c>
      <c r="AD64">
        <v>1.25825731362064E-2</v>
      </c>
      <c r="AE64">
        <v>3.0869490653404202E-2</v>
      </c>
      <c r="AF64">
        <v>5.5370985603543699E-2</v>
      </c>
      <c r="AG64">
        <v>0.133774554671548</v>
      </c>
      <c r="AH64">
        <v>6.03332250429294E-2</v>
      </c>
      <c r="AI64">
        <v>6.4355980509331598E-2</v>
      </c>
      <c r="AJ64">
        <v>1.7957835003412002E-2</v>
      </c>
      <c r="AK64">
        <v>6.02700096432015E-3</v>
      </c>
      <c r="AL64">
        <v>1.0753459029321099E-2</v>
      </c>
      <c r="AM64">
        <v>0</v>
      </c>
    </row>
    <row r="65" spans="1:39" customFormat="1" hidden="1" x14ac:dyDescent="0.3">
      <c r="A65" t="s">
        <v>1879</v>
      </c>
      <c r="B65" t="s">
        <v>30</v>
      </c>
      <c r="C65" t="s">
        <v>81</v>
      </c>
      <c r="D65" t="s">
        <v>118</v>
      </c>
      <c r="E65" t="s">
        <v>803</v>
      </c>
      <c r="F65" t="s">
        <v>802</v>
      </c>
      <c r="G65" t="s">
        <v>801</v>
      </c>
      <c r="H65" s="16">
        <v>0.30355954757152398</v>
      </c>
      <c r="I65" s="11">
        <v>0.40587977182974999</v>
      </c>
      <c r="J65" s="11">
        <v>0.20489123327084899</v>
      </c>
      <c r="K65" s="11">
        <v>0.215041593571388</v>
      </c>
      <c r="L65" s="11">
        <v>0.68018226243148605</v>
      </c>
      <c r="M65" s="11">
        <v>4.9684150755908901E-2</v>
      </c>
      <c r="N65" s="11">
        <v>0.197094009258835</v>
      </c>
      <c r="O65" s="11">
        <v>0.23626476654790901</v>
      </c>
      <c r="P65" s="11">
        <v>0.28855620056353298</v>
      </c>
      <c r="Q65" s="11">
        <v>0.13471531080746699</v>
      </c>
      <c r="R65" s="11">
        <v>7.6299903503063204E-2</v>
      </c>
      <c r="S65" s="11">
        <v>5.7231014233104401E-2</v>
      </c>
      <c r="T65" s="11">
        <v>1.33859848738371E-2</v>
      </c>
      <c r="U65">
        <v>0</v>
      </c>
      <c r="V65">
        <v>2.53008999891568E-2</v>
      </c>
      <c r="W65">
        <v>1.06672355858979E-2</v>
      </c>
      <c r="X65">
        <v>6.4242579982012101E-3</v>
      </c>
      <c r="Y65">
        <v>2.3411664862017501E-2</v>
      </c>
      <c r="Z65">
        <v>2.22419928825623E-2</v>
      </c>
      <c r="AA65">
        <v>3.5959904706252502E-2</v>
      </c>
      <c r="AB65">
        <v>4.5118209709438702E-3</v>
      </c>
      <c r="AC65">
        <v>2.1573421544656999E-2</v>
      </c>
      <c r="AD65">
        <v>3.14564328405159E-3</v>
      </c>
      <c r="AE65">
        <v>0</v>
      </c>
      <c r="AF65">
        <v>1.51011778918756E-2</v>
      </c>
      <c r="AG65">
        <v>2.3469220117815499E-2</v>
      </c>
      <c r="AH65">
        <v>9.2820346219891405E-3</v>
      </c>
      <c r="AI65">
        <v>2.2984278753332699E-2</v>
      </c>
      <c r="AJ65">
        <v>1.4366268002729599E-2</v>
      </c>
      <c r="AK65">
        <v>1.20540019286403E-2</v>
      </c>
      <c r="AL65">
        <v>7.1689726862140604E-3</v>
      </c>
      <c r="AM65">
        <v>0</v>
      </c>
    </row>
    <row r="66" spans="1:39" customFormat="1" hidden="1" x14ac:dyDescent="0.3">
      <c r="A66" t="s">
        <v>1866</v>
      </c>
      <c r="B66" t="s">
        <v>30</v>
      </c>
      <c r="C66" t="s">
        <v>35</v>
      </c>
      <c r="D66" t="s">
        <v>35</v>
      </c>
      <c r="E66" t="s">
        <v>240</v>
      </c>
      <c r="F66" t="s">
        <v>239</v>
      </c>
      <c r="G66" t="s">
        <v>238</v>
      </c>
      <c r="H66" s="16">
        <v>0.16217564870259499</v>
      </c>
      <c r="I66" s="11">
        <v>0.244990492906245</v>
      </c>
      <c r="J66" s="11">
        <v>0.14385980208378699</v>
      </c>
      <c r="K66" s="11">
        <v>7.9225850263142994E-2</v>
      </c>
      <c r="L66" s="11">
        <v>0.21792247242950499</v>
      </c>
      <c r="M66" s="11">
        <v>3.1939811200227097E-2</v>
      </c>
      <c r="N66" s="11">
        <v>7.7920887381399795E-2</v>
      </c>
      <c r="O66" s="11">
        <v>0.123757734858429</v>
      </c>
      <c r="P66" s="11">
        <v>5.7711240112706702E-2</v>
      </c>
      <c r="Q66" s="11">
        <v>0.101723806119924</v>
      </c>
      <c r="R66" s="11">
        <v>7.8544018311976799E-2</v>
      </c>
      <c r="S66" s="11">
        <v>6.2207624166417799E-2</v>
      </c>
      <c r="T66" s="11">
        <v>5.35439394953484E-2</v>
      </c>
      <c r="U66">
        <v>3.04201016031394E-3</v>
      </c>
      <c r="V66">
        <v>1.0843242852495801E-2</v>
      </c>
      <c r="W66">
        <v>2.6668088964744798E-3</v>
      </c>
      <c r="X66">
        <v>0</v>
      </c>
      <c r="Y66">
        <v>8.7793743232565599E-3</v>
      </c>
      <c r="Z66">
        <v>1.2709710218607E-2</v>
      </c>
      <c r="AA66">
        <v>3.5959904706252502E-2</v>
      </c>
      <c r="AB66">
        <v>0</v>
      </c>
      <c r="AC66">
        <v>3.5955702574428303E-2</v>
      </c>
      <c r="AD66">
        <v>0</v>
      </c>
      <c r="AE66">
        <v>6.8598868118676E-3</v>
      </c>
      <c r="AF66">
        <v>1.0067451927917E-2</v>
      </c>
      <c r="AG66">
        <v>1.8775376094252401E-2</v>
      </c>
      <c r="AH66">
        <v>9.2820346219891405E-3</v>
      </c>
      <c r="AI66">
        <v>2.7581134503999301E-2</v>
      </c>
      <c r="AJ66">
        <v>2.1549402004094401E-2</v>
      </c>
      <c r="AK66">
        <v>1.8081002892960499E-2</v>
      </c>
      <c r="AL66">
        <v>7.1689726862140604E-3</v>
      </c>
      <c r="AM66">
        <v>0</v>
      </c>
    </row>
    <row r="67" spans="1:39" customFormat="1" hidden="1" x14ac:dyDescent="0.3">
      <c r="A67" t="s">
        <v>1844</v>
      </c>
      <c r="B67" t="s">
        <v>30</v>
      </c>
      <c r="C67" t="s">
        <v>251</v>
      </c>
      <c r="D67" t="s">
        <v>250</v>
      </c>
      <c r="E67" t="s">
        <v>249</v>
      </c>
      <c r="F67" t="s">
        <v>258</v>
      </c>
      <c r="G67" t="s">
        <v>257</v>
      </c>
      <c r="H67" s="16">
        <v>8.3166999334664E-3</v>
      </c>
      <c r="I67" s="11">
        <v>2.1939447125932401E-2</v>
      </c>
      <c r="J67" s="11">
        <v>1.30781638257989E-2</v>
      </c>
      <c r="K67" s="11">
        <v>0</v>
      </c>
      <c r="L67" s="11">
        <v>0.20471504985802</v>
      </c>
      <c r="M67" s="11">
        <v>3.5488679111363502E-3</v>
      </c>
      <c r="N67" s="11">
        <v>0.233762662144199</v>
      </c>
      <c r="O67" s="11">
        <v>0.11625726607913001</v>
      </c>
      <c r="P67" s="11">
        <v>3.3947788301592198E-3</v>
      </c>
      <c r="Q67" s="11">
        <v>4.3988672916723898E-2</v>
      </c>
      <c r="R67" s="11">
        <v>0.16157626624178101</v>
      </c>
      <c r="S67" s="11">
        <v>9.9532198666268494E-3</v>
      </c>
      <c r="T67" s="11">
        <v>0</v>
      </c>
      <c r="U67">
        <v>0</v>
      </c>
      <c r="V67">
        <v>0</v>
      </c>
      <c r="W67">
        <v>2.6668088964744798E-3</v>
      </c>
      <c r="X67">
        <v>6.4242579982012105E-2</v>
      </c>
      <c r="Y67">
        <v>0</v>
      </c>
      <c r="Z67">
        <v>0</v>
      </c>
      <c r="AA67">
        <v>3.5959904706252502E-2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2.1549402004094401E-2</v>
      </c>
      <c r="AK67">
        <v>3.0135004821600801E-2</v>
      </c>
      <c r="AL67">
        <v>2.8675890744856301E-2</v>
      </c>
      <c r="AM67">
        <v>0</v>
      </c>
    </row>
    <row r="68" spans="1:39" customFormat="1" hidden="1" x14ac:dyDescent="0.3">
      <c r="A68" t="s">
        <v>1674</v>
      </c>
      <c r="B68" t="s">
        <v>30</v>
      </c>
      <c r="C68" t="s">
        <v>81</v>
      </c>
      <c r="D68" t="s">
        <v>85</v>
      </c>
      <c r="E68" t="s">
        <v>84</v>
      </c>
      <c r="F68" t="s">
        <v>84</v>
      </c>
      <c r="G68" t="s">
        <v>84</v>
      </c>
      <c r="H68" s="16">
        <v>0</v>
      </c>
      <c r="I68" s="11">
        <v>0</v>
      </c>
      <c r="J68" s="11">
        <v>0</v>
      </c>
      <c r="K68" s="11">
        <v>2.8294946522551101E-2</v>
      </c>
      <c r="L68" s="11">
        <v>1.3207422571485199E-2</v>
      </c>
      <c r="M68" s="11">
        <v>1.0646603733408999E-2</v>
      </c>
      <c r="N68" s="11">
        <v>4.5835816106705798E-3</v>
      </c>
      <c r="O68" s="11">
        <v>7.5004687792987104E-3</v>
      </c>
      <c r="P68" s="11">
        <v>3.3947788301592198E-3</v>
      </c>
      <c r="Q68" s="11">
        <v>2.7492920572952501E-3</v>
      </c>
      <c r="R68" s="11">
        <v>2.2441148089136199E-3</v>
      </c>
      <c r="S68" s="11">
        <v>2.4883049666567102E-3</v>
      </c>
      <c r="T68" s="11">
        <v>3.3464962184592698E-3</v>
      </c>
      <c r="U68">
        <v>0</v>
      </c>
      <c r="V68">
        <v>0</v>
      </c>
      <c r="W68">
        <v>0</v>
      </c>
      <c r="X68">
        <v>3.2121289991005997E-2</v>
      </c>
      <c r="Y68">
        <v>0</v>
      </c>
      <c r="Z68">
        <v>0</v>
      </c>
      <c r="AA68">
        <v>3.5959904706252502E-2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2.41080038572806E-2</v>
      </c>
      <c r="AL68">
        <v>0</v>
      </c>
      <c r="AM68">
        <v>0</v>
      </c>
    </row>
    <row r="69" spans="1:39" customFormat="1" hidden="1" x14ac:dyDescent="0.3">
      <c r="A69" t="s">
        <v>2050</v>
      </c>
      <c r="B69" t="s">
        <v>30</v>
      </c>
      <c r="C69" t="s">
        <v>35</v>
      </c>
      <c r="D69" t="s">
        <v>35</v>
      </c>
      <c r="E69" t="s">
        <v>45</v>
      </c>
      <c r="F69" t="s">
        <v>44</v>
      </c>
      <c r="G69" t="s">
        <v>2049</v>
      </c>
      <c r="H69" s="16">
        <v>0.27445109780439098</v>
      </c>
      <c r="I69" s="11">
        <v>8.4101213982740994E-2</v>
      </c>
      <c r="J69" s="11">
        <v>0.226688172980514</v>
      </c>
      <c r="K69" s="11">
        <v>0.20372361496236799</v>
      </c>
      <c r="L69" s="11">
        <v>1.00376411543287</v>
      </c>
      <c r="M69" s="11">
        <v>5.6781886578181603E-2</v>
      </c>
      <c r="N69" s="11">
        <v>0.242929825365541</v>
      </c>
      <c r="O69" s="11">
        <v>9.7506094130883195E-2</v>
      </c>
      <c r="P69" s="11">
        <v>0.15615982618732399</v>
      </c>
      <c r="Q69" s="11">
        <v>0.14296318697935301</v>
      </c>
      <c r="R69" s="11">
        <v>0.10098516640111301</v>
      </c>
      <c r="S69" s="11">
        <v>2.4883049666567102E-3</v>
      </c>
      <c r="T69" s="11">
        <v>0</v>
      </c>
      <c r="U69">
        <v>1.5210050801569701E-2</v>
      </c>
      <c r="V69">
        <v>0.17349188563993201</v>
      </c>
      <c r="W69">
        <v>1.3734065816843599</v>
      </c>
      <c r="X69">
        <v>0</v>
      </c>
      <c r="Y69">
        <v>9.0720201340317802E-2</v>
      </c>
      <c r="Z69">
        <v>0.34316217590238901</v>
      </c>
      <c r="AA69">
        <v>3.1464916617971003E-2</v>
      </c>
      <c r="AB69">
        <v>4.5118209709438702E-3</v>
      </c>
      <c r="AC69">
        <v>2.87645620595426E-2</v>
      </c>
      <c r="AD69">
        <v>0</v>
      </c>
      <c r="AE69">
        <v>2.4009603841536602E-2</v>
      </c>
      <c r="AF69">
        <v>0.65941810127856604</v>
      </c>
      <c r="AG69">
        <v>0.12673378863620399</v>
      </c>
      <c r="AH69">
        <v>0.176358657817794</v>
      </c>
      <c r="AI69">
        <v>0.105727682265331</v>
      </c>
      <c r="AJ69">
        <v>1.07747010020472E-2</v>
      </c>
      <c r="AK69">
        <v>6.02700096432015E-3</v>
      </c>
      <c r="AL69">
        <v>3.5844863431070302E-3</v>
      </c>
      <c r="AM69">
        <v>0</v>
      </c>
    </row>
    <row r="70" spans="1:39" customFormat="1" hidden="1" x14ac:dyDescent="0.3">
      <c r="A70" t="s">
        <v>1990</v>
      </c>
      <c r="B70" t="s">
        <v>30</v>
      </c>
      <c r="C70" t="s">
        <v>35</v>
      </c>
      <c r="D70" t="s">
        <v>35</v>
      </c>
      <c r="E70" t="s">
        <v>240</v>
      </c>
      <c r="F70" t="s">
        <v>775</v>
      </c>
      <c r="G70" t="s">
        <v>1989</v>
      </c>
      <c r="H70" s="16">
        <v>0</v>
      </c>
      <c r="I70" s="11">
        <v>0.201111598654381</v>
      </c>
      <c r="J70" s="11">
        <v>0</v>
      </c>
      <c r="K70" s="11">
        <v>0.24333654009393901</v>
      </c>
      <c r="L70" s="11">
        <v>0.30377071914415898</v>
      </c>
      <c r="M70" s="11">
        <v>0.93690112853999596</v>
      </c>
      <c r="N70" s="11">
        <v>0.34835220241096398</v>
      </c>
      <c r="O70" s="11">
        <v>0.42752672042002599</v>
      </c>
      <c r="P70" s="11">
        <v>0.16294938384764199</v>
      </c>
      <c r="Q70" s="11">
        <v>0</v>
      </c>
      <c r="R70" s="11">
        <v>0</v>
      </c>
      <c r="S70" s="11">
        <v>0</v>
      </c>
      <c r="T70" s="11">
        <v>0</v>
      </c>
      <c r="U70">
        <v>9.1260304809418092E-3</v>
      </c>
      <c r="V70">
        <v>0.41927205696316899</v>
      </c>
      <c r="W70">
        <v>0.25868046295802399</v>
      </c>
      <c r="X70">
        <v>0</v>
      </c>
      <c r="Y70">
        <v>0.324836849960493</v>
      </c>
      <c r="Z70">
        <v>5.7193695983731599E-2</v>
      </c>
      <c r="AA70">
        <v>3.1464916617971003E-2</v>
      </c>
      <c r="AB70">
        <v>0</v>
      </c>
      <c r="AC70">
        <v>6.4720264633970903E-2</v>
      </c>
      <c r="AD70">
        <v>0</v>
      </c>
      <c r="AE70">
        <v>2.05796604356028E-2</v>
      </c>
      <c r="AF70">
        <v>9.56407933152119E-2</v>
      </c>
      <c r="AG70">
        <v>3.7550752188504802E-2</v>
      </c>
      <c r="AH70">
        <v>1.39230519329837E-2</v>
      </c>
      <c r="AI70">
        <v>2.0685850877999401E-2</v>
      </c>
      <c r="AJ70">
        <v>1.07747010020472E-2</v>
      </c>
      <c r="AK70">
        <v>6.02700096432015E-3</v>
      </c>
      <c r="AL70">
        <v>3.5844863431070302E-3</v>
      </c>
      <c r="AM70">
        <v>0</v>
      </c>
    </row>
    <row r="71" spans="1:39" customFormat="1" hidden="1" x14ac:dyDescent="0.3">
      <c r="A71" t="s">
        <v>1958</v>
      </c>
      <c r="B71" t="s">
        <v>30</v>
      </c>
      <c r="C71" t="s">
        <v>111</v>
      </c>
      <c r="D71" t="s">
        <v>141</v>
      </c>
      <c r="E71" t="s">
        <v>140</v>
      </c>
      <c r="F71" t="s">
        <v>206</v>
      </c>
      <c r="G71" t="s">
        <v>205</v>
      </c>
      <c r="H71" s="16">
        <v>0</v>
      </c>
      <c r="I71" s="11">
        <v>3.6565745209887401E-3</v>
      </c>
      <c r="J71" s="11">
        <v>5.6672043245128402E-2</v>
      </c>
      <c r="K71" s="11">
        <v>0.135815743308245</v>
      </c>
      <c r="L71" s="11">
        <v>3.9622267714455497E-2</v>
      </c>
      <c r="M71" s="11">
        <v>7.0977358222727004E-3</v>
      </c>
      <c r="N71" s="11">
        <v>0.96713571985149205</v>
      </c>
      <c r="O71" s="11">
        <v>1.50009375585974</v>
      </c>
      <c r="P71" s="11">
        <v>1.35791153206369E-2</v>
      </c>
      <c r="Q71" s="11">
        <v>1.3746460286476201E-2</v>
      </c>
      <c r="R71" s="11">
        <v>8.9764592356545003E-3</v>
      </c>
      <c r="S71" s="11">
        <v>0</v>
      </c>
      <c r="T71" s="11">
        <v>0</v>
      </c>
      <c r="U71">
        <v>9.1260304809418092E-3</v>
      </c>
      <c r="V71">
        <v>1.8072071420826299E-2</v>
      </c>
      <c r="W71">
        <v>3.2001706757693697E-2</v>
      </c>
      <c r="X71">
        <v>3.2121289991005997E-2</v>
      </c>
      <c r="Y71">
        <v>4.6823329724035002E-2</v>
      </c>
      <c r="Z71">
        <v>2.5419420437213999E-2</v>
      </c>
      <c r="AA71">
        <v>3.1464916617971003E-2</v>
      </c>
      <c r="AB71">
        <v>4.5118209709438702E-3</v>
      </c>
      <c r="AC71">
        <v>2.87645620595426E-2</v>
      </c>
      <c r="AD71">
        <v>3.14564328405159E-3</v>
      </c>
      <c r="AE71">
        <v>3.4299434059338E-3</v>
      </c>
      <c r="AF71">
        <v>2.0134903855834101E-2</v>
      </c>
      <c r="AG71">
        <v>2.3469220117815501E-3</v>
      </c>
      <c r="AH71">
        <v>9.2820346219891405E-3</v>
      </c>
      <c r="AI71">
        <v>0</v>
      </c>
      <c r="AJ71">
        <v>2.8732536005459199E-2</v>
      </c>
      <c r="AK71">
        <v>3.6162005785920902E-2</v>
      </c>
      <c r="AL71">
        <v>3.5844863431070302E-3</v>
      </c>
      <c r="AM71">
        <v>0</v>
      </c>
    </row>
    <row r="72" spans="1:39" customFormat="1" hidden="1" x14ac:dyDescent="0.3">
      <c r="A72" t="s">
        <v>1952</v>
      </c>
      <c r="B72" t="s">
        <v>30</v>
      </c>
      <c r="C72" t="s">
        <v>81</v>
      </c>
      <c r="D72" t="s">
        <v>85</v>
      </c>
      <c r="E72" t="s">
        <v>314</v>
      </c>
      <c r="F72" t="s">
        <v>313</v>
      </c>
      <c r="G72" t="s">
        <v>312</v>
      </c>
      <c r="H72" s="16">
        <v>1.79640718562874</v>
      </c>
      <c r="I72" s="11">
        <v>0.26692994003217801</v>
      </c>
      <c r="J72" s="11">
        <v>0.27028205239984299</v>
      </c>
      <c r="K72" s="11">
        <v>0.16411068983079599</v>
      </c>
      <c r="L72" s="11">
        <v>0.125470514429109</v>
      </c>
      <c r="M72" s="11">
        <v>9.2270565689545003E-2</v>
      </c>
      <c r="N72" s="11">
        <v>4.5835816106705798E-3</v>
      </c>
      <c r="O72" s="11">
        <v>3.75023438964935E-3</v>
      </c>
      <c r="P72" s="11">
        <v>2.03686729809553E-2</v>
      </c>
      <c r="Q72" s="11">
        <v>2.7492920572952501E-3</v>
      </c>
      <c r="R72" s="11">
        <v>6.7323444267408704E-3</v>
      </c>
      <c r="S72" s="11">
        <v>7.4649148999701397E-3</v>
      </c>
      <c r="T72" s="11">
        <v>3.3464962184592698E-3</v>
      </c>
      <c r="U72">
        <v>2.7378091442825402E-2</v>
      </c>
      <c r="V72">
        <v>8.6745942819966004E-2</v>
      </c>
      <c r="W72">
        <v>2.13344711717958E-2</v>
      </c>
      <c r="X72">
        <v>1.2848515996402399E-2</v>
      </c>
      <c r="Y72">
        <v>0.134617072956601</v>
      </c>
      <c r="Z72">
        <v>6.0371123538383302E-2</v>
      </c>
      <c r="AA72">
        <v>3.1464916617971003E-2</v>
      </c>
      <c r="AB72">
        <v>6.3165493593214203E-2</v>
      </c>
      <c r="AC72">
        <v>0.179778512872142</v>
      </c>
      <c r="AD72">
        <v>3.7747719408619103E-2</v>
      </c>
      <c r="AE72">
        <v>0.123477962613617</v>
      </c>
      <c r="AF72">
        <v>1.51011778918756E-2</v>
      </c>
      <c r="AG72">
        <v>7.0407660353446503E-3</v>
      </c>
      <c r="AH72">
        <v>5.10511904209403E-2</v>
      </c>
      <c r="AI72">
        <v>1.8387423002666201E-2</v>
      </c>
      <c r="AJ72">
        <v>1.7957835003412002E-2</v>
      </c>
      <c r="AK72">
        <v>1.20540019286403E-2</v>
      </c>
      <c r="AL72">
        <v>2.8675890744856301E-2</v>
      </c>
      <c r="AM72">
        <v>0</v>
      </c>
    </row>
    <row r="73" spans="1:39" customFormat="1" hidden="1" x14ac:dyDescent="0.3">
      <c r="A73" t="s">
        <v>1818</v>
      </c>
      <c r="B73" t="s">
        <v>30</v>
      </c>
      <c r="C73" t="s">
        <v>81</v>
      </c>
      <c r="D73" t="s">
        <v>85</v>
      </c>
      <c r="E73" t="s">
        <v>287</v>
      </c>
      <c r="F73" t="s">
        <v>1530</v>
      </c>
      <c r="G73" t="s">
        <v>1530</v>
      </c>
      <c r="H73" s="16">
        <v>1.66333998669328E-2</v>
      </c>
      <c r="I73" s="11">
        <v>3.6565745209887401E-3</v>
      </c>
      <c r="J73" s="11">
        <v>2.6156327651597699E-2</v>
      </c>
      <c r="K73" s="11">
        <v>1.1317978609020399E-2</v>
      </c>
      <c r="L73" s="11">
        <v>8.5848246714653603E-2</v>
      </c>
      <c r="M73" s="11">
        <v>3.5488679111363502E-3</v>
      </c>
      <c r="N73" s="11">
        <v>9.1671632213411597E-3</v>
      </c>
      <c r="O73" s="11">
        <v>0</v>
      </c>
      <c r="P73" s="11">
        <v>0.207081508639712</v>
      </c>
      <c r="Q73" s="11">
        <v>5.2236549088609703E-2</v>
      </c>
      <c r="R73" s="11">
        <v>5.16146406050133E-2</v>
      </c>
      <c r="S73" s="11">
        <v>0.116950333432866</v>
      </c>
      <c r="T73" s="11">
        <v>2.67719697476742E-2</v>
      </c>
      <c r="U73">
        <v>1.2168040641255699E-2</v>
      </c>
      <c r="V73">
        <v>3.6144142841652502E-3</v>
      </c>
      <c r="W73">
        <v>8.0004266894234399E-3</v>
      </c>
      <c r="X73">
        <v>6.4242579982012101E-3</v>
      </c>
      <c r="Y73">
        <v>1.7558748646513099E-2</v>
      </c>
      <c r="Z73">
        <v>6.3548551093035102E-3</v>
      </c>
      <c r="AA73">
        <v>3.1464916617971003E-2</v>
      </c>
      <c r="AB73">
        <v>0</v>
      </c>
      <c r="AC73">
        <v>7.1911405148856597E-3</v>
      </c>
      <c r="AD73">
        <v>6.2912865681031801E-3</v>
      </c>
      <c r="AE73">
        <v>3.4299434059338E-3</v>
      </c>
      <c r="AF73">
        <v>1.0067451927917E-2</v>
      </c>
      <c r="AG73">
        <v>4.6938440235631002E-3</v>
      </c>
      <c r="AH73">
        <v>1.8564069243978298E-2</v>
      </c>
      <c r="AI73">
        <v>0</v>
      </c>
      <c r="AJ73">
        <v>3.5915670006823998E-3</v>
      </c>
      <c r="AK73">
        <v>3.0135004821600801E-2</v>
      </c>
      <c r="AL73">
        <v>3.5844863431070302E-3</v>
      </c>
      <c r="AM73">
        <v>0</v>
      </c>
    </row>
    <row r="74" spans="1:39" customFormat="1" hidden="1" x14ac:dyDescent="0.3">
      <c r="A74" t="s">
        <v>2089</v>
      </c>
      <c r="B74" t="s">
        <v>30</v>
      </c>
      <c r="C74" t="s">
        <v>81</v>
      </c>
      <c r="D74" t="s">
        <v>118</v>
      </c>
      <c r="E74" t="s">
        <v>371</v>
      </c>
      <c r="F74" t="s">
        <v>424</v>
      </c>
      <c r="G74" t="s">
        <v>444</v>
      </c>
      <c r="H74" s="16">
        <v>2.9108449767132401E-2</v>
      </c>
      <c r="I74" s="11">
        <v>0.17185900248647101</v>
      </c>
      <c r="J74" s="11">
        <v>0.26156327651597699</v>
      </c>
      <c r="K74" s="11">
        <v>0.20372361496236799</v>
      </c>
      <c r="L74" s="11">
        <v>0.264148451429704</v>
      </c>
      <c r="M74" s="11">
        <v>6.3879622400454306E-2</v>
      </c>
      <c r="N74" s="11">
        <v>0.41710592657102302</v>
      </c>
      <c r="O74" s="11">
        <v>0.40877554847177899</v>
      </c>
      <c r="P74" s="11">
        <v>4.7526903622229E-2</v>
      </c>
      <c r="Q74" s="11">
        <v>0.21994336458361999</v>
      </c>
      <c r="R74" s="11">
        <v>8.7520477547631301E-2</v>
      </c>
      <c r="S74" s="11">
        <v>9.9532198666268494E-3</v>
      </c>
      <c r="T74" s="11">
        <v>5.6890435713807599E-2</v>
      </c>
      <c r="U74">
        <v>1.5210050801569701E-2</v>
      </c>
      <c r="V74">
        <v>1.37709184226696</v>
      </c>
      <c r="W74">
        <v>22.9132220385087</v>
      </c>
      <c r="X74">
        <v>0</v>
      </c>
      <c r="Y74">
        <v>1.2642299025489401</v>
      </c>
      <c r="Z74">
        <v>8.4519572953736706</v>
      </c>
      <c r="AA74">
        <v>2.6969928529689401E-2</v>
      </c>
      <c r="AB74">
        <v>5.8653672622270399E-2</v>
      </c>
      <c r="AC74">
        <v>0.73349633251833701</v>
      </c>
      <c r="AD74">
        <v>6.2912865681031801E-3</v>
      </c>
      <c r="AE74">
        <v>13.832961756131001</v>
      </c>
      <c r="AF74">
        <v>25.7575757575758</v>
      </c>
      <c r="AG74">
        <v>37.989626604707901</v>
      </c>
      <c r="AH74">
        <v>12.5400287743073</v>
      </c>
      <c r="AI74">
        <v>14.808770800772299</v>
      </c>
      <c r="AJ74">
        <v>3.5915670006823998E-3</v>
      </c>
      <c r="AK74">
        <v>6.02700096432015E-3</v>
      </c>
      <c r="AL74">
        <v>3.5844863431070302E-3</v>
      </c>
      <c r="AM74">
        <v>0</v>
      </c>
    </row>
    <row r="75" spans="1:39" customFormat="1" hidden="1" x14ac:dyDescent="0.3">
      <c r="A75" t="s">
        <v>2042</v>
      </c>
      <c r="B75" t="s">
        <v>30</v>
      </c>
      <c r="C75" t="s">
        <v>29</v>
      </c>
      <c r="D75" t="s">
        <v>28</v>
      </c>
      <c r="E75" t="s">
        <v>27</v>
      </c>
      <c r="F75" t="s">
        <v>64</v>
      </c>
      <c r="G75" t="s">
        <v>223</v>
      </c>
      <c r="H75" s="16">
        <v>0.17880904856952801</v>
      </c>
      <c r="I75" s="11">
        <v>8.0444639461752204E-2</v>
      </c>
      <c r="J75" s="11">
        <v>0.222328785038581</v>
      </c>
      <c r="K75" s="11">
        <v>0.63380680210514395</v>
      </c>
      <c r="L75" s="11">
        <v>0.20471504985802</v>
      </c>
      <c r="M75" s="11">
        <v>4.9684150755908901E-2</v>
      </c>
      <c r="N75" s="11">
        <v>3.2085071274694003E-2</v>
      </c>
      <c r="O75" s="11">
        <v>2.6251640727545499E-2</v>
      </c>
      <c r="P75" s="11">
        <v>3.3947788301592202E-2</v>
      </c>
      <c r="Q75" s="11">
        <v>1.3746460286476201E-2</v>
      </c>
      <c r="R75" s="11">
        <v>3.1417607324790701E-2</v>
      </c>
      <c r="S75" s="11">
        <v>2.73713546332238E-2</v>
      </c>
      <c r="T75" s="11">
        <v>2.00789773107556E-2</v>
      </c>
      <c r="U75">
        <v>5.4756182885650803E-2</v>
      </c>
      <c r="V75">
        <v>0.53131889977229196</v>
      </c>
      <c r="W75">
        <v>2.6668088964744801E-2</v>
      </c>
      <c r="X75">
        <v>2.5697031992804799E-2</v>
      </c>
      <c r="Y75">
        <v>0.12876415674109601</v>
      </c>
      <c r="Z75">
        <v>2.8596847991865799E-2</v>
      </c>
      <c r="AA75">
        <v>2.6969928529689401E-2</v>
      </c>
      <c r="AB75">
        <v>7.6700956506045803E-2</v>
      </c>
      <c r="AC75">
        <v>0.115058248238171</v>
      </c>
      <c r="AD75">
        <v>5.6621579112928602E-2</v>
      </c>
      <c r="AE75">
        <v>0.229806208197565</v>
      </c>
      <c r="AF75">
        <v>1.51011778918756E-2</v>
      </c>
      <c r="AG75">
        <v>0</v>
      </c>
      <c r="AH75">
        <v>4.1769155798951102E-2</v>
      </c>
      <c r="AI75">
        <v>6.89528362599982E-3</v>
      </c>
      <c r="AJ75">
        <v>1.07747010020472E-2</v>
      </c>
      <c r="AK75">
        <v>1.20540019286403E-2</v>
      </c>
      <c r="AL75">
        <v>7.1689726862140604E-3</v>
      </c>
      <c r="AM75">
        <v>0</v>
      </c>
    </row>
    <row r="76" spans="1:39" customFormat="1" hidden="1" x14ac:dyDescent="0.3">
      <c r="A76" t="s">
        <v>2039</v>
      </c>
      <c r="B76" t="s">
        <v>30</v>
      </c>
      <c r="C76" t="s">
        <v>35</v>
      </c>
      <c r="D76" t="s">
        <v>35</v>
      </c>
      <c r="E76" t="s">
        <v>45</v>
      </c>
      <c r="F76" t="s">
        <v>2038</v>
      </c>
      <c r="G76" t="s">
        <v>2037</v>
      </c>
      <c r="H76" s="16">
        <v>0</v>
      </c>
      <c r="I76" s="11">
        <v>0</v>
      </c>
      <c r="J76" s="11">
        <v>4.3593879419329502E-3</v>
      </c>
      <c r="K76" s="11">
        <v>0</v>
      </c>
      <c r="L76" s="11">
        <v>6.6037112857425903E-2</v>
      </c>
      <c r="M76" s="11">
        <v>0</v>
      </c>
      <c r="N76" s="11">
        <v>1.37507448320117E-2</v>
      </c>
      <c r="O76" s="11">
        <v>1.1250703168948099E-2</v>
      </c>
      <c r="P76" s="11">
        <v>3.3947788301592198E-3</v>
      </c>
      <c r="Q76" s="11">
        <v>2.7492920572952501E-3</v>
      </c>
      <c r="R76" s="11">
        <v>6.7323444267408704E-3</v>
      </c>
      <c r="S76" s="11">
        <v>1.2441524833283601E-2</v>
      </c>
      <c r="T76" s="11">
        <v>0</v>
      </c>
      <c r="U76">
        <v>2.7378091442825402E-2</v>
      </c>
      <c r="V76">
        <v>8.3131528535800803E-2</v>
      </c>
      <c r="W76">
        <v>0.31735025868046302</v>
      </c>
      <c r="X76">
        <v>1.9272773994603601E-2</v>
      </c>
      <c r="Y76">
        <v>0.21070498375815699</v>
      </c>
      <c r="Z76">
        <v>0.40035587188612098</v>
      </c>
      <c r="AA76">
        <v>2.6969928529689401E-2</v>
      </c>
      <c r="AB76">
        <v>0</v>
      </c>
      <c r="AC76">
        <v>2.1573421544656999E-2</v>
      </c>
      <c r="AD76">
        <v>0</v>
      </c>
      <c r="AE76">
        <v>4.11593208712056E-2</v>
      </c>
      <c r="AF76">
        <v>0.26175375012584301</v>
      </c>
      <c r="AG76">
        <v>0.173672228871835</v>
      </c>
      <c r="AH76">
        <v>4.1769155798951102E-2</v>
      </c>
      <c r="AI76">
        <v>6.20575526339983E-2</v>
      </c>
      <c r="AJ76">
        <v>2.1549402004094401E-2</v>
      </c>
      <c r="AK76">
        <v>0</v>
      </c>
      <c r="AL76">
        <v>3.5844863431070302E-3</v>
      </c>
      <c r="AM76">
        <v>0</v>
      </c>
    </row>
    <row r="77" spans="1:39" customFormat="1" hidden="1" x14ac:dyDescent="0.3">
      <c r="A77" t="s">
        <v>1836</v>
      </c>
      <c r="B77" t="s">
        <v>30</v>
      </c>
      <c r="C77" t="s">
        <v>29</v>
      </c>
      <c r="D77" t="s">
        <v>28</v>
      </c>
      <c r="E77" t="s">
        <v>388</v>
      </c>
      <c r="F77" t="s">
        <v>624</v>
      </c>
      <c r="G77" t="s">
        <v>890</v>
      </c>
      <c r="H77" s="16">
        <v>0.10395874916833001</v>
      </c>
      <c r="I77" s="11">
        <v>0.106040661108673</v>
      </c>
      <c r="J77" s="11">
        <v>4.3593879419329497E-2</v>
      </c>
      <c r="K77" s="11">
        <v>3.3953935827061299E-2</v>
      </c>
      <c r="L77" s="11">
        <v>0.17830020471505001</v>
      </c>
      <c r="M77" s="11">
        <v>3.5488679111363497E-2</v>
      </c>
      <c r="N77" s="11">
        <v>8.7088050602740996E-2</v>
      </c>
      <c r="O77" s="11">
        <v>6.7504219013688402E-2</v>
      </c>
      <c r="P77" s="11">
        <v>0.10523814373493599</v>
      </c>
      <c r="Q77" s="11">
        <v>4.6737964974019199E-2</v>
      </c>
      <c r="R77" s="11">
        <v>5.83469850317542E-2</v>
      </c>
      <c r="S77" s="11">
        <v>0.141833383099433</v>
      </c>
      <c r="T77" s="11">
        <v>2.67719697476742E-2</v>
      </c>
      <c r="U77">
        <v>3.04201016031394E-3</v>
      </c>
      <c r="V77">
        <v>3.6144142841652502E-3</v>
      </c>
      <c r="W77">
        <v>1.6000853378846901E-2</v>
      </c>
      <c r="X77">
        <v>1.9272773994603601E-2</v>
      </c>
      <c r="Y77">
        <v>1.17058324310087E-2</v>
      </c>
      <c r="Z77">
        <v>2.22419928825623E-2</v>
      </c>
      <c r="AA77">
        <v>2.6969928529689401E-2</v>
      </c>
      <c r="AB77">
        <v>0</v>
      </c>
      <c r="AC77">
        <v>2.87645620595426E-2</v>
      </c>
      <c r="AD77">
        <v>0</v>
      </c>
      <c r="AE77">
        <v>0</v>
      </c>
      <c r="AF77">
        <v>2.0134903855834101E-2</v>
      </c>
      <c r="AG77">
        <v>3.9897674200286302E-2</v>
      </c>
      <c r="AH77">
        <v>9.2820346219891405E-3</v>
      </c>
      <c r="AI77">
        <v>4.5968557506665397E-3</v>
      </c>
      <c r="AJ77">
        <v>1.07747010020472E-2</v>
      </c>
      <c r="AK77">
        <v>1.8081002892960499E-2</v>
      </c>
      <c r="AL77">
        <v>1.0753459029321099E-2</v>
      </c>
      <c r="AM77">
        <v>0</v>
      </c>
    </row>
    <row r="78" spans="1:39" customFormat="1" hidden="1" x14ac:dyDescent="0.3">
      <c r="A78" t="s">
        <v>1730</v>
      </c>
      <c r="B78" t="s">
        <v>30</v>
      </c>
      <c r="C78" t="s">
        <v>526</v>
      </c>
      <c r="D78" t="s">
        <v>525</v>
      </c>
      <c r="E78" t="s">
        <v>524</v>
      </c>
      <c r="F78" t="s">
        <v>523</v>
      </c>
      <c r="G78" t="s">
        <v>25</v>
      </c>
      <c r="H78" s="16">
        <v>0.13306719893546201</v>
      </c>
      <c r="I78" s="11">
        <v>8.4101213982740994E-2</v>
      </c>
      <c r="J78" s="11">
        <v>0.161297353851519</v>
      </c>
      <c r="K78" s="11">
        <v>0.107520796785694</v>
      </c>
      <c r="L78" s="11">
        <v>0.52169319157366401</v>
      </c>
      <c r="M78" s="11">
        <v>7.0977358222726994E-2</v>
      </c>
      <c r="N78" s="11">
        <v>0.50877755878443398</v>
      </c>
      <c r="O78" s="11">
        <v>0.23626476654790901</v>
      </c>
      <c r="P78" s="11">
        <v>6.4500797773025101E-2</v>
      </c>
      <c r="Q78" s="11">
        <v>5.49858411459049E-2</v>
      </c>
      <c r="R78" s="11">
        <v>3.8149951751531602E-2</v>
      </c>
      <c r="S78" s="11">
        <v>1.7418134766596999E-2</v>
      </c>
      <c r="T78" s="11">
        <v>4.68509470584298E-2</v>
      </c>
      <c r="U78">
        <v>0</v>
      </c>
      <c r="V78">
        <v>0</v>
      </c>
      <c r="W78">
        <v>1.33340444823724E-2</v>
      </c>
      <c r="X78">
        <v>0</v>
      </c>
      <c r="Y78">
        <v>0</v>
      </c>
      <c r="Z78">
        <v>3.1774275546517499E-3</v>
      </c>
      <c r="AA78">
        <v>2.6969928529689401E-2</v>
      </c>
      <c r="AB78">
        <v>0</v>
      </c>
      <c r="AC78">
        <v>0</v>
      </c>
      <c r="AD78">
        <v>0</v>
      </c>
      <c r="AE78">
        <v>0</v>
      </c>
      <c r="AF78">
        <v>5.03372596395852E-3</v>
      </c>
      <c r="AG78">
        <v>0</v>
      </c>
      <c r="AH78">
        <v>0</v>
      </c>
      <c r="AI78">
        <v>2.2984278753332699E-3</v>
      </c>
      <c r="AJ78">
        <v>3.5915670006823998E-3</v>
      </c>
      <c r="AK78">
        <v>1.20540019286403E-2</v>
      </c>
      <c r="AL78">
        <v>1.43379453724281E-2</v>
      </c>
      <c r="AM78">
        <v>0</v>
      </c>
    </row>
    <row r="79" spans="1:39" customFormat="1" hidden="1" x14ac:dyDescent="0.3">
      <c r="A79" t="s">
        <v>1689</v>
      </c>
      <c r="B79" t="s">
        <v>30</v>
      </c>
      <c r="C79" t="s">
        <v>526</v>
      </c>
      <c r="D79" t="s">
        <v>525</v>
      </c>
      <c r="E79" t="s">
        <v>524</v>
      </c>
      <c r="F79" t="s">
        <v>523</v>
      </c>
      <c r="G79" t="s">
        <v>1688</v>
      </c>
      <c r="H79" s="16">
        <v>6.65335994677312E-2</v>
      </c>
      <c r="I79" s="11">
        <v>9.5070937545707196E-2</v>
      </c>
      <c r="J79" s="11">
        <v>5.2312655303195399E-2</v>
      </c>
      <c r="K79" s="11">
        <v>9.0543828872163404E-2</v>
      </c>
      <c r="L79" s="11">
        <v>0.11886680314336701</v>
      </c>
      <c r="M79" s="11">
        <v>1.0646603733408999E-2</v>
      </c>
      <c r="N79" s="11">
        <v>2.75014896640235E-2</v>
      </c>
      <c r="O79" s="11">
        <v>1.50009375585974E-2</v>
      </c>
      <c r="P79" s="11">
        <v>0.10863292256509501</v>
      </c>
      <c r="Q79" s="11">
        <v>3.5740796744838203E-2</v>
      </c>
      <c r="R79" s="11">
        <v>5.83469850317542E-2</v>
      </c>
      <c r="S79" s="11">
        <v>7.4649148999701397E-3</v>
      </c>
      <c r="T79" s="11">
        <v>2.00789773107556E-2</v>
      </c>
      <c r="U79">
        <v>0</v>
      </c>
      <c r="V79">
        <v>0</v>
      </c>
      <c r="W79">
        <v>1.06672355858979E-2</v>
      </c>
      <c r="X79">
        <v>0</v>
      </c>
      <c r="Y79">
        <v>0</v>
      </c>
      <c r="Z79">
        <v>0</v>
      </c>
      <c r="AA79">
        <v>2.6969928529689401E-2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1.39230519329837E-2</v>
      </c>
      <c r="AI79">
        <v>0</v>
      </c>
      <c r="AJ79">
        <v>7.1831340013647996E-3</v>
      </c>
      <c r="AK79">
        <v>1.8081002892960499E-2</v>
      </c>
      <c r="AL79">
        <v>0</v>
      </c>
      <c r="AM79">
        <v>0</v>
      </c>
    </row>
    <row r="80" spans="1:39" customFormat="1" hidden="1" x14ac:dyDescent="0.3">
      <c r="A80" t="s">
        <v>2077</v>
      </c>
      <c r="B80" t="s">
        <v>30</v>
      </c>
      <c r="C80" t="s">
        <v>81</v>
      </c>
      <c r="D80" t="s">
        <v>80</v>
      </c>
      <c r="E80" t="s">
        <v>618</v>
      </c>
      <c r="F80" t="s">
        <v>629</v>
      </c>
      <c r="G80" t="s">
        <v>628</v>
      </c>
      <c r="H80" s="16">
        <v>2.4950099800399202E-2</v>
      </c>
      <c r="I80" s="11">
        <v>3.6565745209887401E-3</v>
      </c>
      <c r="J80" s="11">
        <v>8.7187758838659108E-3</v>
      </c>
      <c r="K80" s="11">
        <v>5.6589893045102101E-3</v>
      </c>
      <c r="L80" s="11">
        <v>5.28296902859407E-2</v>
      </c>
      <c r="M80" s="11">
        <v>3.5488679111363502E-3</v>
      </c>
      <c r="N80" s="11">
        <v>4.5835816106705798E-2</v>
      </c>
      <c r="O80" s="11">
        <v>7.8754922182636397E-2</v>
      </c>
      <c r="P80" s="11">
        <v>1.35791153206369E-2</v>
      </c>
      <c r="Q80" s="11">
        <v>3.2991504687543E-2</v>
      </c>
      <c r="R80" s="11">
        <v>1.7952918471309001E-2</v>
      </c>
      <c r="S80" s="11">
        <v>9.9532198666268494E-3</v>
      </c>
      <c r="T80" s="11">
        <v>0</v>
      </c>
      <c r="U80">
        <v>7.60502540078484E-2</v>
      </c>
      <c r="V80">
        <v>1.6987747135576701</v>
      </c>
      <c r="W80">
        <v>0.91738226038722104</v>
      </c>
      <c r="X80">
        <v>0</v>
      </c>
      <c r="Y80">
        <v>0.26338122969769701</v>
      </c>
      <c r="Z80">
        <v>2.5641840366039701</v>
      </c>
      <c r="AA80">
        <v>2.2474940441407801E-2</v>
      </c>
      <c r="AB80">
        <v>9.9260061360765206E-2</v>
      </c>
      <c r="AC80">
        <v>0.84855458075650803</v>
      </c>
      <c r="AD80">
        <v>0.27681660899653998</v>
      </c>
      <c r="AE80">
        <v>1.2382095695421</v>
      </c>
      <c r="AF80">
        <v>1.2936675727373399</v>
      </c>
      <c r="AG80">
        <v>4.0038489520993199</v>
      </c>
      <c r="AH80">
        <v>1.15561331043765</v>
      </c>
      <c r="AI80">
        <v>6.3413625080445</v>
      </c>
      <c r="AJ80">
        <v>7.1831340013647996E-3</v>
      </c>
      <c r="AK80">
        <v>1.20540019286403E-2</v>
      </c>
      <c r="AL80">
        <v>1.0753459029321099E-2</v>
      </c>
      <c r="AM80">
        <v>0</v>
      </c>
    </row>
    <row r="81" spans="1:39" customFormat="1" hidden="1" x14ac:dyDescent="0.3">
      <c r="A81" t="s">
        <v>2041</v>
      </c>
      <c r="B81" t="s">
        <v>30</v>
      </c>
      <c r="C81" t="s">
        <v>29</v>
      </c>
      <c r="D81" t="s">
        <v>28</v>
      </c>
      <c r="E81" t="s">
        <v>27</v>
      </c>
      <c r="F81" t="s">
        <v>54</v>
      </c>
      <c r="G81" t="s">
        <v>53</v>
      </c>
      <c r="H81" s="16">
        <v>0.270292747837658</v>
      </c>
      <c r="I81" s="11">
        <v>0.16088927892350399</v>
      </c>
      <c r="J81" s="11">
        <v>0.26156327651597699</v>
      </c>
      <c r="K81" s="11">
        <v>0.14147473261275501</v>
      </c>
      <c r="L81" s="11">
        <v>0.43584494485901099</v>
      </c>
      <c r="M81" s="11">
        <v>1.0646603733408999E-2</v>
      </c>
      <c r="N81" s="11">
        <v>9.62552138240821E-2</v>
      </c>
      <c r="O81" s="11">
        <v>4.8753047065441597E-2</v>
      </c>
      <c r="P81" s="11">
        <v>0.17652849916827901</v>
      </c>
      <c r="Q81" s="11">
        <v>8.7977345833447906E-2</v>
      </c>
      <c r="R81" s="11">
        <v>7.8544018311976799E-2</v>
      </c>
      <c r="S81" s="11">
        <v>4.7277794366477603E-2</v>
      </c>
      <c r="T81" s="11">
        <v>6.69299243691855E-3</v>
      </c>
      <c r="U81">
        <v>0</v>
      </c>
      <c r="V81">
        <v>2.0963602848158498</v>
      </c>
      <c r="W81">
        <v>4.00021334471172E-2</v>
      </c>
      <c r="X81">
        <v>0</v>
      </c>
      <c r="Y81">
        <v>0.48286558777911098</v>
      </c>
      <c r="Z81">
        <v>0.10803253685816</v>
      </c>
      <c r="AA81">
        <v>2.2474940441407801E-2</v>
      </c>
      <c r="AB81">
        <v>4.9630030680382603E-2</v>
      </c>
      <c r="AC81">
        <v>0.35236588522939699</v>
      </c>
      <c r="AD81">
        <v>6.6058508965083404E-2</v>
      </c>
      <c r="AE81">
        <v>0.48705196364260001</v>
      </c>
      <c r="AF81">
        <v>0.16611295681063101</v>
      </c>
      <c r="AG81">
        <v>5.8673050294538703E-2</v>
      </c>
      <c r="AH81">
        <v>9.7461363530885997E-2</v>
      </c>
      <c r="AI81">
        <v>0.282706628665992</v>
      </c>
      <c r="AJ81">
        <v>0</v>
      </c>
      <c r="AK81">
        <v>6.02700096432015E-3</v>
      </c>
      <c r="AL81">
        <v>1.0753459029321099E-2</v>
      </c>
      <c r="AM81">
        <v>0</v>
      </c>
    </row>
    <row r="82" spans="1:39" customFormat="1" hidden="1" x14ac:dyDescent="0.3">
      <c r="A82" t="s">
        <v>1981</v>
      </c>
      <c r="B82" t="s">
        <v>30</v>
      </c>
      <c r="C82" t="s">
        <v>111</v>
      </c>
      <c r="D82" t="s">
        <v>141</v>
      </c>
      <c r="E82" t="s">
        <v>140</v>
      </c>
      <c r="F82" t="s">
        <v>1790</v>
      </c>
      <c r="G82" t="s">
        <v>1980</v>
      </c>
      <c r="H82" s="16">
        <v>0.120592149035263</v>
      </c>
      <c r="I82" s="11">
        <v>0.193798449612403</v>
      </c>
      <c r="J82" s="11">
        <v>7.4109595012860199E-2</v>
      </c>
      <c r="K82" s="11">
        <v>4.5271914436081702E-2</v>
      </c>
      <c r="L82" s="11">
        <v>8.5848246714653603E-2</v>
      </c>
      <c r="M82" s="11">
        <v>7.0977358222726994E-2</v>
      </c>
      <c r="N82" s="11">
        <v>0.20167759086950501</v>
      </c>
      <c r="O82" s="11">
        <v>0.23626476654790901</v>
      </c>
      <c r="P82" s="11">
        <v>7.12903554333435E-2</v>
      </c>
      <c r="Q82" s="11">
        <v>3.2991504687543E-2</v>
      </c>
      <c r="R82" s="11">
        <v>3.36617221337044E-2</v>
      </c>
      <c r="S82" s="11">
        <v>1.2441524833283601E-2</v>
      </c>
      <c r="T82" s="11">
        <v>4.68509470584298E-2</v>
      </c>
      <c r="U82">
        <v>3.04201016031394E-3</v>
      </c>
      <c r="V82">
        <v>0</v>
      </c>
      <c r="W82">
        <v>0</v>
      </c>
      <c r="X82">
        <v>6.4242579982012105E-2</v>
      </c>
      <c r="Y82">
        <v>0</v>
      </c>
      <c r="Z82">
        <v>9.5322826639552601E-3</v>
      </c>
      <c r="AA82">
        <v>2.2474940441407801E-2</v>
      </c>
      <c r="AB82">
        <v>0</v>
      </c>
      <c r="AC82">
        <v>0</v>
      </c>
      <c r="AD82">
        <v>0</v>
      </c>
      <c r="AE82">
        <v>0</v>
      </c>
      <c r="AF82">
        <v>5.03372596395852E-3</v>
      </c>
      <c r="AG82">
        <v>0</v>
      </c>
      <c r="AH82">
        <v>0</v>
      </c>
      <c r="AI82">
        <v>0</v>
      </c>
      <c r="AJ82">
        <v>7.1831340013647996E-3</v>
      </c>
      <c r="AK82">
        <v>0</v>
      </c>
      <c r="AL82">
        <v>0</v>
      </c>
      <c r="AM82">
        <v>0</v>
      </c>
    </row>
    <row r="83" spans="1:39" customFormat="1" hidden="1" x14ac:dyDescent="0.3">
      <c r="A83" t="s">
        <v>1930</v>
      </c>
      <c r="B83" t="s">
        <v>30</v>
      </c>
      <c r="C83" t="s">
        <v>81</v>
      </c>
      <c r="D83" t="s">
        <v>80</v>
      </c>
      <c r="E83" t="s">
        <v>618</v>
      </c>
      <c r="F83" t="s">
        <v>617</v>
      </c>
      <c r="G83" t="s">
        <v>1929</v>
      </c>
      <c r="H83" s="16">
        <v>6.65335994677312E-2</v>
      </c>
      <c r="I83" s="11">
        <v>6.2161766856808499E-2</v>
      </c>
      <c r="J83" s="11">
        <v>3.9234491477396598E-2</v>
      </c>
      <c r="K83" s="11">
        <v>5.09309037405919E-2</v>
      </c>
      <c r="L83" s="11">
        <v>0.132074225714852</v>
      </c>
      <c r="M83" s="11">
        <v>1.4195471644545401E-2</v>
      </c>
      <c r="N83" s="11">
        <v>8.2504468992070396E-2</v>
      </c>
      <c r="O83" s="11">
        <v>6.00037502343896E-2</v>
      </c>
      <c r="P83" s="11">
        <v>2.03686729809553E-2</v>
      </c>
      <c r="Q83" s="11">
        <v>3.2991504687543E-2</v>
      </c>
      <c r="R83" s="11">
        <v>6.28352146495815E-2</v>
      </c>
      <c r="S83" s="11">
        <v>4.9766099333134299E-3</v>
      </c>
      <c r="T83" s="11">
        <v>6.69299243691855E-3</v>
      </c>
      <c r="U83">
        <v>3.04201016031394E-3</v>
      </c>
      <c r="V83">
        <v>3.6144142841652502E-2</v>
      </c>
      <c r="W83">
        <v>0</v>
      </c>
      <c r="X83">
        <v>0</v>
      </c>
      <c r="Y83" s="3">
        <v>0.11998478241784</v>
      </c>
      <c r="Z83">
        <v>0</v>
      </c>
      <c r="AA83">
        <v>2.2474940441407801E-2</v>
      </c>
      <c r="AB83">
        <v>0</v>
      </c>
      <c r="AC83">
        <v>1.43822810297713E-2</v>
      </c>
      <c r="AD83">
        <v>3.14564328405159E-3</v>
      </c>
      <c r="AE83">
        <v>1.37197736237352E-2</v>
      </c>
      <c r="AF83">
        <v>0</v>
      </c>
      <c r="AG83">
        <v>2.3469220117815501E-3</v>
      </c>
      <c r="AH83">
        <v>4.6410173109945703E-3</v>
      </c>
      <c r="AI83">
        <v>0</v>
      </c>
      <c r="AJ83" s="5">
        <v>0.298100061056639</v>
      </c>
      <c r="AK83">
        <v>6.02700096432015E-3</v>
      </c>
      <c r="AL83" s="5">
        <v>1.0753459029321099E-2</v>
      </c>
      <c r="AM83">
        <v>0</v>
      </c>
    </row>
    <row r="84" spans="1:39" customFormat="1" hidden="1" x14ac:dyDescent="0.3">
      <c r="A84" t="s">
        <v>1918</v>
      </c>
      <c r="B84" t="s">
        <v>30</v>
      </c>
      <c r="C84" t="s">
        <v>81</v>
      </c>
      <c r="D84" t="s">
        <v>80</v>
      </c>
      <c r="E84" t="s">
        <v>642</v>
      </c>
      <c r="F84" t="s">
        <v>645</v>
      </c>
      <c r="G84" t="s">
        <v>644</v>
      </c>
      <c r="H84" s="16">
        <v>4.5741849634065197E-2</v>
      </c>
      <c r="I84" s="11">
        <v>6.2161766856808499E-2</v>
      </c>
      <c r="J84" s="11">
        <v>3.9234491477396598E-2</v>
      </c>
      <c r="K84" s="11">
        <v>7.9225850263142994E-2</v>
      </c>
      <c r="L84" s="11">
        <v>3.9622267714455497E-2</v>
      </c>
      <c r="M84" s="11">
        <v>3.1939811200227097E-2</v>
      </c>
      <c r="N84" s="11">
        <v>4.1252234496035198E-2</v>
      </c>
      <c r="O84" s="11">
        <v>5.2503281455090901E-2</v>
      </c>
      <c r="P84" s="11">
        <v>4.0737345961910601E-2</v>
      </c>
      <c r="Q84" s="11">
        <v>2.7492920572952501E-3</v>
      </c>
      <c r="R84" s="11">
        <v>4.4882296178272501E-3</v>
      </c>
      <c r="S84" s="11">
        <v>3.9812879466507398E-2</v>
      </c>
      <c r="T84" s="11">
        <v>1.67324810922964E-2</v>
      </c>
      <c r="U84">
        <v>0</v>
      </c>
      <c r="V84">
        <v>0</v>
      </c>
      <c r="W84">
        <v>2.6668088964744798E-3</v>
      </c>
      <c r="X84">
        <v>0</v>
      </c>
      <c r="Y84">
        <v>2.9264581077521898E-3</v>
      </c>
      <c r="Z84">
        <v>0</v>
      </c>
      <c r="AA84">
        <v>2.2474940441407801E-2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</row>
    <row r="85" spans="1:39" customFormat="1" hidden="1" x14ac:dyDescent="0.3">
      <c r="A85" t="s">
        <v>1838</v>
      </c>
      <c r="B85" t="s">
        <v>30</v>
      </c>
      <c r="C85" t="s">
        <v>81</v>
      </c>
      <c r="D85" t="s">
        <v>80</v>
      </c>
      <c r="E85" t="s">
        <v>618</v>
      </c>
      <c r="F85" t="s">
        <v>629</v>
      </c>
      <c r="G85" t="s">
        <v>1837</v>
      </c>
      <c r="H85" s="16">
        <v>5.8216899534264802E-2</v>
      </c>
      <c r="I85" s="11">
        <v>2.1939447125932401E-2</v>
      </c>
      <c r="J85" s="11">
        <v>2.17969397096648E-2</v>
      </c>
      <c r="K85" s="11">
        <v>2.8294946522551101E-2</v>
      </c>
      <c r="L85" s="11">
        <v>1.9811133857227801E-2</v>
      </c>
      <c r="M85" s="11">
        <v>0</v>
      </c>
      <c r="N85" s="11">
        <v>1.69134161433744</v>
      </c>
      <c r="O85" s="11">
        <v>0.42377648603037699</v>
      </c>
      <c r="P85" s="11">
        <v>0</v>
      </c>
      <c r="Q85" s="11">
        <v>2.7492920572952501E-3</v>
      </c>
      <c r="R85" s="11">
        <v>0</v>
      </c>
      <c r="S85" s="11">
        <v>1.49298297999403E-2</v>
      </c>
      <c r="T85" s="11">
        <v>1.33859848738371E-2</v>
      </c>
      <c r="U85">
        <v>2.7378091442825402E-2</v>
      </c>
      <c r="V85">
        <v>2.8915314273322001E-2</v>
      </c>
      <c r="W85">
        <v>2.9334897861219299E-2</v>
      </c>
      <c r="X85">
        <v>1.2848515996402399E-2</v>
      </c>
      <c r="Y85">
        <v>0</v>
      </c>
      <c r="Z85">
        <v>1.58871377732588E-2</v>
      </c>
      <c r="AA85">
        <v>2.2474940441407801E-2</v>
      </c>
      <c r="AB85">
        <v>0</v>
      </c>
      <c r="AC85">
        <v>1.43822810297713E-2</v>
      </c>
      <c r="AD85">
        <v>0</v>
      </c>
      <c r="AE85">
        <v>0</v>
      </c>
      <c r="AF85">
        <v>0</v>
      </c>
      <c r="AG85">
        <v>2.3469220117815501E-3</v>
      </c>
      <c r="AH85">
        <v>4.6410173109945703E-3</v>
      </c>
      <c r="AI85">
        <v>2.2984278753332699E-3</v>
      </c>
      <c r="AJ85">
        <v>1.07747010020472E-2</v>
      </c>
      <c r="AK85">
        <v>0</v>
      </c>
      <c r="AL85">
        <v>3.5844863431070302E-3</v>
      </c>
      <c r="AM85">
        <v>0</v>
      </c>
    </row>
    <row r="86" spans="1:39" customFormat="1" hidden="1" x14ac:dyDescent="0.3">
      <c r="A86" t="s">
        <v>1831</v>
      </c>
      <c r="B86" t="s">
        <v>30</v>
      </c>
      <c r="C86" t="s">
        <v>81</v>
      </c>
      <c r="D86" t="s">
        <v>85</v>
      </c>
      <c r="E86" t="s">
        <v>287</v>
      </c>
      <c r="F86" t="s">
        <v>1830</v>
      </c>
      <c r="G86" t="s">
        <v>1829</v>
      </c>
      <c r="H86" s="16">
        <v>0.11643379906853001</v>
      </c>
      <c r="I86" s="11">
        <v>0.120666959192628</v>
      </c>
      <c r="J86" s="11">
        <v>6.9750207070927203E-2</v>
      </c>
      <c r="K86" s="11">
        <v>5.09309037405919E-2</v>
      </c>
      <c r="L86" s="11">
        <v>0.37641154328732701</v>
      </c>
      <c r="M86" s="11">
        <v>1.0646603733408999E-2</v>
      </c>
      <c r="N86" s="11">
        <v>0.12834028509877601</v>
      </c>
      <c r="O86" s="11">
        <v>5.6253515844740302E-2</v>
      </c>
      <c r="P86" s="11">
        <v>4.0737345961910601E-2</v>
      </c>
      <c r="Q86" s="11">
        <v>4.3988672916723898E-2</v>
      </c>
      <c r="R86" s="11">
        <v>3.5905836942618001E-2</v>
      </c>
      <c r="S86" s="11">
        <v>2.4883049666567102E-3</v>
      </c>
      <c r="T86" s="11">
        <v>0</v>
      </c>
      <c r="U86">
        <v>6.0840203206278696E-3</v>
      </c>
      <c r="V86">
        <v>1.0843242852495801E-2</v>
      </c>
      <c r="W86">
        <v>1.06672355858979E-2</v>
      </c>
      <c r="X86">
        <v>0</v>
      </c>
      <c r="Y86">
        <v>5.8529162155043701E-3</v>
      </c>
      <c r="Z86">
        <v>3.1774275546517499E-3</v>
      </c>
      <c r="AA86">
        <v>2.2474940441407801E-2</v>
      </c>
      <c r="AB86">
        <v>9.0236419418877507E-3</v>
      </c>
      <c r="AC86">
        <v>7.1911405148856597E-3</v>
      </c>
      <c r="AD86">
        <v>0</v>
      </c>
      <c r="AE86">
        <v>3.4299434059338E-3</v>
      </c>
      <c r="AF86">
        <v>2.51686298197926E-2</v>
      </c>
      <c r="AG86">
        <v>0</v>
      </c>
      <c r="AH86">
        <v>6.4974242353924003E-2</v>
      </c>
      <c r="AI86">
        <v>6.89528362599982E-3</v>
      </c>
      <c r="AJ86">
        <v>7.1831340013647996E-3</v>
      </c>
      <c r="AK86">
        <v>1.8081002892960499E-2</v>
      </c>
      <c r="AL86">
        <v>1.0753459029321099E-2</v>
      </c>
      <c r="AM86">
        <v>0</v>
      </c>
    </row>
    <row r="87" spans="1:39" customFormat="1" hidden="1" x14ac:dyDescent="0.3">
      <c r="A87" t="s">
        <v>1808</v>
      </c>
      <c r="B87" t="s">
        <v>30</v>
      </c>
      <c r="C87" t="s">
        <v>81</v>
      </c>
      <c r="D87" t="s">
        <v>85</v>
      </c>
      <c r="E87" t="s">
        <v>84</v>
      </c>
      <c r="F87" t="s">
        <v>84</v>
      </c>
      <c r="G87" t="s">
        <v>84</v>
      </c>
      <c r="H87" s="16">
        <v>2.0791749833665999E-2</v>
      </c>
      <c r="I87" s="11">
        <v>1.4626298083955E-2</v>
      </c>
      <c r="J87" s="11">
        <v>2.17969397096648E-2</v>
      </c>
      <c r="K87" s="11">
        <v>0</v>
      </c>
      <c r="L87" s="11">
        <v>3.3018556428712903E-2</v>
      </c>
      <c r="M87" s="11">
        <v>0</v>
      </c>
      <c r="N87" s="11">
        <v>4.5835816106705798E-2</v>
      </c>
      <c r="O87" s="11">
        <v>3.7502343896493498E-2</v>
      </c>
      <c r="P87" s="11">
        <v>3.7342567131751402E-2</v>
      </c>
      <c r="Q87" s="11">
        <v>5.4985841145904898E-3</v>
      </c>
      <c r="R87" s="11">
        <v>2.4685262898049901E-2</v>
      </c>
      <c r="S87" s="11">
        <v>0</v>
      </c>
      <c r="T87" s="11">
        <v>3.3464962184592698E-3</v>
      </c>
      <c r="U87">
        <v>2.12940711221975E-2</v>
      </c>
      <c r="V87">
        <v>0</v>
      </c>
      <c r="W87">
        <v>5.3336177929489597E-3</v>
      </c>
      <c r="X87">
        <v>1.9272773994603601E-2</v>
      </c>
      <c r="Y87">
        <v>0</v>
      </c>
      <c r="Z87">
        <v>9.5322826639552601E-3</v>
      </c>
      <c r="AA87">
        <v>2.2474940441407801E-2</v>
      </c>
      <c r="AB87">
        <v>1.35354629128316E-2</v>
      </c>
      <c r="AC87">
        <v>7.1911405148856597E-3</v>
      </c>
      <c r="AD87">
        <v>0</v>
      </c>
      <c r="AE87">
        <v>0</v>
      </c>
      <c r="AF87">
        <v>0</v>
      </c>
      <c r="AG87">
        <v>4.6938440235631002E-3</v>
      </c>
      <c r="AH87">
        <v>1.39230519329837E-2</v>
      </c>
      <c r="AI87">
        <v>6.89528362599982E-3</v>
      </c>
      <c r="AJ87">
        <v>1.4366268002729599E-2</v>
      </c>
      <c r="AK87">
        <v>6.02700096432015E-3</v>
      </c>
      <c r="AL87">
        <v>3.5844863431070302E-3</v>
      </c>
      <c r="AM87">
        <v>0</v>
      </c>
    </row>
    <row r="88" spans="1:39" customFormat="1" hidden="1" x14ac:dyDescent="0.3">
      <c r="A88" t="s">
        <v>1787</v>
      </c>
      <c r="B88" t="s">
        <v>30</v>
      </c>
      <c r="C88" t="s">
        <v>111</v>
      </c>
      <c r="D88" t="s">
        <v>141</v>
      </c>
      <c r="E88" t="s">
        <v>140</v>
      </c>
      <c r="F88" t="s">
        <v>276</v>
      </c>
      <c r="G88" t="s">
        <v>275</v>
      </c>
      <c r="H88" s="16">
        <v>0.17880904856952801</v>
      </c>
      <c r="I88" s="11">
        <v>6.5818341377797296E-2</v>
      </c>
      <c r="J88" s="11">
        <v>0.100265922664458</v>
      </c>
      <c r="K88" s="11">
        <v>0.107520796785694</v>
      </c>
      <c r="L88" s="11">
        <v>9.9055669286138806E-2</v>
      </c>
      <c r="M88" s="11">
        <v>7.8075094044999696E-2</v>
      </c>
      <c r="N88" s="11">
        <v>3.2085071274694003E-2</v>
      </c>
      <c r="O88" s="11">
        <v>3.3752109506844201E-2</v>
      </c>
      <c r="P88" s="11">
        <v>0.16294938384764199</v>
      </c>
      <c r="Q88" s="11">
        <v>9.8974514062628902E-2</v>
      </c>
      <c r="R88" s="11">
        <v>4.4882296178272503E-2</v>
      </c>
      <c r="S88" s="11">
        <v>1.49298297999403E-2</v>
      </c>
      <c r="T88" s="11">
        <v>6.69299243691855E-3</v>
      </c>
      <c r="U88">
        <v>6.0840203206278696E-3</v>
      </c>
      <c r="V88">
        <v>7.2288285683305004E-3</v>
      </c>
      <c r="W88">
        <v>2.6668088964744798E-3</v>
      </c>
      <c r="X88">
        <v>6.4242579982012101E-3</v>
      </c>
      <c r="Y88">
        <v>5.8529162155043701E-3</v>
      </c>
      <c r="Z88">
        <v>3.1774275546517499E-3</v>
      </c>
      <c r="AA88">
        <v>2.2474940441407801E-2</v>
      </c>
      <c r="AB88">
        <v>0</v>
      </c>
      <c r="AC88">
        <v>2.1573421544656999E-2</v>
      </c>
      <c r="AD88">
        <v>3.14564328405159E-3</v>
      </c>
      <c r="AE88">
        <v>3.4299434059338E-3</v>
      </c>
      <c r="AF88">
        <v>5.03372596395852E-3</v>
      </c>
      <c r="AG88">
        <v>0</v>
      </c>
      <c r="AH88">
        <v>0</v>
      </c>
      <c r="AI88">
        <v>0</v>
      </c>
      <c r="AJ88">
        <v>1.07747010020472E-2</v>
      </c>
      <c r="AK88">
        <v>6.02700096432015E-3</v>
      </c>
      <c r="AL88">
        <v>7.1689726862140604E-3</v>
      </c>
      <c r="AM88">
        <v>0</v>
      </c>
    </row>
    <row r="89" spans="1:39" customFormat="1" hidden="1" x14ac:dyDescent="0.3">
      <c r="A89" t="s">
        <v>2008</v>
      </c>
      <c r="B89" t="s">
        <v>30</v>
      </c>
      <c r="C89" t="s">
        <v>81</v>
      </c>
      <c r="D89" t="s">
        <v>118</v>
      </c>
      <c r="E89" t="s">
        <v>371</v>
      </c>
      <c r="F89" t="s">
        <v>429</v>
      </c>
      <c r="G89" t="s">
        <v>2007</v>
      </c>
      <c r="H89" s="16">
        <v>7.9008649367930797E-2</v>
      </c>
      <c r="I89" s="11">
        <v>5.4848617814831101E-2</v>
      </c>
      <c r="J89" s="11">
        <v>5.6672043245128402E-2</v>
      </c>
      <c r="K89" s="11">
        <v>0.14713372191726601</v>
      </c>
      <c r="L89" s="11">
        <v>0.31697814171564398</v>
      </c>
      <c r="M89" s="11">
        <v>0.15260132017886299</v>
      </c>
      <c r="N89" s="11">
        <v>0.114589540266764</v>
      </c>
      <c r="O89" s="11">
        <v>6.00037502343896E-2</v>
      </c>
      <c r="P89" s="11">
        <v>2.03686729809553E-2</v>
      </c>
      <c r="Q89" s="11">
        <v>2.1994336458362001E-2</v>
      </c>
      <c r="R89" s="11">
        <v>6.5079329458495094E-2</v>
      </c>
      <c r="S89" s="11">
        <v>2.4883049666567102E-3</v>
      </c>
      <c r="T89" s="11">
        <v>0</v>
      </c>
      <c r="U89">
        <v>0</v>
      </c>
      <c r="V89">
        <v>0</v>
      </c>
      <c r="W89">
        <v>0</v>
      </c>
      <c r="X89">
        <v>3.2121289991005997E-2</v>
      </c>
      <c r="Y89">
        <v>0</v>
      </c>
      <c r="Z89">
        <v>0</v>
      </c>
      <c r="AA89">
        <v>1.7979952353126299E-2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6.03332250429294E-2</v>
      </c>
      <c r="AI89">
        <v>0</v>
      </c>
      <c r="AJ89">
        <v>1.7957835003412002E-2</v>
      </c>
      <c r="AK89">
        <v>0</v>
      </c>
      <c r="AL89">
        <v>3.5844863431070302E-3</v>
      </c>
      <c r="AM89">
        <v>0</v>
      </c>
    </row>
    <row r="90" spans="1:39" customFormat="1" hidden="1" x14ac:dyDescent="0.3">
      <c r="A90" t="s">
        <v>2002</v>
      </c>
      <c r="B90" t="s">
        <v>30</v>
      </c>
      <c r="C90" t="s">
        <v>29</v>
      </c>
      <c r="D90" t="s">
        <v>28</v>
      </c>
      <c r="E90" t="s">
        <v>27</v>
      </c>
      <c r="F90" t="s">
        <v>67</v>
      </c>
      <c r="G90" t="s">
        <v>66</v>
      </c>
      <c r="H90" s="16">
        <v>4.1583499667332E-3</v>
      </c>
      <c r="I90" s="11">
        <v>1.8282872604943701E-2</v>
      </c>
      <c r="J90" s="11">
        <v>0.100265922664458</v>
      </c>
      <c r="K90" s="11">
        <v>9.0543828872163404E-2</v>
      </c>
      <c r="L90" s="11">
        <v>5.28296902859407E-2</v>
      </c>
      <c r="M90" s="11">
        <v>0.31939811200227097</v>
      </c>
      <c r="N90" s="11">
        <v>0.52252830361644598</v>
      </c>
      <c r="O90" s="11">
        <v>0.73129570598162397</v>
      </c>
      <c r="P90" s="11">
        <v>2.03686729809553E-2</v>
      </c>
      <c r="Q90" s="11">
        <v>1.64957523437715E-2</v>
      </c>
      <c r="R90" s="11">
        <v>6.7323444267408704E-3</v>
      </c>
      <c r="S90" s="11">
        <v>0</v>
      </c>
      <c r="T90" s="11">
        <v>0</v>
      </c>
      <c r="U90">
        <v>1.2168040641255699E-2</v>
      </c>
      <c r="V90">
        <v>0</v>
      </c>
      <c r="W90">
        <v>0.10933916475545399</v>
      </c>
      <c r="X90">
        <v>4.4969805987408497E-2</v>
      </c>
      <c r="Y90">
        <v>5.8529162155043701E-3</v>
      </c>
      <c r="Z90">
        <v>7.9435688866293805E-2</v>
      </c>
      <c r="AA90">
        <v>1.7979952353126299E-2</v>
      </c>
      <c r="AB90">
        <v>0</v>
      </c>
      <c r="AC90">
        <v>7.1911405148856597E-3</v>
      </c>
      <c r="AD90">
        <v>0</v>
      </c>
      <c r="AE90">
        <v>0</v>
      </c>
      <c r="AF90">
        <v>2.0134903855834101E-2</v>
      </c>
      <c r="AG90">
        <v>4.6938440235631002E-3</v>
      </c>
      <c r="AH90">
        <v>4.6410173109945703E-3</v>
      </c>
      <c r="AI90">
        <v>0</v>
      </c>
      <c r="AJ90">
        <v>3.5915670006823998E-3</v>
      </c>
      <c r="AK90">
        <v>6.02700096432015E-3</v>
      </c>
      <c r="AL90">
        <v>7.1689726862140604E-3</v>
      </c>
      <c r="AM90">
        <v>0</v>
      </c>
    </row>
    <row r="91" spans="1:39" customFormat="1" hidden="1" x14ac:dyDescent="0.3">
      <c r="A91" t="s">
        <v>1910</v>
      </c>
      <c r="B91" t="s">
        <v>30</v>
      </c>
      <c r="C91" t="s">
        <v>35</v>
      </c>
      <c r="D91" t="s">
        <v>35</v>
      </c>
      <c r="E91" t="s">
        <v>45</v>
      </c>
      <c r="F91" t="s">
        <v>1909</v>
      </c>
      <c r="G91" t="s">
        <v>1908</v>
      </c>
      <c r="H91" s="16">
        <v>2.9108449767132401E-2</v>
      </c>
      <c r="I91" s="11">
        <v>5.4848617814831101E-2</v>
      </c>
      <c r="J91" s="11">
        <v>1.7437551767731801E-2</v>
      </c>
      <c r="K91" s="11">
        <v>3.9612925131571497E-2</v>
      </c>
      <c r="L91" s="11">
        <v>4.6225979000198099E-2</v>
      </c>
      <c r="M91" s="11">
        <v>7.0977358222727004E-3</v>
      </c>
      <c r="N91" s="11">
        <v>1.37507448320117E-2</v>
      </c>
      <c r="O91" s="11">
        <v>7.5004687792987104E-3</v>
      </c>
      <c r="P91" s="11">
        <v>4.0737345961910601E-2</v>
      </c>
      <c r="Q91" s="11">
        <v>1.64957523437715E-2</v>
      </c>
      <c r="R91" s="11">
        <v>1.3464688853481699E-2</v>
      </c>
      <c r="S91" s="11">
        <v>3.9812879466507398E-2</v>
      </c>
      <c r="T91" s="11">
        <v>2.34254735292149E-2</v>
      </c>
      <c r="U91">
        <v>6.0840203206278696E-3</v>
      </c>
      <c r="V91">
        <v>1.4457657136661001E-2</v>
      </c>
      <c r="W91">
        <v>0.16534215158141799</v>
      </c>
      <c r="X91">
        <v>1.9272773994603601E-2</v>
      </c>
      <c r="Y91">
        <v>2.3411664862017501E-2</v>
      </c>
      <c r="Z91">
        <v>0.13662938485002499</v>
      </c>
      <c r="AA91">
        <v>1.7979952353126299E-2</v>
      </c>
      <c r="AB91">
        <v>9.0236419418877507E-3</v>
      </c>
      <c r="AC91">
        <v>7.1911405148856597E-3</v>
      </c>
      <c r="AD91">
        <v>0</v>
      </c>
      <c r="AE91">
        <v>3.4299434059338E-3</v>
      </c>
      <c r="AF91">
        <v>5.5370985603543699E-2</v>
      </c>
      <c r="AG91">
        <v>1.1734610058907699E-2</v>
      </c>
      <c r="AH91">
        <v>3.7128138487956597E-2</v>
      </c>
      <c r="AI91">
        <v>2.2984278753332699E-3</v>
      </c>
      <c r="AJ91">
        <v>0</v>
      </c>
      <c r="AK91">
        <v>0</v>
      </c>
      <c r="AL91">
        <v>3.5844863431070302E-3</v>
      </c>
      <c r="AM91">
        <v>0</v>
      </c>
    </row>
    <row r="92" spans="1:39" customFormat="1" hidden="1" x14ac:dyDescent="0.3">
      <c r="A92" t="s">
        <v>1906</v>
      </c>
      <c r="B92" t="s">
        <v>30</v>
      </c>
      <c r="C92" t="s">
        <v>81</v>
      </c>
      <c r="D92" t="s">
        <v>118</v>
      </c>
      <c r="E92" t="s">
        <v>371</v>
      </c>
      <c r="F92" t="s">
        <v>1421</v>
      </c>
      <c r="G92" t="s">
        <v>1905</v>
      </c>
      <c r="H92" s="16">
        <v>0</v>
      </c>
      <c r="I92" s="11">
        <v>0</v>
      </c>
      <c r="J92" s="11">
        <v>0</v>
      </c>
      <c r="K92" s="11">
        <v>0</v>
      </c>
      <c r="L92" s="11">
        <v>0</v>
      </c>
      <c r="M92" s="11">
        <v>0</v>
      </c>
      <c r="N92" s="11">
        <v>0</v>
      </c>
      <c r="O92" s="11">
        <v>0</v>
      </c>
      <c r="P92" s="11">
        <v>0</v>
      </c>
      <c r="Q92" s="11">
        <v>0</v>
      </c>
      <c r="R92" s="11">
        <v>0</v>
      </c>
      <c r="S92" s="11">
        <v>4.9766099333134299E-3</v>
      </c>
      <c r="T92" s="11">
        <v>6.69299243691855E-3</v>
      </c>
      <c r="U92">
        <v>0</v>
      </c>
      <c r="V92">
        <v>7.5902699967470302E-2</v>
      </c>
      <c r="W92">
        <v>2.6668088964744801E-2</v>
      </c>
      <c r="X92">
        <v>0</v>
      </c>
      <c r="Y92">
        <v>3.8043955400778401E-2</v>
      </c>
      <c r="Z92">
        <v>1.2709710218607E-2</v>
      </c>
      <c r="AA92">
        <v>1.7979952353126299E-2</v>
      </c>
      <c r="AB92">
        <v>4.5118209709438702E-3</v>
      </c>
      <c r="AC92">
        <v>1.43822810297713E-2</v>
      </c>
      <c r="AD92">
        <v>0</v>
      </c>
      <c r="AE92">
        <v>7.5458754930543603E-2</v>
      </c>
      <c r="AF92">
        <v>1.0067451927917E-2</v>
      </c>
      <c r="AG92">
        <v>9.3876880471262004E-3</v>
      </c>
      <c r="AH92">
        <v>3.2487121176962001E-2</v>
      </c>
      <c r="AI92">
        <v>9.1937115013330899E-3</v>
      </c>
      <c r="AJ92">
        <v>7.1831340013647996E-3</v>
      </c>
      <c r="AK92">
        <v>1.20540019286403E-2</v>
      </c>
      <c r="AL92">
        <v>1.43379453724281E-2</v>
      </c>
      <c r="AM92">
        <v>0</v>
      </c>
    </row>
    <row r="93" spans="1:39" customFormat="1" hidden="1" x14ac:dyDescent="0.3">
      <c r="A93" t="s">
        <v>1849</v>
      </c>
      <c r="B93" t="s">
        <v>30</v>
      </c>
      <c r="C93" t="s">
        <v>111</v>
      </c>
      <c r="D93" t="s">
        <v>141</v>
      </c>
      <c r="E93" t="s">
        <v>140</v>
      </c>
      <c r="F93" t="s">
        <v>592</v>
      </c>
      <c r="G93" t="s">
        <v>1848</v>
      </c>
      <c r="H93" s="16">
        <v>0</v>
      </c>
      <c r="I93" s="11">
        <v>0</v>
      </c>
      <c r="J93" s="11">
        <v>0</v>
      </c>
      <c r="K93" s="11">
        <v>0</v>
      </c>
      <c r="L93" s="11">
        <v>0</v>
      </c>
      <c r="M93" s="11">
        <v>0</v>
      </c>
      <c r="N93" s="11">
        <v>1.8334326442682299E-2</v>
      </c>
      <c r="O93" s="11">
        <v>1.1250703168948099E-2</v>
      </c>
      <c r="P93" s="11">
        <v>0</v>
      </c>
      <c r="Q93" s="11">
        <v>0</v>
      </c>
      <c r="R93" s="11">
        <v>0</v>
      </c>
      <c r="S93" s="11">
        <v>0</v>
      </c>
      <c r="T93" s="11">
        <v>0</v>
      </c>
      <c r="U93">
        <v>6.0840203206278696E-3</v>
      </c>
      <c r="V93">
        <v>7.2288285683305004E-3</v>
      </c>
      <c r="W93">
        <v>3.2001706757693697E-2</v>
      </c>
      <c r="X93">
        <v>2.5697031992804799E-2</v>
      </c>
      <c r="Y93">
        <v>0</v>
      </c>
      <c r="Z93">
        <v>0</v>
      </c>
      <c r="AA93">
        <v>1.7979952353126299E-2</v>
      </c>
      <c r="AB93">
        <v>0</v>
      </c>
      <c r="AC93">
        <v>0</v>
      </c>
      <c r="AD93">
        <v>0</v>
      </c>
      <c r="AE93">
        <v>0</v>
      </c>
      <c r="AF93">
        <v>1.0067451927917E-2</v>
      </c>
      <c r="AG93">
        <v>2.3469220117815501E-3</v>
      </c>
      <c r="AH93">
        <v>0</v>
      </c>
      <c r="AI93">
        <v>2.2984278753332699E-3</v>
      </c>
      <c r="AJ93">
        <v>0</v>
      </c>
      <c r="AK93">
        <v>0</v>
      </c>
      <c r="AL93">
        <v>7.1689726862140604E-3</v>
      </c>
      <c r="AM93">
        <v>0</v>
      </c>
    </row>
    <row r="94" spans="1:39" customFormat="1" hidden="1" x14ac:dyDescent="0.3">
      <c r="A94" t="s">
        <v>1822</v>
      </c>
      <c r="B94" t="s">
        <v>30</v>
      </c>
      <c r="C94" t="s">
        <v>111</v>
      </c>
      <c r="D94" t="s">
        <v>141</v>
      </c>
      <c r="E94" t="s">
        <v>140</v>
      </c>
      <c r="F94" t="s">
        <v>199</v>
      </c>
      <c r="G94" t="s">
        <v>25</v>
      </c>
      <c r="H94" s="16">
        <v>9.9800399201596807E-2</v>
      </c>
      <c r="I94" s="11">
        <v>0.32909170688898598</v>
      </c>
      <c r="J94" s="11">
        <v>4.3593879419329497E-2</v>
      </c>
      <c r="K94" s="11">
        <v>6.22488823496124E-2</v>
      </c>
      <c r="L94" s="11">
        <v>8.5848246714653603E-2</v>
      </c>
      <c r="M94" s="11">
        <v>8.5172829867272301E-2</v>
      </c>
      <c r="N94" s="11">
        <v>0.110005958656094</v>
      </c>
      <c r="O94" s="11">
        <v>0.15750984436527299</v>
      </c>
      <c r="P94" s="11">
        <v>2.37634518111145E-2</v>
      </c>
      <c r="Q94" s="11">
        <v>1.0997168229181E-2</v>
      </c>
      <c r="R94" s="11">
        <v>2.2441148089136199E-2</v>
      </c>
      <c r="S94" s="11">
        <v>1.7418134766596999E-2</v>
      </c>
      <c r="T94" s="11">
        <v>6.69299243691855E-3</v>
      </c>
      <c r="U94">
        <v>9.1260304809418092E-3</v>
      </c>
      <c r="V94">
        <v>0</v>
      </c>
      <c r="W94">
        <v>5.3336177929489597E-3</v>
      </c>
      <c r="X94">
        <v>1.9272773994603601E-2</v>
      </c>
      <c r="Y94">
        <v>2.9264581077521898E-3</v>
      </c>
      <c r="Z94">
        <v>9.5322826639552601E-3</v>
      </c>
      <c r="AA94">
        <v>1.7979952353126299E-2</v>
      </c>
      <c r="AB94">
        <v>0</v>
      </c>
      <c r="AC94">
        <v>1.43822810297713E-2</v>
      </c>
      <c r="AD94">
        <v>0</v>
      </c>
      <c r="AE94">
        <v>3.4299434059338E-3</v>
      </c>
      <c r="AF94">
        <v>2.0134903855834101E-2</v>
      </c>
      <c r="AG94">
        <v>0</v>
      </c>
      <c r="AH94">
        <v>0</v>
      </c>
      <c r="AI94">
        <v>0</v>
      </c>
      <c r="AJ94">
        <v>1.4366268002729599E-2</v>
      </c>
      <c r="AK94">
        <v>1.8081002892960499E-2</v>
      </c>
      <c r="AL94">
        <v>1.0753459029321099E-2</v>
      </c>
      <c r="AM94">
        <v>0</v>
      </c>
    </row>
    <row r="95" spans="1:39" customFormat="1" hidden="1" x14ac:dyDescent="0.3">
      <c r="A95" t="s">
        <v>1820</v>
      </c>
      <c r="B95" t="s">
        <v>30</v>
      </c>
      <c r="C95" t="s">
        <v>111</v>
      </c>
      <c r="D95" t="s">
        <v>141</v>
      </c>
      <c r="E95" t="s">
        <v>140</v>
      </c>
      <c r="F95" t="s">
        <v>592</v>
      </c>
      <c r="G95" t="s">
        <v>1819</v>
      </c>
      <c r="H95" s="16">
        <v>0</v>
      </c>
      <c r="I95" s="11">
        <v>3.6565745209887401E-3</v>
      </c>
      <c r="J95" s="11">
        <v>1.30781638257989E-2</v>
      </c>
      <c r="K95" s="11">
        <v>1.6976967913530601E-2</v>
      </c>
      <c r="L95" s="11">
        <v>7.2640824143168498E-2</v>
      </c>
      <c r="M95" s="11">
        <v>7.0977358222727004E-3</v>
      </c>
      <c r="N95" s="11">
        <v>4.5835816106705798E-3</v>
      </c>
      <c r="O95" s="11">
        <v>7.5004687792987104E-3</v>
      </c>
      <c r="P95" s="11">
        <v>3.7342567131751402E-2</v>
      </c>
      <c r="Q95" s="11">
        <v>3.84900888021334E-2</v>
      </c>
      <c r="R95" s="11">
        <v>6.0591099840667899E-2</v>
      </c>
      <c r="S95" s="11">
        <v>4.9766099333134299E-3</v>
      </c>
      <c r="T95" s="11">
        <v>0</v>
      </c>
      <c r="U95">
        <v>0</v>
      </c>
      <c r="V95">
        <v>1.8072071420826299E-2</v>
      </c>
      <c r="W95">
        <v>1.6000853378846901E-2</v>
      </c>
      <c r="X95">
        <v>0</v>
      </c>
      <c r="Y95">
        <v>5.8529162155043701E-3</v>
      </c>
      <c r="Z95">
        <v>1.2709710218607E-2</v>
      </c>
      <c r="AA95">
        <v>1.7979952353126299E-2</v>
      </c>
      <c r="AB95">
        <v>1.8047283883775501E-2</v>
      </c>
      <c r="AC95">
        <v>1.43822810297713E-2</v>
      </c>
      <c r="AD95">
        <v>3.14564328405159E-3</v>
      </c>
      <c r="AE95">
        <v>0</v>
      </c>
      <c r="AF95">
        <v>1.51011778918756E-2</v>
      </c>
      <c r="AG95">
        <v>0</v>
      </c>
      <c r="AH95">
        <v>0</v>
      </c>
      <c r="AI95">
        <v>2.2984278753332699E-3</v>
      </c>
      <c r="AJ95">
        <v>3.5915670006823998E-3</v>
      </c>
      <c r="AK95">
        <v>1.20540019286403E-2</v>
      </c>
      <c r="AL95">
        <v>7.1689726862140604E-3</v>
      </c>
      <c r="AM95">
        <v>0</v>
      </c>
    </row>
    <row r="96" spans="1:39" customFormat="1" hidden="1" x14ac:dyDescent="0.3">
      <c r="A96" t="s">
        <v>1804</v>
      </c>
      <c r="B96" t="s">
        <v>30</v>
      </c>
      <c r="C96" t="s">
        <v>111</v>
      </c>
      <c r="D96" t="s">
        <v>141</v>
      </c>
      <c r="E96" t="s">
        <v>140</v>
      </c>
      <c r="F96" t="s">
        <v>139</v>
      </c>
      <c r="G96" t="s">
        <v>138</v>
      </c>
      <c r="H96" s="16">
        <v>5.8216899534264802E-2</v>
      </c>
      <c r="I96" s="11">
        <v>1.8282872604943701E-2</v>
      </c>
      <c r="J96" s="11">
        <v>1.7437551767731801E-2</v>
      </c>
      <c r="K96" s="11">
        <v>1.6976967913530601E-2</v>
      </c>
      <c r="L96" s="11">
        <v>4.6225979000198099E-2</v>
      </c>
      <c r="M96" s="11">
        <v>3.5488679111363502E-3</v>
      </c>
      <c r="N96" s="11">
        <v>9.1671632213411597E-3</v>
      </c>
      <c r="O96" s="11">
        <v>2.6251640727545499E-2</v>
      </c>
      <c r="P96" s="11">
        <v>1.01843364904776E-2</v>
      </c>
      <c r="Q96" s="11">
        <v>2.7492920572952501E-3</v>
      </c>
      <c r="R96" s="11">
        <v>2.2441148089136199E-3</v>
      </c>
      <c r="S96" s="11">
        <v>0</v>
      </c>
      <c r="T96" s="11">
        <v>0</v>
      </c>
      <c r="U96">
        <v>2.7378091442825402E-2</v>
      </c>
      <c r="V96">
        <v>3.6144142841652502E-3</v>
      </c>
      <c r="W96">
        <v>2.6668088964744798E-3</v>
      </c>
      <c r="X96">
        <v>1.2848515996402399E-2</v>
      </c>
      <c r="Y96">
        <v>0</v>
      </c>
      <c r="Z96">
        <v>0</v>
      </c>
      <c r="AA96">
        <v>1.7979952353126299E-2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1.07747010020472E-2</v>
      </c>
      <c r="AK96">
        <v>6.02700096432015E-3</v>
      </c>
      <c r="AL96">
        <v>7.1689726862140604E-3</v>
      </c>
      <c r="AM96">
        <v>0</v>
      </c>
    </row>
    <row r="97" spans="1:39" customFormat="1" hidden="1" x14ac:dyDescent="0.3">
      <c r="A97" t="s">
        <v>1745</v>
      </c>
      <c r="B97" t="s">
        <v>30</v>
      </c>
      <c r="C97" t="s">
        <v>526</v>
      </c>
      <c r="D97" t="s">
        <v>525</v>
      </c>
      <c r="E97" t="s">
        <v>524</v>
      </c>
      <c r="F97" t="s">
        <v>523</v>
      </c>
      <c r="G97" t="s">
        <v>1744</v>
      </c>
      <c r="H97" s="16">
        <v>0.199600798403194</v>
      </c>
      <c r="I97" s="11">
        <v>4.3878894251864899E-2</v>
      </c>
      <c r="J97" s="11">
        <v>0.27464144034177601</v>
      </c>
      <c r="K97" s="11">
        <v>0.37915228340218399</v>
      </c>
      <c r="L97" s="11">
        <v>0.23773360628673301</v>
      </c>
      <c r="M97" s="11">
        <v>1.4195471644545401E-2</v>
      </c>
      <c r="N97" s="11">
        <v>1.37507448320117E-2</v>
      </c>
      <c r="O97" s="11">
        <v>1.1250703168948099E-2</v>
      </c>
      <c r="P97" s="11">
        <v>6.78955766031843E-3</v>
      </c>
      <c r="Q97" s="11">
        <v>5.4985841145904898E-3</v>
      </c>
      <c r="R97" s="11">
        <v>2.2441148089136199E-3</v>
      </c>
      <c r="S97" s="11">
        <v>1.9906439733253699E-2</v>
      </c>
      <c r="T97" s="11">
        <v>2.67719697476742E-2</v>
      </c>
      <c r="U97">
        <v>0</v>
      </c>
      <c r="V97">
        <v>7.2288285683305004E-3</v>
      </c>
      <c r="W97">
        <v>2.4001280068270299E-2</v>
      </c>
      <c r="X97">
        <v>6.4242579982012101E-3</v>
      </c>
      <c r="Y97">
        <v>0</v>
      </c>
      <c r="Z97">
        <v>0</v>
      </c>
      <c r="AA97">
        <v>1.7979952353126299E-2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4.6410173109945703E-3</v>
      </c>
      <c r="AI97">
        <v>0</v>
      </c>
      <c r="AJ97">
        <v>1.07747010020472E-2</v>
      </c>
      <c r="AK97">
        <v>2.41080038572806E-2</v>
      </c>
      <c r="AL97">
        <v>7.1689726862140604E-3</v>
      </c>
      <c r="AM97">
        <v>0</v>
      </c>
    </row>
    <row r="98" spans="1:39" customFormat="1" hidden="1" x14ac:dyDescent="0.3">
      <c r="A98" t="s">
        <v>1738</v>
      </c>
      <c r="B98" t="s">
        <v>30</v>
      </c>
      <c r="C98" t="s">
        <v>526</v>
      </c>
      <c r="D98" t="s">
        <v>525</v>
      </c>
      <c r="E98" t="s">
        <v>524</v>
      </c>
      <c r="F98" t="s">
        <v>523</v>
      </c>
      <c r="G98" t="s">
        <v>25</v>
      </c>
      <c r="H98" s="16">
        <v>1.2475049900199601E-2</v>
      </c>
      <c r="I98" s="11">
        <v>0</v>
      </c>
      <c r="J98" s="11">
        <v>8.7187758838659108E-3</v>
      </c>
      <c r="K98" s="11">
        <v>0</v>
      </c>
      <c r="L98" s="11">
        <v>1.3207422571485199E-2</v>
      </c>
      <c r="M98" s="11">
        <v>0.35488679111363503</v>
      </c>
      <c r="N98" s="11">
        <v>4.1252234496035198E-2</v>
      </c>
      <c r="O98" s="11">
        <v>2.6251640727545499E-2</v>
      </c>
      <c r="P98" s="11">
        <v>0</v>
      </c>
      <c r="Q98" s="11">
        <v>8.2478761718857395E-3</v>
      </c>
      <c r="R98" s="11">
        <v>2.2441148089136199E-3</v>
      </c>
      <c r="S98" s="11">
        <v>1.7418134766596999E-2</v>
      </c>
      <c r="T98" s="11">
        <v>0.110434375209156</v>
      </c>
      <c r="U98">
        <v>9.1260304809418092E-3</v>
      </c>
      <c r="V98">
        <v>0</v>
      </c>
      <c r="W98">
        <v>0</v>
      </c>
      <c r="X98">
        <v>6.4242579982012101E-3</v>
      </c>
      <c r="Y98">
        <v>0</v>
      </c>
      <c r="Z98">
        <v>6.3548551093035102E-3</v>
      </c>
      <c r="AA98">
        <v>1.7979952353126299E-2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9.2820346219891405E-3</v>
      </c>
      <c r="AI98">
        <v>0</v>
      </c>
      <c r="AJ98">
        <v>7.1831340013647996E-3</v>
      </c>
      <c r="AK98">
        <v>1.8081002892960499E-2</v>
      </c>
      <c r="AL98">
        <v>7.1689726862140604E-3</v>
      </c>
      <c r="AM98">
        <v>0</v>
      </c>
    </row>
    <row r="99" spans="1:39" customFormat="1" hidden="1" x14ac:dyDescent="0.3">
      <c r="A99" t="s">
        <v>2009</v>
      </c>
      <c r="B99" t="s">
        <v>30</v>
      </c>
      <c r="C99" t="s">
        <v>29</v>
      </c>
      <c r="D99" t="s">
        <v>28</v>
      </c>
      <c r="E99" t="s">
        <v>27</v>
      </c>
      <c r="F99" t="s">
        <v>160</v>
      </c>
      <c r="G99" t="s">
        <v>25</v>
      </c>
      <c r="H99" s="16">
        <v>0</v>
      </c>
      <c r="I99" s="11">
        <v>0</v>
      </c>
      <c r="J99" s="11">
        <v>0</v>
      </c>
      <c r="K99" s="11">
        <v>0</v>
      </c>
      <c r="L99" s="11">
        <v>0</v>
      </c>
      <c r="M99" s="11">
        <v>0</v>
      </c>
      <c r="N99" s="11">
        <v>0</v>
      </c>
      <c r="O99" s="11">
        <v>0</v>
      </c>
      <c r="P99" s="11">
        <v>0</v>
      </c>
      <c r="Q99" s="11">
        <v>0</v>
      </c>
      <c r="R99" s="11">
        <v>1.3464688853481699E-2</v>
      </c>
      <c r="S99" s="11">
        <v>0</v>
      </c>
      <c r="T99" s="11">
        <v>0</v>
      </c>
      <c r="U99">
        <v>1.2168040641255699E-2</v>
      </c>
      <c r="V99">
        <v>1.8072071420826299E-2</v>
      </c>
      <c r="W99">
        <v>2.6668088964744801E-2</v>
      </c>
      <c r="X99">
        <v>6.4242579982012101E-3</v>
      </c>
      <c r="Y99">
        <v>2.92645810775219E-2</v>
      </c>
      <c r="Z99">
        <v>7.9435688866293805E-2</v>
      </c>
      <c r="AA99">
        <v>1.34849642648447E-2</v>
      </c>
      <c r="AB99">
        <v>3.6094567767551003E-2</v>
      </c>
      <c r="AC99">
        <v>1.43822810297713E-2</v>
      </c>
      <c r="AD99">
        <v>6.6058508965083404E-2</v>
      </c>
      <c r="AE99">
        <v>2.05796604356028E-2</v>
      </c>
      <c r="AF99">
        <v>3.5236081747709702E-2</v>
      </c>
      <c r="AG99">
        <v>1.4081532070689301E-2</v>
      </c>
      <c r="AH99">
        <v>1.39230519329837E-2</v>
      </c>
      <c r="AI99">
        <v>6.89528362599982E-3</v>
      </c>
      <c r="AJ99">
        <v>1.4366268002729599E-2</v>
      </c>
      <c r="AK99">
        <v>1.20540019286403E-2</v>
      </c>
      <c r="AL99">
        <v>3.5844863431070302E-3</v>
      </c>
      <c r="AM99">
        <v>0</v>
      </c>
    </row>
    <row r="100" spans="1:39" customFormat="1" hidden="1" x14ac:dyDescent="0.3">
      <c r="A100" t="s">
        <v>1987</v>
      </c>
      <c r="B100" t="s">
        <v>30</v>
      </c>
      <c r="C100" t="s">
        <v>29</v>
      </c>
      <c r="D100" t="s">
        <v>28</v>
      </c>
      <c r="E100" t="s">
        <v>27</v>
      </c>
      <c r="F100" t="s">
        <v>64</v>
      </c>
      <c r="G100" t="s">
        <v>223</v>
      </c>
      <c r="H100" s="16">
        <v>8.3166999334664E-3</v>
      </c>
      <c r="I100" s="11">
        <v>7.3131490419774802E-3</v>
      </c>
      <c r="J100" s="11">
        <v>2.17969397096648E-2</v>
      </c>
      <c r="K100" s="11">
        <v>0.118838775394715</v>
      </c>
      <c r="L100" s="11">
        <v>8.5848246714653603E-2</v>
      </c>
      <c r="M100" s="11">
        <v>7.8075094044999696E-2</v>
      </c>
      <c r="N100" s="11">
        <v>1.8334326442682299E-2</v>
      </c>
      <c r="O100" s="11">
        <v>3.00018751171948E-2</v>
      </c>
      <c r="P100" s="11">
        <v>3.7342567131751402E-2</v>
      </c>
      <c r="Q100" s="11">
        <v>4.6737964974019199E-2</v>
      </c>
      <c r="R100" s="11">
        <v>6.0591099840667899E-2</v>
      </c>
      <c r="S100" s="11">
        <v>4.9766099333134299E-3</v>
      </c>
      <c r="T100" s="11">
        <v>0</v>
      </c>
      <c r="U100">
        <v>3.04201016031394E-3</v>
      </c>
      <c r="V100">
        <v>3.6144142841652502E-3</v>
      </c>
      <c r="W100">
        <v>1.33340444823724E-2</v>
      </c>
      <c r="X100">
        <v>6.4242579982012101E-3</v>
      </c>
      <c r="Y100">
        <v>0.111205408094583</v>
      </c>
      <c r="Z100">
        <v>6.3548551093035102E-3</v>
      </c>
      <c r="AA100">
        <v>1.34849642648447E-2</v>
      </c>
      <c r="AB100">
        <v>0.21656740660530599</v>
      </c>
      <c r="AC100">
        <v>0.17258737235725599</v>
      </c>
      <c r="AD100">
        <v>0.195029883611198</v>
      </c>
      <c r="AE100">
        <v>0.33613445378151302</v>
      </c>
      <c r="AF100">
        <v>2.0134903855834101E-2</v>
      </c>
      <c r="AG100">
        <v>1.4081532070689301E-2</v>
      </c>
      <c r="AH100">
        <v>4.6410173109945703E-3</v>
      </c>
      <c r="AI100">
        <v>1.6088995127332899E-2</v>
      </c>
      <c r="AJ100">
        <v>1.07747010020472E-2</v>
      </c>
      <c r="AK100">
        <v>0</v>
      </c>
      <c r="AL100">
        <v>3.5844863431070302E-3</v>
      </c>
      <c r="AM100">
        <v>0</v>
      </c>
    </row>
    <row r="101" spans="1:39" customFormat="1" hidden="1" x14ac:dyDescent="0.3">
      <c r="A101" t="s">
        <v>1984</v>
      </c>
      <c r="B101" t="s">
        <v>30</v>
      </c>
      <c r="C101" t="s">
        <v>81</v>
      </c>
      <c r="D101" t="s">
        <v>80</v>
      </c>
      <c r="E101" t="s">
        <v>618</v>
      </c>
      <c r="F101" t="s">
        <v>629</v>
      </c>
      <c r="G101" t="s">
        <v>1983</v>
      </c>
      <c r="H101" s="16">
        <v>1.66333998669328E-2</v>
      </c>
      <c r="I101" s="11">
        <v>3.6565745209887401E-3</v>
      </c>
      <c r="J101" s="11">
        <v>4.3593879419329497E-2</v>
      </c>
      <c r="K101" s="11">
        <v>8.4884839567653206E-2</v>
      </c>
      <c r="L101" s="11">
        <v>0.145281648286337</v>
      </c>
      <c r="M101" s="11">
        <v>2.12932074668181E-2</v>
      </c>
      <c r="N101" s="11">
        <v>0.132923866709447</v>
      </c>
      <c r="O101" s="11">
        <v>0.105006562910182</v>
      </c>
      <c r="P101" s="11">
        <v>0.34626744067623999</v>
      </c>
      <c r="Q101" s="11">
        <v>0.14021389492205799</v>
      </c>
      <c r="R101" s="11">
        <v>0.10547339601894</v>
      </c>
      <c r="S101" s="11">
        <v>7.4649148999701397E-3</v>
      </c>
      <c r="T101" s="11">
        <v>2.34254735292149E-2</v>
      </c>
      <c r="U101">
        <v>3.04201016031394E-3</v>
      </c>
      <c r="V101">
        <v>0</v>
      </c>
      <c r="W101">
        <v>1.33340444823724E-2</v>
      </c>
      <c r="X101">
        <v>0</v>
      </c>
      <c r="Y101">
        <v>2.6338122969769701E-2</v>
      </c>
      <c r="Z101">
        <v>0</v>
      </c>
      <c r="AA101">
        <v>1.34849642648447E-2</v>
      </c>
      <c r="AB101">
        <v>4.5118209709438702E-3</v>
      </c>
      <c r="AC101">
        <v>4.3146843089313998E-2</v>
      </c>
      <c r="AD101">
        <v>9.4369298521547705E-3</v>
      </c>
      <c r="AE101">
        <v>0.38758360487052002</v>
      </c>
      <c r="AF101">
        <v>5.03372596395852E-3</v>
      </c>
      <c r="AG101">
        <v>0.187753760942524</v>
      </c>
      <c r="AH101">
        <v>9.2820346219891405E-3</v>
      </c>
      <c r="AI101">
        <v>5.5162269007998498E-2</v>
      </c>
      <c r="AJ101">
        <v>0</v>
      </c>
      <c r="AK101">
        <v>0</v>
      </c>
      <c r="AL101">
        <v>0</v>
      </c>
      <c r="AM101">
        <v>0</v>
      </c>
    </row>
    <row r="102" spans="1:39" customFormat="1" hidden="1" x14ac:dyDescent="0.3">
      <c r="A102" t="s">
        <v>1934</v>
      </c>
      <c r="B102" t="s">
        <v>30</v>
      </c>
      <c r="C102" t="s">
        <v>81</v>
      </c>
      <c r="D102" t="s">
        <v>118</v>
      </c>
      <c r="E102" t="s">
        <v>371</v>
      </c>
      <c r="F102" t="s">
        <v>424</v>
      </c>
      <c r="G102" t="s">
        <v>1933</v>
      </c>
      <c r="H102" s="16">
        <v>0.34098469727212199</v>
      </c>
      <c r="I102" s="11">
        <v>0.38028375018282901</v>
      </c>
      <c r="J102" s="11">
        <v>4.3593879419329502E-3</v>
      </c>
      <c r="K102" s="11">
        <v>0.67907871654122598</v>
      </c>
      <c r="L102" s="11">
        <v>0</v>
      </c>
      <c r="M102" s="11">
        <v>9.9368301511817705E-2</v>
      </c>
      <c r="N102" s="11">
        <v>0</v>
      </c>
      <c r="O102" s="11">
        <v>0</v>
      </c>
      <c r="P102" s="11">
        <v>1.35791153206369E-2</v>
      </c>
      <c r="Q102" s="11">
        <v>2.7492920572952501E-3</v>
      </c>
      <c r="R102" s="11">
        <v>0</v>
      </c>
      <c r="S102" s="11">
        <v>1.2441524833283601E-2</v>
      </c>
      <c r="T102" s="11">
        <v>0</v>
      </c>
      <c r="U102">
        <v>0</v>
      </c>
      <c r="V102">
        <v>1.4457657136661001E-2</v>
      </c>
      <c r="W102">
        <v>1.33340444823724E-2</v>
      </c>
      <c r="X102">
        <v>6.4242579982012101E-3</v>
      </c>
      <c r="Y102">
        <v>2.0485206754265298E-2</v>
      </c>
      <c r="Z102">
        <v>2.22419928825623E-2</v>
      </c>
      <c r="AA102">
        <v>1.34849642648447E-2</v>
      </c>
      <c r="AB102">
        <v>9.0236419418877507E-3</v>
      </c>
      <c r="AC102">
        <v>0</v>
      </c>
      <c r="AD102">
        <v>1.25825731362064E-2</v>
      </c>
      <c r="AE102">
        <v>4.4589264277139398E-2</v>
      </c>
      <c r="AF102">
        <v>2.51686298197926E-2</v>
      </c>
      <c r="AG102">
        <v>0.18071299490717899</v>
      </c>
      <c r="AH102">
        <v>0</v>
      </c>
      <c r="AI102">
        <v>6.20575526339983E-2</v>
      </c>
      <c r="AJ102">
        <v>3.5915670006823998E-3</v>
      </c>
      <c r="AK102">
        <v>0</v>
      </c>
      <c r="AL102">
        <v>0</v>
      </c>
      <c r="AM102">
        <v>0</v>
      </c>
    </row>
    <row r="103" spans="1:39" customFormat="1" hidden="1" x14ac:dyDescent="0.3">
      <c r="A103" t="s">
        <v>1907</v>
      </c>
      <c r="B103" t="s">
        <v>30</v>
      </c>
      <c r="C103" t="s">
        <v>35</v>
      </c>
      <c r="D103" t="s">
        <v>35</v>
      </c>
      <c r="E103" t="s">
        <v>128</v>
      </c>
      <c r="F103" t="s">
        <v>127</v>
      </c>
      <c r="G103" t="s">
        <v>130</v>
      </c>
      <c r="H103" s="16">
        <v>1.66333998669328E-2</v>
      </c>
      <c r="I103" s="11">
        <v>2.1939447125932401E-2</v>
      </c>
      <c r="J103" s="11">
        <v>4.79532673612625E-2</v>
      </c>
      <c r="K103" s="11">
        <v>0.72435063097730701</v>
      </c>
      <c r="L103" s="11">
        <v>9.9055669286138806E-2</v>
      </c>
      <c r="M103" s="11">
        <v>0.26971396124636199</v>
      </c>
      <c r="N103" s="11">
        <v>3.2085071274694003E-2</v>
      </c>
      <c r="O103" s="11">
        <v>7.8754922182636397E-2</v>
      </c>
      <c r="P103" s="11">
        <v>3.3947788301592198E-3</v>
      </c>
      <c r="Q103" s="11">
        <v>0</v>
      </c>
      <c r="R103" s="11">
        <v>0</v>
      </c>
      <c r="S103" s="11">
        <v>4.9766099333134299E-3</v>
      </c>
      <c r="T103" s="11">
        <v>0</v>
      </c>
      <c r="U103">
        <v>0</v>
      </c>
      <c r="V103">
        <v>3.25297285574873E-2</v>
      </c>
      <c r="W103">
        <v>3.2001706757693697E-2</v>
      </c>
      <c r="X103">
        <v>0</v>
      </c>
      <c r="Y103">
        <v>2.0485206754265298E-2</v>
      </c>
      <c r="Z103">
        <v>1.9064565327910499E-2</v>
      </c>
      <c r="AA103">
        <v>1.34849642648447E-2</v>
      </c>
      <c r="AB103">
        <v>0</v>
      </c>
      <c r="AC103">
        <v>3.5955702574428303E-2</v>
      </c>
      <c r="AD103">
        <v>0</v>
      </c>
      <c r="AE103">
        <v>1.37197736237352E-2</v>
      </c>
      <c r="AF103">
        <v>2.51686298197926E-2</v>
      </c>
      <c r="AG103">
        <v>0</v>
      </c>
      <c r="AH103">
        <v>4.6410173109945703E-3</v>
      </c>
      <c r="AI103">
        <v>9.1937115013330899E-3</v>
      </c>
      <c r="AJ103">
        <v>7.1831340013647996E-3</v>
      </c>
      <c r="AK103">
        <v>6.02700096432015E-3</v>
      </c>
      <c r="AL103">
        <v>0</v>
      </c>
      <c r="AM103">
        <v>0</v>
      </c>
    </row>
    <row r="104" spans="1:39" customFormat="1" hidden="1" x14ac:dyDescent="0.3">
      <c r="A104" t="s">
        <v>1869</v>
      </c>
      <c r="B104" t="s">
        <v>30</v>
      </c>
      <c r="C104" t="s">
        <v>81</v>
      </c>
      <c r="D104" t="s">
        <v>118</v>
      </c>
      <c r="E104" t="s">
        <v>190</v>
      </c>
      <c r="F104" t="s">
        <v>1868</v>
      </c>
      <c r="G104" t="s">
        <v>1867</v>
      </c>
      <c r="H104" s="16">
        <v>4.1583499667332E-3</v>
      </c>
      <c r="I104" s="11">
        <v>3.2909170688898599E-2</v>
      </c>
      <c r="J104" s="11">
        <v>0.100265922664458</v>
      </c>
      <c r="K104" s="11">
        <v>7.9225850263142994E-2</v>
      </c>
      <c r="L104" s="11">
        <v>0.270752162715446</v>
      </c>
      <c r="M104" s="11">
        <v>5.3233018667045197E-2</v>
      </c>
      <c r="N104" s="11">
        <v>0.30251638630425798</v>
      </c>
      <c r="O104" s="11">
        <v>0.22126382898931199</v>
      </c>
      <c r="P104" s="11">
        <v>2.03686729809553E-2</v>
      </c>
      <c r="Q104" s="11">
        <v>1.64957523437715E-2</v>
      </c>
      <c r="R104" s="11">
        <v>6.7323444267408704E-3</v>
      </c>
      <c r="S104" s="11">
        <v>2.98596595998806E-2</v>
      </c>
      <c r="T104" s="11">
        <v>1.33859848738371E-2</v>
      </c>
      <c r="U104">
        <v>3.04201016031394E-3</v>
      </c>
      <c r="V104">
        <v>0</v>
      </c>
      <c r="W104">
        <v>0</v>
      </c>
      <c r="X104">
        <v>0</v>
      </c>
      <c r="Y104">
        <v>2.9264581077521898E-3</v>
      </c>
      <c r="Z104">
        <v>0</v>
      </c>
      <c r="AA104">
        <v>1.34849642648447E-2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2.2984278753332699E-3</v>
      </c>
      <c r="AJ104">
        <v>1.4366268002729599E-2</v>
      </c>
      <c r="AK104">
        <v>6.6297010607521703E-2</v>
      </c>
      <c r="AL104" s="5">
        <v>2.5091404401749201E-2</v>
      </c>
      <c r="AM104">
        <v>0</v>
      </c>
    </row>
    <row r="105" spans="1:39" customFormat="1" hidden="1" x14ac:dyDescent="0.3">
      <c r="A105" t="s">
        <v>1827</v>
      </c>
      <c r="B105" t="s">
        <v>30</v>
      </c>
      <c r="C105" t="s">
        <v>111</v>
      </c>
      <c r="D105" t="s">
        <v>141</v>
      </c>
      <c r="E105" t="s">
        <v>140</v>
      </c>
      <c r="F105" t="s">
        <v>199</v>
      </c>
      <c r="G105" t="s">
        <v>1313</v>
      </c>
      <c r="H105" s="16">
        <v>3.32667997338656E-2</v>
      </c>
      <c r="I105" s="11">
        <v>0.186485300570426</v>
      </c>
      <c r="J105" s="11">
        <v>6.1031431187061301E-2</v>
      </c>
      <c r="K105" s="11">
        <v>6.7907871654122598E-2</v>
      </c>
      <c r="L105" s="11">
        <v>0.20471504985802</v>
      </c>
      <c r="M105" s="11">
        <v>2.4842075377954399E-2</v>
      </c>
      <c r="N105" s="11">
        <v>0.146674611541458</v>
      </c>
      <c r="O105" s="11">
        <v>0.46127882992687003</v>
      </c>
      <c r="P105" s="11">
        <v>2.37634518111145E-2</v>
      </c>
      <c r="Q105" s="11">
        <v>4.3988672916723898E-2</v>
      </c>
      <c r="R105" s="11">
        <v>4.9370525796099698E-2</v>
      </c>
      <c r="S105" s="11">
        <v>2.4883049666567102E-3</v>
      </c>
      <c r="T105" s="11">
        <v>0</v>
      </c>
      <c r="U105">
        <v>3.04201016031394E-3</v>
      </c>
      <c r="V105">
        <v>1.0843242852495801E-2</v>
      </c>
      <c r="W105">
        <v>8.0004266894234399E-3</v>
      </c>
      <c r="X105">
        <v>1.2848515996402399E-2</v>
      </c>
      <c r="Y105">
        <v>8.7793743232565599E-3</v>
      </c>
      <c r="Z105">
        <v>6.3548551093035102E-3</v>
      </c>
      <c r="AA105">
        <v>1.34849642648447E-2</v>
      </c>
      <c r="AB105">
        <v>0</v>
      </c>
      <c r="AC105">
        <v>1.43822810297713E-2</v>
      </c>
      <c r="AD105">
        <v>6.2912865681031801E-3</v>
      </c>
      <c r="AE105">
        <v>3.4299434059338E-3</v>
      </c>
      <c r="AF105">
        <v>0</v>
      </c>
      <c r="AG105">
        <v>2.3469220117815501E-3</v>
      </c>
      <c r="AH105">
        <v>0</v>
      </c>
      <c r="AI105">
        <v>4.5968557506665397E-3</v>
      </c>
      <c r="AJ105">
        <v>3.5915670006823998E-3</v>
      </c>
      <c r="AK105">
        <v>6.02700096432015E-3</v>
      </c>
      <c r="AL105">
        <v>0</v>
      </c>
      <c r="AM105">
        <v>0</v>
      </c>
    </row>
    <row r="106" spans="1:39" customFormat="1" hidden="1" x14ac:dyDescent="0.3">
      <c r="A106" t="s">
        <v>1781</v>
      </c>
      <c r="B106" t="s">
        <v>30</v>
      </c>
      <c r="C106" t="s">
        <v>81</v>
      </c>
      <c r="D106" t="s">
        <v>80</v>
      </c>
      <c r="E106" t="s">
        <v>618</v>
      </c>
      <c r="F106" t="s">
        <v>629</v>
      </c>
      <c r="G106" t="s">
        <v>1780</v>
      </c>
      <c r="H106" s="16">
        <v>4.1583499667331998E-2</v>
      </c>
      <c r="I106" s="11">
        <v>0.54482960362732202</v>
      </c>
      <c r="J106" s="11">
        <v>2.6156327651597699E-2</v>
      </c>
      <c r="K106" s="11">
        <v>2.26359572180409E-2</v>
      </c>
      <c r="L106" s="11">
        <v>3.3018556428712903E-2</v>
      </c>
      <c r="M106" s="11">
        <v>2.8390943289090802E-2</v>
      </c>
      <c r="N106" s="11">
        <v>4.5835816106705798E-2</v>
      </c>
      <c r="O106" s="11">
        <v>9.0005625351584503E-2</v>
      </c>
      <c r="P106" s="11">
        <v>3.0553009471432899E-2</v>
      </c>
      <c r="Q106" s="11">
        <v>1.0997168229181E-2</v>
      </c>
      <c r="R106" s="11">
        <v>4.4882296178272501E-3</v>
      </c>
      <c r="S106" s="11">
        <v>2.4883049666567102E-3</v>
      </c>
      <c r="T106" s="11">
        <v>6.69299243691855E-3</v>
      </c>
      <c r="U106">
        <v>1.2168040641255699E-2</v>
      </c>
      <c r="V106">
        <v>0</v>
      </c>
      <c r="W106">
        <v>5.3336177929489597E-3</v>
      </c>
      <c r="X106">
        <v>6.4242579982012101E-3</v>
      </c>
      <c r="Y106">
        <v>5.8529162155043701E-3</v>
      </c>
      <c r="Z106">
        <v>1.58871377732588E-2</v>
      </c>
      <c r="AA106">
        <v>1.34849642648447E-2</v>
      </c>
      <c r="AB106">
        <v>0</v>
      </c>
      <c r="AC106">
        <v>0</v>
      </c>
      <c r="AD106">
        <v>0</v>
      </c>
      <c r="AE106">
        <v>1.37197736237352E-2</v>
      </c>
      <c r="AF106">
        <v>0</v>
      </c>
      <c r="AG106">
        <v>2.3469220117815501E-3</v>
      </c>
      <c r="AH106">
        <v>4.6410173109945703E-3</v>
      </c>
      <c r="AI106">
        <v>9.1937115013330899E-3</v>
      </c>
      <c r="AJ106">
        <v>0</v>
      </c>
      <c r="AK106">
        <v>0</v>
      </c>
      <c r="AL106">
        <v>1.0753459029321099E-2</v>
      </c>
      <c r="AM106">
        <v>0</v>
      </c>
    </row>
    <row r="107" spans="1:39" customFormat="1" hidden="1" x14ac:dyDescent="0.3">
      <c r="A107" t="s">
        <v>1758</v>
      </c>
      <c r="B107" t="s">
        <v>30</v>
      </c>
      <c r="C107" t="s">
        <v>526</v>
      </c>
      <c r="D107" t="s">
        <v>525</v>
      </c>
      <c r="E107" t="s">
        <v>524</v>
      </c>
      <c r="F107" t="s">
        <v>523</v>
      </c>
      <c r="G107" t="s">
        <v>559</v>
      </c>
      <c r="H107" s="16">
        <v>0</v>
      </c>
      <c r="I107" s="11">
        <v>0</v>
      </c>
      <c r="J107" s="11">
        <v>0</v>
      </c>
      <c r="K107" s="11">
        <v>0</v>
      </c>
      <c r="L107" s="11">
        <v>6.6037112857425901E-3</v>
      </c>
      <c r="M107" s="11">
        <v>0</v>
      </c>
      <c r="N107" s="11">
        <v>0</v>
      </c>
      <c r="O107" s="11">
        <v>0</v>
      </c>
      <c r="P107" s="11">
        <v>0</v>
      </c>
      <c r="Q107" s="11">
        <v>0</v>
      </c>
      <c r="R107" s="11">
        <v>0</v>
      </c>
      <c r="S107" s="11">
        <v>2.4883049666567102E-3</v>
      </c>
      <c r="T107" s="11">
        <v>0</v>
      </c>
      <c r="U107">
        <v>6.0840203206278696E-3</v>
      </c>
      <c r="V107">
        <v>0</v>
      </c>
      <c r="W107">
        <v>0</v>
      </c>
      <c r="X107">
        <v>6.4242579982012101E-3</v>
      </c>
      <c r="Y107">
        <v>0</v>
      </c>
      <c r="Z107">
        <v>0</v>
      </c>
      <c r="AA107">
        <v>1.34849642648447E-2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3.5844863431070302E-3</v>
      </c>
      <c r="AM107">
        <v>0</v>
      </c>
    </row>
    <row r="108" spans="1:39" customFormat="1" hidden="1" x14ac:dyDescent="0.3">
      <c r="A108" t="s">
        <v>1750</v>
      </c>
      <c r="B108" t="s">
        <v>30</v>
      </c>
      <c r="C108" t="s">
        <v>526</v>
      </c>
      <c r="D108" t="s">
        <v>525</v>
      </c>
      <c r="E108" t="s">
        <v>524</v>
      </c>
      <c r="F108" t="s">
        <v>523</v>
      </c>
      <c r="G108" t="s">
        <v>1749</v>
      </c>
      <c r="H108" s="16">
        <v>8.3166999334664E-3</v>
      </c>
      <c r="I108" s="11">
        <v>4.3878894251864899E-2</v>
      </c>
      <c r="J108" s="11">
        <v>8.7187758838659108E-3</v>
      </c>
      <c r="K108" s="11">
        <v>1.1317978609020399E-2</v>
      </c>
      <c r="L108" s="11">
        <v>4.6225979000198099E-2</v>
      </c>
      <c r="M108" s="11">
        <v>0</v>
      </c>
      <c r="N108" s="11">
        <v>6.8753724160058705E-2</v>
      </c>
      <c r="O108" s="11">
        <v>4.5002812675792203E-2</v>
      </c>
      <c r="P108" s="11">
        <v>0</v>
      </c>
      <c r="Q108" s="11">
        <v>2.7492920572952501E-3</v>
      </c>
      <c r="R108" s="11">
        <v>0</v>
      </c>
      <c r="S108" s="11">
        <v>3.7324574499850702E-2</v>
      </c>
      <c r="T108" s="11">
        <v>2.34254735292149E-2</v>
      </c>
      <c r="U108">
        <v>3.04201016031394E-3</v>
      </c>
      <c r="V108">
        <v>7.2288285683305004E-3</v>
      </c>
      <c r="W108">
        <v>5.3336177929489597E-3</v>
      </c>
      <c r="X108">
        <v>2.5697031992804799E-2</v>
      </c>
      <c r="Y108">
        <v>0</v>
      </c>
      <c r="Z108">
        <v>0</v>
      </c>
      <c r="AA108">
        <v>1.34849642648447E-2</v>
      </c>
      <c r="AB108">
        <v>0</v>
      </c>
      <c r="AC108">
        <v>7.1911405148856597E-3</v>
      </c>
      <c r="AD108">
        <v>0</v>
      </c>
      <c r="AE108">
        <v>3.4299434059338E-3</v>
      </c>
      <c r="AF108">
        <v>0</v>
      </c>
      <c r="AG108">
        <v>0</v>
      </c>
      <c r="AH108">
        <v>9.2820346219891405E-3</v>
      </c>
      <c r="AI108">
        <v>4.5968557506665397E-3</v>
      </c>
      <c r="AJ108">
        <v>1.07747010020472E-2</v>
      </c>
      <c r="AK108">
        <v>0</v>
      </c>
      <c r="AL108">
        <v>3.5844863431070302E-3</v>
      </c>
      <c r="AM108">
        <v>0</v>
      </c>
    </row>
    <row r="109" spans="1:39" customFormat="1" hidden="1" x14ac:dyDescent="0.3">
      <c r="A109" t="s">
        <v>1735</v>
      </c>
      <c r="B109" t="s">
        <v>30</v>
      </c>
      <c r="C109" t="s">
        <v>526</v>
      </c>
      <c r="D109" t="s">
        <v>525</v>
      </c>
      <c r="E109" t="s">
        <v>524</v>
      </c>
      <c r="F109" t="s">
        <v>523</v>
      </c>
      <c r="G109" t="s">
        <v>25</v>
      </c>
      <c r="H109" s="16">
        <v>2.4950099800399202E-2</v>
      </c>
      <c r="I109" s="11">
        <v>1.8282872604943701E-2</v>
      </c>
      <c r="J109" s="11">
        <v>0.24412572474824501</v>
      </c>
      <c r="K109" s="11">
        <v>2.26359572180409E-2</v>
      </c>
      <c r="L109" s="11">
        <v>6.6037112857425901E-3</v>
      </c>
      <c r="M109" s="11">
        <v>0.546525658314998</v>
      </c>
      <c r="N109" s="11">
        <v>3.2085071274694003E-2</v>
      </c>
      <c r="O109" s="11">
        <v>2.6251640727545499E-2</v>
      </c>
      <c r="P109" s="11">
        <v>3.3947788301592202E-2</v>
      </c>
      <c r="Q109" s="11">
        <v>0</v>
      </c>
      <c r="R109" s="11">
        <v>2.2441148089136199E-3</v>
      </c>
      <c r="S109" s="11">
        <v>2.4883049666567102E-3</v>
      </c>
      <c r="T109" s="11">
        <v>0</v>
      </c>
      <c r="U109">
        <v>6.0840203206278696E-3</v>
      </c>
      <c r="V109">
        <v>3.6144142841652502E-3</v>
      </c>
      <c r="W109">
        <v>2.6668088964744798E-3</v>
      </c>
      <c r="X109">
        <v>0</v>
      </c>
      <c r="Y109">
        <v>2.9264581077521898E-3</v>
      </c>
      <c r="Z109">
        <v>3.1774275546517499E-3</v>
      </c>
      <c r="AA109">
        <v>1.34849642648447E-2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2.3469220117815501E-3</v>
      </c>
      <c r="AH109">
        <v>0</v>
      </c>
      <c r="AI109">
        <v>4.5968557506665397E-3</v>
      </c>
      <c r="AJ109">
        <v>1.07747010020472E-2</v>
      </c>
      <c r="AK109">
        <v>0</v>
      </c>
      <c r="AL109">
        <v>7.1689726862140604E-3</v>
      </c>
      <c r="AM109">
        <v>0</v>
      </c>
    </row>
    <row r="110" spans="1:39" customFormat="1" hidden="1" x14ac:dyDescent="0.3">
      <c r="A110" t="s">
        <v>1680</v>
      </c>
      <c r="B110" t="s">
        <v>30</v>
      </c>
      <c r="C110" t="s">
        <v>526</v>
      </c>
      <c r="D110" t="s">
        <v>525</v>
      </c>
      <c r="E110" t="s">
        <v>524</v>
      </c>
      <c r="F110" t="s">
        <v>523</v>
      </c>
      <c r="G110" t="s">
        <v>1679</v>
      </c>
      <c r="H110" s="16">
        <v>0.10395874916833001</v>
      </c>
      <c r="I110" s="11">
        <v>0.106040661108673</v>
      </c>
      <c r="J110" s="11">
        <v>4.79532673612625E-2</v>
      </c>
      <c r="K110" s="11">
        <v>5.09309037405919E-2</v>
      </c>
      <c r="L110" s="11">
        <v>9.9055669286138806E-2</v>
      </c>
      <c r="M110" s="11">
        <v>1.77443395556817E-2</v>
      </c>
      <c r="N110" s="11">
        <v>8.7088050602740996E-2</v>
      </c>
      <c r="O110" s="11">
        <v>0.390024376523533</v>
      </c>
      <c r="P110" s="11">
        <v>3.0553009471432899E-2</v>
      </c>
      <c r="Q110" s="11">
        <v>4.1239380859428701E-2</v>
      </c>
      <c r="R110" s="11">
        <v>4.2638181369358902E-2</v>
      </c>
      <c r="S110" s="11">
        <v>7.4649148999701397E-3</v>
      </c>
      <c r="T110" s="11">
        <v>3.3464962184592698E-3</v>
      </c>
      <c r="U110">
        <v>0</v>
      </c>
      <c r="V110">
        <v>3.6144142841652502E-3</v>
      </c>
      <c r="W110">
        <v>8.0004266894234399E-3</v>
      </c>
      <c r="X110">
        <v>1.2848515996402399E-2</v>
      </c>
      <c r="Y110">
        <v>0</v>
      </c>
      <c r="Z110">
        <v>0</v>
      </c>
      <c r="AA110">
        <v>1.34849642648447E-2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1.07747010020472E-2</v>
      </c>
      <c r="AK110">
        <v>0</v>
      </c>
      <c r="AL110">
        <v>0</v>
      </c>
      <c r="AM110">
        <v>0</v>
      </c>
    </row>
    <row r="111" spans="1:39" customFormat="1" hidden="1" x14ac:dyDescent="0.3">
      <c r="A111" t="s">
        <v>1498</v>
      </c>
      <c r="B111" t="s">
        <v>30</v>
      </c>
      <c r="C111" t="s">
        <v>526</v>
      </c>
      <c r="D111" t="s">
        <v>525</v>
      </c>
      <c r="E111" t="s">
        <v>524</v>
      </c>
      <c r="F111" t="s">
        <v>523</v>
      </c>
      <c r="G111" t="s">
        <v>25</v>
      </c>
      <c r="H111" s="16">
        <v>0</v>
      </c>
      <c r="I111" s="11">
        <v>0</v>
      </c>
      <c r="J111" s="11">
        <v>4.3593879419329502E-3</v>
      </c>
      <c r="K111" s="11">
        <v>0</v>
      </c>
      <c r="L111" s="11">
        <v>6.6037112857425901E-3</v>
      </c>
      <c r="M111" s="11">
        <v>0</v>
      </c>
      <c r="N111" s="11">
        <v>0</v>
      </c>
      <c r="O111" s="11">
        <v>0</v>
      </c>
      <c r="P111" s="11">
        <v>0</v>
      </c>
      <c r="Q111" s="11">
        <v>0</v>
      </c>
      <c r="R111" s="11">
        <v>0</v>
      </c>
      <c r="S111" s="11">
        <v>0</v>
      </c>
      <c r="T111" s="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1.34849642648447E-2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7.1831340013647996E-3</v>
      </c>
      <c r="AK111">
        <v>0</v>
      </c>
      <c r="AL111">
        <v>7.1689726862140604E-3</v>
      </c>
      <c r="AM111">
        <v>0</v>
      </c>
    </row>
    <row r="112" spans="1:39" customFormat="1" hidden="1" x14ac:dyDescent="0.3">
      <c r="A112" t="s">
        <v>1456</v>
      </c>
      <c r="B112" t="s">
        <v>30</v>
      </c>
      <c r="C112" t="s">
        <v>81</v>
      </c>
      <c r="D112" t="s">
        <v>80</v>
      </c>
      <c r="E112" t="s">
        <v>642</v>
      </c>
      <c r="F112" t="s">
        <v>645</v>
      </c>
      <c r="G112" t="s">
        <v>644</v>
      </c>
      <c r="H112" s="16">
        <v>2.0791749833665999E-2</v>
      </c>
      <c r="I112" s="11">
        <v>0</v>
      </c>
      <c r="J112" s="11">
        <v>0</v>
      </c>
      <c r="K112" s="11">
        <v>0</v>
      </c>
      <c r="L112" s="11">
        <v>6.6037112857425901E-3</v>
      </c>
      <c r="M112" s="11">
        <v>0</v>
      </c>
      <c r="N112" s="11">
        <v>4.5835816106705798E-3</v>
      </c>
      <c r="O112" s="11">
        <v>0</v>
      </c>
      <c r="P112" s="11">
        <v>0</v>
      </c>
      <c r="Q112" s="11">
        <v>0</v>
      </c>
      <c r="R112" s="11">
        <v>2.2441148089136199E-3</v>
      </c>
      <c r="S112" s="11">
        <v>0</v>
      </c>
      <c r="T112" s="11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1.34849642648447E-2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</row>
    <row r="113" spans="1:39" customFormat="1" hidden="1" x14ac:dyDescent="0.3">
      <c r="A113" t="s">
        <v>1453</v>
      </c>
      <c r="B113" t="s">
        <v>30</v>
      </c>
      <c r="C113" t="s">
        <v>81</v>
      </c>
      <c r="D113" t="s">
        <v>85</v>
      </c>
      <c r="E113" t="s">
        <v>84</v>
      </c>
      <c r="F113" t="s">
        <v>84</v>
      </c>
      <c r="G113" t="s">
        <v>84</v>
      </c>
      <c r="H113" s="16">
        <v>2.4950099800399202E-2</v>
      </c>
      <c r="I113" s="11">
        <v>7.3131490419774802E-3</v>
      </c>
      <c r="J113" s="11">
        <v>0</v>
      </c>
      <c r="K113" s="11">
        <v>5.6589893045102101E-3</v>
      </c>
      <c r="L113" s="11">
        <v>7.2640824143168498E-2</v>
      </c>
      <c r="M113" s="11">
        <v>3.5488679111363502E-3</v>
      </c>
      <c r="N113" s="11">
        <v>2.75014896640235E-2</v>
      </c>
      <c r="O113" s="11">
        <v>6.3753984624039001E-2</v>
      </c>
      <c r="P113" s="11">
        <v>1.6973894150796101E-2</v>
      </c>
      <c r="Q113" s="11">
        <v>8.7977345833447906E-2</v>
      </c>
      <c r="R113" s="11">
        <v>5.6102870222840599E-2</v>
      </c>
      <c r="S113" s="11">
        <v>4.9766099333134299E-3</v>
      </c>
      <c r="T113" s="11">
        <v>3.3464962184592698E-3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3.1774275546517499E-3</v>
      </c>
      <c r="AA113">
        <v>1.34849642648447E-2</v>
      </c>
      <c r="AB113">
        <v>0</v>
      </c>
      <c r="AC113">
        <v>7.1911405148856597E-3</v>
      </c>
      <c r="AD113">
        <v>3.14564328405159E-3</v>
      </c>
      <c r="AE113">
        <v>0</v>
      </c>
      <c r="AF113">
        <v>0</v>
      </c>
      <c r="AG113">
        <v>0</v>
      </c>
      <c r="AH113">
        <v>0</v>
      </c>
      <c r="AI113">
        <v>2.2984278753332699E-3</v>
      </c>
      <c r="AJ113">
        <v>0</v>
      </c>
      <c r="AK113">
        <v>0</v>
      </c>
      <c r="AL113">
        <v>0</v>
      </c>
      <c r="AM113">
        <v>0</v>
      </c>
    </row>
    <row r="114" spans="1:39" customFormat="1" hidden="1" x14ac:dyDescent="0.3">
      <c r="A114" t="s">
        <v>1228</v>
      </c>
      <c r="B114" t="s">
        <v>30</v>
      </c>
      <c r="C114" t="s">
        <v>81</v>
      </c>
      <c r="D114" t="s">
        <v>80</v>
      </c>
      <c r="E114" t="s">
        <v>642</v>
      </c>
      <c r="F114" t="s">
        <v>645</v>
      </c>
      <c r="G114" t="s">
        <v>644</v>
      </c>
      <c r="H114" s="16">
        <v>8.3166999334664E-3</v>
      </c>
      <c r="I114" s="11">
        <v>7.3131490419774802E-3</v>
      </c>
      <c r="J114" s="11">
        <v>2.17969397096648E-2</v>
      </c>
      <c r="K114" s="11">
        <v>0</v>
      </c>
      <c r="L114" s="11">
        <v>0.32358185300138698</v>
      </c>
      <c r="M114" s="11">
        <v>0</v>
      </c>
      <c r="N114" s="11">
        <v>0.19251042764816401</v>
      </c>
      <c r="O114" s="11">
        <v>6.7504219013688402E-2</v>
      </c>
      <c r="P114" s="11">
        <v>0</v>
      </c>
      <c r="Q114" s="11">
        <v>2.7492920572952501E-3</v>
      </c>
      <c r="R114" s="11">
        <v>4.4882296178272501E-3</v>
      </c>
      <c r="S114" s="11">
        <v>0</v>
      </c>
      <c r="T114" s="11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1.34849642648447E-2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</row>
    <row r="115" spans="1:39" customFormat="1" hidden="1" x14ac:dyDescent="0.3">
      <c r="A115" t="s">
        <v>2088</v>
      </c>
      <c r="B115" t="s">
        <v>30</v>
      </c>
      <c r="C115" t="s">
        <v>81</v>
      </c>
      <c r="D115" t="s">
        <v>80</v>
      </c>
      <c r="E115" t="s">
        <v>618</v>
      </c>
      <c r="F115" s="4" t="s">
        <v>617</v>
      </c>
      <c r="G115" t="s">
        <v>616</v>
      </c>
      <c r="H115" s="16">
        <v>0</v>
      </c>
      <c r="I115" s="11">
        <v>3.6565745209887401E-3</v>
      </c>
      <c r="J115" s="11">
        <v>0</v>
      </c>
      <c r="K115" s="11">
        <v>0</v>
      </c>
      <c r="L115" s="11">
        <v>0</v>
      </c>
      <c r="M115" s="11">
        <v>0</v>
      </c>
      <c r="N115" s="11">
        <v>0</v>
      </c>
      <c r="O115" s="11">
        <v>0</v>
      </c>
      <c r="P115" s="11">
        <v>0</v>
      </c>
      <c r="Q115" s="11">
        <v>0</v>
      </c>
      <c r="R115" s="11">
        <v>0</v>
      </c>
      <c r="S115" s="11">
        <v>2.4883049666567102E-3</v>
      </c>
      <c r="T115" s="11">
        <v>6.69299243691855E-3</v>
      </c>
      <c r="U115">
        <v>6.0840203206278696E-3</v>
      </c>
      <c r="V115">
        <v>0.91083239960964302</v>
      </c>
      <c r="W115">
        <v>1.2694010347218501</v>
      </c>
      <c r="X115">
        <v>0</v>
      </c>
      <c r="Y115" s="3">
        <v>2.7567235375025598</v>
      </c>
      <c r="Z115">
        <v>0.19064565327910499</v>
      </c>
      <c r="AA115">
        <v>8.9899761765631307E-3</v>
      </c>
      <c r="AB115" s="5">
        <v>57.958852192744999</v>
      </c>
      <c r="AC115" s="5">
        <v>15.4681432475191</v>
      </c>
      <c r="AD115" s="5">
        <v>58.634790814721597</v>
      </c>
      <c r="AE115" s="3">
        <v>12.985765734865399</v>
      </c>
      <c r="AF115" s="3">
        <v>3.2920567804288701</v>
      </c>
      <c r="AG115" s="3">
        <v>9.5191156797859602</v>
      </c>
      <c r="AH115" s="3">
        <v>0.352717315635587</v>
      </c>
      <c r="AI115" s="3">
        <v>1.2825227544359701</v>
      </c>
      <c r="AJ115">
        <v>1.07747010020472E-2</v>
      </c>
      <c r="AK115">
        <v>6.02700096432015E-3</v>
      </c>
      <c r="AL115">
        <v>0</v>
      </c>
      <c r="AM115">
        <v>0</v>
      </c>
    </row>
    <row r="116" spans="1:39" customFormat="1" hidden="1" x14ac:dyDescent="0.3">
      <c r="A116" t="s">
        <v>2035</v>
      </c>
      <c r="B116" t="s">
        <v>30</v>
      </c>
      <c r="C116" t="s">
        <v>264</v>
      </c>
      <c r="D116" t="s">
        <v>263</v>
      </c>
      <c r="E116" t="s">
        <v>262</v>
      </c>
      <c r="F116" t="s">
        <v>261</v>
      </c>
      <c r="G116" t="s">
        <v>260</v>
      </c>
      <c r="H116" s="16">
        <v>5.4058549567531602E-2</v>
      </c>
      <c r="I116" s="11">
        <v>0.31812198332601999</v>
      </c>
      <c r="J116" s="11">
        <v>1.30781638257989E-2</v>
      </c>
      <c r="K116" s="11">
        <v>1.6976967913530601E-2</v>
      </c>
      <c r="L116" s="11">
        <v>4.6225979000198099E-2</v>
      </c>
      <c r="M116" s="11">
        <v>3.5488679111363502E-3</v>
      </c>
      <c r="N116" s="11">
        <v>0.105422377045423</v>
      </c>
      <c r="O116" s="11">
        <v>0.123757734858429</v>
      </c>
      <c r="P116" s="11">
        <v>3.0553009471432899E-2</v>
      </c>
      <c r="Q116" s="11">
        <v>1.0997168229181E-2</v>
      </c>
      <c r="R116" s="11">
        <v>2.0197033280222602E-2</v>
      </c>
      <c r="S116" s="11">
        <v>0</v>
      </c>
      <c r="T116" s="11">
        <v>1.00394886553778E-2</v>
      </c>
      <c r="U116">
        <v>2.4336081282511499E-2</v>
      </c>
      <c r="V116">
        <v>5.4216214262478801E-2</v>
      </c>
      <c r="W116">
        <v>6.9337031308336405E-2</v>
      </c>
      <c r="X116">
        <v>6.4242579982012101E-3</v>
      </c>
      <c r="Y116">
        <v>6.1455620262795899E-2</v>
      </c>
      <c r="Z116">
        <v>6.0371123538383302E-2</v>
      </c>
      <c r="AA116">
        <v>8.9899761765631307E-3</v>
      </c>
      <c r="AB116">
        <v>1.35354629128316E-2</v>
      </c>
      <c r="AC116">
        <v>2.87645620595426E-2</v>
      </c>
      <c r="AD116">
        <v>1.5728216420257901E-2</v>
      </c>
      <c r="AE116">
        <v>4.11593208712056E-2</v>
      </c>
      <c r="AF116">
        <v>2.51686298197926E-2</v>
      </c>
      <c r="AG116">
        <v>4.6938440235631002E-3</v>
      </c>
      <c r="AH116">
        <v>1.8564069243978298E-2</v>
      </c>
      <c r="AI116">
        <v>1.8387423002666201E-2</v>
      </c>
      <c r="AJ116">
        <v>7.5422907014330395E-2</v>
      </c>
      <c r="AK116">
        <v>6.0270009643201498E-2</v>
      </c>
      <c r="AL116">
        <v>4.6598322460391403E-2</v>
      </c>
      <c r="AM116">
        <v>0</v>
      </c>
    </row>
    <row r="117" spans="1:39" customFormat="1" hidden="1" x14ac:dyDescent="0.3">
      <c r="A117" t="s">
        <v>2023</v>
      </c>
      <c r="B117" t="s">
        <v>30</v>
      </c>
      <c r="C117" t="s">
        <v>111</v>
      </c>
      <c r="D117" t="s">
        <v>141</v>
      </c>
      <c r="E117" t="s">
        <v>140</v>
      </c>
      <c r="F117" t="s">
        <v>607</v>
      </c>
      <c r="G117" t="s">
        <v>606</v>
      </c>
      <c r="H117" s="16">
        <v>4.1583499667332E-3</v>
      </c>
      <c r="I117" s="11">
        <v>0</v>
      </c>
      <c r="J117" s="11">
        <v>1.30781638257989E-2</v>
      </c>
      <c r="K117" s="11">
        <v>1.1317978609020399E-2</v>
      </c>
      <c r="L117" s="11">
        <v>7.9244535428911106E-2</v>
      </c>
      <c r="M117" s="11">
        <v>1.4195471644545401E-2</v>
      </c>
      <c r="N117" s="11">
        <v>0.11917312187743501</v>
      </c>
      <c r="O117" s="11">
        <v>0.11625726607913001</v>
      </c>
      <c r="P117" s="11">
        <v>1.01843364904776E-2</v>
      </c>
      <c r="Q117" s="11">
        <v>3.0242212630247699E-2</v>
      </c>
      <c r="R117" s="11">
        <v>3.8149951751531602E-2</v>
      </c>
      <c r="S117" s="11">
        <v>0</v>
      </c>
      <c r="T117" s="11">
        <v>0</v>
      </c>
      <c r="U117">
        <v>6.0840203206278696E-3</v>
      </c>
      <c r="V117">
        <v>0.63252249972891905</v>
      </c>
      <c r="W117">
        <v>8.0004266894234399E-3</v>
      </c>
      <c r="X117">
        <v>1.9272773994603601E-2</v>
      </c>
      <c r="Y117">
        <v>0.72868806883029502</v>
      </c>
      <c r="Z117">
        <v>4.4483985765124599E-2</v>
      </c>
      <c r="AA117">
        <v>8.9899761765631307E-3</v>
      </c>
      <c r="AB117">
        <v>0.20303194369247399</v>
      </c>
      <c r="AC117">
        <v>0.19416079390191299</v>
      </c>
      <c r="AD117">
        <v>0.17930166719094101</v>
      </c>
      <c r="AE117">
        <v>6.1738981306808403E-2</v>
      </c>
      <c r="AF117">
        <v>0</v>
      </c>
      <c r="AG117">
        <v>2.3469220117815499E-2</v>
      </c>
      <c r="AH117">
        <v>3.2487121176962001E-2</v>
      </c>
      <c r="AI117">
        <v>2.2984278753332699E-2</v>
      </c>
      <c r="AJ117">
        <v>3.5915670006823998E-3</v>
      </c>
      <c r="AK117">
        <v>3.0135004821600801E-2</v>
      </c>
      <c r="AL117">
        <v>3.5844863431070302E-3</v>
      </c>
      <c r="AM117">
        <v>0</v>
      </c>
    </row>
    <row r="118" spans="1:39" customFormat="1" hidden="1" x14ac:dyDescent="0.3">
      <c r="A118" t="s">
        <v>2015</v>
      </c>
      <c r="B118" t="s">
        <v>30</v>
      </c>
      <c r="C118" t="s">
        <v>111</v>
      </c>
      <c r="D118" t="s">
        <v>110</v>
      </c>
      <c r="E118" t="s">
        <v>109</v>
      </c>
      <c r="F118" t="s">
        <v>108</v>
      </c>
      <c r="G118" t="s">
        <v>154</v>
      </c>
      <c r="H118" s="16">
        <v>8.3166999334663996E-2</v>
      </c>
      <c r="I118" s="11">
        <v>0.10969723562966199</v>
      </c>
      <c r="J118" s="11">
        <v>0</v>
      </c>
      <c r="K118" s="11">
        <v>5.6589893045102101E-3</v>
      </c>
      <c r="L118" s="11">
        <v>2.6414845142970302E-2</v>
      </c>
      <c r="M118" s="11">
        <v>7.0977358222727004E-3</v>
      </c>
      <c r="N118" s="11">
        <v>2.75014896640235E-2</v>
      </c>
      <c r="O118" s="11">
        <v>3.75023438964935E-3</v>
      </c>
      <c r="P118" s="11">
        <v>0</v>
      </c>
      <c r="Q118" s="11">
        <v>0</v>
      </c>
      <c r="R118" s="11">
        <v>6.7323444267408704E-3</v>
      </c>
      <c r="S118" s="11">
        <v>0</v>
      </c>
      <c r="T118" s="11">
        <v>0</v>
      </c>
      <c r="U118">
        <v>1.5210050801569701E-2</v>
      </c>
      <c r="V118">
        <v>7.2288285683305004E-3</v>
      </c>
      <c r="W118">
        <v>1.8667662275321399E-2</v>
      </c>
      <c r="X118">
        <v>0</v>
      </c>
      <c r="Y118">
        <v>1.17058324310087E-2</v>
      </c>
      <c r="Z118">
        <v>7.9435688866293805E-2</v>
      </c>
      <c r="AA118">
        <v>8.9899761765631307E-3</v>
      </c>
      <c r="AB118">
        <v>0</v>
      </c>
      <c r="AC118">
        <v>0</v>
      </c>
      <c r="AD118">
        <v>6.2912865681031801E-3</v>
      </c>
      <c r="AE118">
        <v>0</v>
      </c>
      <c r="AF118">
        <v>2.51686298197926E-2</v>
      </c>
      <c r="AG118">
        <v>9.3876880471262004E-3</v>
      </c>
      <c r="AH118">
        <v>4.6410173109945703E-3</v>
      </c>
      <c r="AI118">
        <v>4.5968557506665397E-3</v>
      </c>
      <c r="AJ118">
        <v>3.5915670006824003E-2</v>
      </c>
      <c r="AK118">
        <v>3.0135004821600801E-2</v>
      </c>
      <c r="AL118">
        <v>1.43379453724281E-2</v>
      </c>
      <c r="AM118">
        <v>0</v>
      </c>
    </row>
    <row r="119" spans="1:39" customFormat="1" hidden="1" x14ac:dyDescent="0.3">
      <c r="A119" t="s">
        <v>1999</v>
      </c>
      <c r="B119" t="s">
        <v>30</v>
      </c>
      <c r="C119" t="s">
        <v>81</v>
      </c>
      <c r="D119" t="s">
        <v>80</v>
      </c>
      <c r="E119" t="s">
        <v>618</v>
      </c>
      <c r="F119" t="s">
        <v>841</v>
      </c>
      <c r="G119" t="s">
        <v>840</v>
      </c>
      <c r="H119" s="16">
        <v>1.2475049900199601E-2</v>
      </c>
      <c r="I119" s="11">
        <v>1.4626298083955E-2</v>
      </c>
      <c r="J119" s="11">
        <v>8.7187758838659108E-3</v>
      </c>
      <c r="K119" s="11">
        <v>5.6589893045102101E-3</v>
      </c>
      <c r="L119" s="11">
        <v>7.9244535428911106E-2</v>
      </c>
      <c r="M119" s="11">
        <v>3.1939811200227097E-2</v>
      </c>
      <c r="N119" s="11">
        <v>3.6668652885364597E-2</v>
      </c>
      <c r="O119" s="11">
        <v>2.2501406337896102E-2</v>
      </c>
      <c r="P119" s="11">
        <v>2.7158230641273699E-2</v>
      </c>
      <c r="Q119" s="11">
        <v>0.10997168229180999</v>
      </c>
      <c r="R119" s="11">
        <v>6.5079329458495094E-2</v>
      </c>
      <c r="S119" s="11">
        <v>0</v>
      </c>
      <c r="T119" s="11">
        <v>6.69299243691855E-3</v>
      </c>
      <c r="U119">
        <v>3.04201016031394E-3</v>
      </c>
      <c r="V119">
        <v>0</v>
      </c>
      <c r="W119">
        <v>4.2668942343591698E-2</v>
      </c>
      <c r="X119">
        <v>0</v>
      </c>
      <c r="Y119">
        <v>1.7558748646513099E-2</v>
      </c>
      <c r="Z119">
        <v>6.9903406202338605E-2</v>
      </c>
      <c r="AA119">
        <v>8.9899761765631307E-3</v>
      </c>
      <c r="AB119">
        <v>1.35354629128316E-2</v>
      </c>
      <c r="AC119">
        <v>7.1911405148856597E-3</v>
      </c>
      <c r="AD119">
        <v>6.2912865681031799E-2</v>
      </c>
      <c r="AE119">
        <v>0.16463728348482201</v>
      </c>
      <c r="AF119">
        <v>2.0134903855834101E-2</v>
      </c>
      <c r="AG119">
        <v>0.16663146283649</v>
      </c>
      <c r="AH119">
        <v>0.16707662319580499</v>
      </c>
      <c r="AI119">
        <v>0.87340259262664299</v>
      </c>
      <c r="AJ119">
        <v>0</v>
      </c>
      <c r="AK119">
        <v>0</v>
      </c>
      <c r="AL119">
        <v>0</v>
      </c>
      <c r="AM119">
        <v>0</v>
      </c>
    </row>
    <row r="120" spans="1:39" customFormat="1" hidden="1" x14ac:dyDescent="0.3">
      <c r="A120" t="s">
        <v>1995</v>
      </c>
      <c r="B120" t="s">
        <v>30</v>
      </c>
      <c r="C120" t="s">
        <v>29</v>
      </c>
      <c r="D120" t="s">
        <v>28</v>
      </c>
      <c r="E120" t="s">
        <v>27</v>
      </c>
      <c r="F120" t="s">
        <v>160</v>
      </c>
      <c r="G120" t="s">
        <v>25</v>
      </c>
      <c r="H120" s="16">
        <v>0</v>
      </c>
      <c r="I120" s="11">
        <v>0</v>
      </c>
      <c r="J120" s="11">
        <v>0</v>
      </c>
      <c r="K120" s="11">
        <v>0</v>
      </c>
      <c r="L120" s="11">
        <v>2.6414845142970302E-2</v>
      </c>
      <c r="M120" s="11">
        <v>0.63169848818227003</v>
      </c>
      <c r="N120" s="11">
        <v>2.75014896640235E-2</v>
      </c>
      <c r="O120" s="11">
        <v>1.1250703168948099E-2</v>
      </c>
      <c r="P120" s="11">
        <v>5.0921682452388199E-2</v>
      </c>
      <c r="Q120" s="11">
        <v>1.0997168229181E-2</v>
      </c>
      <c r="R120" s="11">
        <v>4.4882296178272501E-3</v>
      </c>
      <c r="S120" s="11">
        <v>2.4883049666567102E-3</v>
      </c>
      <c r="T120" s="11">
        <v>0</v>
      </c>
      <c r="U120">
        <v>0</v>
      </c>
      <c r="V120">
        <v>3.6144142841652502E-3</v>
      </c>
      <c r="W120">
        <v>0.237345991786229</v>
      </c>
      <c r="X120">
        <v>0</v>
      </c>
      <c r="Y120">
        <v>0.43311579994732402</v>
      </c>
      <c r="Z120">
        <v>0.24466192170818499</v>
      </c>
      <c r="AA120">
        <v>8.9899761765631307E-3</v>
      </c>
      <c r="AB120">
        <v>3.6094567767551003E-2</v>
      </c>
      <c r="AC120">
        <v>7.1911405148856605E-2</v>
      </c>
      <c r="AD120">
        <v>6.9204152249134898E-2</v>
      </c>
      <c r="AE120">
        <v>1.7149717029669002E-2</v>
      </c>
      <c r="AF120">
        <v>0.15604550488271399</v>
      </c>
      <c r="AG120">
        <v>3.5203830176723197E-2</v>
      </c>
      <c r="AH120">
        <v>2.32050865549728E-2</v>
      </c>
      <c r="AI120">
        <v>3.9073273880665602E-2</v>
      </c>
      <c r="AJ120">
        <v>7.1831340013647996E-3</v>
      </c>
      <c r="AK120">
        <v>0</v>
      </c>
      <c r="AL120">
        <v>0</v>
      </c>
      <c r="AM120">
        <v>0</v>
      </c>
    </row>
    <row r="121" spans="1:39" customFormat="1" hidden="1" x14ac:dyDescent="0.3">
      <c r="A121" t="s">
        <v>1979</v>
      </c>
      <c r="B121" t="s">
        <v>30</v>
      </c>
      <c r="C121" t="s">
        <v>29</v>
      </c>
      <c r="D121" t="s">
        <v>28</v>
      </c>
      <c r="E121" t="s">
        <v>27</v>
      </c>
      <c r="F121" t="s">
        <v>1978</v>
      </c>
      <c r="G121" t="s">
        <v>25</v>
      </c>
      <c r="H121" s="16">
        <v>7.0691949434464399E-2</v>
      </c>
      <c r="I121" s="11">
        <v>0.11701038467164</v>
      </c>
      <c r="J121" s="11">
        <v>8.7187758838659108E-3</v>
      </c>
      <c r="K121" s="11">
        <v>1.6976967913530601E-2</v>
      </c>
      <c r="L121" s="11">
        <v>6.6037112857425901E-3</v>
      </c>
      <c r="M121" s="11">
        <v>0</v>
      </c>
      <c r="N121" s="11">
        <v>0</v>
      </c>
      <c r="O121" s="11">
        <v>0</v>
      </c>
      <c r="P121" s="11">
        <v>1.35791153206369E-2</v>
      </c>
      <c r="Q121" s="11">
        <v>8.2478761718857395E-3</v>
      </c>
      <c r="R121" s="11">
        <v>4.4882296178272501E-3</v>
      </c>
      <c r="S121" s="11">
        <v>2.4883049666567102E-3</v>
      </c>
      <c r="T121" s="11">
        <v>0</v>
      </c>
      <c r="U121">
        <v>0</v>
      </c>
      <c r="V121">
        <v>2.53008999891568E-2</v>
      </c>
      <c r="W121">
        <v>3.2001706757693697E-2</v>
      </c>
      <c r="X121">
        <v>1.2848515996402399E-2</v>
      </c>
      <c r="Y121">
        <v>0.30727810131397998</v>
      </c>
      <c r="Z121">
        <v>2.22419928825623E-2</v>
      </c>
      <c r="AA121">
        <v>8.9899761765631307E-3</v>
      </c>
      <c r="AB121">
        <v>0.31131564699512698</v>
      </c>
      <c r="AC121">
        <v>0.201351934416798</v>
      </c>
      <c r="AD121">
        <v>0.34287511796162301</v>
      </c>
      <c r="AE121">
        <v>8.5748585148345102E-2</v>
      </c>
      <c r="AF121">
        <v>2.51686298197926E-2</v>
      </c>
      <c r="AG121">
        <v>1.64284540824708E-2</v>
      </c>
      <c r="AH121">
        <v>1.39230519329837E-2</v>
      </c>
      <c r="AI121">
        <v>1.8387423002666201E-2</v>
      </c>
      <c r="AJ121">
        <v>7.1831340013647996E-3</v>
      </c>
      <c r="AK121">
        <v>0</v>
      </c>
      <c r="AL121">
        <v>3.5844863431070302E-3</v>
      </c>
      <c r="AM121">
        <v>0</v>
      </c>
    </row>
    <row r="122" spans="1:39" customFormat="1" hidden="1" x14ac:dyDescent="0.3">
      <c r="A122" t="s">
        <v>1951</v>
      </c>
      <c r="B122" t="s">
        <v>30</v>
      </c>
      <c r="C122" t="s">
        <v>35</v>
      </c>
      <c r="D122" t="s">
        <v>35</v>
      </c>
      <c r="E122" t="s">
        <v>34</v>
      </c>
      <c r="F122" t="s">
        <v>33</v>
      </c>
      <c r="G122" t="s">
        <v>1950</v>
      </c>
      <c r="H122" s="16">
        <v>0</v>
      </c>
      <c r="I122" s="11">
        <v>0</v>
      </c>
      <c r="J122" s="11">
        <v>0</v>
      </c>
      <c r="K122" s="11">
        <v>1.1317978609020399E-2</v>
      </c>
      <c r="L122" s="11">
        <v>0</v>
      </c>
      <c r="M122" s="11">
        <v>0</v>
      </c>
      <c r="N122" s="11">
        <v>0</v>
      </c>
      <c r="O122" s="11">
        <v>0</v>
      </c>
      <c r="P122" s="11">
        <v>2.37634518111145E-2</v>
      </c>
      <c r="Q122" s="11">
        <v>1.0997168229181E-2</v>
      </c>
      <c r="R122" s="11">
        <v>0</v>
      </c>
      <c r="S122" s="11">
        <v>0</v>
      </c>
      <c r="T122" s="11">
        <v>0</v>
      </c>
      <c r="U122">
        <v>3.04201016031394E-3</v>
      </c>
      <c r="V122">
        <v>3.25297285574873E-2</v>
      </c>
      <c r="W122">
        <v>6.4003413515387506E-2</v>
      </c>
      <c r="X122">
        <v>0</v>
      </c>
      <c r="Y122">
        <v>1.46322905387609E-2</v>
      </c>
      <c r="Z122">
        <v>2.8596847991865799E-2</v>
      </c>
      <c r="AA122">
        <v>8.9899761765631307E-3</v>
      </c>
      <c r="AB122">
        <v>0</v>
      </c>
      <c r="AC122">
        <v>7.1911405148856597E-3</v>
      </c>
      <c r="AD122">
        <v>0</v>
      </c>
      <c r="AE122">
        <v>3.4299434059338E-3</v>
      </c>
      <c r="AF122">
        <v>5.03372596395852E-3</v>
      </c>
      <c r="AG122">
        <v>2.3469220117815501E-3</v>
      </c>
      <c r="AH122">
        <v>4.6410173109945703E-3</v>
      </c>
      <c r="AI122">
        <v>9.1937115013330899E-3</v>
      </c>
      <c r="AJ122">
        <v>7.1831340013647996E-3</v>
      </c>
      <c r="AK122">
        <v>0</v>
      </c>
      <c r="AL122">
        <v>3.5844863431070302E-3</v>
      </c>
      <c r="AM122">
        <v>0</v>
      </c>
    </row>
    <row r="123" spans="1:39" customFormat="1" hidden="1" x14ac:dyDescent="0.3">
      <c r="A123" t="s">
        <v>1936</v>
      </c>
      <c r="B123" t="s">
        <v>30</v>
      </c>
      <c r="C123" t="s">
        <v>111</v>
      </c>
      <c r="D123" t="s">
        <v>141</v>
      </c>
      <c r="E123" t="s">
        <v>140</v>
      </c>
      <c r="F123" t="s">
        <v>199</v>
      </c>
      <c r="G123" t="s">
        <v>198</v>
      </c>
      <c r="H123" s="16">
        <v>2.9108449767132401E-2</v>
      </c>
      <c r="I123" s="11">
        <v>3.6565745209887403E-2</v>
      </c>
      <c r="J123" s="11">
        <v>2.6156327651597699E-2</v>
      </c>
      <c r="K123" s="11">
        <v>6.22488823496124E-2</v>
      </c>
      <c r="L123" s="11">
        <v>3.3018556428712903E-2</v>
      </c>
      <c r="M123" s="11">
        <v>0.48974377173681599</v>
      </c>
      <c r="N123" s="11">
        <v>2.75014896640235E-2</v>
      </c>
      <c r="O123" s="11">
        <v>1.50009375585974E-2</v>
      </c>
      <c r="P123" s="11">
        <v>3.3947788301592202E-2</v>
      </c>
      <c r="Q123" s="11">
        <v>2.7492920572952501E-3</v>
      </c>
      <c r="R123" s="11">
        <v>2.2441148089136199E-3</v>
      </c>
      <c r="S123" s="11">
        <v>2.4883049666567102E-3</v>
      </c>
      <c r="T123" s="11">
        <v>0</v>
      </c>
      <c r="U123">
        <v>1.2168040641255699E-2</v>
      </c>
      <c r="V123">
        <v>2.53008999891568E-2</v>
      </c>
      <c r="W123">
        <v>2.9334897861219299E-2</v>
      </c>
      <c r="X123">
        <v>0</v>
      </c>
      <c r="Y123">
        <v>4.0970413508530597E-2</v>
      </c>
      <c r="Z123">
        <v>6.3548551093035102E-3</v>
      </c>
      <c r="AA123">
        <v>8.9899761765631307E-3</v>
      </c>
      <c r="AB123">
        <v>9.0236419418877507E-3</v>
      </c>
      <c r="AC123">
        <v>2.1573421544656999E-2</v>
      </c>
      <c r="AD123">
        <v>1.25825731362064E-2</v>
      </c>
      <c r="AE123">
        <v>3.4299434059338E-3</v>
      </c>
      <c r="AF123">
        <v>1.51011778918756E-2</v>
      </c>
      <c r="AG123">
        <v>9.3876880471262004E-3</v>
      </c>
      <c r="AH123">
        <v>4.6410173109945703E-3</v>
      </c>
      <c r="AI123">
        <v>1.6088995127332899E-2</v>
      </c>
      <c r="AJ123">
        <v>1.4366268002729599E-2</v>
      </c>
      <c r="AK123">
        <v>0</v>
      </c>
      <c r="AL123">
        <v>3.5844863431070302E-3</v>
      </c>
      <c r="AM123">
        <v>0</v>
      </c>
    </row>
    <row r="124" spans="1:39" customFormat="1" hidden="1" x14ac:dyDescent="0.3">
      <c r="A124" t="s">
        <v>1914</v>
      </c>
      <c r="B124" t="s">
        <v>30</v>
      </c>
      <c r="C124" t="s">
        <v>81</v>
      </c>
      <c r="D124" t="s">
        <v>118</v>
      </c>
      <c r="E124" t="s">
        <v>371</v>
      </c>
      <c r="F124" t="s">
        <v>1913</v>
      </c>
      <c r="G124" t="s">
        <v>1912</v>
      </c>
      <c r="H124" s="16">
        <v>0.45741849634065201</v>
      </c>
      <c r="I124" s="11">
        <v>0.14626298083955</v>
      </c>
      <c r="J124" s="11">
        <v>6.5390819128994304E-2</v>
      </c>
      <c r="K124" s="11">
        <v>0.169769679135306</v>
      </c>
      <c r="L124" s="11">
        <v>0</v>
      </c>
      <c r="M124" s="11">
        <v>3.5488679111363502E-3</v>
      </c>
      <c r="N124" s="11">
        <v>0</v>
      </c>
      <c r="O124" s="11">
        <v>1.1250703168948099E-2</v>
      </c>
      <c r="P124" s="11">
        <v>0</v>
      </c>
      <c r="Q124" s="11">
        <v>0</v>
      </c>
      <c r="R124" s="11">
        <v>0</v>
      </c>
      <c r="S124" s="11">
        <v>0</v>
      </c>
      <c r="T124" s="11">
        <v>0</v>
      </c>
      <c r="U124">
        <v>1.5210050801569701E-2</v>
      </c>
      <c r="V124">
        <v>7.2288285683305004E-3</v>
      </c>
      <c r="W124">
        <v>2.6668088964744801E-2</v>
      </c>
      <c r="X124">
        <v>0</v>
      </c>
      <c r="Y124">
        <v>4.38968716162828E-2</v>
      </c>
      <c r="Z124">
        <v>3.8129130655820999E-2</v>
      </c>
      <c r="AA124">
        <v>8.9899761765631307E-3</v>
      </c>
      <c r="AB124">
        <v>9.0236419418877507E-3</v>
      </c>
      <c r="AC124">
        <v>1.43822810297713E-2</v>
      </c>
      <c r="AD124">
        <v>6.2912865681031801E-3</v>
      </c>
      <c r="AE124">
        <v>3.7729377465271802E-2</v>
      </c>
      <c r="AF124">
        <v>4.0269807711668201E-2</v>
      </c>
      <c r="AG124">
        <v>0.13142763265976701</v>
      </c>
      <c r="AH124">
        <v>2.7846103865967399E-2</v>
      </c>
      <c r="AI124">
        <v>6.8952836259998193E-2</v>
      </c>
      <c r="AJ124">
        <v>1.07747010020472E-2</v>
      </c>
      <c r="AK124">
        <v>1.20540019286403E-2</v>
      </c>
      <c r="AL124">
        <v>3.5844863431070302E-3</v>
      </c>
      <c r="AM124">
        <v>0</v>
      </c>
    </row>
    <row r="125" spans="1:39" customFormat="1" hidden="1" x14ac:dyDescent="0.3">
      <c r="A125" t="s">
        <v>1903</v>
      </c>
      <c r="B125" t="s">
        <v>30</v>
      </c>
      <c r="C125" t="s">
        <v>81</v>
      </c>
      <c r="D125" t="s">
        <v>80</v>
      </c>
      <c r="E125" t="s">
        <v>618</v>
      </c>
      <c r="F125" t="s">
        <v>629</v>
      </c>
      <c r="G125" t="s">
        <v>1902</v>
      </c>
      <c r="H125" s="16">
        <v>0.199600798403194</v>
      </c>
      <c r="I125" s="11">
        <v>5.4848617814831101E-2</v>
      </c>
      <c r="J125" s="11">
        <v>0.130781638257989</v>
      </c>
      <c r="K125" s="11">
        <v>5.6589893045102098E-2</v>
      </c>
      <c r="L125" s="11">
        <v>0.138677937000594</v>
      </c>
      <c r="M125" s="11">
        <v>5.3233018667045197E-2</v>
      </c>
      <c r="N125" s="11">
        <v>8.7088050602740996E-2</v>
      </c>
      <c r="O125" s="11">
        <v>1.50009375585974E-2</v>
      </c>
      <c r="P125" s="11">
        <v>2.03686729809553E-2</v>
      </c>
      <c r="Q125" s="11">
        <v>8.2478761718857395E-3</v>
      </c>
      <c r="R125" s="11">
        <v>0</v>
      </c>
      <c r="S125" s="11">
        <v>1.49298297999403E-2</v>
      </c>
      <c r="T125" s="11">
        <v>1.33859848738371E-2</v>
      </c>
      <c r="U125">
        <v>0</v>
      </c>
      <c r="V125">
        <v>2.1686485704991501E-2</v>
      </c>
      <c r="W125">
        <v>8.0004266894234399E-3</v>
      </c>
      <c r="X125">
        <v>0</v>
      </c>
      <c r="Y125">
        <v>8.7793743232565599E-3</v>
      </c>
      <c r="Z125">
        <v>3.1774275546517499E-3</v>
      </c>
      <c r="AA125">
        <v>8.9899761765631307E-3</v>
      </c>
      <c r="AB125">
        <v>0</v>
      </c>
      <c r="AC125">
        <v>2.87645620595426E-2</v>
      </c>
      <c r="AD125">
        <v>5.0330292544825399E-2</v>
      </c>
      <c r="AE125">
        <v>0.13376779283141799</v>
      </c>
      <c r="AF125">
        <v>1.0067451927917E-2</v>
      </c>
      <c r="AG125">
        <v>3.7550752188504802E-2</v>
      </c>
      <c r="AH125">
        <v>9.2820346219891405E-3</v>
      </c>
      <c r="AI125">
        <v>2.5282706628666E-2</v>
      </c>
      <c r="AJ125">
        <v>0</v>
      </c>
      <c r="AK125">
        <v>0</v>
      </c>
      <c r="AL125">
        <v>0</v>
      </c>
      <c r="AM125">
        <v>0</v>
      </c>
    </row>
    <row r="126" spans="1:39" customFormat="1" hidden="1" x14ac:dyDescent="0.3">
      <c r="A126" t="s">
        <v>1885</v>
      </c>
      <c r="B126" t="s">
        <v>30</v>
      </c>
      <c r="C126" t="s">
        <v>111</v>
      </c>
      <c r="D126" t="s">
        <v>141</v>
      </c>
      <c r="E126" t="s">
        <v>140</v>
      </c>
      <c r="F126" t="s">
        <v>592</v>
      </c>
      <c r="G126" t="s">
        <v>1884</v>
      </c>
      <c r="H126" s="16">
        <v>7.0691949434464399E-2</v>
      </c>
      <c r="I126" s="11">
        <v>1.09697235629662E-2</v>
      </c>
      <c r="J126" s="11">
        <v>6.1031431187061301E-2</v>
      </c>
      <c r="K126" s="11">
        <v>7.9225850263142994E-2</v>
      </c>
      <c r="L126" s="11">
        <v>0.34999669814435702</v>
      </c>
      <c r="M126" s="11">
        <v>7.4526226133863296E-2</v>
      </c>
      <c r="N126" s="11">
        <v>0</v>
      </c>
      <c r="O126" s="11">
        <v>7.5004687792987104E-3</v>
      </c>
      <c r="P126" s="11">
        <v>8.4869470753980394E-2</v>
      </c>
      <c r="Q126" s="11">
        <v>3.0242212630247699E-2</v>
      </c>
      <c r="R126" s="11">
        <v>1.5708803662395399E-2</v>
      </c>
      <c r="S126" s="11">
        <v>2.4883049666567101E-2</v>
      </c>
      <c r="T126" s="11">
        <v>3.3464962184592698E-3</v>
      </c>
      <c r="U126">
        <v>6.0840203206278696E-3</v>
      </c>
      <c r="V126">
        <v>3.25297285574873E-2</v>
      </c>
      <c r="W126">
        <v>2.6668088964744798E-3</v>
      </c>
      <c r="X126">
        <v>6.4242579982012101E-3</v>
      </c>
      <c r="Y126">
        <v>1.17058324310087E-2</v>
      </c>
      <c r="Z126">
        <v>3.1774275546517503E-2</v>
      </c>
      <c r="AA126">
        <v>8.9899761765631307E-3</v>
      </c>
      <c r="AB126">
        <v>4.5118209709438702E-3</v>
      </c>
      <c r="AC126">
        <v>0</v>
      </c>
      <c r="AD126">
        <v>1.5728216420257901E-2</v>
      </c>
      <c r="AE126">
        <v>3.4299434059338E-3</v>
      </c>
      <c r="AF126">
        <v>2.51686298197926E-2</v>
      </c>
      <c r="AG126">
        <v>1.8775376094252401E-2</v>
      </c>
      <c r="AH126">
        <v>9.2820346219891405E-3</v>
      </c>
      <c r="AI126">
        <v>9.1937115013330899E-3</v>
      </c>
      <c r="AJ126">
        <v>7.1831340013647996E-3</v>
      </c>
      <c r="AK126">
        <v>0</v>
      </c>
      <c r="AL126">
        <v>7.1689726862140604E-3</v>
      </c>
      <c r="AM126">
        <v>0</v>
      </c>
    </row>
    <row r="127" spans="1:39" customFormat="1" hidden="1" x14ac:dyDescent="0.3">
      <c r="A127" t="s">
        <v>1861</v>
      </c>
      <c r="B127" t="s">
        <v>30</v>
      </c>
      <c r="C127" t="s">
        <v>81</v>
      </c>
      <c r="D127" t="s">
        <v>118</v>
      </c>
      <c r="E127" t="s">
        <v>358</v>
      </c>
      <c r="F127" t="s">
        <v>357</v>
      </c>
      <c r="G127" t="s">
        <v>1387</v>
      </c>
      <c r="H127" s="16">
        <v>7.9008649367930797E-2</v>
      </c>
      <c r="I127" s="11">
        <v>2.92525961679099E-2</v>
      </c>
      <c r="J127" s="11">
        <v>2.17969397096648E-2</v>
      </c>
      <c r="K127" s="11">
        <v>0.43574217644728702</v>
      </c>
      <c r="L127" s="11">
        <v>1.9811133857227801E-2</v>
      </c>
      <c r="M127" s="11">
        <v>6.0330754489317899E-2</v>
      </c>
      <c r="N127" s="11">
        <v>0</v>
      </c>
      <c r="O127" s="11">
        <v>7.5004687792987104E-3</v>
      </c>
      <c r="P127" s="11">
        <v>2.7158230641273699E-2</v>
      </c>
      <c r="Q127" s="11">
        <v>1.3746460286476201E-2</v>
      </c>
      <c r="R127" s="11">
        <v>0</v>
      </c>
      <c r="S127" s="11">
        <v>0</v>
      </c>
      <c r="T127" s="11">
        <v>3.3464962184592698E-3</v>
      </c>
      <c r="U127">
        <v>3.04201016031394E-3</v>
      </c>
      <c r="V127">
        <v>7.2288285683305004E-3</v>
      </c>
      <c r="W127">
        <v>1.6000853378846901E-2</v>
      </c>
      <c r="X127">
        <v>0</v>
      </c>
      <c r="Y127">
        <v>2.0485206754265298E-2</v>
      </c>
      <c r="Z127">
        <v>9.5322826639552601E-3</v>
      </c>
      <c r="AA127">
        <v>8.9899761765631307E-3</v>
      </c>
      <c r="AB127">
        <v>4.5118209709438702E-3</v>
      </c>
      <c r="AC127">
        <v>7.1911405148856597E-3</v>
      </c>
      <c r="AD127">
        <v>0</v>
      </c>
      <c r="AE127">
        <v>1.02898302178014E-2</v>
      </c>
      <c r="AF127">
        <v>1.51011778918756E-2</v>
      </c>
      <c r="AG127">
        <v>0.13612147668332999</v>
      </c>
      <c r="AH127">
        <v>0</v>
      </c>
      <c r="AI127">
        <v>3.2177990254665799E-2</v>
      </c>
      <c r="AJ127">
        <v>0</v>
      </c>
      <c r="AK127">
        <v>0</v>
      </c>
      <c r="AL127">
        <v>3.5844863431070302E-3</v>
      </c>
      <c r="AM127">
        <v>0</v>
      </c>
    </row>
    <row r="128" spans="1:39" customFormat="1" hidden="1" x14ac:dyDescent="0.3">
      <c r="A128" t="s">
        <v>1834</v>
      </c>
      <c r="B128" t="s">
        <v>30</v>
      </c>
      <c r="C128" t="s">
        <v>81</v>
      </c>
      <c r="D128" t="s">
        <v>80</v>
      </c>
      <c r="E128" t="s">
        <v>618</v>
      </c>
      <c r="F128" t="s">
        <v>629</v>
      </c>
      <c r="G128" t="s">
        <v>1833</v>
      </c>
      <c r="H128" s="16">
        <v>7.4850299401197598E-2</v>
      </c>
      <c r="I128" s="11">
        <v>0.25961679099020002</v>
      </c>
      <c r="J128" s="11">
        <v>1.7437551767731801E-2</v>
      </c>
      <c r="K128" s="11">
        <v>0.181087657744327</v>
      </c>
      <c r="L128" s="11">
        <v>1.9811133857227801E-2</v>
      </c>
      <c r="M128" s="11">
        <v>8.1623961956135999E-2</v>
      </c>
      <c r="N128" s="11">
        <v>0</v>
      </c>
      <c r="O128" s="11">
        <v>2.2501406337896102E-2</v>
      </c>
      <c r="P128" s="11">
        <v>6.4500797773025101E-2</v>
      </c>
      <c r="Q128" s="11">
        <v>0</v>
      </c>
      <c r="R128" s="11">
        <v>4.4882296178272501E-3</v>
      </c>
      <c r="S128" s="11">
        <v>1.49298297999403E-2</v>
      </c>
      <c r="T128" s="11">
        <v>1.00394886553778E-2</v>
      </c>
      <c r="U128">
        <v>6.0840203206278696E-3</v>
      </c>
      <c r="V128">
        <v>3.6144142841652502E-3</v>
      </c>
      <c r="W128">
        <v>0</v>
      </c>
      <c r="X128">
        <v>0</v>
      </c>
      <c r="Y128">
        <v>2.9264581077521898E-3</v>
      </c>
      <c r="Z128">
        <v>0</v>
      </c>
      <c r="AA128">
        <v>8.9899761765631307E-3</v>
      </c>
      <c r="AB128">
        <v>0</v>
      </c>
      <c r="AC128">
        <v>7.1911405148856597E-3</v>
      </c>
      <c r="AD128">
        <v>0</v>
      </c>
      <c r="AE128">
        <v>0</v>
      </c>
      <c r="AF128">
        <v>0</v>
      </c>
      <c r="AG128">
        <v>7.0407660353446503E-3</v>
      </c>
      <c r="AH128">
        <v>0</v>
      </c>
      <c r="AI128">
        <v>3.9073273880665602E-2</v>
      </c>
      <c r="AJ128">
        <v>0</v>
      </c>
      <c r="AK128">
        <v>0</v>
      </c>
      <c r="AL128">
        <v>0</v>
      </c>
      <c r="AM128">
        <v>0</v>
      </c>
    </row>
    <row r="129" spans="1:39" customFormat="1" hidden="1" x14ac:dyDescent="0.3">
      <c r="A129" t="s">
        <v>1816</v>
      </c>
      <c r="B129" t="s">
        <v>30</v>
      </c>
      <c r="C129" t="s">
        <v>35</v>
      </c>
      <c r="D129" t="s">
        <v>35</v>
      </c>
      <c r="E129" t="s">
        <v>240</v>
      </c>
      <c r="F129" t="s">
        <v>775</v>
      </c>
      <c r="G129" t="s">
        <v>1815</v>
      </c>
      <c r="H129" s="16">
        <v>0</v>
      </c>
      <c r="I129" s="11">
        <v>0</v>
      </c>
      <c r="J129" s="11">
        <v>0</v>
      </c>
      <c r="K129" s="11">
        <v>0</v>
      </c>
      <c r="L129" s="11">
        <v>0</v>
      </c>
      <c r="M129" s="11">
        <v>0</v>
      </c>
      <c r="N129" s="11">
        <v>4.5835816106705798E-3</v>
      </c>
      <c r="O129" s="11">
        <v>7.5004687792987104E-3</v>
      </c>
      <c r="P129" s="11">
        <v>0</v>
      </c>
      <c r="Q129" s="11">
        <v>8.2478761718857395E-3</v>
      </c>
      <c r="R129" s="11">
        <v>4.7126410987186097E-2</v>
      </c>
      <c r="S129" s="11">
        <v>0</v>
      </c>
      <c r="T129" s="11">
        <v>0</v>
      </c>
      <c r="U129">
        <v>6.0840203206278696E-3</v>
      </c>
      <c r="V129" s="3">
        <v>2.1686485704991501E-2</v>
      </c>
      <c r="W129" s="3">
        <v>2.9334897861219299E-2</v>
      </c>
      <c r="X129">
        <v>0</v>
      </c>
      <c r="Y129">
        <v>5.8529162155043701E-3</v>
      </c>
      <c r="Z129">
        <v>9.5322826639552601E-3</v>
      </c>
      <c r="AA129">
        <v>8.9899761765631307E-3</v>
      </c>
      <c r="AB129">
        <v>0</v>
      </c>
      <c r="AC129" s="3">
        <v>2.1573421544656999E-2</v>
      </c>
      <c r="AD129">
        <v>0</v>
      </c>
      <c r="AE129">
        <v>6.8598868118676E-3</v>
      </c>
      <c r="AF129">
        <v>0</v>
      </c>
      <c r="AG129">
        <v>0</v>
      </c>
      <c r="AH129">
        <v>0</v>
      </c>
      <c r="AI129">
        <v>2.2984278753332699E-3</v>
      </c>
      <c r="AJ129">
        <v>3.5915670006823998E-3</v>
      </c>
      <c r="AK129">
        <v>6.02700096432015E-3</v>
      </c>
      <c r="AL129">
        <v>3.5844863431070302E-3</v>
      </c>
      <c r="AM129">
        <v>0</v>
      </c>
    </row>
    <row r="130" spans="1:39" customFormat="1" hidden="1" x14ac:dyDescent="0.3">
      <c r="A130" t="s">
        <v>1806</v>
      </c>
      <c r="B130" t="s">
        <v>30</v>
      </c>
      <c r="C130" t="s">
        <v>35</v>
      </c>
      <c r="D130" t="s">
        <v>35</v>
      </c>
      <c r="E130" t="s">
        <v>34</v>
      </c>
      <c r="F130" t="s">
        <v>33</v>
      </c>
      <c r="G130" t="s">
        <v>1805</v>
      </c>
      <c r="H130" s="16">
        <v>8.3166999334664E-3</v>
      </c>
      <c r="I130" s="11">
        <v>5.1192043293842297E-2</v>
      </c>
      <c r="J130" s="11">
        <v>8.7187758838659108E-3</v>
      </c>
      <c r="K130" s="11">
        <v>6.22488823496124E-2</v>
      </c>
      <c r="L130" s="11">
        <v>0.105659380571881</v>
      </c>
      <c r="M130" s="11">
        <v>4.2586414933636199E-2</v>
      </c>
      <c r="N130" s="11">
        <v>0.197094009258835</v>
      </c>
      <c r="O130" s="11">
        <v>0.22876429776861101</v>
      </c>
      <c r="P130" s="11">
        <v>3.3947788301592198E-3</v>
      </c>
      <c r="Q130" s="11">
        <v>3.5740796744838203E-2</v>
      </c>
      <c r="R130" s="11">
        <v>1.3464688853481699E-2</v>
      </c>
      <c r="S130" s="11">
        <v>2.4883049666567102E-3</v>
      </c>
      <c r="T130" s="11">
        <v>0</v>
      </c>
      <c r="U130">
        <v>6.0840203206278696E-3</v>
      </c>
      <c r="V130">
        <v>1.4457657136661001E-2</v>
      </c>
      <c r="W130">
        <v>3.2001706757693697E-2</v>
      </c>
      <c r="X130">
        <v>0</v>
      </c>
      <c r="Y130">
        <v>5.8529162155043701E-3</v>
      </c>
      <c r="Z130">
        <v>9.5322826639552601E-3</v>
      </c>
      <c r="AA130">
        <v>8.9899761765631307E-3</v>
      </c>
      <c r="AB130">
        <v>0</v>
      </c>
      <c r="AC130">
        <v>7.1911405148856597E-3</v>
      </c>
      <c r="AD130">
        <v>0</v>
      </c>
      <c r="AE130">
        <v>1.02898302178014E-2</v>
      </c>
      <c r="AF130">
        <v>1.0067451927917E-2</v>
      </c>
      <c r="AG130">
        <v>7.0407660353446503E-3</v>
      </c>
      <c r="AH130">
        <v>2.32050865549728E-2</v>
      </c>
      <c r="AI130">
        <v>9.1937115013330899E-3</v>
      </c>
      <c r="AJ130">
        <v>1.4366268002729599E-2</v>
      </c>
      <c r="AK130">
        <v>0</v>
      </c>
      <c r="AL130">
        <v>0</v>
      </c>
      <c r="AM130">
        <v>0</v>
      </c>
    </row>
    <row r="131" spans="1:39" customFormat="1" hidden="1" x14ac:dyDescent="0.3">
      <c r="A131" t="s">
        <v>1800</v>
      </c>
      <c r="B131" t="s">
        <v>30</v>
      </c>
      <c r="C131" t="s">
        <v>81</v>
      </c>
      <c r="D131" t="s">
        <v>85</v>
      </c>
      <c r="E131" t="s">
        <v>287</v>
      </c>
      <c r="F131" t="s">
        <v>1799</v>
      </c>
      <c r="G131" t="s">
        <v>1798</v>
      </c>
      <c r="H131" s="16">
        <v>7.4850299401197598E-2</v>
      </c>
      <c r="I131" s="11">
        <v>3.6565745209887401E-3</v>
      </c>
      <c r="J131" s="11">
        <v>2.17969397096648E-2</v>
      </c>
      <c r="K131" s="11">
        <v>0</v>
      </c>
      <c r="L131" s="11">
        <v>5.9433401571683302E-2</v>
      </c>
      <c r="M131" s="11">
        <v>3.5488679111363502E-3</v>
      </c>
      <c r="N131" s="11">
        <v>2.2917908053352899E-2</v>
      </c>
      <c r="O131" s="11">
        <v>1.50009375585974E-2</v>
      </c>
      <c r="P131" s="11">
        <v>0</v>
      </c>
      <c r="Q131" s="11">
        <v>0</v>
      </c>
      <c r="R131" s="11">
        <v>0</v>
      </c>
      <c r="S131" s="11">
        <v>4.9766099333134299E-3</v>
      </c>
      <c r="T131" s="11">
        <v>0</v>
      </c>
      <c r="U131">
        <v>3.04201016031394E-3</v>
      </c>
      <c r="V131">
        <v>7.2288285683305004E-3</v>
      </c>
      <c r="W131">
        <v>5.3336177929489597E-3</v>
      </c>
      <c r="X131">
        <v>1.9272773994603601E-2</v>
      </c>
      <c r="Y131">
        <v>8.7793743232565599E-3</v>
      </c>
      <c r="Z131">
        <v>3.1774275546517499E-3</v>
      </c>
      <c r="AA131">
        <v>8.9899761765631307E-3</v>
      </c>
      <c r="AB131">
        <v>0</v>
      </c>
      <c r="AC131">
        <v>1.43822810297713E-2</v>
      </c>
      <c r="AD131">
        <v>6.2912865681031801E-3</v>
      </c>
      <c r="AE131">
        <v>3.4299434059338E-3</v>
      </c>
      <c r="AF131">
        <v>1.0067451927917E-2</v>
      </c>
      <c r="AG131">
        <v>0</v>
      </c>
      <c r="AH131">
        <v>2.32050865549728E-2</v>
      </c>
      <c r="AI131">
        <v>2.2984278753332699E-3</v>
      </c>
      <c r="AJ131">
        <v>3.9507237007506399E-2</v>
      </c>
      <c r="AK131">
        <v>2.41080038572806E-2</v>
      </c>
      <c r="AL131">
        <v>1.43379453724281E-2</v>
      </c>
      <c r="AM131">
        <v>0</v>
      </c>
    </row>
    <row r="132" spans="1:39" customFormat="1" hidden="1" x14ac:dyDescent="0.3">
      <c r="A132" t="s">
        <v>1739</v>
      </c>
      <c r="B132" t="s">
        <v>30</v>
      </c>
      <c r="C132" t="s">
        <v>264</v>
      </c>
      <c r="D132" t="s">
        <v>263</v>
      </c>
      <c r="E132" t="s">
        <v>262</v>
      </c>
      <c r="F132" t="s">
        <v>261</v>
      </c>
      <c r="G132" t="s">
        <v>25</v>
      </c>
      <c r="H132" s="16">
        <v>0</v>
      </c>
      <c r="I132" s="11">
        <v>0</v>
      </c>
      <c r="J132" s="11">
        <v>0</v>
      </c>
      <c r="K132" s="11">
        <v>0</v>
      </c>
      <c r="L132" s="11">
        <v>0</v>
      </c>
      <c r="M132" s="11">
        <v>0</v>
      </c>
      <c r="N132" s="11">
        <v>9.1671632213411597E-3</v>
      </c>
      <c r="O132" s="11">
        <v>0</v>
      </c>
      <c r="P132" s="11">
        <v>3.3947788301592198E-3</v>
      </c>
      <c r="Q132" s="11">
        <v>2.7492920572952501E-3</v>
      </c>
      <c r="R132" s="11">
        <v>6.7323444267408704E-3</v>
      </c>
      <c r="S132" s="11">
        <v>2.4883049666567102E-3</v>
      </c>
      <c r="T132" s="11">
        <v>6.69299243691855E-3</v>
      </c>
      <c r="U132">
        <v>0</v>
      </c>
      <c r="V132">
        <v>0</v>
      </c>
      <c r="W132">
        <v>1.06672355858979E-2</v>
      </c>
      <c r="X132">
        <v>0</v>
      </c>
      <c r="Y132">
        <v>0</v>
      </c>
      <c r="Z132">
        <v>6.3548551093035102E-3</v>
      </c>
      <c r="AA132">
        <v>8.9899761765631307E-3</v>
      </c>
      <c r="AB132">
        <v>0</v>
      </c>
      <c r="AC132">
        <v>0</v>
      </c>
      <c r="AD132">
        <v>6.2912865681031801E-3</v>
      </c>
      <c r="AE132">
        <v>0</v>
      </c>
      <c r="AF132">
        <v>5.03372596395852E-3</v>
      </c>
      <c r="AG132">
        <v>2.3469220117815501E-3</v>
      </c>
      <c r="AH132">
        <v>0</v>
      </c>
      <c r="AI132">
        <v>4.5968557506665397E-3</v>
      </c>
      <c r="AJ132">
        <v>3.5915670006823998E-3</v>
      </c>
      <c r="AK132">
        <v>0</v>
      </c>
      <c r="AL132">
        <v>1.0753459029321099E-2</v>
      </c>
      <c r="AM132">
        <v>0</v>
      </c>
    </row>
    <row r="133" spans="1:39" customFormat="1" hidden="1" x14ac:dyDescent="0.3">
      <c r="A133" t="s">
        <v>1687</v>
      </c>
      <c r="B133" t="s">
        <v>30</v>
      </c>
      <c r="C133" t="s">
        <v>111</v>
      </c>
      <c r="D133" t="s">
        <v>141</v>
      </c>
      <c r="E133" t="s">
        <v>140</v>
      </c>
      <c r="F133" t="s">
        <v>199</v>
      </c>
      <c r="G133" t="s">
        <v>1686</v>
      </c>
      <c r="H133" s="16">
        <v>0</v>
      </c>
      <c r="I133" s="11">
        <v>0</v>
      </c>
      <c r="J133" s="11">
        <v>4.3593879419329502E-3</v>
      </c>
      <c r="K133" s="11">
        <v>2.8294946522551101E-2</v>
      </c>
      <c r="L133" s="11">
        <v>1.3207422571485199E-2</v>
      </c>
      <c r="M133" s="11">
        <v>1.0646603733408999E-2</v>
      </c>
      <c r="N133" s="11">
        <v>0.14209102993078801</v>
      </c>
      <c r="O133" s="11">
        <v>0.206262891430714</v>
      </c>
      <c r="P133" s="11">
        <v>1.35791153206369E-2</v>
      </c>
      <c r="Q133" s="11">
        <v>7.9729469661562094E-2</v>
      </c>
      <c r="R133" s="11">
        <v>4.7126410987186097E-2</v>
      </c>
      <c r="S133" s="11">
        <v>1.7418134766596999E-2</v>
      </c>
      <c r="T133" s="11">
        <v>3.3464962184592698E-3</v>
      </c>
      <c r="U133">
        <v>6.0840203206278696E-3</v>
      </c>
      <c r="V133">
        <v>3.6144142841652502E-3</v>
      </c>
      <c r="W133">
        <v>0</v>
      </c>
      <c r="X133">
        <v>0</v>
      </c>
      <c r="Y133">
        <v>0</v>
      </c>
      <c r="Z133">
        <v>0</v>
      </c>
      <c r="AA133">
        <v>8.9899761765631307E-3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9.2820346219891405E-3</v>
      </c>
      <c r="AI133">
        <v>0</v>
      </c>
      <c r="AJ133">
        <v>3.5915670006823998E-3</v>
      </c>
      <c r="AK133">
        <v>6.02700096432015E-3</v>
      </c>
      <c r="AL133">
        <v>7.1689726862140604E-3</v>
      </c>
      <c r="AM133">
        <v>0</v>
      </c>
    </row>
    <row r="134" spans="1:39" customFormat="1" hidden="1" x14ac:dyDescent="0.3">
      <c r="A134" t="s">
        <v>1641</v>
      </c>
      <c r="B134" t="s">
        <v>30</v>
      </c>
      <c r="C134" t="s">
        <v>81</v>
      </c>
      <c r="D134" t="s">
        <v>85</v>
      </c>
      <c r="E134" t="s">
        <v>287</v>
      </c>
      <c r="F134" t="s">
        <v>1640</v>
      </c>
      <c r="G134" t="s">
        <v>1639</v>
      </c>
      <c r="H134" s="16">
        <v>0</v>
      </c>
      <c r="I134" s="11">
        <v>3.6565745209887401E-3</v>
      </c>
      <c r="J134" s="11">
        <v>8.7187758838659108E-3</v>
      </c>
      <c r="K134" s="11">
        <v>0</v>
      </c>
      <c r="L134" s="11">
        <v>1.3207422571485199E-2</v>
      </c>
      <c r="M134" s="11">
        <v>0</v>
      </c>
      <c r="N134" s="11">
        <v>1.37507448320117E-2</v>
      </c>
      <c r="O134" s="11">
        <v>1.8751171948246801E-2</v>
      </c>
      <c r="P134" s="11">
        <v>3.3947788301592198E-3</v>
      </c>
      <c r="Q134" s="11">
        <v>0</v>
      </c>
      <c r="R134" s="11">
        <v>0</v>
      </c>
      <c r="S134" s="11">
        <v>4.9766099333134299E-3</v>
      </c>
      <c r="T134" s="11">
        <v>1.33859848738371E-2</v>
      </c>
      <c r="U134">
        <v>0</v>
      </c>
      <c r="V134">
        <v>0</v>
      </c>
      <c r="W134">
        <v>0</v>
      </c>
      <c r="X134">
        <v>1.2848515996402399E-2</v>
      </c>
      <c r="Y134">
        <v>0</v>
      </c>
      <c r="Z134">
        <v>0</v>
      </c>
      <c r="AA134">
        <v>8.9899761765631307E-3</v>
      </c>
      <c r="AB134">
        <v>0</v>
      </c>
      <c r="AC134">
        <v>7.1911405148856597E-3</v>
      </c>
      <c r="AD134">
        <v>0</v>
      </c>
      <c r="AE134">
        <v>0</v>
      </c>
      <c r="AF134">
        <v>5.03372596395852E-3</v>
      </c>
      <c r="AG134">
        <v>0</v>
      </c>
      <c r="AH134">
        <v>1.39230519329837E-2</v>
      </c>
      <c r="AI134">
        <v>2.2984278753332699E-3</v>
      </c>
      <c r="AJ134">
        <v>3.5915670006823998E-3</v>
      </c>
      <c r="AK134">
        <v>0</v>
      </c>
      <c r="AL134">
        <v>3.5844863431070302E-3</v>
      </c>
      <c r="AM134">
        <v>0</v>
      </c>
    </row>
    <row r="135" spans="1:39" customFormat="1" hidden="1" x14ac:dyDescent="0.3">
      <c r="A135" t="s">
        <v>1636</v>
      </c>
      <c r="B135" t="s">
        <v>30</v>
      </c>
      <c r="C135" t="s">
        <v>526</v>
      </c>
      <c r="D135" t="s">
        <v>525</v>
      </c>
      <c r="E135" t="s">
        <v>524</v>
      </c>
      <c r="F135" t="s">
        <v>523</v>
      </c>
      <c r="G135" t="s">
        <v>25</v>
      </c>
      <c r="H135" s="16">
        <v>2.0791749833665999E-2</v>
      </c>
      <c r="I135" s="11">
        <v>1.4626298083955E-2</v>
      </c>
      <c r="J135" s="11">
        <v>3.4875103535463602E-2</v>
      </c>
      <c r="K135" s="11">
        <v>0.15845170052628599</v>
      </c>
      <c r="L135" s="11">
        <v>2.6414845142970302E-2</v>
      </c>
      <c r="M135" s="11">
        <v>4.9684150755908901E-2</v>
      </c>
      <c r="N135" s="11">
        <v>7.7920887381399795E-2</v>
      </c>
      <c r="O135" s="11">
        <v>6.7504219013688402E-2</v>
      </c>
      <c r="P135" s="11">
        <v>6.78955766031843E-3</v>
      </c>
      <c r="Q135" s="11">
        <v>8.2478761718857395E-3</v>
      </c>
      <c r="R135" s="11">
        <v>8.9764592356545003E-3</v>
      </c>
      <c r="S135" s="11">
        <v>1.7418134766596999E-2</v>
      </c>
      <c r="T135" s="11">
        <v>6.69299243691855E-3</v>
      </c>
      <c r="U135">
        <v>0</v>
      </c>
      <c r="V135">
        <v>3.6144142841652502E-3</v>
      </c>
      <c r="W135">
        <v>0</v>
      </c>
      <c r="X135">
        <v>0</v>
      </c>
      <c r="Y135">
        <v>0</v>
      </c>
      <c r="Z135">
        <v>0</v>
      </c>
      <c r="AA135">
        <v>8.9899761765631307E-3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4.6410173109945703E-3</v>
      </c>
      <c r="AI135">
        <v>0</v>
      </c>
      <c r="AJ135">
        <v>7.1831340013647996E-3</v>
      </c>
      <c r="AK135">
        <v>0</v>
      </c>
      <c r="AL135">
        <v>1.43379453724281E-2</v>
      </c>
      <c r="AM135">
        <v>0</v>
      </c>
    </row>
    <row r="136" spans="1:39" customFormat="1" hidden="1" x14ac:dyDescent="0.3">
      <c r="A136" t="s">
        <v>1531</v>
      </c>
      <c r="B136" t="s">
        <v>30</v>
      </c>
      <c r="C136" t="s">
        <v>81</v>
      </c>
      <c r="D136" t="s">
        <v>85</v>
      </c>
      <c r="E136" t="s">
        <v>287</v>
      </c>
      <c r="F136" t="s">
        <v>1530</v>
      </c>
      <c r="G136" t="s">
        <v>1530</v>
      </c>
      <c r="H136" s="16">
        <v>2.4950099800399202E-2</v>
      </c>
      <c r="I136" s="11">
        <v>6.9474915898786002E-2</v>
      </c>
      <c r="J136" s="11">
        <v>2.6156327651597699E-2</v>
      </c>
      <c r="K136" s="11">
        <v>1.1317978609020399E-2</v>
      </c>
      <c r="L136" s="11">
        <v>2.6414845142970302E-2</v>
      </c>
      <c r="M136" s="11">
        <v>2.12932074668181E-2</v>
      </c>
      <c r="N136" s="11">
        <v>5.0419397717376399E-2</v>
      </c>
      <c r="O136" s="11">
        <v>2.6251640727545499E-2</v>
      </c>
      <c r="P136" s="11">
        <v>6.78955766031843E-3</v>
      </c>
      <c r="Q136" s="11">
        <v>8.2478761718857395E-3</v>
      </c>
      <c r="R136" s="11">
        <v>2.2441148089136199E-3</v>
      </c>
      <c r="S136" s="11">
        <v>2.4883049666567102E-3</v>
      </c>
      <c r="T136" s="11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8.9899761765631307E-3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2.3469220117815501E-3</v>
      </c>
      <c r="AH136">
        <v>0</v>
      </c>
      <c r="AI136">
        <v>0</v>
      </c>
      <c r="AJ136">
        <v>3.5915670006823998E-3</v>
      </c>
      <c r="AK136">
        <v>0</v>
      </c>
      <c r="AL136">
        <v>0</v>
      </c>
      <c r="AM136">
        <v>0</v>
      </c>
    </row>
    <row r="137" spans="1:39" customFormat="1" hidden="1" x14ac:dyDescent="0.3">
      <c r="A137" t="s">
        <v>1405</v>
      </c>
      <c r="B137" t="s">
        <v>30</v>
      </c>
      <c r="C137" t="s">
        <v>526</v>
      </c>
      <c r="D137" t="s">
        <v>525</v>
      </c>
      <c r="E137" t="s">
        <v>524</v>
      </c>
      <c r="F137" t="s">
        <v>523</v>
      </c>
      <c r="G137" t="s">
        <v>25</v>
      </c>
      <c r="H137" s="16">
        <v>7.9008649367930797E-2</v>
      </c>
      <c r="I137" s="11">
        <v>5.1192043293842297E-2</v>
      </c>
      <c r="J137" s="11">
        <v>6.9750207070927203E-2</v>
      </c>
      <c r="K137" s="11">
        <v>0.10186180748118399</v>
      </c>
      <c r="L137" s="11">
        <v>0.23112989500099099</v>
      </c>
      <c r="M137" s="11">
        <v>3.9037547022499799E-2</v>
      </c>
      <c r="N137" s="11">
        <v>8.2504468992070396E-2</v>
      </c>
      <c r="O137" s="11">
        <v>0.11625726607913001</v>
      </c>
      <c r="P137" s="11">
        <v>0</v>
      </c>
      <c r="Q137" s="11">
        <v>5.4985841145904898E-3</v>
      </c>
      <c r="R137" s="11">
        <v>2.2441148089136199E-3</v>
      </c>
      <c r="S137" s="11">
        <v>0</v>
      </c>
      <c r="T137" s="11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8.9899761765631307E-3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2.2984278753332699E-3</v>
      </c>
      <c r="AJ137">
        <v>0</v>
      </c>
      <c r="AK137">
        <v>6.02700096432015E-3</v>
      </c>
      <c r="AL137">
        <v>3.5844863431070302E-3</v>
      </c>
      <c r="AM137">
        <v>0</v>
      </c>
    </row>
    <row r="138" spans="1:39" customFormat="1" hidden="1" x14ac:dyDescent="0.3">
      <c r="A138" t="s">
        <v>1319</v>
      </c>
      <c r="B138" t="s">
        <v>30</v>
      </c>
      <c r="C138" t="s">
        <v>526</v>
      </c>
      <c r="D138" t="s">
        <v>525</v>
      </c>
      <c r="E138" t="s">
        <v>524</v>
      </c>
      <c r="F138" t="s">
        <v>523</v>
      </c>
      <c r="G138" t="s">
        <v>1318</v>
      </c>
      <c r="H138" s="16">
        <v>3.7425149700598799E-2</v>
      </c>
      <c r="I138" s="11">
        <v>3.6565745209887401E-3</v>
      </c>
      <c r="J138" s="11">
        <v>3.0515715593530699E-2</v>
      </c>
      <c r="K138" s="11">
        <v>5.6589893045102101E-3</v>
      </c>
      <c r="L138" s="11">
        <v>2.6414845142970302E-2</v>
      </c>
      <c r="M138" s="11">
        <v>1.4195471644545401E-2</v>
      </c>
      <c r="N138" s="11">
        <v>1.8334326442682299E-2</v>
      </c>
      <c r="O138" s="11">
        <v>7.5004687792987104E-3</v>
      </c>
      <c r="P138" s="11">
        <v>2.37634518111145E-2</v>
      </c>
      <c r="Q138" s="11">
        <v>2.7492920572952501E-3</v>
      </c>
      <c r="R138" s="11">
        <v>1.3464688853481699E-2</v>
      </c>
      <c r="S138" s="11">
        <v>2.2394744699910402E-2</v>
      </c>
      <c r="T138" s="11">
        <v>3.3464962184592698E-3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8.9899761765631307E-3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7.1831340013647996E-3</v>
      </c>
      <c r="AK138">
        <v>0</v>
      </c>
      <c r="AL138">
        <v>0</v>
      </c>
      <c r="AM138">
        <v>0</v>
      </c>
    </row>
    <row r="139" spans="1:39" customFormat="1" hidden="1" x14ac:dyDescent="0.3">
      <c r="A139" t="s">
        <v>1316</v>
      </c>
      <c r="B139" t="s">
        <v>30</v>
      </c>
      <c r="C139" t="s">
        <v>526</v>
      </c>
      <c r="D139" t="s">
        <v>525</v>
      </c>
      <c r="E139" t="s">
        <v>524</v>
      </c>
      <c r="F139" t="s">
        <v>523</v>
      </c>
      <c r="G139" t="s">
        <v>1315</v>
      </c>
      <c r="H139" s="16">
        <v>0</v>
      </c>
      <c r="I139" s="11">
        <v>0</v>
      </c>
      <c r="J139" s="11">
        <v>0</v>
      </c>
      <c r="K139" s="11">
        <v>0</v>
      </c>
      <c r="L139" s="11">
        <v>0</v>
      </c>
      <c r="M139" s="11">
        <v>0</v>
      </c>
      <c r="N139" s="11">
        <v>0</v>
      </c>
      <c r="O139" s="11">
        <v>0</v>
      </c>
      <c r="P139" s="11">
        <v>0</v>
      </c>
      <c r="Q139" s="11">
        <v>0</v>
      </c>
      <c r="R139" s="11">
        <v>0</v>
      </c>
      <c r="S139" s="11">
        <v>0</v>
      </c>
      <c r="T139" s="11">
        <v>0</v>
      </c>
      <c r="U139">
        <v>0</v>
      </c>
      <c r="V139">
        <v>3.6144142841652502E-3</v>
      </c>
      <c r="W139">
        <v>0</v>
      </c>
      <c r="X139">
        <v>6.4242579982012101E-3</v>
      </c>
      <c r="Y139">
        <v>0</v>
      </c>
      <c r="Z139">
        <v>0</v>
      </c>
      <c r="AA139">
        <v>8.9899761765631307E-3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3.5844863431070302E-3</v>
      </c>
      <c r="AM139">
        <v>0</v>
      </c>
    </row>
    <row r="140" spans="1:39" customFormat="1" hidden="1" x14ac:dyDescent="0.3">
      <c r="A140" t="s">
        <v>985</v>
      </c>
      <c r="B140" t="s">
        <v>30</v>
      </c>
      <c r="C140" t="s">
        <v>526</v>
      </c>
      <c r="D140" t="s">
        <v>525</v>
      </c>
      <c r="E140" t="s">
        <v>524</v>
      </c>
      <c r="F140" t="s">
        <v>523</v>
      </c>
      <c r="G140" t="s">
        <v>25</v>
      </c>
      <c r="H140" s="16">
        <v>0</v>
      </c>
      <c r="I140" s="11">
        <v>0</v>
      </c>
      <c r="J140" s="11">
        <v>0</v>
      </c>
      <c r="K140" s="11">
        <v>0</v>
      </c>
      <c r="L140" s="11">
        <v>6.6037112857425901E-3</v>
      </c>
      <c r="M140" s="11">
        <v>0</v>
      </c>
      <c r="N140" s="11">
        <v>0</v>
      </c>
      <c r="O140" s="11">
        <v>0</v>
      </c>
      <c r="P140" s="11">
        <v>0</v>
      </c>
      <c r="Q140" s="11">
        <v>1.92450444010667E-2</v>
      </c>
      <c r="R140" s="11">
        <v>3.1417607324790701E-2</v>
      </c>
      <c r="S140" s="11">
        <v>0</v>
      </c>
      <c r="T140" s="11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8.9899761765631307E-3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</row>
    <row r="141" spans="1:39" customFormat="1" hidden="1" x14ac:dyDescent="0.3">
      <c r="A141" t="s">
        <v>787</v>
      </c>
      <c r="B141" t="s">
        <v>30</v>
      </c>
      <c r="C141" t="s">
        <v>81</v>
      </c>
      <c r="D141" t="s">
        <v>80</v>
      </c>
      <c r="E141" t="s">
        <v>642</v>
      </c>
      <c r="F141" t="s">
        <v>645</v>
      </c>
      <c r="G141" t="s">
        <v>644</v>
      </c>
      <c r="H141" s="16">
        <v>0</v>
      </c>
      <c r="I141" s="11">
        <v>0</v>
      </c>
      <c r="J141" s="11">
        <v>0</v>
      </c>
      <c r="K141" s="11">
        <v>0</v>
      </c>
      <c r="L141" s="11">
        <v>1.3207422571485199E-2</v>
      </c>
      <c r="M141" s="11">
        <v>0</v>
      </c>
      <c r="N141" s="11">
        <v>2.2917908053352899E-2</v>
      </c>
      <c r="O141" s="11">
        <v>4.1252578286142899E-2</v>
      </c>
      <c r="P141" s="11">
        <v>2.03686729809553E-2</v>
      </c>
      <c r="Q141" s="11">
        <v>8.2478761718857395E-3</v>
      </c>
      <c r="R141" s="11">
        <v>1.12205740445681E-2</v>
      </c>
      <c r="S141" s="11">
        <v>0</v>
      </c>
      <c r="T141" s="11">
        <v>1.00394886553778E-2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8.9899761765631307E-3</v>
      </c>
      <c r="AB141">
        <v>4.5118209709438702E-3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</row>
    <row r="142" spans="1:39" customFormat="1" hidden="1" x14ac:dyDescent="0.3">
      <c r="A142" t="s">
        <v>637</v>
      </c>
      <c r="B142" t="s">
        <v>30</v>
      </c>
      <c r="C142" t="s">
        <v>81</v>
      </c>
      <c r="D142" t="s">
        <v>80</v>
      </c>
      <c r="E142" t="s">
        <v>618</v>
      </c>
      <c r="F142" t="s">
        <v>629</v>
      </c>
      <c r="G142" t="s">
        <v>628</v>
      </c>
      <c r="H142" s="16">
        <v>3.32667997338656E-2</v>
      </c>
      <c r="I142" s="11">
        <v>8.4101213982740994E-2</v>
      </c>
      <c r="J142" s="11">
        <v>2.17969397096648E-2</v>
      </c>
      <c r="K142" s="11">
        <v>5.6589893045102101E-3</v>
      </c>
      <c r="L142" s="11">
        <v>8.5848246714653603E-2</v>
      </c>
      <c r="M142" s="11">
        <v>7.0977358222727004E-3</v>
      </c>
      <c r="N142" s="11">
        <v>0.15584177476280001</v>
      </c>
      <c r="O142" s="11">
        <v>0.123757734858429</v>
      </c>
      <c r="P142" s="11">
        <v>0</v>
      </c>
      <c r="Q142" s="11">
        <v>0</v>
      </c>
      <c r="R142" s="11">
        <v>4.4882296178272501E-3</v>
      </c>
      <c r="S142" s="11">
        <v>0</v>
      </c>
      <c r="T142" s="11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8.9899761765631307E-3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</row>
    <row r="143" spans="1:39" customFormat="1" hidden="1" x14ac:dyDescent="0.3">
      <c r="A143" t="s">
        <v>547</v>
      </c>
      <c r="B143" t="s">
        <v>30</v>
      </c>
      <c r="C143" t="s">
        <v>526</v>
      </c>
      <c r="D143" t="s">
        <v>525</v>
      </c>
      <c r="E143" t="s">
        <v>524</v>
      </c>
      <c r="F143" t="s">
        <v>523</v>
      </c>
      <c r="G143" t="s">
        <v>532</v>
      </c>
      <c r="H143" s="16">
        <v>1.66333998669328E-2</v>
      </c>
      <c r="I143" s="11">
        <v>5.1192043293842297E-2</v>
      </c>
      <c r="J143" s="11">
        <v>3.0515715593530699E-2</v>
      </c>
      <c r="K143" s="11">
        <v>5.6589893045102098E-2</v>
      </c>
      <c r="L143" s="11">
        <v>8.5848246714653603E-2</v>
      </c>
      <c r="M143" s="11">
        <v>1.4195471644545401E-2</v>
      </c>
      <c r="N143" s="11">
        <v>3.6668652885364597E-2</v>
      </c>
      <c r="O143" s="11">
        <v>0.262516407275455</v>
      </c>
      <c r="P143" s="11">
        <v>0</v>
      </c>
      <c r="Q143" s="11">
        <v>1.64957523437715E-2</v>
      </c>
      <c r="R143" s="11">
        <v>2.2441148089136199E-2</v>
      </c>
      <c r="S143" s="11">
        <v>0</v>
      </c>
      <c r="T143" s="11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8.9899761765631307E-3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</row>
    <row r="144" spans="1:39" customFormat="1" hidden="1" x14ac:dyDescent="0.3">
      <c r="A144" t="s">
        <v>543</v>
      </c>
      <c r="B144" t="s">
        <v>30</v>
      </c>
      <c r="C144" t="s">
        <v>526</v>
      </c>
      <c r="D144" t="s">
        <v>525</v>
      </c>
      <c r="E144" t="s">
        <v>524</v>
      </c>
      <c r="F144" t="s">
        <v>523</v>
      </c>
      <c r="G144" t="s">
        <v>25</v>
      </c>
      <c r="H144" s="16">
        <v>4.9900199600798403E-2</v>
      </c>
      <c r="I144" s="11">
        <v>6.9474915898786002E-2</v>
      </c>
      <c r="J144" s="11">
        <v>2.17969397096648E-2</v>
      </c>
      <c r="K144" s="11">
        <v>2.8294946522551101E-2</v>
      </c>
      <c r="L144" s="11">
        <v>6.6037112857425903E-2</v>
      </c>
      <c r="M144" s="11">
        <v>0</v>
      </c>
      <c r="N144" s="11">
        <v>9.1671632213411597E-3</v>
      </c>
      <c r="O144" s="11">
        <v>1.50009375585974E-2</v>
      </c>
      <c r="P144" s="11">
        <v>6.78955766031843E-3</v>
      </c>
      <c r="Q144" s="11">
        <v>5.4985841145904898E-3</v>
      </c>
      <c r="R144" s="11">
        <v>4.4882296178272501E-3</v>
      </c>
      <c r="S144" s="11">
        <v>2.2394744699910402E-2</v>
      </c>
      <c r="T144" s="11">
        <v>3.3464962184592698E-3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8.9899761765631307E-3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</row>
    <row r="145" spans="1:39" customFormat="1" hidden="1" x14ac:dyDescent="0.3">
      <c r="A145" t="s">
        <v>538</v>
      </c>
      <c r="B145" t="s">
        <v>30</v>
      </c>
      <c r="C145" t="s">
        <v>526</v>
      </c>
      <c r="D145" t="s">
        <v>525</v>
      </c>
      <c r="E145" t="s">
        <v>524</v>
      </c>
      <c r="F145" t="s">
        <v>523</v>
      </c>
      <c r="G145" t="s">
        <v>25</v>
      </c>
      <c r="H145" s="16">
        <v>2.0791749833665999E-2</v>
      </c>
      <c r="I145" s="11">
        <v>5.1192043293842297E-2</v>
      </c>
      <c r="J145" s="11">
        <v>2.17969397096648E-2</v>
      </c>
      <c r="K145" s="11">
        <v>0</v>
      </c>
      <c r="L145" s="11">
        <v>0.42924123357326799</v>
      </c>
      <c r="M145" s="11">
        <v>9.9368301511817705E-2</v>
      </c>
      <c r="N145" s="11">
        <v>3.6668652885364597E-2</v>
      </c>
      <c r="O145" s="11">
        <v>0</v>
      </c>
      <c r="P145" s="11">
        <v>2.7158230641273699E-2</v>
      </c>
      <c r="Q145" s="11">
        <v>5.4985841145904898E-3</v>
      </c>
      <c r="R145" s="11">
        <v>0</v>
      </c>
      <c r="S145" s="11">
        <v>2.4883049666567102E-3</v>
      </c>
      <c r="T145" s="11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8.9899761765631307E-3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</row>
    <row r="146" spans="1:39" customFormat="1" hidden="1" x14ac:dyDescent="0.3">
      <c r="A146" t="s">
        <v>2072</v>
      </c>
      <c r="B146" t="s">
        <v>30</v>
      </c>
      <c r="C146" t="s">
        <v>264</v>
      </c>
      <c r="D146" t="s">
        <v>263</v>
      </c>
      <c r="E146" t="s">
        <v>262</v>
      </c>
      <c r="F146" t="s">
        <v>261</v>
      </c>
      <c r="G146" t="s">
        <v>260</v>
      </c>
      <c r="H146" s="16">
        <v>0</v>
      </c>
      <c r="I146" s="11">
        <v>0</v>
      </c>
      <c r="J146" s="11">
        <v>0</v>
      </c>
      <c r="K146" s="11">
        <v>0</v>
      </c>
      <c r="L146" s="11">
        <v>0</v>
      </c>
      <c r="M146" s="11">
        <v>0</v>
      </c>
      <c r="N146" s="11">
        <v>0</v>
      </c>
      <c r="O146" s="11">
        <v>0</v>
      </c>
      <c r="P146" s="11">
        <v>0</v>
      </c>
      <c r="Q146" s="11">
        <v>0</v>
      </c>
      <c r="R146" s="11">
        <v>6.7323444267408704E-3</v>
      </c>
      <c r="S146" s="11">
        <v>0</v>
      </c>
      <c r="T146" s="11">
        <v>0</v>
      </c>
      <c r="U146">
        <v>7.3008243847534501E-2</v>
      </c>
      <c r="V146">
        <v>0.112046842809123</v>
      </c>
      <c r="W146">
        <v>0.189343431649688</v>
      </c>
      <c r="X146">
        <v>6.4242579982012101E-3</v>
      </c>
      <c r="Y146">
        <v>4.6823329724035002E-2</v>
      </c>
      <c r="Z146">
        <v>8.8967971530249101E-2</v>
      </c>
      <c r="AA146">
        <v>4.4949880882815697E-3</v>
      </c>
      <c r="AB146">
        <v>0</v>
      </c>
      <c r="AC146">
        <v>4.3146843089313998E-2</v>
      </c>
      <c r="AD146">
        <v>1.5728216420257901E-2</v>
      </c>
      <c r="AE146">
        <v>1.02898302178014E-2</v>
      </c>
      <c r="AF146">
        <v>1.0067451927917E-2</v>
      </c>
      <c r="AG146">
        <v>0</v>
      </c>
      <c r="AH146">
        <v>4.6410173109945703E-3</v>
      </c>
      <c r="AI146">
        <v>2.7581134503999301E-2</v>
      </c>
      <c r="AJ146">
        <v>6.4648206012283202E-2</v>
      </c>
      <c r="AK146">
        <v>3.0135004821600801E-2</v>
      </c>
      <c r="AL146">
        <v>5.7351781489712497E-2</v>
      </c>
      <c r="AM146">
        <v>0</v>
      </c>
    </row>
    <row r="147" spans="1:39" customFormat="1" hidden="1" x14ac:dyDescent="0.3">
      <c r="A147" t="s">
        <v>2062</v>
      </c>
      <c r="B147" t="s">
        <v>30</v>
      </c>
      <c r="C147" t="s">
        <v>29</v>
      </c>
      <c r="D147" t="s">
        <v>28</v>
      </c>
      <c r="E147" t="s">
        <v>388</v>
      </c>
      <c r="F147" t="s">
        <v>823</v>
      </c>
      <c r="G147" t="s">
        <v>822</v>
      </c>
      <c r="H147" s="16">
        <v>6.2375249500998001E-2</v>
      </c>
      <c r="I147" s="11">
        <v>3.6565745209887403E-2</v>
      </c>
      <c r="J147" s="11">
        <v>1.7437551767731801E-2</v>
      </c>
      <c r="K147" s="11">
        <v>3.3953935827061299E-2</v>
      </c>
      <c r="L147" s="11">
        <v>1.3207422571485199E-2</v>
      </c>
      <c r="M147" s="11">
        <v>3.5488679111363502E-3</v>
      </c>
      <c r="N147" s="11">
        <v>3.2085071274694003E-2</v>
      </c>
      <c r="O147" s="11">
        <v>1.50009375585974E-2</v>
      </c>
      <c r="P147" s="11">
        <v>2.7158230641273699E-2</v>
      </c>
      <c r="Q147" s="11">
        <v>5.4985841145904898E-3</v>
      </c>
      <c r="R147" s="11">
        <v>2.2441148089136199E-3</v>
      </c>
      <c r="S147" s="11">
        <v>3.7324574499850702E-2</v>
      </c>
      <c r="T147" s="11">
        <v>3.3464962184592698E-3</v>
      </c>
      <c r="U147">
        <v>1.2168040641255699E-2</v>
      </c>
      <c r="V147">
        <v>0</v>
      </c>
      <c r="W147">
        <v>2.6668088964744798E-3</v>
      </c>
      <c r="X147">
        <v>0</v>
      </c>
      <c r="Y147">
        <v>3.2191039185274099E-2</v>
      </c>
      <c r="Z147">
        <v>3.1774275546517499E-3</v>
      </c>
      <c r="AA147">
        <v>4.4949880882815697E-3</v>
      </c>
      <c r="AB147">
        <v>9.4748240389821298E-2</v>
      </c>
      <c r="AC147">
        <v>1.43822810297713E-2</v>
      </c>
      <c r="AD147">
        <v>0.242214532871972</v>
      </c>
      <c r="AE147">
        <v>0.14748756645515301</v>
      </c>
      <c r="AF147">
        <v>0</v>
      </c>
      <c r="AG147">
        <v>2.8163064141378601E-2</v>
      </c>
      <c r="AH147">
        <v>9.2820346219891405E-3</v>
      </c>
      <c r="AI147">
        <v>1.6088995127332899E-2</v>
      </c>
      <c r="AJ147">
        <v>0</v>
      </c>
      <c r="AK147">
        <v>0</v>
      </c>
      <c r="AL147">
        <v>3.5844863431070302E-3</v>
      </c>
      <c r="AM147">
        <v>0</v>
      </c>
    </row>
    <row r="148" spans="1:39" customFormat="1" hidden="1" x14ac:dyDescent="0.3">
      <c r="A148" t="s">
        <v>2052</v>
      </c>
      <c r="B148" t="s">
        <v>30</v>
      </c>
      <c r="C148" t="s">
        <v>81</v>
      </c>
      <c r="D148" t="s">
        <v>118</v>
      </c>
      <c r="E148" t="s">
        <v>371</v>
      </c>
      <c r="F148" t="s">
        <v>429</v>
      </c>
      <c r="G148" t="s">
        <v>2051</v>
      </c>
      <c r="H148" s="16">
        <v>8.3166999334664E-3</v>
      </c>
      <c r="I148" s="11">
        <v>1.4626298083955E-2</v>
      </c>
      <c r="J148" s="11">
        <v>0</v>
      </c>
      <c r="K148" s="11">
        <v>0</v>
      </c>
      <c r="L148" s="11">
        <v>0</v>
      </c>
      <c r="M148" s="11">
        <v>0</v>
      </c>
      <c r="N148" s="11">
        <v>0</v>
      </c>
      <c r="O148" s="11">
        <v>3.75023438964935E-3</v>
      </c>
      <c r="P148" s="11">
        <v>0</v>
      </c>
      <c r="Q148" s="11">
        <v>0</v>
      </c>
      <c r="R148" s="11">
        <v>0</v>
      </c>
      <c r="S148" s="11">
        <v>2.4883049666567102E-3</v>
      </c>
      <c r="T148" s="11">
        <v>0</v>
      </c>
      <c r="U148">
        <v>3.9546132084081198E-2</v>
      </c>
      <c r="V148">
        <v>5.0601799978313503E-2</v>
      </c>
      <c r="W148">
        <v>0.104005546962505</v>
      </c>
      <c r="X148">
        <v>1.2848515996402399E-2</v>
      </c>
      <c r="Y148">
        <v>8.1940827017061194E-2</v>
      </c>
      <c r="Z148">
        <v>7.9435688866293805E-2</v>
      </c>
      <c r="AA148">
        <v>4.4949880882815697E-3</v>
      </c>
      <c r="AB148">
        <v>6.3165493593214203E-2</v>
      </c>
      <c r="AC148">
        <v>4.3146843089313998E-2</v>
      </c>
      <c r="AD148">
        <v>5.6621579112928602E-2</v>
      </c>
      <c r="AE148">
        <v>0.233236151603499</v>
      </c>
      <c r="AF148">
        <v>0.24161884627000901</v>
      </c>
      <c r="AG148">
        <v>1.4316224271867399</v>
      </c>
      <c r="AH148">
        <v>9.7461363530885997E-2</v>
      </c>
      <c r="AI148">
        <v>0.250528638411327</v>
      </c>
      <c r="AJ148">
        <v>2.1549402004094401E-2</v>
      </c>
      <c r="AK148">
        <v>1.20540019286403E-2</v>
      </c>
      <c r="AL148">
        <v>1.0753459029321099E-2</v>
      </c>
      <c r="AM148">
        <v>0</v>
      </c>
    </row>
    <row r="149" spans="1:39" customFormat="1" hidden="1" x14ac:dyDescent="0.3">
      <c r="A149" t="s">
        <v>2021</v>
      </c>
      <c r="B149" t="s">
        <v>30</v>
      </c>
      <c r="C149" t="s">
        <v>81</v>
      </c>
      <c r="D149" t="s">
        <v>118</v>
      </c>
      <c r="E149" t="s">
        <v>371</v>
      </c>
      <c r="F149" t="s">
        <v>374</v>
      </c>
      <c r="G149" t="s">
        <v>2010</v>
      </c>
      <c r="H149" s="16">
        <v>8.3166999334664E-3</v>
      </c>
      <c r="I149" s="11">
        <v>3.6565745209887401E-3</v>
      </c>
      <c r="J149" s="11">
        <v>0</v>
      </c>
      <c r="K149" s="11">
        <v>0</v>
      </c>
      <c r="L149" s="11">
        <v>0</v>
      </c>
      <c r="M149" s="11">
        <v>0</v>
      </c>
      <c r="N149" s="11">
        <v>0</v>
      </c>
      <c r="O149" s="11">
        <v>0</v>
      </c>
      <c r="P149" s="11">
        <v>2.7158230641273699E-2</v>
      </c>
      <c r="Q149" s="11">
        <v>1.64957523437715E-2</v>
      </c>
      <c r="R149" s="11">
        <v>6.7323444267408704E-3</v>
      </c>
      <c r="S149" s="11">
        <v>4.7277794366477603E-2</v>
      </c>
      <c r="T149" s="11">
        <v>6.69299243691855E-3</v>
      </c>
      <c r="U149">
        <v>0</v>
      </c>
      <c r="V149">
        <v>1.8072071420826299E-2</v>
      </c>
      <c r="W149">
        <v>9.6005120273081196E-2</v>
      </c>
      <c r="X149">
        <v>0</v>
      </c>
      <c r="Y149">
        <v>7.6087910801556899E-2</v>
      </c>
      <c r="Z149">
        <v>3.8129130655820999E-2</v>
      </c>
      <c r="AA149">
        <v>4.4949880882815697E-3</v>
      </c>
      <c r="AB149">
        <v>5.4141851651326497E-2</v>
      </c>
      <c r="AC149">
        <v>5.0337983604199603E-2</v>
      </c>
      <c r="AD149">
        <v>9.4369298521547705E-3</v>
      </c>
      <c r="AE149">
        <v>0.79917681358257597</v>
      </c>
      <c r="AF149">
        <v>9.0607067351253401E-2</v>
      </c>
      <c r="AG149">
        <v>0.16193761881292701</v>
      </c>
      <c r="AH149">
        <v>6.4974242353924003E-2</v>
      </c>
      <c r="AI149">
        <v>0.36545003217798999</v>
      </c>
      <c r="AJ149">
        <v>0</v>
      </c>
      <c r="AK149">
        <v>0</v>
      </c>
      <c r="AL149">
        <v>0</v>
      </c>
      <c r="AM149">
        <v>0</v>
      </c>
    </row>
    <row r="150" spans="1:39" customFormat="1" hidden="1" x14ac:dyDescent="0.3">
      <c r="A150" t="s">
        <v>2001</v>
      </c>
      <c r="B150" t="s">
        <v>30</v>
      </c>
      <c r="C150" t="s">
        <v>81</v>
      </c>
      <c r="D150" t="s">
        <v>80</v>
      </c>
      <c r="E150" t="s">
        <v>122</v>
      </c>
      <c r="F150" t="s">
        <v>121</v>
      </c>
      <c r="G150" t="s">
        <v>2000</v>
      </c>
      <c r="H150" s="16">
        <v>0</v>
      </c>
      <c r="I150" s="11">
        <v>7.3131490419774802E-3</v>
      </c>
      <c r="J150" s="11">
        <v>0</v>
      </c>
      <c r="K150" s="11">
        <v>5.6589893045102101E-3</v>
      </c>
      <c r="L150" s="11">
        <v>6.6037112857425901E-3</v>
      </c>
      <c r="M150" s="11">
        <v>0</v>
      </c>
      <c r="N150" s="11">
        <v>2.75014896640235E-2</v>
      </c>
      <c r="O150" s="11">
        <v>2.6251640727545499E-2</v>
      </c>
      <c r="P150" s="11">
        <v>6.78955766031843E-3</v>
      </c>
      <c r="Q150" s="11">
        <v>1.64957523437715E-2</v>
      </c>
      <c r="R150" s="11">
        <v>1.7952918471309001E-2</v>
      </c>
      <c r="S150" s="11">
        <v>9.9532198666268494E-3</v>
      </c>
      <c r="T150" s="11">
        <v>3.3464962184592698E-3</v>
      </c>
      <c r="U150">
        <v>3.04201016031394E-3</v>
      </c>
      <c r="V150">
        <v>6.5059457114974503E-2</v>
      </c>
      <c r="W150">
        <v>8.0004266894234399E-2</v>
      </c>
      <c r="X150">
        <v>6.4242579982012101E-3</v>
      </c>
      <c r="Y150">
        <v>4.0970413508530597E-2</v>
      </c>
      <c r="Z150">
        <v>4.1306558210472799E-2</v>
      </c>
      <c r="AA150">
        <v>4.4949880882815697E-3</v>
      </c>
      <c r="AB150">
        <v>1.35354629128316E-2</v>
      </c>
      <c r="AC150">
        <v>6.4720264633970903E-2</v>
      </c>
      <c r="AD150">
        <v>4.4039005976722202E-2</v>
      </c>
      <c r="AE150">
        <v>0.109758188989882</v>
      </c>
      <c r="AF150">
        <v>2.51686298197926E-2</v>
      </c>
      <c r="AG150">
        <v>0.34030369170832497</v>
      </c>
      <c r="AH150">
        <v>9.2820346219891405E-3</v>
      </c>
      <c r="AI150">
        <v>8.0444975636664501E-2</v>
      </c>
      <c r="AJ150">
        <v>0</v>
      </c>
      <c r="AK150">
        <v>0</v>
      </c>
      <c r="AL150">
        <v>0</v>
      </c>
      <c r="AM150">
        <v>0</v>
      </c>
    </row>
    <row r="151" spans="1:39" customFormat="1" hidden="1" x14ac:dyDescent="0.3">
      <c r="A151" t="s">
        <v>1988</v>
      </c>
      <c r="B151" t="s">
        <v>30</v>
      </c>
      <c r="C151" t="s">
        <v>81</v>
      </c>
      <c r="D151" t="s">
        <v>80</v>
      </c>
      <c r="E151" t="s">
        <v>642</v>
      </c>
      <c r="F151" t="s">
        <v>645</v>
      </c>
      <c r="G151" t="s">
        <v>644</v>
      </c>
      <c r="H151" s="16">
        <v>3.32667997338656E-2</v>
      </c>
      <c r="I151" s="11">
        <v>5.85051923358198E-2</v>
      </c>
      <c r="J151" s="11">
        <v>0</v>
      </c>
      <c r="K151" s="11">
        <v>2.8294946522551101E-2</v>
      </c>
      <c r="L151" s="11">
        <v>1.3207422571485199E-2</v>
      </c>
      <c r="M151" s="11">
        <v>2.12932074668181E-2</v>
      </c>
      <c r="N151" s="11">
        <v>1.37507448320117E-2</v>
      </c>
      <c r="O151" s="11">
        <v>1.50009375585974E-2</v>
      </c>
      <c r="P151" s="11">
        <v>2.03686729809553E-2</v>
      </c>
      <c r="Q151" s="11">
        <v>5.4985841145904898E-3</v>
      </c>
      <c r="R151" s="11">
        <v>4.4882296178272501E-3</v>
      </c>
      <c r="S151" s="11">
        <v>4.9766099333134299E-3</v>
      </c>
      <c r="T151" s="11">
        <v>6.69299243691855E-3</v>
      </c>
      <c r="U151">
        <v>1.5210050801569701E-2</v>
      </c>
      <c r="V151">
        <v>3.6144142841652502E-3</v>
      </c>
      <c r="W151">
        <v>1.06672355858979E-2</v>
      </c>
      <c r="X151">
        <v>6.4242579982012101E-3</v>
      </c>
      <c r="Y151">
        <v>2.9264581077521898E-3</v>
      </c>
      <c r="Z151">
        <v>0</v>
      </c>
      <c r="AA151">
        <v>4.4949880882815697E-3</v>
      </c>
      <c r="AB151">
        <v>0</v>
      </c>
      <c r="AC151">
        <v>0</v>
      </c>
      <c r="AD151">
        <v>0</v>
      </c>
      <c r="AE151">
        <v>0</v>
      </c>
      <c r="AF151">
        <v>5.03372596395852E-3</v>
      </c>
      <c r="AG151">
        <v>0</v>
      </c>
      <c r="AH151">
        <v>4.6410173109945703E-3</v>
      </c>
      <c r="AI151">
        <v>0</v>
      </c>
      <c r="AJ151">
        <v>0</v>
      </c>
      <c r="AK151">
        <v>0</v>
      </c>
      <c r="AL151">
        <v>0</v>
      </c>
      <c r="AM151">
        <v>0</v>
      </c>
    </row>
    <row r="152" spans="1:39" customFormat="1" hidden="1" x14ac:dyDescent="0.3">
      <c r="A152" t="s">
        <v>1974</v>
      </c>
      <c r="B152" t="s">
        <v>30</v>
      </c>
      <c r="C152" t="s">
        <v>29</v>
      </c>
      <c r="D152" t="s">
        <v>28</v>
      </c>
      <c r="E152" t="s">
        <v>345</v>
      </c>
      <c r="F152" t="s">
        <v>344</v>
      </c>
      <c r="G152" t="s">
        <v>1973</v>
      </c>
      <c r="H152" s="16">
        <v>7.0691949434464399E-2</v>
      </c>
      <c r="I152" s="11">
        <v>1.09697235629662E-2</v>
      </c>
      <c r="J152" s="11">
        <v>4.3593879419329502E-3</v>
      </c>
      <c r="K152" s="11">
        <v>1.1317978609020399E-2</v>
      </c>
      <c r="L152" s="11">
        <v>1.9811133857227801E-2</v>
      </c>
      <c r="M152" s="11">
        <v>0</v>
      </c>
      <c r="N152" s="11">
        <v>9.1671632213411597E-3</v>
      </c>
      <c r="O152" s="11">
        <v>3.75023438964935E-3</v>
      </c>
      <c r="P152" s="11">
        <v>0</v>
      </c>
      <c r="Q152" s="11">
        <v>2.7492920572952501E-3</v>
      </c>
      <c r="R152" s="11">
        <v>2.2441148089136199E-3</v>
      </c>
      <c r="S152" s="11">
        <v>0</v>
      </c>
      <c r="T152" s="11">
        <v>0</v>
      </c>
      <c r="U152">
        <v>0</v>
      </c>
      <c r="V152">
        <v>3.6144142841652502E-3</v>
      </c>
      <c r="W152">
        <v>8.0004266894234399E-3</v>
      </c>
      <c r="X152">
        <v>6.4242579982012101E-3</v>
      </c>
      <c r="Y152">
        <v>0</v>
      </c>
      <c r="Z152">
        <v>3.1774275546517499E-3</v>
      </c>
      <c r="AA152">
        <v>4.4949880882815697E-3</v>
      </c>
      <c r="AB152">
        <v>1.35354629128316E-2</v>
      </c>
      <c r="AC152">
        <v>0</v>
      </c>
      <c r="AD152">
        <v>5.0330292544825399E-2</v>
      </c>
      <c r="AE152">
        <v>6.8598868118676E-3</v>
      </c>
      <c r="AF152">
        <v>1.51011778918756E-2</v>
      </c>
      <c r="AG152">
        <v>0.44826210425027602</v>
      </c>
      <c r="AH152">
        <v>2.32050865549728E-2</v>
      </c>
      <c r="AI152">
        <v>0.23673807115932699</v>
      </c>
      <c r="AJ152">
        <v>0</v>
      </c>
      <c r="AK152">
        <v>0</v>
      </c>
      <c r="AL152">
        <v>0</v>
      </c>
      <c r="AM152">
        <v>0</v>
      </c>
    </row>
    <row r="153" spans="1:39" customFormat="1" hidden="1" x14ac:dyDescent="0.3">
      <c r="A153" t="s">
        <v>1972</v>
      </c>
      <c r="B153" t="s">
        <v>30</v>
      </c>
      <c r="C153" t="s">
        <v>81</v>
      </c>
      <c r="D153" t="s">
        <v>118</v>
      </c>
      <c r="E153" t="s">
        <v>371</v>
      </c>
      <c r="F153" t="s">
        <v>374</v>
      </c>
      <c r="G153" t="s">
        <v>1971</v>
      </c>
      <c r="H153" s="16">
        <v>4.9900199600798403E-2</v>
      </c>
      <c r="I153" s="11">
        <v>2.1939447125932401E-2</v>
      </c>
      <c r="J153" s="11">
        <v>1.30781638257989E-2</v>
      </c>
      <c r="K153" s="11">
        <v>0</v>
      </c>
      <c r="L153" s="11">
        <v>7.9244535428911106E-2</v>
      </c>
      <c r="M153" s="11">
        <v>3.5488679111363502E-3</v>
      </c>
      <c r="N153" s="11">
        <v>4.5835816106705798E-3</v>
      </c>
      <c r="O153" s="11">
        <v>3.75023438964935E-3</v>
      </c>
      <c r="P153" s="11">
        <v>0</v>
      </c>
      <c r="Q153" s="11">
        <v>5.4985841145904898E-3</v>
      </c>
      <c r="R153" s="11">
        <v>2.2441148089136199E-3</v>
      </c>
      <c r="S153" s="11">
        <v>3.2347964566537303E-2</v>
      </c>
      <c r="T153" s="11">
        <v>6.69299243691855E-3</v>
      </c>
      <c r="U153">
        <v>3.04201016031394E-3</v>
      </c>
      <c r="V153">
        <v>3.6144142841652502E-2</v>
      </c>
      <c r="W153">
        <v>3.4668515654168203E-2</v>
      </c>
      <c r="X153">
        <v>1.9272773994603601E-2</v>
      </c>
      <c r="Y153">
        <v>2.92645810775219E-2</v>
      </c>
      <c r="Z153">
        <v>1.9064565327910499E-2</v>
      </c>
      <c r="AA153">
        <v>4.4949880882815697E-3</v>
      </c>
      <c r="AB153">
        <v>1.8047283883775501E-2</v>
      </c>
      <c r="AC153">
        <v>2.87645620595426E-2</v>
      </c>
      <c r="AD153">
        <v>9.4369298521547705E-3</v>
      </c>
      <c r="AE153">
        <v>0.116618075801749</v>
      </c>
      <c r="AF153">
        <v>5.5370985603543699E-2</v>
      </c>
      <c r="AG153">
        <v>0.474078246379873</v>
      </c>
      <c r="AH153">
        <v>2.32050865549728E-2</v>
      </c>
      <c r="AI153">
        <v>8.0444975636664501E-2</v>
      </c>
      <c r="AJ153">
        <v>1.07747010020472E-2</v>
      </c>
      <c r="AK153">
        <v>0</v>
      </c>
      <c r="AL153">
        <v>3.5844863431070302E-3</v>
      </c>
      <c r="AM153">
        <v>0</v>
      </c>
    </row>
    <row r="154" spans="1:39" customFormat="1" hidden="1" x14ac:dyDescent="0.3">
      <c r="A154" t="s">
        <v>1968</v>
      </c>
      <c r="B154" t="s">
        <v>30</v>
      </c>
      <c r="C154" t="s">
        <v>81</v>
      </c>
      <c r="D154" t="s">
        <v>80</v>
      </c>
      <c r="E154" t="s">
        <v>642</v>
      </c>
      <c r="F154" t="s">
        <v>641</v>
      </c>
      <c r="G154" t="s">
        <v>640</v>
      </c>
      <c r="H154" s="16">
        <v>0</v>
      </c>
      <c r="I154" s="11">
        <v>0</v>
      </c>
      <c r="J154" s="11">
        <v>0</v>
      </c>
      <c r="K154" s="11">
        <v>0</v>
      </c>
      <c r="L154" s="11">
        <v>0</v>
      </c>
      <c r="M154" s="11">
        <v>0</v>
      </c>
      <c r="N154" s="11">
        <v>0</v>
      </c>
      <c r="O154" s="11">
        <v>0</v>
      </c>
      <c r="P154" s="11">
        <v>0</v>
      </c>
      <c r="Q154" s="11">
        <v>0</v>
      </c>
      <c r="R154" s="11">
        <v>0</v>
      </c>
      <c r="S154" s="11">
        <v>1.49298297999403E-2</v>
      </c>
      <c r="T154" s="11">
        <v>1.67324810922964E-2</v>
      </c>
      <c r="U154">
        <v>1.8252060961883601E-2</v>
      </c>
      <c r="V154">
        <v>3.6144142841652502E-3</v>
      </c>
      <c r="W154">
        <v>4.8002560136540598E-2</v>
      </c>
      <c r="X154">
        <v>0</v>
      </c>
      <c r="Y154">
        <v>5.8529162155043701E-3</v>
      </c>
      <c r="Z154">
        <v>0.114387391967463</v>
      </c>
      <c r="AA154">
        <v>4.4949880882815697E-3</v>
      </c>
      <c r="AB154">
        <v>0</v>
      </c>
      <c r="AC154">
        <v>0</v>
      </c>
      <c r="AD154">
        <v>0</v>
      </c>
      <c r="AE154">
        <v>0</v>
      </c>
      <c r="AF154">
        <v>0.65941810127856604</v>
      </c>
      <c r="AG154">
        <v>4.22445962120679E-2</v>
      </c>
      <c r="AH154">
        <v>0</v>
      </c>
      <c r="AI154">
        <v>2.2984278753332699E-3</v>
      </c>
      <c r="AJ154">
        <v>0</v>
      </c>
      <c r="AK154">
        <v>0</v>
      </c>
      <c r="AL154">
        <v>0</v>
      </c>
      <c r="AM154">
        <v>0</v>
      </c>
    </row>
    <row r="155" spans="1:39" customFormat="1" hidden="1" x14ac:dyDescent="0.3">
      <c r="A155" t="s">
        <v>1964</v>
      </c>
      <c r="B155" t="s">
        <v>30</v>
      </c>
      <c r="C155" t="s">
        <v>81</v>
      </c>
      <c r="D155" t="s">
        <v>118</v>
      </c>
      <c r="E155" t="s">
        <v>220</v>
      </c>
      <c r="F155" t="s">
        <v>1963</v>
      </c>
      <c r="G155" t="s">
        <v>1962</v>
      </c>
      <c r="H155" s="16">
        <v>0</v>
      </c>
      <c r="I155" s="11">
        <v>0</v>
      </c>
      <c r="J155" s="11">
        <v>0</v>
      </c>
      <c r="K155" s="11">
        <v>0</v>
      </c>
      <c r="L155" s="11">
        <v>0</v>
      </c>
      <c r="M155" s="11">
        <v>0</v>
      </c>
      <c r="N155" s="11">
        <v>0</v>
      </c>
      <c r="O155" s="11">
        <v>0</v>
      </c>
      <c r="P155" s="11">
        <v>0</v>
      </c>
      <c r="Q155" s="11">
        <v>0</v>
      </c>
      <c r="R155" s="11">
        <v>0</v>
      </c>
      <c r="S155" s="11">
        <v>0.16920473773265701</v>
      </c>
      <c r="T155" s="11">
        <v>2.67719697476742E-2</v>
      </c>
      <c r="U155">
        <v>9.1260304809418092E-3</v>
      </c>
      <c r="V155">
        <v>3.6144142841652502E-3</v>
      </c>
      <c r="W155">
        <v>1.8667662275321399E-2</v>
      </c>
      <c r="X155">
        <v>0</v>
      </c>
      <c r="Y155">
        <v>8.7793743232565599E-3</v>
      </c>
      <c r="Z155">
        <v>1.2709710218607E-2</v>
      </c>
      <c r="AA155">
        <v>4.4949880882815697E-3</v>
      </c>
      <c r="AB155">
        <v>4.5118209709438702E-3</v>
      </c>
      <c r="AC155">
        <v>0</v>
      </c>
      <c r="AD155">
        <v>2.2019502988361101E-2</v>
      </c>
      <c r="AE155">
        <v>0</v>
      </c>
      <c r="AF155">
        <v>1.51011778918756E-2</v>
      </c>
      <c r="AG155">
        <v>7.0407660353446503E-3</v>
      </c>
      <c r="AH155">
        <v>9.2820346219891405E-3</v>
      </c>
      <c r="AI155">
        <v>9.1937115013330899E-3</v>
      </c>
      <c r="AJ155">
        <v>3.5915670006823998E-3</v>
      </c>
      <c r="AK155">
        <v>0</v>
      </c>
      <c r="AL155">
        <v>3.5844863431070302E-3</v>
      </c>
      <c r="AM155">
        <v>0</v>
      </c>
    </row>
    <row r="156" spans="1:39" customFormat="1" hidden="1" x14ac:dyDescent="0.3">
      <c r="A156" t="s">
        <v>1957</v>
      </c>
      <c r="B156" t="s">
        <v>30</v>
      </c>
      <c r="C156" t="s">
        <v>264</v>
      </c>
      <c r="D156" t="s">
        <v>263</v>
      </c>
      <c r="E156" t="s">
        <v>262</v>
      </c>
      <c r="F156" t="s">
        <v>261</v>
      </c>
      <c r="G156" t="s">
        <v>260</v>
      </c>
      <c r="H156" s="16">
        <v>8.3166999334664E-3</v>
      </c>
      <c r="I156" s="11">
        <v>3.2909170688898599E-2</v>
      </c>
      <c r="J156" s="11">
        <v>3.4875103535463602E-2</v>
      </c>
      <c r="K156" s="11">
        <v>1.1317978609020399E-2</v>
      </c>
      <c r="L156" s="11">
        <v>4.6225979000198099E-2</v>
      </c>
      <c r="M156" s="11">
        <v>3.5488679111363502E-3</v>
      </c>
      <c r="N156" s="11">
        <v>0</v>
      </c>
      <c r="O156" s="11">
        <v>3.75023438964935E-3</v>
      </c>
      <c r="P156" s="11">
        <v>1.01843364904776E-2</v>
      </c>
      <c r="Q156" s="11">
        <v>2.7492920572952501E-3</v>
      </c>
      <c r="R156" s="11">
        <v>1.5708803662395399E-2</v>
      </c>
      <c r="S156" s="11">
        <v>4.9766099333134299E-3</v>
      </c>
      <c r="T156" s="11">
        <v>0</v>
      </c>
      <c r="U156">
        <v>0</v>
      </c>
      <c r="V156">
        <v>0</v>
      </c>
      <c r="W156">
        <v>2.13344711717958E-2</v>
      </c>
      <c r="X156">
        <v>0</v>
      </c>
      <c r="Y156">
        <v>2.9264581077521898E-3</v>
      </c>
      <c r="Z156">
        <v>9.5322826639552601E-3</v>
      </c>
      <c r="AA156">
        <v>4.4949880882815697E-3</v>
      </c>
      <c r="AB156">
        <v>0</v>
      </c>
      <c r="AC156">
        <v>0</v>
      </c>
      <c r="AD156">
        <v>3.14564328405159E-3</v>
      </c>
      <c r="AE156">
        <v>0</v>
      </c>
      <c r="AF156">
        <v>5.03372596395852E-3</v>
      </c>
      <c r="AG156">
        <v>0</v>
      </c>
      <c r="AH156">
        <v>0</v>
      </c>
      <c r="AI156">
        <v>0</v>
      </c>
      <c r="AJ156">
        <v>3.5915670006823998E-3</v>
      </c>
      <c r="AK156">
        <v>0</v>
      </c>
      <c r="AL156">
        <v>3.5844863431070302E-3</v>
      </c>
      <c r="AM156">
        <v>0</v>
      </c>
    </row>
    <row r="157" spans="1:39" customFormat="1" hidden="1" x14ac:dyDescent="0.3">
      <c r="A157" t="s">
        <v>1956</v>
      </c>
      <c r="B157" t="s">
        <v>30</v>
      </c>
      <c r="C157" t="s">
        <v>35</v>
      </c>
      <c r="D157" t="s">
        <v>35</v>
      </c>
      <c r="E157" t="s">
        <v>45</v>
      </c>
      <c r="F157" t="s">
        <v>44</v>
      </c>
      <c r="G157" t="s">
        <v>1955</v>
      </c>
      <c r="H157" s="16">
        <v>0.120592149035263</v>
      </c>
      <c r="I157" s="11">
        <v>1.09697235629662E-2</v>
      </c>
      <c r="J157" s="11">
        <v>4.3593879419329502E-3</v>
      </c>
      <c r="K157" s="11">
        <v>0</v>
      </c>
      <c r="L157" s="11">
        <v>0</v>
      </c>
      <c r="M157" s="11">
        <v>0</v>
      </c>
      <c r="N157" s="11">
        <v>4.5835816106705798E-3</v>
      </c>
      <c r="O157" s="11">
        <v>3.75023438964935E-3</v>
      </c>
      <c r="P157" s="11">
        <v>3.3947788301592198E-3</v>
      </c>
      <c r="Q157" s="11">
        <v>0</v>
      </c>
      <c r="R157" s="11">
        <v>2.2441148089136199E-3</v>
      </c>
      <c r="S157" s="11">
        <v>7.4649148999701397E-3</v>
      </c>
      <c r="T157" s="11">
        <v>3.3464962184592698E-3</v>
      </c>
      <c r="U157">
        <v>1.2168040641255699E-2</v>
      </c>
      <c r="V157">
        <v>3.6144142841652502E-2</v>
      </c>
      <c r="W157">
        <v>8.5337884687183299E-2</v>
      </c>
      <c r="X157">
        <v>0</v>
      </c>
      <c r="Y157">
        <v>3.5117497293026302E-2</v>
      </c>
      <c r="Z157">
        <v>3.4951703101169303E-2</v>
      </c>
      <c r="AA157">
        <v>4.4949880882815697E-3</v>
      </c>
      <c r="AB157">
        <v>0</v>
      </c>
      <c r="AC157">
        <v>1.43822810297713E-2</v>
      </c>
      <c r="AD157">
        <v>0</v>
      </c>
      <c r="AE157">
        <v>1.37197736237352E-2</v>
      </c>
      <c r="AF157">
        <v>5.03372596395852E-3</v>
      </c>
      <c r="AG157">
        <v>1.64284540824708E-2</v>
      </c>
      <c r="AH157">
        <v>2.7846103865967399E-2</v>
      </c>
      <c r="AI157">
        <v>6.89528362599982E-3</v>
      </c>
      <c r="AJ157">
        <v>3.5915670006823998E-3</v>
      </c>
      <c r="AK157">
        <v>0</v>
      </c>
      <c r="AL157">
        <v>3.5844863431070302E-3</v>
      </c>
      <c r="AM157">
        <v>0</v>
      </c>
    </row>
    <row r="158" spans="1:39" customFormat="1" hidden="1" x14ac:dyDescent="0.3">
      <c r="A158" t="s">
        <v>1949</v>
      </c>
      <c r="B158" t="s">
        <v>30</v>
      </c>
      <c r="C158" t="s">
        <v>264</v>
      </c>
      <c r="D158" t="s">
        <v>263</v>
      </c>
      <c r="E158" t="s">
        <v>262</v>
      </c>
      <c r="F158" t="s">
        <v>261</v>
      </c>
      <c r="G158" t="s">
        <v>260</v>
      </c>
      <c r="H158" s="16">
        <v>0</v>
      </c>
      <c r="I158" s="11">
        <v>0</v>
      </c>
      <c r="J158" s="11">
        <v>0</v>
      </c>
      <c r="K158" s="11">
        <v>0</v>
      </c>
      <c r="L158" s="11">
        <v>4.6225979000198099E-2</v>
      </c>
      <c r="M158" s="11">
        <v>3.1939811200227097E-2</v>
      </c>
      <c r="N158" s="11">
        <v>0</v>
      </c>
      <c r="O158" s="11">
        <v>3.75023438964935E-3</v>
      </c>
      <c r="P158" s="11">
        <v>9.1659028414298793E-2</v>
      </c>
      <c r="Q158" s="11">
        <v>1.0997168229181E-2</v>
      </c>
      <c r="R158" s="11">
        <v>4.4882296178272501E-3</v>
      </c>
      <c r="S158" s="11">
        <v>9.2067283766298399E-2</v>
      </c>
      <c r="T158" s="11">
        <v>1.00394886553778E-2</v>
      </c>
      <c r="U158">
        <v>9.1260304809418092E-3</v>
      </c>
      <c r="V158">
        <v>3.6144142841652502E-3</v>
      </c>
      <c r="W158">
        <v>2.4001280068270299E-2</v>
      </c>
      <c r="X158">
        <v>0</v>
      </c>
      <c r="Y158">
        <v>1.7558748646513099E-2</v>
      </c>
      <c r="Z158">
        <v>2.5419420437213999E-2</v>
      </c>
      <c r="AA158">
        <v>4.4949880882815697E-3</v>
      </c>
      <c r="AB158">
        <v>0</v>
      </c>
      <c r="AC158">
        <v>1.43822810297713E-2</v>
      </c>
      <c r="AD158">
        <v>0</v>
      </c>
      <c r="AE158">
        <v>0</v>
      </c>
      <c r="AF158">
        <v>0</v>
      </c>
      <c r="AG158">
        <v>2.3469220117815501E-3</v>
      </c>
      <c r="AH158">
        <v>9.2820346219891405E-3</v>
      </c>
      <c r="AI158">
        <v>2.2984278753332699E-3</v>
      </c>
      <c r="AJ158">
        <v>1.07747010020472E-2</v>
      </c>
      <c r="AK158">
        <v>6.02700096432015E-3</v>
      </c>
      <c r="AL158">
        <v>1.43379453724281E-2</v>
      </c>
      <c r="AM158">
        <v>0</v>
      </c>
    </row>
    <row r="159" spans="1:39" customFormat="1" hidden="1" x14ac:dyDescent="0.3">
      <c r="A159" t="s">
        <v>1911</v>
      </c>
      <c r="B159" t="s">
        <v>30</v>
      </c>
      <c r="C159" t="s">
        <v>29</v>
      </c>
      <c r="D159" t="s">
        <v>28</v>
      </c>
      <c r="E159" t="s">
        <v>27</v>
      </c>
      <c r="F159" t="s">
        <v>160</v>
      </c>
      <c r="G159" t="s">
        <v>233</v>
      </c>
      <c r="H159" s="16">
        <v>0</v>
      </c>
      <c r="I159" s="11">
        <v>0.17917215152844801</v>
      </c>
      <c r="J159" s="11">
        <v>0</v>
      </c>
      <c r="K159" s="11">
        <v>5.6589893045102101E-3</v>
      </c>
      <c r="L159" s="11">
        <v>0</v>
      </c>
      <c r="M159" s="11">
        <v>0</v>
      </c>
      <c r="N159" s="11">
        <v>0</v>
      </c>
      <c r="O159" s="11">
        <v>0</v>
      </c>
      <c r="P159" s="11">
        <v>0</v>
      </c>
      <c r="Q159" s="11">
        <v>5.4985841145904898E-3</v>
      </c>
      <c r="R159" s="11">
        <v>4.4882296178272501E-3</v>
      </c>
      <c r="S159" s="11">
        <v>0</v>
      </c>
      <c r="T159" s="11">
        <v>0</v>
      </c>
      <c r="U159">
        <v>6.0840203206278696E-3</v>
      </c>
      <c r="V159">
        <v>0</v>
      </c>
      <c r="W159">
        <v>2.6668088964744798E-3</v>
      </c>
      <c r="X159">
        <v>0</v>
      </c>
      <c r="Y159">
        <v>0</v>
      </c>
      <c r="Z159">
        <v>6.3548551093035102E-3</v>
      </c>
      <c r="AA159">
        <v>4.4949880882815697E-3</v>
      </c>
      <c r="AB159">
        <v>0</v>
      </c>
      <c r="AC159">
        <v>0</v>
      </c>
      <c r="AD159">
        <v>0</v>
      </c>
      <c r="AE159">
        <v>0</v>
      </c>
      <c r="AF159">
        <v>5.03372596395852E-3</v>
      </c>
      <c r="AG159">
        <v>0</v>
      </c>
      <c r="AH159">
        <v>0</v>
      </c>
      <c r="AI159">
        <v>0</v>
      </c>
      <c r="AJ159">
        <v>1.4366268002729599E-2</v>
      </c>
      <c r="AK159">
        <v>3.0135004821600801E-2</v>
      </c>
      <c r="AL159">
        <v>1.0753459029321099E-2</v>
      </c>
      <c r="AM159">
        <v>0</v>
      </c>
    </row>
    <row r="160" spans="1:39" customFormat="1" hidden="1" x14ac:dyDescent="0.3">
      <c r="A160" t="s">
        <v>1877</v>
      </c>
      <c r="B160" t="s">
        <v>30</v>
      </c>
      <c r="C160" t="s">
        <v>81</v>
      </c>
      <c r="D160" t="s">
        <v>118</v>
      </c>
      <c r="E160" t="s">
        <v>190</v>
      </c>
      <c r="F160" t="s">
        <v>1868</v>
      </c>
      <c r="G160" t="s">
        <v>1876</v>
      </c>
      <c r="H160" s="16">
        <v>0</v>
      </c>
      <c r="I160" s="11">
        <v>0</v>
      </c>
      <c r="J160" s="11">
        <v>0</v>
      </c>
      <c r="K160" s="11">
        <v>0</v>
      </c>
      <c r="L160" s="11">
        <v>0</v>
      </c>
      <c r="M160" s="11">
        <v>0</v>
      </c>
      <c r="N160" s="11">
        <v>0</v>
      </c>
      <c r="O160" s="11">
        <v>0</v>
      </c>
      <c r="P160" s="11">
        <v>0</v>
      </c>
      <c r="Q160" s="11">
        <v>0</v>
      </c>
      <c r="R160" s="11">
        <v>0</v>
      </c>
      <c r="S160" s="11">
        <v>0</v>
      </c>
      <c r="T160" s="11">
        <v>0</v>
      </c>
      <c r="U160">
        <v>3.04201016031394E-3</v>
      </c>
      <c r="V160">
        <v>3.6144142841652502E-2</v>
      </c>
      <c r="W160">
        <v>0</v>
      </c>
      <c r="X160">
        <v>0</v>
      </c>
      <c r="Y160">
        <v>8.1940827017061194E-2</v>
      </c>
      <c r="Z160">
        <v>6.3548551093035102E-3</v>
      </c>
      <c r="AA160">
        <v>4.4949880882815697E-3</v>
      </c>
      <c r="AB160">
        <v>4.5118209709438702E-3</v>
      </c>
      <c r="AC160">
        <v>5.0337983604199603E-2</v>
      </c>
      <c r="AD160">
        <v>0</v>
      </c>
      <c r="AE160">
        <v>5.1449151089007002E-2</v>
      </c>
      <c r="AF160">
        <v>0</v>
      </c>
      <c r="AG160">
        <v>0</v>
      </c>
      <c r="AH160">
        <v>0</v>
      </c>
      <c r="AI160">
        <v>2.2984278753332699E-3</v>
      </c>
      <c r="AJ160">
        <v>3.5915670006823998E-3</v>
      </c>
      <c r="AK160">
        <v>6.02700096432015E-3</v>
      </c>
      <c r="AL160">
        <v>3.5844863431070302E-3</v>
      </c>
      <c r="AM160">
        <v>0</v>
      </c>
    </row>
    <row r="161" spans="1:39" customFormat="1" hidden="1" x14ac:dyDescent="0.3">
      <c r="A161" t="s">
        <v>1860</v>
      </c>
      <c r="B161" t="s">
        <v>30</v>
      </c>
      <c r="C161" t="s">
        <v>111</v>
      </c>
      <c r="D161" t="s">
        <v>141</v>
      </c>
      <c r="E161" t="s">
        <v>140</v>
      </c>
      <c r="F161" t="s">
        <v>592</v>
      </c>
      <c r="G161" t="s">
        <v>1859</v>
      </c>
      <c r="H161" s="16">
        <v>0</v>
      </c>
      <c r="I161" s="11">
        <v>0.16088927892350399</v>
      </c>
      <c r="J161" s="11">
        <v>0</v>
      </c>
      <c r="K161" s="11">
        <v>5.6589893045102101E-3</v>
      </c>
      <c r="L161" s="11">
        <v>5.28296902859407E-2</v>
      </c>
      <c r="M161" s="11">
        <v>3.5488679111363502E-3</v>
      </c>
      <c r="N161" s="11">
        <v>0.132923866709447</v>
      </c>
      <c r="O161" s="11">
        <v>0.11250703168948099</v>
      </c>
      <c r="P161" s="11">
        <v>0</v>
      </c>
      <c r="Q161" s="11">
        <v>0</v>
      </c>
      <c r="R161" s="11">
        <v>2.2441148089136199E-3</v>
      </c>
      <c r="S161" s="11">
        <v>0</v>
      </c>
      <c r="T161" s="11">
        <v>0</v>
      </c>
      <c r="U161">
        <v>0</v>
      </c>
      <c r="V161">
        <v>3.6144142841652502E-3</v>
      </c>
      <c r="W161">
        <v>1.6000853378846901E-2</v>
      </c>
      <c r="X161">
        <v>1.2848515996402399E-2</v>
      </c>
      <c r="Y161">
        <v>2.9264581077521898E-3</v>
      </c>
      <c r="Z161">
        <v>9.5322826639552601E-3</v>
      </c>
      <c r="AA161">
        <v>4.4949880882815697E-3</v>
      </c>
      <c r="AB161">
        <v>0</v>
      </c>
      <c r="AC161">
        <v>7.1911405148856597E-3</v>
      </c>
      <c r="AD161">
        <v>0</v>
      </c>
      <c r="AE161">
        <v>0</v>
      </c>
      <c r="AF161">
        <v>1.0067451927917E-2</v>
      </c>
      <c r="AG161">
        <v>0</v>
      </c>
      <c r="AH161">
        <v>4.6410173109945703E-3</v>
      </c>
      <c r="AI161">
        <v>0</v>
      </c>
      <c r="AJ161">
        <v>3.5915670006823998E-3</v>
      </c>
      <c r="AK161">
        <v>0</v>
      </c>
      <c r="AL161">
        <v>7.1689726862140604E-3</v>
      </c>
      <c r="AM161">
        <v>0</v>
      </c>
    </row>
    <row r="162" spans="1:39" customFormat="1" hidden="1" x14ac:dyDescent="0.3">
      <c r="A162" t="s">
        <v>1854</v>
      </c>
      <c r="B162" t="s">
        <v>30</v>
      </c>
      <c r="C162" t="s">
        <v>81</v>
      </c>
      <c r="D162" t="s">
        <v>85</v>
      </c>
      <c r="E162" t="s">
        <v>314</v>
      </c>
      <c r="F162" t="s">
        <v>313</v>
      </c>
      <c r="G162" t="s">
        <v>312</v>
      </c>
      <c r="H162" s="16">
        <v>4.1583499667332E-3</v>
      </c>
      <c r="I162" s="11">
        <v>1.09697235629662E-2</v>
      </c>
      <c r="J162" s="11">
        <v>0</v>
      </c>
      <c r="K162" s="11">
        <v>0</v>
      </c>
      <c r="L162" s="11">
        <v>0</v>
      </c>
      <c r="M162" s="11">
        <v>0</v>
      </c>
      <c r="N162" s="11">
        <v>0</v>
      </c>
      <c r="O162" s="11">
        <v>0</v>
      </c>
      <c r="P162" s="11">
        <v>0</v>
      </c>
      <c r="Q162" s="11">
        <v>0</v>
      </c>
      <c r="R162" s="11">
        <v>0</v>
      </c>
      <c r="S162" s="11">
        <v>1.2441524833283601E-2</v>
      </c>
      <c r="T162" s="11">
        <v>0</v>
      </c>
      <c r="U162">
        <v>0</v>
      </c>
      <c r="V162">
        <v>6.8673871399139802E-2</v>
      </c>
      <c r="W162">
        <v>8.0004266894234399E-3</v>
      </c>
      <c r="X162">
        <v>0</v>
      </c>
      <c r="Y162">
        <v>5.8529162155043703E-2</v>
      </c>
      <c r="Z162">
        <v>1.9064565327910499E-2</v>
      </c>
      <c r="AA162">
        <v>4.4949880882815697E-3</v>
      </c>
      <c r="AB162">
        <v>9.0236419418877507E-3</v>
      </c>
      <c r="AC162">
        <v>2.87645620595426E-2</v>
      </c>
      <c r="AD162">
        <v>3.14564328405159E-3</v>
      </c>
      <c r="AE162">
        <v>4.11593208712056E-2</v>
      </c>
      <c r="AF162">
        <v>1.0067451927917E-2</v>
      </c>
      <c r="AG162">
        <v>4.6938440235631002E-3</v>
      </c>
      <c r="AH162">
        <v>4.6410173109945703E-3</v>
      </c>
      <c r="AI162">
        <v>9.1937115013330899E-3</v>
      </c>
      <c r="AJ162">
        <v>0</v>
      </c>
      <c r="AK162">
        <v>0</v>
      </c>
      <c r="AL162">
        <v>0</v>
      </c>
      <c r="AM162">
        <v>0</v>
      </c>
    </row>
    <row r="163" spans="1:39" customFormat="1" hidden="1" x14ac:dyDescent="0.3">
      <c r="A163" t="s">
        <v>1846</v>
      </c>
      <c r="B163" t="s">
        <v>30</v>
      </c>
      <c r="C163" t="s">
        <v>81</v>
      </c>
      <c r="D163" t="s">
        <v>80</v>
      </c>
      <c r="E163" t="s">
        <v>618</v>
      </c>
      <c r="F163" t="s">
        <v>629</v>
      </c>
      <c r="G163" t="s">
        <v>1845</v>
      </c>
      <c r="H163" s="16">
        <v>4.5741849634065197E-2</v>
      </c>
      <c r="I163" s="11">
        <v>3.6565745209887403E-2</v>
      </c>
      <c r="J163" s="11">
        <v>5.6672043245128402E-2</v>
      </c>
      <c r="K163" s="11">
        <v>2.8294946522551101E-2</v>
      </c>
      <c r="L163" s="11">
        <v>3.9622267714455497E-2</v>
      </c>
      <c r="M163" s="11">
        <v>1.4195471644545401E-2</v>
      </c>
      <c r="N163" s="11">
        <v>4.5835816106705798E-2</v>
      </c>
      <c r="O163" s="11">
        <v>1.50009375585974E-2</v>
      </c>
      <c r="P163" s="11">
        <v>5.4316461282547399E-2</v>
      </c>
      <c r="Q163" s="11">
        <v>1.3746460286476201E-2</v>
      </c>
      <c r="R163" s="11">
        <v>8.9764592356545003E-3</v>
      </c>
      <c r="S163" s="11">
        <v>0</v>
      </c>
      <c r="T163" s="11">
        <v>6.69299243691855E-3</v>
      </c>
      <c r="U163">
        <v>0</v>
      </c>
      <c r="V163">
        <v>3.6144142841652502E-3</v>
      </c>
      <c r="W163">
        <v>2.6668088964744798E-3</v>
      </c>
      <c r="X163">
        <v>0</v>
      </c>
      <c r="Y163">
        <v>1.17058324310087E-2</v>
      </c>
      <c r="Z163">
        <v>1.2709710218607E-2</v>
      </c>
      <c r="AA163">
        <v>4.4949880882815697E-3</v>
      </c>
      <c r="AB163">
        <v>1.8047283883775501E-2</v>
      </c>
      <c r="AC163">
        <v>2.87645620595426E-2</v>
      </c>
      <c r="AD163">
        <v>3.7747719408619103E-2</v>
      </c>
      <c r="AE163">
        <v>3.4299434059338003E-2</v>
      </c>
      <c r="AF163">
        <v>2.0134903855834101E-2</v>
      </c>
      <c r="AG163">
        <v>1.64284540824708E-2</v>
      </c>
      <c r="AH163">
        <v>4.6410173109945703E-3</v>
      </c>
      <c r="AI163">
        <v>7.3549692010664705E-2</v>
      </c>
      <c r="AJ163">
        <v>0</v>
      </c>
      <c r="AK163">
        <v>0</v>
      </c>
      <c r="AL163">
        <v>0</v>
      </c>
      <c r="AM163">
        <v>0</v>
      </c>
    </row>
    <row r="164" spans="1:39" customFormat="1" hidden="1" x14ac:dyDescent="0.3">
      <c r="A164" t="s">
        <v>1841</v>
      </c>
      <c r="B164" t="s">
        <v>30</v>
      </c>
      <c r="C164" t="s">
        <v>81</v>
      </c>
      <c r="D164" t="s">
        <v>80</v>
      </c>
      <c r="E164" t="s">
        <v>292</v>
      </c>
      <c r="F164" t="s">
        <v>1682</v>
      </c>
      <c r="G164" t="s">
        <v>1681</v>
      </c>
      <c r="H164" s="16">
        <v>0</v>
      </c>
      <c r="I164" s="11">
        <v>0</v>
      </c>
      <c r="J164" s="11">
        <v>0</v>
      </c>
      <c r="K164" s="11">
        <v>0</v>
      </c>
      <c r="L164" s="11">
        <v>0</v>
      </c>
      <c r="M164" s="11">
        <v>0</v>
      </c>
      <c r="N164" s="11">
        <v>0</v>
      </c>
      <c r="O164" s="11">
        <v>0</v>
      </c>
      <c r="P164" s="11">
        <v>0</v>
      </c>
      <c r="Q164" s="11">
        <v>0</v>
      </c>
      <c r="R164" s="11">
        <v>2.2441148089136199E-3</v>
      </c>
      <c r="S164" s="11">
        <v>0</v>
      </c>
      <c r="T164" s="11">
        <v>3.3464962184592698E-3</v>
      </c>
      <c r="U164">
        <v>0</v>
      </c>
      <c r="V164">
        <v>7.2288285683305004E-3</v>
      </c>
      <c r="W164">
        <v>0</v>
      </c>
      <c r="X164">
        <v>0</v>
      </c>
      <c r="Y164">
        <v>0</v>
      </c>
      <c r="Z164">
        <v>0</v>
      </c>
      <c r="AA164">
        <v>4.4949880882815697E-3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2.3469220117815501E-3</v>
      </c>
      <c r="AH164">
        <v>0</v>
      </c>
      <c r="AI164">
        <v>0</v>
      </c>
      <c r="AJ164">
        <v>2.8732536005459199E-2</v>
      </c>
      <c r="AK164">
        <v>5.4243008678881398E-2</v>
      </c>
      <c r="AL164">
        <v>2.1506918058642199E-2</v>
      </c>
      <c r="AM164">
        <v>0</v>
      </c>
    </row>
    <row r="165" spans="1:39" customFormat="1" hidden="1" x14ac:dyDescent="0.3">
      <c r="A165" t="s">
        <v>1826</v>
      </c>
      <c r="B165" t="s">
        <v>30</v>
      </c>
      <c r="C165" t="s">
        <v>111</v>
      </c>
      <c r="D165" t="s">
        <v>141</v>
      </c>
      <c r="E165" t="s">
        <v>140</v>
      </c>
      <c r="F165" t="s">
        <v>199</v>
      </c>
      <c r="G165" t="s">
        <v>1825</v>
      </c>
      <c r="H165" s="16">
        <v>0</v>
      </c>
      <c r="I165" s="11">
        <v>0</v>
      </c>
      <c r="J165" s="11">
        <v>0</v>
      </c>
      <c r="K165" s="11">
        <v>0</v>
      </c>
      <c r="L165" s="11">
        <v>0</v>
      </c>
      <c r="M165" s="11">
        <v>0</v>
      </c>
      <c r="N165" s="11">
        <v>4.5835816106705798E-3</v>
      </c>
      <c r="O165" s="11">
        <v>0</v>
      </c>
      <c r="P165" s="11">
        <v>0</v>
      </c>
      <c r="Q165" s="11">
        <v>0</v>
      </c>
      <c r="R165" s="11">
        <v>2.2441148089136199E-3</v>
      </c>
      <c r="S165" s="11">
        <v>0</v>
      </c>
      <c r="T165" s="11">
        <v>0</v>
      </c>
      <c r="U165">
        <v>3.04201016031394E-3</v>
      </c>
      <c r="V165">
        <v>2.53008999891568E-2</v>
      </c>
      <c r="W165">
        <v>1.6000853378846901E-2</v>
      </c>
      <c r="X165">
        <v>6.4242579982012101E-3</v>
      </c>
      <c r="Y165">
        <v>2.0485206754265298E-2</v>
      </c>
      <c r="Z165">
        <v>6.3548551093035102E-3</v>
      </c>
      <c r="AA165">
        <v>4.4949880882815697E-3</v>
      </c>
      <c r="AB165">
        <v>1.35354629128316E-2</v>
      </c>
      <c r="AC165">
        <v>7.1911405148856597E-3</v>
      </c>
      <c r="AD165">
        <v>1.25825731362064E-2</v>
      </c>
      <c r="AE165">
        <v>1.37197736237352E-2</v>
      </c>
      <c r="AF165">
        <v>0</v>
      </c>
      <c r="AG165">
        <v>2.3469220117815501E-3</v>
      </c>
      <c r="AH165">
        <v>9.2820346219891405E-3</v>
      </c>
      <c r="AI165">
        <v>4.5968557506665397E-3</v>
      </c>
      <c r="AJ165">
        <v>7.1831340013647996E-3</v>
      </c>
      <c r="AK165">
        <v>0</v>
      </c>
      <c r="AL165">
        <v>1.43379453724281E-2</v>
      </c>
      <c r="AM165">
        <v>0</v>
      </c>
    </row>
    <row r="166" spans="1:39" customFormat="1" hidden="1" x14ac:dyDescent="0.3">
      <c r="A166" t="s">
        <v>1824</v>
      </c>
      <c r="B166" t="s">
        <v>30</v>
      </c>
      <c r="C166" t="s">
        <v>35</v>
      </c>
      <c r="D166" t="s">
        <v>35</v>
      </c>
      <c r="E166" t="s">
        <v>34</v>
      </c>
      <c r="F166" t="s">
        <v>33</v>
      </c>
      <c r="G166" t="s">
        <v>1823</v>
      </c>
      <c r="H166" s="16">
        <v>2.4950099800399202E-2</v>
      </c>
      <c r="I166" s="11">
        <v>2.5596021646921201E-2</v>
      </c>
      <c r="J166" s="11">
        <v>8.7187758838659108E-3</v>
      </c>
      <c r="K166" s="11">
        <v>5.6589893045102101E-3</v>
      </c>
      <c r="L166" s="11">
        <v>6.6037112857425901E-3</v>
      </c>
      <c r="M166" s="11">
        <v>7.0977358222727004E-3</v>
      </c>
      <c r="N166" s="11">
        <v>4.5835816106705798E-3</v>
      </c>
      <c r="O166" s="11">
        <v>3.75023438964935E-3</v>
      </c>
      <c r="P166" s="11">
        <v>3.3947788301592198E-3</v>
      </c>
      <c r="Q166" s="11">
        <v>0</v>
      </c>
      <c r="R166" s="11">
        <v>0</v>
      </c>
      <c r="S166" s="11">
        <v>1.7418134766596999E-2</v>
      </c>
      <c r="T166" s="11">
        <v>6.69299243691855E-3</v>
      </c>
      <c r="U166">
        <v>0</v>
      </c>
      <c r="V166">
        <v>2.53008999891568E-2</v>
      </c>
      <c r="W166">
        <v>5.3336177929489597E-3</v>
      </c>
      <c r="X166">
        <v>0</v>
      </c>
      <c r="Y166">
        <v>7.3161452693804696E-2</v>
      </c>
      <c r="Z166">
        <v>1.58871377732588E-2</v>
      </c>
      <c r="AA166">
        <v>4.4949880882815697E-3</v>
      </c>
      <c r="AB166">
        <v>0</v>
      </c>
      <c r="AC166">
        <v>7.1911405148856597E-3</v>
      </c>
      <c r="AD166">
        <v>0</v>
      </c>
      <c r="AE166">
        <v>2.05796604356028E-2</v>
      </c>
      <c r="AF166">
        <v>0</v>
      </c>
      <c r="AG166">
        <v>0</v>
      </c>
      <c r="AH166">
        <v>9.2820346219891405E-3</v>
      </c>
      <c r="AI166">
        <v>0</v>
      </c>
      <c r="AJ166">
        <v>0</v>
      </c>
      <c r="AK166">
        <v>0</v>
      </c>
      <c r="AL166">
        <v>0</v>
      </c>
      <c r="AM166">
        <v>0</v>
      </c>
    </row>
    <row r="167" spans="1:39" customFormat="1" hidden="1" x14ac:dyDescent="0.3">
      <c r="A167" t="s">
        <v>1817</v>
      </c>
      <c r="B167" t="s">
        <v>30</v>
      </c>
      <c r="C167" t="s">
        <v>81</v>
      </c>
      <c r="D167" t="s">
        <v>80</v>
      </c>
      <c r="E167" t="s">
        <v>642</v>
      </c>
      <c r="F167" t="s">
        <v>641</v>
      </c>
      <c r="G167" t="s">
        <v>640</v>
      </c>
      <c r="H167" s="16">
        <v>0</v>
      </c>
      <c r="I167" s="11">
        <v>0</v>
      </c>
      <c r="J167" s="11">
        <v>1.30781638257989E-2</v>
      </c>
      <c r="K167" s="11">
        <v>4.5271914436081702E-2</v>
      </c>
      <c r="L167" s="11">
        <v>3.3018556428712903E-2</v>
      </c>
      <c r="M167" s="11">
        <v>7.0977358222727004E-3</v>
      </c>
      <c r="N167" s="11">
        <v>0.15125819315212899</v>
      </c>
      <c r="O167" s="11">
        <v>1.50009375585974E-2</v>
      </c>
      <c r="P167" s="11">
        <v>4.7526903622229E-2</v>
      </c>
      <c r="Q167" s="11">
        <v>1.0997168229181E-2</v>
      </c>
      <c r="R167" s="11">
        <v>5.3858755413926998E-2</v>
      </c>
      <c r="S167" s="11">
        <v>0</v>
      </c>
      <c r="T167" s="11">
        <v>0</v>
      </c>
      <c r="U167">
        <v>0</v>
      </c>
      <c r="V167">
        <v>0</v>
      </c>
      <c r="W167">
        <v>5.3336177929489597E-3</v>
      </c>
      <c r="X167">
        <v>0</v>
      </c>
      <c r="Y167">
        <v>0</v>
      </c>
      <c r="Z167">
        <v>1.2709710218607E-2</v>
      </c>
      <c r="AA167">
        <v>4.4949880882815697E-3</v>
      </c>
      <c r="AB167">
        <v>0</v>
      </c>
      <c r="AC167">
        <v>0</v>
      </c>
      <c r="AD167">
        <v>0</v>
      </c>
      <c r="AE167">
        <v>0</v>
      </c>
      <c r="AF167">
        <v>1.51011778918756E-2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</row>
    <row r="168" spans="1:39" customFormat="1" hidden="1" x14ac:dyDescent="0.3">
      <c r="A168" t="s">
        <v>1796</v>
      </c>
      <c r="B168" t="s">
        <v>30</v>
      </c>
      <c r="C168" t="s">
        <v>111</v>
      </c>
      <c r="D168" t="s">
        <v>141</v>
      </c>
      <c r="E168" t="s">
        <v>140</v>
      </c>
      <c r="F168" t="s">
        <v>602</v>
      </c>
      <c r="G168" t="s">
        <v>1795</v>
      </c>
      <c r="H168" s="16">
        <v>0</v>
      </c>
      <c r="I168" s="11">
        <v>3.6565745209887401E-3</v>
      </c>
      <c r="J168" s="11">
        <v>0</v>
      </c>
      <c r="K168" s="11">
        <v>5.6589893045102101E-3</v>
      </c>
      <c r="L168" s="11">
        <v>0</v>
      </c>
      <c r="M168" s="11">
        <v>7.0977358222727004E-3</v>
      </c>
      <c r="N168" s="11">
        <v>0</v>
      </c>
      <c r="O168" s="11">
        <v>3.75023438964935E-3</v>
      </c>
      <c r="P168" s="11">
        <v>3.3947788301592198E-3</v>
      </c>
      <c r="Q168" s="11">
        <v>2.7492920572952501E-3</v>
      </c>
      <c r="R168" s="11">
        <v>2.2441148089136199E-3</v>
      </c>
      <c r="S168" s="11">
        <v>2.4883049666567102E-3</v>
      </c>
      <c r="T168" s="11">
        <v>3.3464962184592698E-3</v>
      </c>
      <c r="U168">
        <v>3.04201016031394E-3</v>
      </c>
      <c r="V168">
        <v>7.2288285683305004E-3</v>
      </c>
      <c r="W168">
        <v>5.3336177929489597E-3</v>
      </c>
      <c r="X168">
        <v>0</v>
      </c>
      <c r="Y168">
        <v>8.7793743232565599E-3</v>
      </c>
      <c r="Z168">
        <v>0</v>
      </c>
      <c r="AA168">
        <v>4.4949880882815697E-3</v>
      </c>
      <c r="AB168">
        <v>0</v>
      </c>
      <c r="AC168">
        <v>7.1911405148856597E-3</v>
      </c>
      <c r="AD168">
        <v>0</v>
      </c>
      <c r="AE168">
        <v>6.8598868118676E-3</v>
      </c>
      <c r="AF168">
        <v>1.0067451927917E-2</v>
      </c>
      <c r="AG168">
        <v>0</v>
      </c>
      <c r="AH168">
        <v>9.2820346219891405E-3</v>
      </c>
      <c r="AI168">
        <v>2.2984278753332699E-3</v>
      </c>
      <c r="AJ168">
        <v>0</v>
      </c>
      <c r="AK168">
        <v>0</v>
      </c>
      <c r="AL168">
        <v>0</v>
      </c>
      <c r="AM168">
        <v>0</v>
      </c>
    </row>
    <row r="169" spans="1:39" customFormat="1" hidden="1" x14ac:dyDescent="0.3">
      <c r="A169" t="s">
        <v>1788</v>
      </c>
      <c r="B169" t="s">
        <v>30</v>
      </c>
      <c r="C169" t="s">
        <v>29</v>
      </c>
      <c r="D169" t="s">
        <v>28</v>
      </c>
      <c r="E169" t="s">
        <v>27</v>
      </c>
      <c r="F169" t="s">
        <v>26</v>
      </c>
      <c r="G169" t="s">
        <v>25</v>
      </c>
      <c r="H169" s="16">
        <v>0</v>
      </c>
      <c r="I169" s="11">
        <v>0</v>
      </c>
      <c r="J169" s="11">
        <v>0</v>
      </c>
      <c r="K169" s="11">
        <v>0</v>
      </c>
      <c r="L169" s="11">
        <v>8.5848246714653603E-2</v>
      </c>
      <c r="M169" s="11">
        <v>0</v>
      </c>
      <c r="N169" s="11">
        <v>0.307099967914929</v>
      </c>
      <c r="O169" s="11">
        <v>7.8754922182636397E-2</v>
      </c>
      <c r="P169" s="11">
        <v>0</v>
      </c>
      <c r="Q169" s="11">
        <v>2.7492920572952501E-3</v>
      </c>
      <c r="R169" s="11">
        <v>2.2441148089136199E-3</v>
      </c>
      <c r="S169" s="11">
        <v>0</v>
      </c>
      <c r="T169" s="11">
        <v>0</v>
      </c>
      <c r="U169">
        <v>0</v>
      </c>
      <c r="V169">
        <v>0</v>
      </c>
      <c r="W169">
        <v>2.6668088964744798E-3</v>
      </c>
      <c r="X169">
        <v>6.4242579982012101E-3</v>
      </c>
      <c r="Y169">
        <v>0</v>
      </c>
      <c r="Z169">
        <v>0</v>
      </c>
      <c r="AA169">
        <v>4.4949880882815697E-3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3.5915670006823998E-3</v>
      </c>
      <c r="AK169">
        <v>0</v>
      </c>
      <c r="AL169">
        <v>0</v>
      </c>
      <c r="AM169">
        <v>0</v>
      </c>
    </row>
    <row r="170" spans="1:39" customFormat="1" hidden="1" x14ac:dyDescent="0.3">
      <c r="A170" t="s">
        <v>1743</v>
      </c>
      <c r="B170" t="s">
        <v>30</v>
      </c>
      <c r="C170" t="s">
        <v>81</v>
      </c>
      <c r="D170" t="s">
        <v>80</v>
      </c>
      <c r="E170" t="s">
        <v>618</v>
      </c>
      <c r="F170" t="s">
        <v>629</v>
      </c>
      <c r="G170" t="s">
        <v>1742</v>
      </c>
      <c r="H170" s="16">
        <v>0</v>
      </c>
      <c r="I170" s="11">
        <v>0</v>
      </c>
      <c r="J170" s="11">
        <v>0</v>
      </c>
      <c r="K170" s="11">
        <v>0</v>
      </c>
      <c r="L170" s="11">
        <v>0</v>
      </c>
      <c r="M170" s="11">
        <v>0</v>
      </c>
      <c r="N170" s="11">
        <v>0</v>
      </c>
      <c r="O170" s="11">
        <v>1.8751171948246801E-2</v>
      </c>
      <c r="P170" s="11">
        <v>5.0921682452388199E-2</v>
      </c>
      <c r="Q170" s="11">
        <v>8.2478761718857395E-3</v>
      </c>
      <c r="R170" s="11">
        <v>1.5708803662395399E-2</v>
      </c>
      <c r="S170" s="11">
        <v>0</v>
      </c>
      <c r="T170" s="11">
        <v>6.69299243691855E-3</v>
      </c>
      <c r="U170">
        <v>9.1260304809418092E-3</v>
      </c>
      <c r="V170">
        <v>3.6144142841652502E-3</v>
      </c>
      <c r="W170">
        <v>2.6668088964744798E-3</v>
      </c>
      <c r="X170">
        <v>0</v>
      </c>
      <c r="Y170">
        <v>8.7793743232565599E-3</v>
      </c>
      <c r="Z170">
        <v>3.1774275546517499E-3</v>
      </c>
      <c r="AA170">
        <v>4.4949880882815697E-3</v>
      </c>
      <c r="AB170">
        <v>9.0236419418877507E-3</v>
      </c>
      <c r="AC170">
        <v>0</v>
      </c>
      <c r="AD170">
        <v>0</v>
      </c>
      <c r="AE170">
        <v>6.8598868118676E-3</v>
      </c>
      <c r="AF170">
        <v>5.03372596395852E-3</v>
      </c>
      <c r="AG170">
        <v>1.1734610058907699E-2</v>
      </c>
      <c r="AH170">
        <v>4.6410173109945703E-3</v>
      </c>
      <c r="AI170">
        <v>9.1937115013330899E-3</v>
      </c>
      <c r="AJ170">
        <v>0</v>
      </c>
      <c r="AK170">
        <v>0</v>
      </c>
      <c r="AL170">
        <v>0</v>
      </c>
      <c r="AM170">
        <v>0</v>
      </c>
    </row>
    <row r="171" spans="1:39" customFormat="1" hidden="1" x14ac:dyDescent="0.3">
      <c r="A171" t="s">
        <v>1732</v>
      </c>
      <c r="B171" t="s">
        <v>30</v>
      </c>
      <c r="C171" t="s">
        <v>29</v>
      </c>
      <c r="D171" t="s">
        <v>28</v>
      </c>
      <c r="E171" t="s">
        <v>27</v>
      </c>
      <c r="F171" t="s">
        <v>58</v>
      </c>
      <c r="G171" t="s">
        <v>57</v>
      </c>
      <c r="H171" s="16">
        <v>4.5741849634065197E-2</v>
      </c>
      <c r="I171" s="11">
        <v>2.5596021646921201E-2</v>
      </c>
      <c r="J171" s="11">
        <v>1.7437551767731801E-2</v>
      </c>
      <c r="K171" s="11">
        <v>4.5271914436081702E-2</v>
      </c>
      <c r="L171" s="11">
        <v>1.3207422571485199E-2</v>
      </c>
      <c r="M171" s="11">
        <v>1.77443395556817E-2</v>
      </c>
      <c r="N171" s="11">
        <v>9.1671632213411597E-3</v>
      </c>
      <c r="O171" s="11">
        <v>1.50009375585974E-2</v>
      </c>
      <c r="P171" s="11">
        <v>4.41321247920698E-2</v>
      </c>
      <c r="Q171" s="11">
        <v>1.3746460286476201E-2</v>
      </c>
      <c r="R171" s="11">
        <v>2.2441148089136199E-3</v>
      </c>
      <c r="S171" s="11">
        <v>7.4649148999701397E-3</v>
      </c>
      <c r="T171" s="1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6.3548551093035102E-3</v>
      </c>
      <c r="AA171">
        <v>4.4949880882815697E-3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1.4366268002729599E-2</v>
      </c>
      <c r="AK171">
        <v>0</v>
      </c>
      <c r="AL171">
        <v>3.5844863431070302E-3</v>
      </c>
      <c r="AM171">
        <v>0</v>
      </c>
    </row>
    <row r="172" spans="1:39" customFormat="1" hidden="1" x14ac:dyDescent="0.3">
      <c r="A172" t="s">
        <v>1731</v>
      </c>
      <c r="B172" t="s">
        <v>30</v>
      </c>
      <c r="C172" t="s">
        <v>526</v>
      </c>
      <c r="D172" t="s">
        <v>525</v>
      </c>
      <c r="E172" t="s">
        <v>524</v>
      </c>
      <c r="F172" t="s">
        <v>523</v>
      </c>
      <c r="G172" t="s">
        <v>522</v>
      </c>
      <c r="H172" s="16">
        <v>0</v>
      </c>
      <c r="I172" s="11">
        <v>1.4626298083955E-2</v>
      </c>
      <c r="J172" s="11">
        <v>0</v>
      </c>
      <c r="K172" s="11">
        <v>0</v>
      </c>
      <c r="L172" s="11">
        <v>0</v>
      </c>
      <c r="M172" s="11">
        <v>0</v>
      </c>
      <c r="N172" s="11">
        <v>4.5835816106705798E-3</v>
      </c>
      <c r="O172" s="11">
        <v>0</v>
      </c>
      <c r="P172" s="11">
        <v>0</v>
      </c>
      <c r="Q172" s="11">
        <v>0</v>
      </c>
      <c r="R172" s="11">
        <v>0</v>
      </c>
      <c r="S172" s="11">
        <v>2.4883049666567102E-3</v>
      </c>
      <c r="T172" s="11">
        <v>6.69299243691855E-3</v>
      </c>
      <c r="U172">
        <v>6.0840203206278696E-3</v>
      </c>
      <c r="V172">
        <v>1.0843242852495801E-2</v>
      </c>
      <c r="W172">
        <v>2.6668088964744798E-3</v>
      </c>
      <c r="X172">
        <v>3.8545547989207202E-2</v>
      </c>
      <c r="Y172">
        <v>0</v>
      </c>
      <c r="Z172">
        <v>3.1774275546517499E-3</v>
      </c>
      <c r="AA172">
        <v>4.4949880882815697E-3</v>
      </c>
      <c r="AB172">
        <v>0</v>
      </c>
      <c r="AC172">
        <v>1.43822810297713E-2</v>
      </c>
      <c r="AD172">
        <v>0</v>
      </c>
      <c r="AE172">
        <v>0</v>
      </c>
      <c r="AF172">
        <v>0</v>
      </c>
      <c r="AG172">
        <v>0</v>
      </c>
      <c r="AH172">
        <v>4.6410173109945703E-3</v>
      </c>
      <c r="AI172">
        <v>2.2984278753332699E-3</v>
      </c>
      <c r="AJ172">
        <v>7.1831340013647996E-3</v>
      </c>
      <c r="AK172">
        <v>1.20540019286403E-2</v>
      </c>
      <c r="AL172">
        <v>3.5844863431070302E-3</v>
      </c>
      <c r="AM172">
        <v>0</v>
      </c>
    </row>
    <row r="173" spans="1:39" customFormat="1" hidden="1" x14ac:dyDescent="0.3">
      <c r="A173" t="s">
        <v>1685</v>
      </c>
      <c r="B173" t="s">
        <v>30</v>
      </c>
      <c r="C173" t="s">
        <v>111</v>
      </c>
      <c r="D173" t="s">
        <v>141</v>
      </c>
      <c r="E173" t="s">
        <v>140</v>
      </c>
      <c r="F173" t="s">
        <v>206</v>
      </c>
      <c r="G173" t="s">
        <v>1684</v>
      </c>
      <c r="H173" s="16">
        <v>1.66333998669328E-2</v>
      </c>
      <c r="I173" s="11">
        <v>0</v>
      </c>
      <c r="J173" s="11">
        <v>0</v>
      </c>
      <c r="K173" s="11">
        <v>0</v>
      </c>
      <c r="L173" s="11">
        <v>0</v>
      </c>
      <c r="M173" s="11">
        <v>0</v>
      </c>
      <c r="N173" s="11">
        <v>0</v>
      </c>
      <c r="O173" s="11">
        <v>0</v>
      </c>
      <c r="P173" s="11">
        <v>0</v>
      </c>
      <c r="Q173" s="11">
        <v>0</v>
      </c>
      <c r="R173" s="11">
        <v>0</v>
      </c>
      <c r="S173" s="11">
        <v>2.4883049666567102E-3</v>
      </c>
      <c r="T173" s="11">
        <v>3.3464962184592698E-3</v>
      </c>
      <c r="U173">
        <v>3.04201016031394E-3</v>
      </c>
      <c r="V173">
        <v>0</v>
      </c>
      <c r="W173">
        <v>0</v>
      </c>
      <c r="X173">
        <v>0</v>
      </c>
      <c r="Y173">
        <v>2.9264581077521898E-3</v>
      </c>
      <c r="Z173">
        <v>0</v>
      </c>
      <c r="AA173">
        <v>4.4949880882815697E-3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2.3469220117815501E-3</v>
      </c>
      <c r="AH173">
        <v>0</v>
      </c>
      <c r="AI173">
        <v>0</v>
      </c>
      <c r="AJ173">
        <v>3.5915670006823998E-3</v>
      </c>
      <c r="AK173">
        <v>1.8081002892960499E-2</v>
      </c>
      <c r="AL173">
        <v>3.5844863431070302E-3</v>
      </c>
      <c r="AM173">
        <v>0</v>
      </c>
    </row>
    <row r="174" spans="1:39" customFormat="1" hidden="1" x14ac:dyDescent="0.3">
      <c r="A174" t="s">
        <v>1683</v>
      </c>
      <c r="B174" t="s">
        <v>30</v>
      </c>
      <c r="C174" t="s">
        <v>81</v>
      </c>
      <c r="D174" t="s">
        <v>80</v>
      </c>
      <c r="E174" t="s">
        <v>292</v>
      </c>
      <c r="F174" t="s">
        <v>1682</v>
      </c>
      <c r="G174" t="s">
        <v>1681</v>
      </c>
      <c r="H174" s="16">
        <v>0</v>
      </c>
      <c r="I174" s="11">
        <v>7.3131490419774802E-3</v>
      </c>
      <c r="J174" s="11">
        <v>4.3593879419329502E-3</v>
      </c>
      <c r="K174" s="11">
        <v>3.3953935827061299E-2</v>
      </c>
      <c r="L174" s="11">
        <v>6.6037112857425901E-3</v>
      </c>
      <c r="M174" s="11">
        <v>6.7428490311590594E-2</v>
      </c>
      <c r="N174" s="11">
        <v>1.37507448320117E-2</v>
      </c>
      <c r="O174" s="11">
        <v>4.1252578286142899E-2</v>
      </c>
      <c r="P174" s="11">
        <v>6.78955766031843E-3</v>
      </c>
      <c r="Q174" s="11">
        <v>0</v>
      </c>
      <c r="R174" s="11">
        <v>8.9764592356545003E-3</v>
      </c>
      <c r="S174" s="11">
        <v>0</v>
      </c>
      <c r="T174" s="11">
        <v>6.69299243691855E-3</v>
      </c>
      <c r="U174">
        <v>6.0840203206278696E-3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4.4949880882815697E-3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6.02700096432015E-3</v>
      </c>
      <c r="AL174">
        <v>1.0753459029321099E-2</v>
      </c>
      <c r="AM174">
        <v>0</v>
      </c>
    </row>
    <row r="175" spans="1:39" customFormat="1" hidden="1" x14ac:dyDescent="0.3">
      <c r="A175" t="s">
        <v>1659</v>
      </c>
      <c r="B175" t="s">
        <v>30</v>
      </c>
      <c r="C175" t="s">
        <v>81</v>
      </c>
      <c r="D175" t="s">
        <v>85</v>
      </c>
      <c r="E175" t="s">
        <v>287</v>
      </c>
      <c r="F175" t="s">
        <v>1658</v>
      </c>
      <c r="G175" t="s">
        <v>1657</v>
      </c>
      <c r="H175" s="16">
        <v>0</v>
      </c>
      <c r="I175" s="11">
        <v>0</v>
      </c>
      <c r="J175" s="11">
        <v>0</v>
      </c>
      <c r="K175" s="11">
        <v>0</v>
      </c>
      <c r="L175" s="11">
        <v>0</v>
      </c>
      <c r="M175" s="11">
        <v>0</v>
      </c>
      <c r="N175" s="11">
        <v>0</v>
      </c>
      <c r="O175" s="11">
        <v>0</v>
      </c>
      <c r="P175" s="11">
        <v>3.3947788301592198E-3</v>
      </c>
      <c r="Q175" s="11">
        <v>2.7492920572952501E-3</v>
      </c>
      <c r="R175" s="11">
        <v>0</v>
      </c>
      <c r="S175" s="11">
        <v>0</v>
      </c>
      <c r="T175" s="11">
        <v>0</v>
      </c>
      <c r="U175">
        <v>6.0840203206278696E-3</v>
      </c>
      <c r="V175">
        <v>0</v>
      </c>
      <c r="W175">
        <v>2.6668088964744798E-3</v>
      </c>
      <c r="X175">
        <v>1.2848515996402399E-2</v>
      </c>
      <c r="Y175">
        <v>2.9264581077521898E-3</v>
      </c>
      <c r="Z175">
        <v>3.1774275546517499E-3</v>
      </c>
      <c r="AA175">
        <v>4.4949880882815697E-3</v>
      </c>
      <c r="AB175">
        <v>0</v>
      </c>
      <c r="AC175">
        <v>0</v>
      </c>
      <c r="AD175">
        <v>0</v>
      </c>
      <c r="AE175">
        <v>0</v>
      </c>
      <c r="AF175">
        <v>5.03372596395852E-3</v>
      </c>
      <c r="AG175">
        <v>0</v>
      </c>
      <c r="AH175">
        <v>9.2820346219891405E-3</v>
      </c>
      <c r="AI175">
        <v>2.2984278753332699E-3</v>
      </c>
      <c r="AJ175">
        <v>0</v>
      </c>
      <c r="AK175">
        <v>1.20540019286403E-2</v>
      </c>
      <c r="AL175">
        <v>0</v>
      </c>
      <c r="AM175">
        <v>0</v>
      </c>
    </row>
    <row r="176" spans="1:39" customFormat="1" hidden="1" x14ac:dyDescent="0.3">
      <c r="A176" t="s">
        <v>1610</v>
      </c>
      <c r="B176" t="s">
        <v>30</v>
      </c>
      <c r="C176" t="s">
        <v>81</v>
      </c>
      <c r="D176" t="s">
        <v>85</v>
      </c>
      <c r="E176" t="s">
        <v>84</v>
      </c>
      <c r="F176" t="s">
        <v>84</v>
      </c>
      <c r="G176" t="s">
        <v>84</v>
      </c>
      <c r="H176" s="16">
        <v>0</v>
      </c>
      <c r="I176" s="11">
        <v>1.4626298083955E-2</v>
      </c>
      <c r="J176" s="11">
        <v>2.17969397096648E-2</v>
      </c>
      <c r="K176" s="11">
        <v>8.4884839567653206E-2</v>
      </c>
      <c r="L176" s="11">
        <v>1.3207422571485199E-2</v>
      </c>
      <c r="M176" s="11">
        <v>5.3233018667045197E-2</v>
      </c>
      <c r="N176" s="11">
        <v>4.5835816106705798E-3</v>
      </c>
      <c r="O176" s="11">
        <v>2.6251640727545499E-2</v>
      </c>
      <c r="P176" s="11">
        <v>3.3947788301592198E-3</v>
      </c>
      <c r="Q176" s="11">
        <v>0</v>
      </c>
      <c r="R176" s="11">
        <v>2.2441148089136199E-3</v>
      </c>
      <c r="S176" s="11">
        <v>1.7418134766596999E-2</v>
      </c>
      <c r="T176" s="11">
        <v>1.00394886553778E-2</v>
      </c>
      <c r="U176">
        <v>0</v>
      </c>
      <c r="V176">
        <v>1.0843242852495801E-2</v>
      </c>
      <c r="W176">
        <v>0</v>
      </c>
      <c r="X176">
        <v>6.4242579982012101E-3</v>
      </c>
      <c r="Y176">
        <v>0</v>
      </c>
      <c r="Z176">
        <v>0</v>
      </c>
      <c r="AA176">
        <v>4.4949880882815697E-3</v>
      </c>
      <c r="AB176">
        <v>0</v>
      </c>
      <c r="AC176">
        <v>0</v>
      </c>
      <c r="AD176">
        <v>0</v>
      </c>
      <c r="AE176">
        <v>0</v>
      </c>
      <c r="AF176">
        <v>5.03372596395852E-3</v>
      </c>
      <c r="AG176">
        <v>0</v>
      </c>
      <c r="AH176">
        <v>4.6410173109945703E-3</v>
      </c>
      <c r="AI176">
        <v>2.2984278753332699E-3</v>
      </c>
      <c r="AJ176">
        <v>3.5915670006823998E-3</v>
      </c>
      <c r="AK176">
        <v>1.20540019286403E-2</v>
      </c>
      <c r="AL176">
        <v>0</v>
      </c>
      <c r="AM176">
        <v>0</v>
      </c>
    </row>
    <row r="177" spans="1:39" customFormat="1" hidden="1" x14ac:dyDescent="0.3">
      <c r="A177" t="s">
        <v>1603</v>
      </c>
      <c r="B177" t="s">
        <v>30</v>
      </c>
      <c r="C177" t="s">
        <v>526</v>
      </c>
      <c r="D177" t="s">
        <v>525</v>
      </c>
      <c r="E177" t="s">
        <v>524</v>
      </c>
      <c r="F177" t="s">
        <v>523</v>
      </c>
      <c r="G177" t="s">
        <v>522</v>
      </c>
      <c r="H177" s="16">
        <v>0</v>
      </c>
      <c r="I177" s="11">
        <v>3.6565745209887401E-3</v>
      </c>
      <c r="J177" s="11">
        <v>0</v>
      </c>
      <c r="K177" s="11">
        <v>0</v>
      </c>
      <c r="L177" s="11">
        <v>0</v>
      </c>
      <c r="M177" s="11">
        <v>0</v>
      </c>
      <c r="N177" s="11">
        <v>0</v>
      </c>
      <c r="O177" s="11">
        <v>0</v>
      </c>
      <c r="P177" s="11">
        <v>0</v>
      </c>
      <c r="Q177" s="11">
        <v>0</v>
      </c>
      <c r="R177" s="11">
        <v>1.12205740445681E-2</v>
      </c>
      <c r="S177" s="11">
        <v>0</v>
      </c>
      <c r="T177" s="11">
        <v>0</v>
      </c>
      <c r="U177">
        <v>2.12940711221975E-2</v>
      </c>
      <c r="V177">
        <v>1.0843242852495801E-2</v>
      </c>
      <c r="W177">
        <v>0</v>
      </c>
      <c r="X177">
        <v>0</v>
      </c>
      <c r="Y177">
        <v>0</v>
      </c>
      <c r="Z177">
        <v>0</v>
      </c>
      <c r="AA177">
        <v>4.4949880882815697E-3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3.5844863431070302E-3</v>
      </c>
      <c r="AM177">
        <v>0</v>
      </c>
    </row>
    <row r="178" spans="1:39" customFormat="1" hidden="1" x14ac:dyDescent="0.3">
      <c r="A178" t="s">
        <v>1587</v>
      </c>
      <c r="B178" t="s">
        <v>30</v>
      </c>
      <c r="C178" t="s">
        <v>29</v>
      </c>
      <c r="D178" t="s">
        <v>28</v>
      </c>
      <c r="E178" t="s">
        <v>27</v>
      </c>
      <c r="F178" t="s">
        <v>160</v>
      </c>
      <c r="G178" t="s">
        <v>25</v>
      </c>
      <c r="H178" s="16">
        <v>5.8216899534264802E-2</v>
      </c>
      <c r="I178" s="11">
        <v>0</v>
      </c>
      <c r="J178" s="11">
        <v>0</v>
      </c>
      <c r="K178" s="11">
        <v>0</v>
      </c>
      <c r="L178" s="11">
        <v>0</v>
      </c>
      <c r="M178" s="11">
        <v>0</v>
      </c>
      <c r="N178" s="11">
        <v>0</v>
      </c>
      <c r="O178" s="11">
        <v>0</v>
      </c>
      <c r="P178" s="11">
        <v>0</v>
      </c>
      <c r="Q178" s="11">
        <v>0</v>
      </c>
      <c r="R178" s="11">
        <v>0</v>
      </c>
      <c r="S178" s="11">
        <v>2.73713546332238E-2</v>
      </c>
      <c r="T178" s="11">
        <v>1.67324810922964E-2</v>
      </c>
      <c r="U178">
        <v>0</v>
      </c>
      <c r="V178">
        <v>0</v>
      </c>
      <c r="W178">
        <v>2.6668088964744798E-3</v>
      </c>
      <c r="X178">
        <v>0</v>
      </c>
      <c r="Y178">
        <v>1.7558748646513099E-2</v>
      </c>
      <c r="Z178">
        <v>0</v>
      </c>
      <c r="AA178">
        <v>4.4949880882815697E-3</v>
      </c>
      <c r="AB178">
        <v>0</v>
      </c>
      <c r="AC178">
        <v>0</v>
      </c>
      <c r="AD178">
        <v>0</v>
      </c>
      <c r="AE178">
        <v>0</v>
      </c>
      <c r="AF178">
        <v>5.03372596395852E-3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</row>
    <row r="179" spans="1:39" customFormat="1" hidden="1" x14ac:dyDescent="0.3">
      <c r="A179" t="s">
        <v>1583</v>
      </c>
      <c r="B179" t="s">
        <v>30</v>
      </c>
      <c r="C179" t="s">
        <v>35</v>
      </c>
      <c r="D179" t="s">
        <v>35</v>
      </c>
      <c r="E179" t="s">
        <v>34</v>
      </c>
      <c r="F179" t="s">
        <v>33</v>
      </c>
      <c r="G179" t="s">
        <v>1582</v>
      </c>
      <c r="H179" s="16">
        <v>0</v>
      </c>
      <c r="I179" s="11">
        <v>0</v>
      </c>
      <c r="J179" s="11">
        <v>0</v>
      </c>
      <c r="K179" s="11">
        <v>0</v>
      </c>
      <c r="L179" s="11">
        <v>0</v>
      </c>
      <c r="M179" s="11">
        <v>0</v>
      </c>
      <c r="N179" s="11">
        <v>1.37507448320117E-2</v>
      </c>
      <c r="O179" s="11">
        <v>1.1250703168948099E-2</v>
      </c>
      <c r="P179" s="11">
        <v>3.3947788301592198E-3</v>
      </c>
      <c r="Q179" s="11">
        <v>2.7492920572952501E-3</v>
      </c>
      <c r="R179" s="11">
        <v>2.2441148089136199E-3</v>
      </c>
      <c r="S179" s="11">
        <v>0</v>
      </c>
      <c r="T179" s="11">
        <v>0</v>
      </c>
      <c r="U179">
        <v>6.0840203206278696E-3</v>
      </c>
      <c r="V179">
        <v>0</v>
      </c>
      <c r="W179">
        <v>2.6668088964744798E-3</v>
      </c>
      <c r="X179">
        <v>0</v>
      </c>
      <c r="Y179">
        <v>2.9264581077521898E-3</v>
      </c>
      <c r="Z179">
        <v>0</v>
      </c>
      <c r="AA179">
        <v>4.4949880882815697E-3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2.2984278753332699E-3</v>
      </c>
      <c r="AJ179">
        <v>0</v>
      </c>
      <c r="AK179">
        <v>0</v>
      </c>
      <c r="AL179">
        <v>3.5844863431070302E-3</v>
      </c>
      <c r="AM179">
        <v>0</v>
      </c>
    </row>
    <row r="180" spans="1:39" customFormat="1" hidden="1" x14ac:dyDescent="0.3">
      <c r="A180" t="s">
        <v>1581</v>
      </c>
      <c r="B180" t="s">
        <v>30</v>
      </c>
      <c r="C180" t="s">
        <v>111</v>
      </c>
      <c r="D180" t="s">
        <v>141</v>
      </c>
      <c r="E180" t="s">
        <v>140</v>
      </c>
      <c r="F180" t="s">
        <v>206</v>
      </c>
      <c r="G180" t="s">
        <v>1580</v>
      </c>
      <c r="H180" s="16">
        <v>0</v>
      </c>
      <c r="I180" s="11">
        <v>3.6565745209887401E-3</v>
      </c>
      <c r="J180" s="11">
        <v>0</v>
      </c>
      <c r="K180" s="11">
        <v>0</v>
      </c>
      <c r="L180" s="11">
        <v>0</v>
      </c>
      <c r="M180" s="11">
        <v>0</v>
      </c>
      <c r="N180" s="11">
        <v>0</v>
      </c>
      <c r="O180" s="11">
        <v>3.75023438964935E-3</v>
      </c>
      <c r="P180" s="11">
        <v>0</v>
      </c>
      <c r="Q180" s="11">
        <v>0</v>
      </c>
      <c r="R180" s="11">
        <v>0</v>
      </c>
      <c r="S180" s="11">
        <v>0</v>
      </c>
      <c r="T180" s="11">
        <v>3.3464962184592698E-3</v>
      </c>
      <c r="U180">
        <v>0</v>
      </c>
      <c r="V180">
        <v>3.6144142841652502E-3</v>
      </c>
      <c r="W180">
        <v>0</v>
      </c>
      <c r="X180">
        <v>2.5697031992804799E-2</v>
      </c>
      <c r="Y180">
        <v>0</v>
      </c>
      <c r="Z180">
        <v>0</v>
      </c>
      <c r="AA180">
        <v>4.4949880882815697E-3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3.5844863431070302E-3</v>
      </c>
      <c r="AM180">
        <v>0</v>
      </c>
    </row>
    <row r="181" spans="1:39" customFormat="1" hidden="1" x14ac:dyDescent="0.3">
      <c r="A181" t="s">
        <v>1574</v>
      </c>
      <c r="B181" t="s">
        <v>30</v>
      </c>
      <c r="C181" t="s">
        <v>81</v>
      </c>
      <c r="D181" t="s">
        <v>85</v>
      </c>
      <c r="E181" t="s">
        <v>84</v>
      </c>
      <c r="F181" t="s">
        <v>84</v>
      </c>
      <c r="G181" t="s">
        <v>84</v>
      </c>
      <c r="H181" s="16">
        <v>7.9008649367930797E-2</v>
      </c>
      <c r="I181" s="11">
        <v>0</v>
      </c>
      <c r="J181" s="11">
        <v>1.30781638257989E-2</v>
      </c>
      <c r="K181" s="11">
        <v>5.6589893045102101E-3</v>
      </c>
      <c r="L181" s="11">
        <v>3.3018556428712903E-2</v>
      </c>
      <c r="M181" s="11">
        <v>3.5488679111363502E-3</v>
      </c>
      <c r="N181" s="11">
        <v>4.5835816106705798E-3</v>
      </c>
      <c r="O181" s="11">
        <v>0</v>
      </c>
      <c r="P181" s="11">
        <v>1.01843364904776E-2</v>
      </c>
      <c r="Q181" s="11">
        <v>8.2478761718857395E-3</v>
      </c>
      <c r="R181" s="11">
        <v>4.4882296178272501E-3</v>
      </c>
      <c r="S181" s="11">
        <v>1.49298297999403E-2</v>
      </c>
      <c r="T181" s="11">
        <v>0</v>
      </c>
      <c r="U181">
        <v>3.04201016031394E-3</v>
      </c>
      <c r="V181">
        <v>0</v>
      </c>
      <c r="W181">
        <v>0</v>
      </c>
      <c r="X181">
        <v>6.4242579982012101E-3</v>
      </c>
      <c r="Y181">
        <v>5.8529162155043701E-3</v>
      </c>
      <c r="Z181">
        <v>0</v>
      </c>
      <c r="AA181">
        <v>4.4949880882815697E-3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4.5968557506665397E-3</v>
      </c>
      <c r="AJ181">
        <v>7.1831340013647996E-3</v>
      </c>
      <c r="AK181">
        <v>0</v>
      </c>
      <c r="AL181">
        <v>3.5844863431070302E-3</v>
      </c>
      <c r="AM181">
        <v>0</v>
      </c>
    </row>
    <row r="182" spans="1:39" customFormat="1" hidden="1" x14ac:dyDescent="0.3">
      <c r="A182" t="s">
        <v>1559</v>
      </c>
      <c r="B182" t="s">
        <v>30</v>
      </c>
      <c r="C182" t="s">
        <v>35</v>
      </c>
      <c r="D182" t="s">
        <v>35</v>
      </c>
      <c r="E182" t="s">
        <v>128</v>
      </c>
      <c r="F182" t="s">
        <v>127</v>
      </c>
      <c r="G182" t="s">
        <v>1558</v>
      </c>
      <c r="H182" s="16">
        <v>2.4950099800399202E-2</v>
      </c>
      <c r="I182" s="11">
        <v>0</v>
      </c>
      <c r="J182" s="11">
        <v>0</v>
      </c>
      <c r="K182" s="11">
        <v>0.215041593571388</v>
      </c>
      <c r="L182" s="11">
        <v>6.6037112857425901E-3</v>
      </c>
      <c r="M182" s="11">
        <v>4.2586414933636199E-2</v>
      </c>
      <c r="N182" s="11">
        <v>9.1671632213411597E-3</v>
      </c>
      <c r="O182" s="11">
        <v>0</v>
      </c>
      <c r="P182" s="11">
        <v>2.37634518111145E-2</v>
      </c>
      <c r="Q182" s="11">
        <v>2.7492920572952501E-3</v>
      </c>
      <c r="R182" s="11">
        <v>0</v>
      </c>
      <c r="S182" s="11">
        <v>4.9766099333134299E-3</v>
      </c>
      <c r="T182" s="11">
        <v>0</v>
      </c>
      <c r="U182">
        <v>0</v>
      </c>
      <c r="V182">
        <v>0</v>
      </c>
      <c r="W182">
        <v>0</v>
      </c>
      <c r="X182">
        <v>0</v>
      </c>
      <c r="Y182">
        <v>8.7793743232565599E-3</v>
      </c>
      <c r="Z182">
        <v>0</v>
      </c>
      <c r="AA182">
        <v>4.4949880882815697E-3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</row>
    <row r="183" spans="1:39" customFormat="1" hidden="1" x14ac:dyDescent="0.3">
      <c r="A183" t="s">
        <v>1532</v>
      </c>
      <c r="B183" t="s">
        <v>30</v>
      </c>
      <c r="C183" t="s">
        <v>29</v>
      </c>
      <c r="D183" t="s">
        <v>28</v>
      </c>
      <c r="E183" t="s">
        <v>27</v>
      </c>
      <c r="F183" t="s">
        <v>26</v>
      </c>
      <c r="G183" t="s">
        <v>25</v>
      </c>
      <c r="H183" s="16">
        <v>0</v>
      </c>
      <c r="I183" s="11">
        <v>0</v>
      </c>
      <c r="J183" s="11">
        <v>0</v>
      </c>
      <c r="K183" s="11">
        <v>0</v>
      </c>
      <c r="L183" s="11">
        <v>0</v>
      </c>
      <c r="M183" s="11">
        <v>0</v>
      </c>
      <c r="N183" s="11">
        <v>9.1671632213411597E-3</v>
      </c>
      <c r="O183" s="11">
        <v>1.1250703168948099E-2</v>
      </c>
      <c r="P183" s="11">
        <v>0</v>
      </c>
      <c r="Q183" s="11">
        <v>1.64957523437715E-2</v>
      </c>
      <c r="R183" s="11">
        <v>4.4882296178272501E-3</v>
      </c>
      <c r="S183" s="11">
        <v>4.9766099333134299E-3</v>
      </c>
      <c r="T183" s="11">
        <v>1.67324810922964E-2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4.4949880882815697E-3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2.2984278753332699E-3</v>
      </c>
      <c r="AJ183">
        <v>3.5915670006823998E-3</v>
      </c>
      <c r="AK183">
        <v>0</v>
      </c>
      <c r="AL183">
        <v>0</v>
      </c>
      <c r="AM183">
        <v>0</v>
      </c>
    </row>
    <row r="184" spans="1:39" customFormat="1" hidden="1" x14ac:dyDescent="0.3">
      <c r="A184" t="s">
        <v>1507</v>
      </c>
      <c r="B184" t="s">
        <v>30</v>
      </c>
      <c r="C184" t="s">
        <v>81</v>
      </c>
      <c r="D184" t="s">
        <v>85</v>
      </c>
      <c r="E184" t="s">
        <v>287</v>
      </c>
      <c r="F184" t="s">
        <v>286</v>
      </c>
      <c r="G184" t="s">
        <v>286</v>
      </c>
      <c r="H184" s="16">
        <v>4.1583499667332E-3</v>
      </c>
      <c r="I184" s="11">
        <v>1.8282872604943701E-2</v>
      </c>
      <c r="J184" s="11">
        <v>2.6156327651597699E-2</v>
      </c>
      <c r="K184" s="11">
        <v>5.6589893045102101E-3</v>
      </c>
      <c r="L184" s="11">
        <v>1.3207422571485199E-2</v>
      </c>
      <c r="M184" s="11">
        <v>7.0977358222727004E-3</v>
      </c>
      <c r="N184" s="11">
        <v>3.6668652885364597E-2</v>
      </c>
      <c r="O184" s="11">
        <v>6.00037502343896E-2</v>
      </c>
      <c r="P184" s="11">
        <v>0</v>
      </c>
      <c r="Q184" s="11">
        <v>2.1994336458362001E-2</v>
      </c>
      <c r="R184" s="11">
        <v>1.3464688853481699E-2</v>
      </c>
      <c r="S184" s="11">
        <v>0</v>
      </c>
      <c r="T184" s="11">
        <v>6.69299243691855E-3</v>
      </c>
      <c r="U184">
        <v>0</v>
      </c>
      <c r="V184">
        <v>3.6144142841652502E-3</v>
      </c>
      <c r="W184">
        <v>2.6668088964744798E-3</v>
      </c>
      <c r="X184">
        <v>0</v>
      </c>
      <c r="Y184">
        <v>0</v>
      </c>
      <c r="Z184">
        <v>3.1774275546517499E-3</v>
      </c>
      <c r="AA184">
        <v>4.4949880882815697E-3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3.5915670006823998E-3</v>
      </c>
      <c r="AK184">
        <v>0</v>
      </c>
      <c r="AL184">
        <v>0</v>
      </c>
      <c r="AM184">
        <v>0</v>
      </c>
    </row>
    <row r="185" spans="1:39" customFormat="1" hidden="1" x14ac:dyDescent="0.3">
      <c r="A185" t="s">
        <v>1504</v>
      </c>
      <c r="B185" t="s">
        <v>30</v>
      </c>
      <c r="C185" t="s">
        <v>526</v>
      </c>
      <c r="D185" t="s">
        <v>525</v>
      </c>
      <c r="E185" t="s">
        <v>524</v>
      </c>
      <c r="F185" t="s">
        <v>523</v>
      </c>
      <c r="G185" t="s">
        <v>522</v>
      </c>
      <c r="H185" s="16">
        <v>1.2475049900199601E-2</v>
      </c>
      <c r="I185" s="11">
        <v>1.09697235629662E-2</v>
      </c>
      <c r="J185" s="11">
        <v>4.3593879419329502E-3</v>
      </c>
      <c r="K185" s="11">
        <v>1.1317978609020399E-2</v>
      </c>
      <c r="L185" s="11">
        <v>3.3018556428712903E-2</v>
      </c>
      <c r="M185" s="11">
        <v>7.0977358222727004E-3</v>
      </c>
      <c r="N185" s="11">
        <v>3.2085071274694003E-2</v>
      </c>
      <c r="O185" s="11">
        <v>1.1250703168948099E-2</v>
      </c>
      <c r="P185" s="11">
        <v>1.01843364904776E-2</v>
      </c>
      <c r="Q185" s="11">
        <v>5.4985841145904898E-3</v>
      </c>
      <c r="R185" s="11">
        <v>1.3464688853481699E-2</v>
      </c>
      <c r="S185" s="11">
        <v>4.9766099333134299E-3</v>
      </c>
      <c r="T185" s="11">
        <v>1.33859848738371E-2</v>
      </c>
      <c r="U185">
        <v>0</v>
      </c>
      <c r="V185">
        <v>3.6144142841652502E-3</v>
      </c>
      <c r="W185">
        <v>0</v>
      </c>
      <c r="X185">
        <v>6.4242579982012101E-3</v>
      </c>
      <c r="Y185">
        <v>0</v>
      </c>
      <c r="Z185">
        <v>0</v>
      </c>
      <c r="AA185">
        <v>4.4949880882815697E-3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2.2984278753332699E-3</v>
      </c>
      <c r="AJ185">
        <v>0</v>
      </c>
      <c r="AK185">
        <v>0</v>
      </c>
      <c r="AL185">
        <v>0</v>
      </c>
      <c r="AM185">
        <v>0</v>
      </c>
    </row>
    <row r="186" spans="1:39" customFormat="1" hidden="1" x14ac:dyDescent="0.3">
      <c r="A186" t="s">
        <v>1499</v>
      </c>
      <c r="B186" t="s">
        <v>30</v>
      </c>
      <c r="C186" t="s">
        <v>526</v>
      </c>
      <c r="D186" t="s">
        <v>525</v>
      </c>
      <c r="E186" t="s">
        <v>524</v>
      </c>
      <c r="F186" t="s">
        <v>523</v>
      </c>
      <c r="G186" t="s">
        <v>522</v>
      </c>
      <c r="H186" s="16">
        <v>4.1583499667332E-3</v>
      </c>
      <c r="I186" s="11">
        <v>7.3131490419774802E-3</v>
      </c>
      <c r="J186" s="11">
        <v>0</v>
      </c>
      <c r="K186" s="11">
        <v>0</v>
      </c>
      <c r="L186" s="11">
        <v>6.6037112857425901E-3</v>
      </c>
      <c r="M186" s="11">
        <v>3.5488679111363502E-3</v>
      </c>
      <c r="N186" s="11">
        <v>9.1671632213411597E-3</v>
      </c>
      <c r="O186" s="11">
        <v>1.50009375585974E-2</v>
      </c>
      <c r="P186" s="11">
        <v>1.01843364904776E-2</v>
      </c>
      <c r="Q186" s="11">
        <v>0</v>
      </c>
      <c r="R186" s="11">
        <v>0</v>
      </c>
      <c r="S186" s="11">
        <v>1.2441524833283601E-2</v>
      </c>
      <c r="T186" s="11">
        <v>6.69299243691855E-3</v>
      </c>
      <c r="U186">
        <v>3.04201016031394E-3</v>
      </c>
      <c r="V186">
        <v>1.0843242852495801E-2</v>
      </c>
      <c r="W186">
        <v>0</v>
      </c>
      <c r="X186">
        <v>6.4242579982012101E-3</v>
      </c>
      <c r="Y186">
        <v>0</v>
      </c>
      <c r="Z186">
        <v>0</v>
      </c>
      <c r="AA186">
        <v>4.4949880882815697E-3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2.2984278753332699E-3</v>
      </c>
      <c r="AJ186">
        <v>0</v>
      </c>
      <c r="AK186">
        <v>0</v>
      </c>
      <c r="AL186">
        <v>3.5844863431070302E-3</v>
      </c>
      <c r="AM186">
        <v>0</v>
      </c>
    </row>
    <row r="187" spans="1:39" customFormat="1" hidden="1" x14ac:dyDescent="0.3">
      <c r="A187" t="s">
        <v>1476</v>
      </c>
      <c r="B187" t="s">
        <v>30</v>
      </c>
      <c r="C187" t="s">
        <v>81</v>
      </c>
      <c r="D187" t="s">
        <v>80</v>
      </c>
      <c r="E187" t="s">
        <v>642</v>
      </c>
      <c r="F187" t="s">
        <v>645</v>
      </c>
      <c r="G187" t="s">
        <v>644</v>
      </c>
      <c r="H187" s="16">
        <v>4.1583499667332E-3</v>
      </c>
      <c r="I187" s="11">
        <v>3.6565745209887401E-3</v>
      </c>
      <c r="J187" s="11">
        <v>4.3593879419329502E-3</v>
      </c>
      <c r="K187" s="11">
        <v>0</v>
      </c>
      <c r="L187" s="11">
        <v>1.3207422571485199E-2</v>
      </c>
      <c r="M187" s="11">
        <v>1.77443395556817E-2</v>
      </c>
      <c r="N187" s="11">
        <v>0</v>
      </c>
      <c r="O187" s="11">
        <v>3.3752109506844201E-2</v>
      </c>
      <c r="P187" s="11">
        <v>3.3947788301592198E-3</v>
      </c>
      <c r="Q187" s="11">
        <v>0</v>
      </c>
      <c r="R187" s="11">
        <v>0</v>
      </c>
      <c r="S187" s="11">
        <v>0</v>
      </c>
      <c r="T187" s="11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4.4949880882815697E-3</v>
      </c>
      <c r="AB187">
        <v>0</v>
      </c>
      <c r="AC187">
        <v>0</v>
      </c>
      <c r="AD187">
        <v>3.14564328405159E-3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</row>
    <row r="188" spans="1:39" customFormat="1" hidden="1" x14ac:dyDescent="0.3">
      <c r="A188" t="s">
        <v>1444</v>
      </c>
      <c r="B188" t="s">
        <v>30</v>
      </c>
      <c r="C188" t="s">
        <v>111</v>
      </c>
      <c r="D188" t="s">
        <v>141</v>
      </c>
      <c r="E188" t="s">
        <v>140</v>
      </c>
      <c r="F188" t="s">
        <v>276</v>
      </c>
      <c r="G188" t="s">
        <v>25</v>
      </c>
      <c r="H188" s="16">
        <v>0</v>
      </c>
      <c r="I188" s="11">
        <v>0</v>
      </c>
      <c r="J188" s="11">
        <v>0</v>
      </c>
      <c r="K188" s="11">
        <v>0</v>
      </c>
      <c r="L188" s="11">
        <v>0</v>
      </c>
      <c r="M188" s="11">
        <v>0</v>
      </c>
      <c r="N188" s="11">
        <v>9.1671632213411597E-2</v>
      </c>
      <c r="O188" s="11">
        <v>3.00018751171948E-2</v>
      </c>
      <c r="P188" s="11">
        <v>0</v>
      </c>
      <c r="Q188" s="11">
        <v>0</v>
      </c>
      <c r="R188" s="11">
        <v>8.9764592356545003E-3</v>
      </c>
      <c r="S188" s="11">
        <v>2.4883049666567102E-3</v>
      </c>
      <c r="T188" s="11">
        <v>0</v>
      </c>
      <c r="U188">
        <v>0</v>
      </c>
      <c r="V188">
        <v>0</v>
      </c>
      <c r="W188">
        <v>2.6668088964744798E-3</v>
      </c>
      <c r="X188">
        <v>0</v>
      </c>
      <c r="Y188">
        <v>2.9264581077521898E-3</v>
      </c>
      <c r="Z188">
        <v>3.1774275546517499E-3</v>
      </c>
      <c r="AA188">
        <v>4.4949880882815697E-3</v>
      </c>
      <c r="AB188">
        <v>0</v>
      </c>
      <c r="AC188">
        <v>0</v>
      </c>
      <c r="AD188">
        <v>0</v>
      </c>
      <c r="AE188">
        <v>0</v>
      </c>
      <c r="AF188">
        <v>5.03372596395852E-3</v>
      </c>
      <c r="AG188">
        <v>2.3469220117815501E-3</v>
      </c>
      <c r="AH188">
        <v>0</v>
      </c>
      <c r="AI188">
        <v>0</v>
      </c>
      <c r="AJ188">
        <v>0</v>
      </c>
      <c r="AK188">
        <v>0</v>
      </c>
      <c r="AL188">
        <v>3.5844863431070302E-3</v>
      </c>
      <c r="AM188">
        <v>0</v>
      </c>
    </row>
    <row r="189" spans="1:39" customFormat="1" hidden="1" x14ac:dyDescent="0.3">
      <c r="A189" t="s">
        <v>1429</v>
      </c>
      <c r="B189" t="s">
        <v>30</v>
      </c>
      <c r="C189" t="s">
        <v>81</v>
      </c>
      <c r="D189" t="s">
        <v>85</v>
      </c>
      <c r="E189" t="s">
        <v>287</v>
      </c>
      <c r="F189" t="s">
        <v>1428</v>
      </c>
      <c r="G189" t="s">
        <v>1427</v>
      </c>
      <c r="H189" s="16">
        <v>2.9108449767132401E-2</v>
      </c>
      <c r="I189" s="11">
        <v>5.85051923358198E-2</v>
      </c>
      <c r="J189" s="11">
        <v>1.7437551767731801E-2</v>
      </c>
      <c r="K189" s="11">
        <v>1.1317978609020399E-2</v>
      </c>
      <c r="L189" s="11">
        <v>6.6037112857425901E-3</v>
      </c>
      <c r="M189" s="11">
        <v>1.0646603733408999E-2</v>
      </c>
      <c r="N189" s="11">
        <v>1.8334326442682299E-2</v>
      </c>
      <c r="O189" s="11">
        <v>1.50009375585974E-2</v>
      </c>
      <c r="P189" s="11">
        <v>3.3947788301592198E-3</v>
      </c>
      <c r="Q189" s="11">
        <v>0</v>
      </c>
      <c r="R189" s="11">
        <v>2.2441148089136199E-3</v>
      </c>
      <c r="S189" s="11">
        <v>0</v>
      </c>
      <c r="T189" s="11">
        <v>3.3464962184592698E-3</v>
      </c>
      <c r="U189">
        <v>6.0840203206278696E-3</v>
      </c>
      <c r="V189">
        <v>0</v>
      </c>
      <c r="W189">
        <v>0</v>
      </c>
      <c r="X189">
        <v>0</v>
      </c>
      <c r="Y189">
        <v>0</v>
      </c>
      <c r="Z189">
        <v>3.1774275546517499E-3</v>
      </c>
      <c r="AA189">
        <v>4.4949880882815697E-3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3.5915670006823998E-3</v>
      </c>
      <c r="AK189">
        <v>0</v>
      </c>
      <c r="AL189">
        <v>0</v>
      </c>
      <c r="AM189">
        <v>0</v>
      </c>
    </row>
    <row r="190" spans="1:39" customFormat="1" hidden="1" x14ac:dyDescent="0.3">
      <c r="A190" t="s">
        <v>1424</v>
      </c>
      <c r="B190" t="s">
        <v>30</v>
      </c>
      <c r="C190" t="s">
        <v>111</v>
      </c>
      <c r="D190" t="s">
        <v>141</v>
      </c>
      <c r="E190" t="s">
        <v>140</v>
      </c>
      <c r="F190" t="s">
        <v>199</v>
      </c>
      <c r="G190" t="s">
        <v>1423</v>
      </c>
      <c r="H190" s="16">
        <v>8.3166999334664E-3</v>
      </c>
      <c r="I190" s="11">
        <v>7.3131490419774802E-3</v>
      </c>
      <c r="J190" s="11">
        <v>0</v>
      </c>
      <c r="K190" s="11">
        <v>5.6589893045102101E-3</v>
      </c>
      <c r="L190" s="11">
        <v>3.3018556428712903E-2</v>
      </c>
      <c r="M190" s="11">
        <v>7.0977358222727004E-3</v>
      </c>
      <c r="N190" s="11">
        <v>2.2917908053352899E-2</v>
      </c>
      <c r="O190" s="11">
        <v>1.1250703168948099E-2</v>
      </c>
      <c r="P190" s="11">
        <v>0</v>
      </c>
      <c r="Q190" s="11">
        <v>5.4985841145904898E-3</v>
      </c>
      <c r="R190" s="11">
        <v>4.4882296178272501E-3</v>
      </c>
      <c r="S190" s="11">
        <v>7.4649148999701397E-3</v>
      </c>
      <c r="T190" s="11">
        <v>3.3464962184592698E-3</v>
      </c>
      <c r="U190">
        <v>0</v>
      </c>
      <c r="V190">
        <v>3.6144142841652502E-3</v>
      </c>
      <c r="W190">
        <v>2.6668088964744798E-3</v>
      </c>
      <c r="X190">
        <v>0</v>
      </c>
      <c r="Y190">
        <v>0</v>
      </c>
      <c r="Z190">
        <v>3.1774275546517499E-3</v>
      </c>
      <c r="AA190">
        <v>4.4949880882815697E-3</v>
      </c>
      <c r="AB190">
        <v>0</v>
      </c>
      <c r="AC190">
        <v>7.1911405148856597E-3</v>
      </c>
      <c r="AD190">
        <v>0</v>
      </c>
      <c r="AE190">
        <v>0</v>
      </c>
      <c r="AF190">
        <v>0</v>
      </c>
      <c r="AG190">
        <v>0</v>
      </c>
      <c r="AH190">
        <v>4.6410173109945703E-3</v>
      </c>
      <c r="AI190">
        <v>0</v>
      </c>
      <c r="AJ190">
        <v>0</v>
      </c>
      <c r="AK190">
        <v>0</v>
      </c>
      <c r="AL190">
        <v>0</v>
      </c>
      <c r="AM190">
        <v>0</v>
      </c>
    </row>
    <row r="191" spans="1:39" customFormat="1" hidden="1" x14ac:dyDescent="0.3">
      <c r="A191" t="s">
        <v>1403</v>
      </c>
      <c r="B191" t="s">
        <v>30</v>
      </c>
      <c r="C191" t="s">
        <v>81</v>
      </c>
      <c r="D191" t="s">
        <v>85</v>
      </c>
      <c r="E191" t="s">
        <v>287</v>
      </c>
      <c r="F191" t="s">
        <v>1402</v>
      </c>
      <c r="G191" t="s">
        <v>1401</v>
      </c>
      <c r="H191" s="16">
        <v>0</v>
      </c>
      <c r="I191" s="11">
        <v>0</v>
      </c>
      <c r="J191" s="11">
        <v>0</v>
      </c>
      <c r="K191" s="11">
        <v>0</v>
      </c>
      <c r="L191" s="11">
        <v>0</v>
      </c>
      <c r="M191" s="11">
        <v>0</v>
      </c>
      <c r="N191" s="11">
        <v>4.5835816106705798E-3</v>
      </c>
      <c r="O191" s="11">
        <v>3.75023438964935E-3</v>
      </c>
      <c r="P191" s="11">
        <v>6.78955766031843E-3</v>
      </c>
      <c r="Q191" s="11">
        <v>1.64957523437715E-2</v>
      </c>
      <c r="R191" s="11">
        <v>1.5708803662395399E-2</v>
      </c>
      <c r="S191" s="11">
        <v>4.9766099333134299E-3</v>
      </c>
      <c r="T191" s="11">
        <v>1.00394886553778E-2</v>
      </c>
      <c r="U191">
        <v>0</v>
      </c>
      <c r="V191">
        <v>0</v>
      </c>
      <c r="W191">
        <v>2.6668088964744798E-3</v>
      </c>
      <c r="X191">
        <v>0</v>
      </c>
      <c r="Y191">
        <v>2.9264581077521898E-3</v>
      </c>
      <c r="Z191">
        <v>3.1774275546517499E-3</v>
      </c>
      <c r="AA191">
        <v>4.4949880882815697E-3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3.5915670006823998E-3</v>
      </c>
      <c r="AK191">
        <v>0</v>
      </c>
      <c r="AL191">
        <v>0</v>
      </c>
      <c r="AM191">
        <v>0</v>
      </c>
    </row>
    <row r="192" spans="1:39" customFormat="1" hidden="1" x14ac:dyDescent="0.3">
      <c r="A192" t="s">
        <v>1382</v>
      </c>
      <c r="B192" t="s">
        <v>30</v>
      </c>
      <c r="C192" t="s">
        <v>81</v>
      </c>
      <c r="D192" t="s">
        <v>85</v>
      </c>
      <c r="E192" t="s">
        <v>84</v>
      </c>
      <c r="F192" t="s">
        <v>84</v>
      </c>
      <c r="G192" t="s">
        <v>84</v>
      </c>
      <c r="H192" s="16">
        <v>0</v>
      </c>
      <c r="I192" s="11">
        <v>0</v>
      </c>
      <c r="J192" s="11">
        <v>0</v>
      </c>
      <c r="K192" s="11">
        <v>0</v>
      </c>
      <c r="L192" s="11">
        <v>0</v>
      </c>
      <c r="M192" s="11">
        <v>0</v>
      </c>
      <c r="N192" s="11">
        <v>0</v>
      </c>
      <c r="O192" s="11">
        <v>0</v>
      </c>
      <c r="P192" s="11">
        <v>0</v>
      </c>
      <c r="Q192" s="11">
        <v>0</v>
      </c>
      <c r="R192" s="11">
        <v>0</v>
      </c>
      <c r="S192" s="11">
        <v>0</v>
      </c>
      <c r="T192" s="11">
        <v>0.18071079579680099</v>
      </c>
      <c r="U192">
        <v>0</v>
      </c>
      <c r="V192">
        <v>0</v>
      </c>
      <c r="W192">
        <v>0</v>
      </c>
      <c r="X192">
        <v>6.4242579982012101E-3</v>
      </c>
      <c r="Y192">
        <v>0</v>
      </c>
      <c r="Z192">
        <v>0</v>
      </c>
      <c r="AA192">
        <v>4.4949880882815697E-3</v>
      </c>
      <c r="AB192">
        <v>0</v>
      </c>
      <c r="AC192">
        <v>0</v>
      </c>
      <c r="AD192">
        <v>0</v>
      </c>
      <c r="AE192">
        <v>0</v>
      </c>
      <c r="AF192">
        <v>5.03372596395852E-3</v>
      </c>
      <c r="AG192">
        <v>0</v>
      </c>
      <c r="AH192">
        <v>0</v>
      </c>
      <c r="AI192">
        <v>0</v>
      </c>
      <c r="AJ192">
        <v>3.5915670006823998E-3</v>
      </c>
      <c r="AK192">
        <v>0</v>
      </c>
      <c r="AL192">
        <v>0</v>
      </c>
      <c r="AM192">
        <v>0</v>
      </c>
    </row>
    <row r="193" spans="1:39" customFormat="1" hidden="1" x14ac:dyDescent="0.3">
      <c r="A193" t="s">
        <v>1379</v>
      </c>
      <c r="B193" t="s">
        <v>30</v>
      </c>
      <c r="C193" t="s">
        <v>81</v>
      </c>
      <c r="D193" t="s">
        <v>85</v>
      </c>
      <c r="E193" t="s">
        <v>84</v>
      </c>
      <c r="F193" t="s">
        <v>84</v>
      </c>
      <c r="G193" t="s">
        <v>84</v>
      </c>
      <c r="H193" s="16">
        <v>4.1583499667332E-3</v>
      </c>
      <c r="I193" s="11">
        <v>0</v>
      </c>
      <c r="J193" s="11">
        <v>0</v>
      </c>
      <c r="K193" s="11">
        <v>1.1317978609020399E-2</v>
      </c>
      <c r="L193" s="11">
        <v>6.6037112857425901E-3</v>
      </c>
      <c r="M193" s="11">
        <v>0</v>
      </c>
      <c r="N193" s="11">
        <v>0</v>
      </c>
      <c r="O193" s="11">
        <v>3.75023438964935E-3</v>
      </c>
      <c r="P193" s="11">
        <v>3.7342567131751402E-2</v>
      </c>
      <c r="Q193" s="11">
        <v>1.3746460286476201E-2</v>
      </c>
      <c r="R193" s="11">
        <v>2.2441148089136199E-3</v>
      </c>
      <c r="S193" s="11">
        <v>1.7418134766596999E-2</v>
      </c>
      <c r="T193" s="11">
        <v>0</v>
      </c>
      <c r="U193">
        <v>3.04201016031394E-3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4.4949880882815697E-3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6.02700096432015E-3</v>
      </c>
      <c r="AL193">
        <v>0</v>
      </c>
      <c r="AM193">
        <v>0</v>
      </c>
    </row>
    <row r="194" spans="1:39" customFormat="1" hidden="1" x14ac:dyDescent="0.3">
      <c r="A194" t="s">
        <v>1367</v>
      </c>
      <c r="B194" t="s">
        <v>30</v>
      </c>
      <c r="C194" t="s">
        <v>81</v>
      </c>
      <c r="D194" t="s">
        <v>80</v>
      </c>
      <c r="E194" t="s">
        <v>642</v>
      </c>
      <c r="F194" t="s">
        <v>645</v>
      </c>
      <c r="G194" t="s">
        <v>644</v>
      </c>
      <c r="H194" s="16">
        <v>0</v>
      </c>
      <c r="I194" s="11">
        <v>0</v>
      </c>
      <c r="J194" s="11">
        <v>0</v>
      </c>
      <c r="K194" s="11">
        <v>0</v>
      </c>
      <c r="L194" s="11">
        <v>6.6037112857425901E-3</v>
      </c>
      <c r="M194" s="11">
        <v>0</v>
      </c>
      <c r="N194" s="11">
        <v>9.1671632213411597E-3</v>
      </c>
      <c r="O194" s="11">
        <v>0</v>
      </c>
      <c r="P194" s="11">
        <v>0</v>
      </c>
      <c r="Q194" s="11">
        <v>0</v>
      </c>
      <c r="R194" s="11">
        <v>0</v>
      </c>
      <c r="S194" s="11">
        <v>0</v>
      </c>
      <c r="T194" s="11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4.4949880882815697E-3</v>
      </c>
      <c r="AB194">
        <v>4.5118209709438702E-3</v>
      </c>
      <c r="AC194">
        <v>0</v>
      </c>
      <c r="AD194">
        <v>3.14564328405159E-3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</row>
    <row r="195" spans="1:39" customFormat="1" hidden="1" x14ac:dyDescent="0.3">
      <c r="A195" t="s">
        <v>1354</v>
      </c>
      <c r="B195" t="s">
        <v>30</v>
      </c>
      <c r="C195" t="s">
        <v>81</v>
      </c>
      <c r="D195" t="s">
        <v>80</v>
      </c>
      <c r="E195" t="s">
        <v>618</v>
      </c>
      <c r="F195" t="s">
        <v>629</v>
      </c>
      <c r="G195" t="s">
        <v>1353</v>
      </c>
      <c r="H195" s="16">
        <v>2.4950099800399202E-2</v>
      </c>
      <c r="I195" s="11">
        <v>2.1939447125932401E-2</v>
      </c>
      <c r="J195" s="11">
        <v>3.4875103535463602E-2</v>
      </c>
      <c r="K195" s="11">
        <v>1.6976967913530601E-2</v>
      </c>
      <c r="L195" s="11">
        <v>6.6037112857425901E-3</v>
      </c>
      <c r="M195" s="11">
        <v>1.0646603733408999E-2</v>
      </c>
      <c r="N195" s="11">
        <v>1.37507448320117E-2</v>
      </c>
      <c r="O195" s="11">
        <v>3.7502343896493498E-2</v>
      </c>
      <c r="P195" s="11">
        <v>3.0553009471432899E-2</v>
      </c>
      <c r="Q195" s="11">
        <v>1.92450444010667E-2</v>
      </c>
      <c r="R195" s="11">
        <v>4.4882296178272501E-3</v>
      </c>
      <c r="S195" s="11">
        <v>0</v>
      </c>
      <c r="T195" s="11">
        <v>0</v>
      </c>
      <c r="U195">
        <v>0</v>
      </c>
      <c r="V195">
        <v>3.6144142841652502E-3</v>
      </c>
      <c r="W195">
        <v>0</v>
      </c>
      <c r="X195">
        <v>0</v>
      </c>
      <c r="Y195">
        <v>2.9264581077521898E-3</v>
      </c>
      <c r="Z195">
        <v>0</v>
      </c>
      <c r="AA195">
        <v>4.4949880882815697E-3</v>
      </c>
      <c r="AB195">
        <v>0</v>
      </c>
      <c r="AC195">
        <v>7.1911405148856597E-3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</row>
    <row r="196" spans="1:39" customFormat="1" hidden="1" x14ac:dyDescent="0.3">
      <c r="A196" t="s">
        <v>1352</v>
      </c>
      <c r="B196" t="s">
        <v>30</v>
      </c>
      <c r="C196" t="s">
        <v>81</v>
      </c>
      <c r="D196" t="s">
        <v>80</v>
      </c>
      <c r="E196" t="s">
        <v>642</v>
      </c>
      <c r="F196" t="s">
        <v>641</v>
      </c>
      <c r="G196" t="s">
        <v>640</v>
      </c>
      <c r="H196" s="16">
        <v>2.4950099800399202E-2</v>
      </c>
      <c r="I196" s="11">
        <v>2.1939447125932401E-2</v>
      </c>
      <c r="J196" s="11">
        <v>4.3593879419329502E-3</v>
      </c>
      <c r="K196" s="11">
        <v>2.26359572180409E-2</v>
      </c>
      <c r="L196" s="11">
        <v>4.6225979000198099E-2</v>
      </c>
      <c r="M196" s="11">
        <v>0</v>
      </c>
      <c r="N196" s="11">
        <v>3.6668652885364597E-2</v>
      </c>
      <c r="O196" s="11">
        <v>4.1252578286142899E-2</v>
      </c>
      <c r="P196" s="11">
        <v>3.3947788301592198E-3</v>
      </c>
      <c r="Q196" s="11">
        <v>5.4985841145904898E-3</v>
      </c>
      <c r="R196" s="11">
        <v>6.7323444267408704E-3</v>
      </c>
      <c r="S196" s="11">
        <v>0</v>
      </c>
      <c r="T196" s="11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4.4949880882815697E-3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</row>
    <row r="197" spans="1:39" customFormat="1" hidden="1" x14ac:dyDescent="0.3">
      <c r="A197" t="s">
        <v>1348</v>
      </c>
      <c r="B197" t="s">
        <v>30</v>
      </c>
      <c r="C197" t="s">
        <v>111</v>
      </c>
      <c r="D197" t="s">
        <v>141</v>
      </c>
      <c r="E197" t="s">
        <v>140</v>
      </c>
      <c r="F197" t="s">
        <v>206</v>
      </c>
      <c r="G197" t="s">
        <v>1347</v>
      </c>
      <c r="H197" s="16">
        <v>0</v>
      </c>
      <c r="I197" s="11">
        <v>0</v>
      </c>
      <c r="J197" s="11">
        <v>0</v>
      </c>
      <c r="K197" s="11">
        <v>0</v>
      </c>
      <c r="L197" s="11">
        <v>0</v>
      </c>
      <c r="M197" s="11">
        <v>0</v>
      </c>
      <c r="N197" s="11">
        <v>1.37507448320117E-2</v>
      </c>
      <c r="O197" s="11">
        <v>1.1250703168948099E-2</v>
      </c>
      <c r="P197" s="11">
        <v>0</v>
      </c>
      <c r="Q197" s="11">
        <v>2.7492920572952501E-3</v>
      </c>
      <c r="R197" s="11">
        <v>1.12205740445681E-2</v>
      </c>
      <c r="S197" s="11">
        <v>1.2441524833283601E-2</v>
      </c>
      <c r="T197" s="11">
        <v>1.67324810922964E-2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6.3548551093035102E-3</v>
      </c>
      <c r="AA197">
        <v>4.4949880882815697E-3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3.5844863431070302E-3</v>
      </c>
      <c r="AM197">
        <v>0</v>
      </c>
    </row>
    <row r="198" spans="1:39" customFormat="1" hidden="1" x14ac:dyDescent="0.3">
      <c r="A198" t="s">
        <v>1344</v>
      </c>
      <c r="B198" t="s">
        <v>30</v>
      </c>
      <c r="C198" t="s">
        <v>111</v>
      </c>
      <c r="D198" t="s">
        <v>141</v>
      </c>
      <c r="E198" t="s">
        <v>140</v>
      </c>
      <c r="F198" t="s">
        <v>206</v>
      </c>
      <c r="G198" t="s">
        <v>609</v>
      </c>
      <c r="H198" s="16">
        <v>0</v>
      </c>
      <c r="I198" s="11">
        <v>0</v>
      </c>
      <c r="J198" s="11">
        <v>4.3593879419329502E-3</v>
      </c>
      <c r="K198" s="11">
        <v>2.8294946522551101E-2</v>
      </c>
      <c r="L198" s="11">
        <v>6.6037112857425901E-3</v>
      </c>
      <c r="M198" s="11">
        <v>3.5488679111363502E-3</v>
      </c>
      <c r="N198" s="11">
        <v>8.7088050602740996E-2</v>
      </c>
      <c r="O198" s="11">
        <v>0.120007500468779</v>
      </c>
      <c r="P198" s="11">
        <v>0</v>
      </c>
      <c r="Q198" s="11">
        <v>0</v>
      </c>
      <c r="R198" s="11">
        <v>2.2441148089136199E-3</v>
      </c>
      <c r="S198" s="11">
        <v>0</v>
      </c>
      <c r="T198" s="11">
        <v>0</v>
      </c>
      <c r="U198">
        <v>0</v>
      </c>
      <c r="V198">
        <v>0</v>
      </c>
      <c r="W198">
        <v>0</v>
      </c>
      <c r="X198">
        <v>6.4242579982012101E-3</v>
      </c>
      <c r="Y198">
        <v>0</v>
      </c>
      <c r="Z198">
        <v>3.1774275546517499E-3</v>
      </c>
      <c r="AA198">
        <v>4.4949880882815697E-3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</row>
    <row r="199" spans="1:39" customFormat="1" hidden="1" x14ac:dyDescent="0.3">
      <c r="A199" t="s">
        <v>1341</v>
      </c>
      <c r="B199" t="s">
        <v>30</v>
      </c>
      <c r="C199" t="s">
        <v>111</v>
      </c>
      <c r="D199" t="s">
        <v>141</v>
      </c>
      <c r="E199" t="s">
        <v>140</v>
      </c>
      <c r="F199" t="s">
        <v>604</v>
      </c>
      <c r="G199" t="s">
        <v>604</v>
      </c>
      <c r="H199" s="16">
        <v>4.1583499667332E-3</v>
      </c>
      <c r="I199" s="11">
        <v>0</v>
      </c>
      <c r="J199" s="11">
        <v>0</v>
      </c>
      <c r="K199" s="11">
        <v>0</v>
      </c>
      <c r="L199" s="11">
        <v>6.6037112857425901E-3</v>
      </c>
      <c r="M199" s="11">
        <v>3.5488679111363502E-3</v>
      </c>
      <c r="N199" s="11">
        <v>9.1671632213411597E-3</v>
      </c>
      <c r="O199" s="11">
        <v>3.75023438964935E-3</v>
      </c>
      <c r="P199" s="11">
        <v>0</v>
      </c>
      <c r="Q199" s="11">
        <v>0</v>
      </c>
      <c r="R199" s="11">
        <v>6.7323444267408704E-3</v>
      </c>
      <c r="S199" s="11">
        <v>2.4883049666567102E-3</v>
      </c>
      <c r="T199" s="11">
        <v>3.3464962184592698E-3</v>
      </c>
      <c r="U199">
        <v>0</v>
      </c>
      <c r="V199">
        <v>0</v>
      </c>
      <c r="W199">
        <v>0</v>
      </c>
      <c r="X199">
        <v>6.4242579982012101E-3</v>
      </c>
      <c r="Y199">
        <v>0</v>
      </c>
      <c r="Z199">
        <v>0</v>
      </c>
      <c r="AA199">
        <v>4.4949880882815697E-3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7.1831340013647996E-3</v>
      </c>
      <c r="AK199">
        <v>0</v>
      </c>
      <c r="AL199">
        <v>3.5844863431070302E-3</v>
      </c>
      <c r="AM199">
        <v>0</v>
      </c>
    </row>
    <row r="200" spans="1:39" customFormat="1" hidden="1" x14ac:dyDescent="0.3">
      <c r="A200" t="s">
        <v>1323</v>
      </c>
      <c r="B200" t="s">
        <v>30</v>
      </c>
      <c r="C200" t="s">
        <v>526</v>
      </c>
      <c r="D200" t="s">
        <v>525</v>
      </c>
      <c r="E200" t="s">
        <v>524</v>
      </c>
      <c r="F200" t="s">
        <v>523</v>
      </c>
      <c r="G200" t="s">
        <v>522</v>
      </c>
      <c r="H200" s="16">
        <v>0</v>
      </c>
      <c r="I200" s="11">
        <v>0</v>
      </c>
      <c r="J200" s="11">
        <v>0</v>
      </c>
      <c r="K200" s="11">
        <v>0</v>
      </c>
      <c r="L200" s="11">
        <v>0</v>
      </c>
      <c r="M200" s="11">
        <v>0</v>
      </c>
      <c r="N200" s="11">
        <v>2.2917908053352899E-2</v>
      </c>
      <c r="O200" s="11">
        <v>2.6251640727545499E-2</v>
      </c>
      <c r="P200" s="11">
        <v>1.6973894150796101E-2</v>
      </c>
      <c r="Q200" s="11">
        <v>1.3746460286476201E-2</v>
      </c>
      <c r="R200" s="11">
        <v>2.2441148089136199E-2</v>
      </c>
      <c r="S200" s="11">
        <v>7.4649148999701397E-3</v>
      </c>
      <c r="T200" s="11">
        <v>0</v>
      </c>
      <c r="U200">
        <v>0</v>
      </c>
      <c r="V200">
        <v>0</v>
      </c>
      <c r="W200">
        <v>5.3336177929489597E-3</v>
      </c>
      <c r="X200">
        <v>6.4242579982012101E-3</v>
      </c>
      <c r="Y200">
        <v>0</v>
      </c>
      <c r="Z200">
        <v>0</v>
      </c>
      <c r="AA200">
        <v>4.4949880882815697E-3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</row>
    <row r="201" spans="1:39" customFormat="1" hidden="1" x14ac:dyDescent="0.3">
      <c r="A201" t="s">
        <v>1299</v>
      </c>
      <c r="B201" t="s">
        <v>30</v>
      </c>
      <c r="C201" t="s">
        <v>29</v>
      </c>
      <c r="D201" t="s">
        <v>28</v>
      </c>
      <c r="E201" t="s">
        <v>91</v>
      </c>
      <c r="F201" t="s">
        <v>90</v>
      </c>
      <c r="G201" t="s">
        <v>89</v>
      </c>
      <c r="H201" s="16">
        <v>0</v>
      </c>
      <c r="I201" s="11">
        <v>4.7535468772853598E-2</v>
      </c>
      <c r="J201" s="11">
        <v>8.7187758838659108E-3</v>
      </c>
      <c r="K201" s="11">
        <v>2.8294946522551101E-2</v>
      </c>
      <c r="L201" s="11">
        <v>9.9055669286138806E-2</v>
      </c>
      <c r="M201" s="11">
        <v>3.5488679111363502E-3</v>
      </c>
      <c r="N201" s="11">
        <v>2.75014896640235E-2</v>
      </c>
      <c r="O201" s="11">
        <v>2.2501406337896102E-2</v>
      </c>
      <c r="P201" s="11">
        <v>0</v>
      </c>
      <c r="Q201" s="11">
        <v>1.3746460286476201E-2</v>
      </c>
      <c r="R201" s="11">
        <v>6.7323444267408704E-3</v>
      </c>
      <c r="S201" s="11">
        <v>0</v>
      </c>
      <c r="T201" s="11">
        <v>0</v>
      </c>
      <c r="U201">
        <v>0</v>
      </c>
      <c r="V201">
        <v>0</v>
      </c>
      <c r="W201">
        <v>2.6668088964744798E-3</v>
      </c>
      <c r="X201">
        <v>6.4242579982012101E-3</v>
      </c>
      <c r="Y201">
        <v>0</v>
      </c>
      <c r="Z201">
        <v>0</v>
      </c>
      <c r="AA201">
        <v>4.4949880882815697E-3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7.1831340013647996E-3</v>
      </c>
      <c r="AK201">
        <v>0</v>
      </c>
      <c r="AL201">
        <v>0</v>
      </c>
      <c r="AM201">
        <v>0</v>
      </c>
    </row>
    <row r="202" spans="1:39" customFormat="1" hidden="1" x14ac:dyDescent="0.3">
      <c r="A202" t="s">
        <v>1274</v>
      </c>
      <c r="B202" t="s">
        <v>30</v>
      </c>
      <c r="C202" t="s">
        <v>81</v>
      </c>
      <c r="D202" t="s">
        <v>85</v>
      </c>
      <c r="E202" t="s">
        <v>287</v>
      </c>
      <c r="F202" t="s">
        <v>286</v>
      </c>
      <c r="G202" t="s">
        <v>286</v>
      </c>
      <c r="H202" s="16">
        <v>0</v>
      </c>
      <c r="I202" s="11">
        <v>0</v>
      </c>
      <c r="J202" s="11">
        <v>0</v>
      </c>
      <c r="K202" s="11">
        <v>0</v>
      </c>
      <c r="L202" s="11">
        <v>0</v>
      </c>
      <c r="M202" s="11">
        <v>0</v>
      </c>
      <c r="N202" s="11">
        <v>0</v>
      </c>
      <c r="O202" s="11">
        <v>0</v>
      </c>
      <c r="P202" s="11">
        <v>0</v>
      </c>
      <c r="Q202" s="11">
        <v>0</v>
      </c>
      <c r="R202" s="11">
        <v>2.2441148089136199E-3</v>
      </c>
      <c r="S202" s="11">
        <v>0</v>
      </c>
      <c r="T202" s="11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4.4949880882815697E-3</v>
      </c>
      <c r="AB202">
        <v>0</v>
      </c>
      <c r="AC202">
        <v>0</v>
      </c>
      <c r="AD202">
        <v>0</v>
      </c>
      <c r="AE202">
        <v>0</v>
      </c>
      <c r="AF202">
        <v>1.0067451927917E-2</v>
      </c>
      <c r="AG202">
        <v>0</v>
      </c>
      <c r="AH202">
        <v>0</v>
      </c>
      <c r="AI202">
        <v>2.2984278753332699E-3</v>
      </c>
      <c r="AJ202">
        <v>0</v>
      </c>
      <c r="AK202">
        <v>0</v>
      </c>
      <c r="AL202">
        <v>0</v>
      </c>
      <c r="AM202">
        <v>0</v>
      </c>
    </row>
    <row r="203" spans="1:39" customFormat="1" hidden="1" x14ac:dyDescent="0.3">
      <c r="A203" t="s">
        <v>1270</v>
      </c>
      <c r="B203" t="s">
        <v>30</v>
      </c>
      <c r="C203" t="s">
        <v>81</v>
      </c>
      <c r="D203" t="s">
        <v>85</v>
      </c>
      <c r="E203" t="s">
        <v>287</v>
      </c>
      <c r="F203" t="s">
        <v>1254</v>
      </c>
      <c r="G203" t="s">
        <v>1253</v>
      </c>
      <c r="H203" s="16">
        <v>0</v>
      </c>
      <c r="I203" s="11">
        <v>0</v>
      </c>
      <c r="J203" s="11">
        <v>0</v>
      </c>
      <c r="K203" s="11">
        <v>0</v>
      </c>
      <c r="L203" s="11">
        <v>0</v>
      </c>
      <c r="M203" s="11">
        <v>0</v>
      </c>
      <c r="N203" s="11">
        <v>0</v>
      </c>
      <c r="O203" s="11">
        <v>0</v>
      </c>
      <c r="P203" s="11">
        <v>0</v>
      </c>
      <c r="Q203" s="11">
        <v>5.4985841145904898E-3</v>
      </c>
      <c r="R203" s="11">
        <v>8.9764592356545003E-3</v>
      </c>
      <c r="S203" s="11">
        <v>4.9766099333134299E-3</v>
      </c>
      <c r="T203" s="11">
        <v>3.3464962184592698E-3</v>
      </c>
      <c r="U203">
        <v>0</v>
      </c>
      <c r="V203">
        <v>0</v>
      </c>
      <c r="W203">
        <v>2.6668088964744798E-3</v>
      </c>
      <c r="X203">
        <v>0</v>
      </c>
      <c r="Y203">
        <v>0</v>
      </c>
      <c r="Z203">
        <v>0</v>
      </c>
      <c r="AA203">
        <v>4.4949880882815697E-3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</row>
    <row r="204" spans="1:39" customFormat="1" hidden="1" x14ac:dyDescent="0.3">
      <c r="A204" t="s">
        <v>1264</v>
      </c>
      <c r="B204" t="s">
        <v>30</v>
      </c>
      <c r="C204" t="s">
        <v>81</v>
      </c>
      <c r="D204" t="s">
        <v>85</v>
      </c>
      <c r="E204" t="s">
        <v>287</v>
      </c>
      <c r="F204" t="s">
        <v>1263</v>
      </c>
      <c r="G204" t="s">
        <v>1263</v>
      </c>
      <c r="H204" s="16">
        <v>0</v>
      </c>
      <c r="I204" s="11">
        <v>0</v>
      </c>
      <c r="J204" s="11">
        <v>0</v>
      </c>
      <c r="K204" s="11">
        <v>0</v>
      </c>
      <c r="L204" s="11">
        <v>0</v>
      </c>
      <c r="M204" s="11">
        <v>0</v>
      </c>
      <c r="N204" s="11">
        <v>0.183343264426823</v>
      </c>
      <c r="O204" s="11">
        <v>3.3752109506844201E-2</v>
      </c>
      <c r="P204" s="11">
        <v>0</v>
      </c>
      <c r="Q204" s="11">
        <v>0</v>
      </c>
      <c r="R204" s="11">
        <v>0</v>
      </c>
      <c r="S204" s="11">
        <v>0</v>
      </c>
      <c r="T204" s="11">
        <v>3.3464962184592698E-3</v>
      </c>
      <c r="U204">
        <v>0</v>
      </c>
      <c r="V204">
        <v>0</v>
      </c>
      <c r="W204">
        <v>0</v>
      </c>
      <c r="X204">
        <v>6.4242579982012101E-3</v>
      </c>
      <c r="Y204">
        <v>0</v>
      </c>
      <c r="Z204">
        <v>0</v>
      </c>
      <c r="AA204">
        <v>4.4949880882815697E-3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6.02700096432015E-3</v>
      </c>
      <c r="AL204">
        <v>0</v>
      </c>
      <c r="AM204">
        <v>0</v>
      </c>
    </row>
    <row r="205" spans="1:39" customFormat="1" hidden="1" x14ac:dyDescent="0.3">
      <c r="A205" t="s">
        <v>1262</v>
      </c>
      <c r="B205" t="s">
        <v>30</v>
      </c>
      <c r="C205" t="s">
        <v>29</v>
      </c>
      <c r="D205" t="s">
        <v>28</v>
      </c>
      <c r="E205" t="s">
        <v>91</v>
      </c>
      <c r="F205" t="s">
        <v>1261</v>
      </c>
      <c r="G205" t="s">
        <v>1260</v>
      </c>
      <c r="H205" s="16">
        <v>8.3166999334664E-3</v>
      </c>
      <c r="I205" s="11">
        <v>2.1939447125932401E-2</v>
      </c>
      <c r="J205" s="11">
        <v>0</v>
      </c>
      <c r="K205" s="11">
        <v>2.8294946522551101E-2</v>
      </c>
      <c r="L205" s="11">
        <v>1.9811133857227801E-2</v>
      </c>
      <c r="M205" s="11">
        <v>0</v>
      </c>
      <c r="N205" s="11">
        <v>1.8334326442682299E-2</v>
      </c>
      <c r="O205" s="11">
        <v>1.1250703168948099E-2</v>
      </c>
      <c r="P205" s="11">
        <v>2.7158230641273699E-2</v>
      </c>
      <c r="Q205" s="11">
        <v>5.4985841145904898E-3</v>
      </c>
      <c r="R205" s="11">
        <v>2.2441148089136199E-3</v>
      </c>
      <c r="S205" s="11">
        <v>0</v>
      </c>
      <c r="T205" s="11">
        <v>3.3464962184592698E-3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4.4949880882815697E-3</v>
      </c>
      <c r="AB205">
        <v>0</v>
      </c>
      <c r="AC205">
        <v>0</v>
      </c>
      <c r="AD205">
        <v>3.14564328405159E-3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3.5915670006823998E-3</v>
      </c>
      <c r="AK205">
        <v>6.02700096432015E-3</v>
      </c>
      <c r="AL205">
        <v>3.5844863431070302E-3</v>
      </c>
      <c r="AM205">
        <v>0</v>
      </c>
    </row>
    <row r="206" spans="1:39" customFormat="1" hidden="1" x14ac:dyDescent="0.3">
      <c r="A206" t="s">
        <v>1200</v>
      </c>
      <c r="B206" t="s">
        <v>30</v>
      </c>
      <c r="C206" t="s">
        <v>81</v>
      </c>
      <c r="D206" t="s">
        <v>118</v>
      </c>
      <c r="E206" t="s">
        <v>371</v>
      </c>
      <c r="F206" t="s">
        <v>429</v>
      </c>
      <c r="G206" t="s">
        <v>428</v>
      </c>
      <c r="H206" s="16">
        <v>1.2475049900199601E-2</v>
      </c>
      <c r="I206" s="11">
        <v>0.15723270440251599</v>
      </c>
      <c r="J206" s="11">
        <v>0</v>
      </c>
      <c r="K206" s="11">
        <v>5.6589893045102101E-3</v>
      </c>
      <c r="L206" s="11">
        <v>0</v>
      </c>
      <c r="M206" s="11">
        <v>7.0977358222727004E-3</v>
      </c>
      <c r="N206" s="11">
        <v>4.5835816106705798E-3</v>
      </c>
      <c r="O206" s="11">
        <v>0</v>
      </c>
      <c r="P206" s="11">
        <v>3.3947788301592198E-3</v>
      </c>
      <c r="Q206" s="11">
        <v>0</v>
      </c>
      <c r="R206" s="11">
        <v>0</v>
      </c>
      <c r="S206" s="11">
        <v>0</v>
      </c>
      <c r="T206" s="11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4.4949880882815697E-3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</row>
    <row r="207" spans="1:39" customFormat="1" hidden="1" x14ac:dyDescent="0.3">
      <c r="A207" t="s">
        <v>1192</v>
      </c>
      <c r="B207" t="s">
        <v>30</v>
      </c>
      <c r="C207" t="s">
        <v>81</v>
      </c>
      <c r="D207" t="s">
        <v>85</v>
      </c>
      <c r="E207" t="s">
        <v>287</v>
      </c>
      <c r="F207" t="s">
        <v>1161</v>
      </c>
      <c r="G207" t="s">
        <v>1160</v>
      </c>
      <c r="H207" s="16">
        <v>0</v>
      </c>
      <c r="I207" s="11">
        <v>0</v>
      </c>
      <c r="J207" s="11">
        <v>0</v>
      </c>
      <c r="K207" s="11">
        <v>2.8294946522551101E-2</v>
      </c>
      <c r="L207" s="11">
        <v>0.105659380571881</v>
      </c>
      <c r="M207" s="11">
        <v>7.0977358222727004E-3</v>
      </c>
      <c r="N207" s="11">
        <v>1.8334326442682299E-2</v>
      </c>
      <c r="O207" s="11">
        <v>4.8753047065441597E-2</v>
      </c>
      <c r="P207" s="11">
        <v>2.03686729809553E-2</v>
      </c>
      <c r="Q207" s="11">
        <v>2.7492920572952501E-3</v>
      </c>
      <c r="R207" s="11">
        <v>6.7323444267408704E-3</v>
      </c>
      <c r="S207" s="11">
        <v>0</v>
      </c>
      <c r="T207" s="11">
        <v>0</v>
      </c>
      <c r="U207">
        <v>0</v>
      </c>
      <c r="V207">
        <v>3.6144142841652502E-3</v>
      </c>
      <c r="W207">
        <v>0</v>
      </c>
      <c r="X207">
        <v>0</v>
      </c>
      <c r="Y207">
        <v>0</v>
      </c>
      <c r="Z207">
        <v>0</v>
      </c>
      <c r="AA207">
        <v>4.4949880882815697E-3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</row>
    <row r="208" spans="1:39" customFormat="1" hidden="1" x14ac:dyDescent="0.3">
      <c r="A208" t="s">
        <v>1185</v>
      </c>
      <c r="B208" t="s">
        <v>30</v>
      </c>
      <c r="C208" t="s">
        <v>81</v>
      </c>
      <c r="D208" t="s">
        <v>85</v>
      </c>
      <c r="E208" t="s">
        <v>287</v>
      </c>
      <c r="F208" t="s">
        <v>286</v>
      </c>
      <c r="G208" t="s">
        <v>286</v>
      </c>
      <c r="H208" s="16">
        <v>0</v>
      </c>
      <c r="I208" s="11">
        <v>0</v>
      </c>
      <c r="J208" s="11">
        <v>0</v>
      </c>
      <c r="K208" s="11">
        <v>0</v>
      </c>
      <c r="L208" s="11">
        <v>0</v>
      </c>
      <c r="M208" s="11">
        <v>0.16679679182340801</v>
      </c>
      <c r="N208" s="11">
        <v>0</v>
      </c>
      <c r="O208" s="11">
        <v>1.1250703168948099E-2</v>
      </c>
      <c r="P208" s="11">
        <v>0</v>
      </c>
      <c r="Q208" s="11">
        <v>0</v>
      </c>
      <c r="R208" s="11">
        <v>0</v>
      </c>
      <c r="S208" s="11">
        <v>0</v>
      </c>
      <c r="T208" s="11">
        <v>0</v>
      </c>
      <c r="U208">
        <v>0</v>
      </c>
      <c r="V208">
        <v>0</v>
      </c>
      <c r="W208">
        <v>2.6668088964744798E-3</v>
      </c>
      <c r="X208">
        <v>0</v>
      </c>
      <c r="Y208">
        <v>0</v>
      </c>
      <c r="Z208">
        <v>3.1774275546517499E-3</v>
      </c>
      <c r="AA208">
        <v>4.4949880882815697E-3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6.02700096432015E-3</v>
      </c>
      <c r="AL208">
        <v>0</v>
      </c>
      <c r="AM208">
        <v>0</v>
      </c>
    </row>
    <row r="209" spans="1:39" customFormat="1" hidden="1" x14ac:dyDescent="0.3">
      <c r="A209" t="s">
        <v>1170</v>
      </c>
      <c r="B209" t="s">
        <v>30</v>
      </c>
      <c r="C209" t="s">
        <v>81</v>
      </c>
      <c r="D209" t="s">
        <v>85</v>
      </c>
      <c r="E209" t="s">
        <v>1169</v>
      </c>
      <c r="F209" t="s">
        <v>1168</v>
      </c>
      <c r="G209" t="s">
        <v>1167</v>
      </c>
      <c r="H209" s="16">
        <v>8.3166999334664E-3</v>
      </c>
      <c r="I209" s="11">
        <v>2.1939447125932401E-2</v>
      </c>
      <c r="J209" s="11">
        <v>1.7437551767731801E-2</v>
      </c>
      <c r="K209" s="11">
        <v>5.6589893045102101E-3</v>
      </c>
      <c r="L209" s="11">
        <v>0</v>
      </c>
      <c r="M209" s="11">
        <v>3.9037547022499799E-2</v>
      </c>
      <c r="N209" s="11">
        <v>0</v>
      </c>
      <c r="O209" s="11">
        <v>3.75023438964935E-3</v>
      </c>
      <c r="P209" s="11">
        <v>6.78955766031843E-3</v>
      </c>
      <c r="Q209" s="11">
        <v>2.1994336458362001E-2</v>
      </c>
      <c r="R209" s="11">
        <v>4.4882296178272501E-3</v>
      </c>
      <c r="S209" s="11">
        <v>7.4649148999701397E-3</v>
      </c>
      <c r="T209" s="11">
        <v>2.00789773107556E-2</v>
      </c>
      <c r="U209">
        <v>0</v>
      </c>
      <c r="V209">
        <v>3.6144142841652502E-3</v>
      </c>
      <c r="W209">
        <v>0</v>
      </c>
      <c r="X209">
        <v>0</v>
      </c>
      <c r="Y209">
        <v>2.9264581077521898E-3</v>
      </c>
      <c r="Z209">
        <v>0</v>
      </c>
      <c r="AA209">
        <v>4.4949880882815697E-3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3.5915670006823998E-3</v>
      </c>
      <c r="AK209">
        <v>0</v>
      </c>
      <c r="AL209">
        <v>0</v>
      </c>
      <c r="AM209">
        <v>0</v>
      </c>
    </row>
    <row r="210" spans="1:39" customFormat="1" hidden="1" x14ac:dyDescent="0.3">
      <c r="A210" t="s">
        <v>1162</v>
      </c>
      <c r="B210" t="s">
        <v>30</v>
      </c>
      <c r="C210" t="s">
        <v>81</v>
      </c>
      <c r="D210" t="s">
        <v>85</v>
      </c>
      <c r="E210" t="s">
        <v>287</v>
      </c>
      <c r="F210" t="s">
        <v>1161</v>
      </c>
      <c r="G210" t="s">
        <v>1160</v>
      </c>
      <c r="H210" s="16">
        <v>1.2475049900199601E-2</v>
      </c>
      <c r="I210" s="11">
        <v>1.09697235629662E-2</v>
      </c>
      <c r="J210" s="11">
        <v>8.7187758838659108E-3</v>
      </c>
      <c r="K210" s="11">
        <v>5.6589893045102101E-3</v>
      </c>
      <c r="L210" s="11">
        <v>6.6037112857425901E-3</v>
      </c>
      <c r="M210" s="11">
        <v>7.0977358222727004E-3</v>
      </c>
      <c r="N210" s="11">
        <v>1.37507448320117E-2</v>
      </c>
      <c r="O210" s="11">
        <v>7.5004687792987104E-3</v>
      </c>
      <c r="P210" s="11">
        <v>0</v>
      </c>
      <c r="Q210" s="11">
        <v>2.7492920572952501E-3</v>
      </c>
      <c r="R210" s="11">
        <v>8.9764592356545003E-3</v>
      </c>
      <c r="S210" s="11">
        <v>0</v>
      </c>
      <c r="T210" s="11">
        <v>0</v>
      </c>
      <c r="U210">
        <v>0</v>
      </c>
      <c r="V210">
        <v>0</v>
      </c>
      <c r="W210">
        <v>2.6668088964744798E-3</v>
      </c>
      <c r="X210">
        <v>0</v>
      </c>
      <c r="Y210">
        <v>0</v>
      </c>
      <c r="Z210">
        <v>0</v>
      </c>
      <c r="AA210">
        <v>4.4949880882815697E-3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4.6410173109945703E-3</v>
      </c>
      <c r="AI210">
        <v>0</v>
      </c>
      <c r="AJ210">
        <v>0</v>
      </c>
      <c r="AK210">
        <v>0</v>
      </c>
      <c r="AL210">
        <v>0</v>
      </c>
      <c r="AM210">
        <v>0</v>
      </c>
    </row>
    <row r="211" spans="1:39" customFormat="1" hidden="1" x14ac:dyDescent="0.3">
      <c r="A211" t="s">
        <v>1159</v>
      </c>
      <c r="B211" t="s">
        <v>30</v>
      </c>
      <c r="C211" t="s">
        <v>29</v>
      </c>
      <c r="D211" t="s">
        <v>28</v>
      </c>
      <c r="E211" t="s">
        <v>27</v>
      </c>
      <c r="F211" t="s">
        <v>1158</v>
      </c>
      <c r="G211" t="s">
        <v>1157</v>
      </c>
      <c r="H211" s="16">
        <v>1.2475049900199601E-2</v>
      </c>
      <c r="I211" s="11">
        <v>7.3131490419774802E-3</v>
      </c>
      <c r="J211" s="11">
        <v>8.7187758838659108E-3</v>
      </c>
      <c r="K211" s="11">
        <v>1.1317978609020399E-2</v>
      </c>
      <c r="L211" s="11">
        <v>4.6225979000198099E-2</v>
      </c>
      <c r="M211" s="11">
        <v>1.0646603733408999E-2</v>
      </c>
      <c r="N211" s="11">
        <v>6.4170142549388104E-2</v>
      </c>
      <c r="O211" s="11">
        <v>4.1252578286142899E-2</v>
      </c>
      <c r="P211" s="11">
        <v>0</v>
      </c>
      <c r="Q211" s="11">
        <v>5.4985841145904898E-3</v>
      </c>
      <c r="R211" s="11">
        <v>0</v>
      </c>
      <c r="S211" s="11">
        <v>0</v>
      </c>
      <c r="T211" s="11">
        <v>0</v>
      </c>
      <c r="U211">
        <v>0</v>
      </c>
      <c r="V211">
        <v>0</v>
      </c>
      <c r="W211">
        <v>5.3336177929489597E-3</v>
      </c>
      <c r="X211">
        <v>0</v>
      </c>
      <c r="Y211">
        <v>0</v>
      </c>
      <c r="Z211">
        <v>0</v>
      </c>
      <c r="AA211">
        <v>4.4949880882815697E-3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</row>
    <row r="212" spans="1:39" customFormat="1" hidden="1" x14ac:dyDescent="0.3">
      <c r="A212" t="s">
        <v>1133</v>
      </c>
      <c r="B212" t="s">
        <v>30</v>
      </c>
      <c r="C212" t="s">
        <v>81</v>
      </c>
      <c r="D212" t="s">
        <v>118</v>
      </c>
      <c r="E212" t="s">
        <v>117</v>
      </c>
      <c r="F212" t="s">
        <v>116</v>
      </c>
      <c r="G212" t="s">
        <v>25</v>
      </c>
      <c r="H212" s="16">
        <v>2.0791749833665999E-2</v>
      </c>
      <c r="I212" s="11">
        <v>1.4626298083955E-2</v>
      </c>
      <c r="J212" s="11">
        <v>4.3593879419329502E-3</v>
      </c>
      <c r="K212" s="11">
        <v>0</v>
      </c>
      <c r="L212" s="11">
        <v>3.3018556428712903E-2</v>
      </c>
      <c r="M212" s="11">
        <v>0</v>
      </c>
      <c r="N212" s="11">
        <v>9.1671632213411597E-3</v>
      </c>
      <c r="O212" s="11">
        <v>1.1250703168948099E-2</v>
      </c>
      <c r="P212" s="11">
        <v>1.01843364904776E-2</v>
      </c>
      <c r="Q212" s="11">
        <v>0</v>
      </c>
      <c r="R212" s="11">
        <v>2.2441148089136199E-3</v>
      </c>
      <c r="S212" s="11">
        <v>2.2394744699910402E-2</v>
      </c>
      <c r="T212" s="11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4.4949880882815697E-3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3.5844863431070302E-3</v>
      </c>
      <c r="AM212">
        <v>0</v>
      </c>
    </row>
    <row r="213" spans="1:39" customFormat="1" hidden="1" x14ac:dyDescent="0.3">
      <c r="A213" t="s">
        <v>1108</v>
      </c>
      <c r="B213" t="s">
        <v>30</v>
      </c>
      <c r="C213" t="s">
        <v>81</v>
      </c>
      <c r="D213" t="s">
        <v>85</v>
      </c>
      <c r="E213" t="s">
        <v>287</v>
      </c>
      <c r="F213" t="s">
        <v>882</v>
      </c>
      <c r="G213" t="s">
        <v>881</v>
      </c>
      <c r="H213" s="16">
        <v>0</v>
      </c>
      <c r="I213" s="11">
        <v>1.09697235629662E-2</v>
      </c>
      <c r="J213" s="11">
        <v>4.3593879419329502E-3</v>
      </c>
      <c r="K213" s="11">
        <v>0</v>
      </c>
      <c r="L213" s="11">
        <v>1.3207422571485199E-2</v>
      </c>
      <c r="M213" s="11">
        <v>1.0646603733408999E-2</v>
      </c>
      <c r="N213" s="11">
        <v>2.75014896640235E-2</v>
      </c>
      <c r="O213" s="11">
        <v>1.1250703168948099E-2</v>
      </c>
      <c r="P213" s="11">
        <v>3.3947788301592198E-3</v>
      </c>
      <c r="Q213" s="11">
        <v>2.7492920572952501E-3</v>
      </c>
      <c r="R213" s="11">
        <v>8.9764592356545003E-3</v>
      </c>
      <c r="S213" s="11">
        <v>0</v>
      </c>
      <c r="T213" s="11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4.4949880882815697E-3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3.5915670006823998E-3</v>
      </c>
      <c r="AK213">
        <v>0</v>
      </c>
      <c r="AL213">
        <v>0</v>
      </c>
      <c r="AM213">
        <v>0</v>
      </c>
    </row>
    <row r="214" spans="1:39" customFormat="1" hidden="1" x14ac:dyDescent="0.3">
      <c r="A214" t="s">
        <v>1100</v>
      </c>
      <c r="B214" t="s">
        <v>30</v>
      </c>
      <c r="C214" t="s">
        <v>81</v>
      </c>
      <c r="D214" t="s">
        <v>85</v>
      </c>
      <c r="E214" t="s">
        <v>287</v>
      </c>
      <c r="F214" t="s">
        <v>286</v>
      </c>
      <c r="G214" t="s">
        <v>286</v>
      </c>
      <c r="H214" s="16">
        <v>0</v>
      </c>
      <c r="I214" s="11">
        <v>0</v>
      </c>
      <c r="J214" s="11">
        <v>0</v>
      </c>
      <c r="K214" s="11">
        <v>0</v>
      </c>
      <c r="L214" s="11">
        <v>0</v>
      </c>
      <c r="M214" s="11">
        <v>0</v>
      </c>
      <c r="N214" s="11">
        <v>0</v>
      </c>
      <c r="O214" s="11">
        <v>0</v>
      </c>
      <c r="P214" s="11">
        <v>0</v>
      </c>
      <c r="Q214" s="11">
        <v>0</v>
      </c>
      <c r="R214" s="11">
        <v>0</v>
      </c>
      <c r="S214" s="11">
        <v>2.4883049666567101E-2</v>
      </c>
      <c r="T214" s="11">
        <v>1.00394886553778E-2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4.4949880882815697E-3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1.20540019286403E-2</v>
      </c>
      <c r="AL214">
        <v>0</v>
      </c>
      <c r="AM214">
        <v>0</v>
      </c>
    </row>
    <row r="215" spans="1:39" customFormat="1" hidden="1" x14ac:dyDescent="0.3">
      <c r="A215" t="s">
        <v>1088</v>
      </c>
      <c r="B215" t="s">
        <v>30</v>
      </c>
      <c r="C215" t="s">
        <v>81</v>
      </c>
      <c r="D215" t="s">
        <v>85</v>
      </c>
      <c r="E215" t="s">
        <v>287</v>
      </c>
      <c r="F215" t="s">
        <v>286</v>
      </c>
      <c r="G215" t="s">
        <v>286</v>
      </c>
      <c r="H215" s="16">
        <v>0</v>
      </c>
      <c r="I215" s="11">
        <v>0</v>
      </c>
      <c r="J215" s="11">
        <v>0.187453681503117</v>
      </c>
      <c r="K215" s="11">
        <v>0</v>
      </c>
      <c r="L215" s="11">
        <v>0</v>
      </c>
      <c r="M215" s="11">
        <v>0</v>
      </c>
      <c r="N215" s="11">
        <v>0</v>
      </c>
      <c r="O215" s="11">
        <v>0</v>
      </c>
      <c r="P215" s="11">
        <v>0</v>
      </c>
      <c r="Q215" s="11">
        <v>0</v>
      </c>
      <c r="R215" s="11">
        <v>0</v>
      </c>
      <c r="S215" s="11">
        <v>0</v>
      </c>
      <c r="T215" s="11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4.4949880882815697E-3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2.2984278753332699E-3</v>
      </c>
      <c r="AJ215">
        <v>0</v>
      </c>
      <c r="AK215">
        <v>0</v>
      </c>
      <c r="AL215">
        <v>3.5844863431070302E-3</v>
      </c>
      <c r="AM215">
        <v>0</v>
      </c>
    </row>
    <row r="216" spans="1:39" customFormat="1" hidden="1" x14ac:dyDescent="0.3">
      <c r="A216" t="s">
        <v>1082</v>
      </c>
      <c r="B216" t="s">
        <v>30</v>
      </c>
      <c r="C216" t="s">
        <v>81</v>
      </c>
      <c r="D216" t="s">
        <v>85</v>
      </c>
      <c r="E216" t="s">
        <v>287</v>
      </c>
      <c r="F216" t="s">
        <v>882</v>
      </c>
      <c r="G216" t="s">
        <v>881</v>
      </c>
      <c r="H216" s="16">
        <v>0</v>
      </c>
      <c r="I216" s="11">
        <v>0</v>
      </c>
      <c r="J216" s="11">
        <v>4.3593879419329502E-3</v>
      </c>
      <c r="K216" s="11">
        <v>5.6589893045102101E-3</v>
      </c>
      <c r="L216" s="11">
        <v>0</v>
      </c>
      <c r="M216" s="11">
        <v>0</v>
      </c>
      <c r="N216" s="11">
        <v>0</v>
      </c>
      <c r="O216" s="11">
        <v>0</v>
      </c>
      <c r="P216" s="11">
        <v>0.101843364904776</v>
      </c>
      <c r="Q216" s="11">
        <v>1.0997168229181E-2</v>
      </c>
      <c r="R216" s="11">
        <v>0</v>
      </c>
      <c r="S216" s="11">
        <v>2.4883049666567102E-3</v>
      </c>
      <c r="T216" s="11">
        <v>1.33859848738371E-2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4.4949880882815697E-3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6.02700096432015E-3</v>
      </c>
      <c r="AL216">
        <v>0</v>
      </c>
      <c r="AM216">
        <v>0</v>
      </c>
    </row>
    <row r="217" spans="1:39" customFormat="1" hidden="1" x14ac:dyDescent="0.3">
      <c r="A217" t="s">
        <v>1037</v>
      </c>
      <c r="B217" t="s">
        <v>30</v>
      </c>
      <c r="C217" t="s">
        <v>526</v>
      </c>
      <c r="D217" t="s">
        <v>525</v>
      </c>
      <c r="E217" t="s">
        <v>524</v>
      </c>
      <c r="F217" t="s">
        <v>523</v>
      </c>
      <c r="G217" t="s">
        <v>522</v>
      </c>
      <c r="H217" s="16">
        <v>0</v>
      </c>
      <c r="I217" s="11">
        <v>8.0444639461752204E-2</v>
      </c>
      <c r="J217" s="11">
        <v>0</v>
      </c>
      <c r="K217" s="11">
        <v>5.6589893045102101E-3</v>
      </c>
      <c r="L217" s="11">
        <v>0</v>
      </c>
      <c r="M217" s="11">
        <v>7.0977358222727004E-3</v>
      </c>
      <c r="N217" s="11">
        <v>9.1671632213411597E-3</v>
      </c>
      <c r="O217" s="11">
        <v>1.1250703168948099E-2</v>
      </c>
      <c r="P217" s="11">
        <v>3.3947788301592198E-3</v>
      </c>
      <c r="Q217" s="11">
        <v>8.2478761718857395E-3</v>
      </c>
      <c r="R217" s="11">
        <v>4.4882296178272501E-3</v>
      </c>
      <c r="S217" s="11">
        <v>0</v>
      </c>
      <c r="T217" s="11">
        <v>0</v>
      </c>
      <c r="U217">
        <v>0</v>
      </c>
      <c r="V217">
        <v>0</v>
      </c>
      <c r="W217">
        <v>0</v>
      </c>
      <c r="X217">
        <v>6.4242579982012101E-3</v>
      </c>
      <c r="Y217">
        <v>0</v>
      </c>
      <c r="Z217">
        <v>0</v>
      </c>
      <c r="AA217">
        <v>4.4949880882815697E-3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</row>
    <row r="218" spans="1:39" customFormat="1" hidden="1" x14ac:dyDescent="0.3">
      <c r="A218" t="s">
        <v>1004</v>
      </c>
      <c r="B218" t="s">
        <v>30</v>
      </c>
      <c r="C218" t="s">
        <v>526</v>
      </c>
      <c r="D218" t="s">
        <v>525</v>
      </c>
      <c r="E218" t="s">
        <v>524</v>
      </c>
      <c r="F218" t="s">
        <v>523</v>
      </c>
      <c r="G218" t="s">
        <v>522</v>
      </c>
      <c r="H218" s="16">
        <v>0</v>
      </c>
      <c r="I218" s="11">
        <v>0</v>
      </c>
      <c r="J218" s="11">
        <v>0</v>
      </c>
      <c r="K218" s="11">
        <v>0</v>
      </c>
      <c r="L218" s="11">
        <v>0</v>
      </c>
      <c r="M218" s="11">
        <v>0</v>
      </c>
      <c r="N218" s="11">
        <v>0</v>
      </c>
      <c r="O218" s="11">
        <v>3.75023438964935E-3</v>
      </c>
      <c r="P218" s="11">
        <v>3.3947788301592198E-3</v>
      </c>
      <c r="Q218" s="11">
        <v>0</v>
      </c>
      <c r="R218" s="11">
        <v>2.2441148089136199E-3</v>
      </c>
      <c r="S218" s="11">
        <v>7.4649148999701397E-3</v>
      </c>
      <c r="T218" s="11">
        <v>1.33859848738371E-2</v>
      </c>
      <c r="U218">
        <v>6.0840203206278696E-3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4.4949880882815697E-3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</row>
    <row r="219" spans="1:39" customFormat="1" hidden="1" x14ac:dyDescent="0.3">
      <c r="A219" t="s">
        <v>994</v>
      </c>
      <c r="B219" t="s">
        <v>30</v>
      </c>
      <c r="C219" t="s">
        <v>526</v>
      </c>
      <c r="D219" t="s">
        <v>525</v>
      </c>
      <c r="E219" t="s">
        <v>524</v>
      </c>
      <c r="F219" t="s">
        <v>523</v>
      </c>
      <c r="G219" t="s">
        <v>25</v>
      </c>
      <c r="H219" s="16">
        <v>4.1583499667332E-3</v>
      </c>
      <c r="I219" s="11">
        <v>0</v>
      </c>
      <c r="J219" s="11">
        <v>1.30781638257989E-2</v>
      </c>
      <c r="K219" s="11">
        <v>0.19240563635334701</v>
      </c>
      <c r="L219" s="11">
        <v>0</v>
      </c>
      <c r="M219" s="11">
        <v>3.5488679111363502E-3</v>
      </c>
      <c r="N219" s="11">
        <v>0</v>
      </c>
      <c r="O219" s="11">
        <v>0</v>
      </c>
      <c r="P219" s="11">
        <v>3.3947788301592198E-3</v>
      </c>
      <c r="Q219" s="11">
        <v>0</v>
      </c>
      <c r="R219" s="11">
        <v>0</v>
      </c>
      <c r="S219" s="11">
        <v>2.4883049666567102E-3</v>
      </c>
      <c r="T219" s="11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3.1774275546517499E-3</v>
      </c>
      <c r="AA219">
        <v>4.4949880882815697E-3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3.5844863431070302E-3</v>
      </c>
      <c r="AM219">
        <v>0</v>
      </c>
    </row>
    <row r="220" spans="1:39" customFormat="1" hidden="1" x14ac:dyDescent="0.3">
      <c r="A220" t="s">
        <v>990</v>
      </c>
      <c r="B220" t="s">
        <v>30</v>
      </c>
      <c r="C220" t="s">
        <v>526</v>
      </c>
      <c r="D220" t="s">
        <v>525</v>
      </c>
      <c r="E220" t="s">
        <v>524</v>
      </c>
      <c r="F220" t="s">
        <v>523</v>
      </c>
      <c r="G220" t="s">
        <v>522</v>
      </c>
      <c r="H220" s="16">
        <v>0</v>
      </c>
      <c r="I220" s="11">
        <v>0</v>
      </c>
      <c r="J220" s="11">
        <v>0</v>
      </c>
      <c r="K220" s="11">
        <v>0</v>
      </c>
      <c r="L220" s="11">
        <v>0</v>
      </c>
      <c r="M220" s="11">
        <v>0</v>
      </c>
      <c r="N220" s="11">
        <v>0</v>
      </c>
      <c r="O220" s="11">
        <v>0</v>
      </c>
      <c r="P220" s="11">
        <v>1.01843364904776E-2</v>
      </c>
      <c r="Q220" s="11">
        <v>5.4985841145904898E-3</v>
      </c>
      <c r="R220" s="11">
        <v>0</v>
      </c>
      <c r="S220" s="11">
        <v>4.9766099333134299E-3</v>
      </c>
      <c r="T220" s="11">
        <v>6.69299243691855E-3</v>
      </c>
      <c r="U220">
        <v>3.04201016031394E-3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4.4949880882815697E-3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</row>
    <row r="221" spans="1:39" customFormat="1" hidden="1" x14ac:dyDescent="0.3">
      <c r="A221" t="s">
        <v>984</v>
      </c>
      <c r="B221" t="s">
        <v>30</v>
      </c>
      <c r="C221" t="s">
        <v>526</v>
      </c>
      <c r="D221" t="s">
        <v>525</v>
      </c>
      <c r="E221" t="s">
        <v>524</v>
      </c>
      <c r="F221" t="s">
        <v>523</v>
      </c>
      <c r="G221" t="s">
        <v>25</v>
      </c>
      <c r="H221" s="16">
        <v>0</v>
      </c>
      <c r="I221" s="11">
        <v>0</v>
      </c>
      <c r="J221" s="11">
        <v>0</v>
      </c>
      <c r="K221" s="11">
        <v>0</v>
      </c>
      <c r="L221" s="11">
        <v>0</v>
      </c>
      <c r="M221" s="11">
        <v>0</v>
      </c>
      <c r="N221" s="11">
        <v>1.37507448320117E-2</v>
      </c>
      <c r="O221" s="11">
        <v>3.75023438964935E-3</v>
      </c>
      <c r="P221" s="11">
        <v>1.01843364904776E-2</v>
      </c>
      <c r="Q221" s="11">
        <v>1.3746460286476201E-2</v>
      </c>
      <c r="R221" s="11">
        <v>2.0197033280222602E-2</v>
      </c>
      <c r="S221" s="11">
        <v>0</v>
      </c>
      <c r="T221" s="1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4.4949880882815697E-3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2.2984278753332699E-3</v>
      </c>
      <c r="AJ221">
        <v>0</v>
      </c>
      <c r="AK221">
        <v>0</v>
      </c>
      <c r="AL221">
        <v>3.5844863431070302E-3</v>
      </c>
      <c r="AM221">
        <v>0</v>
      </c>
    </row>
    <row r="222" spans="1:39" customFormat="1" hidden="1" x14ac:dyDescent="0.3">
      <c r="A222" t="s">
        <v>906</v>
      </c>
      <c r="B222" t="s">
        <v>30</v>
      </c>
      <c r="C222" t="s">
        <v>35</v>
      </c>
      <c r="D222" t="s">
        <v>35</v>
      </c>
      <c r="E222" t="s">
        <v>34</v>
      </c>
      <c r="F222" t="s">
        <v>33</v>
      </c>
      <c r="G222" t="s">
        <v>50</v>
      </c>
      <c r="H222" s="16">
        <v>0</v>
      </c>
      <c r="I222" s="11">
        <v>1.09697235629662E-2</v>
      </c>
      <c r="J222" s="11">
        <v>8.7187758838659108E-3</v>
      </c>
      <c r="K222" s="11">
        <v>5.6589893045102101E-3</v>
      </c>
      <c r="L222" s="11">
        <v>1.9811133857227801E-2</v>
      </c>
      <c r="M222" s="11">
        <v>3.5488679111363502E-3</v>
      </c>
      <c r="N222" s="11">
        <v>1.8334326442682299E-2</v>
      </c>
      <c r="O222" s="11">
        <v>7.5004687792987104E-3</v>
      </c>
      <c r="P222" s="11">
        <v>1.35791153206369E-2</v>
      </c>
      <c r="Q222" s="11">
        <v>5.4985841145904898E-3</v>
      </c>
      <c r="R222" s="11">
        <v>2.2441148089136199E-3</v>
      </c>
      <c r="S222" s="11">
        <v>0</v>
      </c>
      <c r="T222" s="11">
        <v>3.3464962184592698E-3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4.4949880882815697E-3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2.2984278753332699E-3</v>
      </c>
      <c r="AJ222">
        <v>3.5915670006823998E-3</v>
      </c>
      <c r="AK222">
        <v>0</v>
      </c>
      <c r="AL222">
        <v>0</v>
      </c>
      <c r="AM222">
        <v>0</v>
      </c>
    </row>
    <row r="223" spans="1:39" customFormat="1" hidden="1" x14ac:dyDescent="0.3">
      <c r="A223" t="s">
        <v>887</v>
      </c>
      <c r="B223" t="s">
        <v>30</v>
      </c>
      <c r="C223" t="s">
        <v>81</v>
      </c>
      <c r="D223" t="s">
        <v>85</v>
      </c>
      <c r="E223" t="s">
        <v>287</v>
      </c>
      <c r="F223" t="s">
        <v>286</v>
      </c>
      <c r="G223" t="s">
        <v>286</v>
      </c>
      <c r="H223" s="16">
        <v>0</v>
      </c>
      <c r="I223" s="11">
        <v>0</v>
      </c>
      <c r="J223" s="11">
        <v>4.3593879419329502E-3</v>
      </c>
      <c r="K223" s="11">
        <v>5.6589893045102101E-3</v>
      </c>
      <c r="L223" s="11">
        <v>6.6037112857425901E-3</v>
      </c>
      <c r="M223" s="11">
        <v>7.0977358222727004E-3</v>
      </c>
      <c r="N223" s="11">
        <v>9.1671632213411597E-3</v>
      </c>
      <c r="O223" s="11">
        <v>2.2501406337896102E-2</v>
      </c>
      <c r="P223" s="11">
        <v>0</v>
      </c>
      <c r="Q223" s="11">
        <v>0</v>
      </c>
      <c r="R223" s="11">
        <v>2.2441148089136199E-3</v>
      </c>
      <c r="S223" s="11">
        <v>0</v>
      </c>
      <c r="T223" s="11">
        <v>0</v>
      </c>
      <c r="U223">
        <v>0</v>
      </c>
      <c r="V223">
        <v>0</v>
      </c>
      <c r="W223">
        <v>0</v>
      </c>
      <c r="X223">
        <v>6.4242579982012101E-3</v>
      </c>
      <c r="Y223">
        <v>0</v>
      </c>
      <c r="Z223">
        <v>0</v>
      </c>
      <c r="AA223">
        <v>4.4949880882815697E-3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</row>
    <row r="224" spans="1:39" customFormat="1" hidden="1" x14ac:dyDescent="0.3">
      <c r="A224" t="s">
        <v>885</v>
      </c>
      <c r="B224" t="s">
        <v>30</v>
      </c>
      <c r="C224" t="s">
        <v>81</v>
      </c>
      <c r="D224" t="s">
        <v>85</v>
      </c>
      <c r="E224" t="s">
        <v>287</v>
      </c>
      <c r="F224" t="s">
        <v>817</v>
      </c>
      <c r="G224" t="s">
        <v>817</v>
      </c>
      <c r="H224" s="16">
        <v>0</v>
      </c>
      <c r="I224" s="11">
        <v>0</v>
      </c>
      <c r="J224" s="11">
        <v>0</v>
      </c>
      <c r="K224" s="11">
        <v>0</v>
      </c>
      <c r="L224" s="11">
        <v>0</v>
      </c>
      <c r="M224" s="11">
        <v>0</v>
      </c>
      <c r="N224" s="11">
        <v>0</v>
      </c>
      <c r="O224" s="11">
        <v>0</v>
      </c>
      <c r="P224" s="11">
        <v>0</v>
      </c>
      <c r="Q224" s="11">
        <v>0</v>
      </c>
      <c r="R224" s="11">
        <v>0</v>
      </c>
      <c r="S224" s="11">
        <v>0</v>
      </c>
      <c r="T224" s="11">
        <v>3.3464962184592698E-3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4.4949880882815697E-3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4.6410173109945703E-3</v>
      </c>
      <c r="AI224">
        <v>0</v>
      </c>
      <c r="AJ224">
        <v>0</v>
      </c>
      <c r="AK224">
        <v>0</v>
      </c>
      <c r="AL224">
        <v>3.5844863431070302E-3</v>
      </c>
      <c r="AM224">
        <v>0</v>
      </c>
    </row>
    <row r="225" spans="1:39" customFormat="1" hidden="1" x14ac:dyDescent="0.3">
      <c r="A225" t="s">
        <v>860</v>
      </c>
      <c r="B225" t="s">
        <v>30</v>
      </c>
      <c r="C225" t="s">
        <v>81</v>
      </c>
      <c r="D225" t="s">
        <v>80</v>
      </c>
      <c r="E225" t="s">
        <v>618</v>
      </c>
      <c r="F225" t="s">
        <v>617</v>
      </c>
      <c r="G225" t="s">
        <v>859</v>
      </c>
      <c r="H225" s="16">
        <v>0</v>
      </c>
      <c r="I225" s="11">
        <v>0</v>
      </c>
      <c r="J225" s="11">
        <v>0</v>
      </c>
      <c r="K225" s="11">
        <v>0</v>
      </c>
      <c r="L225" s="11">
        <v>0</v>
      </c>
      <c r="M225" s="11">
        <v>0</v>
      </c>
      <c r="N225" s="11">
        <v>0</v>
      </c>
      <c r="O225" s="11">
        <v>0</v>
      </c>
      <c r="P225" s="11">
        <v>0</v>
      </c>
      <c r="Q225" s="11">
        <v>0</v>
      </c>
      <c r="R225" s="11">
        <v>0</v>
      </c>
      <c r="S225" s="11">
        <v>0</v>
      </c>
      <c r="T225" s="11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4.4949880882815697E-3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</row>
    <row r="226" spans="1:39" customFormat="1" hidden="1" x14ac:dyDescent="0.3">
      <c r="A226" t="s">
        <v>853</v>
      </c>
      <c r="B226" t="s">
        <v>30</v>
      </c>
      <c r="C226" t="s">
        <v>81</v>
      </c>
      <c r="D226" t="s">
        <v>85</v>
      </c>
      <c r="E226" t="s">
        <v>314</v>
      </c>
      <c r="F226" t="s">
        <v>313</v>
      </c>
      <c r="G226" t="s">
        <v>312</v>
      </c>
      <c r="H226" s="16">
        <v>4.1583499667332E-3</v>
      </c>
      <c r="I226" s="11">
        <v>0</v>
      </c>
      <c r="J226" s="11">
        <v>8.7187758838659108E-3</v>
      </c>
      <c r="K226" s="11">
        <v>0</v>
      </c>
      <c r="L226" s="11">
        <v>1.3207422571485199E-2</v>
      </c>
      <c r="M226" s="11">
        <v>0</v>
      </c>
      <c r="N226" s="11">
        <v>4.5835816106705798E-3</v>
      </c>
      <c r="O226" s="11">
        <v>1.1250703168948099E-2</v>
      </c>
      <c r="P226" s="11">
        <v>6.78955766031843E-3</v>
      </c>
      <c r="Q226" s="11">
        <v>0</v>
      </c>
      <c r="R226" s="11">
        <v>0</v>
      </c>
      <c r="S226" s="11">
        <v>0</v>
      </c>
      <c r="T226" s="11">
        <v>0</v>
      </c>
      <c r="U226">
        <v>0</v>
      </c>
      <c r="V226">
        <v>0</v>
      </c>
      <c r="W226">
        <v>2.6668088964744798E-3</v>
      </c>
      <c r="X226">
        <v>0</v>
      </c>
      <c r="Y226">
        <v>0</v>
      </c>
      <c r="Z226">
        <v>0</v>
      </c>
      <c r="AA226">
        <v>4.4949880882815697E-3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3.5915670006823998E-3</v>
      </c>
      <c r="AK226">
        <v>0</v>
      </c>
      <c r="AL226">
        <v>0</v>
      </c>
      <c r="AM226">
        <v>0</v>
      </c>
    </row>
    <row r="227" spans="1:39" customFormat="1" hidden="1" x14ac:dyDescent="0.3">
      <c r="A227" t="s">
        <v>814</v>
      </c>
      <c r="B227" t="s">
        <v>30</v>
      </c>
      <c r="C227" t="s">
        <v>81</v>
      </c>
      <c r="D227" t="s">
        <v>80</v>
      </c>
      <c r="E227" t="s">
        <v>292</v>
      </c>
      <c r="F227" t="s">
        <v>291</v>
      </c>
      <c r="G227" t="s">
        <v>290</v>
      </c>
      <c r="H227" s="16">
        <v>0</v>
      </c>
      <c r="I227" s="11">
        <v>0</v>
      </c>
      <c r="J227" s="11">
        <v>0</v>
      </c>
      <c r="K227" s="11">
        <v>0</v>
      </c>
      <c r="L227" s="11">
        <v>0</v>
      </c>
      <c r="M227" s="11">
        <v>0</v>
      </c>
      <c r="N227" s="11">
        <v>0</v>
      </c>
      <c r="O227" s="11">
        <v>0</v>
      </c>
      <c r="P227" s="11">
        <v>0</v>
      </c>
      <c r="Q227" s="11">
        <v>0</v>
      </c>
      <c r="R227" s="11">
        <v>0</v>
      </c>
      <c r="S227" s="11">
        <v>0</v>
      </c>
      <c r="T227" s="11">
        <v>2.00789773107556E-2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4.4949880882815697E-3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</row>
    <row r="228" spans="1:39" customFormat="1" hidden="1" x14ac:dyDescent="0.3">
      <c r="A228" t="s">
        <v>791</v>
      </c>
      <c r="B228" t="s">
        <v>30</v>
      </c>
      <c r="C228" t="s">
        <v>81</v>
      </c>
      <c r="D228" t="s">
        <v>85</v>
      </c>
      <c r="E228" t="s">
        <v>84</v>
      </c>
      <c r="F228" t="s">
        <v>84</v>
      </c>
      <c r="G228" t="s">
        <v>84</v>
      </c>
      <c r="H228" s="16">
        <v>0</v>
      </c>
      <c r="I228" s="11">
        <v>0</v>
      </c>
      <c r="J228" s="11">
        <v>0</v>
      </c>
      <c r="K228" s="11">
        <v>5.6589893045102101E-3</v>
      </c>
      <c r="L228" s="11">
        <v>0</v>
      </c>
      <c r="M228" s="11">
        <v>0</v>
      </c>
      <c r="N228" s="11">
        <v>4.5835816106705798E-3</v>
      </c>
      <c r="O228" s="11">
        <v>0</v>
      </c>
      <c r="P228" s="11">
        <v>3.3947788301592198E-3</v>
      </c>
      <c r="Q228" s="11">
        <v>0</v>
      </c>
      <c r="R228" s="11">
        <v>6.7323444267408704E-3</v>
      </c>
      <c r="S228" s="11">
        <v>2.4883049666567102E-3</v>
      </c>
      <c r="T228" s="11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4.4949880882815697E-3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</row>
    <row r="229" spans="1:39" customFormat="1" hidden="1" x14ac:dyDescent="0.3">
      <c r="A229" t="s">
        <v>780</v>
      </c>
      <c r="B229" t="s">
        <v>30</v>
      </c>
      <c r="C229" t="s">
        <v>251</v>
      </c>
      <c r="D229" t="s">
        <v>250</v>
      </c>
      <c r="E229" t="s">
        <v>249</v>
      </c>
      <c r="F229" t="s">
        <v>248</v>
      </c>
      <c r="G229" t="s">
        <v>247</v>
      </c>
      <c r="H229" s="16">
        <v>0</v>
      </c>
      <c r="I229" s="11">
        <v>0</v>
      </c>
      <c r="J229" s="11">
        <v>0</v>
      </c>
      <c r="K229" s="11">
        <v>0</v>
      </c>
      <c r="L229" s="11">
        <v>1.3207422571485199E-2</v>
      </c>
      <c r="M229" s="11">
        <v>0</v>
      </c>
      <c r="N229" s="11">
        <v>2.2917908053352899E-2</v>
      </c>
      <c r="O229" s="11">
        <v>3.00018751171948E-2</v>
      </c>
      <c r="P229" s="11">
        <v>3.3947788301592198E-3</v>
      </c>
      <c r="Q229" s="11">
        <v>8.2478761718857395E-3</v>
      </c>
      <c r="R229" s="11">
        <v>1.3464688853481699E-2</v>
      </c>
      <c r="S229" s="11">
        <v>0</v>
      </c>
      <c r="T229" s="11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4.4949880882815697E-3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</row>
    <row r="230" spans="1:39" customFormat="1" hidden="1" x14ac:dyDescent="0.3">
      <c r="A230" t="s">
        <v>769</v>
      </c>
      <c r="B230" t="s">
        <v>30</v>
      </c>
      <c r="C230" t="s">
        <v>81</v>
      </c>
      <c r="D230" t="s">
        <v>351</v>
      </c>
      <c r="E230" t="s">
        <v>351</v>
      </c>
      <c r="F230" t="s">
        <v>351</v>
      </c>
      <c r="G230" t="s">
        <v>351</v>
      </c>
      <c r="H230" s="16">
        <v>0</v>
      </c>
      <c r="I230" s="11">
        <v>0</v>
      </c>
      <c r="J230" s="11">
        <v>0</v>
      </c>
      <c r="K230" s="11">
        <v>0</v>
      </c>
      <c r="L230" s="11">
        <v>0</v>
      </c>
      <c r="M230" s="11">
        <v>0</v>
      </c>
      <c r="N230" s="11">
        <v>0</v>
      </c>
      <c r="O230" s="11">
        <v>0</v>
      </c>
      <c r="P230" s="11">
        <v>0</v>
      </c>
      <c r="Q230" s="11">
        <v>0</v>
      </c>
      <c r="R230" s="11">
        <v>0</v>
      </c>
      <c r="S230" s="11">
        <v>0</v>
      </c>
      <c r="T230" s="11">
        <v>0</v>
      </c>
      <c r="U230">
        <v>3.04201016031394E-3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4.4949880882815697E-3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</row>
    <row r="231" spans="1:39" customFormat="1" hidden="1" x14ac:dyDescent="0.3">
      <c r="A231" t="s">
        <v>764</v>
      </c>
      <c r="B231" t="s">
        <v>30</v>
      </c>
      <c r="C231" t="s">
        <v>81</v>
      </c>
      <c r="D231" t="s">
        <v>85</v>
      </c>
      <c r="E231" t="s">
        <v>84</v>
      </c>
      <c r="F231" t="s">
        <v>84</v>
      </c>
      <c r="G231" t="s">
        <v>84</v>
      </c>
      <c r="H231" s="16">
        <v>0</v>
      </c>
      <c r="I231" s="11">
        <v>0</v>
      </c>
      <c r="J231" s="11">
        <v>0</v>
      </c>
      <c r="K231" s="11">
        <v>0</v>
      </c>
      <c r="L231" s="11">
        <v>3.9622267714455497E-2</v>
      </c>
      <c r="M231" s="11">
        <v>3.5488679111363502E-3</v>
      </c>
      <c r="N231" s="11">
        <v>0</v>
      </c>
      <c r="O231" s="11">
        <v>0</v>
      </c>
      <c r="P231" s="11">
        <v>0</v>
      </c>
      <c r="Q231" s="11">
        <v>1.3746460286476201E-2</v>
      </c>
      <c r="R231" s="11">
        <v>1.12205740445681E-2</v>
      </c>
      <c r="S231" s="11">
        <v>0</v>
      </c>
      <c r="T231" s="1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3.1774275546517499E-3</v>
      </c>
      <c r="AA231">
        <v>4.4949880882815697E-3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</row>
    <row r="232" spans="1:39" customFormat="1" hidden="1" x14ac:dyDescent="0.3">
      <c r="A232" t="s">
        <v>724</v>
      </c>
      <c r="B232" t="s">
        <v>30</v>
      </c>
      <c r="C232" t="s">
        <v>81</v>
      </c>
      <c r="D232" t="s">
        <v>85</v>
      </c>
      <c r="E232" t="s">
        <v>287</v>
      </c>
      <c r="F232" t="s">
        <v>286</v>
      </c>
      <c r="G232" t="s">
        <v>286</v>
      </c>
      <c r="H232" s="16">
        <v>0</v>
      </c>
      <c r="I232" s="11">
        <v>0</v>
      </c>
      <c r="J232" s="11">
        <v>0</v>
      </c>
      <c r="K232" s="11">
        <v>0</v>
      </c>
      <c r="L232" s="11">
        <v>1.3207422571485199E-2</v>
      </c>
      <c r="M232" s="11">
        <v>7.0977358222727004E-3</v>
      </c>
      <c r="N232" s="11">
        <v>3.2085071274694003E-2</v>
      </c>
      <c r="O232" s="11">
        <v>3.3752109506844201E-2</v>
      </c>
      <c r="P232" s="11">
        <v>0</v>
      </c>
      <c r="Q232" s="11">
        <v>5.4985841145904898E-3</v>
      </c>
      <c r="R232" s="11">
        <v>2.2441148089136199E-3</v>
      </c>
      <c r="S232" s="11">
        <v>0</v>
      </c>
      <c r="T232" s="11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4.4949880882815697E-3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</row>
    <row r="233" spans="1:39" customFormat="1" hidden="1" x14ac:dyDescent="0.3">
      <c r="A233" t="s">
        <v>721</v>
      </c>
      <c r="B233" t="s">
        <v>30</v>
      </c>
      <c r="C233" t="s">
        <v>81</v>
      </c>
      <c r="D233" t="s">
        <v>85</v>
      </c>
      <c r="E233" t="s">
        <v>287</v>
      </c>
      <c r="F233" t="s">
        <v>286</v>
      </c>
      <c r="G233" t="s">
        <v>286</v>
      </c>
      <c r="H233" s="16">
        <v>0</v>
      </c>
      <c r="I233" s="11">
        <v>1.4626298083955E-2</v>
      </c>
      <c r="J233" s="11">
        <v>1.30781638257989E-2</v>
      </c>
      <c r="K233" s="11">
        <v>2.26359572180409E-2</v>
      </c>
      <c r="L233" s="11">
        <v>3.9622267714455497E-2</v>
      </c>
      <c r="M233" s="11">
        <v>2.12932074668181E-2</v>
      </c>
      <c r="N233" s="11">
        <v>9.1671632213411597E-3</v>
      </c>
      <c r="O233" s="11">
        <v>0</v>
      </c>
      <c r="P233" s="11">
        <v>0</v>
      </c>
      <c r="Q233" s="11">
        <v>0</v>
      </c>
      <c r="R233" s="11">
        <v>0</v>
      </c>
      <c r="S233" s="11">
        <v>2.4883049666567102E-3</v>
      </c>
      <c r="T233" s="11">
        <v>3.3464962184592698E-3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4.4949880882815697E-3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4.6410173109945703E-3</v>
      </c>
      <c r="AI233">
        <v>0</v>
      </c>
      <c r="AJ233">
        <v>0</v>
      </c>
      <c r="AK233">
        <v>0</v>
      </c>
      <c r="AL233">
        <v>0</v>
      </c>
      <c r="AM233">
        <v>0</v>
      </c>
    </row>
    <row r="234" spans="1:39" customFormat="1" hidden="1" x14ac:dyDescent="0.3">
      <c r="A234" t="s">
        <v>707</v>
      </c>
      <c r="B234" t="s">
        <v>30</v>
      </c>
      <c r="C234" t="s">
        <v>111</v>
      </c>
      <c r="D234" t="s">
        <v>141</v>
      </c>
      <c r="E234" t="s">
        <v>140</v>
      </c>
      <c r="F234" t="s">
        <v>602</v>
      </c>
      <c r="G234" t="s">
        <v>706</v>
      </c>
      <c r="H234" s="16">
        <v>0</v>
      </c>
      <c r="I234" s="11">
        <v>3.6565745209887401E-3</v>
      </c>
      <c r="J234" s="11">
        <v>0</v>
      </c>
      <c r="K234" s="11">
        <v>0</v>
      </c>
      <c r="L234" s="11">
        <v>0</v>
      </c>
      <c r="M234" s="11">
        <v>0</v>
      </c>
      <c r="N234" s="11">
        <v>0</v>
      </c>
      <c r="O234" s="11">
        <v>0</v>
      </c>
      <c r="P234" s="11">
        <v>6.78955766031843E-3</v>
      </c>
      <c r="Q234" s="11">
        <v>0</v>
      </c>
      <c r="R234" s="11">
        <v>0</v>
      </c>
      <c r="S234" s="11">
        <v>4.9766099333134299E-3</v>
      </c>
      <c r="T234" s="11">
        <v>1.00394886553778E-2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4.4949880882815697E-3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3.5844863431070302E-3</v>
      </c>
      <c r="AM234">
        <v>0</v>
      </c>
    </row>
    <row r="235" spans="1:39" customFormat="1" hidden="1" x14ac:dyDescent="0.3">
      <c r="A235" t="s">
        <v>686</v>
      </c>
      <c r="B235" t="s">
        <v>30</v>
      </c>
      <c r="C235" t="s">
        <v>81</v>
      </c>
      <c r="D235" t="s">
        <v>80</v>
      </c>
      <c r="E235" t="s">
        <v>642</v>
      </c>
      <c r="F235" t="s">
        <v>645</v>
      </c>
      <c r="G235" t="s">
        <v>644</v>
      </c>
      <c r="H235" s="16">
        <v>4.1583499667332E-3</v>
      </c>
      <c r="I235" s="11">
        <v>3.6565745209887401E-3</v>
      </c>
      <c r="J235" s="11">
        <v>0</v>
      </c>
      <c r="K235" s="11">
        <v>0</v>
      </c>
      <c r="L235" s="11">
        <v>0</v>
      </c>
      <c r="M235" s="11">
        <v>0</v>
      </c>
      <c r="N235" s="11">
        <v>0</v>
      </c>
      <c r="O235" s="11">
        <v>0</v>
      </c>
      <c r="P235" s="11">
        <v>0</v>
      </c>
      <c r="Q235" s="11">
        <v>0</v>
      </c>
      <c r="R235" s="11">
        <v>0</v>
      </c>
      <c r="S235" s="11">
        <v>0</v>
      </c>
      <c r="T235" s="11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4.4949880882815697E-3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</row>
    <row r="236" spans="1:39" customFormat="1" hidden="1" x14ac:dyDescent="0.3">
      <c r="A236" t="s">
        <v>610</v>
      </c>
      <c r="B236" t="s">
        <v>30</v>
      </c>
      <c r="C236" t="s">
        <v>111</v>
      </c>
      <c r="D236" t="s">
        <v>141</v>
      </c>
      <c r="E236" t="s">
        <v>140</v>
      </c>
      <c r="F236" t="s">
        <v>206</v>
      </c>
      <c r="G236" t="s">
        <v>609</v>
      </c>
      <c r="H236" s="16">
        <v>4.1583499667332E-3</v>
      </c>
      <c r="I236" s="11">
        <v>0</v>
      </c>
      <c r="J236" s="11">
        <v>0</v>
      </c>
      <c r="K236" s="11">
        <v>0</v>
      </c>
      <c r="L236" s="11">
        <v>0</v>
      </c>
      <c r="M236" s="11">
        <v>0</v>
      </c>
      <c r="N236" s="11">
        <v>0</v>
      </c>
      <c r="O236" s="11">
        <v>0</v>
      </c>
      <c r="P236" s="11">
        <v>0</v>
      </c>
      <c r="Q236" s="11">
        <v>0</v>
      </c>
      <c r="R236" s="11">
        <v>0</v>
      </c>
      <c r="S236" s="11">
        <v>0</v>
      </c>
      <c r="T236" s="11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4.4949880882815697E-3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</row>
    <row r="237" spans="1:39" customFormat="1" hidden="1" x14ac:dyDescent="0.3">
      <c r="A237" t="s">
        <v>564</v>
      </c>
      <c r="B237" t="s">
        <v>30</v>
      </c>
      <c r="C237" t="s">
        <v>526</v>
      </c>
      <c r="D237" t="s">
        <v>525</v>
      </c>
      <c r="E237" t="s">
        <v>524</v>
      </c>
      <c r="F237" t="s">
        <v>523</v>
      </c>
      <c r="G237" t="s">
        <v>25</v>
      </c>
      <c r="H237" s="16">
        <v>0</v>
      </c>
      <c r="I237" s="11">
        <v>0</v>
      </c>
      <c r="J237" s="11">
        <v>0</v>
      </c>
      <c r="K237" s="11">
        <v>0</v>
      </c>
      <c r="L237" s="11">
        <v>0</v>
      </c>
      <c r="M237" s="11">
        <v>0</v>
      </c>
      <c r="N237" s="11">
        <v>0</v>
      </c>
      <c r="O237" s="11">
        <v>0</v>
      </c>
      <c r="P237" s="11">
        <v>0</v>
      </c>
      <c r="Q237" s="11">
        <v>0</v>
      </c>
      <c r="R237" s="11">
        <v>0</v>
      </c>
      <c r="S237" s="11">
        <v>2.4883049666567102E-3</v>
      </c>
      <c r="T237" s="11">
        <v>6.69299243691855E-3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4.4949880882815697E-3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</row>
    <row r="238" spans="1:39" customFormat="1" hidden="1" x14ac:dyDescent="0.3">
      <c r="A238" t="s">
        <v>563</v>
      </c>
      <c r="B238" t="s">
        <v>30</v>
      </c>
      <c r="C238" t="s">
        <v>526</v>
      </c>
      <c r="D238" t="s">
        <v>525</v>
      </c>
      <c r="E238" t="s">
        <v>524</v>
      </c>
      <c r="F238" t="s">
        <v>523</v>
      </c>
      <c r="G238" t="s">
        <v>522</v>
      </c>
      <c r="H238" s="16">
        <v>0</v>
      </c>
      <c r="I238" s="11">
        <v>0</v>
      </c>
      <c r="J238" s="11">
        <v>0</v>
      </c>
      <c r="K238" s="11">
        <v>0</v>
      </c>
      <c r="L238" s="11">
        <v>0</v>
      </c>
      <c r="M238" s="11">
        <v>0</v>
      </c>
      <c r="N238" s="11">
        <v>0</v>
      </c>
      <c r="O238" s="11">
        <v>0</v>
      </c>
      <c r="P238" s="11">
        <v>3.3947788301592198E-3</v>
      </c>
      <c r="Q238" s="11">
        <v>0</v>
      </c>
      <c r="R238" s="11">
        <v>0</v>
      </c>
      <c r="S238" s="11">
        <v>4.9766099333134299E-3</v>
      </c>
      <c r="T238" s="11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4.4949880882815697E-3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</row>
    <row r="239" spans="1:39" customFormat="1" hidden="1" x14ac:dyDescent="0.3">
      <c r="A239" t="s">
        <v>550</v>
      </c>
      <c r="B239" t="s">
        <v>30</v>
      </c>
      <c r="C239" t="s">
        <v>526</v>
      </c>
      <c r="D239" t="s">
        <v>525</v>
      </c>
      <c r="E239" t="s">
        <v>524</v>
      </c>
      <c r="F239" t="s">
        <v>523</v>
      </c>
      <c r="G239" t="s">
        <v>25</v>
      </c>
      <c r="H239" s="16">
        <v>0</v>
      </c>
      <c r="I239" s="11">
        <v>0</v>
      </c>
      <c r="J239" s="11">
        <v>0</v>
      </c>
      <c r="K239" s="11">
        <v>0</v>
      </c>
      <c r="L239" s="11">
        <v>0</v>
      </c>
      <c r="M239" s="11">
        <v>0</v>
      </c>
      <c r="N239" s="11">
        <v>0</v>
      </c>
      <c r="O239" s="11">
        <v>0</v>
      </c>
      <c r="P239" s="11">
        <v>0</v>
      </c>
      <c r="Q239" s="11">
        <v>0</v>
      </c>
      <c r="R239" s="11">
        <v>2.2441148089136199E-3</v>
      </c>
      <c r="S239" s="11">
        <v>0</v>
      </c>
      <c r="T239" s="11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4.4949880882815697E-3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2.2984278753332699E-3</v>
      </c>
      <c r="AJ239">
        <v>0</v>
      </c>
      <c r="AK239">
        <v>0</v>
      </c>
      <c r="AL239">
        <v>0</v>
      </c>
      <c r="AM239">
        <v>0</v>
      </c>
    </row>
    <row r="240" spans="1:39" customFormat="1" hidden="1" x14ac:dyDescent="0.3">
      <c r="A240" t="s">
        <v>536</v>
      </c>
      <c r="B240" t="s">
        <v>30</v>
      </c>
      <c r="C240" t="s">
        <v>526</v>
      </c>
      <c r="D240" t="s">
        <v>525</v>
      </c>
      <c r="E240" t="s">
        <v>524</v>
      </c>
      <c r="F240" t="s">
        <v>523</v>
      </c>
      <c r="G240" t="s">
        <v>25</v>
      </c>
      <c r="H240" s="16">
        <v>8.3166999334664E-3</v>
      </c>
      <c r="I240" s="11">
        <v>7.3131490419774802E-3</v>
      </c>
      <c r="J240" s="11">
        <v>4.3593879419329502E-3</v>
      </c>
      <c r="K240" s="11">
        <v>0</v>
      </c>
      <c r="L240" s="11">
        <v>0</v>
      </c>
      <c r="M240" s="11">
        <v>0</v>
      </c>
      <c r="N240" s="11">
        <v>4.5835816106705798E-3</v>
      </c>
      <c r="O240" s="11">
        <v>3.75023438964935E-3</v>
      </c>
      <c r="P240" s="11">
        <v>0</v>
      </c>
      <c r="Q240" s="11">
        <v>0</v>
      </c>
      <c r="R240" s="11">
        <v>0</v>
      </c>
      <c r="S240" s="11">
        <v>2.4883049666567102E-3</v>
      </c>
      <c r="T240" s="11">
        <v>6.69299243691855E-3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4.4949880882815697E-3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3.5844863431070302E-3</v>
      </c>
      <c r="AM240">
        <v>0</v>
      </c>
    </row>
    <row r="241" spans="1:39" customFormat="1" hidden="1" x14ac:dyDescent="0.3">
      <c r="A241" t="s">
        <v>535</v>
      </c>
      <c r="B241" t="s">
        <v>30</v>
      </c>
      <c r="C241" t="s">
        <v>526</v>
      </c>
      <c r="D241" t="s">
        <v>525</v>
      </c>
      <c r="E241" t="s">
        <v>524</v>
      </c>
      <c r="F241" t="s">
        <v>523</v>
      </c>
      <c r="G241" t="s">
        <v>522</v>
      </c>
      <c r="H241" s="16">
        <v>4.1583499667332E-3</v>
      </c>
      <c r="I241" s="11">
        <v>0</v>
      </c>
      <c r="J241" s="11">
        <v>0</v>
      </c>
      <c r="K241" s="11">
        <v>0</v>
      </c>
      <c r="L241" s="11">
        <v>0</v>
      </c>
      <c r="M241" s="11">
        <v>0</v>
      </c>
      <c r="N241" s="11">
        <v>4.5835816106705798E-3</v>
      </c>
      <c r="O241" s="11">
        <v>3.75023438964935E-3</v>
      </c>
      <c r="P241" s="11">
        <v>3.3947788301592198E-3</v>
      </c>
      <c r="Q241" s="11">
        <v>0</v>
      </c>
      <c r="R241" s="11">
        <v>4.4882296178272501E-3</v>
      </c>
      <c r="S241" s="11">
        <v>0</v>
      </c>
      <c r="T241" s="11">
        <v>6.69299243691855E-3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4.4949880882815697E-3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3.5844863431070302E-3</v>
      </c>
      <c r="AM241">
        <v>0</v>
      </c>
    </row>
    <row r="242" spans="1:39" customFormat="1" hidden="1" x14ac:dyDescent="0.3">
      <c r="A242" t="s">
        <v>534</v>
      </c>
      <c r="B242" t="s">
        <v>30</v>
      </c>
      <c r="C242" t="s">
        <v>526</v>
      </c>
      <c r="D242" t="s">
        <v>525</v>
      </c>
      <c r="E242" t="s">
        <v>524</v>
      </c>
      <c r="F242" t="s">
        <v>523</v>
      </c>
      <c r="G242" t="s">
        <v>25</v>
      </c>
      <c r="H242" s="16">
        <v>0</v>
      </c>
      <c r="I242" s="11">
        <v>0</v>
      </c>
      <c r="J242" s="11">
        <v>0</v>
      </c>
      <c r="K242" s="11">
        <v>0</v>
      </c>
      <c r="L242" s="11">
        <v>0</v>
      </c>
      <c r="M242" s="11">
        <v>0</v>
      </c>
      <c r="N242" s="11">
        <v>0</v>
      </c>
      <c r="O242" s="11">
        <v>0</v>
      </c>
      <c r="P242" s="11">
        <v>0</v>
      </c>
      <c r="Q242" s="11">
        <v>5.4985841145904898E-3</v>
      </c>
      <c r="R242" s="11">
        <v>1.3464688853481699E-2</v>
      </c>
      <c r="S242" s="11">
        <v>4.9766099333134299E-3</v>
      </c>
      <c r="T242" s="11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4.4949880882815697E-3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</row>
    <row r="243" spans="1:39" customFormat="1" hidden="1" x14ac:dyDescent="0.3">
      <c r="A243" t="s">
        <v>533</v>
      </c>
      <c r="B243" t="s">
        <v>30</v>
      </c>
      <c r="C243" t="s">
        <v>526</v>
      </c>
      <c r="D243" t="s">
        <v>525</v>
      </c>
      <c r="E243" t="s">
        <v>524</v>
      </c>
      <c r="F243" t="s">
        <v>523</v>
      </c>
      <c r="G243" t="s">
        <v>532</v>
      </c>
      <c r="H243" s="16">
        <v>0</v>
      </c>
      <c r="I243" s="11">
        <v>0</v>
      </c>
      <c r="J243" s="11">
        <v>0</v>
      </c>
      <c r="K243" s="11">
        <v>0</v>
      </c>
      <c r="L243" s="11">
        <v>0</v>
      </c>
      <c r="M243" s="11">
        <v>0</v>
      </c>
      <c r="N243" s="11">
        <v>0</v>
      </c>
      <c r="O243" s="11">
        <v>0</v>
      </c>
      <c r="P243" s="11">
        <v>0</v>
      </c>
      <c r="Q243" s="11">
        <v>0</v>
      </c>
      <c r="R243" s="11">
        <v>0</v>
      </c>
      <c r="S243" s="11">
        <v>0</v>
      </c>
      <c r="T243" s="11">
        <v>0</v>
      </c>
      <c r="U243">
        <v>0</v>
      </c>
      <c r="V243">
        <v>3.6144142841652502E-3</v>
      </c>
      <c r="W243">
        <v>0</v>
      </c>
      <c r="X243">
        <v>0</v>
      </c>
      <c r="Y243">
        <v>0</v>
      </c>
      <c r="Z243">
        <v>0</v>
      </c>
      <c r="AA243">
        <v>4.4949880882815697E-3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</row>
    <row r="244" spans="1:39" customFormat="1" hidden="1" x14ac:dyDescent="0.3">
      <c r="A244" t="s">
        <v>506</v>
      </c>
      <c r="B244" t="s">
        <v>30</v>
      </c>
      <c r="C244" t="s">
        <v>81</v>
      </c>
      <c r="D244" t="s">
        <v>85</v>
      </c>
      <c r="E244" t="s">
        <v>287</v>
      </c>
      <c r="F244" t="s">
        <v>286</v>
      </c>
      <c r="G244" t="s">
        <v>286</v>
      </c>
      <c r="H244" s="16">
        <v>0</v>
      </c>
      <c r="I244" s="11">
        <v>1.4626298083955E-2</v>
      </c>
      <c r="J244" s="11">
        <v>0</v>
      </c>
      <c r="K244" s="11">
        <v>0</v>
      </c>
      <c r="L244" s="11">
        <v>0</v>
      </c>
      <c r="M244" s="11">
        <v>0</v>
      </c>
      <c r="N244" s="11">
        <v>0</v>
      </c>
      <c r="O244" s="11">
        <v>3.75023438964935E-3</v>
      </c>
      <c r="P244" s="11">
        <v>3.3947788301592198E-3</v>
      </c>
      <c r="Q244" s="11">
        <v>0</v>
      </c>
      <c r="R244" s="11">
        <v>2.2441148089136199E-3</v>
      </c>
      <c r="S244" s="11">
        <v>2.4883049666567102E-3</v>
      </c>
      <c r="T244" s="11">
        <v>3.3464962184592698E-3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4.4949880882815697E-3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3.5844863431070302E-3</v>
      </c>
      <c r="AM244">
        <v>0</v>
      </c>
    </row>
    <row r="245" spans="1:39" customFormat="1" hidden="1" x14ac:dyDescent="0.3">
      <c r="A245" t="s">
        <v>500</v>
      </c>
      <c r="B245" t="s">
        <v>30</v>
      </c>
      <c r="C245" t="s">
        <v>41</v>
      </c>
      <c r="D245" t="s">
        <v>41</v>
      </c>
      <c r="E245" t="s">
        <v>41</v>
      </c>
      <c r="F245" t="s">
        <v>41</v>
      </c>
      <c r="G245" t="s">
        <v>41</v>
      </c>
      <c r="H245" s="16">
        <v>0</v>
      </c>
      <c r="I245" s="11">
        <v>0</v>
      </c>
      <c r="J245" s="11">
        <v>0</v>
      </c>
      <c r="K245" s="11">
        <v>0</v>
      </c>
      <c r="L245" s="11">
        <v>6.6037112857425901E-3</v>
      </c>
      <c r="M245" s="11">
        <v>0</v>
      </c>
      <c r="N245" s="11">
        <v>9.1671632213411597E-3</v>
      </c>
      <c r="O245" s="11">
        <v>0</v>
      </c>
      <c r="P245" s="11">
        <v>2.37634518111145E-2</v>
      </c>
      <c r="Q245" s="11">
        <v>1.0997168229181E-2</v>
      </c>
      <c r="R245" s="11">
        <v>8.9764592356545003E-3</v>
      </c>
      <c r="S245" s="11">
        <v>0</v>
      </c>
      <c r="T245" s="11">
        <v>1.00394886553778E-2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4.4949880882815697E-3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</row>
    <row r="246" spans="1:39" customFormat="1" hidden="1" x14ac:dyDescent="0.3">
      <c r="A246" t="s">
        <v>487</v>
      </c>
      <c r="B246" t="s">
        <v>30</v>
      </c>
      <c r="C246" t="s">
        <v>81</v>
      </c>
      <c r="D246" t="s">
        <v>85</v>
      </c>
      <c r="E246" t="s">
        <v>287</v>
      </c>
      <c r="F246" t="s">
        <v>286</v>
      </c>
      <c r="G246" t="s">
        <v>286</v>
      </c>
      <c r="H246" s="16">
        <v>0</v>
      </c>
      <c r="I246" s="11">
        <v>7.3131490419774802E-3</v>
      </c>
      <c r="J246" s="11">
        <v>0</v>
      </c>
      <c r="K246" s="11">
        <v>0</v>
      </c>
      <c r="L246" s="11">
        <v>6.6037112857425901E-3</v>
      </c>
      <c r="M246" s="11">
        <v>7.0977358222727004E-3</v>
      </c>
      <c r="N246" s="11">
        <v>1.37507448320117E-2</v>
      </c>
      <c r="O246" s="11">
        <v>2.2501406337896102E-2</v>
      </c>
      <c r="P246" s="11">
        <v>6.78955766031843E-3</v>
      </c>
      <c r="Q246" s="11">
        <v>0</v>
      </c>
      <c r="R246" s="11">
        <v>4.4882296178272501E-3</v>
      </c>
      <c r="S246" s="11">
        <v>0</v>
      </c>
      <c r="T246" s="11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4.4949880882815697E-3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</row>
    <row r="247" spans="1:39" customFormat="1" hidden="1" x14ac:dyDescent="0.3">
      <c r="A247" t="s">
        <v>454</v>
      </c>
      <c r="B247" t="s">
        <v>30</v>
      </c>
      <c r="C247" t="s">
        <v>81</v>
      </c>
      <c r="D247" t="s">
        <v>85</v>
      </c>
      <c r="E247" t="s">
        <v>287</v>
      </c>
      <c r="F247" t="s">
        <v>286</v>
      </c>
      <c r="G247" t="s">
        <v>286</v>
      </c>
      <c r="H247" s="16">
        <v>0</v>
      </c>
      <c r="I247" s="11">
        <v>0</v>
      </c>
      <c r="J247" s="11">
        <v>0</v>
      </c>
      <c r="K247" s="11">
        <v>0</v>
      </c>
      <c r="L247" s="11">
        <v>0</v>
      </c>
      <c r="M247" s="11">
        <v>0</v>
      </c>
      <c r="N247" s="11">
        <v>0</v>
      </c>
      <c r="O247" s="11">
        <v>0</v>
      </c>
      <c r="P247" s="11">
        <v>0</v>
      </c>
      <c r="Q247" s="11">
        <v>0</v>
      </c>
      <c r="R247" s="11">
        <v>0</v>
      </c>
      <c r="S247" s="11">
        <v>4.9766099333134299E-3</v>
      </c>
      <c r="T247" s="11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4.4949880882815697E-3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</row>
    <row r="248" spans="1:39" customFormat="1" hidden="1" x14ac:dyDescent="0.3">
      <c r="A248" t="s">
        <v>394</v>
      </c>
      <c r="B248" t="s">
        <v>30</v>
      </c>
      <c r="C248" t="s">
        <v>81</v>
      </c>
      <c r="D248" t="s">
        <v>85</v>
      </c>
      <c r="E248" t="s">
        <v>84</v>
      </c>
      <c r="F248" t="s">
        <v>84</v>
      </c>
      <c r="G248" t="s">
        <v>84</v>
      </c>
      <c r="H248" s="16">
        <v>4.1583499667332E-3</v>
      </c>
      <c r="I248" s="11">
        <v>0</v>
      </c>
      <c r="J248" s="11">
        <v>4.3593879419329502E-3</v>
      </c>
      <c r="K248" s="11">
        <v>0</v>
      </c>
      <c r="L248" s="11">
        <v>0</v>
      </c>
      <c r="M248" s="11">
        <v>0</v>
      </c>
      <c r="N248" s="11">
        <v>0</v>
      </c>
      <c r="O248" s="11">
        <v>0</v>
      </c>
      <c r="P248" s="11">
        <v>0</v>
      </c>
      <c r="Q248" s="11">
        <v>0</v>
      </c>
      <c r="R248" s="11">
        <v>0</v>
      </c>
      <c r="S248" s="11">
        <v>0</v>
      </c>
      <c r="T248" s="11">
        <v>3.3464962184592698E-3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4.4949880882815697E-3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</row>
    <row r="249" spans="1:39" customFormat="1" hidden="1" x14ac:dyDescent="0.3">
      <c r="A249" t="s">
        <v>381</v>
      </c>
      <c r="B249" t="s">
        <v>30</v>
      </c>
      <c r="C249" t="s">
        <v>81</v>
      </c>
      <c r="D249" t="s">
        <v>85</v>
      </c>
      <c r="E249" t="s">
        <v>84</v>
      </c>
      <c r="F249" t="s">
        <v>84</v>
      </c>
      <c r="G249" t="s">
        <v>84</v>
      </c>
      <c r="H249" s="16">
        <v>0</v>
      </c>
      <c r="I249" s="11">
        <v>0</v>
      </c>
      <c r="J249" s="11">
        <v>0</v>
      </c>
      <c r="K249" s="11">
        <v>0</v>
      </c>
      <c r="L249" s="11">
        <v>0</v>
      </c>
      <c r="M249" s="11">
        <v>0</v>
      </c>
      <c r="N249" s="11">
        <v>0</v>
      </c>
      <c r="O249" s="11">
        <v>7.5004687792987104E-3</v>
      </c>
      <c r="P249" s="11">
        <v>6.78955766031843E-3</v>
      </c>
      <c r="Q249" s="11">
        <v>1.0997168229181E-2</v>
      </c>
      <c r="R249" s="11">
        <v>8.9764592356545003E-3</v>
      </c>
      <c r="S249" s="11">
        <v>2.4883049666567102E-3</v>
      </c>
      <c r="T249" s="11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4.4949880882815697E-3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</row>
    <row r="250" spans="1:39" customFormat="1" hidden="1" x14ac:dyDescent="0.3">
      <c r="A250" t="s">
        <v>363</v>
      </c>
      <c r="B250" t="s">
        <v>30</v>
      </c>
      <c r="C250" t="s">
        <v>35</v>
      </c>
      <c r="D250" t="s">
        <v>35</v>
      </c>
      <c r="E250" t="s">
        <v>349</v>
      </c>
      <c r="F250" t="s">
        <v>349</v>
      </c>
      <c r="G250" t="s">
        <v>349</v>
      </c>
      <c r="H250" s="16">
        <v>6.2375249500998001E-2</v>
      </c>
      <c r="I250" s="11">
        <v>1.4626298083955E-2</v>
      </c>
      <c r="J250" s="11">
        <v>0</v>
      </c>
      <c r="K250" s="11">
        <v>0</v>
      </c>
      <c r="L250" s="11">
        <v>0</v>
      </c>
      <c r="M250" s="11">
        <v>0</v>
      </c>
      <c r="N250" s="11">
        <v>0</v>
      </c>
      <c r="O250" s="11">
        <v>1.50009375585974E-2</v>
      </c>
      <c r="P250" s="11">
        <v>0</v>
      </c>
      <c r="Q250" s="11">
        <v>0</v>
      </c>
      <c r="R250" s="11">
        <v>0</v>
      </c>
      <c r="S250" s="11">
        <v>0</v>
      </c>
      <c r="T250" s="11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4.4949880882815697E-3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4.6410173109945703E-3</v>
      </c>
      <c r="AI250">
        <v>0</v>
      </c>
      <c r="AJ250">
        <v>0</v>
      </c>
      <c r="AK250">
        <v>0</v>
      </c>
      <c r="AL250">
        <v>0</v>
      </c>
      <c r="AM250">
        <v>0</v>
      </c>
    </row>
    <row r="251" spans="1:39" customFormat="1" hidden="1" x14ac:dyDescent="0.3">
      <c r="A251" t="s">
        <v>362</v>
      </c>
      <c r="B251" t="s">
        <v>30</v>
      </c>
      <c r="C251" t="s">
        <v>81</v>
      </c>
      <c r="D251" t="s">
        <v>351</v>
      </c>
      <c r="E251" t="s">
        <v>351</v>
      </c>
      <c r="F251" t="s">
        <v>351</v>
      </c>
      <c r="G251" t="s">
        <v>351</v>
      </c>
      <c r="H251" s="16">
        <v>9.5642049234863594E-2</v>
      </c>
      <c r="I251" s="11">
        <v>0</v>
      </c>
      <c r="J251" s="11">
        <v>0</v>
      </c>
      <c r="K251" s="11">
        <v>0</v>
      </c>
      <c r="L251" s="11">
        <v>0</v>
      </c>
      <c r="M251" s="11">
        <v>0</v>
      </c>
      <c r="N251" s="11">
        <v>0</v>
      </c>
      <c r="O251" s="11">
        <v>0</v>
      </c>
      <c r="P251" s="11">
        <v>0</v>
      </c>
      <c r="Q251" s="11">
        <v>0</v>
      </c>
      <c r="R251" s="11">
        <v>0</v>
      </c>
      <c r="S251" s="11">
        <v>0</v>
      </c>
      <c r="T251" s="11">
        <v>0</v>
      </c>
      <c r="U251">
        <v>3.04201016031394E-3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4.4949880882815697E-3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</row>
    <row r="252" spans="1:39" customFormat="1" hidden="1" x14ac:dyDescent="0.3">
      <c r="A252" t="s">
        <v>361</v>
      </c>
      <c r="B252" t="s">
        <v>30</v>
      </c>
      <c r="C252" t="s">
        <v>81</v>
      </c>
      <c r="D252" t="s">
        <v>351</v>
      </c>
      <c r="E252" t="s">
        <v>351</v>
      </c>
      <c r="F252" t="s">
        <v>351</v>
      </c>
      <c r="G252" t="s">
        <v>351</v>
      </c>
      <c r="H252" s="16">
        <v>1.66333998669328E-2</v>
      </c>
      <c r="I252" s="11">
        <v>3.6565745209887401E-3</v>
      </c>
      <c r="J252" s="11">
        <v>0</v>
      </c>
      <c r="K252" s="11">
        <v>2.26359572180409E-2</v>
      </c>
      <c r="L252" s="11">
        <v>4.6225979000198099E-2</v>
      </c>
      <c r="M252" s="11">
        <v>1.0646603733408999E-2</v>
      </c>
      <c r="N252" s="11">
        <v>0</v>
      </c>
      <c r="O252" s="11">
        <v>1.1250703168948099E-2</v>
      </c>
      <c r="P252" s="11">
        <v>0</v>
      </c>
      <c r="Q252" s="11">
        <v>2.7492920572952501E-3</v>
      </c>
      <c r="R252" s="11">
        <v>0</v>
      </c>
      <c r="S252" s="11">
        <v>0</v>
      </c>
      <c r="T252" s="11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4.4949880882815697E-3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3.5844863431070302E-3</v>
      </c>
      <c r="AM252">
        <v>0</v>
      </c>
    </row>
    <row r="253" spans="1:39" customFormat="1" hidden="1" x14ac:dyDescent="0.3">
      <c r="A253" t="s">
        <v>316</v>
      </c>
      <c r="B253" t="s">
        <v>30</v>
      </c>
      <c r="C253" t="s">
        <v>81</v>
      </c>
      <c r="D253" t="s">
        <v>85</v>
      </c>
      <c r="E253" t="s">
        <v>84</v>
      </c>
      <c r="F253" t="s">
        <v>84</v>
      </c>
      <c r="G253" t="s">
        <v>84</v>
      </c>
      <c r="H253" s="16">
        <v>0</v>
      </c>
      <c r="I253" s="11">
        <v>0</v>
      </c>
      <c r="J253" s="11">
        <v>0</v>
      </c>
      <c r="K253" s="11">
        <v>0</v>
      </c>
      <c r="L253" s="11">
        <v>0</v>
      </c>
      <c r="M253" s="11">
        <v>0</v>
      </c>
      <c r="N253" s="11">
        <v>0</v>
      </c>
      <c r="O253" s="11">
        <v>0</v>
      </c>
      <c r="P253" s="11">
        <v>0</v>
      </c>
      <c r="Q253" s="11">
        <v>0</v>
      </c>
      <c r="R253" s="11">
        <v>0</v>
      </c>
      <c r="S253" s="11">
        <v>1.7418134766596999E-2</v>
      </c>
      <c r="T253" s="11">
        <v>2.00789773107556E-2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4.4949880882815697E-3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4.6410173109945703E-3</v>
      </c>
      <c r="AI253">
        <v>0</v>
      </c>
      <c r="AJ253">
        <v>0</v>
      </c>
      <c r="AK253">
        <v>0</v>
      </c>
      <c r="AL253">
        <v>0</v>
      </c>
      <c r="AM253">
        <v>0</v>
      </c>
    </row>
    <row r="254" spans="1:39" customFormat="1" hidden="1" x14ac:dyDescent="0.3">
      <c r="A254" t="s">
        <v>204</v>
      </c>
      <c r="B254" t="s">
        <v>30</v>
      </c>
      <c r="C254" t="s">
        <v>29</v>
      </c>
      <c r="D254" t="s">
        <v>28</v>
      </c>
      <c r="E254" t="s">
        <v>27</v>
      </c>
      <c r="F254" t="s">
        <v>64</v>
      </c>
      <c r="G254" t="s">
        <v>63</v>
      </c>
      <c r="H254" s="16">
        <v>0</v>
      </c>
      <c r="I254" s="11">
        <v>0</v>
      </c>
      <c r="J254" s="11">
        <v>0</v>
      </c>
      <c r="K254" s="11">
        <v>0</v>
      </c>
      <c r="L254" s="11">
        <v>6.6037112857425901E-3</v>
      </c>
      <c r="M254" s="11">
        <v>0</v>
      </c>
      <c r="N254" s="11">
        <v>4.5835816106705798E-3</v>
      </c>
      <c r="O254" s="11">
        <v>0</v>
      </c>
      <c r="P254" s="11">
        <v>3.3947788301592198E-3</v>
      </c>
      <c r="Q254" s="11">
        <v>5.4985841145904898E-3</v>
      </c>
      <c r="R254" s="11">
        <v>4.4882296178272501E-3</v>
      </c>
      <c r="S254" s="11">
        <v>1.49298297999403E-2</v>
      </c>
      <c r="T254" s="11">
        <v>1.00394886553778E-2</v>
      </c>
      <c r="U254">
        <v>0</v>
      </c>
      <c r="V254">
        <v>0</v>
      </c>
      <c r="W254">
        <v>0</v>
      </c>
      <c r="X254">
        <v>0</v>
      </c>
      <c r="Y254">
        <v>2.9264581077521898E-3</v>
      </c>
      <c r="Z254">
        <v>0</v>
      </c>
      <c r="AA254">
        <v>4.4949880882815697E-3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</row>
    <row r="255" spans="1:39" customFormat="1" hidden="1" x14ac:dyDescent="0.3">
      <c r="A255" t="s">
        <v>202</v>
      </c>
      <c r="B255" t="s">
        <v>30</v>
      </c>
      <c r="C255" t="s">
        <v>35</v>
      </c>
      <c r="D255" t="s">
        <v>35</v>
      </c>
      <c r="E255" t="s">
        <v>34</v>
      </c>
      <c r="F255" t="s">
        <v>33</v>
      </c>
      <c r="G255" t="s">
        <v>50</v>
      </c>
      <c r="H255" s="16">
        <v>0</v>
      </c>
      <c r="I255" s="11">
        <v>0</v>
      </c>
      <c r="J255" s="11">
        <v>0</v>
      </c>
      <c r="K255" s="11">
        <v>0</v>
      </c>
      <c r="L255" s="11">
        <v>0</v>
      </c>
      <c r="M255" s="11">
        <v>0</v>
      </c>
      <c r="N255" s="11">
        <v>4.5835816106705798E-3</v>
      </c>
      <c r="O255" s="11">
        <v>3.75023438964935E-3</v>
      </c>
      <c r="P255" s="11">
        <v>0</v>
      </c>
      <c r="Q255" s="11">
        <v>2.7492920572952501E-3</v>
      </c>
      <c r="R255" s="11">
        <v>2.2441148089136199E-3</v>
      </c>
      <c r="S255" s="11">
        <v>2.4883049666567102E-3</v>
      </c>
      <c r="T255" s="11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4.4949880882815697E-3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</row>
    <row r="256" spans="1:39" customFormat="1" hidden="1" x14ac:dyDescent="0.3">
      <c r="A256" t="s">
        <v>194</v>
      </c>
      <c r="B256" t="s">
        <v>30</v>
      </c>
      <c r="C256" t="s">
        <v>41</v>
      </c>
      <c r="D256" t="s">
        <v>41</v>
      </c>
      <c r="E256" t="s">
        <v>41</v>
      </c>
      <c r="F256" t="s">
        <v>41</v>
      </c>
      <c r="G256" t="s">
        <v>41</v>
      </c>
      <c r="H256" s="16">
        <v>4.1583499667332E-3</v>
      </c>
      <c r="I256" s="11">
        <v>1.4626298083955E-2</v>
      </c>
      <c r="J256" s="11">
        <v>4.3593879419329502E-3</v>
      </c>
      <c r="K256" s="11">
        <v>0</v>
      </c>
      <c r="L256" s="11">
        <v>0</v>
      </c>
      <c r="M256" s="11">
        <v>0</v>
      </c>
      <c r="N256" s="11">
        <v>1.37507448320117E-2</v>
      </c>
      <c r="O256" s="11">
        <v>0</v>
      </c>
      <c r="P256" s="11">
        <v>0</v>
      </c>
      <c r="Q256" s="11">
        <v>2.7492920572952501E-3</v>
      </c>
      <c r="R256" s="11">
        <v>0</v>
      </c>
      <c r="S256" s="11">
        <v>0</v>
      </c>
      <c r="T256" s="11">
        <v>0</v>
      </c>
      <c r="U256">
        <v>3.04201016031394E-3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4.4949880882815697E-3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</row>
    <row r="257" spans="1:39" customFormat="1" hidden="1" x14ac:dyDescent="0.3">
      <c r="A257" t="s">
        <v>184</v>
      </c>
      <c r="B257" t="s">
        <v>30</v>
      </c>
      <c r="C257" t="s">
        <v>35</v>
      </c>
      <c r="D257" t="s">
        <v>35</v>
      </c>
      <c r="E257" t="s">
        <v>34</v>
      </c>
      <c r="F257" t="s">
        <v>33</v>
      </c>
      <c r="G257" t="s">
        <v>50</v>
      </c>
      <c r="H257" s="16">
        <v>0</v>
      </c>
      <c r="I257" s="11">
        <v>0</v>
      </c>
      <c r="J257" s="11">
        <v>0</v>
      </c>
      <c r="K257" s="11">
        <v>0</v>
      </c>
      <c r="L257" s="11">
        <v>0</v>
      </c>
      <c r="M257" s="11">
        <v>0</v>
      </c>
      <c r="N257" s="11">
        <v>0</v>
      </c>
      <c r="O257" s="11">
        <v>3.75023438964935E-3</v>
      </c>
      <c r="P257" s="11">
        <v>3.3947788301592198E-3</v>
      </c>
      <c r="Q257" s="11">
        <v>5.4985841145904898E-3</v>
      </c>
      <c r="R257" s="11">
        <v>2.2441148089136199E-3</v>
      </c>
      <c r="S257" s="11">
        <v>4.9766099333134299E-3</v>
      </c>
      <c r="T257" s="11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4.4949880882815697E-3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</row>
    <row r="258" spans="1:39" customFormat="1" hidden="1" x14ac:dyDescent="0.3">
      <c r="A258" t="s">
        <v>174</v>
      </c>
      <c r="B258" t="s">
        <v>30</v>
      </c>
      <c r="C258" t="s">
        <v>35</v>
      </c>
      <c r="D258" t="s">
        <v>170</v>
      </c>
      <c r="E258" t="s">
        <v>169</v>
      </c>
      <c r="F258" t="s">
        <v>173</v>
      </c>
      <c r="G258" t="s">
        <v>172</v>
      </c>
      <c r="H258" s="16">
        <v>1.66333998669328E-2</v>
      </c>
      <c r="I258" s="11">
        <v>1.09697235629662E-2</v>
      </c>
      <c r="J258" s="11">
        <v>8.7187758838659108E-3</v>
      </c>
      <c r="K258" s="11">
        <v>5.6589893045102101E-3</v>
      </c>
      <c r="L258" s="11">
        <v>0</v>
      </c>
      <c r="M258" s="11">
        <v>0</v>
      </c>
      <c r="N258" s="11">
        <v>1.37507448320117E-2</v>
      </c>
      <c r="O258" s="11">
        <v>0</v>
      </c>
      <c r="P258" s="11">
        <v>3.3947788301592198E-3</v>
      </c>
      <c r="Q258" s="11">
        <v>0</v>
      </c>
      <c r="R258" s="11">
        <v>0</v>
      </c>
      <c r="S258" s="11">
        <v>7.4649148999701397E-3</v>
      </c>
      <c r="T258" s="11">
        <v>3.3464962184592698E-3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4.4949880882815697E-3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</row>
    <row r="259" spans="1:39" customFormat="1" hidden="1" x14ac:dyDescent="0.3">
      <c r="A259" t="s">
        <v>158</v>
      </c>
      <c r="B259" t="s">
        <v>30</v>
      </c>
      <c r="C259" t="s">
        <v>29</v>
      </c>
      <c r="D259" t="s">
        <v>28</v>
      </c>
      <c r="E259" t="s">
        <v>27</v>
      </c>
      <c r="F259" t="s">
        <v>26</v>
      </c>
      <c r="G259" t="s">
        <v>25</v>
      </c>
      <c r="H259" s="16">
        <v>0</v>
      </c>
      <c r="I259" s="11">
        <v>0</v>
      </c>
      <c r="J259" s="11">
        <v>0</v>
      </c>
      <c r="K259" s="11">
        <v>0</v>
      </c>
      <c r="L259" s="11">
        <v>0</v>
      </c>
      <c r="M259" s="11">
        <v>0</v>
      </c>
      <c r="N259" s="11">
        <v>0</v>
      </c>
      <c r="O259" s="11">
        <v>0</v>
      </c>
      <c r="P259" s="11">
        <v>0</v>
      </c>
      <c r="Q259" s="11">
        <v>2.7492920572952501E-3</v>
      </c>
      <c r="R259" s="11">
        <v>4.4882296178272501E-3</v>
      </c>
      <c r="S259" s="11">
        <v>0</v>
      </c>
      <c r="T259" s="11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4.4949880882815697E-3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</row>
    <row r="260" spans="1:39" customFormat="1" hidden="1" x14ac:dyDescent="0.3">
      <c r="A260" t="s">
        <v>92</v>
      </c>
      <c r="B260" t="s">
        <v>30</v>
      </c>
      <c r="C260" t="s">
        <v>29</v>
      </c>
      <c r="D260" t="s">
        <v>28</v>
      </c>
      <c r="E260" t="s">
        <v>91</v>
      </c>
      <c r="F260" t="s">
        <v>90</v>
      </c>
      <c r="G260" t="s">
        <v>89</v>
      </c>
      <c r="H260" s="16">
        <v>0</v>
      </c>
      <c r="I260" s="11">
        <v>4.3878894251864899E-2</v>
      </c>
      <c r="J260" s="11">
        <v>0</v>
      </c>
      <c r="K260" s="11">
        <v>0</v>
      </c>
      <c r="L260" s="11">
        <v>6.6037112857425901E-3</v>
      </c>
      <c r="M260" s="11">
        <v>3.5488679111363502E-3</v>
      </c>
      <c r="N260" s="11">
        <v>0</v>
      </c>
      <c r="O260" s="11">
        <v>7.5004687792987104E-3</v>
      </c>
      <c r="P260" s="11">
        <v>6.78955766031843E-3</v>
      </c>
      <c r="Q260" s="11">
        <v>2.7492920572952501E-3</v>
      </c>
      <c r="R260" s="11">
        <v>2.2441148089136199E-3</v>
      </c>
      <c r="S260" s="11">
        <v>0</v>
      </c>
      <c r="T260" s="11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4.4949880882815697E-3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</row>
    <row r="261" spans="1:39" customFormat="1" hidden="1" x14ac:dyDescent="0.3">
      <c r="A261" t="s">
        <v>86</v>
      </c>
      <c r="B261" t="s">
        <v>30</v>
      </c>
      <c r="C261" t="s">
        <v>81</v>
      </c>
      <c r="D261" t="s">
        <v>85</v>
      </c>
      <c r="E261" t="s">
        <v>84</v>
      </c>
      <c r="F261" t="s">
        <v>84</v>
      </c>
      <c r="G261" t="s">
        <v>84</v>
      </c>
      <c r="H261" s="16">
        <v>1.2475049900199601E-2</v>
      </c>
      <c r="I261" s="11">
        <v>7.3131490419774802E-3</v>
      </c>
      <c r="J261" s="11">
        <v>8.7187758838659108E-3</v>
      </c>
      <c r="K261" s="11">
        <v>5.6589893045102101E-3</v>
      </c>
      <c r="L261" s="11">
        <v>0</v>
      </c>
      <c r="M261" s="11">
        <v>1.77443395556817E-2</v>
      </c>
      <c r="N261" s="11">
        <v>4.5835816106705798E-3</v>
      </c>
      <c r="O261" s="11">
        <v>3.75023438964935E-3</v>
      </c>
      <c r="P261" s="11">
        <v>0</v>
      </c>
      <c r="Q261" s="11">
        <v>0</v>
      </c>
      <c r="R261" s="11">
        <v>6.7323444267408704E-3</v>
      </c>
      <c r="S261" s="11">
        <v>0</v>
      </c>
      <c r="T261" s="1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4.4949880882815697E-3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4.6410173109945703E-3</v>
      </c>
      <c r="AI261">
        <v>0</v>
      </c>
      <c r="AJ261">
        <v>0</v>
      </c>
      <c r="AK261">
        <v>0</v>
      </c>
      <c r="AL261">
        <v>0</v>
      </c>
      <c r="AM261">
        <v>0</v>
      </c>
    </row>
    <row r="262" spans="1:39" x14ac:dyDescent="0.3">
      <c r="A262" s="6" t="s">
        <v>2085</v>
      </c>
      <c r="B262" s="6" t="s">
        <v>30</v>
      </c>
      <c r="C262" s="6" t="s">
        <v>29</v>
      </c>
      <c r="D262" s="6" t="s">
        <v>28</v>
      </c>
      <c r="E262" s="6" t="s">
        <v>388</v>
      </c>
      <c r="F262" s="6" t="s">
        <v>624</v>
      </c>
      <c r="G262" s="6" t="s">
        <v>634</v>
      </c>
      <c r="H262" s="49">
        <v>4.1583499667332E-3</v>
      </c>
      <c r="I262" s="6">
        <v>0</v>
      </c>
      <c r="J262" s="6">
        <v>0</v>
      </c>
      <c r="K262" s="6">
        <v>0</v>
      </c>
      <c r="L262" s="6">
        <v>0</v>
      </c>
      <c r="M262" s="6">
        <v>0</v>
      </c>
      <c r="N262" s="6">
        <v>0</v>
      </c>
      <c r="O262" s="6">
        <v>0</v>
      </c>
      <c r="P262" s="6">
        <v>0</v>
      </c>
      <c r="Q262" s="6">
        <v>0</v>
      </c>
      <c r="R262" s="6">
        <v>0</v>
      </c>
      <c r="S262" s="6">
        <v>0</v>
      </c>
      <c r="T262" s="6">
        <v>3.3464962184592698E-3</v>
      </c>
      <c r="U262" s="6">
        <v>0</v>
      </c>
      <c r="V262" s="6">
        <v>0.169877471355767</v>
      </c>
      <c r="W262" s="6">
        <v>2.6668088964744798E-3</v>
      </c>
      <c r="X262" s="6">
        <v>0</v>
      </c>
      <c r="Y262" s="51">
        <v>12.109683649878599</v>
      </c>
      <c r="Z262" s="6">
        <v>7.6258261311642095E-2</v>
      </c>
      <c r="AA262" s="6">
        <v>0</v>
      </c>
      <c r="AB262" s="51">
        <v>8.1979787042050205</v>
      </c>
      <c r="AC262" s="51">
        <v>10.570976556881901</v>
      </c>
      <c r="AD262" s="51">
        <v>15.3696130858761</v>
      </c>
      <c r="AE262" s="51">
        <v>31.250214371462899</v>
      </c>
      <c r="AF262" s="6">
        <v>1.0067451927917E-2</v>
      </c>
      <c r="AG262" s="6">
        <v>0.33795676969654298</v>
      </c>
      <c r="AH262" s="6">
        <v>1.8564069243978298E-2</v>
      </c>
      <c r="AI262" s="6">
        <v>1.14461708191597</v>
      </c>
      <c r="AJ262" s="6">
        <v>0</v>
      </c>
      <c r="AK262" s="6">
        <v>0</v>
      </c>
      <c r="AL262" s="6">
        <v>0</v>
      </c>
      <c r="AM262" s="6">
        <v>0</v>
      </c>
    </row>
    <row r="263" spans="1:39" customFormat="1" hidden="1" x14ac:dyDescent="0.3">
      <c r="A263" t="s">
        <v>2084</v>
      </c>
      <c r="B263" t="s">
        <v>30</v>
      </c>
      <c r="C263" t="s">
        <v>410</v>
      </c>
      <c r="D263" t="s">
        <v>410</v>
      </c>
      <c r="E263" t="s">
        <v>409</v>
      </c>
      <c r="F263" t="s">
        <v>408</v>
      </c>
      <c r="G263" t="s">
        <v>407</v>
      </c>
      <c r="H263" s="16">
        <v>0</v>
      </c>
      <c r="I263" s="11">
        <v>0</v>
      </c>
      <c r="J263" s="11">
        <v>0</v>
      </c>
      <c r="K263" s="11">
        <v>0</v>
      </c>
      <c r="L263" s="11">
        <v>6.6037112857425901E-3</v>
      </c>
      <c r="M263" s="11">
        <v>0</v>
      </c>
      <c r="N263" s="11">
        <v>5.0419397717376399E-2</v>
      </c>
      <c r="O263" s="11">
        <v>3.3752109506844201E-2</v>
      </c>
      <c r="P263" s="11">
        <v>0</v>
      </c>
      <c r="Q263" s="11">
        <v>0</v>
      </c>
      <c r="R263" s="11">
        <v>0</v>
      </c>
      <c r="S263" s="11">
        <v>0</v>
      </c>
      <c r="T263" s="11">
        <v>0</v>
      </c>
      <c r="U263">
        <v>0</v>
      </c>
      <c r="V263">
        <v>3.6144142841652502E-3</v>
      </c>
      <c r="W263">
        <v>2.6668088964744798E-3</v>
      </c>
      <c r="X263">
        <v>0</v>
      </c>
      <c r="Y263" s="4">
        <v>18.893213543648098</v>
      </c>
      <c r="Z263" s="4">
        <v>5.7193695983731599E-2</v>
      </c>
      <c r="AA263" s="4">
        <v>0</v>
      </c>
      <c r="AB263" s="4">
        <v>9.0281537628586896</v>
      </c>
      <c r="AC263" s="4">
        <v>2.3155472457931801</v>
      </c>
      <c r="AD263" s="4">
        <v>3.24630386914124</v>
      </c>
      <c r="AE263" s="4">
        <v>5.6834162236323102</v>
      </c>
      <c r="AF263" s="4">
        <v>0.12584314909896299</v>
      </c>
      <c r="AG263" s="4">
        <v>4.8745570184702798</v>
      </c>
      <c r="AH263" s="4">
        <v>0.125307467396853</v>
      </c>
      <c r="AI263" s="4">
        <v>2.73512917164659</v>
      </c>
      <c r="AJ263">
        <v>0</v>
      </c>
      <c r="AK263">
        <v>0</v>
      </c>
      <c r="AL263">
        <v>0</v>
      </c>
      <c r="AM263">
        <v>0</v>
      </c>
    </row>
    <row r="264" spans="1:39" customFormat="1" hidden="1" x14ac:dyDescent="0.3">
      <c r="A264" t="s">
        <v>2078</v>
      </c>
      <c r="B264" t="s">
        <v>30</v>
      </c>
      <c r="C264" t="s">
        <v>81</v>
      </c>
      <c r="D264" t="s">
        <v>118</v>
      </c>
      <c r="E264" t="s">
        <v>322</v>
      </c>
      <c r="F264" t="s">
        <v>321</v>
      </c>
      <c r="G264" t="s">
        <v>320</v>
      </c>
      <c r="H264" s="16">
        <v>0</v>
      </c>
      <c r="I264" s="11">
        <v>0</v>
      </c>
      <c r="J264" s="11">
        <v>0</v>
      </c>
      <c r="K264" s="11">
        <v>0</v>
      </c>
      <c r="L264" s="11">
        <v>0</v>
      </c>
      <c r="M264" s="11">
        <v>0</v>
      </c>
      <c r="N264" s="11">
        <v>0</v>
      </c>
      <c r="O264" s="11">
        <v>0</v>
      </c>
      <c r="P264" s="11">
        <v>0</v>
      </c>
      <c r="Q264" s="11">
        <v>0</v>
      </c>
      <c r="R264" s="11">
        <v>0</v>
      </c>
      <c r="S264" s="11">
        <v>0</v>
      </c>
      <c r="T264" s="11">
        <v>0</v>
      </c>
      <c r="U264">
        <v>0</v>
      </c>
      <c r="V264">
        <v>0</v>
      </c>
      <c r="W264">
        <v>2.6668088964744798E-3</v>
      </c>
      <c r="X264">
        <v>0</v>
      </c>
      <c r="Y264">
        <v>0</v>
      </c>
      <c r="Z264">
        <v>3.0535078800203399</v>
      </c>
      <c r="AA264">
        <v>0</v>
      </c>
      <c r="AB264">
        <v>4.9630030680382603E-2</v>
      </c>
      <c r="AC264">
        <v>6.4720264633970903E-2</v>
      </c>
      <c r="AD264">
        <v>1.25825731362064E-2</v>
      </c>
      <c r="AE264">
        <v>4.8019207683073203E-2</v>
      </c>
      <c r="AF264">
        <v>6.4834390415785803</v>
      </c>
      <c r="AG264">
        <v>16.149170363068801</v>
      </c>
      <c r="AH264">
        <v>1.9631503225507001</v>
      </c>
      <c r="AI264">
        <v>6.54132573319849</v>
      </c>
      <c r="AJ264">
        <v>0</v>
      </c>
      <c r="AK264">
        <v>0</v>
      </c>
      <c r="AL264">
        <v>0</v>
      </c>
      <c r="AM264">
        <v>0</v>
      </c>
    </row>
    <row r="265" spans="1:39" customFormat="1" hidden="1" x14ac:dyDescent="0.3">
      <c r="A265" t="s">
        <v>2068</v>
      </c>
      <c r="B265" t="s">
        <v>30</v>
      </c>
      <c r="C265" t="s">
        <v>251</v>
      </c>
      <c r="D265" t="s">
        <v>250</v>
      </c>
      <c r="E265" t="s">
        <v>249</v>
      </c>
      <c r="F265" t="s">
        <v>255</v>
      </c>
      <c r="G265" t="s">
        <v>254</v>
      </c>
      <c r="H265" s="16">
        <v>0</v>
      </c>
      <c r="I265" s="11">
        <v>0</v>
      </c>
      <c r="J265" s="11">
        <v>0</v>
      </c>
      <c r="K265" s="11">
        <v>0</v>
      </c>
      <c r="L265" s="11">
        <v>0</v>
      </c>
      <c r="M265" s="11">
        <v>0</v>
      </c>
      <c r="N265" s="11">
        <v>0</v>
      </c>
      <c r="O265" s="11">
        <v>0</v>
      </c>
      <c r="P265" s="11">
        <v>0</v>
      </c>
      <c r="Q265" s="11">
        <v>0</v>
      </c>
      <c r="R265" s="11">
        <v>0</v>
      </c>
      <c r="S265" s="11">
        <v>0</v>
      </c>
      <c r="T265" s="11">
        <v>0</v>
      </c>
      <c r="U265">
        <v>3.0420101603139401E-2</v>
      </c>
      <c r="V265">
        <v>3.6144142841652502E-3</v>
      </c>
      <c r="W265">
        <v>0.48269241026188098</v>
      </c>
      <c r="X265">
        <v>0</v>
      </c>
      <c r="Y265">
        <v>8.1940827017061194E-2</v>
      </c>
      <c r="Z265">
        <v>4.4483985765124601</v>
      </c>
      <c r="AA265">
        <v>0</v>
      </c>
      <c r="AB265">
        <v>0</v>
      </c>
      <c r="AC265">
        <v>7.1911405148856597E-3</v>
      </c>
      <c r="AD265">
        <v>3.14564328405159E-3</v>
      </c>
      <c r="AE265">
        <v>3.4299434059338E-3</v>
      </c>
      <c r="AF265">
        <v>7.1529245947850599</v>
      </c>
      <c r="AG265">
        <v>0.373160599873266</v>
      </c>
      <c r="AH265">
        <v>3.2487121176962001E-2</v>
      </c>
      <c r="AI265">
        <v>0.19076951365266201</v>
      </c>
      <c r="AJ265">
        <v>0</v>
      </c>
      <c r="AK265">
        <v>0</v>
      </c>
      <c r="AL265">
        <v>0</v>
      </c>
      <c r="AM265">
        <v>0</v>
      </c>
    </row>
    <row r="266" spans="1:39" customFormat="1" hidden="1" x14ac:dyDescent="0.3">
      <c r="A266" t="s">
        <v>2065</v>
      </c>
      <c r="B266" t="s">
        <v>30</v>
      </c>
      <c r="C266" t="s">
        <v>81</v>
      </c>
      <c r="D266" t="s">
        <v>80</v>
      </c>
      <c r="E266" t="s">
        <v>79</v>
      </c>
      <c r="F266" t="s">
        <v>78</v>
      </c>
      <c r="G266" t="s">
        <v>77</v>
      </c>
      <c r="H266" s="16">
        <v>0</v>
      </c>
      <c r="I266" s="11">
        <v>1.4626298083955E-2</v>
      </c>
      <c r="J266" s="11">
        <v>0</v>
      </c>
      <c r="K266" s="11">
        <v>0</v>
      </c>
      <c r="L266" s="11">
        <v>6.6037112857425901E-3</v>
      </c>
      <c r="M266" s="11">
        <v>0</v>
      </c>
      <c r="N266" s="11">
        <v>0</v>
      </c>
      <c r="O266" s="11">
        <v>0</v>
      </c>
      <c r="P266" s="11">
        <v>6.78955766031843E-3</v>
      </c>
      <c r="Q266" s="11">
        <v>5.4985841145904898E-3</v>
      </c>
      <c r="R266" s="11">
        <v>6.7323444267408704E-3</v>
      </c>
      <c r="S266" s="11">
        <v>2.4883049666567102E-3</v>
      </c>
      <c r="T266" s="11">
        <v>0</v>
      </c>
      <c r="U266">
        <v>0</v>
      </c>
      <c r="V266">
        <v>3.6144142841652502E-3</v>
      </c>
      <c r="W266">
        <v>0</v>
      </c>
      <c r="X266">
        <v>1.2848515996402399E-2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</row>
    <row r="267" spans="1:39" customFormat="1" hidden="1" x14ac:dyDescent="0.3">
      <c r="A267" t="s">
        <v>2058</v>
      </c>
      <c r="B267" t="s">
        <v>30</v>
      </c>
      <c r="C267" t="s">
        <v>29</v>
      </c>
      <c r="D267" t="s">
        <v>28</v>
      </c>
      <c r="E267" t="s">
        <v>388</v>
      </c>
      <c r="F267" t="s">
        <v>823</v>
      </c>
      <c r="G267" t="s">
        <v>822</v>
      </c>
      <c r="H267" s="16">
        <v>4.1583499667332E-3</v>
      </c>
      <c r="I267" s="11">
        <v>3.6565745209887401E-3</v>
      </c>
      <c r="J267" s="11">
        <v>4.3593879419329502E-3</v>
      </c>
      <c r="K267" s="11">
        <v>3.3953935827061299E-2</v>
      </c>
      <c r="L267" s="11">
        <v>2.6414845142970302E-2</v>
      </c>
      <c r="M267" s="11">
        <v>1.0646603733408999E-2</v>
      </c>
      <c r="N267" s="11">
        <v>0</v>
      </c>
      <c r="O267" s="11">
        <v>7.5004687792987104E-3</v>
      </c>
      <c r="P267" s="11">
        <v>0</v>
      </c>
      <c r="Q267" s="11">
        <v>2.7492920572952501E-3</v>
      </c>
      <c r="R267" s="11">
        <v>0</v>
      </c>
      <c r="S267" s="11">
        <v>2.4883049666567102E-3</v>
      </c>
      <c r="T267" s="11">
        <v>0</v>
      </c>
      <c r="U267">
        <v>6.0840203206278696E-3</v>
      </c>
      <c r="V267">
        <v>3.6144142841652502E-2</v>
      </c>
      <c r="W267">
        <v>1.06672355858979E-2</v>
      </c>
      <c r="X267">
        <v>0</v>
      </c>
      <c r="Y267">
        <v>4.38968716162828E-2</v>
      </c>
      <c r="Z267">
        <v>0</v>
      </c>
      <c r="AA267">
        <v>0</v>
      </c>
      <c r="AB267">
        <v>7.2189135535102006E-2</v>
      </c>
      <c r="AC267">
        <v>4.3146843089313998E-2</v>
      </c>
      <c r="AD267">
        <v>0.16986473733878599</v>
      </c>
      <c r="AE267">
        <v>0.21951637797976301</v>
      </c>
      <c r="AF267">
        <v>1.51011778918756E-2</v>
      </c>
      <c r="AG267">
        <v>7.0407660353446503E-3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</row>
    <row r="268" spans="1:39" customFormat="1" hidden="1" x14ac:dyDescent="0.3">
      <c r="A268" t="s">
        <v>2054</v>
      </c>
      <c r="B268" t="s">
        <v>30</v>
      </c>
      <c r="C268" t="s">
        <v>81</v>
      </c>
      <c r="D268" t="s">
        <v>80</v>
      </c>
      <c r="E268" t="s">
        <v>79</v>
      </c>
      <c r="F268" t="s">
        <v>78</v>
      </c>
      <c r="G268" t="s">
        <v>77</v>
      </c>
      <c r="H268" s="16">
        <v>0</v>
      </c>
      <c r="I268" s="11">
        <v>0</v>
      </c>
      <c r="J268" s="11">
        <v>0</v>
      </c>
      <c r="K268" s="11">
        <v>0</v>
      </c>
      <c r="L268" s="11">
        <v>0</v>
      </c>
      <c r="M268" s="11">
        <v>0</v>
      </c>
      <c r="N268" s="11">
        <v>0</v>
      </c>
      <c r="O268" s="11">
        <v>0</v>
      </c>
      <c r="P268" s="11">
        <v>0</v>
      </c>
      <c r="Q268" s="11">
        <v>2.7492920572952501E-3</v>
      </c>
      <c r="R268" s="11">
        <v>2.2441148089136199E-3</v>
      </c>
      <c r="S268" s="11">
        <v>0</v>
      </c>
      <c r="T268" s="11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</row>
    <row r="269" spans="1:39" customFormat="1" hidden="1" x14ac:dyDescent="0.3">
      <c r="A269" t="s">
        <v>2048</v>
      </c>
      <c r="B269" t="s">
        <v>30</v>
      </c>
      <c r="C269" t="s">
        <v>81</v>
      </c>
      <c r="D269" t="s">
        <v>80</v>
      </c>
      <c r="E269" t="s">
        <v>122</v>
      </c>
      <c r="F269" t="s">
        <v>121</v>
      </c>
      <c r="G269" t="s">
        <v>120</v>
      </c>
      <c r="H269" s="16">
        <v>0</v>
      </c>
      <c r="I269" s="11">
        <v>0</v>
      </c>
      <c r="J269" s="11">
        <v>0</v>
      </c>
      <c r="K269" s="11">
        <v>0</v>
      </c>
      <c r="L269" s="11">
        <v>0</v>
      </c>
      <c r="M269" s="11">
        <v>0</v>
      </c>
      <c r="N269" s="11">
        <v>0</v>
      </c>
      <c r="O269" s="11">
        <v>0</v>
      </c>
      <c r="P269" s="11">
        <v>0</v>
      </c>
      <c r="Q269" s="11">
        <v>2.7492920572952501E-3</v>
      </c>
      <c r="R269" s="11">
        <v>0</v>
      </c>
      <c r="S269" s="11">
        <v>0</v>
      </c>
      <c r="T269" s="11">
        <v>3.3464962184592698E-3</v>
      </c>
      <c r="U269">
        <v>0</v>
      </c>
      <c r="V269">
        <v>7.2288285683305004E-3</v>
      </c>
      <c r="W269">
        <v>0</v>
      </c>
      <c r="X269">
        <v>0</v>
      </c>
      <c r="Y269">
        <v>8.7793743232565599E-3</v>
      </c>
      <c r="Z269">
        <v>0</v>
      </c>
      <c r="AA269">
        <v>0</v>
      </c>
      <c r="AB269">
        <v>4.5118209709438702E-3</v>
      </c>
      <c r="AC269">
        <v>9.3484826693513601E-2</v>
      </c>
      <c r="AD269">
        <v>0</v>
      </c>
      <c r="AE269">
        <v>0.37386383124678402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</row>
    <row r="270" spans="1:39" customFormat="1" hidden="1" x14ac:dyDescent="0.3">
      <c r="A270" t="s">
        <v>2047</v>
      </c>
      <c r="B270" t="s">
        <v>30</v>
      </c>
      <c r="C270" t="s">
        <v>81</v>
      </c>
      <c r="D270" t="s">
        <v>118</v>
      </c>
      <c r="E270" t="s">
        <v>117</v>
      </c>
      <c r="F270" t="s">
        <v>116</v>
      </c>
      <c r="G270" t="s">
        <v>683</v>
      </c>
      <c r="H270" s="16">
        <v>0</v>
      </c>
      <c r="I270" s="11">
        <v>7.3131490419774802E-3</v>
      </c>
      <c r="J270" s="11">
        <v>0</v>
      </c>
      <c r="K270" s="11">
        <v>0</v>
      </c>
      <c r="L270" s="11">
        <v>1.3207422571485199E-2</v>
      </c>
      <c r="M270" s="11">
        <v>0</v>
      </c>
      <c r="N270" s="11">
        <v>1.37507448320117E-2</v>
      </c>
      <c r="O270" s="11">
        <v>3.75023438964935E-3</v>
      </c>
      <c r="P270" s="11">
        <v>0</v>
      </c>
      <c r="Q270" s="11">
        <v>2.7492920572952501E-3</v>
      </c>
      <c r="R270" s="11">
        <v>0</v>
      </c>
      <c r="S270" s="11">
        <v>0</v>
      </c>
      <c r="T270" s="11">
        <v>0</v>
      </c>
      <c r="U270">
        <v>3.04201016031394E-3</v>
      </c>
      <c r="V270">
        <v>1.4457657136661001E-2</v>
      </c>
      <c r="W270">
        <v>3.2001706757693697E-2</v>
      </c>
      <c r="X270">
        <v>0</v>
      </c>
      <c r="Y270">
        <v>0.64674724181323295</v>
      </c>
      <c r="Z270">
        <v>8.5790543975597294E-2</v>
      </c>
      <c r="AA270">
        <v>0</v>
      </c>
      <c r="AB270">
        <v>3.5101967153943301</v>
      </c>
      <c r="AC270">
        <v>0.21573421544657001</v>
      </c>
      <c r="AD270">
        <v>1.1198490091223701</v>
      </c>
      <c r="AE270">
        <v>0.18521694392042501</v>
      </c>
      <c r="AF270">
        <v>9.56407933152119E-2</v>
      </c>
      <c r="AG270">
        <v>0.20887605904855799</v>
      </c>
      <c r="AH270">
        <v>0.16243560588481001</v>
      </c>
      <c r="AI270">
        <v>0.225245931782661</v>
      </c>
      <c r="AJ270">
        <v>3.5915670006823998E-3</v>
      </c>
      <c r="AK270">
        <v>0</v>
      </c>
      <c r="AL270">
        <v>3.5844863431070302E-3</v>
      </c>
      <c r="AM270">
        <v>0</v>
      </c>
    </row>
    <row r="271" spans="1:39" customFormat="1" hidden="1" x14ac:dyDescent="0.3">
      <c r="A271" t="s">
        <v>2044</v>
      </c>
      <c r="B271" t="s">
        <v>30</v>
      </c>
      <c r="C271" t="s">
        <v>81</v>
      </c>
      <c r="D271" t="s">
        <v>80</v>
      </c>
      <c r="E271" t="s">
        <v>642</v>
      </c>
      <c r="F271" t="s">
        <v>641</v>
      </c>
      <c r="G271" t="s">
        <v>640</v>
      </c>
      <c r="H271" s="16">
        <v>1.66333998669328E-2</v>
      </c>
      <c r="I271" s="11">
        <v>3.2909170688898599E-2</v>
      </c>
      <c r="J271" s="11">
        <v>0</v>
      </c>
      <c r="K271" s="11">
        <v>1.1317978609020399E-2</v>
      </c>
      <c r="L271" s="11">
        <v>0</v>
      </c>
      <c r="M271" s="11">
        <v>0</v>
      </c>
      <c r="N271" s="11">
        <v>0</v>
      </c>
      <c r="O271" s="11">
        <v>7.5004687792987104E-3</v>
      </c>
      <c r="P271" s="11">
        <v>0</v>
      </c>
      <c r="Q271" s="11">
        <v>2.7492920572952501E-3</v>
      </c>
      <c r="R271" s="11">
        <v>0</v>
      </c>
      <c r="S271" s="11">
        <v>0</v>
      </c>
      <c r="T271" s="11">
        <v>0</v>
      </c>
      <c r="U271">
        <v>0</v>
      </c>
      <c r="V271">
        <v>1.0843242852495801E-2</v>
      </c>
      <c r="W271">
        <v>1.06672355858979E-2</v>
      </c>
      <c r="X271">
        <v>0</v>
      </c>
      <c r="Y271">
        <v>8.7793743232565599E-3</v>
      </c>
      <c r="Z271">
        <v>6.3548551093035102E-3</v>
      </c>
      <c r="AA271">
        <v>0</v>
      </c>
      <c r="AB271">
        <v>0</v>
      </c>
      <c r="AC271">
        <v>0</v>
      </c>
      <c r="AD271">
        <v>3.14564328405159E-3</v>
      </c>
      <c r="AE271">
        <v>0</v>
      </c>
      <c r="AF271">
        <v>5.03372596395852E-3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</row>
    <row r="272" spans="1:39" customFormat="1" hidden="1" x14ac:dyDescent="0.3">
      <c r="A272" t="s">
        <v>2032</v>
      </c>
      <c r="B272" t="s">
        <v>30</v>
      </c>
      <c r="C272" t="s">
        <v>81</v>
      </c>
      <c r="D272" t="s">
        <v>80</v>
      </c>
      <c r="E272" t="s">
        <v>304</v>
      </c>
      <c r="F272" t="s">
        <v>304</v>
      </c>
      <c r="G272" t="s">
        <v>304</v>
      </c>
      <c r="H272" s="16">
        <v>0</v>
      </c>
      <c r="I272" s="11">
        <v>0</v>
      </c>
      <c r="J272" s="11">
        <v>0</v>
      </c>
      <c r="K272" s="11">
        <v>0</v>
      </c>
      <c r="L272" s="11">
        <v>0</v>
      </c>
      <c r="M272" s="11">
        <v>3.5488679111363502E-3</v>
      </c>
      <c r="N272" s="11">
        <v>0</v>
      </c>
      <c r="O272" s="11">
        <v>0</v>
      </c>
      <c r="P272" s="11">
        <v>0</v>
      </c>
      <c r="Q272" s="11">
        <v>0</v>
      </c>
      <c r="R272" s="11">
        <v>0</v>
      </c>
      <c r="S272" s="11">
        <v>0</v>
      </c>
      <c r="T272" s="11">
        <v>0</v>
      </c>
      <c r="U272">
        <v>9.1260304809418092E-3</v>
      </c>
      <c r="V272">
        <v>1.0843242852495801E-2</v>
      </c>
      <c r="W272">
        <v>2.9334897861219299E-2</v>
      </c>
      <c r="X272">
        <v>0</v>
      </c>
      <c r="Y272">
        <v>5.8529162155043701E-3</v>
      </c>
      <c r="Z272">
        <v>2.22419928825623E-2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5.03372596395852E-3</v>
      </c>
      <c r="AG272">
        <v>2.3469220117815501E-3</v>
      </c>
      <c r="AH272">
        <v>0</v>
      </c>
      <c r="AI272">
        <v>0</v>
      </c>
      <c r="AJ272">
        <v>1.7957835003412002E-2</v>
      </c>
      <c r="AK272">
        <v>0</v>
      </c>
      <c r="AL272">
        <v>0</v>
      </c>
      <c r="AM272">
        <v>0</v>
      </c>
    </row>
    <row r="273" spans="1:39" customFormat="1" hidden="1" x14ac:dyDescent="0.3">
      <c r="A273" t="s">
        <v>2022</v>
      </c>
      <c r="B273" t="s">
        <v>30</v>
      </c>
      <c r="C273" t="s">
        <v>81</v>
      </c>
      <c r="D273" t="s">
        <v>85</v>
      </c>
      <c r="E273" t="s">
        <v>799</v>
      </c>
      <c r="F273" t="s">
        <v>798</v>
      </c>
      <c r="G273" t="s">
        <v>797</v>
      </c>
      <c r="H273" s="16">
        <v>4.1583499667332E-3</v>
      </c>
      <c r="I273" s="11">
        <v>0</v>
      </c>
      <c r="J273" s="11">
        <v>0</v>
      </c>
      <c r="K273" s="11">
        <v>0</v>
      </c>
      <c r="L273" s="11">
        <v>0</v>
      </c>
      <c r="M273" s="11">
        <v>7.0977358222727004E-3</v>
      </c>
      <c r="N273" s="11">
        <v>4.5835816106705798E-3</v>
      </c>
      <c r="O273" s="11">
        <v>7.5004687792987104E-3</v>
      </c>
      <c r="P273" s="11">
        <v>3.3947788301592198E-3</v>
      </c>
      <c r="Q273" s="11">
        <v>0</v>
      </c>
      <c r="R273" s="11">
        <v>2.2441148089136199E-3</v>
      </c>
      <c r="S273" s="11">
        <v>0</v>
      </c>
      <c r="T273" s="11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2.22419928825623E-2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0.10067451927917</v>
      </c>
      <c r="AG273">
        <v>1.7907014949893201</v>
      </c>
      <c r="AH273">
        <v>3.2487121176962001E-2</v>
      </c>
      <c r="AI273">
        <v>0.36085317642732401</v>
      </c>
      <c r="AJ273">
        <v>0</v>
      </c>
      <c r="AK273">
        <v>0</v>
      </c>
      <c r="AL273">
        <v>0</v>
      </c>
      <c r="AM273">
        <v>0</v>
      </c>
    </row>
    <row r="274" spans="1:39" customFormat="1" hidden="1" x14ac:dyDescent="0.3">
      <c r="A274" t="s">
        <v>2020</v>
      </c>
      <c r="B274" t="s">
        <v>30</v>
      </c>
      <c r="C274" t="s">
        <v>81</v>
      </c>
      <c r="D274" t="s">
        <v>80</v>
      </c>
      <c r="E274" t="s">
        <v>122</v>
      </c>
      <c r="F274" t="s">
        <v>121</v>
      </c>
      <c r="G274" t="s">
        <v>124</v>
      </c>
      <c r="H274" s="16">
        <v>0</v>
      </c>
      <c r="I274" s="11">
        <v>0</v>
      </c>
      <c r="J274" s="11">
        <v>0</v>
      </c>
      <c r="K274" s="11">
        <v>0</v>
      </c>
      <c r="L274" s="11">
        <v>0</v>
      </c>
      <c r="M274" s="11">
        <v>0</v>
      </c>
      <c r="N274" s="11">
        <v>2.2917908053352899E-2</v>
      </c>
      <c r="O274" s="11">
        <v>1.1250703168948099E-2</v>
      </c>
      <c r="P274" s="11">
        <v>3.3947788301592198E-3</v>
      </c>
      <c r="Q274" s="11">
        <v>0</v>
      </c>
      <c r="R274" s="11">
        <v>2.2441148089136199E-3</v>
      </c>
      <c r="S274" s="11">
        <v>0</v>
      </c>
      <c r="T274" s="11">
        <v>0</v>
      </c>
      <c r="U274">
        <v>1.2168040641255699E-2</v>
      </c>
      <c r="V274">
        <v>7.9517114251635504E-2</v>
      </c>
      <c r="W274">
        <v>1.06672355858979E-2</v>
      </c>
      <c r="X274">
        <v>0</v>
      </c>
      <c r="Y274">
        <v>1.17058324310087E-2</v>
      </c>
      <c r="Z274">
        <v>3.1774275546517499E-3</v>
      </c>
      <c r="AA274">
        <v>0</v>
      </c>
      <c r="AB274">
        <v>4.5118209709438702E-3</v>
      </c>
      <c r="AC274">
        <v>7.1911405148856597E-3</v>
      </c>
      <c r="AD274">
        <v>0</v>
      </c>
      <c r="AE274">
        <v>0.25038586863316797</v>
      </c>
      <c r="AF274">
        <v>0</v>
      </c>
      <c r="AG274">
        <v>2.3469220117815501E-3</v>
      </c>
      <c r="AH274">
        <v>0</v>
      </c>
      <c r="AI274">
        <v>6.89528362599982E-3</v>
      </c>
      <c r="AJ274">
        <v>0</v>
      </c>
      <c r="AK274">
        <v>0</v>
      </c>
      <c r="AL274">
        <v>0</v>
      </c>
      <c r="AM274">
        <v>0</v>
      </c>
    </row>
    <row r="275" spans="1:39" customFormat="1" hidden="1" x14ac:dyDescent="0.3">
      <c r="A275" t="s">
        <v>2011</v>
      </c>
      <c r="B275" t="s">
        <v>30</v>
      </c>
      <c r="C275" t="s">
        <v>81</v>
      </c>
      <c r="D275" t="s">
        <v>118</v>
      </c>
      <c r="E275" t="s">
        <v>371</v>
      </c>
      <c r="F275" t="s">
        <v>374</v>
      </c>
      <c r="G275" t="s">
        <v>2010</v>
      </c>
      <c r="H275" s="16">
        <v>8.3166999334664E-3</v>
      </c>
      <c r="I275" s="11">
        <v>0</v>
      </c>
      <c r="J275" s="11">
        <v>4.3593879419329502E-3</v>
      </c>
      <c r="K275" s="11">
        <v>3.3953935827061299E-2</v>
      </c>
      <c r="L275" s="11">
        <v>6.6037112857425901E-3</v>
      </c>
      <c r="M275" s="11">
        <v>3.5488679111363502E-3</v>
      </c>
      <c r="N275" s="11">
        <v>0</v>
      </c>
      <c r="O275" s="11">
        <v>3.75023438964935E-3</v>
      </c>
      <c r="P275" s="11">
        <v>0</v>
      </c>
      <c r="Q275" s="11">
        <v>0</v>
      </c>
      <c r="R275" s="11">
        <v>0</v>
      </c>
      <c r="S275" s="11">
        <v>0</v>
      </c>
      <c r="T275" s="11">
        <v>0</v>
      </c>
      <c r="U275">
        <v>3.04201016031394E-3</v>
      </c>
      <c r="V275">
        <v>8.6745942819966004E-2</v>
      </c>
      <c r="W275">
        <v>5.3336177929489602E-2</v>
      </c>
      <c r="X275">
        <v>0</v>
      </c>
      <c r="Y275">
        <v>0.44189517427058</v>
      </c>
      <c r="Z275">
        <v>4.1306558210472799E-2</v>
      </c>
      <c r="AA275">
        <v>0</v>
      </c>
      <c r="AB275">
        <v>3.6094567767551003E-2</v>
      </c>
      <c r="AC275">
        <v>0.16539623184237001</v>
      </c>
      <c r="AD275">
        <v>2.2019502988361101E-2</v>
      </c>
      <c r="AE275">
        <v>1.3033784942548401</v>
      </c>
      <c r="AF275">
        <v>5.5370985603543699E-2</v>
      </c>
      <c r="AG275">
        <v>6.1019972306320301E-2</v>
      </c>
      <c r="AH275">
        <v>9.2820346219891405E-3</v>
      </c>
      <c r="AI275">
        <v>5.2863841132665297E-2</v>
      </c>
      <c r="AJ275">
        <v>3.5915670006823998E-3</v>
      </c>
      <c r="AK275">
        <v>0</v>
      </c>
      <c r="AL275">
        <v>3.5844863431070302E-3</v>
      </c>
      <c r="AM275">
        <v>0</v>
      </c>
    </row>
    <row r="276" spans="1:39" customFormat="1" hidden="1" x14ac:dyDescent="0.3">
      <c r="A276" t="s">
        <v>2006</v>
      </c>
      <c r="B276" t="s">
        <v>30</v>
      </c>
      <c r="C276" t="s">
        <v>111</v>
      </c>
      <c r="D276" t="s">
        <v>141</v>
      </c>
      <c r="E276" t="s">
        <v>140</v>
      </c>
      <c r="F276" t="s">
        <v>607</v>
      </c>
      <c r="G276" t="s">
        <v>2005</v>
      </c>
      <c r="H276" s="16">
        <v>0</v>
      </c>
      <c r="I276" s="11">
        <v>0</v>
      </c>
      <c r="J276" s="11">
        <v>0</v>
      </c>
      <c r="K276" s="11">
        <v>5.6589893045102101E-3</v>
      </c>
      <c r="L276" s="11">
        <v>0</v>
      </c>
      <c r="M276" s="11">
        <v>0</v>
      </c>
      <c r="N276" s="11">
        <v>0</v>
      </c>
      <c r="O276" s="11">
        <v>0</v>
      </c>
      <c r="P276" s="11">
        <v>1.6973894150796101E-2</v>
      </c>
      <c r="Q276" s="11">
        <v>0</v>
      </c>
      <c r="R276" s="11">
        <v>0</v>
      </c>
      <c r="S276" s="11">
        <v>0</v>
      </c>
      <c r="T276" s="11">
        <v>3.3464962184592698E-3</v>
      </c>
      <c r="U276">
        <v>0</v>
      </c>
      <c r="V276">
        <v>0</v>
      </c>
      <c r="W276">
        <v>0</v>
      </c>
      <c r="X276">
        <v>6.4242579982012101E-3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</row>
    <row r="277" spans="1:39" customFormat="1" hidden="1" x14ac:dyDescent="0.3">
      <c r="A277" t="s">
        <v>2004</v>
      </c>
      <c r="B277" t="s">
        <v>30</v>
      </c>
      <c r="C277" t="s">
        <v>81</v>
      </c>
      <c r="D277" t="s">
        <v>80</v>
      </c>
      <c r="E277" t="s">
        <v>642</v>
      </c>
      <c r="F277" t="s">
        <v>641</v>
      </c>
      <c r="G277" t="s">
        <v>640</v>
      </c>
      <c r="H277" s="16">
        <v>0</v>
      </c>
      <c r="I277" s="11">
        <v>0</v>
      </c>
      <c r="J277" s="11">
        <v>0</v>
      </c>
      <c r="K277" s="11">
        <v>0</v>
      </c>
      <c r="L277" s="11">
        <v>0</v>
      </c>
      <c r="M277" s="11">
        <v>0</v>
      </c>
      <c r="N277" s="11">
        <v>0</v>
      </c>
      <c r="O277" s="11">
        <v>0</v>
      </c>
      <c r="P277" s="11">
        <v>0</v>
      </c>
      <c r="Q277" s="11">
        <v>0</v>
      </c>
      <c r="R277" s="11">
        <v>0</v>
      </c>
      <c r="S277" s="11">
        <v>2.4883049666567102E-3</v>
      </c>
      <c r="T277" s="11">
        <v>0</v>
      </c>
      <c r="U277">
        <v>6.0840203206278696E-3</v>
      </c>
      <c r="V277">
        <v>0</v>
      </c>
      <c r="W277">
        <v>5.3336177929489597E-3</v>
      </c>
      <c r="X277">
        <v>6.4242579982012101E-3</v>
      </c>
      <c r="Y277">
        <v>1.17058324310087E-2</v>
      </c>
      <c r="Z277">
        <v>6.3548551093035102E-3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</row>
    <row r="278" spans="1:39" customFormat="1" hidden="1" x14ac:dyDescent="0.3">
      <c r="A278" t="s">
        <v>1986</v>
      </c>
      <c r="B278" t="s">
        <v>30</v>
      </c>
      <c r="C278" t="s">
        <v>81</v>
      </c>
      <c r="D278" t="s">
        <v>118</v>
      </c>
      <c r="E278" t="s">
        <v>371</v>
      </c>
      <c r="F278" t="s">
        <v>435</v>
      </c>
      <c r="G278" t="s">
        <v>1985</v>
      </c>
      <c r="H278" s="16">
        <v>0</v>
      </c>
      <c r="I278" s="11">
        <v>0</v>
      </c>
      <c r="J278" s="11">
        <v>0</v>
      </c>
      <c r="K278" s="11">
        <v>5.6589893045102101E-3</v>
      </c>
      <c r="L278" s="11">
        <v>0</v>
      </c>
      <c r="M278" s="11">
        <v>0</v>
      </c>
      <c r="N278" s="11">
        <v>4.5835816106705798E-3</v>
      </c>
      <c r="O278" s="11">
        <v>0</v>
      </c>
      <c r="P278" s="11">
        <v>0</v>
      </c>
      <c r="Q278" s="11">
        <v>0</v>
      </c>
      <c r="R278" s="11">
        <v>2.2441148089136199E-3</v>
      </c>
      <c r="S278" s="11">
        <v>0</v>
      </c>
      <c r="T278" s="11">
        <v>0</v>
      </c>
      <c r="U278">
        <v>3.04201016031394E-3</v>
      </c>
      <c r="V278">
        <v>1.0843242852495801E-2</v>
      </c>
      <c r="W278">
        <v>2.13344711717958E-2</v>
      </c>
      <c r="X278">
        <v>0</v>
      </c>
      <c r="Y278">
        <v>4.6823329724035002E-2</v>
      </c>
      <c r="Z278">
        <v>4.7661413319776302E-2</v>
      </c>
      <c r="AA278">
        <v>0</v>
      </c>
      <c r="AB278">
        <v>5.4141851651326497E-2</v>
      </c>
      <c r="AC278">
        <v>7.1911405148856597E-3</v>
      </c>
      <c r="AD278">
        <v>1.25825731362064E-2</v>
      </c>
      <c r="AE278">
        <v>0.19893671754416101</v>
      </c>
      <c r="AF278">
        <v>6.0404711567502302E-2</v>
      </c>
      <c r="AG278">
        <v>0.35673214579079499</v>
      </c>
      <c r="AH278">
        <v>6.9615259664918494E-2</v>
      </c>
      <c r="AI278">
        <v>0.40682173393398902</v>
      </c>
      <c r="AJ278">
        <v>0</v>
      </c>
      <c r="AK278">
        <v>0</v>
      </c>
      <c r="AL278">
        <v>0</v>
      </c>
      <c r="AM278">
        <v>0</v>
      </c>
    </row>
    <row r="279" spans="1:39" x14ac:dyDescent="0.3">
      <c r="A279" s="6" t="s">
        <v>1977</v>
      </c>
      <c r="B279" s="6" t="s">
        <v>30</v>
      </c>
      <c r="C279" s="6" t="s">
        <v>29</v>
      </c>
      <c r="D279" s="6" t="s">
        <v>28</v>
      </c>
      <c r="E279" s="6" t="s">
        <v>388</v>
      </c>
      <c r="F279" s="6" t="s">
        <v>624</v>
      </c>
      <c r="G279" s="6" t="s">
        <v>634</v>
      </c>
      <c r="H279" s="49">
        <v>0</v>
      </c>
      <c r="I279" s="6">
        <v>0</v>
      </c>
      <c r="J279" s="6">
        <v>0</v>
      </c>
      <c r="K279" s="6">
        <v>0</v>
      </c>
      <c r="L279" s="6">
        <v>0</v>
      </c>
      <c r="M279" s="6">
        <v>0</v>
      </c>
      <c r="N279" s="6">
        <v>0</v>
      </c>
      <c r="O279" s="6">
        <v>0</v>
      </c>
      <c r="P279" s="6">
        <v>0</v>
      </c>
      <c r="Q279" s="6">
        <v>0</v>
      </c>
      <c r="R279" s="6">
        <v>0</v>
      </c>
      <c r="S279" s="6">
        <v>2.4883049666567102E-3</v>
      </c>
      <c r="T279" s="6">
        <v>3.3464962184592698E-3</v>
      </c>
      <c r="U279" s="6">
        <v>3.04201016031394E-3</v>
      </c>
      <c r="V279" s="6">
        <v>0</v>
      </c>
      <c r="W279" s="6">
        <v>8.0004266894234399E-3</v>
      </c>
      <c r="X279" s="6">
        <v>0</v>
      </c>
      <c r="Y279" s="6">
        <v>5.8529162155043701E-3</v>
      </c>
      <c r="Z279" s="6">
        <v>9.5322826639552601E-3</v>
      </c>
      <c r="AA279" s="6">
        <v>0</v>
      </c>
      <c r="AB279" s="6">
        <v>0.239126511460025</v>
      </c>
      <c r="AC279" s="6">
        <v>5.0337983604199603E-2</v>
      </c>
      <c r="AD279" s="6">
        <v>0.55677886127713105</v>
      </c>
      <c r="AE279" s="6">
        <v>0.13719773623735201</v>
      </c>
      <c r="AF279" s="6">
        <v>5.03372596395852E-3</v>
      </c>
      <c r="AG279" s="6">
        <v>0.22765143514281</v>
      </c>
      <c r="AH279" s="6">
        <v>0</v>
      </c>
      <c r="AI279" s="6">
        <v>0.21375379240599399</v>
      </c>
      <c r="AJ279" s="6">
        <v>0</v>
      </c>
      <c r="AK279" s="6">
        <v>0</v>
      </c>
      <c r="AL279" s="6">
        <v>0</v>
      </c>
      <c r="AM279" s="6">
        <v>0</v>
      </c>
    </row>
    <row r="280" spans="1:39" customFormat="1" hidden="1" x14ac:dyDescent="0.3">
      <c r="A280" t="s">
        <v>1976</v>
      </c>
      <c r="B280" t="s">
        <v>30</v>
      </c>
      <c r="C280" t="s">
        <v>29</v>
      </c>
      <c r="D280" t="s">
        <v>28</v>
      </c>
      <c r="E280" t="s">
        <v>345</v>
      </c>
      <c r="F280" t="s">
        <v>344</v>
      </c>
      <c r="G280" t="s">
        <v>367</v>
      </c>
      <c r="H280" s="16">
        <v>0</v>
      </c>
      <c r="I280" s="11">
        <v>0</v>
      </c>
      <c r="J280" s="11">
        <v>0</v>
      </c>
      <c r="K280" s="11">
        <v>0</v>
      </c>
      <c r="L280" s="11">
        <v>0</v>
      </c>
      <c r="M280" s="11">
        <v>3.5488679111363502E-3</v>
      </c>
      <c r="N280" s="11">
        <v>3.2085071274694003E-2</v>
      </c>
      <c r="O280" s="11">
        <v>2.2501406337896102E-2</v>
      </c>
      <c r="P280" s="11">
        <v>0</v>
      </c>
      <c r="Q280" s="11">
        <v>0</v>
      </c>
      <c r="R280" s="11">
        <v>0</v>
      </c>
      <c r="S280" s="11">
        <v>0</v>
      </c>
      <c r="T280" s="11">
        <v>0</v>
      </c>
      <c r="U280">
        <v>0</v>
      </c>
      <c r="V280">
        <v>0</v>
      </c>
      <c r="W280">
        <v>2.6668088964744798E-3</v>
      </c>
      <c r="X280">
        <v>0</v>
      </c>
      <c r="Y280">
        <v>0</v>
      </c>
      <c r="Z280">
        <v>1.58871377732588E-2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5.03372596395852E-3</v>
      </c>
      <c r="AG280">
        <v>0.63132202116923697</v>
      </c>
      <c r="AH280">
        <v>4.6410173109945703E-3</v>
      </c>
      <c r="AI280">
        <v>0.38383745518065598</v>
      </c>
      <c r="AJ280">
        <v>0</v>
      </c>
      <c r="AK280">
        <v>0</v>
      </c>
      <c r="AL280">
        <v>0</v>
      </c>
      <c r="AM280">
        <v>0</v>
      </c>
    </row>
    <row r="281" spans="1:39" customFormat="1" hidden="1" x14ac:dyDescent="0.3">
      <c r="A281" t="s">
        <v>1970</v>
      </c>
      <c r="B281" t="s">
        <v>30</v>
      </c>
      <c r="C281" t="s">
        <v>29</v>
      </c>
      <c r="D281" t="s">
        <v>28</v>
      </c>
      <c r="E281" t="s">
        <v>388</v>
      </c>
      <c r="F281" t="s">
        <v>624</v>
      </c>
      <c r="G281" t="s">
        <v>1969</v>
      </c>
      <c r="H281" s="16">
        <v>8.3166999334664E-3</v>
      </c>
      <c r="I281" s="11">
        <v>7.3131490419774802E-3</v>
      </c>
      <c r="J281" s="11">
        <v>0</v>
      </c>
      <c r="K281" s="11">
        <v>0</v>
      </c>
      <c r="L281" s="11">
        <v>0</v>
      </c>
      <c r="M281" s="11">
        <v>0</v>
      </c>
      <c r="N281" s="11">
        <v>0</v>
      </c>
      <c r="O281" s="11">
        <v>3.75023438964935E-3</v>
      </c>
      <c r="P281" s="11">
        <v>0</v>
      </c>
      <c r="Q281" s="11">
        <v>0</v>
      </c>
      <c r="R281" s="11">
        <v>0</v>
      </c>
      <c r="S281" s="11">
        <v>4.9766099333134299E-3</v>
      </c>
      <c r="T281" s="11">
        <v>0</v>
      </c>
      <c r="U281">
        <v>3.04201016031394E-3</v>
      </c>
      <c r="V281">
        <v>7.2288285683305004E-3</v>
      </c>
      <c r="W281">
        <v>8.0004266894234399E-3</v>
      </c>
      <c r="X281">
        <v>0</v>
      </c>
      <c r="Y281">
        <v>5.8529162155043701E-3</v>
      </c>
      <c r="Z281">
        <v>9.5322826639552601E-3</v>
      </c>
      <c r="AA281">
        <v>0</v>
      </c>
      <c r="AB281">
        <v>0.11730734524454101</v>
      </c>
      <c r="AC281">
        <v>1.43822810297713E-2</v>
      </c>
      <c r="AD281">
        <v>0.27052532242843702</v>
      </c>
      <c r="AE281">
        <v>6.8598868118676E-3</v>
      </c>
      <c r="AF281">
        <v>5.03372596395852E-3</v>
      </c>
      <c r="AG281">
        <v>2.3469220117815501E-3</v>
      </c>
      <c r="AH281">
        <v>9.2820346219891405E-3</v>
      </c>
      <c r="AI281">
        <v>2.2984278753332699E-3</v>
      </c>
      <c r="AJ281">
        <v>0</v>
      </c>
      <c r="AK281">
        <v>0</v>
      </c>
      <c r="AL281">
        <v>0</v>
      </c>
      <c r="AM281">
        <v>0</v>
      </c>
    </row>
    <row r="282" spans="1:39" customFormat="1" hidden="1" x14ac:dyDescent="0.3">
      <c r="A282" t="s">
        <v>1967</v>
      </c>
      <c r="B282" t="s">
        <v>30</v>
      </c>
      <c r="C282" t="s">
        <v>29</v>
      </c>
      <c r="D282" t="s">
        <v>28</v>
      </c>
      <c r="E282" t="s">
        <v>91</v>
      </c>
      <c r="F282" t="s">
        <v>95</v>
      </c>
      <c r="G282" t="s">
        <v>94</v>
      </c>
      <c r="H282" s="16">
        <v>0</v>
      </c>
      <c r="I282" s="11">
        <v>0</v>
      </c>
      <c r="J282" s="11">
        <v>4.3593879419329502E-3</v>
      </c>
      <c r="K282" s="11">
        <v>0</v>
      </c>
      <c r="L282" s="11">
        <v>0</v>
      </c>
      <c r="M282" s="11">
        <v>0</v>
      </c>
      <c r="N282" s="11">
        <v>1.37507448320117E-2</v>
      </c>
      <c r="O282" s="11">
        <v>0</v>
      </c>
      <c r="P282" s="11">
        <v>1.01843364904776E-2</v>
      </c>
      <c r="Q282" s="11">
        <v>0</v>
      </c>
      <c r="R282" s="11">
        <v>2.2441148089136199E-3</v>
      </c>
      <c r="S282" s="11">
        <v>0</v>
      </c>
      <c r="T282" s="11">
        <v>3.3464962184592698E-3</v>
      </c>
      <c r="U282">
        <v>0</v>
      </c>
      <c r="V282">
        <v>0</v>
      </c>
      <c r="W282">
        <v>0</v>
      </c>
      <c r="X282">
        <v>0</v>
      </c>
      <c r="Y282">
        <v>1.46322905387609E-2</v>
      </c>
      <c r="Z282">
        <v>3.1774275546517499E-3</v>
      </c>
      <c r="AA282">
        <v>0</v>
      </c>
      <c r="AB282">
        <v>0.194008301750587</v>
      </c>
      <c r="AC282">
        <v>2.1573421544656999E-2</v>
      </c>
      <c r="AD282">
        <v>0.28625353884869498</v>
      </c>
      <c r="AE282">
        <v>0.12690790601955099</v>
      </c>
      <c r="AF282">
        <v>1.0067451927917E-2</v>
      </c>
      <c r="AG282">
        <v>0.26285526531953302</v>
      </c>
      <c r="AH282">
        <v>1.8564069243978298E-2</v>
      </c>
      <c r="AI282">
        <v>0.17238209064999499</v>
      </c>
      <c r="AJ282">
        <v>0</v>
      </c>
      <c r="AK282">
        <v>0</v>
      </c>
      <c r="AL282">
        <v>0</v>
      </c>
      <c r="AM282">
        <v>0</v>
      </c>
    </row>
    <row r="283" spans="1:39" customFormat="1" hidden="1" x14ac:dyDescent="0.3">
      <c r="A283" t="s">
        <v>1961</v>
      </c>
      <c r="B283" t="s">
        <v>30</v>
      </c>
      <c r="C283" t="s">
        <v>81</v>
      </c>
      <c r="D283" t="s">
        <v>80</v>
      </c>
      <c r="E283" t="s">
        <v>642</v>
      </c>
      <c r="F283" t="s">
        <v>641</v>
      </c>
      <c r="G283" t="s">
        <v>640</v>
      </c>
      <c r="H283" s="16">
        <v>0</v>
      </c>
      <c r="I283" s="11">
        <v>3.6565745209887401E-3</v>
      </c>
      <c r="J283" s="11">
        <v>0</v>
      </c>
      <c r="K283" s="11">
        <v>0</v>
      </c>
      <c r="L283" s="11">
        <v>0</v>
      </c>
      <c r="M283" s="11">
        <v>0</v>
      </c>
      <c r="N283" s="11">
        <v>0</v>
      </c>
      <c r="O283" s="11">
        <v>0</v>
      </c>
      <c r="P283" s="11">
        <v>0</v>
      </c>
      <c r="Q283" s="11">
        <v>0</v>
      </c>
      <c r="R283" s="11">
        <v>0</v>
      </c>
      <c r="S283" s="11">
        <v>0</v>
      </c>
      <c r="T283" s="11">
        <v>0</v>
      </c>
      <c r="U283">
        <v>0</v>
      </c>
      <c r="V283">
        <v>0</v>
      </c>
      <c r="W283">
        <v>0</v>
      </c>
      <c r="X283">
        <v>0</v>
      </c>
      <c r="Y283">
        <v>5.8529162155043701E-3</v>
      </c>
      <c r="Z283">
        <v>0</v>
      </c>
      <c r="AA283">
        <v>0</v>
      </c>
      <c r="AB283">
        <v>0</v>
      </c>
      <c r="AC283">
        <v>2.87645620595426E-2</v>
      </c>
      <c r="AD283">
        <v>0</v>
      </c>
      <c r="AE283">
        <v>1.02898302178014E-2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</row>
    <row r="284" spans="1:39" customFormat="1" hidden="1" x14ac:dyDescent="0.3">
      <c r="A284" t="s">
        <v>1954</v>
      </c>
      <c r="B284" t="s">
        <v>30</v>
      </c>
      <c r="C284" t="s">
        <v>29</v>
      </c>
      <c r="D284" t="s">
        <v>28</v>
      </c>
      <c r="E284" t="s">
        <v>345</v>
      </c>
      <c r="F284" t="s">
        <v>344</v>
      </c>
      <c r="G284" t="s">
        <v>1953</v>
      </c>
      <c r="H284" s="16">
        <v>0</v>
      </c>
      <c r="I284" s="11">
        <v>0</v>
      </c>
      <c r="J284" s="11">
        <v>0</v>
      </c>
      <c r="K284" s="11">
        <v>0</v>
      </c>
      <c r="L284" s="11">
        <v>0</v>
      </c>
      <c r="M284" s="11">
        <v>0</v>
      </c>
      <c r="N284" s="11">
        <v>0</v>
      </c>
      <c r="O284" s="11">
        <v>0</v>
      </c>
      <c r="P284" s="11">
        <v>0</v>
      </c>
      <c r="Q284" s="11">
        <v>2.7492920572952501E-3</v>
      </c>
      <c r="R284" s="11">
        <v>6.7323444267408704E-3</v>
      </c>
      <c r="S284" s="11">
        <v>0</v>
      </c>
      <c r="T284" s="11">
        <v>1.00394886553778E-2</v>
      </c>
      <c r="U284">
        <v>0</v>
      </c>
      <c r="V284">
        <v>0</v>
      </c>
      <c r="W284">
        <v>1.06672355858979E-2</v>
      </c>
      <c r="X284">
        <v>0</v>
      </c>
      <c r="Y284">
        <v>5.8529162155043701E-3</v>
      </c>
      <c r="Z284">
        <v>6.3548551093035102E-3</v>
      </c>
      <c r="AA284">
        <v>0</v>
      </c>
      <c r="AB284">
        <v>3.1582746796607102E-2</v>
      </c>
      <c r="AC284">
        <v>0</v>
      </c>
      <c r="AD284">
        <v>9.4369298521547698E-2</v>
      </c>
      <c r="AE284">
        <v>5.48790944949408E-2</v>
      </c>
      <c r="AF284">
        <v>5.03372596395852E-3</v>
      </c>
      <c r="AG284">
        <v>0.57264897087469802</v>
      </c>
      <c r="AH284">
        <v>9.2820346219891405E-3</v>
      </c>
      <c r="AI284">
        <v>4.3670129631332197E-2</v>
      </c>
      <c r="AJ284">
        <v>0</v>
      </c>
      <c r="AK284">
        <v>0</v>
      </c>
      <c r="AL284">
        <v>0</v>
      </c>
      <c r="AM284">
        <v>0</v>
      </c>
    </row>
    <row r="285" spans="1:39" customFormat="1" hidden="1" x14ac:dyDescent="0.3">
      <c r="A285" t="s">
        <v>1948</v>
      </c>
      <c r="B285" t="s">
        <v>30</v>
      </c>
      <c r="C285" t="s">
        <v>81</v>
      </c>
      <c r="D285" t="s">
        <v>118</v>
      </c>
      <c r="E285" t="s">
        <v>371</v>
      </c>
      <c r="F285" t="s">
        <v>374</v>
      </c>
      <c r="G285" t="s">
        <v>373</v>
      </c>
      <c r="H285" s="16">
        <v>0</v>
      </c>
      <c r="I285" s="11">
        <v>0</v>
      </c>
      <c r="J285" s="11">
        <v>0</v>
      </c>
      <c r="K285" s="11">
        <v>5.6589893045102101E-3</v>
      </c>
      <c r="L285" s="11">
        <v>0</v>
      </c>
      <c r="M285" s="11">
        <v>0</v>
      </c>
      <c r="N285" s="11">
        <v>0</v>
      </c>
      <c r="O285" s="11">
        <v>0</v>
      </c>
      <c r="P285" s="11">
        <v>0</v>
      </c>
      <c r="Q285" s="11">
        <v>2.1994336458362001E-2</v>
      </c>
      <c r="R285" s="11">
        <v>8.9764592356545003E-3</v>
      </c>
      <c r="S285" s="11">
        <v>2.4883049666567102E-3</v>
      </c>
      <c r="T285" s="11">
        <v>0</v>
      </c>
      <c r="U285">
        <v>0</v>
      </c>
      <c r="V285">
        <v>0</v>
      </c>
      <c r="W285">
        <v>2.6668088964744798E-3</v>
      </c>
      <c r="X285">
        <v>0</v>
      </c>
      <c r="Y285">
        <v>1.46322905387609E-2</v>
      </c>
      <c r="Z285">
        <v>3.1774275546517499E-3</v>
      </c>
      <c r="AA285">
        <v>0</v>
      </c>
      <c r="AB285">
        <v>4.5118209709438702E-3</v>
      </c>
      <c r="AC285">
        <v>7.1911405148856597E-3</v>
      </c>
      <c r="AD285">
        <v>3.14564328405159E-3</v>
      </c>
      <c r="AE285">
        <v>0.12690790601955099</v>
      </c>
      <c r="AF285">
        <v>0</v>
      </c>
      <c r="AG285">
        <v>0.349691379755451</v>
      </c>
      <c r="AH285">
        <v>9.2820346219891405E-3</v>
      </c>
      <c r="AI285">
        <v>0.234439643283994</v>
      </c>
      <c r="AJ285">
        <v>0</v>
      </c>
      <c r="AK285">
        <v>0</v>
      </c>
      <c r="AL285">
        <v>0</v>
      </c>
      <c r="AM285">
        <v>0</v>
      </c>
    </row>
    <row r="286" spans="1:39" customFormat="1" hidden="1" x14ac:dyDescent="0.3">
      <c r="A286" t="s">
        <v>1947</v>
      </c>
      <c r="B286" t="s">
        <v>30</v>
      </c>
      <c r="C286" t="s">
        <v>29</v>
      </c>
      <c r="D286" t="s">
        <v>28</v>
      </c>
      <c r="E286" t="s">
        <v>345</v>
      </c>
      <c r="F286" t="s">
        <v>344</v>
      </c>
      <c r="G286" t="s">
        <v>1392</v>
      </c>
      <c r="H286" s="16">
        <v>0</v>
      </c>
      <c r="I286" s="11">
        <v>0</v>
      </c>
      <c r="J286" s="11">
        <v>0</v>
      </c>
      <c r="K286" s="11">
        <v>0</v>
      </c>
      <c r="L286" s="11">
        <v>0</v>
      </c>
      <c r="M286" s="11">
        <v>0</v>
      </c>
      <c r="N286" s="11">
        <v>0</v>
      </c>
      <c r="O286" s="11">
        <v>0</v>
      </c>
      <c r="P286" s="11">
        <v>0</v>
      </c>
      <c r="Q286" s="11">
        <v>0</v>
      </c>
      <c r="R286" s="11">
        <v>0</v>
      </c>
      <c r="S286" s="11">
        <v>0</v>
      </c>
      <c r="T286" s="11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3.1774275546517499E-3</v>
      </c>
      <c r="AA286">
        <v>0</v>
      </c>
      <c r="AB286">
        <v>9.0236419418877507E-3</v>
      </c>
      <c r="AC286">
        <v>0</v>
      </c>
      <c r="AD286">
        <v>0.44039005976722201</v>
      </c>
      <c r="AE286">
        <v>2.4009603841536602E-2</v>
      </c>
      <c r="AF286">
        <v>5.03372596395852E-3</v>
      </c>
      <c r="AG286">
        <v>0.25581449928418898</v>
      </c>
      <c r="AH286">
        <v>0</v>
      </c>
      <c r="AI286">
        <v>4.8266985381998702E-2</v>
      </c>
      <c r="AJ286">
        <v>0</v>
      </c>
      <c r="AK286">
        <v>0</v>
      </c>
      <c r="AL286">
        <v>0</v>
      </c>
      <c r="AM286">
        <v>0</v>
      </c>
    </row>
    <row r="287" spans="1:39" customFormat="1" hidden="1" x14ac:dyDescent="0.3">
      <c r="A287" t="s">
        <v>1939</v>
      </c>
      <c r="B287" t="s">
        <v>30</v>
      </c>
      <c r="C287" t="s">
        <v>81</v>
      </c>
      <c r="D287" t="s">
        <v>80</v>
      </c>
      <c r="E287" t="s">
        <v>618</v>
      </c>
      <c r="F287" t="s">
        <v>1938</v>
      </c>
      <c r="G287" t="s">
        <v>1937</v>
      </c>
      <c r="H287" s="16">
        <v>0</v>
      </c>
      <c r="I287" s="11">
        <v>0</v>
      </c>
      <c r="J287" s="11">
        <v>0</v>
      </c>
      <c r="K287" s="11">
        <v>0</v>
      </c>
      <c r="L287" s="11">
        <v>0</v>
      </c>
      <c r="M287" s="11">
        <v>0</v>
      </c>
      <c r="N287" s="11">
        <v>0</v>
      </c>
      <c r="O287" s="11">
        <v>0</v>
      </c>
      <c r="P287" s="11">
        <v>0</v>
      </c>
      <c r="Q287" s="11">
        <v>0</v>
      </c>
      <c r="R287" s="11">
        <v>0</v>
      </c>
      <c r="S287" s="11">
        <v>0</v>
      </c>
      <c r="T287" s="11">
        <v>0</v>
      </c>
      <c r="U287">
        <v>0</v>
      </c>
      <c r="V287" s="3">
        <v>1.8072071420826299E-2</v>
      </c>
      <c r="W287" s="3">
        <v>0.27734812523334601</v>
      </c>
      <c r="X287">
        <v>0</v>
      </c>
      <c r="Y287">
        <v>5.8529162155043701E-3</v>
      </c>
      <c r="Z287" s="3">
        <v>5.4016268429079799E-2</v>
      </c>
      <c r="AA287">
        <v>0</v>
      </c>
      <c r="AB287">
        <v>4.5118209709438702E-3</v>
      </c>
      <c r="AC287" s="3">
        <v>2.1573421544656999E-2</v>
      </c>
      <c r="AD287">
        <v>9.4369298521547705E-3</v>
      </c>
      <c r="AE287">
        <v>6.8598868118676E-3</v>
      </c>
      <c r="AF287" s="5">
        <v>0.21141649048625799</v>
      </c>
      <c r="AG287" s="5">
        <v>0.15959069680114499</v>
      </c>
      <c r="AH287" s="3">
        <v>1.39230519329837E-2</v>
      </c>
      <c r="AI287" s="3">
        <v>3.2177990254665799E-2</v>
      </c>
      <c r="AJ287">
        <v>0</v>
      </c>
      <c r="AK287">
        <v>0</v>
      </c>
      <c r="AL287">
        <v>0</v>
      </c>
      <c r="AM287">
        <v>0</v>
      </c>
    </row>
    <row r="288" spans="1:39" customFormat="1" hidden="1" x14ac:dyDescent="0.3">
      <c r="A288" t="s">
        <v>1931</v>
      </c>
      <c r="B288" t="s">
        <v>30</v>
      </c>
      <c r="C288" t="s">
        <v>81</v>
      </c>
      <c r="D288" t="s">
        <v>80</v>
      </c>
      <c r="E288" t="s">
        <v>212</v>
      </c>
      <c r="F288" t="s">
        <v>211</v>
      </c>
      <c r="G288" t="s">
        <v>210</v>
      </c>
      <c r="H288" s="16">
        <v>4.1583499667332E-3</v>
      </c>
      <c r="I288" s="11">
        <v>1.09697235629662E-2</v>
      </c>
      <c r="J288" s="11">
        <v>8.7187758838659108E-3</v>
      </c>
      <c r="K288" s="11">
        <v>0</v>
      </c>
      <c r="L288" s="11">
        <v>0</v>
      </c>
      <c r="M288" s="11">
        <v>3.5488679111363502E-3</v>
      </c>
      <c r="N288" s="11">
        <v>2.2917908053352899E-2</v>
      </c>
      <c r="O288" s="11">
        <v>1.50009375585974E-2</v>
      </c>
      <c r="P288" s="11">
        <v>0</v>
      </c>
      <c r="Q288" s="11">
        <v>0</v>
      </c>
      <c r="R288" s="11">
        <v>0</v>
      </c>
      <c r="S288" s="11">
        <v>0</v>
      </c>
      <c r="T288" s="11">
        <v>3.3464962184592698E-3</v>
      </c>
      <c r="U288">
        <v>0</v>
      </c>
      <c r="V288">
        <v>0</v>
      </c>
      <c r="W288">
        <v>0</v>
      </c>
      <c r="X288">
        <v>0</v>
      </c>
      <c r="Y288">
        <v>5.8529162155043701E-3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1.37197736237352E-2</v>
      </c>
      <c r="AF288">
        <v>0</v>
      </c>
      <c r="AG288">
        <v>0</v>
      </c>
      <c r="AH288">
        <v>0</v>
      </c>
      <c r="AI288">
        <v>0</v>
      </c>
      <c r="AJ288">
        <v>3.5915670006823998E-3</v>
      </c>
      <c r="AK288">
        <v>0</v>
      </c>
      <c r="AL288">
        <v>0</v>
      </c>
      <c r="AM288">
        <v>0</v>
      </c>
    </row>
    <row r="289" spans="1:39" customFormat="1" hidden="1" x14ac:dyDescent="0.3">
      <c r="A289" t="s">
        <v>1928</v>
      </c>
      <c r="B289" t="s">
        <v>30</v>
      </c>
      <c r="C289" t="s">
        <v>29</v>
      </c>
      <c r="D289" t="s">
        <v>28</v>
      </c>
      <c r="E289" t="s">
        <v>388</v>
      </c>
      <c r="F289" t="s">
        <v>736</v>
      </c>
      <c r="G289" t="s">
        <v>1927</v>
      </c>
      <c r="H289" s="16">
        <v>0</v>
      </c>
      <c r="I289" s="11">
        <v>0</v>
      </c>
      <c r="J289" s="11">
        <v>0</v>
      </c>
      <c r="K289" s="11">
        <v>0</v>
      </c>
      <c r="L289" s="11">
        <v>0</v>
      </c>
      <c r="M289" s="11">
        <v>0</v>
      </c>
      <c r="N289" s="11">
        <v>0</v>
      </c>
      <c r="O289" s="11">
        <v>0</v>
      </c>
      <c r="P289" s="11">
        <v>0</v>
      </c>
      <c r="Q289" s="11">
        <v>2.7492920572952501E-3</v>
      </c>
      <c r="R289" s="11">
        <v>2.2441148089136199E-3</v>
      </c>
      <c r="S289" s="11">
        <v>0</v>
      </c>
      <c r="T289" s="11">
        <v>3.3464962184592698E-3</v>
      </c>
      <c r="U289">
        <v>0</v>
      </c>
      <c r="V289">
        <v>0</v>
      </c>
      <c r="W289">
        <v>8.0004266894234399E-3</v>
      </c>
      <c r="X289">
        <v>0</v>
      </c>
      <c r="Y289">
        <v>0</v>
      </c>
      <c r="Z289">
        <v>9.5322826639552601E-3</v>
      </c>
      <c r="AA289">
        <v>0</v>
      </c>
      <c r="AB289">
        <v>5.8653672622270399E-2</v>
      </c>
      <c r="AC289">
        <v>0</v>
      </c>
      <c r="AD289">
        <v>0.459263919471532</v>
      </c>
      <c r="AE289">
        <v>0</v>
      </c>
      <c r="AF289">
        <v>0</v>
      </c>
      <c r="AG289">
        <v>6.1019972306320301E-2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</row>
    <row r="290" spans="1:39" customFormat="1" hidden="1" x14ac:dyDescent="0.3">
      <c r="A290" t="s">
        <v>1926</v>
      </c>
      <c r="B290" t="s">
        <v>30</v>
      </c>
      <c r="C290" t="s">
        <v>81</v>
      </c>
      <c r="D290" t="s">
        <v>80</v>
      </c>
      <c r="E290" t="s">
        <v>212</v>
      </c>
      <c r="F290" t="s">
        <v>211</v>
      </c>
      <c r="G290" t="s">
        <v>1925</v>
      </c>
      <c r="H290" s="16">
        <v>0</v>
      </c>
      <c r="I290" s="11">
        <v>0</v>
      </c>
      <c r="J290" s="11">
        <v>0</v>
      </c>
      <c r="K290" s="11">
        <v>0</v>
      </c>
      <c r="L290" s="11">
        <v>0</v>
      </c>
      <c r="M290" s="11">
        <v>0</v>
      </c>
      <c r="N290" s="11">
        <v>0</v>
      </c>
      <c r="O290" s="11">
        <v>0</v>
      </c>
      <c r="P290" s="11">
        <v>0</v>
      </c>
      <c r="Q290" s="11">
        <v>0</v>
      </c>
      <c r="R290" s="11">
        <v>4.4882296178272501E-3</v>
      </c>
      <c r="S290" s="11">
        <v>0</v>
      </c>
      <c r="T290" s="11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7.1911405148856597E-3</v>
      </c>
      <c r="AD290">
        <v>0</v>
      </c>
      <c r="AE290">
        <v>3.4299434059338E-3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</row>
    <row r="291" spans="1:39" customFormat="1" hidden="1" x14ac:dyDescent="0.3">
      <c r="A291" t="s">
        <v>1924</v>
      </c>
      <c r="B291" t="s">
        <v>30</v>
      </c>
      <c r="C291" t="s">
        <v>81</v>
      </c>
      <c r="D291" t="s">
        <v>80</v>
      </c>
      <c r="E291" t="s">
        <v>642</v>
      </c>
      <c r="F291" t="s">
        <v>641</v>
      </c>
      <c r="G291" t="s">
        <v>640</v>
      </c>
      <c r="H291" s="16">
        <v>0</v>
      </c>
      <c r="I291" s="11">
        <v>0</v>
      </c>
      <c r="J291" s="11">
        <v>8.7187758838659108E-3</v>
      </c>
      <c r="K291" s="11">
        <v>0</v>
      </c>
      <c r="L291" s="11">
        <v>4.6225979000198099E-2</v>
      </c>
      <c r="M291" s="11">
        <v>3.5488679111363502E-3</v>
      </c>
      <c r="N291" s="11">
        <v>1.37507448320117E-2</v>
      </c>
      <c r="O291" s="11">
        <v>3.75023438964935E-3</v>
      </c>
      <c r="P291" s="11">
        <v>0</v>
      </c>
      <c r="Q291" s="11">
        <v>0</v>
      </c>
      <c r="R291" s="11">
        <v>4.4882296178272501E-3</v>
      </c>
      <c r="S291" s="11">
        <v>0</v>
      </c>
      <c r="T291" s="1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</row>
    <row r="292" spans="1:39" customFormat="1" hidden="1" x14ac:dyDescent="0.3">
      <c r="A292" t="s">
        <v>1923</v>
      </c>
      <c r="B292" t="s">
        <v>30</v>
      </c>
      <c r="C292" t="s">
        <v>81</v>
      </c>
      <c r="D292" t="s">
        <v>80</v>
      </c>
      <c r="E292" t="s">
        <v>618</v>
      </c>
      <c r="F292" t="s">
        <v>629</v>
      </c>
      <c r="G292" t="s">
        <v>1922</v>
      </c>
      <c r="H292" s="16">
        <v>4.1583499667332E-3</v>
      </c>
      <c r="I292" s="11">
        <v>0</v>
      </c>
      <c r="J292" s="11">
        <v>8.7187758838659108E-3</v>
      </c>
      <c r="K292" s="11">
        <v>5.6589893045102101E-3</v>
      </c>
      <c r="L292" s="11">
        <v>6.6037112857425901E-3</v>
      </c>
      <c r="M292" s="11">
        <v>7.0977358222727004E-3</v>
      </c>
      <c r="N292" s="11">
        <v>4.5835816106705798E-3</v>
      </c>
      <c r="O292" s="11">
        <v>0</v>
      </c>
      <c r="P292" s="11">
        <v>0</v>
      </c>
      <c r="Q292" s="11">
        <v>8.2478761718857395E-3</v>
      </c>
      <c r="R292" s="11">
        <v>1.3464688853481699E-2</v>
      </c>
      <c r="S292" s="11">
        <v>0</v>
      </c>
      <c r="T292" s="11">
        <v>0</v>
      </c>
      <c r="U292">
        <v>6.0840203206278696E-3</v>
      </c>
      <c r="V292">
        <v>7.2288285683305004E-3</v>
      </c>
      <c r="W292">
        <v>2.6668088964744798E-3</v>
      </c>
      <c r="X292">
        <v>0</v>
      </c>
      <c r="Y292">
        <v>5.8529162155043701E-3</v>
      </c>
      <c r="Z292">
        <v>0</v>
      </c>
      <c r="AA292">
        <v>0</v>
      </c>
      <c r="AB292">
        <v>4.5118209709438702E-3</v>
      </c>
      <c r="AC292">
        <v>3.5955702574428303E-2</v>
      </c>
      <c r="AD292">
        <v>3.14564328405159E-3</v>
      </c>
      <c r="AE292">
        <v>1.37197736237352E-2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</row>
    <row r="293" spans="1:39" customFormat="1" hidden="1" x14ac:dyDescent="0.3">
      <c r="A293" t="s">
        <v>1921</v>
      </c>
      <c r="B293" t="s">
        <v>30</v>
      </c>
      <c r="C293" t="s">
        <v>81</v>
      </c>
      <c r="D293" t="s">
        <v>80</v>
      </c>
      <c r="E293" t="s">
        <v>618</v>
      </c>
      <c r="F293" t="s">
        <v>629</v>
      </c>
      <c r="G293" t="s">
        <v>1920</v>
      </c>
      <c r="H293" s="16">
        <v>0</v>
      </c>
      <c r="I293" s="11">
        <v>0</v>
      </c>
      <c r="J293" s="11">
        <v>0</v>
      </c>
      <c r="K293" s="11">
        <v>0</v>
      </c>
      <c r="L293" s="11">
        <v>6.6037112857425901E-3</v>
      </c>
      <c r="M293" s="11">
        <v>0</v>
      </c>
      <c r="N293" s="11">
        <v>0</v>
      </c>
      <c r="O293" s="11">
        <v>0</v>
      </c>
      <c r="P293" s="11">
        <v>0</v>
      </c>
      <c r="Q293" s="11">
        <v>0</v>
      </c>
      <c r="R293" s="11">
        <v>2.2441148089136199E-3</v>
      </c>
      <c r="S293" s="11">
        <v>0</v>
      </c>
      <c r="T293" s="11">
        <v>0</v>
      </c>
      <c r="U293">
        <v>0</v>
      </c>
      <c r="V293">
        <v>2.8915314273322001E-2</v>
      </c>
      <c r="W293">
        <v>2.6668088964744798E-3</v>
      </c>
      <c r="X293">
        <v>0</v>
      </c>
      <c r="Y293">
        <v>1.46322905387609E-2</v>
      </c>
      <c r="Z293">
        <v>3.1774275546517499E-3</v>
      </c>
      <c r="AA293">
        <v>0</v>
      </c>
      <c r="AB293">
        <v>0</v>
      </c>
      <c r="AC293">
        <v>0</v>
      </c>
      <c r="AD293">
        <v>0</v>
      </c>
      <c r="AE293">
        <v>6.8598868118676E-3</v>
      </c>
      <c r="AF293">
        <v>5.03372596395852E-3</v>
      </c>
      <c r="AG293">
        <v>2.3469220117815501E-3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</row>
    <row r="294" spans="1:39" customFormat="1" hidden="1" x14ac:dyDescent="0.3">
      <c r="A294" t="s">
        <v>1919</v>
      </c>
      <c r="B294" t="s">
        <v>30</v>
      </c>
      <c r="C294" t="s">
        <v>81</v>
      </c>
      <c r="D294" t="s">
        <v>80</v>
      </c>
      <c r="E294" t="s">
        <v>642</v>
      </c>
      <c r="F294" t="s">
        <v>641</v>
      </c>
      <c r="G294" t="s">
        <v>1777</v>
      </c>
      <c r="H294" s="16">
        <v>0</v>
      </c>
      <c r="I294" s="11">
        <v>0</v>
      </c>
      <c r="J294" s="11">
        <v>0</v>
      </c>
      <c r="K294" s="11">
        <v>0</v>
      </c>
      <c r="L294" s="11">
        <v>0</v>
      </c>
      <c r="M294" s="11">
        <v>5.6781886578181603E-2</v>
      </c>
      <c r="N294" s="11">
        <v>0</v>
      </c>
      <c r="O294" s="11">
        <v>0</v>
      </c>
      <c r="P294" s="11">
        <v>0</v>
      </c>
      <c r="Q294" s="11">
        <v>0</v>
      </c>
      <c r="R294" s="11">
        <v>0</v>
      </c>
      <c r="S294" s="11">
        <v>0</v>
      </c>
      <c r="T294" s="11">
        <v>0</v>
      </c>
      <c r="U294">
        <v>0</v>
      </c>
      <c r="V294">
        <v>0</v>
      </c>
      <c r="W294">
        <v>1.06672355858979E-2</v>
      </c>
      <c r="X294">
        <v>0</v>
      </c>
      <c r="Y294">
        <v>5.8529162155043701E-3</v>
      </c>
      <c r="Z294">
        <v>3.1774275546517499E-3</v>
      </c>
      <c r="AA294">
        <v>0</v>
      </c>
      <c r="AB294">
        <v>4.5118209709438702E-3</v>
      </c>
      <c r="AC294">
        <v>0</v>
      </c>
      <c r="AD294">
        <v>0</v>
      </c>
      <c r="AE294">
        <v>3.4299434059338E-3</v>
      </c>
      <c r="AF294">
        <v>5.03372596395852E-3</v>
      </c>
      <c r="AG294">
        <v>6.80607383416649E-2</v>
      </c>
      <c r="AH294">
        <v>4.6410173109945703E-3</v>
      </c>
      <c r="AI294">
        <v>2.2984278753332699E-2</v>
      </c>
      <c r="AJ294">
        <v>0</v>
      </c>
      <c r="AK294">
        <v>0</v>
      </c>
      <c r="AL294">
        <v>0</v>
      </c>
      <c r="AM294">
        <v>0</v>
      </c>
    </row>
    <row r="295" spans="1:39" customFormat="1" hidden="1" x14ac:dyDescent="0.3">
      <c r="A295" t="s">
        <v>1917</v>
      </c>
      <c r="B295" t="s">
        <v>30</v>
      </c>
      <c r="C295" t="s">
        <v>81</v>
      </c>
      <c r="D295" t="s">
        <v>118</v>
      </c>
      <c r="E295" t="s">
        <v>1049</v>
      </c>
      <c r="F295" t="s">
        <v>1048</v>
      </c>
      <c r="G295" t="s">
        <v>1047</v>
      </c>
      <c r="H295" s="16">
        <v>0</v>
      </c>
      <c r="I295" s="11">
        <v>0</v>
      </c>
      <c r="J295" s="11">
        <v>0</v>
      </c>
      <c r="K295" s="11">
        <v>0</v>
      </c>
      <c r="L295" s="11">
        <v>0</v>
      </c>
      <c r="M295" s="11">
        <v>0</v>
      </c>
      <c r="N295" s="11">
        <v>0</v>
      </c>
      <c r="O295" s="11">
        <v>0</v>
      </c>
      <c r="P295" s="11">
        <v>0</v>
      </c>
      <c r="Q295" s="11">
        <v>0</v>
      </c>
      <c r="R295" s="11">
        <v>0</v>
      </c>
      <c r="S295" s="11">
        <v>1.2441524833283601E-2</v>
      </c>
      <c r="T295" s="11">
        <v>3.3464962184592698E-3</v>
      </c>
      <c r="U295">
        <v>0</v>
      </c>
      <c r="V295">
        <v>7.2288285683305004E-3</v>
      </c>
      <c r="W295">
        <v>2.6668088964744798E-3</v>
      </c>
      <c r="X295">
        <v>0</v>
      </c>
      <c r="Y295">
        <v>0.19899915132714899</v>
      </c>
      <c r="Z295">
        <v>3.1774275546517499E-3</v>
      </c>
      <c r="AA295">
        <v>0</v>
      </c>
      <c r="AB295">
        <v>8.5724598447933606E-2</v>
      </c>
      <c r="AC295">
        <v>6.4720264633970903E-2</v>
      </c>
      <c r="AD295">
        <v>9.7514941805599206E-2</v>
      </c>
      <c r="AE295">
        <v>4.11593208712056E-2</v>
      </c>
      <c r="AF295">
        <v>5.03372596395852E-3</v>
      </c>
      <c r="AG295">
        <v>1.64284540824708E-2</v>
      </c>
      <c r="AH295">
        <v>9.2820346219891405E-3</v>
      </c>
      <c r="AI295">
        <v>3.2177990254665799E-2</v>
      </c>
      <c r="AJ295">
        <v>0</v>
      </c>
      <c r="AK295">
        <v>0</v>
      </c>
      <c r="AL295">
        <v>0</v>
      </c>
      <c r="AM295">
        <v>0</v>
      </c>
    </row>
    <row r="296" spans="1:39" customFormat="1" hidden="1" x14ac:dyDescent="0.3">
      <c r="A296" t="s">
        <v>1916</v>
      </c>
      <c r="B296" t="s">
        <v>30</v>
      </c>
      <c r="C296" t="s">
        <v>111</v>
      </c>
      <c r="D296" t="s">
        <v>141</v>
      </c>
      <c r="E296" t="s">
        <v>140</v>
      </c>
      <c r="F296" t="s">
        <v>595</v>
      </c>
      <c r="G296" t="s">
        <v>594</v>
      </c>
      <c r="H296" s="16">
        <v>0</v>
      </c>
      <c r="I296" s="11">
        <v>0</v>
      </c>
      <c r="J296" s="11">
        <v>0</v>
      </c>
      <c r="K296" s="11">
        <v>0</v>
      </c>
      <c r="L296" s="11">
        <v>6.6037112857425901E-3</v>
      </c>
      <c r="M296" s="11">
        <v>0</v>
      </c>
      <c r="N296" s="11">
        <v>0</v>
      </c>
      <c r="O296" s="11">
        <v>0</v>
      </c>
      <c r="P296" s="11">
        <v>0</v>
      </c>
      <c r="Q296" s="11">
        <v>2.7492920572952501E-3</v>
      </c>
      <c r="R296" s="11">
        <v>0</v>
      </c>
      <c r="S296" s="11">
        <v>0</v>
      </c>
      <c r="T296" s="11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2.22419928825623E-2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2.3469220117815501E-3</v>
      </c>
      <c r="AH296">
        <v>0</v>
      </c>
      <c r="AI296">
        <v>0</v>
      </c>
      <c r="AJ296">
        <v>3.5915670006823998E-3</v>
      </c>
      <c r="AK296">
        <v>0</v>
      </c>
      <c r="AL296">
        <v>0</v>
      </c>
      <c r="AM296">
        <v>0</v>
      </c>
    </row>
    <row r="297" spans="1:39" customFormat="1" hidden="1" x14ac:dyDescent="0.3">
      <c r="A297" t="s">
        <v>1915</v>
      </c>
      <c r="B297" t="s">
        <v>30</v>
      </c>
      <c r="C297" t="s">
        <v>81</v>
      </c>
      <c r="D297" t="s">
        <v>118</v>
      </c>
      <c r="E297" t="s">
        <v>358</v>
      </c>
      <c r="F297" t="s">
        <v>357</v>
      </c>
      <c r="G297" t="s">
        <v>356</v>
      </c>
      <c r="H297" s="16">
        <v>0</v>
      </c>
      <c r="I297" s="11">
        <v>0</v>
      </c>
      <c r="J297" s="11">
        <v>0</v>
      </c>
      <c r="K297" s="11">
        <v>0</v>
      </c>
      <c r="L297" s="11">
        <v>0</v>
      </c>
      <c r="M297" s="11">
        <v>3.5488679111363502E-3</v>
      </c>
      <c r="N297" s="11">
        <v>0</v>
      </c>
      <c r="O297" s="11">
        <v>0</v>
      </c>
      <c r="P297" s="11">
        <v>0</v>
      </c>
      <c r="Q297" s="11">
        <v>0</v>
      </c>
      <c r="R297" s="11">
        <v>2.2441148089136199E-3</v>
      </c>
      <c r="S297" s="11">
        <v>0</v>
      </c>
      <c r="T297" s="11">
        <v>6.69299243691855E-3</v>
      </c>
      <c r="U297">
        <v>0</v>
      </c>
      <c r="V297">
        <v>3.6144142841652502E-3</v>
      </c>
      <c r="W297">
        <v>2.6668088964744798E-3</v>
      </c>
      <c r="X297">
        <v>0</v>
      </c>
      <c r="Y297">
        <v>5.8529162155043701E-3</v>
      </c>
      <c r="Z297">
        <v>3.1774275546517499E-3</v>
      </c>
      <c r="AA297">
        <v>0</v>
      </c>
      <c r="AB297">
        <v>1.35354629128316E-2</v>
      </c>
      <c r="AC297">
        <v>2.1573421544656999E-2</v>
      </c>
      <c r="AD297">
        <v>3.1456432840515899E-2</v>
      </c>
      <c r="AE297">
        <v>0.18864688732635901</v>
      </c>
      <c r="AF297">
        <v>0</v>
      </c>
      <c r="AG297">
        <v>6.1019972306320301E-2</v>
      </c>
      <c r="AH297">
        <v>1.39230519329837E-2</v>
      </c>
      <c r="AI297">
        <v>6.6654408384664895E-2</v>
      </c>
      <c r="AJ297">
        <v>0</v>
      </c>
      <c r="AK297">
        <v>6.02700096432015E-3</v>
      </c>
      <c r="AL297">
        <v>0</v>
      </c>
      <c r="AM297">
        <v>0</v>
      </c>
    </row>
    <row r="298" spans="1:39" customFormat="1" hidden="1" x14ac:dyDescent="0.3">
      <c r="A298" t="s">
        <v>1904</v>
      </c>
      <c r="B298" t="s">
        <v>30</v>
      </c>
      <c r="C298" t="s">
        <v>111</v>
      </c>
      <c r="D298" t="s">
        <v>141</v>
      </c>
      <c r="E298" t="s">
        <v>140</v>
      </c>
      <c r="F298" t="s">
        <v>276</v>
      </c>
      <c r="G298" t="s">
        <v>25</v>
      </c>
      <c r="H298" s="16">
        <v>0</v>
      </c>
      <c r="I298" s="11">
        <v>0</v>
      </c>
      <c r="J298" s="11">
        <v>6.9750207070927203E-2</v>
      </c>
      <c r="K298" s="11">
        <v>0</v>
      </c>
      <c r="L298" s="11">
        <v>0</v>
      </c>
      <c r="M298" s="11">
        <v>0</v>
      </c>
      <c r="N298" s="11">
        <v>0</v>
      </c>
      <c r="O298" s="11">
        <v>0</v>
      </c>
      <c r="P298" s="11">
        <v>0</v>
      </c>
      <c r="Q298" s="11">
        <v>0</v>
      </c>
      <c r="R298" s="11">
        <v>0</v>
      </c>
      <c r="S298" s="11">
        <v>0</v>
      </c>
      <c r="T298" s="11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</row>
    <row r="299" spans="1:39" customFormat="1" hidden="1" x14ac:dyDescent="0.3">
      <c r="A299" t="s">
        <v>1901</v>
      </c>
      <c r="B299" t="s">
        <v>30</v>
      </c>
      <c r="C299" t="s">
        <v>81</v>
      </c>
      <c r="D299" t="s">
        <v>80</v>
      </c>
      <c r="E299" t="s">
        <v>618</v>
      </c>
      <c r="F299" t="s">
        <v>1434</v>
      </c>
      <c r="G299" t="s">
        <v>1434</v>
      </c>
      <c r="H299" s="16">
        <v>8.3166999334664E-3</v>
      </c>
      <c r="I299" s="11">
        <v>0</v>
      </c>
      <c r="J299" s="11">
        <v>1.30781638257989E-2</v>
      </c>
      <c r="K299" s="11">
        <v>0</v>
      </c>
      <c r="L299" s="11">
        <v>1.3207422571485199E-2</v>
      </c>
      <c r="M299" s="11">
        <v>0</v>
      </c>
      <c r="N299" s="11">
        <v>4.5835816106705798E-3</v>
      </c>
      <c r="O299" s="11">
        <v>2.6251640727545499E-2</v>
      </c>
      <c r="P299" s="11">
        <v>0</v>
      </c>
      <c r="Q299" s="11">
        <v>0</v>
      </c>
      <c r="R299" s="11">
        <v>0</v>
      </c>
      <c r="S299" s="11">
        <v>0</v>
      </c>
      <c r="T299" s="11">
        <v>0</v>
      </c>
      <c r="U299">
        <v>0</v>
      </c>
      <c r="V299">
        <v>0</v>
      </c>
      <c r="W299">
        <v>2.6668088964744798E-3</v>
      </c>
      <c r="X299">
        <v>0</v>
      </c>
      <c r="Y299">
        <v>0</v>
      </c>
      <c r="Z299">
        <v>0</v>
      </c>
      <c r="AA299">
        <v>0</v>
      </c>
      <c r="AB299">
        <v>0.270709258256632</v>
      </c>
      <c r="AC299">
        <v>0</v>
      </c>
      <c r="AD299">
        <v>0.29254482541679799</v>
      </c>
      <c r="AE299">
        <v>0</v>
      </c>
      <c r="AF299">
        <v>0</v>
      </c>
      <c r="AG299">
        <v>4.6938440235631002E-3</v>
      </c>
      <c r="AH299">
        <v>0</v>
      </c>
      <c r="AI299">
        <v>2.2984278753332699E-3</v>
      </c>
      <c r="AJ299">
        <v>0</v>
      </c>
      <c r="AK299">
        <v>0</v>
      </c>
      <c r="AL299">
        <v>0</v>
      </c>
      <c r="AM299">
        <v>0</v>
      </c>
    </row>
    <row r="300" spans="1:39" customFormat="1" hidden="1" x14ac:dyDescent="0.3">
      <c r="A300" t="s">
        <v>1897</v>
      </c>
      <c r="B300" t="s">
        <v>30</v>
      </c>
      <c r="C300" t="s">
        <v>81</v>
      </c>
      <c r="D300" t="s">
        <v>85</v>
      </c>
      <c r="E300" t="s">
        <v>1169</v>
      </c>
      <c r="F300" t="s">
        <v>1168</v>
      </c>
      <c r="G300" t="s">
        <v>1896</v>
      </c>
      <c r="H300" s="16">
        <v>0</v>
      </c>
      <c r="I300" s="11">
        <v>0</v>
      </c>
      <c r="J300" s="11">
        <v>0</v>
      </c>
      <c r="K300" s="11">
        <v>0</v>
      </c>
      <c r="L300" s="11">
        <v>0</v>
      </c>
      <c r="M300" s="11">
        <v>0</v>
      </c>
      <c r="N300" s="11">
        <v>0</v>
      </c>
      <c r="O300" s="11">
        <v>0</v>
      </c>
      <c r="P300" s="11">
        <v>0</v>
      </c>
      <c r="Q300" s="11">
        <v>0</v>
      </c>
      <c r="R300" s="11">
        <v>6.7323444267408704E-3</v>
      </c>
      <c r="S300" s="11">
        <v>0</v>
      </c>
      <c r="T300" s="11">
        <v>1.00394886553778E-2</v>
      </c>
      <c r="U300">
        <v>0</v>
      </c>
      <c r="V300">
        <v>0</v>
      </c>
      <c r="W300">
        <v>1.6000853378846901E-2</v>
      </c>
      <c r="X300">
        <v>0</v>
      </c>
      <c r="Y300">
        <v>5.8529162155043701E-3</v>
      </c>
      <c r="Z300">
        <v>9.5322826639552601E-3</v>
      </c>
      <c r="AA300">
        <v>0</v>
      </c>
      <c r="AB300">
        <v>0</v>
      </c>
      <c r="AC300">
        <v>7.1911405148856597E-3</v>
      </c>
      <c r="AD300">
        <v>0</v>
      </c>
      <c r="AE300">
        <v>3.4299434059338E-3</v>
      </c>
      <c r="AF300">
        <v>4.0269807711668201E-2</v>
      </c>
      <c r="AG300">
        <v>4.6938440235631002E-3</v>
      </c>
      <c r="AH300">
        <v>4.6410173109945703E-3</v>
      </c>
      <c r="AI300">
        <v>4.5968557506665397E-3</v>
      </c>
      <c r="AJ300">
        <v>3.5915670006823998E-3</v>
      </c>
      <c r="AK300">
        <v>6.02700096432015E-3</v>
      </c>
      <c r="AL300">
        <v>0</v>
      </c>
      <c r="AM300">
        <v>0</v>
      </c>
    </row>
    <row r="301" spans="1:39" customFormat="1" hidden="1" x14ac:dyDescent="0.3">
      <c r="A301" t="s">
        <v>1895</v>
      </c>
      <c r="B301" t="s">
        <v>30</v>
      </c>
      <c r="C301" t="s">
        <v>264</v>
      </c>
      <c r="D301" t="s">
        <v>263</v>
      </c>
      <c r="E301" t="s">
        <v>262</v>
      </c>
      <c r="F301" t="s">
        <v>261</v>
      </c>
      <c r="G301" t="s">
        <v>260</v>
      </c>
      <c r="H301" s="16">
        <v>0</v>
      </c>
      <c r="I301" s="11">
        <v>3.6565745209887401E-3</v>
      </c>
      <c r="J301" s="11">
        <v>0</v>
      </c>
      <c r="K301" s="11">
        <v>0</v>
      </c>
      <c r="L301" s="11">
        <v>0</v>
      </c>
      <c r="M301" s="11">
        <v>3.5488679111363502E-3</v>
      </c>
      <c r="N301" s="11">
        <v>4.5835816106705798E-3</v>
      </c>
      <c r="O301" s="11">
        <v>1.50009375585974E-2</v>
      </c>
      <c r="P301" s="11">
        <v>0</v>
      </c>
      <c r="Q301" s="11">
        <v>2.7492920572952501E-3</v>
      </c>
      <c r="R301" s="11">
        <v>0</v>
      </c>
      <c r="S301" s="11">
        <v>0</v>
      </c>
      <c r="T301" s="1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3.5915670006823998E-3</v>
      </c>
      <c r="AK301">
        <v>0</v>
      </c>
      <c r="AL301">
        <v>0</v>
      </c>
      <c r="AM301">
        <v>0</v>
      </c>
    </row>
    <row r="302" spans="1:39" customFormat="1" hidden="1" x14ac:dyDescent="0.3">
      <c r="A302" t="s">
        <v>1893</v>
      </c>
      <c r="B302" t="s">
        <v>30</v>
      </c>
      <c r="C302" t="s">
        <v>81</v>
      </c>
      <c r="D302" t="s">
        <v>80</v>
      </c>
      <c r="E302" t="s">
        <v>618</v>
      </c>
      <c r="F302" t="s">
        <v>629</v>
      </c>
      <c r="G302" t="s">
        <v>1892</v>
      </c>
      <c r="H302" s="16">
        <v>8.3166999334664E-3</v>
      </c>
      <c r="I302" s="11">
        <v>3.6565745209887401E-3</v>
      </c>
      <c r="J302" s="11">
        <v>1.30781638257989E-2</v>
      </c>
      <c r="K302" s="11">
        <v>2.26359572180409E-2</v>
      </c>
      <c r="L302" s="11">
        <v>6.6037112857425901E-3</v>
      </c>
      <c r="M302" s="11">
        <v>1.0646603733408999E-2</v>
      </c>
      <c r="N302" s="11">
        <v>0</v>
      </c>
      <c r="O302" s="11">
        <v>0</v>
      </c>
      <c r="P302" s="11">
        <v>0</v>
      </c>
      <c r="Q302" s="11">
        <v>0</v>
      </c>
      <c r="R302" s="11">
        <v>0</v>
      </c>
      <c r="S302" s="11">
        <v>0</v>
      </c>
      <c r="T302" s="11">
        <v>0</v>
      </c>
      <c r="U302">
        <v>0</v>
      </c>
      <c r="V302">
        <v>3.6144142841652502E-3</v>
      </c>
      <c r="W302">
        <v>0</v>
      </c>
      <c r="X302">
        <v>0</v>
      </c>
      <c r="Y302">
        <v>0</v>
      </c>
      <c r="Z302">
        <v>3.1774275546517499E-3</v>
      </c>
      <c r="AA302">
        <v>0</v>
      </c>
      <c r="AB302">
        <v>9.0236419418877507E-3</v>
      </c>
      <c r="AC302">
        <v>0</v>
      </c>
      <c r="AD302">
        <v>0</v>
      </c>
      <c r="AE302">
        <v>1.02898302178014E-2</v>
      </c>
      <c r="AF302">
        <v>0</v>
      </c>
      <c r="AG302">
        <v>0</v>
      </c>
      <c r="AH302">
        <v>0</v>
      </c>
      <c r="AI302">
        <v>2.2984278753332699E-3</v>
      </c>
      <c r="AJ302">
        <v>0</v>
      </c>
      <c r="AK302">
        <v>0</v>
      </c>
      <c r="AL302">
        <v>0</v>
      </c>
      <c r="AM302">
        <v>0</v>
      </c>
    </row>
    <row r="303" spans="1:39" customFormat="1" hidden="1" x14ac:dyDescent="0.3">
      <c r="A303" t="s">
        <v>1891</v>
      </c>
      <c r="B303" t="s">
        <v>30</v>
      </c>
      <c r="C303" t="s">
        <v>1890</v>
      </c>
      <c r="D303" t="s">
        <v>1889</v>
      </c>
      <c r="E303" t="s">
        <v>1888</v>
      </c>
      <c r="F303" t="s">
        <v>1887</v>
      </c>
      <c r="G303" t="s">
        <v>1886</v>
      </c>
      <c r="H303" s="16">
        <v>0</v>
      </c>
      <c r="I303" s="11">
        <v>0</v>
      </c>
      <c r="J303" s="11">
        <v>0</v>
      </c>
      <c r="K303" s="11">
        <v>0</v>
      </c>
      <c r="L303" s="11">
        <v>0</v>
      </c>
      <c r="M303" s="11">
        <v>0</v>
      </c>
      <c r="N303" s="11">
        <v>0</v>
      </c>
      <c r="O303" s="11">
        <v>0</v>
      </c>
      <c r="P303" s="11">
        <v>0</v>
      </c>
      <c r="Q303" s="11">
        <v>0</v>
      </c>
      <c r="R303" s="11">
        <v>0</v>
      </c>
      <c r="S303" s="11">
        <v>4.9766099333134299E-3</v>
      </c>
      <c r="T303" s="11">
        <v>3.3464962184592698E-3</v>
      </c>
      <c r="U303">
        <v>0</v>
      </c>
      <c r="V303">
        <v>0</v>
      </c>
      <c r="W303">
        <v>0.17067576937436699</v>
      </c>
      <c r="X303">
        <v>0</v>
      </c>
      <c r="Y303">
        <v>0</v>
      </c>
      <c r="Z303">
        <v>6.0371123538383302E-2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0.11577569717104599</v>
      </c>
      <c r="AG303">
        <v>5.8673050294538703E-2</v>
      </c>
      <c r="AH303">
        <v>0</v>
      </c>
      <c r="AI303">
        <v>2.2984278753332699E-3</v>
      </c>
      <c r="AJ303">
        <v>0</v>
      </c>
      <c r="AK303">
        <v>0</v>
      </c>
      <c r="AL303">
        <v>0</v>
      </c>
      <c r="AM303">
        <v>0</v>
      </c>
    </row>
    <row r="304" spans="1:39" x14ac:dyDescent="0.3">
      <c r="A304" s="6" t="s">
        <v>1883</v>
      </c>
      <c r="B304" s="6" t="s">
        <v>30</v>
      </c>
      <c r="C304" s="6" t="s">
        <v>29</v>
      </c>
      <c r="D304" s="6" t="s">
        <v>28</v>
      </c>
      <c r="E304" s="6" t="s">
        <v>388</v>
      </c>
      <c r="F304" s="6" t="s">
        <v>624</v>
      </c>
      <c r="G304" s="6" t="s">
        <v>634</v>
      </c>
      <c r="H304" s="49">
        <v>0</v>
      </c>
      <c r="I304" s="6">
        <v>0</v>
      </c>
      <c r="J304" s="6">
        <v>0</v>
      </c>
      <c r="K304" s="6">
        <v>0</v>
      </c>
      <c r="L304" s="6">
        <v>0</v>
      </c>
      <c r="M304" s="6">
        <v>0</v>
      </c>
      <c r="N304" s="6">
        <v>0</v>
      </c>
      <c r="O304" s="6">
        <v>0</v>
      </c>
      <c r="P304" s="6">
        <v>0</v>
      </c>
      <c r="Q304" s="6">
        <v>0</v>
      </c>
      <c r="R304" s="6">
        <v>0</v>
      </c>
      <c r="S304" s="6">
        <v>2.4883049666567102E-3</v>
      </c>
      <c r="T304" s="6">
        <v>0</v>
      </c>
      <c r="U304" s="6">
        <v>3.04201016031394E-3</v>
      </c>
      <c r="V304" s="6">
        <v>3.6144142841652502E-3</v>
      </c>
      <c r="W304" s="6">
        <v>2.6668088964744798E-3</v>
      </c>
      <c r="X304" s="6">
        <v>0</v>
      </c>
      <c r="Y304" s="6">
        <v>2.9264581077521898E-3</v>
      </c>
      <c r="Z304" s="6">
        <v>0</v>
      </c>
      <c r="AA304" s="6">
        <v>0</v>
      </c>
      <c r="AB304" s="6">
        <v>4.5118209709438702E-3</v>
      </c>
      <c r="AC304" s="6">
        <v>0</v>
      </c>
      <c r="AD304" s="6">
        <v>5.9767222396980201E-2</v>
      </c>
      <c r="AE304" s="6">
        <v>0</v>
      </c>
      <c r="AF304" s="6">
        <v>5.03372596395852E-3</v>
      </c>
      <c r="AG304" s="6">
        <v>0.23469220117815501</v>
      </c>
      <c r="AH304" s="6">
        <v>4.6410173109945703E-3</v>
      </c>
      <c r="AI304" s="6">
        <v>2.2984278753332699E-3</v>
      </c>
      <c r="AJ304" s="6">
        <v>0</v>
      </c>
      <c r="AK304" s="6">
        <v>0</v>
      </c>
      <c r="AL304" s="6">
        <v>0</v>
      </c>
      <c r="AM304" s="6">
        <v>0</v>
      </c>
    </row>
    <row r="305" spans="1:39" customFormat="1" hidden="1" x14ac:dyDescent="0.3">
      <c r="A305" t="s">
        <v>1878</v>
      </c>
      <c r="B305" t="s">
        <v>30</v>
      </c>
      <c r="C305" t="s">
        <v>29</v>
      </c>
      <c r="D305" t="s">
        <v>28</v>
      </c>
      <c r="E305" t="s">
        <v>91</v>
      </c>
      <c r="F305" t="s">
        <v>95</v>
      </c>
      <c r="G305" t="s">
        <v>1372</v>
      </c>
      <c r="H305" s="16">
        <v>4.1583499667332E-3</v>
      </c>
      <c r="I305" s="11">
        <v>3.6565745209887401E-3</v>
      </c>
      <c r="J305" s="11">
        <v>0</v>
      </c>
      <c r="K305" s="11">
        <v>0</v>
      </c>
      <c r="L305" s="11">
        <v>0</v>
      </c>
      <c r="M305" s="11">
        <v>0</v>
      </c>
      <c r="N305" s="11">
        <v>0</v>
      </c>
      <c r="O305" s="11">
        <v>0</v>
      </c>
      <c r="P305" s="11">
        <v>0</v>
      </c>
      <c r="Q305" s="11">
        <v>0</v>
      </c>
      <c r="R305" s="11">
        <v>0</v>
      </c>
      <c r="S305" s="11">
        <v>7.4649148999701397E-3</v>
      </c>
      <c r="T305" s="11">
        <v>0</v>
      </c>
      <c r="U305">
        <v>0</v>
      </c>
      <c r="V305">
        <v>0</v>
      </c>
      <c r="W305">
        <v>2.6668088964744798E-3</v>
      </c>
      <c r="X305">
        <v>0</v>
      </c>
      <c r="Y305">
        <v>0</v>
      </c>
      <c r="Z305">
        <v>0</v>
      </c>
      <c r="AA305">
        <v>0</v>
      </c>
      <c r="AB305">
        <v>5.4141851651326497E-2</v>
      </c>
      <c r="AC305">
        <v>0.14382281029771299</v>
      </c>
      <c r="AD305">
        <v>3.4602076124567498E-2</v>
      </c>
      <c r="AE305">
        <v>0.13376779283141799</v>
      </c>
      <c r="AF305">
        <v>0</v>
      </c>
      <c r="AG305">
        <v>9.3876880471262004E-3</v>
      </c>
      <c r="AH305">
        <v>4.6410173109945703E-3</v>
      </c>
      <c r="AI305">
        <v>1.37905672519996E-2</v>
      </c>
      <c r="AJ305">
        <v>0</v>
      </c>
      <c r="AK305">
        <v>0</v>
      </c>
      <c r="AL305">
        <v>0</v>
      </c>
      <c r="AM305">
        <v>0</v>
      </c>
    </row>
    <row r="306" spans="1:39" customFormat="1" hidden="1" x14ac:dyDescent="0.3">
      <c r="A306" t="s">
        <v>1875</v>
      </c>
      <c r="B306" t="s">
        <v>30</v>
      </c>
      <c r="C306" t="s">
        <v>29</v>
      </c>
      <c r="D306" t="s">
        <v>28</v>
      </c>
      <c r="E306" t="s">
        <v>388</v>
      </c>
      <c r="F306" t="s">
        <v>823</v>
      </c>
      <c r="G306" t="s">
        <v>829</v>
      </c>
      <c r="H306" s="16">
        <v>4.9900199600798403E-2</v>
      </c>
      <c r="I306" s="11">
        <v>0</v>
      </c>
      <c r="J306" s="11">
        <v>0</v>
      </c>
      <c r="K306" s="11">
        <v>0</v>
      </c>
      <c r="L306" s="11">
        <v>0</v>
      </c>
      <c r="M306" s="11">
        <v>0</v>
      </c>
      <c r="N306" s="11">
        <v>0</v>
      </c>
      <c r="O306" s="11">
        <v>0</v>
      </c>
      <c r="P306" s="11">
        <v>3.3947788301592198E-3</v>
      </c>
      <c r="Q306" s="11">
        <v>0</v>
      </c>
      <c r="R306" s="11">
        <v>2.2441148089136199E-3</v>
      </c>
      <c r="S306" s="11">
        <v>0</v>
      </c>
      <c r="T306" s="11">
        <v>0</v>
      </c>
      <c r="U306">
        <v>3.04201016031394E-3</v>
      </c>
      <c r="V306">
        <v>3.6144142841652502E-3</v>
      </c>
      <c r="W306">
        <v>1.33340444823724E-2</v>
      </c>
      <c r="X306">
        <v>6.4242579982012101E-3</v>
      </c>
      <c r="Y306">
        <v>2.9264581077521898E-3</v>
      </c>
      <c r="Z306">
        <v>6.3548551093035102E-3</v>
      </c>
      <c r="AA306">
        <v>0</v>
      </c>
      <c r="AB306">
        <v>0</v>
      </c>
      <c r="AC306">
        <v>0</v>
      </c>
      <c r="AD306">
        <v>1.25825731362064E-2</v>
      </c>
      <c r="AE306">
        <v>3.4299434059338E-3</v>
      </c>
      <c r="AF306">
        <v>5.03372596395852E-3</v>
      </c>
      <c r="AG306">
        <v>0.19948837100143199</v>
      </c>
      <c r="AH306">
        <v>0</v>
      </c>
      <c r="AI306">
        <v>2.2984278753332699E-2</v>
      </c>
      <c r="AJ306">
        <v>0</v>
      </c>
      <c r="AK306">
        <v>0</v>
      </c>
      <c r="AL306">
        <v>0</v>
      </c>
      <c r="AM306">
        <v>0</v>
      </c>
    </row>
    <row r="307" spans="1:39" customFormat="1" hidden="1" x14ac:dyDescent="0.3">
      <c r="A307" t="s">
        <v>1874</v>
      </c>
      <c r="B307" t="s">
        <v>30</v>
      </c>
      <c r="C307" t="s">
        <v>81</v>
      </c>
      <c r="D307" t="s">
        <v>80</v>
      </c>
      <c r="E307" t="s">
        <v>618</v>
      </c>
      <c r="F307" t="s">
        <v>617</v>
      </c>
      <c r="G307" t="s">
        <v>1873</v>
      </c>
      <c r="H307" s="16">
        <v>8.3166999334664E-3</v>
      </c>
      <c r="I307" s="11">
        <v>0</v>
      </c>
      <c r="J307" s="11">
        <v>0</v>
      </c>
      <c r="K307" s="11">
        <v>5.6589893045102101E-3</v>
      </c>
      <c r="L307" s="11">
        <v>1.9811133857227801E-2</v>
      </c>
      <c r="M307" s="11">
        <v>3.5488679111363502E-3</v>
      </c>
      <c r="N307" s="11">
        <v>4.5835816106705798E-3</v>
      </c>
      <c r="O307" s="11">
        <v>1.1250703168948099E-2</v>
      </c>
      <c r="P307" s="11">
        <v>0</v>
      </c>
      <c r="Q307" s="11">
        <v>0</v>
      </c>
      <c r="R307" s="11">
        <v>0</v>
      </c>
      <c r="S307" s="11">
        <v>0</v>
      </c>
      <c r="T307" s="11">
        <v>0</v>
      </c>
      <c r="U307">
        <v>0</v>
      </c>
      <c r="V307">
        <v>7.2288285683305004E-3</v>
      </c>
      <c r="W307">
        <v>1.06672355858979E-2</v>
      </c>
      <c r="X307">
        <v>0</v>
      </c>
      <c r="Y307">
        <v>0</v>
      </c>
      <c r="Z307">
        <v>1.2709710218607E-2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4.53035336756267E-2</v>
      </c>
      <c r="AG307">
        <v>3.5203830176723197E-2</v>
      </c>
      <c r="AH307">
        <v>1.39230519329837E-2</v>
      </c>
      <c r="AI307">
        <v>2.0685850877999401E-2</v>
      </c>
      <c r="AJ307">
        <v>0</v>
      </c>
      <c r="AK307">
        <v>0</v>
      </c>
      <c r="AL307">
        <v>0</v>
      </c>
      <c r="AM307">
        <v>0</v>
      </c>
    </row>
    <row r="308" spans="1:39" customFormat="1" hidden="1" x14ac:dyDescent="0.3">
      <c r="A308" t="s">
        <v>1872</v>
      </c>
      <c r="B308" t="s">
        <v>30</v>
      </c>
      <c r="C308" t="s">
        <v>81</v>
      </c>
      <c r="D308" t="s">
        <v>80</v>
      </c>
      <c r="E308" t="s">
        <v>618</v>
      </c>
      <c r="F308" t="s">
        <v>629</v>
      </c>
      <c r="G308" t="s">
        <v>628</v>
      </c>
      <c r="H308" s="16">
        <v>0</v>
      </c>
      <c r="I308" s="11">
        <v>7.3131490419774802E-3</v>
      </c>
      <c r="J308" s="11">
        <v>8.7187758838659108E-3</v>
      </c>
      <c r="K308" s="11">
        <v>0</v>
      </c>
      <c r="L308" s="11">
        <v>0</v>
      </c>
      <c r="M308" s="11">
        <v>0</v>
      </c>
      <c r="N308" s="11">
        <v>0</v>
      </c>
      <c r="O308" s="11">
        <v>3.75023438964935E-3</v>
      </c>
      <c r="P308" s="11">
        <v>0</v>
      </c>
      <c r="Q308" s="11">
        <v>2.7492920572952501E-3</v>
      </c>
      <c r="R308" s="11">
        <v>0</v>
      </c>
      <c r="S308" s="11">
        <v>0</v>
      </c>
      <c r="T308" s="11">
        <v>0</v>
      </c>
      <c r="U308">
        <v>0</v>
      </c>
      <c r="V308">
        <v>2.8915314273322001E-2</v>
      </c>
      <c r="W308">
        <v>1.06672355858979E-2</v>
      </c>
      <c r="X308">
        <v>0</v>
      </c>
      <c r="Y308">
        <v>1.17058324310087E-2</v>
      </c>
      <c r="Z308">
        <v>1.58871377732588E-2</v>
      </c>
      <c r="AA308">
        <v>0</v>
      </c>
      <c r="AB308">
        <v>0</v>
      </c>
      <c r="AC308">
        <v>0</v>
      </c>
      <c r="AD308">
        <v>0</v>
      </c>
      <c r="AE308">
        <v>1.37197736237352E-2</v>
      </c>
      <c r="AF308">
        <v>1.0067451927917E-2</v>
      </c>
      <c r="AG308">
        <v>5.3979206270975598E-2</v>
      </c>
      <c r="AH308">
        <v>1.39230519329837E-2</v>
      </c>
      <c r="AI308">
        <v>5.7460696883331802E-2</v>
      </c>
      <c r="AJ308">
        <v>0</v>
      </c>
      <c r="AK308">
        <v>0</v>
      </c>
      <c r="AL308">
        <v>3.5844863431070302E-3</v>
      </c>
      <c r="AM308">
        <v>0</v>
      </c>
    </row>
    <row r="309" spans="1:39" customFormat="1" hidden="1" x14ac:dyDescent="0.3">
      <c r="A309" t="s">
        <v>1871</v>
      </c>
      <c r="B309" t="s">
        <v>30</v>
      </c>
      <c r="C309" t="s">
        <v>81</v>
      </c>
      <c r="D309" t="s">
        <v>80</v>
      </c>
      <c r="E309" t="s">
        <v>618</v>
      </c>
      <c r="F309" t="s">
        <v>629</v>
      </c>
      <c r="G309" t="s">
        <v>1870</v>
      </c>
      <c r="H309" s="16">
        <v>0</v>
      </c>
      <c r="I309" s="11">
        <v>3.6565745209887401E-3</v>
      </c>
      <c r="J309" s="11">
        <v>0</v>
      </c>
      <c r="K309" s="11">
        <v>0</v>
      </c>
      <c r="L309" s="11">
        <v>0</v>
      </c>
      <c r="M309" s="11">
        <v>0</v>
      </c>
      <c r="N309" s="11">
        <v>0</v>
      </c>
      <c r="O309" s="11">
        <v>0</v>
      </c>
      <c r="P309" s="11">
        <v>0</v>
      </c>
      <c r="Q309" s="11">
        <v>0</v>
      </c>
      <c r="R309" s="11">
        <v>2.2441148089136199E-3</v>
      </c>
      <c r="S309" s="11">
        <v>0</v>
      </c>
      <c r="T309" s="11">
        <v>0</v>
      </c>
      <c r="U309">
        <v>3.04201016031394E-3</v>
      </c>
      <c r="V309">
        <v>0.23493692847074099</v>
      </c>
      <c r="W309">
        <v>0</v>
      </c>
      <c r="X309">
        <v>0</v>
      </c>
      <c r="Y309">
        <v>2.9264581077521898E-3</v>
      </c>
      <c r="Z309">
        <v>3.1774275546517499E-3</v>
      </c>
      <c r="AA309">
        <v>0</v>
      </c>
      <c r="AB309">
        <v>0</v>
      </c>
      <c r="AC309">
        <v>2.87645620595426E-2</v>
      </c>
      <c r="AD309">
        <v>6.2912865681031801E-3</v>
      </c>
      <c r="AE309">
        <v>1.02898302178014E-2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</row>
    <row r="310" spans="1:39" customFormat="1" hidden="1" x14ac:dyDescent="0.3">
      <c r="A310" t="s">
        <v>1865</v>
      </c>
      <c r="B310" t="s">
        <v>30</v>
      </c>
      <c r="C310" t="s">
        <v>81</v>
      </c>
      <c r="D310" t="s">
        <v>118</v>
      </c>
      <c r="E310" t="s">
        <v>371</v>
      </c>
      <c r="F310" t="s">
        <v>435</v>
      </c>
      <c r="G310" t="s">
        <v>1864</v>
      </c>
      <c r="H310" s="16">
        <v>4.1583499667332E-3</v>
      </c>
      <c r="I310" s="11">
        <v>0</v>
      </c>
      <c r="J310" s="11">
        <v>0</v>
      </c>
      <c r="K310" s="11">
        <v>0</v>
      </c>
      <c r="L310" s="11">
        <v>6.6037112857425901E-3</v>
      </c>
      <c r="M310" s="11">
        <v>0</v>
      </c>
      <c r="N310" s="11">
        <v>0</v>
      </c>
      <c r="O310" s="11">
        <v>0</v>
      </c>
      <c r="P310" s="11">
        <v>0</v>
      </c>
      <c r="Q310" s="11">
        <v>0</v>
      </c>
      <c r="R310" s="11">
        <v>0</v>
      </c>
      <c r="S310" s="11">
        <v>0</v>
      </c>
      <c r="T310" s="11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2.22419928825623E-2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5.5370985603543699E-2</v>
      </c>
      <c r="AG310">
        <v>0.21356990307212101</v>
      </c>
      <c r="AH310">
        <v>9.2820346219891405E-3</v>
      </c>
      <c r="AI310">
        <v>1.14921393766664E-2</v>
      </c>
      <c r="AJ310">
        <v>0</v>
      </c>
      <c r="AK310">
        <v>0</v>
      </c>
      <c r="AL310">
        <v>0</v>
      </c>
      <c r="AM310">
        <v>0</v>
      </c>
    </row>
    <row r="311" spans="1:39" customFormat="1" hidden="1" x14ac:dyDescent="0.3">
      <c r="A311" t="s">
        <v>1863</v>
      </c>
      <c r="B311" t="s">
        <v>30</v>
      </c>
      <c r="C311" t="s">
        <v>526</v>
      </c>
      <c r="D311" t="s">
        <v>525</v>
      </c>
      <c r="E311" t="s">
        <v>524</v>
      </c>
      <c r="F311" t="s">
        <v>523</v>
      </c>
      <c r="G311" t="s">
        <v>1862</v>
      </c>
      <c r="H311" s="16">
        <v>0</v>
      </c>
      <c r="I311" s="11">
        <v>0</v>
      </c>
      <c r="J311" s="11">
        <v>0</v>
      </c>
      <c r="K311" s="11">
        <v>0</v>
      </c>
      <c r="L311" s="11">
        <v>0</v>
      </c>
      <c r="M311" s="11">
        <v>0</v>
      </c>
      <c r="N311" s="11">
        <v>0</v>
      </c>
      <c r="O311" s="11">
        <v>0</v>
      </c>
      <c r="P311" s="11">
        <v>6.78955766031843E-3</v>
      </c>
      <c r="Q311" s="11">
        <v>0</v>
      </c>
      <c r="R311" s="11">
        <v>0</v>
      </c>
      <c r="S311" s="11">
        <v>2.4883049666567102E-3</v>
      </c>
      <c r="T311" s="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2.3469220117815501E-3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</row>
    <row r="312" spans="1:39" customFormat="1" hidden="1" x14ac:dyDescent="0.3">
      <c r="A312" t="s">
        <v>1858</v>
      </c>
      <c r="B312" t="s">
        <v>30</v>
      </c>
      <c r="C312" t="s">
        <v>81</v>
      </c>
      <c r="D312" t="s">
        <v>118</v>
      </c>
      <c r="E312" t="s">
        <v>220</v>
      </c>
      <c r="F312" t="s">
        <v>219</v>
      </c>
      <c r="G312" t="s">
        <v>1857</v>
      </c>
      <c r="H312" s="16">
        <v>0</v>
      </c>
      <c r="I312" s="11">
        <v>0</v>
      </c>
      <c r="J312" s="11">
        <v>0</v>
      </c>
      <c r="K312" s="11">
        <v>0</v>
      </c>
      <c r="L312" s="11">
        <v>0</v>
      </c>
      <c r="M312" s="11">
        <v>7.0977358222727004E-3</v>
      </c>
      <c r="N312" s="11">
        <v>0</v>
      </c>
      <c r="O312" s="11">
        <v>0</v>
      </c>
      <c r="P312" s="11">
        <v>2.03686729809553E-2</v>
      </c>
      <c r="Q312" s="11">
        <v>1.64957523437715E-2</v>
      </c>
      <c r="R312" s="11">
        <v>0</v>
      </c>
      <c r="S312" s="11">
        <v>0</v>
      </c>
      <c r="T312" s="11">
        <v>0</v>
      </c>
      <c r="U312">
        <v>0</v>
      </c>
      <c r="V312">
        <v>0</v>
      </c>
      <c r="W312">
        <v>2.6668088964744798E-3</v>
      </c>
      <c r="X312">
        <v>0</v>
      </c>
      <c r="Y312">
        <v>2.9264581077521898E-3</v>
      </c>
      <c r="Z312">
        <v>3.1774275546517499E-3</v>
      </c>
      <c r="AA312">
        <v>0</v>
      </c>
      <c r="AB312">
        <v>9.0236419418877507E-3</v>
      </c>
      <c r="AC312">
        <v>0</v>
      </c>
      <c r="AD312">
        <v>9.4369298521547705E-3</v>
      </c>
      <c r="AE312">
        <v>5.1449151089007002E-2</v>
      </c>
      <c r="AF312">
        <v>5.03372596395852E-3</v>
      </c>
      <c r="AG312">
        <v>0.164284540824708</v>
      </c>
      <c r="AH312">
        <v>4.6410173109945703E-3</v>
      </c>
      <c r="AI312">
        <v>3.2177990254665799E-2</v>
      </c>
      <c r="AJ312">
        <v>0</v>
      </c>
      <c r="AK312">
        <v>0</v>
      </c>
      <c r="AL312">
        <v>0</v>
      </c>
      <c r="AM312">
        <v>0</v>
      </c>
    </row>
    <row r="313" spans="1:39" customFormat="1" hidden="1" x14ac:dyDescent="0.3">
      <c r="A313" t="s">
        <v>1856</v>
      </c>
      <c r="B313" t="s">
        <v>30</v>
      </c>
      <c r="C313" t="s">
        <v>81</v>
      </c>
      <c r="D313" t="s">
        <v>118</v>
      </c>
      <c r="E313" t="s">
        <v>371</v>
      </c>
      <c r="F313" t="s">
        <v>1664</v>
      </c>
      <c r="G313" t="s">
        <v>1855</v>
      </c>
      <c r="H313" s="16">
        <v>0</v>
      </c>
      <c r="I313" s="11">
        <v>0</v>
      </c>
      <c r="J313" s="11">
        <v>0</v>
      </c>
      <c r="K313" s="11">
        <v>0</v>
      </c>
      <c r="L313" s="11">
        <v>0</v>
      </c>
      <c r="M313" s="11">
        <v>0</v>
      </c>
      <c r="N313" s="11">
        <v>0</v>
      </c>
      <c r="O313" s="11">
        <v>0</v>
      </c>
      <c r="P313" s="11">
        <v>0</v>
      </c>
      <c r="Q313" s="11">
        <v>0</v>
      </c>
      <c r="R313" s="11">
        <v>1.7952918471309001E-2</v>
      </c>
      <c r="S313" s="11">
        <v>0</v>
      </c>
      <c r="T313" s="11">
        <v>0</v>
      </c>
      <c r="U313">
        <v>0</v>
      </c>
      <c r="V313">
        <v>0</v>
      </c>
      <c r="W313">
        <v>2.6668088964744798E-3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3.4299434059338E-3</v>
      </c>
      <c r="AF313">
        <v>5.03372596395852E-3</v>
      </c>
      <c r="AG313">
        <v>0.22999835715459199</v>
      </c>
      <c r="AH313">
        <v>9.2820346219891405E-3</v>
      </c>
      <c r="AI313">
        <v>6.89528362599982E-3</v>
      </c>
      <c r="AJ313">
        <v>3.5915670006823998E-3</v>
      </c>
      <c r="AK313">
        <v>0</v>
      </c>
      <c r="AL313">
        <v>3.5844863431070302E-3</v>
      </c>
      <c r="AM313">
        <v>0</v>
      </c>
    </row>
    <row r="314" spans="1:39" customFormat="1" hidden="1" x14ac:dyDescent="0.3">
      <c r="A314" t="s">
        <v>1853</v>
      </c>
      <c r="B314" t="s">
        <v>30</v>
      </c>
      <c r="C314" t="s">
        <v>111</v>
      </c>
      <c r="D314" t="s">
        <v>141</v>
      </c>
      <c r="E314" t="s">
        <v>140</v>
      </c>
      <c r="F314" t="s">
        <v>276</v>
      </c>
      <c r="G314" t="s">
        <v>1359</v>
      </c>
      <c r="H314" s="16">
        <v>0</v>
      </c>
      <c r="I314" s="11">
        <v>0</v>
      </c>
      <c r="J314" s="11">
        <v>0</v>
      </c>
      <c r="K314" s="11">
        <v>0</v>
      </c>
      <c r="L314" s="11">
        <v>0</v>
      </c>
      <c r="M314" s="11">
        <v>0</v>
      </c>
      <c r="N314" s="11">
        <v>9.1671632213411597E-3</v>
      </c>
      <c r="O314" s="11">
        <v>1.50009375585974E-2</v>
      </c>
      <c r="P314" s="11">
        <v>3.3947788301592198E-3</v>
      </c>
      <c r="Q314" s="11">
        <v>0</v>
      </c>
      <c r="R314" s="11">
        <v>8.9764592356545003E-3</v>
      </c>
      <c r="S314" s="11">
        <v>0</v>
      </c>
      <c r="T314" s="11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4.5118209709438702E-3</v>
      </c>
      <c r="AC314">
        <v>0</v>
      </c>
      <c r="AD314">
        <v>2.5165146272412699E-2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3.5844863431070302E-3</v>
      </c>
      <c r="AM314">
        <v>0</v>
      </c>
    </row>
    <row r="315" spans="1:39" customFormat="1" hidden="1" x14ac:dyDescent="0.3">
      <c r="A315" t="s">
        <v>1852</v>
      </c>
      <c r="B315" t="s">
        <v>30</v>
      </c>
      <c r="C315" t="s">
        <v>81</v>
      </c>
      <c r="D315" t="s">
        <v>118</v>
      </c>
      <c r="E315" t="s">
        <v>371</v>
      </c>
      <c r="F315" t="s">
        <v>374</v>
      </c>
      <c r="G315" t="s">
        <v>373</v>
      </c>
      <c r="H315" s="16">
        <v>0</v>
      </c>
      <c r="I315" s="11">
        <v>2.5596021646921201E-2</v>
      </c>
      <c r="J315" s="11">
        <v>0</v>
      </c>
      <c r="K315" s="11">
        <v>5.6589893045102101E-3</v>
      </c>
      <c r="L315" s="11">
        <v>0</v>
      </c>
      <c r="M315" s="11">
        <v>3.5488679111363502E-3</v>
      </c>
      <c r="N315" s="11">
        <v>9.1671632213411597E-3</v>
      </c>
      <c r="O315" s="11">
        <v>0</v>
      </c>
      <c r="P315" s="11">
        <v>0</v>
      </c>
      <c r="Q315" s="11">
        <v>0</v>
      </c>
      <c r="R315" s="11">
        <v>2.2441148089136199E-3</v>
      </c>
      <c r="S315" s="11">
        <v>0</v>
      </c>
      <c r="T315" s="11">
        <v>0</v>
      </c>
      <c r="U315">
        <v>0</v>
      </c>
      <c r="V315">
        <v>0</v>
      </c>
      <c r="W315">
        <v>5.3336177929489602E-2</v>
      </c>
      <c r="X315">
        <v>0</v>
      </c>
      <c r="Y315">
        <v>8.7793743232565599E-3</v>
      </c>
      <c r="Z315">
        <v>1.58871377732588E-2</v>
      </c>
      <c r="AA315">
        <v>0</v>
      </c>
      <c r="AB315">
        <v>0</v>
      </c>
      <c r="AC315">
        <v>0</v>
      </c>
      <c r="AD315">
        <v>3.14564328405159E-3</v>
      </c>
      <c r="AE315">
        <v>4.11593208712056E-2</v>
      </c>
      <c r="AF315">
        <v>2.0134903855834101E-2</v>
      </c>
      <c r="AG315">
        <v>4.6938440235630999E-2</v>
      </c>
      <c r="AH315">
        <v>3.7128138487956597E-2</v>
      </c>
      <c r="AI315">
        <v>5.2863841132665297E-2</v>
      </c>
      <c r="AJ315">
        <v>0</v>
      </c>
      <c r="AK315">
        <v>0</v>
      </c>
      <c r="AL315">
        <v>0</v>
      </c>
      <c r="AM315">
        <v>0</v>
      </c>
    </row>
    <row r="316" spans="1:39" customFormat="1" hidden="1" x14ac:dyDescent="0.3">
      <c r="A316" t="s">
        <v>1851</v>
      </c>
      <c r="B316" t="s">
        <v>30</v>
      </c>
      <c r="C316" t="s">
        <v>111</v>
      </c>
      <c r="D316" t="s">
        <v>141</v>
      </c>
      <c r="E316" t="s">
        <v>140</v>
      </c>
      <c r="F316" t="s">
        <v>276</v>
      </c>
      <c r="G316" t="s">
        <v>275</v>
      </c>
      <c r="H316" s="16">
        <v>0</v>
      </c>
      <c r="I316" s="11">
        <v>0</v>
      </c>
      <c r="J316" s="11">
        <v>0</v>
      </c>
      <c r="K316" s="11">
        <v>0</v>
      </c>
      <c r="L316" s="11">
        <v>0</v>
      </c>
      <c r="M316" s="11">
        <v>0</v>
      </c>
      <c r="N316" s="11">
        <v>0</v>
      </c>
      <c r="O316" s="11">
        <v>0</v>
      </c>
      <c r="P316" s="11">
        <v>0</v>
      </c>
      <c r="Q316" s="11">
        <v>2.7492920572952501E-3</v>
      </c>
      <c r="R316" s="11">
        <v>4.4882296178272501E-3</v>
      </c>
      <c r="S316" s="11">
        <v>0</v>
      </c>
      <c r="T316" s="11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</row>
    <row r="317" spans="1:39" customFormat="1" hidden="1" x14ac:dyDescent="0.3">
      <c r="A317" t="s">
        <v>1850</v>
      </c>
      <c r="B317" t="s">
        <v>30</v>
      </c>
      <c r="C317" t="s">
        <v>103</v>
      </c>
      <c r="D317" t="s">
        <v>102</v>
      </c>
      <c r="E317" t="s">
        <v>101</v>
      </c>
      <c r="F317" t="s">
        <v>100</v>
      </c>
      <c r="G317" t="s">
        <v>99</v>
      </c>
      <c r="H317" s="16">
        <v>0</v>
      </c>
      <c r="I317" s="11">
        <v>0</v>
      </c>
      <c r="J317" s="11">
        <v>0</v>
      </c>
      <c r="K317" s="11">
        <v>0</v>
      </c>
      <c r="L317" s="11">
        <v>0</v>
      </c>
      <c r="M317" s="11">
        <v>0</v>
      </c>
      <c r="N317" s="11">
        <v>0</v>
      </c>
      <c r="O317" s="11">
        <v>0</v>
      </c>
      <c r="P317" s="11">
        <v>0</v>
      </c>
      <c r="Q317" s="11">
        <v>0</v>
      </c>
      <c r="R317" s="11">
        <v>0</v>
      </c>
      <c r="S317" s="11">
        <v>0</v>
      </c>
      <c r="T317" s="11">
        <v>0</v>
      </c>
      <c r="U317">
        <v>0</v>
      </c>
      <c r="V317">
        <v>0</v>
      </c>
      <c r="W317">
        <v>3.2001706757693697E-2</v>
      </c>
      <c r="X317">
        <v>1.2848515996402399E-2</v>
      </c>
      <c r="Y317">
        <v>0</v>
      </c>
      <c r="Z317">
        <v>9.2145399084900895E-2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3.0202355783751099E-2</v>
      </c>
      <c r="AG317">
        <v>1.64284540824708E-2</v>
      </c>
      <c r="AH317">
        <v>4.6410173109945703E-3</v>
      </c>
      <c r="AI317">
        <v>4.5968557506665397E-3</v>
      </c>
      <c r="AJ317">
        <v>7.1831340013647996E-3</v>
      </c>
      <c r="AK317">
        <v>2.41080038572806E-2</v>
      </c>
      <c r="AL317">
        <v>3.5844863431070302E-3</v>
      </c>
      <c r="AM317">
        <v>0</v>
      </c>
    </row>
    <row r="318" spans="1:39" customFormat="1" hidden="1" x14ac:dyDescent="0.3">
      <c r="A318" t="s">
        <v>1843</v>
      </c>
      <c r="B318" t="s">
        <v>30</v>
      </c>
      <c r="C318" t="s">
        <v>81</v>
      </c>
      <c r="D318" t="s">
        <v>118</v>
      </c>
      <c r="E318" t="s">
        <v>371</v>
      </c>
      <c r="F318" t="s">
        <v>424</v>
      </c>
      <c r="G318" t="s">
        <v>1842</v>
      </c>
      <c r="H318" s="16">
        <v>0</v>
      </c>
      <c r="I318" s="11">
        <v>0</v>
      </c>
      <c r="J318" s="11">
        <v>0</v>
      </c>
      <c r="K318" s="11">
        <v>0</v>
      </c>
      <c r="L318" s="11">
        <v>6.6037112857425901E-3</v>
      </c>
      <c r="M318" s="11">
        <v>0</v>
      </c>
      <c r="N318" s="11">
        <v>0</v>
      </c>
      <c r="O318" s="11">
        <v>0</v>
      </c>
      <c r="P318" s="11">
        <v>0</v>
      </c>
      <c r="Q318" s="11">
        <v>0</v>
      </c>
      <c r="R318" s="11">
        <v>0</v>
      </c>
      <c r="S318" s="11">
        <v>0</v>
      </c>
      <c r="T318" s="11">
        <v>0</v>
      </c>
      <c r="U318">
        <v>0</v>
      </c>
      <c r="V318">
        <v>0</v>
      </c>
      <c r="W318">
        <v>8.0004266894234399E-2</v>
      </c>
      <c r="X318">
        <v>0</v>
      </c>
      <c r="Y318">
        <v>2.9264581077521898E-3</v>
      </c>
      <c r="Z318">
        <v>3.8129130655820999E-2</v>
      </c>
      <c r="AA318">
        <v>0</v>
      </c>
      <c r="AB318">
        <v>0</v>
      </c>
      <c r="AC318">
        <v>0</v>
      </c>
      <c r="AD318">
        <v>0</v>
      </c>
      <c r="AE318">
        <v>3.4299434059338E-3</v>
      </c>
      <c r="AF318">
        <v>5.5370985603543699E-2</v>
      </c>
      <c r="AG318">
        <v>4.6938440235630999E-2</v>
      </c>
      <c r="AH318">
        <v>2.7846103865967399E-2</v>
      </c>
      <c r="AI318">
        <v>1.37905672519996E-2</v>
      </c>
      <c r="AJ318">
        <v>0</v>
      </c>
      <c r="AK318">
        <v>0</v>
      </c>
      <c r="AL318">
        <v>0</v>
      </c>
      <c r="AM318">
        <v>0</v>
      </c>
    </row>
    <row r="319" spans="1:39" customFormat="1" hidden="1" x14ac:dyDescent="0.3">
      <c r="A319" t="s">
        <v>1840</v>
      </c>
      <c r="B319" t="s">
        <v>30</v>
      </c>
      <c r="C319" t="s">
        <v>81</v>
      </c>
      <c r="D319" t="s">
        <v>80</v>
      </c>
      <c r="E319" t="s">
        <v>618</v>
      </c>
      <c r="F319" t="s">
        <v>629</v>
      </c>
      <c r="G319" t="s">
        <v>1839</v>
      </c>
      <c r="H319" s="16">
        <v>1.66333998669328E-2</v>
      </c>
      <c r="I319" s="11">
        <v>7.3131490419774802E-3</v>
      </c>
      <c r="J319" s="11">
        <v>8.7187758838659108E-3</v>
      </c>
      <c r="K319" s="11">
        <v>0</v>
      </c>
      <c r="L319" s="11">
        <v>0</v>
      </c>
      <c r="M319" s="11">
        <v>0</v>
      </c>
      <c r="N319" s="11">
        <v>0</v>
      </c>
      <c r="O319" s="11">
        <v>0</v>
      </c>
      <c r="P319" s="11">
        <v>0</v>
      </c>
      <c r="Q319" s="11">
        <v>0</v>
      </c>
      <c r="R319" s="11">
        <v>0</v>
      </c>
      <c r="S319" s="11">
        <v>0</v>
      </c>
      <c r="T319" s="11">
        <v>0</v>
      </c>
      <c r="U319">
        <v>0</v>
      </c>
      <c r="V319">
        <v>0</v>
      </c>
      <c r="W319">
        <v>5.3336177929489597E-3</v>
      </c>
      <c r="X319">
        <v>0</v>
      </c>
      <c r="Y319">
        <v>8.7793743232565599E-3</v>
      </c>
      <c r="Z319">
        <v>0</v>
      </c>
      <c r="AA319">
        <v>0</v>
      </c>
      <c r="AB319">
        <v>4.5118209709438702E-3</v>
      </c>
      <c r="AC319">
        <v>2.87645620595426E-2</v>
      </c>
      <c r="AD319">
        <v>1.25825731362064E-2</v>
      </c>
      <c r="AE319">
        <v>0.15434745326702101</v>
      </c>
      <c r="AF319">
        <v>0</v>
      </c>
      <c r="AG319">
        <v>7.0407660353446503E-3</v>
      </c>
      <c r="AH319">
        <v>4.6410173109945703E-3</v>
      </c>
      <c r="AI319">
        <v>4.3670129631332197E-2</v>
      </c>
      <c r="AJ319">
        <v>0</v>
      </c>
      <c r="AK319">
        <v>0</v>
      </c>
      <c r="AL319">
        <v>0</v>
      </c>
      <c r="AM319">
        <v>0</v>
      </c>
    </row>
    <row r="320" spans="1:39" customFormat="1" hidden="1" x14ac:dyDescent="0.3">
      <c r="A320" t="s">
        <v>1835</v>
      </c>
      <c r="B320" t="s">
        <v>30</v>
      </c>
      <c r="C320" t="s">
        <v>81</v>
      </c>
      <c r="D320" t="s">
        <v>118</v>
      </c>
      <c r="E320" t="s">
        <v>1646</v>
      </c>
      <c r="F320" t="s">
        <v>1645</v>
      </c>
      <c r="G320" t="s">
        <v>1644</v>
      </c>
      <c r="H320" s="16">
        <v>0</v>
      </c>
      <c r="I320" s="11">
        <v>3.6565745209887401E-3</v>
      </c>
      <c r="J320" s="11">
        <v>8.7187758838659108E-3</v>
      </c>
      <c r="K320" s="11">
        <v>0</v>
      </c>
      <c r="L320" s="11">
        <v>0</v>
      </c>
      <c r="M320" s="11">
        <v>0</v>
      </c>
      <c r="N320" s="11">
        <v>0</v>
      </c>
      <c r="O320" s="11">
        <v>0</v>
      </c>
      <c r="P320" s="11">
        <v>0</v>
      </c>
      <c r="Q320" s="11">
        <v>0</v>
      </c>
      <c r="R320" s="11">
        <v>4.4882296178272501E-3</v>
      </c>
      <c r="S320" s="11">
        <v>0</v>
      </c>
      <c r="T320" s="11">
        <v>0</v>
      </c>
      <c r="U320">
        <v>0</v>
      </c>
      <c r="V320">
        <v>3.6144142841652502E-3</v>
      </c>
      <c r="W320">
        <v>3.2001706757693697E-2</v>
      </c>
      <c r="X320">
        <v>0</v>
      </c>
      <c r="Y320">
        <v>0</v>
      </c>
      <c r="Z320">
        <v>9.5322826639552601E-3</v>
      </c>
      <c r="AA320">
        <v>0</v>
      </c>
      <c r="AB320">
        <v>0</v>
      </c>
      <c r="AC320">
        <v>0</v>
      </c>
      <c r="AD320">
        <v>3.14564328405159E-3</v>
      </c>
      <c r="AE320">
        <v>0</v>
      </c>
      <c r="AF320">
        <v>2.0134903855834101E-2</v>
      </c>
      <c r="AG320">
        <v>9.8570724494824999E-2</v>
      </c>
      <c r="AH320">
        <v>9.2820346219891405E-3</v>
      </c>
      <c r="AI320">
        <v>6.89528362599982E-3</v>
      </c>
      <c r="AJ320">
        <v>0</v>
      </c>
      <c r="AK320">
        <v>0</v>
      </c>
      <c r="AL320">
        <v>0</v>
      </c>
      <c r="AM320">
        <v>0</v>
      </c>
    </row>
    <row r="321" spans="1:39" customFormat="1" hidden="1" x14ac:dyDescent="0.3">
      <c r="A321" t="s">
        <v>1832</v>
      </c>
      <c r="B321" t="s">
        <v>30</v>
      </c>
      <c r="C321" t="s">
        <v>81</v>
      </c>
      <c r="D321" t="s">
        <v>80</v>
      </c>
      <c r="E321" t="s">
        <v>642</v>
      </c>
      <c r="F321" t="s">
        <v>641</v>
      </c>
      <c r="G321" t="s">
        <v>640</v>
      </c>
      <c r="H321" s="16">
        <v>0</v>
      </c>
      <c r="I321" s="11">
        <v>0</v>
      </c>
      <c r="J321" s="11">
        <v>0</v>
      </c>
      <c r="K321" s="11">
        <v>0</v>
      </c>
      <c r="L321" s="11">
        <v>0</v>
      </c>
      <c r="M321" s="11">
        <v>0</v>
      </c>
      <c r="N321" s="11">
        <v>0</v>
      </c>
      <c r="O321" s="11">
        <v>3.75023438964935E-3</v>
      </c>
      <c r="P321" s="11">
        <v>3.3947788301592198E-3</v>
      </c>
      <c r="Q321" s="11">
        <v>0</v>
      </c>
      <c r="R321" s="11">
        <v>0</v>
      </c>
      <c r="S321" s="11">
        <v>0</v>
      </c>
      <c r="T321" s="11">
        <v>0</v>
      </c>
      <c r="U321">
        <v>0</v>
      </c>
      <c r="V321">
        <v>3.6144142841652502E-3</v>
      </c>
      <c r="W321">
        <v>0</v>
      </c>
      <c r="X321">
        <v>0</v>
      </c>
      <c r="Y321">
        <v>0</v>
      </c>
      <c r="Z321">
        <v>3.1774275546517499E-3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</row>
    <row r="322" spans="1:39" customFormat="1" hidden="1" x14ac:dyDescent="0.3">
      <c r="A322" t="s">
        <v>1828</v>
      </c>
      <c r="B322" t="s">
        <v>30</v>
      </c>
      <c r="C322" t="s">
        <v>29</v>
      </c>
      <c r="D322" t="s">
        <v>28</v>
      </c>
      <c r="E322" t="s">
        <v>27</v>
      </c>
      <c r="F322" t="s">
        <v>67</v>
      </c>
      <c r="G322" t="s">
        <v>66</v>
      </c>
      <c r="H322" s="16">
        <v>0</v>
      </c>
      <c r="I322" s="11">
        <v>0</v>
      </c>
      <c r="J322" s="11">
        <v>0</v>
      </c>
      <c r="K322" s="11">
        <v>0</v>
      </c>
      <c r="L322" s="11">
        <v>0</v>
      </c>
      <c r="M322" s="11">
        <v>0</v>
      </c>
      <c r="N322" s="11">
        <v>0</v>
      </c>
      <c r="O322" s="11">
        <v>0</v>
      </c>
      <c r="P322" s="11">
        <v>0</v>
      </c>
      <c r="Q322" s="11">
        <v>0</v>
      </c>
      <c r="R322" s="11">
        <v>0</v>
      </c>
      <c r="S322" s="11">
        <v>2.4883049666567102E-3</v>
      </c>
      <c r="T322" s="11">
        <v>0</v>
      </c>
      <c r="U322">
        <v>0</v>
      </c>
      <c r="V322">
        <v>3.6144142841652502E-3</v>
      </c>
      <c r="W322">
        <v>1.8667662275321399E-2</v>
      </c>
      <c r="X322">
        <v>6.4242579982012101E-3</v>
      </c>
      <c r="Y322">
        <v>0</v>
      </c>
      <c r="Z322">
        <v>9.5322826639552601E-3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3.5915670006823998E-3</v>
      </c>
      <c r="AK322">
        <v>0</v>
      </c>
      <c r="AL322">
        <v>0</v>
      </c>
      <c r="AM322">
        <v>0</v>
      </c>
    </row>
    <row r="323" spans="1:39" customFormat="1" hidden="1" x14ac:dyDescent="0.3">
      <c r="A323" t="s">
        <v>1821</v>
      </c>
      <c r="B323" t="s">
        <v>30</v>
      </c>
      <c r="C323" t="s">
        <v>111</v>
      </c>
      <c r="D323" t="s">
        <v>141</v>
      </c>
      <c r="E323" t="s">
        <v>140</v>
      </c>
      <c r="F323" t="s">
        <v>199</v>
      </c>
      <c r="G323" t="s">
        <v>198</v>
      </c>
      <c r="H323" s="16">
        <v>1.66333998669328E-2</v>
      </c>
      <c r="I323" s="11">
        <v>3.6565745209887401E-3</v>
      </c>
      <c r="J323" s="11">
        <v>0</v>
      </c>
      <c r="K323" s="11">
        <v>2.26359572180409E-2</v>
      </c>
      <c r="L323" s="11">
        <v>6.6037112857425901E-3</v>
      </c>
      <c r="M323" s="11">
        <v>7.0977358222727004E-3</v>
      </c>
      <c r="N323" s="11">
        <v>0</v>
      </c>
      <c r="O323" s="11">
        <v>0</v>
      </c>
      <c r="P323" s="11">
        <v>3.3947788301592198E-3</v>
      </c>
      <c r="Q323" s="11">
        <v>0</v>
      </c>
      <c r="R323" s="11">
        <v>0</v>
      </c>
      <c r="S323" s="11">
        <v>0</v>
      </c>
      <c r="T323" s="11">
        <v>0</v>
      </c>
      <c r="U323">
        <v>3.04201016031394E-3</v>
      </c>
      <c r="V323">
        <v>1.0843242852495801E-2</v>
      </c>
      <c r="W323">
        <v>5.3336177929489597E-3</v>
      </c>
      <c r="X323">
        <v>1.2848515996402399E-2</v>
      </c>
      <c r="Y323">
        <v>1.7558748646513099E-2</v>
      </c>
      <c r="Z323">
        <v>3.1774275546517499E-3</v>
      </c>
      <c r="AA323">
        <v>0</v>
      </c>
      <c r="AB323">
        <v>0</v>
      </c>
      <c r="AC323">
        <v>7.1911405148856597E-3</v>
      </c>
      <c r="AD323">
        <v>0</v>
      </c>
      <c r="AE323">
        <v>3.4299434059338E-3</v>
      </c>
      <c r="AF323">
        <v>5.03372596395852E-3</v>
      </c>
      <c r="AG323">
        <v>0</v>
      </c>
      <c r="AH323">
        <v>4.6410173109945703E-3</v>
      </c>
      <c r="AI323">
        <v>2.2984278753332699E-3</v>
      </c>
      <c r="AJ323">
        <v>0</v>
      </c>
      <c r="AK323">
        <v>1.20540019286403E-2</v>
      </c>
      <c r="AL323">
        <v>0</v>
      </c>
      <c r="AM323">
        <v>0</v>
      </c>
    </row>
    <row r="324" spans="1:39" customFormat="1" hidden="1" x14ac:dyDescent="0.3">
      <c r="A324" t="s">
        <v>1810</v>
      </c>
      <c r="B324" t="s">
        <v>30</v>
      </c>
      <c r="C324" t="s">
        <v>264</v>
      </c>
      <c r="D324" t="s">
        <v>263</v>
      </c>
      <c r="E324" t="s">
        <v>262</v>
      </c>
      <c r="F324" t="s">
        <v>261</v>
      </c>
      <c r="G324" t="s">
        <v>260</v>
      </c>
      <c r="H324" s="16">
        <v>0</v>
      </c>
      <c r="I324" s="11">
        <v>0</v>
      </c>
      <c r="J324" s="11">
        <v>0</v>
      </c>
      <c r="K324" s="11">
        <v>0</v>
      </c>
      <c r="L324" s="11">
        <v>0</v>
      </c>
      <c r="M324" s="11">
        <v>0</v>
      </c>
      <c r="N324" s="11">
        <v>0</v>
      </c>
      <c r="O324" s="11">
        <v>0</v>
      </c>
      <c r="P324" s="11">
        <v>0</v>
      </c>
      <c r="Q324" s="11">
        <v>0</v>
      </c>
      <c r="R324" s="11">
        <v>0</v>
      </c>
      <c r="S324" s="11">
        <v>0</v>
      </c>
      <c r="T324" s="11">
        <v>0</v>
      </c>
      <c r="U324">
        <v>0</v>
      </c>
      <c r="V324">
        <v>3.6144142841652502E-3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4.5118209709438702E-3</v>
      </c>
      <c r="AC324">
        <v>7.1911405148856597E-3</v>
      </c>
      <c r="AD324">
        <v>3.14564328405159E-3</v>
      </c>
      <c r="AE324">
        <v>0</v>
      </c>
      <c r="AF324">
        <v>0</v>
      </c>
      <c r="AG324">
        <v>0</v>
      </c>
      <c r="AH324">
        <v>0</v>
      </c>
      <c r="AI324">
        <v>2.2984278753332699E-3</v>
      </c>
      <c r="AJ324">
        <v>0</v>
      </c>
      <c r="AK324">
        <v>0</v>
      </c>
      <c r="AL324">
        <v>0</v>
      </c>
      <c r="AM324">
        <v>0</v>
      </c>
    </row>
    <row r="325" spans="1:39" customFormat="1" hidden="1" x14ac:dyDescent="0.3">
      <c r="A325" t="s">
        <v>1809</v>
      </c>
      <c r="B325" t="s">
        <v>30</v>
      </c>
      <c r="C325" t="s">
        <v>111</v>
      </c>
      <c r="D325" t="s">
        <v>110</v>
      </c>
      <c r="E325" t="s">
        <v>109</v>
      </c>
      <c r="F325" t="s">
        <v>108</v>
      </c>
      <c r="G325" t="s">
        <v>1792</v>
      </c>
      <c r="H325" s="16">
        <v>8.3166999334664E-3</v>
      </c>
      <c r="I325" s="11">
        <v>1.8282872604943701E-2</v>
      </c>
      <c r="J325" s="11">
        <v>4.3593879419329502E-3</v>
      </c>
      <c r="K325" s="11">
        <v>5.6589893045102101E-3</v>
      </c>
      <c r="L325" s="11">
        <v>1.3207422571485199E-2</v>
      </c>
      <c r="M325" s="11">
        <v>0</v>
      </c>
      <c r="N325" s="11">
        <v>0</v>
      </c>
      <c r="O325" s="11">
        <v>0</v>
      </c>
      <c r="P325" s="11">
        <v>0</v>
      </c>
      <c r="Q325" s="11">
        <v>2.7492920572952501E-3</v>
      </c>
      <c r="R325" s="11">
        <v>2.2441148089136199E-3</v>
      </c>
      <c r="S325" s="11">
        <v>0</v>
      </c>
      <c r="T325" s="11">
        <v>0</v>
      </c>
      <c r="U325">
        <v>3.04201016031394E-3</v>
      </c>
      <c r="V325">
        <v>0</v>
      </c>
      <c r="W325">
        <v>1.06672355858979E-2</v>
      </c>
      <c r="X325">
        <v>0</v>
      </c>
      <c r="Y325">
        <v>2.9264581077521898E-3</v>
      </c>
      <c r="Z325">
        <v>1.2709710218607E-2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5.03372596395852E-3</v>
      </c>
      <c r="AG325">
        <v>0</v>
      </c>
      <c r="AH325">
        <v>4.6410173109945703E-3</v>
      </c>
      <c r="AI325">
        <v>0</v>
      </c>
      <c r="AJ325">
        <v>0</v>
      </c>
      <c r="AK325">
        <v>0</v>
      </c>
      <c r="AL325">
        <v>3.5844863431070302E-3</v>
      </c>
      <c r="AM325">
        <v>0</v>
      </c>
    </row>
    <row r="326" spans="1:39" customFormat="1" hidden="1" x14ac:dyDescent="0.3">
      <c r="A326" t="s">
        <v>1807</v>
      </c>
      <c r="B326" t="s">
        <v>30</v>
      </c>
      <c r="C326" t="s">
        <v>111</v>
      </c>
      <c r="D326" t="s">
        <v>110</v>
      </c>
      <c r="E326" t="s">
        <v>109</v>
      </c>
      <c r="F326" t="s">
        <v>108</v>
      </c>
      <c r="G326" t="s">
        <v>1792</v>
      </c>
      <c r="H326" s="16">
        <v>0</v>
      </c>
      <c r="I326" s="11">
        <v>3.6565745209887401E-3</v>
      </c>
      <c r="J326" s="11">
        <v>4.3593879419329502E-3</v>
      </c>
      <c r="K326" s="11">
        <v>0</v>
      </c>
      <c r="L326" s="11">
        <v>6.6037112857425901E-3</v>
      </c>
      <c r="M326" s="11">
        <v>3.5488679111363502E-3</v>
      </c>
      <c r="N326" s="11">
        <v>2.2917908053352899E-2</v>
      </c>
      <c r="O326" s="11">
        <v>1.1250703168948099E-2</v>
      </c>
      <c r="P326" s="11">
        <v>0</v>
      </c>
      <c r="Q326" s="11">
        <v>2.7492920572952501E-3</v>
      </c>
      <c r="R326" s="11">
        <v>0</v>
      </c>
      <c r="S326" s="11">
        <v>0</v>
      </c>
      <c r="T326" s="11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</row>
    <row r="327" spans="1:39" customFormat="1" hidden="1" x14ac:dyDescent="0.3">
      <c r="A327" t="s">
        <v>1803</v>
      </c>
      <c r="B327" t="s">
        <v>30</v>
      </c>
      <c r="C327" t="s">
        <v>111</v>
      </c>
      <c r="D327" t="s">
        <v>141</v>
      </c>
      <c r="E327" t="s">
        <v>140</v>
      </c>
      <c r="F327" t="s">
        <v>25</v>
      </c>
      <c r="G327" t="s">
        <v>961</v>
      </c>
      <c r="H327" s="16">
        <v>4.1583499667332E-3</v>
      </c>
      <c r="I327" s="11">
        <v>0</v>
      </c>
      <c r="J327" s="11">
        <v>0</v>
      </c>
      <c r="K327" s="11">
        <v>5.6589893045102101E-3</v>
      </c>
      <c r="L327" s="11">
        <v>3.3018556428712903E-2</v>
      </c>
      <c r="M327" s="11">
        <v>0</v>
      </c>
      <c r="N327" s="11">
        <v>9.1671632213411597E-3</v>
      </c>
      <c r="O327" s="11">
        <v>7.5004687792987104E-3</v>
      </c>
      <c r="P327" s="11">
        <v>0</v>
      </c>
      <c r="Q327" s="11">
        <v>0</v>
      </c>
      <c r="R327" s="11">
        <v>0</v>
      </c>
      <c r="S327" s="11">
        <v>0</v>
      </c>
      <c r="T327" s="11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3.1774275546517499E-3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</row>
    <row r="328" spans="1:39" customFormat="1" hidden="1" x14ac:dyDescent="0.3">
      <c r="A328" t="s">
        <v>1802</v>
      </c>
      <c r="B328" t="s">
        <v>30</v>
      </c>
      <c r="C328" t="s">
        <v>81</v>
      </c>
      <c r="D328" t="s">
        <v>118</v>
      </c>
      <c r="E328" t="s">
        <v>371</v>
      </c>
      <c r="F328" t="s">
        <v>374</v>
      </c>
      <c r="G328" t="s">
        <v>1801</v>
      </c>
      <c r="H328" s="16">
        <v>0</v>
      </c>
      <c r="I328" s="11">
        <v>0</v>
      </c>
      <c r="J328" s="11">
        <v>0</v>
      </c>
      <c r="K328" s="11">
        <v>0</v>
      </c>
      <c r="L328" s="11">
        <v>0</v>
      </c>
      <c r="M328" s="11">
        <v>0</v>
      </c>
      <c r="N328" s="11">
        <v>0</v>
      </c>
      <c r="O328" s="11">
        <v>0</v>
      </c>
      <c r="P328" s="11">
        <v>0</v>
      </c>
      <c r="Q328" s="11">
        <v>0</v>
      </c>
      <c r="R328" s="11">
        <v>0</v>
      </c>
      <c r="S328" s="11">
        <v>0</v>
      </c>
      <c r="T328" s="11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5.03372596395852E-3</v>
      </c>
      <c r="AG328">
        <v>0.10561149053016999</v>
      </c>
      <c r="AH328">
        <v>4.6410173109945703E-3</v>
      </c>
      <c r="AI328">
        <v>1.8387423002666201E-2</v>
      </c>
      <c r="AJ328">
        <v>0</v>
      </c>
      <c r="AK328">
        <v>0</v>
      </c>
      <c r="AL328">
        <v>0</v>
      </c>
      <c r="AM328">
        <v>0</v>
      </c>
    </row>
    <row r="329" spans="1:39" customFormat="1" hidden="1" x14ac:dyDescent="0.3">
      <c r="A329" t="s">
        <v>1797</v>
      </c>
      <c r="B329" t="s">
        <v>30</v>
      </c>
      <c r="C329" t="s">
        <v>81</v>
      </c>
      <c r="D329" t="s">
        <v>80</v>
      </c>
      <c r="E329" t="s">
        <v>642</v>
      </c>
      <c r="F329" t="s">
        <v>645</v>
      </c>
      <c r="G329" t="s">
        <v>644</v>
      </c>
      <c r="H329" s="16">
        <v>0</v>
      </c>
      <c r="I329" s="11">
        <v>0</v>
      </c>
      <c r="J329" s="11">
        <v>4.3593879419329502E-3</v>
      </c>
      <c r="K329" s="11">
        <v>5.6589893045102101E-3</v>
      </c>
      <c r="L329" s="11">
        <v>0</v>
      </c>
      <c r="M329" s="11">
        <v>7.0977358222727004E-3</v>
      </c>
      <c r="N329" s="11">
        <v>0</v>
      </c>
      <c r="O329" s="11">
        <v>0</v>
      </c>
      <c r="P329" s="11">
        <v>0</v>
      </c>
      <c r="Q329" s="11">
        <v>2.7492920572952501E-3</v>
      </c>
      <c r="R329" s="11">
        <v>2.2441148089136199E-3</v>
      </c>
      <c r="S329" s="11">
        <v>2.4883049666567102E-3</v>
      </c>
      <c r="T329" s="11">
        <v>1.00394886553778E-2</v>
      </c>
      <c r="U329">
        <v>3.04201016031394E-3</v>
      </c>
      <c r="V329">
        <v>0</v>
      </c>
      <c r="W329">
        <v>2.6668088964744798E-3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</row>
    <row r="330" spans="1:39" customFormat="1" hidden="1" x14ac:dyDescent="0.3">
      <c r="A330" t="s">
        <v>1794</v>
      </c>
      <c r="B330" t="s">
        <v>30</v>
      </c>
      <c r="C330" t="s">
        <v>81</v>
      </c>
      <c r="D330" t="s">
        <v>118</v>
      </c>
      <c r="E330" t="s">
        <v>358</v>
      </c>
      <c r="F330" t="s">
        <v>357</v>
      </c>
      <c r="G330" t="s">
        <v>356</v>
      </c>
      <c r="H330" s="16">
        <v>0</v>
      </c>
      <c r="I330" s="11">
        <v>0</v>
      </c>
      <c r="J330" s="11">
        <v>0</v>
      </c>
      <c r="K330" s="11">
        <v>0</v>
      </c>
      <c r="L330" s="11">
        <v>0</v>
      </c>
      <c r="M330" s="11">
        <v>0</v>
      </c>
      <c r="N330" s="11">
        <v>0</v>
      </c>
      <c r="O330" s="11">
        <v>0</v>
      </c>
      <c r="P330" s="11">
        <v>0</v>
      </c>
      <c r="Q330" s="11">
        <v>2.7492920572952501E-3</v>
      </c>
      <c r="R330" s="11">
        <v>1.5708803662395399E-2</v>
      </c>
      <c r="S330" s="11">
        <v>0</v>
      </c>
      <c r="T330" s="11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</row>
    <row r="331" spans="1:39" customFormat="1" hidden="1" x14ac:dyDescent="0.3">
      <c r="A331" t="s">
        <v>1793</v>
      </c>
      <c r="B331" t="s">
        <v>30</v>
      </c>
      <c r="C331" t="s">
        <v>111</v>
      </c>
      <c r="D331" t="s">
        <v>110</v>
      </c>
      <c r="E331" t="s">
        <v>109</v>
      </c>
      <c r="F331" t="s">
        <v>108</v>
      </c>
      <c r="G331" t="s">
        <v>1792</v>
      </c>
      <c r="H331" s="16">
        <v>0</v>
      </c>
      <c r="I331" s="11">
        <v>0</v>
      </c>
      <c r="J331" s="11">
        <v>0</v>
      </c>
      <c r="K331" s="11">
        <v>0</v>
      </c>
      <c r="L331" s="11">
        <v>0</v>
      </c>
      <c r="M331" s="11">
        <v>0</v>
      </c>
      <c r="N331" s="11">
        <v>0</v>
      </c>
      <c r="O331" s="11">
        <v>0</v>
      </c>
      <c r="P331" s="11">
        <v>0</v>
      </c>
      <c r="Q331" s="11">
        <v>0</v>
      </c>
      <c r="R331" s="11">
        <v>0</v>
      </c>
      <c r="S331" s="11">
        <v>0</v>
      </c>
      <c r="T331" s="1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</row>
    <row r="332" spans="1:39" customFormat="1" hidden="1" x14ac:dyDescent="0.3">
      <c r="A332" t="s">
        <v>1791</v>
      </c>
      <c r="B332" t="s">
        <v>30</v>
      </c>
      <c r="C332" t="s">
        <v>111</v>
      </c>
      <c r="D332" t="s">
        <v>141</v>
      </c>
      <c r="E332" t="s">
        <v>140</v>
      </c>
      <c r="F332" t="s">
        <v>1790</v>
      </c>
      <c r="G332" t="s">
        <v>1789</v>
      </c>
      <c r="H332" s="16">
        <v>0</v>
      </c>
      <c r="I332" s="11">
        <v>3.6565745209887401E-3</v>
      </c>
      <c r="J332" s="11">
        <v>0</v>
      </c>
      <c r="K332" s="11">
        <v>0</v>
      </c>
      <c r="L332" s="11">
        <v>0</v>
      </c>
      <c r="M332" s="11">
        <v>3.5488679111363502E-3</v>
      </c>
      <c r="N332" s="11">
        <v>4.5835816106705798E-3</v>
      </c>
      <c r="O332" s="11">
        <v>0</v>
      </c>
      <c r="P332" s="11">
        <v>0</v>
      </c>
      <c r="Q332" s="11">
        <v>0</v>
      </c>
      <c r="R332" s="11">
        <v>0</v>
      </c>
      <c r="S332" s="11">
        <v>0</v>
      </c>
      <c r="T332" s="11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</row>
    <row r="333" spans="1:39" customFormat="1" hidden="1" x14ac:dyDescent="0.3">
      <c r="A333" t="s">
        <v>1786</v>
      </c>
      <c r="B333" t="s">
        <v>30</v>
      </c>
      <c r="C333" t="s">
        <v>111</v>
      </c>
      <c r="D333" t="s">
        <v>141</v>
      </c>
      <c r="E333" t="s">
        <v>140</v>
      </c>
      <c r="F333" t="s">
        <v>276</v>
      </c>
      <c r="G333" t="s">
        <v>25</v>
      </c>
      <c r="H333" s="16">
        <v>0</v>
      </c>
      <c r="I333" s="11">
        <v>0</v>
      </c>
      <c r="J333" s="11">
        <v>0</v>
      </c>
      <c r="K333" s="11">
        <v>0</v>
      </c>
      <c r="L333" s="11">
        <v>0</v>
      </c>
      <c r="M333" s="11">
        <v>0</v>
      </c>
      <c r="N333" s="11">
        <v>0</v>
      </c>
      <c r="O333" s="11">
        <v>0</v>
      </c>
      <c r="P333" s="11">
        <v>0</v>
      </c>
      <c r="Q333" s="11">
        <v>0</v>
      </c>
      <c r="R333" s="11">
        <v>0</v>
      </c>
      <c r="S333" s="11">
        <v>0</v>
      </c>
      <c r="T333" s="11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6.02700096432015E-3</v>
      </c>
      <c r="AL333">
        <v>0</v>
      </c>
      <c r="AM333">
        <v>0</v>
      </c>
    </row>
    <row r="334" spans="1:39" customFormat="1" hidden="1" x14ac:dyDescent="0.3">
      <c r="A334" t="s">
        <v>1785</v>
      </c>
      <c r="B334" t="s">
        <v>30</v>
      </c>
      <c r="C334" t="s">
        <v>111</v>
      </c>
      <c r="D334" t="s">
        <v>141</v>
      </c>
      <c r="E334" t="s">
        <v>140</v>
      </c>
      <c r="F334" t="s">
        <v>592</v>
      </c>
      <c r="G334" t="s">
        <v>958</v>
      </c>
      <c r="H334" s="16">
        <v>4.1583499667332E-3</v>
      </c>
      <c r="I334" s="11">
        <v>0</v>
      </c>
      <c r="J334" s="11">
        <v>0</v>
      </c>
      <c r="K334" s="11">
        <v>0</v>
      </c>
      <c r="L334" s="11">
        <v>0</v>
      </c>
      <c r="M334" s="11">
        <v>3.5488679111363502E-3</v>
      </c>
      <c r="N334" s="11">
        <v>0</v>
      </c>
      <c r="O334" s="11">
        <v>3.75023438964935E-3</v>
      </c>
      <c r="P334" s="11">
        <v>3.3947788301592198E-3</v>
      </c>
      <c r="Q334" s="11">
        <v>2.7492920572952501E-3</v>
      </c>
      <c r="R334" s="11">
        <v>0</v>
      </c>
      <c r="S334" s="11">
        <v>0</v>
      </c>
      <c r="T334" s="11">
        <v>0</v>
      </c>
      <c r="U334">
        <v>1.2168040641255699E-2</v>
      </c>
      <c r="V334">
        <v>0</v>
      </c>
      <c r="W334">
        <v>2.6668088964744798E-3</v>
      </c>
      <c r="X334">
        <v>6.4242579982012101E-3</v>
      </c>
      <c r="Y334">
        <v>5.8529162155043701E-3</v>
      </c>
      <c r="Z334">
        <v>6.3548551093035102E-3</v>
      </c>
      <c r="AA334">
        <v>0</v>
      </c>
      <c r="AB334">
        <v>0</v>
      </c>
      <c r="AC334">
        <v>0</v>
      </c>
      <c r="AD334">
        <v>0</v>
      </c>
      <c r="AE334">
        <v>3.4299434059338E-3</v>
      </c>
      <c r="AF334">
        <v>0</v>
      </c>
      <c r="AG334">
        <v>2.3469220117815501E-3</v>
      </c>
      <c r="AH334">
        <v>4.6410173109945703E-3</v>
      </c>
      <c r="AI334">
        <v>0</v>
      </c>
      <c r="AJ334">
        <v>3.5915670006823998E-3</v>
      </c>
      <c r="AK334">
        <v>0</v>
      </c>
      <c r="AL334">
        <v>0</v>
      </c>
      <c r="AM334">
        <v>0</v>
      </c>
    </row>
    <row r="335" spans="1:39" customFormat="1" hidden="1" x14ac:dyDescent="0.3">
      <c r="A335" t="s">
        <v>1784</v>
      </c>
      <c r="B335" t="s">
        <v>30</v>
      </c>
      <c r="C335" t="s">
        <v>81</v>
      </c>
      <c r="D335" t="s">
        <v>118</v>
      </c>
      <c r="E335" t="s">
        <v>371</v>
      </c>
      <c r="F335" t="s">
        <v>1783</v>
      </c>
      <c r="G335" t="s">
        <v>1782</v>
      </c>
      <c r="H335" s="16">
        <v>0</v>
      </c>
      <c r="I335" s="11">
        <v>0</v>
      </c>
      <c r="J335" s="11">
        <v>0</v>
      </c>
      <c r="K335" s="11">
        <v>0</v>
      </c>
      <c r="L335" s="11">
        <v>0</v>
      </c>
      <c r="M335" s="11">
        <v>0</v>
      </c>
      <c r="N335" s="11">
        <v>4.5835816106705798E-3</v>
      </c>
      <c r="O335" s="11">
        <v>0</v>
      </c>
      <c r="P335" s="11">
        <v>0</v>
      </c>
      <c r="Q335" s="11">
        <v>0</v>
      </c>
      <c r="R335" s="11">
        <v>4.4882296178272501E-3</v>
      </c>
      <c r="S335" s="11">
        <v>2.4883049666567102E-3</v>
      </c>
      <c r="T335" s="11">
        <v>0</v>
      </c>
      <c r="U335">
        <v>3.04201016031394E-3</v>
      </c>
      <c r="V335">
        <v>7.2288285683305004E-3</v>
      </c>
      <c r="W335">
        <v>0</v>
      </c>
      <c r="X335">
        <v>0</v>
      </c>
      <c r="Y335">
        <v>2.9264581077521898E-3</v>
      </c>
      <c r="Z335">
        <v>3.1774275546517499E-3</v>
      </c>
      <c r="AA335">
        <v>0</v>
      </c>
      <c r="AB335">
        <v>0</v>
      </c>
      <c r="AC335">
        <v>0</v>
      </c>
      <c r="AD335">
        <v>3.14564328405159E-3</v>
      </c>
      <c r="AE335">
        <v>3.4299434059338E-3</v>
      </c>
      <c r="AF335">
        <v>1.0067451927917E-2</v>
      </c>
      <c r="AG335">
        <v>1.1734610058907699E-2</v>
      </c>
      <c r="AH335">
        <v>9.2820346219891405E-3</v>
      </c>
      <c r="AI335">
        <v>1.14921393766664E-2</v>
      </c>
      <c r="AJ335">
        <v>0</v>
      </c>
      <c r="AK335">
        <v>0</v>
      </c>
      <c r="AL335">
        <v>0</v>
      </c>
      <c r="AM335">
        <v>0</v>
      </c>
    </row>
    <row r="336" spans="1:39" customFormat="1" hidden="1" x14ac:dyDescent="0.3">
      <c r="A336" t="s">
        <v>1779</v>
      </c>
      <c r="B336" t="s">
        <v>30</v>
      </c>
      <c r="C336" t="s">
        <v>111</v>
      </c>
      <c r="D336" t="s">
        <v>141</v>
      </c>
      <c r="E336" t="s">
        <v>140</v>
      </c>
      <c r="F336" t="s">
        <v>592</v>
      </c>
      <c r="G336" t="s">
        <v>612</v>
      </c>
      <c r="H336" s="16">
        <v>4.1583499667332E-3</v>
      </c>
      <c r="I336" s="11">
        <v>2.5596021646921201E-2</v>
      </c>
      <c r="J336" s="11">
        <v>0</v>
      </c>
      <c r="K336" s="11">
        <v>5.6589893045102101E-3</v>
      </c>
      <c r="L336" s="11">
        <v>0</v>
      </c>
      <c r="M336" s="11">
        <v>0</v>
      </c>
      <c r="N336" s="11">
        <v>0</v>
      </c>
      <c r="O336" s="11">
        <v>7.5004687792987104E-3</v>
      </c>
      <c r="P336" s="11">
        <v>0</v>
      </c>
      <c r="Q336" s="11">
        <v>0</v>
      </c>
      <c r="R336" s="11">
        <v>0</v>
      </c>
      <c r="S336" s="11">
        <v>0</v>
      </c>
      <c r="T336" s="11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</row>
    <row r="337" spans="1:39" customFormat="1" hidden="1" x14ac:dyDescent="0.3">
      <c r="A337" t="s">
        <v>1778</v>
      </c>
      <c r="B337" t="s">
        <v>30</v>
      </c>
      <c r="C337" t="s">
        <v>81</v>
      </c>
      <c r="D337" t="s">
        <v>80</v>
      </c>
      <c r="E337" t="s">
        <v>642</v>
      </c>
      <c r="F337" t="s">
        <v>641</v>
      </c>
      <c r="G337" t="s">
        <v>1777</v>
      </c>
      <c r="H337" s="16">
        <v>0</v>
      </c>
      <c r="I337" s="11">
        <v>7.3131490419774802E-3</v>
      </c>
      <c r="J337" s="11">
        <v>8.7187758838659108E-3</v>
      </c>
      <c r="K337" s="11">
        <v>1.1317978609020399E-2</v>
      </c>
      <c r="L337" s="11">
        <v>1.3207422571485199E-2</v>
      </c>
      <c r="M337" s="11">
        <v>0</v>
      </c>
      <c r="N337" s="11">
        <v>4.5835816106705798E-3</v>
      </c>
      <c r="O337" s="11">
        <v>0</v>
      </c>
      <c r="P337" s="11">
        <v>6.78955766031843E-3</v>
      </c>
      <c r="Q337" s="11">
        <v>0</v>
      </c>
      <c r="R337" s="11">
        <v>0</v>
      </c>
      <c r="S337" s="11">
        <v>0</v>
      </c>
      <c r="T337" s="11">
        <v>0</v>
      </c>
      <c r="U337">
        <v>0</v>
      </c>
      <c r="V337">
        <v>0</v>
      </c>
      <c r="W337">
        <v>2.6668088964744798E-3</v>
      </c>
      <c r="X337">
        <v>0</v>
      </c>
      <c r="Y337">
        <v>0</v>
      </c>
      <c r="Z337">
        <v>3.1774275546517499E-3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</row>
    <row r="338" spans="1:39" customFormat="1" hidden="1" x14ac:dyDescent="0.3">
      <c r="A338" t="s">
        <v>1776</v>
      </c>
      <c r="B338" t="s">
        <v>30</v>
      </c>
      <c r="C338" t="s">
        <v>111</v>
      </c>
      <c r="D338" t="s">
        <v>141</v>
      </c>
      <c r="E338" t="s">
        <v>140</v>
      </c>
      <c r="F338" t="s">
        <v>199</v>
      </c>
      <c r="G338" t="s">
        <v>198</v>
      </c>
      <c r="H338" s="16">
        <v>0</v>
      </c>
      <c r="I338" s="11">
        <v>0</v>
      </c>
      <c r="J338" s="11">
        <v>0</v>
      </c>
      <c r="K338" s="11">
        <v>0</v>
      </c>
      <c r="L338" s="11">
        <v>0</v>
      </c>
      <c r="M338" s="11">
        <v>0</v>
      </c>
      <c r="N338" s="11">
        <v>0</v>
      </c>
      <c r="O338" s="11">
        <v>0</v>
      </c>
      <c r="P338" s="11">
        <v>0</v>
      </c>
      <c r="Q338" s="11">
        <v>0</v>
      </c>
      <c r="R338" s="11">
        <v>0</v>
      </c>
      <c r="S338" s="11">
        <v>0</v>
      </c>
      <c r="T338" s="11">
        <v>0</v>
      </c>
      <c r="U338">
        <v>0</v>
      </c>
      <c r="V338">
        <v>0</v>
      </c>
      <c r="W338">
        <v>0</v>
      </c>
      <c r="X338">
        <v>0</v>
      </c>
      <c r="Y338">
        <v>5.8529162155043701E-3</v>
      </c>
      <c r="Z338">
        <v>3.1774275546517499E-3</v>
      </c>
      <c r="AA338">
        <v>0</v>
      </c>
      <c r="AB338">
        <v>0</v>
      </c>
      <c r="AC338">
        <v>1.43822810297713E-2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3.5915670006823998E-3</v>
      </c>
      <c r="AK338">
        <v>0</v>
      </c>
      <c r="AL338">
        <v>0</v>
      </c>
      <c r="AM338">
        <v>0</v>
      </c>
    </row>
    <row r="339" spans="1:39" customFormat="1" hidden="1" x14ac:dyDescent="0.3">
      <c r="A339" t="s">
        <v>1775</v>
      </c>
      <c r="B339" t="s">
        <v>30</v>
      </c>
      <c r="C339" t="s">
        <v>81</v>
      </c>
      <c r="D339" t="s">
        <v>85</v>
      </c>
      <c r="E339" t="s">
        <v>287</v>
      </c>
      <c r="F339" t="s">
        <v>1402</v>
      </c>
      <c r="G339" t="s">
        <v>1401</v>
      </c>
      <c r="H339" s="16">
        <v>0</v>
      </c>
      <c r="I339" s="11">
        <v>0</v>
      </c>
      <c r="J339" s="11">
        <v>0</v>
      </c>
      <c r="K339" s="11">
        <v>0</v>
      </c>
      <c r="L339" s="11">
        <v>6.6037112857425901E-3</v>
      </c>
      <c r="M339" s="11">
        <v>0</v>
      </c>
      <c r="N339" s="11">
        <v>3.2085071274694003E-2</v>
      </c>
      <c r="O339" s="11">
        <v>7.5004687792987104E-3</v>
      </c>
      <c r="P339" s="11">
        <v>0</v>
      </c>
      <c r="Q339" s="11">
        <v>2.7492920572952501E-3</v>
      </c>
      <c r="R339" s="11">
        <v>0</v>
      </c>
      <c r="S339" s="11">
        <v>0</v>
      </c>
      <c r="T339" s="11">
        <v>0</v>
      </c>
      <c r="U339">
        <v>1.8252060961883601E-2</v>
      </c>
      <c r="V339">
        <v>0</v>
      </c>
      <c r="W339">
        <v>1.06672355858979E-2</v>
      </c>
      <c r="X339">
        <v>0</v>
      </c>
      <c r="Y339">
        <v>1.46322905387609E-2</v>
      </c>
      <c r="Z339">
        <v>3.1774275546517499E-3</v>
      </c>
      <c r="AA339">
        <v>0</v>
      </c>
      <c r="AB339">
        <v>4.5118209709438702E-3</v>
      </c>
      <c r="AC339">
        <v>1.43822810297713E-2</v>
      </c>
      <c r="AD339">
        <v>0</v>
      </c>
      <c r="AE339">
        <v>0</v>
      </c>
      <c r="AF339">
        <v>1.51011778918756E-2</v>
      </c>
      <c r="AG339">
        <v>0</v>
      </c>
      <c r="AH339">
        <v>0</v>
      </c>
      <c r="AI339">
        <v>6.89528362599982E-3</v>
      </c>
      <c r="AJ339">
        <v>1.4366268002729599E-2</v>
      </c>
      <c r="AK339">
        <v>0</v>
      </c>
      <c r="AL339">
        <v>1.0753459029321099E-2</v>
      </c>
      <c r="AM339">
        <v>0</v>
      </c>
    </row>
    <row r="340" spans="1:39" customFormat="1" hidden="1" x14ac:dyDescent="0.3">
      <c r="A340" t="s">
        <v>1774</v>
      </c>
      <c r="B340" t="s">
        <v>30</v>
      </c>
      <c r="C340" t="s">
        <v>81</v>
      </c>
      <c r="D340" t="s">
        <v>80</v>
      </c>
      <c r="E340" t="s">
        <v>618</v>
      </c>
      <c r="F340" t="s">
        <v>629</v>
      </c>
      <c r="G340" t="s">
        <v>1773</v>
      </c>
      <c r="H340" s="16">
        <v>4.1583499667332E-3</v>
      </c>
      <c r="I340" s="11">
        <v>3.6565745209887401E-3</v>
      </c>
      <c r="J340" s="11">
        <v>4.3593879419329502E-3</v>
      </c>
      <c r="K340" s="11">
        <v>5.6589893045102101E-3</v>
      </c>
      <c r="L340" s="11">
        <v>0</v>
      </c>
      <c r="M340" s="11">
        <v>0</v>
      </c>
      <c r="N340" s="11">
        <v>9.1671632213411597E-3</v>
      </c>
      <c r="O340" s="11">
        <v>1.1250703168948099E-2</v>
      </c>
      <c r="P340" s="11">
        <v>0</v>
      </c>
      <c r="Q340" s="11">
        <v>0</v>
      </c>
      <c r="R340" s="11">
        <v>0</v>
      </c>
      <c r="S340" s="11">
        <v>0</v>
      </c>
      <c r="T340" s="11">
        <v>0</v>
      </c>
      <c r="U340">
        <v>0</v>
      </c>
      <c r="V340">
        <v>0</v>
      </c>
      <c r="W340">
        <v>2.6668088964744798E-3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</row>
    <row r="341" spans="1:39" customFormat="1" hidden="1" x14ac:dyDescent="0.3">
      <c r="A341" t="s">
        <v>1770</v>
      </c>
      <c r="B341" t="s">
        <v>30</v>
      </c>
      <c r="C341" t="s">
        <v>103</v>
      </c>
      <c r="D341" t="s">
        <v>146</v>
      </c>
      <c r="E341" t="s">
        <v>145</v>
      </c>
      <c r="F341" t="s">
        <v>144</v>
      </c>
      <c r="G341" t="s">
        <v>1733</v>
      </c>
      <c r="H341" s="16">
        <v>0</v>
      </c>
      <c r="I341" s="11">
        <v>0</v>
      </c>
      <c r="J341" s="11">
        <v>0</v>
      </c>
      <c r="K341" s="11">
        <v>0</v>
      </c>
      <c r="L341" s="11">
        <v>0</v>
      </c>
      <c r="M341" s="11">
        <v>0</v>
      </c>
      <c r="N341" s="11">
        <v>0</v>
      </c>
      <c r="O341" s="11">
        <v>0</v>
      </c>
      <c r="P341" s="11">
        <v>0</v>
      </c>
      <c r="Q341" s="11">
        <v>0</v>
      </c>
      <c r="R341" s="11">
        <v>0</v>
      </c>
      <c r="S341" s="11">
        <v>2.4883049666567102E-3</v>
      </c>
      <c r="T341" s="11">
        <v>0</v>
      </c>
      <c r="U341">
        <v>0</v>
      </c>
      <c r="V341">
        <v>0</v>
      </c>
      <c r="W341">
        <v>0</v>
      </c>
      <c r="X341">
        <v>0</v>
      </c>
      <c r="Y341">
        <v>8.7793743232565599E-3</v>
      </c>
      <c r="Z341">
        <v>3.1774275546517499E-3</v>
      </c>
      <c r="AA341">
        <v>0</v>
      </c>
      <c r="AB341">
        <v>1.8047283883775501E-2</v>
      </c>
      <c r="AC341">
        <v>0</v>
      </c>
      <c r="AD341">
        <v>2.8310789556464301E-2</v>
      </c>
      <c r="AE341">
        <v>0</v>
      </c>
      <c r="AF341">
        <v>5.03372596395852E-3</v>
      </c>
      <c r="AG341">
        <v>0</v>
      </c>
      <c r="AH341">
        <v>0</v>
      </c>
      <c r="AI341">
        <v>0</v>
      </c>
      <c r="AJ341">
        <v>3.5915670006823998E-3</v>
      </c>
      <c r="AK341">
        <v>0</v>
      </c>
      <c r="AL341">
        <v>0</v>
      </c>
      <c r="AM341">
        <v>0</v>
      </c>
    </row>
    <row r="342" spans="1:39" customFormat="1" hidden="1" x14ac:dyDescent="0.3">
      <c r="A342" t="s">
        <v>1769</v>
      </c>
      <c r="B342" t="s">
        <v>30</v>
      </c>
      <c r="C342" t="s">
        <v>35</v>
      </c>
      <c r="D342" t="s">
        <v>35</v>
      </c>
      <c r="E342" t="s">
        <v>240</v>
      </c>
      <c r="F342" t="s">
        <v>243</v>
      </c>
      <c r="G342" t="s">
        <v>1768</v>
      </c>
      <c r="H342" s="16">
        <v>8.3166999334664E-3</v>
      </c>
      <c r="I342" s="11">
        <v>0</v>
      </c>
      <c r="J342" s="11">
        <v>0</v>
      </c>
      <c r="K342" s="11">
        <v>0</v>
      </c>
      <c r="L342" s="11">
        <v>0</v>
      </c>
      <c r="M342" s="11">
        <v>0</v>
      </c>
      <c r="N342" s="11">
        <v>0</v>
      </c>
      <c r="O342" s="11">
        <v>0</v>
      </c>
      <c r="P342" s="11">
        <v>0</v>
      </c>
      <c r="Q342" s="11">
        <v>2.7492920572952501E-3</v>
      </c>
      <c r="R342" s="11">
        <v>2.2441148089136199E-3</v>
      </c>
      <c r="S342" s="11">
        <v>0</v>
      </c>
      <c r="T342" s="11">
        <v>0</v>
      </c>
      <c r="U342">
        <v>0</v>
      </c>
      <c r="V342">
        <v>7.2288285683305004E-3</v>
      </c>
      <c r="W342">
        <v>5.3336177929489597E-3</v>
      </c>
      <c r="X342">
        <v>0</v>
      </c>
      <c r="Y342">
        <v>5.8529162155043701E-3</v>
      </c>
      <c r="Z342">
        <v>3.1774275546517499E-3</v>
      </c>
      <c r="AA342">
        <v>0</v>
      </c>
      <c r="AB342">
        <v>0</v>
      </c>
      <c r="AC342">
        <v>7.1911405148856597E-3</v>
      </c>
      <c r="AD342">
        <v>0</v>
      </c>
      <c r="AE342">
        <v>1.7149717029669002E-2</v>
      </c>
      <c r="AF342">
        <v>5.03372596395852E-3</v>
      </c>
      <c r="AG342">
        <v>4.6938440235631002E-3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</row>
    <row r="343" spans="1:39" customFormat="1" hidden="1" x14ac:dyDescent="0.3">
      <c r="A343" t="s">
        <v>1767</v>
      </c>
      <c r="B343" t="s">
        <v>30</v>
      </c>
      <c r="C343" t="s">
        <v>35</v>
      </c>
      <c r="D343" t="s">
        <v>35</v>
      </c>
      <c r="E343" t="s">
        <v>128</v>
      </c>
      <c r="F343" t="s">
        <v>127</v>
      </c>
      <c r="G343" t="s">
        <v>130</v>
      </c>
      <c r="H343" s="16">
        <v>0</v>
      </c>
      <c r="I343" s="11">
        <v>0</v>
      </c>
      <c r="J343" s="11">
        <v>0</v>
      </c>
      <c r="K343" s="11">
        <v>0</v>
      </c>
      <c r="L343" s="11">
        <v>0</v>
      </c>
      <c r="M343" s="11">
        <v>0</v>
      </c>
      <c r="N343" s="11">
        <v>0</v>
      </c>
      <c r="O343" s="11">
        <v>0</v>
      </c>
      <c r="P343" s="11">
        <v>0</v>
      </c>
      <c r="Q343" s="11">
        <v>0</v>
      </c>
      <c r="R343" s="11">
        <v>2.2441148089136199E-3</v>
      </c>
      <c r="S343" s="11">
        <v>0</v>
      </c>
      <c r="T343" s="11">
        <v>0</v>
      </c>
      <c r="U343">
        <v>3.04201016031394E-3</v>
      </c>
      <c r="V343">
        <v>0</v>
      </c>
      <c r="W343">
        <v>2.13344711717958E-2</v>
      </c>
      <c r="X343">
        <v>6.4242579982012101E-3</v>
      </c>
      <c r="Y343">
        <v>8.7793743232565599E-3</v>
      </c>
      <c r="Z343">
        <v>9.5322826639552601E-3</v>
      </c>
      <c r="AA343">
        <v>0</v>
      </c>
      <c r="AB343">
        <v>0</v>
      </c>
      <c r="AC343">
        <v>0</v>
      </c>
      <c r="AD343">
        <v>0</v>
      </c>
      <c r="AE343">
        <v>3.4299434059338E-3</v>
      </c>
      <c r="AF343">
        <v>1.0067451927917E-2</v>
      </c>
      <c r="AG343">
        <v>7.0407660353446503E-3</v>
      </c>
      <c r="AH343">
        <v>9.2820346219891405E-3</v>
      </c>
      <c r="AI343">
        <v>2.2984278753332699E-3</v>
      </c>
      <c r="AJ343">
        <v>3.5915670006823998E-3</v>
      </c>
      <c r="AK343">
        <v>0</v>
      </c>
      <c r="AL343">
        <v>0</v>
      </c>
      <c r="AM343">
        <v>0</v>
      </c>
    </row>
    <row r="344" spans="1:39" customFormat="1" hidden="1" x14ac:dyDescent="0.3">
      <c r="A344" t="s">
        <v>1766</v>
      </c>
      <c r="B344" t="s">
        <v>30</v>
      </c>
      <c r="C344" t="s">
        <v>81</v>
      </c>
      <c r="D344" t="s">
        <v>85</v>
      </c>
      <c r="E344" t="s">
        <v>1524</v>
      </c>
      <c r="F344" t="s">
        <v>1523</v>
      </c>
      <c r="G344" t="s">
        <v>1765</v>
      </c>
      <c r="H344" s="16">
        <v>0</v>
      </c>
      <c r="I344" s="11">
        <v>0</v>
      </c>
      <c r="J344" s="11">
        <v>0</v>
      </c>
      <c r="K344" s="11">
        <v>0</v>
      </c>
      <c r="L344" s="11">
        <v>0</v>
      </c>
      <c r="M344" s="11">
        <v>0</v>
      </c>
      <c r="N344" s="11">
        <v>0</v>
      </c>
      <c r="O344" s="11">
        <v>0</v>
      </c>
      <c r="P344" s="11">
        <v>0</v>
      </c>
      <c r="Q344" s="11">
        <v>0</v>
      </c>
      <c r="R344" s="11">
        <v>0</v>
      </c>
      <c r="S344" s="11">
        <v>0</v>
      </c>
      <c r="T344" s="11">
        <v>0</v>
      </c>
      <c r="U344">
        <v>2.7378091442825402E-2</v>
      </c>
      <c r="V344">
        <v>0</v>
      </c>
      <c r="W344">
        <v>0</v>
      </c>
      <c r="X344">
        <v>1.9272773994603601E-2</v>
      </c>
      <c r="Y344">
        <v>5.2676245939539401E-2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6.02700096432015E-3</v>
      </c>
      <c r="AL344">
        <v>2.5091404401749201E-2</v>
      </c>
      <c r="AM344">
        <v>0</v>
      </c>
    </row>
    <row r="345" spans="1:39" customFormat="1" hidden="1" x14ac:dyDescent="0.3">
      <c r="A345" t="s">
        <v>1764</v>
      </c>
      <c r="B345" t="s">
        <v>30</v>
      </c>
      <c r="C345" t="s">
        <v>29</v>
      </c>
      <c r="D345" t="s">
        <v>28</v>
      </c>
      <c r="E345" t="s">
        <v>91</v>
      </c>
      <c r="F345" t="s">
        <v>95</v>
      </c>
      <c r="G345" t="s">
        <v>1372</v>
      </c>
      <c r="H345" s="16">
        <v>0</v>
      </c>
      <c r="I345" s="11">
        <v>0</v>
      </c>
      <c r="J345" s="11">
        <v>0</v>
      </c>
      <c r="K345" s="11">
        <v>0</v>
      </c>
      <c r="L345" s="11">
        <v>0</v>
      </c>
      <c r="M345" s="11">
        <v>0</v>
      </c>
      <c r="N345" s="11">
        <v>0</v>
      </c>
      <c r="O345" s="11">
        <v>0</v>
      </c>
      <c r="P345" s="11">
        <v>0</v>
      </c>
      <c r="Q345" s="11">
        <v>0</v>
      </c>
      <c r="R345" s="11">
        <v>2.2441148089136199E-3</v>
      </c>
      <c r="S345" s="11">
        <v>2.4883049666567102E-3</v>
      </c>
      <c r="T345" s="11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9.0236419418877507E-3</v>
      </c>
      <c r="AC345">
        <v>0</v>
      </c>
      <c r="AD345">
        <v>0.103806228373702</v>
      </c>
      <c r="AE345">
        <v>3.4299434059338E-3</v>
      </c>
      <c r="AF345">
        <v>5.03372596395852E-3</v>
      </c>
      <c r="AG345">
        <v>2.3469220117815501E-3</v>
      </c>
      <c r="AH345">
        <v>0</v>
      </c>
      <c r="AI345">
        <v>2.2984278753332699E-3</v>
      </c>
      <c r="AJ345">
        <v>0</v>
      </c>
      <c r="AK345">
        <v>0</v>
      </c>
      <c r="AL345">
        <v>0</v>
      </c>
      <c r="AM345">
        <v>0</v>
      </c>
    </row>
    <row r="346" spans="1:39" customFormat="1" hidden="1" x14ac:dyDescent="0.3">
      <c r="A346" t="s">
        <v>1763</v>
      </c>
      <c r="B346" t="s">
        <v>30</v>
      </c>
      <c r="C346" t="s">
        <v>111</v>
      </c>
      <c r="D346" t="s">
        <v>141</v>
      </c>
      <c r="E346" t="s">
        <v>140</v>
      </c>
      <c r="F346" t="s">
        <v>1762</v>
      </c>
      <c r="G346" t="s">
        <v>1761</v>
      </c>
      <c r="H346" s="16">
        <v>0</v>
      </c>
      <c r="I346" s="11">
        <v>0</v>
      </c>
      <c r="J346" s="11">
        <v>0</v>
      </c>
      <c r="K346" s="11">
        <v>2.8294946522551101E-2</v>
      </c>
      <c r="L346" s="11">
        <v>1.3207422571485199E-2</v>
      </c>
      <c r="M346" s="11">
        <v>7.0977358222727004E-3</v>
      </c>
      <c r="N346" s="11">
        <v>0</v>
      </c>
      <c r="O346" s="11">
        <v>0</v>
      </c>
      <c r="P346" s="11">
        <v>0</v>
      </c>
      <c r="Q346" s="11">
        <v>2.7492920572952501E-3</v>
      </c>
      <c r="R346" s="11">
        <v>2.2441148089136199E-3</v>
      </c>
      <c r="S346" s="11">
        <v>0</v>
      </c>
      <c r="T346" s="11">
        <v>0</v>
      </c>
      <c r="U346">
        <v>0</v>
      </c>
      <c r="V346">
        <v>0</v>
      </c>
      <c r="W346">
        <v>2.6668088964744798E-3</v>
      </c>
      <c r="X346">
        <v>0</v>
      </c>
      <c r="Y346">
        <v>5.8529162155043701E-3</v>
      </c>
      <c r="Z346">
        <v>0</v>
      </c>
      <c r="AA346">
        <v>0</v>
      </c>
      <c r="AB346">
        <v>4.5118209709438702E-3</v>
      </c>
      <c r="AC346">
        <v>7.1911405148856597E-3</v>
      </c>
      <c r="AD346">
        <v>3.7747719408619103E-2</v>
      </c>
      <c r="AE346">
        <v>3.4299434059338E-3</v>
      </c>
      <c r="AF346">
        <v>0</v>
      </c>
      <c r="AG346">
        <v>4.6938440235631002E-3</v>
      </c>
      <c r="AH346">
        <v>4.6410173109945703E-3</v>
      </c>
      <c r="AI346">
        <v>0</v>
      </c>
      <c r="AJ346">
        <v>7.1831340013647996E-3</v>
      </c>
      <c r="AK346">
        <v>1.20540019286403E-2</v>
      </c>
      <c r="AL346">
        <v>0</v>
      </c>
      <c r="AM346">
        <v>0</v>
      </c>
    </row>
    <row r="347" spans="1:39" customFormat="1" hidden="1" x14ac:dyDescent="0.3">
      <c r="A347" t="s">
        <v>1760</v>
      </c>
      <c r="B347" t="s">
        <v>30</v>
      </c>
      <c r="C347" t="s">
        <v>526</v>
      </c>
      <c r="D347" t="s">
        <v>525</v>
      </c>
      <c r="E347" t="s">
        <v>524</v>
      </c>
      <c r="F347" t="s">
        <v>523</v>
      </c>
      <c r="G347" t="s">
        <v>522</v>
      </c>
      <c r="H347" s="16">
        <v>0</v>
      </c>
      <c r="I347" s="11">
        <v>0</v>
      </c>
      <c r="J347" s="11">
        <v>0</v>
      </c>
      <c r="K347" s="11">
        <v>5.6589893045102101E-3</v>
      </c>
      <c r="L347" s="11">
        <v>0</v>
      </c>
      <c r="M347" s="11">
        <v>0</v>
      </c>
      <c r="N347" s="11">
        <v>0</v>
      </c>
      <c r="O347" s="11">
        <v>0</v>
      </c>
      <c r="P347" s="11">
        <v>0</v>
      </c>
      <c r="Q347" s="11">
        <v>0</v>
      </c>
      <c r="R347" s="11">
        <v>0</v>
      </c>
      <c r="S347" s="11">
        <v>2.4883049666567102E-3</v>
      </c>
      <c r="T347" s="11">
        <v>6.69299243691855E-3</v>
      </c>
      <c r="U347">
        <v>0</v>
      </c>
      <c r="V347">
        <v>3.9758557125817801E-2</v>
      </c>
      <c r="W347">
        <v>0</v>
      </c>
      <c r="X347">
        <v>5.78183219838109E-2</v>
      </c>
      <c r="Y347">
        <v>1.46322905387609E-2</v>
      </c>
      <c r="Z347">
        <v>0</v>
      </c>
      <c r="AA347">
        <v>0</v>
      </c>
      <c r="AB347">
        <v>4.5118209709438702E-3</v>
      </c>
      <c r="AC347">
        <v>0</v>
      </c>
      <c r="AD347">
        <v>3.14564328405159E-3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3.5915670006823998E-3</v>
      </c>
      <c r="AK347">
        <v>0</v>
      </c>
      <c r="AL347">
        <v>7.1689726862140604E-3</v>
      </c>
      <c r="AM347">
        <v>0</v>
      </c>
    </row>
    <row r="348" spans="1:39" customFormat="1" hidden="1" x14ac:dyDescent="0.3">
      <c r="A348" t="s">
        <v>1759</v>
      </c>
      <c r="B348" t="s">
        <v>30</v>
      </c>
      <c r="C348" t="s">
        <v>111</v>
      </c>
      <c r="D348" t="s">
        <v>141</v>
      </c>
      <c r="E348" t="s">
        <v>140</v>
      </c>
      <c r="F348" t="s">
        <v>592</v>
      </c>
      <c r="G348" t="s">
        <v>1642</v>
      </c>
      <c r="H348" s="16">
        <v>0</v>
      </c>
      <c r="I348" s="11">
        <v>0</v>
      </c>
      <c r="J348" s="11">
        <v>0</v>
      </c>
      <c r="K348" s="11">
        <v>0</v>
      </c>
      <c r="L348" s="11">
        <v>0</v>
      </c>
      <c r="M348" s="11">
        <v>0</v>
      </c>
      <c r="N348" s="11">
        <v>0</v>
      </c>
      <c r="O348" s="11">
        <v>0</v>
      </c>
      <c r="P348" s="11">
        <v>0</v>
      </c>
      <c r="Q348" s="11">
        <v>0</v>
      </c>
      <c r="R348" s="11">
        <v>0</v>
      </c>
      <c r="S348" s="11">
        <v>0</v>
      </c>
      <c r="T348" s="11">
        <v>3.3464962184592698E-3</v>
      </c>
      <c r="U348">
        <v>0</v>
      </c>
      <c r="V348">
        <v>1.0843242852495801E-2</v>
      </c>
      <c r="W348">
        <v>0</v>
      </c>
      <c r="X348">
        <v>0</v>
      </c>
      <c r="Y348">
        <v>2.9264581077521898E-3</v>
      </c>
      <c r="Z348">
        <v>3.1774275546517499E-3</v>
      </c>
      <c r="AA348">
        <v>0</v>
      </c>
      <c r="AB348">
        <v>1.35354629128316E-2</v>
      </c>
      <c r="AC348">
        <v>7.1911405148856597E-3</v>
      </c>
      <c r="AD348">
        <v>1.25825731362064E-2</v>
      </c>
      <c r="AE348">
        <v>2.05796604356028E-2</v>
      </c>
      <c r="AF348">
        <v>5.03372596395852E-3</v>
      </c>
      <c r="AG348">
        <v>1.1734610058907699E-2</v>
      </c>
      <c r="AH348">
        <v>0</v>
      </c>
      <c r="AI348">
        <v>6.89528362599982E-3</v>
      </c>
      <c r="AJ348">
        <v>0</v>
      </c>
      <c r="AK348">
        <v>0</v>
      </c>
      <c r="AL348">
        <v>0</v>
      </c>
      <c r="AM348">
        <v>0</v>
      </c>
    </row>
    <row r="349" spans="1:39" customFormat="1" hidden="1" x14ac:dyDescent="0.3">
      <c r="A349" t="s">
        <v>1757</v>
      </c>
      <c r="B349" t="s">
        <v>30</v>
      </c>
      <c r="C349" t="s">
        <v>29</v>
      </c>
      <c r="D349" t="s">
        <v>28</v>
      </c>
      <c r="E349" t="s">
        <v>345</v>
      </c>
      <c r="F349" t="s">
        <v>344</v>
      </c>
      <c r="G349" t="s">
        <v>1756</v>
      </c>
      <c r="H349" s="16">
        <v>0</v>
      </c>
      <c r="I349" s="11">
        <v>0</v>
      </c>
      <c r="J349" s="11">
        <v>8.7187758838659108E-3</v>
      </c>
      <c r="K349" s="11">
        <v>5.6589893045102101E-3</v>
      </c>
      <c r="L349" s="11">
        <v>0</v>
      </c>
      <c r="M349" s="11">
        <v>0</v>
      </c>
      <c r="N349" s="11">
        <v>0</v>
      </c>
      <c r="O349" s="11">
        <v>1.1250703168948099E-2</v>
      </c>
      <c r="P349" s="11">
        <v>3.3947788301592198E-3</v>
      </c>
      <c r="Q349" s="11">
        <v>0</v>
      </c>
      <c r="R349" s="11">
        <v>0</v>
      </c>
      <c r="S349" s="11">
        <v>0</v>
      </c>
      <c r="T349" s="11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3.4299434059338E-3</v>
      </c>
      <c r="AF349">
        <v>0</v>
      </c>
      <c r="AG349">
        <v>7.0407660353446505E-2</v>
      </c>
      <c r="AH349">
        <v>0</v>
      </c>
      <c r="AI349">
        <v>2.2984278753332699E-3</v>
      </c>
      <c r="AJ349">
        <v>0</v>
      </c>
      <c r="AK349">
        <v>0</v>
      </c>
      <c r="AL349">
        <v>0</v>
      </c>
      <c r="AM349">
        <v>0</v>
      </c>
    </row>
    <row r="350" spans="1:39" customFormat="1" hidden="1" x14ac:dyDescent="0.3">
      <c r="A350" t="s">
        <v>1755</v>
      </c>
      <c r="B350" t="s">
        <v>30</v>
      </c>
      <c r="C350" t="s">
        <v>111</v>
      </c>
      <c r="D350" t="s">
        <v>141</v>
      </c>
      <c r="E350" t="s">
        <v>140</v>
      </c>
      <c r="F350" t="s">
        <v>592</v>
      </c>
      <c r="G350" t="s">
        <v>1754</v>
      </c>
      <c r="H350" s="16">
        <v>0</v>
      </c>
      <c r="I350" s="11">
        <v>0</v>
      </c>
      <c r="J350" s="11">
        <v>0</v>
      </c>
      <c r="K350" s="11">
        <v>0</v>
      </c>
      <c r="L350" s="11">
        <v>0</v>
      </c>
      <c r="M350" s="11">
        <v>0</v>
      </c>
      <c r="N350" s="11">
        <v>0</v>
      </c>
      <c r="O350" s="11">
        <v>0</v>
      </c>
      <c r="P350" s="11">
        <v>0</v>
      </c>
      <c r="Q350" s="11">
        <v>0</v>
      </c>
      <c r="R350" s="11">
        <v>0</v>
      </c>
      <c r="S350" s="11">
        <v>0</v>
      </c>
      <c r="T350" s="11">
        <v>0</v>
      </c>
      <c r="U350">
        <v>0</v>
      </c>
      <c r="V350">
        <v>0</v>
      </c>
      <c r="W350">
        <v>1.06672355858979E-2</v>
      </c>
      <c r="X350">
        <v>6.4242579982012101E-3</v>
      </c>
      <c r="Y350">
        <v>0</v>
      </c>
      <c r="Z350">
        <v>1.58871377732588E-2</v>
      </c>
      <c r="AA350">
        <v>0</v>
      </c>
      <c r="AB350">
        <v>0</v>
      </c>
      <c r="AC350">
        <v>0</v>
      </c>
      <c r="AD350">
        <v>3.14564328405159E-3</v>
      </c>
      <c r="AE350">
        <v>0</v>
      </c>
      <c r="AF350">
        <v>5.03372596395852E-3</v>
      </c>
      <c r="AG350">
        <v>2.3469220117815501E-3</v>
      </c>
      <c r="AH350">
        <v>4.6410173109945703E-3</v>
      </c>
      <c r="AI350">
        <v>0</v>
      </c>
      <c r="AJ350">
        <v>0</v>
      </c>
      <c r="AK350">
        <v>0</v>
      </c>
      <c r="AL350">
        <v>0</v>
      </c>
      <c r="AM350">
        <v>0</v>
      </c>
    </row>
    <row r="351" spans="1:39" customFormat="1" hidden="1" x14ac:dyDescent="0.3">
      <c r="A351" t="s">
        <v>1753</v>
      </c>
      <c r="B351" t="s">
        <v>30</v>
      </c>
      <c r="C351" t="s">
        <v>111</v>
      </c>
      <c r="D351" t="s">
        <v>141</v>
      </c>
      <c r="E351" t="s">
        <v>140</v>
      </c>
      <c r="F351" t="s">
        <v>199</v>
      </c>
      <c r="G351" t="s">
        <v>198</v>
      </c>
      <c r="H351" s="16">
        <v>0</v>
      </c>
      <c r="I351" s="11">
        <v>0</v>
      </c>
      <c r="J351" s="11">
        <v>0</v>
      </c>
      <c r="K351" s="11">
        <v>0</v>
      </c>
      <c r="L351" s="11">
        <v>0</v>
      </c>
      <c r="M351" s="11">
        <v>0</v>
      </c>
      <c r="N351" s="11">
        <v>0</v>
      </c>
      <c r="O351" s="11">
        <v>0</v>
      </c>
      <c r="P351" s="11">
        <v>3.3947788301592198E-3</v>
      </c>
      <c r="Q351" s="11">
        <v>0</v>
      </c>
      <c r="R351" s="11">
        <v>2.2441148089136199E-3</v>
      </c>
      <c r="S351" s="11">
        <v>0</v>
      </c>
      <c r="T351" s="11">
        <v>6.69299243691855E-3</v>
      </c>
      <c r="U351">
        <v>0</v>
      </c>
      <c r="V351">
        <v>3.6144142841652502E-3</v>
      </c>
      <c r="W351">
        <v>0</v>
      </c>
      <c r="X351">
        <v>6.4242579982012101E-3</v>
      </c>
      <c r="Y351">
        <v>0</v>
      </c>
      <c r="Z351">
        <v>3.1774275546517499E-3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1.0067451927917E-2</v>
      </c>
      <c r="AG351">
        <v>0</v>
      </c>
      <c r="AH351">
        <v>0</v>
      </c>
      <c r="AI351">
        <v>0</v>
      </c>
      <c r="AJ351">
        <v>1.07747010020472E-2</v>
      </c>
      <c r="AK351">
        <v>0</v>
      </c>
      <c r="AL351">
        <v>0</v>
      </c>
      <c r="AM351">
        <v>0</v>
      </c>
    </row>
    <row r="352" spans="1:39" customFormat="1" hidden="1" x14ac:dyDescent="0.3">
      <c r="A352" t="s">
        <v>1752</v>
      </c>
      <c r="B352" t="s">
        <v>30</v>
      </c>
      <c r="C352" t="s">
        <v>81</v>
      </c>
      <c r="D352" t="s">
        <v>118</v>
      </c>
      <c r="E352" t="s">
        <v>220</v>
      </c>
      <c r="F352" t="s">
        <v>219</v>
      </c>
      <c r="G352" t="s">
        <v>1751</v>
      </c>
      <c r="H352" s="16">
        <v>0</v>
      </c>
      <c r="I352" s="11">
        <v>0</v>
      </c>
      <c r="J352" s="11">
        <v>0</v>
      </c>
      <c r="K352" s="11">
        <v>5.6589893045102101E-3</v>
      </c>
      <c r="L352" s="11">
        <v>0</v>
      </c>
      <c r="M352" s="11">
        <v>0</v>
      </c>
      <c r="N352" s="11">
        <v>4.5835816106705798E-3</v>
      </c>
      <c r="O352" s="11">
        <v>0</v>
      </c>
      <c r="P352" s="11">
        <v>3.3947788301592198E-3</v>
      </c>
      <c r="Q352" s="11">
        <v>2.7492920572952501E-3</v>
      </c>
      <c r="R352" s="11">
        <v>0</v>
      </c>
      <c r="S352" s="11">
        <v>0</v>
      </c>
      <c r="T352" s="11">
        <v>2.00789773107556E-2</v>
      </c>
      <c r="U352">
        <v>0</v>
      </c>
      <c r="V352">
        <v>0</v>
      </c>
      <c r="W352">
        <v>2.6668088964744798E-3</v>
      </c>
      <c r="X352">
        <v>0</v>
      </c>
      <c r="Y352">
        <v>0</v>
      </c>
      <c r="Z352">
        <v>6.3548551093035102E-3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</row>
    <row r="353" spans="1:39" customFormat="1" hidden="1" x14ac:dyDescent="0.3">
      <c r="A353" t="s">
        <v>1748</v>
      </c>
      <c r="B353" t="s">
        <v>30</v>
      </c>
      <c r="C353" t="s">
        <v>81</v>
      </c>
      <c r="D353" t="s">
        <v>80</v>
      </c>
      <c r="E353" t="s">
        <v>642</v>
      </c>
      <c r="F353" t="s">
        <v>645</v>
      </c>
      <c r="G353" t="s">
        <v>644</v>
      </c>
      <c r="H353" s="16">
        <v>4.1583499667332E-3</v>
      </c>
      <c r="I353" s="11">
        <v>3.6565745209887401E-3</v>
      </c>
      <c r="J353" s="11">
        <v>0</v>
      </c>
      <c r="K353" s="11">
        <v>1.6976967913530601E-2</v>
      </c>
      <c r="L353" s="11">
        <v>6.6037112857425901E-3</v>
      </c>
      <c r="M353" s="11">
        <v>3.5488679111363502E-3</v>
      </c>
      <c r="N353" s="11">
        <v>0</v>
      </c>
      <c r="O353" s="11">
        <v>0</v>
      </c>
      <c r="P353" s="11">
        <v>3.3947788301592198E-3</v>
      </c>
      <c r="Q353" s="11">
        <v>2.7492920572952501E-3</v>
      </c>
      <c r="R353" s="11">
        <v>2.2441148089136199E-3</v>
      </c>
      <c r="S353" s="11">
        <v>0</v>
      </c>
      <c r="T353" s="11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7.9435688866293805E-2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1.0067451927917E-2</v>
      </c>
      <c r="AG353">
        <v>0</v>
      </c>
      <c r="AH353">
        <v>4.6410173109945703E-3</v>
      </c>
      <c r="AI353">
        <v>0</v>
      </c>
      <c r="AJ353">
        <v>0</v>
      </c>
      <c r="AK353">
        <v>0</v>
      </c>
      <c r="AL353">
        <v>0</v>
      </c>
      <c r="AM353">
        <v>0</v>
      </c>
    </row>
    <row r="354" spans="1:39" customFormat="1" hidden="1" x14ac:dyDescent="0.3">
      <c r="A354" t="s">
        <v>1747</v>
      </c>
      <c r="B354" t="s">
        <v>30</v>
      </c>
      <c r="C354" t="s">
        <v>81</v>
      </c>
      <c r="D354" t="s">
        <v>80</v>
      </c>
      <c r="E354" t="s">
        <v>618</v>
      </c>
      <c r="F354" t="s">
        <v>1746</v>
      </c>
      <c r="G354" t="s">
        <v>1746</v>
      </c>
      <c r="H354" s="16">
        <v>0</v>
      </c>
      <c r="I354" s="11">
        <v>0</v>
      </c>
      <c r="J354" s="11">
        <v>0</v>
      </c>
      <c r="K354" s="11">
        <v>0</v>
      </c>
      <c r="L354" s="11">
        <v>0</v>
      </c>
      <c r="M354" s="11">
        <v>0</v>
      </c>
      <c r="N354" s="11">
        <v>0</v>
      </c>
      <c r="O354" s="11">
        <v>0</v>
      </c>
      <c r="P354" s="11">
        <v>0</v>
      </c>
      <c r="Q354" s="11">
        <v>5.4985841145904898E-3</v>
      </c>
      <c r="R354" s="11">
        <v>2.2441148089136199E-3</v>
      </c>
      <c r="S354" s="11">
        <v>0</v>
      </c>
      <c r="T354" s="11">
        <v>0</v>
      </c>
      <c r="U354">
        <v>0</v>
      </c>
      <c r="V354">
        <v>0</v>
      </c>
      <c r="W354">
        <v>0</v>
      </c>
      <c r="X354">
        <v>0</v>
      </c>
      <c r="Y354">
        <v>2.9264581077521898E-3</v>
      </c>
      <c r="Z354">
        <v>0</v>
      </c>
      <c r="AA354">
        <v>0</v>
      </c>
      <c r="AB354">
        <v>0</v>
      </c>
      <c r="AC354">
        <v>0</v>
      </c>
      <c r="AD354">
        <v>8.1786725385341305E-2</v>
      </c>
      <c r="AE354">
        <v>0</v>
      </c>
      <c r="AF354">
        <v>0</v>
      </c>
      <c r="AG354">
        <v>4.6938440235631002E-3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</row>
    <row r="355" spans="1:39" customFormat="1" hidden="1" x14ac:dyDescent="0.3">
      <c r="A355" t="s">
        <v>1741</v>
      </c>
      <c r="B355" t="s">
        <v>30</v>
      </c>
      <c r="C355" t="s">
        <v>81</v>
      </c>
      <c r="D355" t="s">
        <v>118</v>
      </c>
      <c r="E355" t="s">
        <v>371</v>
      </c>
      <c r="F355" t="s">
        <v>441</v>
      </c>
      <c r="G355" t="s">
        <v>1740</v>
      </c>
      <c r="H355" s="16">
        <v>0</v>
      </c>
      <c r="I355" s="11">
        <v>0</v>
      </c>
      <c r="J355" s="11">
        <v>4.3593879419329497E-2</v>
      </c>
      <c r="K355" s="11">
        <v>0</v>
      </c>
      <c r="L355" s="11">
        <v>0</v>
      </c>
      <c r="M355" s="11">
        <v>0</v>
      </c>
      <c r="N355" s="11">
        <v>0</v>
      </c>
      <c r="O355" s="11">
        <v>0</v>
      </c>
      <c r="P355" s="11">
        <v>0</v>
      </c>
      <c r="Q355" s="11">
        <v>0</v>
      </c>
      <c r="R355" s="11">
        <v>0</v>
      </c>
      <c r="S355" s="11">
        <v>0</v>
      </c>
      <c r="T355" s="11">
        <v>0</v>
      </c>
      <c r="U355">
        <v>0</v>
      </c>
      <c r="V355">
        <v>0</v>
      </c>
      <c r="W355">
        <v>2.6668088964744798E-3</v>
      </c>
      <c r="X355">
        <v>0</v>
      </c>
      <c r="Y355">
        <v>0</v>
      </c>
      <c r="Z355">
        <v>3.1774275546517499E-3</v>
      </c>
      <c r="AA355">
        <v>0</v>
      </c>
      <c r="AB355">
        <v>0</v>
      </c>
      <c r="AC355">
        <v>0</v>
      </c>
      <c r="AD355">
        <v>0</v>
      </c>
      <c r="AE355">
        <v>3.4299434059338E-3</v>
      </c>
      <c r="AF355">
        <v>1.0067451927917E-2</v>
      </c>
      <c r="AG355">
        <v>4.22445962120679E-2</v>
      </c>
      <c r="AH355">
        <v>4.6410173109945703E-3</v>
      </c>
      <c r="AI355">
        <v>6.89528362599982E-3</v>
      </c>
      <c r="AJ355">
        <v>0</v>
      </c>
      <c r="AK355">
        <v>0</v>
      </c>
      <c r="AL355">
        <v>0</v>
      </c>
      <c r="AM355">
        <v>0</v>
      </c>
    </row>
    <row r="356" spans="1:39" customFormat="1" hidden="1" x14ac:dyDescent="0.3">
      <c r="A356" t="s">
        <v>1737</v>
      </c>
      <c r="B356" t="s">
        <v>30</v>
      </c>
      <c r="C356" t="s">
        <v>526</v>
      </c>
      <c r="D356" t="s">
        <v>525</v>
      </c>
      <c r="E356" t="s">
        <v>524</v>
      </c>
      <c r="F356" t="s">
        <v>523</v>
      </c>
      <c r="G356" t="s">
        <v>522</v>
      </c>
      <c r="H356" s="16">
        <v>0</v>
      </c>
      <c r="I356" s="11">
        <v>0</v>
      </c>
      <c r="J356" s="11">
        <v>0</v>
      </c>
      <c r="K356" s="11">
        <v>0</v>
      </c>
      <c r="L356" s="11">
        <v>0</v>
      </c>
      <c r="M356" s="11">
        <v>0</v>
      </c>
      <c r="N356" s="11">
        <v>0</v>
      </c>
      <c r="O356" s="11">
        <v>0</v>
      </c>
      <c r="P356" s="11">
        <v>0</v>
      </c>
      <c r="Q356" s="11">
        <v>2.7492920572952501E-3</v>
      </c>
      <c r="R356" s="11">
        <v>2.2441148089136199E-3</v>
      </c>
      <c r="S356" s="11">
        <v>0</v>
      </c>
      <c r="T356" s="11">
        <v>0</v>
      </c>
      <c r="U356">
        <v>9.1260304809418092E-3</v>
      </c>
      <c r="V356">
        <v>0</v>
      </c>
      <c r="W356">
        <v>2.6668088964744798E-3</v>
      </c>
      <c r="X356">
        <v>0</v>
      </c>
      <c r="Y356">
        <v>0</v>
      </c>
      <c r="Z356">
        <v>6.3548551093035102E-3</v>
      </c>
      <c r="AA356">
        <v>0</v>
      </c>
      <c r="AB356">
        <v>0</v>
      </c>
      <c r="AC356">
        <v>2.1573421544656999E-2</v>
      </c>
      <c r="AD356">
        <v>0</v>
      </c>
      <c r="AE356">
        <v>0</v>
      </c>
      <c r="AF356">
        <v>0</v>
      </c>
      <c r="AG356">
        <v>0</v>
      </c>
      <c r="AH356">
        <v>1.8564069243978298E-2</v>
      </c>
      <c r="AI356">
        <v>0</v>
      </c>
      <c r="AJ356">
        <v>1.07747010020472E-2</v>
      </c>
      <c r="AK356">
        <v>6.02700096432015E-3</v>
      </c>
      <c r="AL356">
        <v>0</v>
      </c>
      <c r="AM356">
        <v>0</v>
      </c>
    </row>
    <row r="357" spans="1:39" x14ac:dyDescent="0.3">
      <c r="A357" s="6" t="s">
        <v>1736</v>
      </c>
      <c r="B357" s="6" t="s">
        <v>30</v>
      </c>
      <c r="C357" s="6" t="s">
        <v>29</v>
      </c>
      <c r="D357" s="6" t="s">
        <v>28</v>
      </c>
      <c r="E357" s="6" t="s">
        <v>388</v>
      </c>
      <c r="F357" s="6" t="s">
        <v>624</v>
      </c>
      <c r="G357" s="6" t="s">
        <v>634</v>
      </c>
      <c r="H357" s="49">
        <v>0</v>
      </c>
      <c r="I357" s="6">
        <v>0</v>
      </c>
      <c r="J357" s="6">
        <v>0</v>
      </c>
      <c r="K357" s="6">
        <v>0</v>
      </c>
      <c r="L357" s="6">
        <v>0</v>
      </c>
      <c r="M357" s="6">
        <v>3.5488679111363497E-2</v>
      </c>
      <c r="N357" s="6">
        <v>0</v>
      </c>
      <c r="O357" s="6">
        <v>0</v>
      </c>
      <c r="P357" s="6">
        <v>0</v>
      </c>
      <c r="Q357" s="6">
        <v>0</v>
      </c>
      <c r="R357" s="6">
        <v>0</v>
      </c>
      <c r="S357" s="6">
        <v>0</v>
      </c>
      <c r="T357" s="6">
        <v>0</v>
      </c>
      <c r="U357" s="6">
        <v>0</v>
      </c>
      <c r="V357" s="6">
        <v>0</v>
      </c>
      <c r="W357" s="6">
        <v>0</v>
      </c>
      <c r="X357" s="6">
        <v>0</v>
      </c>
      <c r="Y357" s="6">
        <v>0</v>
      </c>
      <c r="Z357" s="6">
        <v>0</v>
      </c>
      <c r="AA357" s="6">
        <v>0</v>
      </c>
      <c r="AB357" s="6">
        <v>0</v>
      </c>
      <c r="AC357" s="6">
        <v>0</v>
      </c>
      <c r="AD357" s="6">
        <v>0</v>
      </c>
      <c r="AE357" s="6">
        <v>0</v>
      </c>
      <c r="AF357" s="6">
        <v>0</v>
      </c>
      <c r="AG357" s="6">
        <v>2.3469220117815499E-2</v>
      </c>
      <c r="AH357" s="6">
        <v>0</v>
      </c>
      <c r="AI357" s="6">
        <v>3.9073273880665602E-2</v>
      </c>
      <c r="AJ357" s="6">
        <v>0</v>
      </c>
      <c r="AK357" s="6">
        <v>0</v>
      </c>
      <c r="AL357" s="6">
        <v>0</v>
      </c>
      <c r="AM357" s="6">
        <v>0</v>
      </c>
    </row>
    <row r="358" spans="1:39" customFormat="1" hidden="1" x14ac:dyDescent="0.3">
      <c r="A358" t="s">
        <v>1734</v>
      </c>
      <c r="B358" t="s">
        <v>30</v>
      </c>
      <c r="C358" t="s">
        <v>103</v>
      </c>
      <c r="D358" t="s">
        <v>146</v>
      </c>
      <c r="E358" t="s">
        <v>145</v>
      </c>
      <c r="F358" t="s">
        <v>144</v>
      </c>
      <c r="G358" t="s">
        <v>1733</v>
      </c>
      <c r="H358" s="16">
        <v>0</v>
      </c>
      <c r="I358" s="11">
        <v>0</v>
      </c>
      <c r="J358" s="11">
        <v>0</v>
      </c>
      <c r="K358" s="11">
        <v>0</v>
      </c>
      <c r="L358" s="11">
        <v>0</v>
      </c>
      <c r="M358" s="11">
        <v>0</v>
      </c>
      <c r="N358" s="11">
        <v>0</v>
      </c>
      <c r="O358" s="11">
        <v>0</v>
      </c>
      <c r="P358" s="11">
        <v>0</v>
      </c>
      <c r="Q358" s="11">
        <v>0</v>
      </c>
      <c r="R358" s="11">
        <v>4.4882296178272501E-3</v>
      </c>
      <c r="S358" s="11">
        <v>0</v>
      </c>
      <c r="T358" s="11">
        <v>0</v>
      </c>
      <c r="U358">
        <v>0</v>
      </c>
      <c r="V358">
        <v>3.6144142841652502E-3</v>
      </c>
      <c r="W358">
        <v>0</v>
      </c>
      <c r="X358">
        <v>6.4242579982012101E-3</v>
      </c>
      <c r="Y358">
        <v>5.8529162155043701E-3</v>
      </c>
      <c r="Z358">
        <v>0</v>
      </c>
      <c r="AA358">
        <v>0</v>
      </c>
      <c r="AB358">
        <v>4.5118209709438702E-3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</row>
    <row r="359" spans="1:39" customFormat="1" hidden="1" x14ac:dyDescent="0.3">
      <c r="A359" t="s">
        <v>1729</v>
      </c>
      <c r="B359" t="s">
        <v>30</v>
      </c>
      <c r="C359" t="s">
        <v>81</v>
      </c>
      <c r="D359" t="s">
        <v>85</v>
      </c>
      <c r="E359" t="s">
        <v>287</v>
      </c>
      <c r="F359" t="s">
        <v>1728</v>
      </c>
      <c r="G359" t="s">
        <v>1727</v>
      </c>
      <c r="H359" s="16">
        <v>0</v>
      </c>
      <c r="I359" s="11">
        <v>0</v>
      </c>
      <c r="J359" s="11">
        <v>0</v>
      </c>
      <c r="K359" s="11">
        <v>0</v>
      </c>
      <c r="L359" s="11">
        <v>6.6037112857425901E-3</v>
      </c>
      <c r="M359" s="11">
        <v>0</v>
      </c>
      <c r="N359" s="11">
        <v>0</v>
      </c>
      <c r="O359" s="11">
        <v>0</v>
      </c>
      <c r="P359" s="11">
        <v>0</v>
      </c>
      <c r="Q359" s="11">
        <v>0</v>
      </c>
      <c r="R359" s="11">
        <v>2.2441148089136199E-3</v>
      </c>
      <c r="S359" s="11">
        <v>0</v>
      </c>
      <c r="T359" s="11">
        <v>0</v>
      </c>
      <c r="U359">
        <v>0</v>
      </c>
      <c r="V359">
        <v>3.6144142841652502E-3</v>
      </c>
      <c r="W359">
        <v>0</v>
      </c>
      <c r="X359">
        <v>0</v>
      </c>
      <c r="Y359">
        <v>8.7793743232565599E-3</v>
      </c>
      <c r="Z359">
        <v>0</v>
      </c>
      <c r="AA359">
        <v>0</v>
      </c>
      <c r="AB359">
        <v>4.5118209709438702E-3</v>
      </c>
      <c r="AC359">
        <v>2.1573421544656999E-2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3.5915670006823998E-3</v>
      </c>
      <c r="AK359">
        <v>6.02700096432015E-3</v>
      </c>
      <c r="AL359">
        <v>3.5844863431070302E-3</v>
      </c>
      <c r="AM359">
        <v>0</v>
      </c>
    </row>
    <row r="360" spans="1:39" customFormat="1" hidden="1" x14ac:dyDescent="0.3">
      <c r="A360" t="s">
        <v>1726</v>
      </c>
      <c r="B360" t="s">
        <v>30</v>
      </c>
      <c r="C360" t="s">
        <v>111</v>
      </c>
      <c r="D360" t="s">
        <v>297</v>
      </c>
      <c r="E360" t="s">
        <v>1490</v>
      </c>
      <c r="F360" t="s">
        <v>1725</v>
      </c>
      <c r="G360" t="s">
        <v>1724</v>
      </c>
      <c r="H360" s="16">
        <v>0</v>
      </c>
      <c r="I360" s="11">
        <v>3.6565745209887401E-3</v>
      </c>
      <c r="J360" s="11">
        <v>1.30781638257989E-2</v>
      </c>
      <c r="K360" s="11">
        <v>0</v>
      </c>
      <c r="L360" s="11">
        <v>6.6037112857425901E-3</v>
      </c>
      <c r="M360" s="11">
        <v>0</v>
      </c>
      <c r="N360" s="11">
        <v>4.5835816106705798E-3</v>
      </c>
      <c r="O360" s="11">
        <v>1.1250703168948099E-2</v>
      </c>
      <c r="P360" s="11">
        <v>0</v>
      </c>
      <c r="Q360" s="11">
        <v>0</v>
      </c>
      <c r="R360" s="11">
        <v>2.2441148089136199E-3</v>
      </c>
      <c r="S360" s="11">
        <v>0</v>
      </c>
      <c r="T360" s="11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</row>
    <row r="361" spans="1:39" customFormat="1" hidden="1" x14ac:dyDescent="0.3">
      <c r="A361" t="s">
        <v>1723</v>
      </c>
      <c r="B361" t="s">
        <v>30</v>
      </c>
      <c r="C361" t="s">
        <v>81</v>
      </c>
      <c r="D361" t="s">
        <v>80</v>
      </c>
      <c r="E361" t="s">
        <v>618</v>
      </c>
      <c r="F361" t="s">
        <v>617</v>
      </c>
      <c r="G361" t="s">
        <v>1722</v>
      </c>
      <c r="H361" s="16">
        <v>0</v>
      </c>
      <c r="I361" s="11">
        <v>0</v>
      </c>
      <c r="J361" s="11">
        <v>0</v>
      </c>
      <c r="K361" s="11">
        <v>0</v>
      </c>
      <c r="L361" s="11">
        <v>0</v>
      </c>
      <c r="M361" s="11">
        <v>0</v>
      </c>
      <c r="N361" s="11">
        <v>0</v>
      </c>
      <c r="O361" s="11">
        <v>0</v>
      </c>
      <c r="P361" s="11">
        <v>0</v>
      </c>
      <c r="Q361" s="11">
        <v>0</v>
      </c>
      <c r="R361" s="11">
        <v>0</v>
      </c>
      <c r="S361" s="11">
        <v>1.9906439733253699E-2</v>
      </c>
      <c r="T361" s="1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</row>
    <row r="362" spans="1:39" customFormat="1" hidden="1" x14ac:dyDescent="0.3">
      <c r="A362" t="s">
        <v>1721</v>
      </c>
      <c r="B362" t="s">
        <v>30</v>
      </c>
      <c r="C362" t="s">
        <v>111</v>
      </c>
      <c r="D362" t="s">
        <v>141</v>
      </c>
      <c r="E362" t="s">
        <v>140</v>
      </c>
      <c r="F362" t="s">
        <v>276</v>
      </c>
      <c r="G362" t="s">
        <v>25</v>
      </c>
      <c r="H362" s="16">
        <v>0</v>
      </c>
      <c r="I362" s="11">
        <v>3.6565745209887401E-3</v>
      </c>
      <c r="J362" s="11">
        <v>0</v>
      </c>
      <c r="K362" s="11">
        <v>0</v>
      </c>
      <c r="L362" s="11">
        <v>0</v>
      </c>
      <c r="M362" s="11">
        <v>0</v>
      </c>
      <c r="N362" s="11">
        <v>0</v>
      </c>
      <c r="O362" s="11">
        <v>0</v>
      </c>
      <c r="P362" s="11">
        <v>0</v>
      </c>
      <c r="Q362" s="11">
        <v>0</v>
      </c>
      <c r="R362" s="11">
        <v>0</v>
      </c>
      <c r="S362" s="11">
        <v>1.49298297999403E-2</v>
      </c>
      <c r="T362" s="11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</row>
    <row r="363" spans="1:39" customFormat="1" hidden="1" x14ac:dyDescent="0.3">
      <c r="A363" t="s">
        <v>1720</v>
      </c>
      <c r="B363" t="s">
        <v>30</v>
      </c>
      <c r="C363" t="s">
        <v>81</v>
      </c>
      <c r="D363" t="s">
        <v>80</v>
      </c>
      <c r="E363" t="s">
        <v>618</v>
      </c>
      <c r="F363" t="s">
        <v>629</v>
      </c>
      <c r="G363" t="s">
        <v>1719</v>
      </c>
      <c r="H363" s="16">
        <v>0</v>
      </c>
      <c r="I363" s="11">
        <v>3.6565745209887401E-3</v>
      </c>
      <c r="J363" s="11">
        <v>4.3593879419329502E-3</v>
      </c>
      <c r="K363" s="11">
        <v>0</v>
      </c>
      <c r="L363" s="11">
        <v>0</v>
      </c>
      <c r="M363" s="11">
        <v>3.5488679111363502E-3</v>
      </c>
      <c r="N363" s="11">
        <v>0</v>
      </c>
      <c r="O363" s="11">
        <v>0</v>
      </c>
      <c r="P363" s="11">
        <v>0</v>
      </c>
      <c r="Q363" s="11">
        <v>8.2478761718857395E-3</v>
      </c>
      <c r="R363" s="11">
        <v>6.7323444267408704E-3</v>
      </c>
      <c r="S363" s="11">
        <v>2.4883049666567102E-3</v>
      </c>
      <c r="T363" s="11">
        <v>0</v>
      </c>
      <c r="U363">
        <v>6.0840203206278696E-3</v>
      </c>
      <c r="V363">
        <v>7.2288285683305004E-3</v>
      </c>
      <c r="W363">
        <v>5.3336177929489597E-3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2.3469220117815501E-3</v>
      </c>
      <c r="AH363">
        <v>0</v>
      </c>
      <c r="AI363">
        <v>4.5968557506665397E-3</v>
      </c>
      <c r="AJ363">
        <v>0</v>
      </c>
      <c r="AK363">
        <v>0</v>
      </c>
      <c r="AL363">
        <v>0</v>
      </c>
      <c r="AM363">
        <v>0</v>
      </c>
    </row>
    <row r="364" spans="1:39" customFormat="1" hidden="1" x14ac:dyDescent="0.3">
      <c r="A364" t="s">
        <v>1718</v>
      </c>
      <c r="B364" t="s">
        <v>30</v>
      </c>
      <c r="C364" t="s">
        <v>111</v>
      </c>
      <c r="D364" t="s">
        <v>141</v>
      </c>
      <c r="E364" t="s">
        <v>140</v>
      </c>
      <c r="F364" t="s">
        <v>592</v>
      </c>
      <c r="G364" t="s">
        <v>1717</v>
      </c>
      <c r="H364" s="16">
        <v>0</v>
      </c>
      <c r="I364" s="11">
        <v>0</v>
      </c>
      <c r="J364" s="11">
        <v>0</v>
      </c>
      <c r="K364" s="11">
        <v>0</v>
      </c>
      <c r="L364" s="11">
        <v>0</v>
      </c>
      <c r="M364" s="11">
        <v>0</v>
      </c>
      <c r="N364" s="11">
        <v>0</v>
      </c>
      <c r="O364" s="11">
        <v>0</v>
      </c>
      <c r="P364" s="11">
        <v>0</v>
      </c>
      <c r="Q364" s="11">
        <v>0</v>
      </c>
      <c r="R364" s="11">
        <v>0</v>
      </c>
      <c r="S364" s="11">
        <v>0</v>
      </c>
      <c r="T364" s="11">
        <v>0</v>
      </c>
      <c r="U364">
        <v>0</v>
      </c>
      <c r="V364">
        <v>7.2288285683305004E-3</v>
      </c>
      <c r="W364">
        <v>0</v>
      </c>
      <c r="X364">
        <v>1.9272773994603601E-2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5.03372596395852E-3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</row>
    <row r="365" spans="1:39" customFormat="1" hidden="1" x14ac:dyDescent="0.3">
      <c r="A365" t="s">
        <v>1716</v>
      </c>
      <c r="B365" t="s">
        <v>30</v>
      </c>
      <c r="C365" t="s">
        <v>35</v>
      </c>
      <c r="D365" t="s">
        <v>35</v>
      </c>
      <c r="E365" t="s">
        <v>34</v>
      </c>
      <c r="F365" t="s">
        <v>33</v>
      </c>
      <c r="G365" t="s">
        <v>1715</v>
      </c>
      <c r="H365" s="16">
        <v>0</v>
      </c>
      <c r="I365" s="11">
        <v>0</v>
      </c>
      <c r="J365" s="11">
        <v>0</v>
      </c>
      <c r="K365" s="11">
        <v>0</v>
      </c>
      <c r="L365" s="11">
        <v>0</v>
      </c>
      <c r="M365" s="11">
        <v>0</v>
      </c>
      <c r="N365" s="11">
        <v>0</v>
      </c>
      <c r="O365" s="11">
        <v>0</v>
      </c>
      <c r="P365" s="11">
        <v>3.3947788301592198E-3</v>
      </c>
      <c r="Q365" s="11">
        <v>0</v>
      </c>
      <c r="R365" s="11">
        <v>6.7323444267408704E-3</v>
      </c>
      <c r="S365" s="11">
        <v>4.9766099333134299E-3</v>
      </c>
      <c r="T365" s="11">
        <v>0</v>
      </c>
      <c r="U365">
        <v>0</v>
      </c>
      <c r="V365">
        <v>3.6144142841652502E-3</v>
      </c>
      <c r="W365">
        <v>1.6000853378846901E-2</v>
      </c>
      <c r="X365">
        <v>0</v>
      </c>
      <c r="Y365">
        <v>5.8529162155043701E-3</v>
      </c>
      <c r="Z365">
        <v>6.3548551093035102E-3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4.6938440235631002E-3</v>
      </c>
      <c r="AH365">
        <v>0</v>
      </c>
      <c r="AI365">
        <v>9.1937115013330899E-3</v>
      </c>
      <c r="AJ365">
        <v>0</v>
      </c>
      <c r="AK365">
        <v>0</v>
      </c>
      <c r="AL365">
        <v>0</v>
      </c>
      <c r="AM365">
        <v>0</v>
      </c>
    </row>
    <row r="366" spans="1:39" customFormat="1" hidden="1" x14ac:dyDescent="0.3">
      <c r="A366" t="s">
        <v>1714</v>
      </c>
      <c r="B366" t="s">
        <v>30</v>
      </c>
      <c r="C366" t="s">
        <v>35</v>
      </c>
      <c r="D366" t="s">
        <v>35</v>
      </c>
      <c r="E366" t="s">
        <v>45</v>
      </c>
      <c r="F366" t="s">
        <v>44</v>
      </c>
      <c r="G366" t="s">
        <v>1713</v>
      </c>
      <c r="H366" s="16">
        <v>0</v>
      </c>
      <c r="I366" s="11">
        <v>0</v>
      </c>
      <c r="J366" s="11">
        <v>0</v>
      </c>
      <c r="K366" s="11">
        <v>0</v>
      </c>
      <c r="L366" s="11">
        <v>0</v>
      </c>
      <c r="M366" s="11">
        <v>0</v>
      </c>
      <c r="N366" s="11">
        <v>0</v>
      </c>
      <c r="O366" s="11">
        <v>3.75023438964935E-3</v>
      </c>
      <c r="P366" s="11">
        <v>0</v>
      </c>
      <c r="Q366" s="11">
        <v>2.7492920572952501E-3</v>
      </c>
      <c r="R366" s="11">
        <v>0</v>
      </c>
      <c r="S366" s="11">
        <v>0</v>
      </c>
      <c r="T366" s="11">
        <v>1.00394886553778E-2</v>
      </c>
      <c r="U366">
        <v>3.04201016031394E-3</v>
      </c>
      <c r="V366">
        <v>3.6144142841652502E-3</v>
      </c>
      <c r="W366">
        <v>2.6668088964744798E-3</v>
      </c>
      <c r="X366">
        <v>0</v>
      </c>
      <c r="Y366">
        <v>2.9264581077521898E-3</v>
      </c>
      <c r="Z366">
        <v>6.3548551093035102E-3</v>
      </c>
      <c r="AA366">
        <v>0</v>
      </c>
      <c r="AB366">
        <v>4.5118209709438702E-3</v>
      </c>
      <c r="AC366">
        <v>0</v>
      </c>
      <c r="AD366">
        <v>3.14564328405159E-3</v>
      </c>
      <c r="AE366">
        <v>0</v>
      </c>
      <c r="AF366">
        <v>1.51011778918756E-2</v>
      </c>
      <c r="AG366">
        <v>0</v>
      </c>
      <c r="AH366">
        <v>4.6410173109945703E-3</v>
      </c>
      <c r="AI366">
        <v>0</v>
      </c>
      <c r="AJ366">
        <v>0</v>
      </c>
      <c r="AK366">
        <v>0</v>
      </c>
      <c r="AL366">
        <v>0</v>
      </c>
      <c r="AM366">
        <v>0</v>
      </c>
    </row>
    <row r="367" spans="1:39" customFormat="1" hidden="1" x14ac:dyDescent="0.3">
      <c r="A367" t="s">
        <v>1712</v>
      </c>
      <c r="B367" t="s">
        <v>30</v>
      </c>
      <c r="C367" t="s">
        <v>103</v>
      </c>
      <c r="D367" t="s">
        <v>146</v>
      </c>
      <c r="E367" t="s">
        <v>145</v>
      </c>
      <c r="F367" t="s">
        <v>144</v>
      </c>
      <c r="G367" t="s">
        <v>143</v>
      </c>
      <c r="H367" s="16">
        <v>0</v>
      </c>
      <c r="I367" s="11">
        <v>0</v>
      </c>
      <c r="J367" s="11">
        <v>0</v>
      </c>
      <c r="K367" s="11">
        <v>0</v>
      </c>
      <c r="L367" s="11">
        <v>0</v>
      </c>
      <c r="M367" s="11">
        <v>0</v>
      </c>
      <c r="N367" s="11">
        <v>0</v>
      </c>
      <c r="O367" s="11">
        <v>0</v>
      </c>
      <c r="P367" s="11">
        <v>0</v>
      </c>
      <c r="Q367" s="11">
        <v>0</v>
      </c>
      <c r="R367" s="11">
        <v>0</v>
      </c>
      <c r="S367" s="11">
        <v>0</v>
      </c>
      <c r="T367" s="11">
        <v>0</v>
      </c>
      <c r="U367">
        <v>0</v>
      </c>
      <c r="V367">
        <v>0</v>
      </c>
      <c r="W367">
        <v>2.6668088964744798E-3</v>
      </c>
      <c r="X367">
        <v>0</v>
      </c>
      <c r="Y367">
        <v>2.9264581077521898E-3</v>
      </c>
      <c r="Z367">
        <v>0</v>
      </c>
      <c r="AA367">
        <v>0</v>
      </c>
      <c r="AB367">
        <v>0</v>
      </c>
      <c r="AC367">
        <v>0</v>
      </c>
      <c r="AD367">
        <v>6.2912865681031801E-3</v>
      </c>
      <c r="AE367">
        <v>6.8598868118676E-3</v>
      </c>
      <c r="AF367">
        <v>0</v>
      </c>
      <c r="AG367">
        <v>1.8775376094252401E-2</v>
      </c>
      <c r="AH367">
        <v>0</v>
      </c>
      <c r="AI367">
        <v>2.2984278753332699E-3</v>
      </c>
      <c r="AJ367">
        <v>0</v>
      </c>
      <c r="AK367">
        <v>0</v>
      </c>
      <c r="AL367">
        <v>0</v>
      </c>
      <c r="AM367">
        <v>0</v>
      </c>
    </row>
    <row r="368" spans="1:39" customFormat="1" hidden="1" x14ac:dyDescent="0.3">
      <c r="A368" t="s">
        <v>1711</v>
      </c>
      <c r="B368" t="s">
        <v>30</v>
      </c>
      <c r="C368" t="s">
        <v>81</v>
      </c>
      <c r="D368" t="s">
        <v>80</v>
      </c>
      <c r="E368" t="s">
        <v>642</v>
      </c>
      <c r="F368" t="s">
        <v>645</v>
      </c>
      <c r="G368" t="s">
        <v>644</v>
      </c>
      <c r="H368" s="16">
        <v>4.1583499667332E-3</v>
      </c>
      <c r="I368" s="11">
        <v>0</v>
      </c>
      <c r="J368" s="11">
        <v>8.7187758838659108E-3</v>
      </c>
      <c r="K368" s="11">
        <v>0</v>
      </c>
      <c r="L368" s="11">
        <v>6.6037112857425901E-3</v>
      </c>
      <c r="M368" s="11">
        <v>0</v>
      </c>
      <c r="N368" s="11">
        <v>1.37507448320117E-2</v>
      </c>
      <c r="O368" s="11">
        <v>3.75023438964935E-3</v>
      </c>
      <c r="P368" s="11">
        <v>0</v>
      </c>
      <c r="Q368" s="11">
        <v>0</v>
      </c>
      <c r="R368" s="11">
        <v>0</v>
      </c>
      <c r="S368" s="11">
        <v>0</v>
      </c>
      <c r="T368" s="11">
        <v>0</v>
      </c>
      <c r="U368">
        <v>0</v>
      </c>
      <c r="V368">
        <v>3.6144142841652502E-3</v>
      </c>
      <c r="W368">
        <v>5.3336177929489597E-3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</row>
    <row r="369" spans="1:39" customFormat="1" hidden="1" x14ac:dyDescent="0.3">
      <c r="A369" t="s">
        <v>1710</v>
      </c>
      <c r="B369" t="s">
        <v>30</v>
      </c>
      <c r="C369" t="s">
        <v>81</v>
      </c>
      <c r="D369" t="s">
        <v>118</v>
      </c>
      <c r="E369" t="s">
        <v>371</v>
      </c>
      <c r="F369" t="s">
        <v>424</v>
      </c>
      <c r="G369" t="s">
        <v>1709</v>
      </c>
      <c r="H369" s="16">
        <v>0</v>
      </c>
      <c r="I369" s="11">
        <v>0</v>
      </c>
      <c r="J369" s="11">
        <v>0</v>
      </c>
      <c r="K369" s="11">
        <v>0</v>
      </c>
      <c r="L369" s="11">
        <v>0</v>
      </c>
      <c r="M369" s="11">
        <v>0</v>
      </c>
      <c r="N369" s="11">
        <v>0</v>
      </c>
      <c r="O369" s="11">
        <v>0</v>
      </c>
      <c r="P369" s="11">
        <v>0</v>
      </c>
      <c r="Q369" s="11">
        <v>0</v>
      </c>
      <c r="R369" s="11">
        <v>2.2441148089136199E-3</v>
      </c>
      <c r="S369" s="11">
        <v>2.4883049666567102E-3</v>
      </c>
      <c r="T369" s="11">
        <v>0</v>
      </c>
      <c r="U369">
        <v>0</v>
      </c>
      <c r="V369">
        <v>3.6144142841652502E-3</v>
      </c>
      <c r="W369">
        <v>2.6668088964744801E-2</v>
      </c>
      <c r="X369">
        <v>0</v>
      </c>
      <c r="Y369">
        <v>0</v>
      </c>
      <c r="Z369">
        <v>3.1774275546517499E-3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2.3469220117815501E-3</v>
      </c>
      <c r="AH369">
        <v>9.2820346219891405E-3</v>
      </c>
      <c r="AI369">
        <v>6.89528362599982E-3</v>
      </c>
      <c r="AJ369">
        <v>0</v>
      </c>
      <c r="AK369">
        <v>0</v>
      </c>
      <c r="AL369">
        <v>0</v>
      </c>
      <c r="AM369">
        <v>0</v>
      </c>
    </row>
    <row r="370" spans="1:39" customFormat="1" hidden="1" x14ac:dyDescent="0.3">
      <c r="A370" t="s">
        <v>1708</v>
      </c>
      <c r="B370" t="s">
        <v>30</v>
      </c>
      <c r="C370" t="s">
        <v>111</v>
      </c>
      <c r="D370" t="s">
        <v>141</v>
      </c>
      <c r="E370" t="s">
        <v>1707</v>
      </c>
      <c r="F370" t="s">
        <v>1707</v>
      </c>
      <c r="G370" t="s">
        <v>1707</v>
      </c>
      <c r="H370" s="16">
        <v>0</v>
      </c>
      <c r="I370" s="11">
        <v>0</v>
      </c>
      <c r="J370" s="11">
        <v>0</v>
      </c>
      <c r="K370" s="11">
        <v>0</v>
      </c>
      <c r="L370" s="11">
        <v>0</v>
      </c>
      <c r="M370" s="11">
        <v>0</v>
      </c>
      <c r="N370" s="11">
        <v>0</v>
      </c>
      <c r="O370" s="11">
        <v>0</v>
      </c>
      <c r="P370" s="11">
        <v>0</v>
      </c>
      <c r="Q370" s="11">
        <v>0</v>
      </c>
      <c r="R370" s="11">
        <v>0</v>
      </c>
      <c r="S370" s="11">
        <v>0</v>
      </c>
      <c r="T370" s="11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6.02700096432015E-3</v>
      </c>
      <c r="AL370">
        <v>0</v>
      </c>
      <c r="AM370">
        <v>0</v>
      </c>
    </row>
    <row r="371" spans="1:39" customFormat="1" hidden="1" x14ac:dyDescent="0.3">
      <c r="A371" t="s">
        <v>1706</v>
      </c>
      <c r="B371" t="s">
        <v>30</v>
      </c>
      <c r="C371" t="s">
        <v>526</v>
      </c>
      <c r="D371" t="s">
        <v>525</v>
      </c>
      <c r="E371" t="s">
        <v>524</v>
      </c>
      <c r="F371" t="s">
        <v>523</v>
      </c>
      <c r="G371" t="s">
        <v>530</v>
      </c>
      <c r="H371" s="16">
        <v>0</v>
      </c>
      <c r="I371" s="11">
        <v>3.6565745209887401E-3</v>
      </c>
      <c r="J371" s="11">
        <v>4.3593879419329502E-3</v>
      </c>
      <c r="K371" s="11">
        <v>5.6589893045102101E-3</v>
      </c>
      <c r="L371" s="11">
        <v>0</v>
      </c>
      <c r="M371" s="11">
        <v>3.5488679111363502E-3</v>
      </c>
      <c r="N371" s="11">
        <v>4.5835816106705798E-3</v>
      </c>
      <c r="O371" s="11">
        <v>0</v>
      </c>
      <c r="P371" s="11">
        <v>0</v>
      </c>
      <c r="Q371" s="11">
        <v>0</v>
      </c>
      <c r="R371" s="11">
        <v>2.2441148089136199E-3</v>
      </c>
      <c r="S371" s="11">
        <v>0</v>
      </c>
      <c r="T371" s="1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5.03372596395852E-3</v>
      </c>
      <c r="AG371">
        <v>0</v>
      </c>
      <c r="AH371">
        <v>0</v>
      </c>
      <c r="AI371">
        <v>0</v>
      </c>
      <c r="AJ371">
        <v>3.5915670006823998E-3</v>
      </c>
      <c r="AK371">
        <v>0</v>
      </c>
      <c r="AL371">
        <v>3.5844863431070302E-3</v>
      </c>
      <c r="AM371">
        <v>0</v>
      </c>
    </row>
    <row r="372" spans="1:39" customFormat="1" hidden="1" x14ac:dyDescent="0.3">
      <c r="A372" t="s">
        <v>1705</v>
      </c>
      <c r="B372" t="s">
        <v>30</v>
      </c>
      <c r="C372" t="s">
        <v>81</v>
      </c>
      <c r="D372" t="s">
        <v>118</v>
      </c>
      <c r="E372" t="s">
        <v>220</v>
      </c>
      <c r="F372" t="s">
        <v>219</v>
      </c>
      <c r="G372" t="s">
        <v>1704</v>
      </c>
      <c r="H372" s="16">
        <v>0</v>
      </c>
      <c r="I372" s="11">
        <v>3.6565745209887401E-3</v>
      </c>
      <c r="J372" s="11">
        <v>0</v>
      </c>
      <c r="K372" s="11">
        <v>0</v>
      </c>
      <c r="L372" s="11">
        <v>0</v>
      </c>
      <c r="M372" s="11">
        <v>0</v>
      </c>
      <c r="N372" s="11">
        <v>9.1671632213411597E-3</v>
      </c>
      <c r="O372" s="11">
        <v>7.5004687792987104E-3</v>
      </c>
      <c r="P372" s="11">
        <v>0</v>
      </c>
      <c r="Q372" s="11">
        <v>0</v>
      </c>
      <c r="R372" s="11">
        <v>8.9764592356545003E-3</v>
      </c>
      <c r="S372" s="11">
        <v>0</v>
      </c>
      <c r="T372" s="11">
        <v>0</v>
      </c>
      <c r="U372">
        <v>0</v>
      </c>
      <c r="V372">
        <v>0</v>
      </c>
      <c r="W372">
        <v>5.3336177929489597E-3</v>
      </c>
      <c r="X372">
        <v>6.4242579982012101E-3</v>
      </c>
      <c r="Y372">
        <v>2.9264581077521898E-3</v>
      </c>
      <c r="Z372">
        <v>2.22419928825623E-2</v>
      </c>
      <c r="AA372">
        <v>0</v>
      </c>
      <c r="AB372">
        <v>0</v>
      </c>
      <c r="AC372">
        <v>7.1911405148856597E-3</v>
      </c>
      <c r="AD372">
        <v>0</v>
      </c>
      <c r="AE372">
        <v>0</v>
      </c>
      <c r="AF372">
        <v>5.03372596395852E-3</v>
      </c>
      <c r="AG372">
        <v>7.0407660353446503E-3</v>
      </c>
      <c r="AH372">
        <v>4.6410173109945703E-3</v>
      </c>
      <c r="AI372">
        <v>4.5968557506665397E-3</v>
      </c>
      <c r="AJ372">
        <v>0</v>
      </c>
      <c r="AK372">
        <v>0</v>
      </c>
      <c r="AL372">
        <v>0</v>
      </c>
      <c r="AM372">
        <v>0</v>
      </c>
    </row>
    <row r="373" spans="1:39" customFormat="1" hidden="1" x14ac:dyDescent="0.3">
      <c r="A373" t="s">
        <v>1703</v>
      </c>
      <c r="B373" t="s">
        <v>30</v>
      </c>
      <c r="C373" t="s">
        <v>111</v>
      </c>
      <c r="D373" t="s">
        <v>141</v>
      </c>
      <c r="E373" t="s">
        <v>140</v>
      </c>
      <c r="F373" t="s">
        <v>276</v>
      </c>
      <c r="G373" t="s">
        <v>275</v>
      </c>
      <c r="H373" s="16">
        <v>0</v>
      </c>
      <c r="I373" s="11">
        <v>0</v>
      </c>
      <c r="J373" s="11">
        <v>0</v>
      </c>
      <c r="K373" s="11">
        <v>0</v>
      </c>
      <c r="L373" s="11">
        <v>0</v>
      </c>
      <c r="M373" s="11">
        <v>0</v>
      </c>
      <c r="N373" s="11">
        <v>0</v>
      </c>
      <c r="O373" s="11">
        <v>0</v>
      </c>
      <c r="P373" s="11">
        <v>0</v>
      </c>
      <c r="Q373" s="11">
        <v>1.0997168229181E-2</v>
      </c>
      <c r="R373" s="11">
        <v>0</v>
      </c>
      <c r="S373" s="11">
        <v>2.4883049666567102E-3</v>
      </c>
      <c r="T373" s="11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</row>
    <row r="374" spans="1:39" customFormat="1" hidden="1" x14ac:dyDescent="0.3">
      <c r="A374" t="s">
        <v>1702</v>
      </c>
      <c r="B374" t="s">
        <v>30</v>
      </c>
      <c r="C374" t="s">
        <v>81</v>
      </c>
      <c r="D374" t="s">
        <v>85</v>
      </c>
      <c r="E374" t="s">
        <v>799</v>
      </c>
      <c r="F374" t="s">
        <v>798</v>
      </c>
      <c r="G374" t="s">
        <v>797</v>
      </c>
      <c r="H374" s="16">
        <v>0</v>
      </c>
      <c r="I374" s="11">
        <v>0</v>
      </c>
      <c r="J374" s="11">
        <v>0</v>
      </c>
      <c r="K374" s="11">
        <v>0</v>
      </c>
      <c r="L374" s="11">
        <v>0</v>
      </c>
      <c r="M374" s="11">
        <v>0</v>
      </c>
      <c r="N374" s="11">
        <v>0</v>
      </c>
      <c r="O374" s="11">
        <v>0</v>
      </c>
      <c r="P374" s="11">
        <v>0</v>
      </c>
      <c r="Q374" s="11">
        <v>0</v>
      </c>
      <c r="R374" s="11">
        <v>4.4882296178272501E-3</v>
      </c>
      <c r="S374" s="11">
        <v>2.4883049666567102E-3</v>
      </c>
      <c r="T374" s="11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1.0067451927917E-2</v>
      </c>
      <c r="AG374">
        <v>3.0509986153160099E-2</v>
      </c>
      <c r="AH374">
        <v>0</v>
      </c>
      <c r="AI374">
        <v>1.37905672519996E-2</v>
      </c>
      <c r="AJ374">
        <v>0</v>
      </c>
      <c r="AK374">
        <v>0</v>
      </c>
      <c r="AL374">
        <v>0</v>
      </c>
      <c r="AM374">
        <v>0</v>
      </c>
    </row>
    <row r="375" spans="1:39" customFormat="1" hidden="1" x14ac:dyDescent="0.3">
      <c r="A375" t="s">
        <v>1701</v>
      </c>
      <c r="B375" t="s">
        <v>30</v>
      </c>
      <c r="C375" t="s">
        <v>81</v>
      </c>
      <c r="D375" t="s">
        <v>80</v>
      </c>
      <c r="E375" t="s">
        <v>618</v>
      </c>
      <c r="F375" t="s">
        <v>617</v>
      </c>
      <c r="G375" t="s">
        <v>1700</v>
      </c>
      <c r="H375" s="16">
        <v>4.1583499667332E-3</v>
      </c>
      <c r="I375" s="11">
        <v>1.09697235629662E-2</v>
      </c>
      <c r="J375" s="11">
        <v>0</v>
      </c>
      <c r="K375" s="11">
        <v>5.6589893045102101E-3</v>
      </c>
      <c r="L375" s="11">
        <v>0</v>
      </c>
      <c r="M375" s="11">
        <v>3.5488679111363502E-3</v>
      </c>
      <c r="N375" s="11">
        <v>0</v>
      </c>
      <c r="O375" s="11">
        <v>0</v>
      </c>
      <c r="P375" s="11">
        <v>0</v>
      </c>
      <c r="Q375" s="11">
        <v>2.7492920572952501E-3</v>
      </c>
      <c r="R375" s="11">
        <v>2.2441148089136199E-3</v>
      </c>
      <c r="S375" s="11">
        <v>0</v>
      </c>
      <c r="T375" s="11">
        <v>0</v>
      </c>
      <c r="U375">
        <v>0</v>
      </c>
      <c r="V375">
        <v>7.2288285683305004E-3</v>
      </c>
      <c r="W375">
        <v>0</v>
      </c>
      <c r="X375">
        <v>0</v>
      </c>
      <c r="Y375">
        <v>5.8529162155043701E-3</v>
      </c>
      <c r="Z375">
        <v>0</v>
      </c>
      <c r="AA375">
        <v>0</v>
      </c>
      <c r="AB375">
        <v>4.5118209709438702E-3</v>
      </c>
      <c r="AC375">
        <v>1.43822810297713E-2</v>
      </c>
      <c r="AD375">
        <v>3.14564328405159E-3</v>
      </c>
      <c r="AE375">
        <v>4.4589264277139398E-2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</row>
    <row r="376" spans="1:39" customFormat="1" hidden="1" x14ac:dyDescent="0.3">
      <c r="A376" t="s">
        <v>1699</v>
      </c>
      <c r="B376" t="s">
        <v>30</v>
      </c>
      <c r="C376" t="s">
        <v>81</v>
      </c>
      <c r="D376" t="s">
        <v>118</v>
      </c>
      <c r="E376" t="s">
        <v>371</v>
      </c>
      <c r="F376" t="s">
        <v>435</v>
      </c>
      <c r="G376" t="s">
        <v>1698</v>
      </c>
      <c r="H376" s="16">
        <v>1.2475049900199601E-2</v>
      </c>
      <c r="I376" s="11">
        <v>3.6565745209887401E-3</v>
      </c>
      <c r="J376" s="11">
        <v>8.7187758838659108E-3</v>
      </c>
      <c r="K376" s="11">
        <v>0</v>
      </c>
      <c r="L376" s="11">
        <v>0</v>
      </c>
      <c r="M376" s="11">
        <v>0</v>
      </c>
      <c r="N376" s="11">
        <v>0</v>
      </c>
      <c r="O376" s="11">
        <v>0</v>
      </c>
      <c r="P376" s="11">
        <v>3.3947788301592198E-3</v>
      </c>
      <c r="Q376" s="11">
        <v>0</v>
      </c>
      <c r="R376" s="11">
        <v>0</v>
      </c>
      <c r="S376" s="11">
        <v>0</v>
      </c>
      <c r="T376" s="11">
        <v>0</v>
      </c>
      <c r="U376">
        <v>0</v>
      </c>
      <c r="V376">
        <v>1.4457657136661001E-2</v>
      </c>
      <c r="W376">
        <v>5.3336177929489597E-3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9.2820346219891405E-3</v>
      </c>
      <c r="AI376">
        <v>0</v>
      </c>
      <c r="AJ376">
        <v>0</v>
      </c>
      <c r="AK376">
        <v>0</v>
      </c>
      <c r="AL376">
        <v>0</v>
      </c>
      <c r="AM376">
        <v>0</v>
      </c>
    </row>
    <row r="377" spans="1:39" customFormat="1" hidden="1" x14ac:dyDescent="0.3">
      <c r="A377" t="s">
        <v>1697</v>
      </c>
      <c r="B377" t="s">
        <v>30</v>
      </c>
      <c r="C377" t="s">
        <v>81</v>
      </c>
      <c r="D377" t="s">
        <v>85</v>
      </c>
      <c r="E377" t="s">
        <v>314</v>
      </c>
      <c r="F377" t="s">
        <v>313</v>
      </c>
      <c r="G377" t="s">
        <v>312</v>
      </c>
      <c r="H377" s="16">
        <v>4.1583499667332E-3</v>
      </c>
      <c r="I377" s="11">
        <v>1.09697235629662E-2</v>
      </c>
      <c r="J377" s="11">
        <v>0</v>
      </c>
      <c r="K377" s="11">
        <v>0</v>
      </c>
      <c r="L377" s="11">
        <v>0</v>
      </c>
      <c r="M377" s="11">
        <v>0</v>
      </c>
      <c r="N377" s="11">
        <v>0</v>
      </c>
      <c r="O377" s="11">
        <v>0</v>
      </c>
      <c r="P377" s="11">
        <v>0</v>
      </c>
      <c r="Q377" s="11">
        <v>2.7492920572952501E-3</v>
      </c>
      <c r="R377" s="11">
        <v>2.2441148089136199E-3</v>
      </c>
      <c r="S377" s="11">
        <v>0</v>
      </c>
      <c r="T377" s="11">
        <v>0</v>
      </c>
      <c r="U377">
        <v>0</v>
      </c>
      <c r="V377">
        <v>0</v>
      </c>
      <c r="W377">
        <v>0</v>
      </c>
      <c r="X377">
        <v>0</v>
      </c>
      <c r="Y377">
        <v>2.9264581077521898E-3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</row>
    <row r="378" spans="1:39" customFormat="1" hidden="1" x14ac:dyDescent="0.3">
      <c r="A378" t="s">
        <v>1696</v>
      </c>
      <c r="B378" t="s">
        <v>30</v>
      </c>
      <c r="C378" t="s">
        <v>410</v>
      </c>
      <c r="D378" t="s">
        <v>410</v>
      </c>
      <c r="E378" t="s">
        <v>409</v>
      </c>
      <c r="F378" t="s">
        <v>408</v>
      </c>
      <c r="G378" t="s">
        <v>407</v>
      </c>
      <c r="H378" s="16">
        <v>0</v>
      </c>
      <c r="I378" s="11">
        <v>0</v>
      </c>
      <c r="J378" s="11">
        <v>0</v>
      </c>
      <c r="K378" s="11">
        <v>0</v>
      </c>
      <c r="L378" s="11">
        <v>0</v>
      </c>
      <c r="M378" s="11">
        <v>0</v>
      </c>
      <c r="N378" s="11">
        <v>0</v>
      </c>
      <c r="O378" s="11">
        <v>1.1250703168948099E-2</v>
      </c>
      <c r="P378" s="11">
        <v>0</v>
      </c>
      <c r="Q378" s="11">
        <v>2.7492920572952501E-3</v>
      </c>
      <c r="R378" s="11">
        <v>0</v>
      </c>
      <c r="S378" s="11">
        <v>0</v>
      </c>
      <c r="T378" s="11">
        <v>3.3464962184592698E-3</v>
      </c>
      <c r="U378">
        <v>0</v>
      </c>
      <c r="V378">
        <v>0</v>
      </c>
      <c r="W378">
        <v>0</v>
      </c>
      <c r="X378">
        <v>0</v>
      </c>
      <c r="Y378">
        <v>2.6338122969769701E-2</v>
      </c>
      <c r="Z378">
        <v>0</v>
      </c>
      <c r="AA378">
        <v>0</v>
      </c>
      <c r="AB378">
        <v>9.0236419418877507E-3</v>
      </c>
      <c r="AC378">
        <v>0</v>
      </c>
      <c r="AD378">
        <v>9.4369298521547705E-3</v>
      </c>
      <c r="AE378">
        <v>6.8598868118676E-3</v>
      </c>
      <c r="AF378">
        <v>0</v>
      </c>
      <c r="AG378">
        <v>4.6938440235631002E-3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</row>
    <row r="379" spans="1:39" customFormat="1" hidden="1" x14ac:dyDescent="0.3">
      <c r="A379" t="s">
        <v>1695</v>
      </c>
      <c r="B379" t="s">
        <v>30</v>
      </c>
      <c r="C379" t="s">
        <v>81</v>
      </c>
      <c r="D379" t="s">
        <v>85</v>
      </c>
      <c r="E379" t="s">
        <v>84</v>
      </c>
      <c r="F379" t="s">
        <v>84</v>
      </c>
      <c r="G379" t="s">
        <v>84</v>
      </c>
      <c r="H379" s="16">
        <v>0</v>
      </c>
      <c r="I379" s="11">
        <v>0</v>
      </c>
      <c r="J379" s="11">
        <v>0</v>
      </c>
      <c r="K379" s="11">
        <v>0</v>
      </c>
      <c r="L379" s="11">
        <v>0</v>
      </c>
      <c r="M379" s="11">
        <v>0</v>
      </c>
      <c r="N379" s="11">
        <v>0</v>
      </c>
      <c r="O379" s="11">
        <v>0</v>
      </c>
      <c r="P379" s="11">
        <v>0</v>
      </c>
      <c r="Q379" s="11">
        <v>0</v>
      </c>
      <c r="R379" s="11">
        <v>0</v>
      </c>
      <c r="S379" s="11">
        <v>0</v>
      </c>
      <c r="T379" s="11">
        <v>0</v>
      </c>
      <c r="U379">
        <v>6.0840203206278696E-3</v>
      </c>
      <c r="V379">
        <v>1.4457657136661001E-2</v>
      </c>
      <c r="W379">
        <v>0</v>
      </c>
      <c r="X379">
        <v>0</v>
      </c>
      <c r="Y379">
        <v>8.7793743232565599E-3</v>
      </c>
      <c r="Z379">
        <v>0</v>
      </c>
      <c r="AA379">
        <v>0</v>
      </c>
      <c r="AB379">
        <v>9.0236419418877507E-3</v>
      </c>
      <c r="AC379">
        <v>1.43822810297713E-2</v>
      </c>
      <c r="AD379">
        <v>3.14564328405159E-3</v>
      </c>
      <c r="AE379">
        <v>0</v>
      </c>
      <c r="AF379">
        <v>1.0067451927917E-2</v>
      </c>
      <c r="AG379">
        <v>0</v>
      </c>
      <c r="AH379">
        <v>0</v>
      </c>
      <c r="AI379">
        <v>2.2984278753332699E-3</v>
      </c>
      <c r="AJ379">
        <v>3.5915670006823998E-3</v>
      </c>
      <c r="AK379">
        <v>0</v>
      </c>
      <c r="AL379">
        <v>0</v>
      </c>
      <c r="AM379">
        <v>0</v>
      </c>
    </row>
    <row r="380" spans="1:39" customFormat="1" hidden="1" x14ac:dyDescent="0.3">
      <c r="A380" t="s">
        <v>1694</v>
      </c>
      <c r="B380" t="s">
        <v>30</v>
      </c>
      <c r="C380" t="s">
        <v>35</v>
      </c>
      <c r="D380" t="s">
        <v>35</v>
      </c>
      <c r="E380" t="s">
        <v>240</v>
      </c>
      <c r="F380" t="s">
        <v>1693</v>
      </c>
      <c r="G380" t="s">
        <v>1692</v>
      </c>
      <c r="H380" s="16">
        <v>0</v>
      </c>
      <c r="I380" s="11">
        <v>0</v>
      </c>
      <c r="J380" s="11">
        <v>0</v>
      </c>
      <c r="K380" s="11">
        <v>0</v>
      </c>
      <c r="L380" s="11">
        <v>0</v>
      </c>
      <c r="M380" s="11">
        <v>0</v>
      </c>
      <c r="N380" s="11">
        <v>0</v>
      </c>
      <c r="O380" s="11">
        <v>0</v>
      </c>
      <c r="P380" s="11">
        <v>0</v>
      </c>
      <c r="Q380" s="11">
        <v>0</v>
      </c>
      <c r="R380" s="11">
        <v>4.4882296178272501E-3</v>
      </c>
      <c r="S380" s="11">
        <v>2.4883049666567102E-3</v>
      </c>
      <c r="T380" s="11">
        <v>0</v>
      </c>
      <c r="U380">
        <v>3.04201016031394E-3</v>
      </c>
      <c r="V380">
        <v>3.6144142841652502E-3</v>
      </c>
      <c r="W380">
        <v>8.0004266894234399E-3</v>
      </c>
      <c r="X380">
        <v>0</v>
      </c>
      <c r="Y380">
        <v>2.9264581077521898E-3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4.6938440235631002E-3</v>
      </c>
      <c r="AH380">
        <v>4.6410173109945703E-3</v>
      </c>
      <c r="AI380">
        <v>2.2984278753332699E-3</v>
      </c>
      <c r="AJ380">
        <v>3.5915670006823998E-3</v>
      </c>
      <c r="AK380">
        <v>0</v>
      </c>
      <c r="AL380">
        <v>0</v>
      </c>
      <c r="AM380">
        <v>0</v>
      </c>
    </row>
    <row r="381" spans="1:39" customFormat="1" hidden="1" x14ac:dyDescent="0.3">
      <c r="A381" t="s">
        <v>1691</v>
      </c>
      <c r="B381" t="s">
        <v>30</v>
      </c>
      <c r="C381" t="s">
        <v>111</v>
      </c>
      <c r="D381" t="s">
        <v>141</v>
      </c>
      <c r="E381" t="s">
        <v>140</v>
      </c>
      <c r="F381" t="s">
        <v>599</v>
      </c>
      <c r="G381" t="s">
        <v>1690</v>
      </c>
      <c r="H381" s="16">
        <v>0</v>
      </c>
      <c r="I381" s="11">
        <v>0</v>
      </c>
      <c r="J381" s="11">
        <v>4.3593879419329502E-3</v>
      </c>
      <c r="K381" s="11">
        <v>0</v>
      </c>
      <c r="L381" s="11">
        <v>0</v>
      </c>
      <c r="M381" s="11">
        <v>0</v>
      </c>
      <c r="N381" s="11">
        <v>0</v>
      </c>
      <c r="O381" s="11">
        <v>0</v>
      </c>
      <c r="P381" s="11">
        <v>0</v>
      </c>
      <c r="Q381" s="11">
        <v>0</v>
      </c>
      <c r="R381" s="11">
        <v>0</v>
      </c>
      <c r="S381" s="11">
        <v>0</v>
      </c>
      <c r="T381" s="11">
        <v>0</v>
      </c>
      <c r="U381">
        <v>0</v>
      </c>
      <c r="V381">
        <v>0</v>
      </c>
      <c r="W381">
        <v>0</v>
      </c>
      <c r="X381">
        <v>0</v>
      </c>
      <c r="Y381">
        <v>2.9264581077521898E-3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</row>
    <row r="382" spans="1:39" customFormat="1" hidden="1" x14ac:dyDescent="0.3">
      <c r="A382" t="s">
        <v>1676</v>
      </c>
      <c r="B382" t="s">
        <v>30</v>
      </c>
      <c r="C382" t="s">
        <v>81</v>
      </c>
      <c r="D382" t="s">
        <v>118</v>
      </c>
      <c r="E382" t="s">
        <v>371</v>
      </c>
      <c r="F382" t="s">
        <v>1664</v>
      </c>
      <c r="G382" t="s">
        <v>1675</v>
      </c>
      <c r="H382" s="16">
        <v>8.3166999334664E-3</v>
      </c>
      <c r="I382" s="11">
        <v>0</v>
      </c>
      <c r="J382" s="11">
        <v>0</v>
      </c>
      <c r="K382" s="11">
        <v>0</v>
      </c>
      <c r="L382" s="11">
        <v>1.9811133857227801E-2</v>
      </c>
      <c r="M382" s="11">
        <v>0</v>
      </c>
      <c r="N382" s="11">
        <v>0</v>
      </c>
      <c r="O382" s="11">
        <v>0</v>
      </c>
      <c r="P382" s="11">
        <v>3.3947788301592198E-3</v>
      </c>
      <c r="Q382" s="11">
        <v>0</v>
      </c>
      <c r="R382" s="11">
        <v>0</v>
      </c>
      <c r="S382" s="11">
        <v>0</v>
      </c>
      <c r="T382" s="11">
        <v>0</v>
      </c>
      <c r="U382">
        <v>0</v>
      </c>
      <c r="V382">
        <v>0</v>
      </c>
      <c r="W382">
        <v>2.6668088964744798E-3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3.14564328405159E-3</v>
      </c>
      <c r="AE382">
        <v>3.4299434059338E-3</v>
      </c>
      <c r="AF382">
        <v>2.0134903855834101E-2</v>
      </c>
      <c r="AG382">
        <v>1.64284540824708E-2</v>
      </c>
      <c r="AH382">
        <v>0</v>
      </c>
      <c r="AI382">
        <v>4.5968557506665397E-3</v>
      </c>
      <c r="AJ382">
        <v>0</v>
      </c>
      <c r="AK382">
        <v>0</v>
      </c>
      <c r="AL382">
        <v>0</v>
      </c>
      <c r="AM382">
        <v>0</v>
      </c>
    </row>
    <row r="383" spans="1:39" customFormat="1" hidden="1" x14ac:dyDescent="0.3">
      <c r="A383" t="s">
        <v>1673</v>
      </c>
      <c r="B383" t="s">
        <v>30</v>
      </c>
      <c r="C383" t="s">
        <v>111</v>
      </c>
      <c r="D383" t="s">
        <v>141</v>
      </c>
      <c r="E383" t="s">
        <v>140</v>
      </c>
      <c r="F383" t="s">
        <v>199</v>
      </c>
      <c r="G383" t="s">
        <v>198</v>
      </c>
      <c r="H383" s="16">
        <v>0</v>
      </c>
      <c r="I383" s="11">
        <v>7.3131490419774802E-3</v>
      </c>
      <c r="J383" s="11">
        <v>0</v>
      </c>
      <c r="K383" s="11">
        <v>0</v>
      </c>
      <c r="L383" s="11">
        <v>0</v>
      </c>
      <c r="M383" s="11">
        <v>0</v>
      </c>
      <c r="N383" s="11">
        <v>0</v>
      </c>
      <c r="O383" s="11">
        <v>0</v>
      </c>
      <c r="P383" s="11">
        <v>0</v>
      </c>
      <c r="Q383" s="11">
        <v>0</v>
      </c>
      <c r="R383" s="11">
        <v>0</v>
      </c>
      <c r="S383" s="11">
        <v>0</v>
      </c>
      <c r="T383" s="11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5.03372596395852E-3</v>
      </c>
      <c r="AG383">
        <v>2.3469220117815501E-3</v>
      </c>
      <c r="AH383">
        <v>0</v>
      </c>
      <c r="AI383">
        <v>0</v>
      </c>
      <c r="AJ383">
        <v>0</v>
      </c>
      <c r="AK383">
        <v>0</v>
      </c>
      <c r="AL383">
        <v>7.1689726862140604E-3</v>
      </c>
      <c r="AM383">
        <v>0</v>
      </c>
    </row>
    <row r="384" spans="1:39" customFormat="1" hidden="1" x14ac:dyDescent="0.3">
      <c r="A384" t="s">
        <v>1672</v>
      </c>
      <c r="B384" t="s">
        <v>30</v>
      </c>
      <c r="C384" t="s">
        <v>111</v>
      </c>
      <c r="D384" t="s">
        <v>141</v>
      </c>
      <c r="E384" t="s">
        <v>140</v>
      </c>
      <c r="F384" t="s">
        <v>607</v>
      </c>
      <c r="G384" t="s">
        <v>606</v>
      </c>
      <c r="H384" s="16">
        <v>0</v>
      </c>
      <c r="I384" s="11">
        <v>0</v>
      </c>
      <c r="J384" s="11">
        <v>0</v>
      </c>
      <c r="K384" s="11">
        <v>0</v>
      </c>
      <c r="L384" s="11">
        <v>0</v>
      </c>
      <c r="M384" s="11">
        <v>0</v>
      </c>
      <c r="N384" s="11">
        <v>0</v>
      </c>
      <c r="O384" s="11">
        <v>0</v>
      </c>
      <c r="P384" s="11">
        <v>0</v>
      </c>
      <c r="Q384" s="11">
        <v>0</v>
      </c>
      <c r="R384" s="11">
        <v>4.4882296178272501E-3</v>
      </c>
      <c r="S384" s="11">
        <v>2.4883049666567102E-3</v>
      </c>
      <c r="T384" s="11">
        <v>0</v>
      </c>
      <c r="U384">
        <v>1.2168040641255699E-2</v>
      </c>
      <c r="V384">
        <v>0</v>
      </c>
      <c r="W384">
        <v>5.3336177929489597E-3</v>
      </c>
      <c r="X384">
        <v>6.4242579982012101E-3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6.2912865681031801E-3</v>
      </c>
      <c r="AE384">
        <v>0</v>
      </c>
      <c r="AF384">
        <v>0</v>
      </c>
      <c r="AG384">
        <v>2.3469220117815501E-3</v>
      </c>
      <c r="AH384">
        <v>0</v>
      </c>
      <c r="AI384">
        <v>0</v>
      </c>
      <c r="AJ384">
        <v>0</v>
      </c>
      <c r="AK384">
        <v>0</v>
      </c>
      <c r="AL384">
        <v>3.5844863431070302E-3</v>
      </c>
      <c r="AM384">
        <v>0</v>
      </c>
    </row>
    <row r="385" spans="1:39" customFormat="1" hidden="1" x14ac:dyDescent="0.3">
      <c r="A385" t="s">
        <v>1671</v>
      </c>
      <c r="B385" t="s">
        <v>30</v>
      </c>
      <c r="C385" t="s">
        <v>35</v>
      </c>
      <c r="D385" t="s">
        <v>35</v>
      </c>
      <c r="E385" t="s">
        <v>240</v>
      </c>
      <c r="F385" t="s">
        <v>1670</v>
      </c>
      <c r="G385" t="s">
        <v>1669</v>
      </c>
      <c r="H385" s="16">
        <v>0</v>
      </c>
      <c r="I385" s="11">
        <v>0</v>
      </c>
      <c r="J385" s="11">
        <v>0</v>
      </c>
      <c r="K385" s="11">
        <v>0</v>
      </c>
      <c r="L385" s="11">
        <v>0</v>
      </c>
      <c r="M385" s="11">
        <v>0</v>
      </c>
      <c r="N385" s="11">
        <v>1.37507448320117E-2</v>
      </c>
      <c r="O385" s="11">
        <v>3.75023438964935E-3</v>
      </c>
      <c r="P385" s="11">
        <v>3.3947788301592198E-3</v>
      </c>
      <c r="Q385" s="11">
        <v>0</v>
      </c>
      <c r="R385" s="11">
        <v>2.2441148089136199E-3</v>
      </c>
      <c r="S385" s="11">
        <v>0</v>
      </c>
      <c r="T385" s="11">
        <v>0</v>
      </c>
      <c r="U385">
        <v>0</v>
      </c>
      <c r="V385">
        <v>1.0843242852495801E-2</v>
      </c>
      <c r="W385">
        <v>5.3336177929489597E-3</v>
      </c>
      <c r="X385">
        <v>0</v>
      </c>
      <c r="Y385">
        <v>2.9264581077521898E-3</v>
      </c>
      <c r="Z385">
        <v>3.1774275546517499E-3</v>
      </c>
      <c r="AA385">
        <v>0</v>
      </c>
      <c r="AB385">
        <v>0</v>
      </c>
      <c r="AC385">
        <v>0</v>
      </c>
      <c r="AD385">
        <v>0</v>
      </c>
      <c r="AE385">
        <v>3.4299434059338E-3</v>
      </c>
      <c r="AF385">
        <v>5.03372596395852E-3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</row>
    <row r="386" spans="1:39" customFormat="1" hidden="1" x14ac:dyDescent="0.3">
      <c r="A386" t="s">
        <v>1668</v>
      </c>
      <c r="B386" t="s">
        <v>30</v>
      </c>
      <c r="C386" t="s">
        <v>81</v>
      </c>
      <c r="D386" t="s">
        <v>80</v>
      </c>
      <c r="E386" t="s">
        <v>618</v>
      </c>
      <c r="F386" t="s">
        <v>629</v>
      </c>
      <c r="G386" t="s">
        <v>628</v>
      </c>
      <c r="H386" s="16">
        <v>0</v>
      </c>
      <c r="I386" s="11">
        <v>0</v>
      </c>
      <c r="J386" s="11">
        <v>4.3593879419329502E-3</v>
      </c>
      <c r="K386" s="11">
        <v>0</v>
      </c>
      <c r="L386" s="11">
        <v>0</v>
      </c>
      <c r="M386" s="11">
        <v>0</v>
      </c>
      <c r="N386" s="11">
        <v>0</v>
      </c>
      <c r="O386" s="11">
        <v>0</v>
      </c>
      <c r="P386" s="11">
        <v>0</v>
      </c>
      <c r="Q386" s="11">
        <v>0</v>
      </c>
      <c r="R386" s="11">
        <v>2.2441148089136199E-3</v>
      </c>
      <c r="S386" s="11">
        <v>0</v>
      </c>
      <c r="T386" s="11">
        <v>1.33859848738371E-2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7.2189135535102006E-2</v>
      </c>
      <c r="AC386">
        <v>0</v>
      </c>
      <c r="AD386">
        <v>0</v>
      </c>
      <c r="AE386">
        <v>0</v>
      </c>
      <c r="AF386">
        <v>0</v>
      </c>
      <c r="AG386">
        <v>2.3469220117815501E-3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</row>
    <row r="387" spans="1:39" customFormat="1" hidden="1" x14ac:dyDescent="0.3">
      <c r="A387" t="s">
        <v>1667</v>
      </c>
      <c r="B387" t="s">
        <v>30</v>
      </c>
      <c r="C387" t="s">
        <v>526</v>
      </c>
      <c r="D387" t="s">
        <v>525</v>
      </c>
      <c r="E387" t="s">
        <v>524</v>
      </c>
      <c r="F387" t="s">
        <v>523</v>
      </c>
      <c r="G387" t="s">
        <v>25</v>
      </c>
      <c r="H387" s="16">
        <v>4.1583499667332E-3</v>
      </c>
      <c r="I387" s="11">
        <v>3.6565745209887401E-3</v>
      </c>
      <c r="J387" s="11">
        <v>0</v>
      </c>
      <c r="K387" s="11">
        <v>0</v>
      </c>
      <c r="L387" s="11">
        <v>0</v>
      </c>
      <c r="M387" s="11">
        <v>0</v>
      </c>
      <c r="N387" s="11">
        <v>0</v>
      </c>
      <c r="O387" s="11">
        <v>0</v>
      </c>
      <c r="P387" s="11">
        <v>3.3947788301592198E-3</v>
      </c>
      <c r="Q387" s="11">
        <v>0</v>
      </c>
      <c r="R387" s="11">
        <v>0</v>
      </c>
      <c r="S387" s="11">
        <v>2.4883049666567102E-3</v>
      </c>
      <c r="T387" s="11">
        <v>0</v>
      </c>
      <c r="U387">
        <v>6.0840203206278696E-3</v>
      </c>
      <c r="V387">
        <v>3.6144142841652502E-3</v>
      </c>
      <c r="W387">
        <v>0</v>
      </c>
      <c r="X387">
        <v>6.4242579982012101E-3</v>
      </c>
      <c r="Y387">
        <v>0</v>
      </c>
      <c r="Z387">
        <v>6.3548551093035102E-3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1.07747010020472E-2</v>
      </c>
      <c r="AK387">
        <v>6.02700096432015E-3</v>
      </c>
      <c r="AL387">
        <v>3.5844863431070302E-3</v>
      </c>
      <c r="AM387">
        <v>0</v>
      </c>
    </row>
    <row r="388" spans="1:39" customFormat="1" hidden="1" x14ac:dyDescent="0.3">
      <c r="A388" t="s">
        <v>1666</v>
      </c>
      <c r="B388" t="s">
        <v>30</v>
      </c>
      <c r="C388" t="s">
        <v>111</v>
      </c>
      <c r="D388" t="s">
        <v>141</v>
      </c>
      <c r="E388" t="s">
        <v>140</v>
      </c>
      <c r="F388" t="s">
        <v>607</v>
      </c>
      <c r="G388" t="s">
        <v>606</v>
      </c>
      <c r="H388" s="16">
        <v>0</v>
      </c>
      <c r="I388" s="11">
        <v>0</v>
      </c>
      <c r="J388" s="11">
        <v>0</v>
      </c>
      <c r="K388" s="11">
        <v>0</v>
      </c>
      <c r="L388" s="11">
        <v>0</v>
      </c>
      <c r="M388" s="11">
        <v>0</v>
      </c>
      <c r="N388" s="11">
        <v>0</v>
      </c>
      <c r="O388" s="11">
        <v>0</v>
      </c>
      <c r="P388" s="11">
        <v>0</v>
      </c>
      <c r="Q388" s="11">
        <v>2.7492920572952501E-3</v>
      </c>
      <c r="R388" s="11">
        <v>0</v>
      </c>
      <c r="S388" s="11">
        <v>2.4883049666567102E-3</v>
      </c>
      <c r="T388" s="11">
        <v>0</v>
      </c>
      <c r="U388">
        <v>3.04201016031394E-3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7.1911405148856597E-3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7.1831340013647996E-3</v>
      </c>
      <c r="AK388">
        <v>0</v>
      </c>
      <c r="AL388">
        <v>0</v>
      </c>
      <c r="AM388">
        <v>0</v>
      </c>
    </row>
    <row r="389" spans="1:39" customFormat="1" hidden="1" x14ac:dyDescent="0.3">
      <c r="A389" t="s">
        <v>1665</v>
      </c>
      <c r="B389" t="s">
        <v>30</v>
      </c>
      <c r="C389" t="s">
        <v>81</v>
      </c>
      <c r="D389" t="s">
        <v>118</v>
      </c>
      <c r="E389" t="s">
        <v>371</v>
      </c>
      <c r="F389" t="s">
        <v>1664</v>
      </c>
      <c r="G389" t="s">
        <v>1663</v>
      </c>
      <c r="H389" s="16">
        <v>0</v>
      </c>
      <c r="I389" s="11">
        <v>0</v>
      </c>
      <c r="J389" s="11">
        <v>0</v>
      </c>
      <c r="K389" s="11">
        <v>0</v>
      </c>
      <c r="L389" s="11">
        <v>0</v>
      </c>
      <c r="M389" s="11">
        <v>0</v>
      </c>
      <c r="N389" s="11">
        <v>0</v>
      </c>
      <c r="O389" s="11">
        <v>0</v>
      </c>
      <c r="P389" s="11">
        <v>0</v>
      </c>
      <c r="Q389" s="11">
        <v>0</v>
      </c>
      <c r="R389" s="11">
        <v>0</v>
      </c>
      <c r="S389" s="11">
        <v>0</v>
      </c>
      <c r="T389" s="11">
        <v>0</v>
      </c>
      <c r="U389">
        <v>0</v>
      </c>
      <c r="V389">
        <v>0</v>
      </c>
      <c r="W389">
        <v>0</v>
      </c>
      <c r="X389">
        <v>0</v>
      </c>
      <c r="Y389">
        <v>5.8529162155043701E-3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2.1122298106033902E-2</v>
      </c>
      <c r="AH389">
        <v>4.6410173109945703E-3</v>
      </c>
      <c r="AI389">
        <v>1.14921393766664E-2</v>
      </c>
      <c r="AJ389">
        <v>0</v>
      </c>
      <c r="AK389">
        <v>0</v>
      </c>
      <c r="AL389">
        <v>0</v>
      </c>
      <c r="AM389">
        <v>0</v>
      </c>
    </row>
    <row r="390" spans="1:39" customFormat="1" hidden="1" x14ac:dyDescent="0.3">
      <c r="A390" t="s">
        <v>1662</v>
      </c>
      <c r="B390" t="s">
        <v>30</v>
      </c>
      <c r="C390" t="s">
        <v>81</v>
      </c>
      <c r="D390" t="s">
        <v>118</v>
      </c>
      <c r="E390" t="s">
        <v>371</v>
      </c>
      <c r="F390" t="s">
        <v>441</v>
      </c>
      <c r="G390" t="s">
        <v>1661</v>
      </c>
      <c r="H390" s="16">
        <v>0</v>
      </c>
      <c r="I390" s="11">
        <v>0</v>
      </c>
      <c r="J390" s="11">
        <v>0</v>
      </c>
      <c r="K390" s="11">
        <v>0</v>
      </c>
      <c r="L390" s="11">
        <v>0</v>
      </c>
      <c r="M390" s="11">
        <v>0</v>
      </c>
      <c r="N390" s="11">
        <v>0</v>
      </c>
      <c r="O390" s="11">
        <v>0</v>
      </c>
      <c r="P390" s="11">
        <v>0</v>
      </c>
      <c r="Q390" s="11">
        <v>0</v>
      </c>
      <c r="R390" s="11">
        <v>0</v>
      </c>
      <c r="S390" s="11">
        <v>0</v>
      </c>
      <c r="T390" s="11">
        <v>0</v>
      </c>
      <c r="U390">
        <v>0</v>
      </c>
      <c r="V390">
        <v>3.6144142841652502E-3</v>
      </c>
      <c r="W390">
        <v>0</v>
      </c>
      <c r="X390">
        <v>6.4242579982012101E-3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3.4299434059338E-3</v>
      </c>
      <c r="AF390">
        <v>1.51011778918756E-2</v>
      </c>
      <c r="AG390">
        <v>1.1734610058907699E-2</v>
      </c>
      <c r="AH390">
        <v>4.6410173109945703E-3</v>
      </c>
      <c r="AI390">
        <v>1.14921393766664E-2</v>
      </c>
      <c r="AJ390">
        <v>0</v>
      </c>
      <c r="AK390">
        <v>0</v>
      </c>
      <c r="AL390">
        <v>0</v>
      </c>
      <c r="AM390">
        <v>0</v>
      </c>
    </row>
    <row r="391" spans="1:39" customFormat="1" hidden="1" x14ac:dyDescent="0.3">
      <c r="A391" t="s">
        <v>1660</v>
      </c>
      <c r="B391" t="s">
        <v>30</v>
      </c>
      <c r="C391" t="s">
        <v>29</v>
      </c>
      <c r="D391" t="s">
        <v>28</v>
      </c>
      <c r="E391" t="s">
        <v>27</v>
      </c>
      <c r="F391" t="s">
        <v>67</v>
      </c>
      <c r="G391" t="s">
        <v>66</v>
      </c>
      <c r="H391" s="16">
        <v>0</v>
      </c>
      <c r="I391" s="11">
        <v>0</v>
      </c>
      <c r="J391" s="11">
        <v>0</v>
      </c>
      <c r="K391" s="11">
        <v>0</v>
      </c>
      <c r="L391" s="11">
        <v>0</v>
      </c>
      <c r="M391" s="11">
        <v>3.5488679111363502E-3</v>
      </c>
      <c r="N391" s="11">
        <v>0</v>
      </c>
      <c r="O391" s="11">
        <v>0</v>
      </c>
      <c r="P391" s="11">
        <v>0</v>
      </c>
      <c r="Q391" s="11">
        <v>0</v>
      </c>
      <c r="R391" s="11">
        <v>0</v>
      </c>
      <c r="S391" s="11">
        <v>0</v>
      </c>
      <c r="T391" s="1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</row>
    <row r="392" spans="1:39" customFormat="1" hidden="1" x14ac:dyDescent="0.3">
      <c r="A392" t="s">
        <v>1656</v>
      </c>
      <c r="B392" t="s">
        <v>30</v>
      </c>
      <c r="C392" t="s">
        <v>111</v>
      </c>
      <c r="D392" t="s">
        <v>141</v>
      </c>
      <c r="E392" t="s">
        <v>140</v>
      </c>
      <c r="F392" t="s">
        <v>599</v>
      </c>
      <c r="G392" t="s">
        <v>1655</v>
      </c>
      <c r="H392" s="16">
        <v>4.1583499667332E-3</v>
      </c>
      <c r="I392" s="11">
        <v>3.6565745209887401E-3</v>
      </c>
      <c r="J392" s="11">
        <v>0</v>
      </c>
      <c r="K392" s="11">
        <v>0</v>
      </c>
      <c r="L392" s="11">
        <v>0</v>
      </c>
      <c r="M392" s="11">
        <v>0</v>
      </c>
      <c r="N392" s="11">
        <v>4.5835816106705798E-3</v>
      </c>
      <c r="O392" s="11">
        <v>0</v>
      </c>
      <c r="P392" s="11">
        <v>3.3947788301592198E-3</v>
      </c>
      <c r="Q392" s="11">
        <v>5.4985841145904898E-3</v>
      </c>
      <c r="R392" s="11">
        <v>0</v>
      </c>
      <c r="S392" s="11">
        <v>0</v>
      </c>
      <c r="T392" s="11">
        <v>0</v>
      </c>
      <c r="U392">
        <v>2.12940711221975E-2</v>
      </c>
      <c r="V392">
        <v>0</v>
      </c>
      <c r="W392">
        <v>0</v>
      </c>
      <c r="X392">
        <v>6.4242579982012101E-3</v>
      </c>
      <c r="Y392">
        <v>1.46322905387609E-2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3.5915670006823998E-3</v>
      </c>
      <c r="AK392">
        <v>0</v>
      </c>
      <c r="AL392">
        <v>3.5844863431070302E-3</v>
      </c>
      <c r="AM392">
        <v>0</v>
      </c>
    </row>
    <row r="393" spans="1:39" customFormat="1" hidden="1" x14ac:dyDescent="0.3">
      <c r="A393" t="s">
        <v>1654</v>
      </c>
      <c r="B393" t="s">
        <v>30</v>
      </c>
      <c r="C393" t="s">
        <v>111</v>
      </c>
      <c r="D393" t="s">
        <v>141</v>
      </c>
      <c r="E393" t="s">
        <v>140</v>
      </c>
      <c r="F393" t="s">
        <v>604</v>
      </c>
      <c r="G393" t="s">
        <v>604</v>
      </c>
      <c r="H393" s="16">
        <v>0</v>
      </c>
      <c r="I393" s="11">
        <v>3.6565745209887401E-3</v>
      </c>
      <c r="J393" s="11">
        <v>0</v>
      </c>
      <c r="K393" s="11">
        <v>2.8294946522551101E-2</v>
      </c>
      <c r="L393" s="11">
        <v>0</v>
      </c>
      <c r="M393" s="11">
        <v>7.0977358222727004E-3</v>
      </c>
      <c r="N393" s="11">
        <v>0</v>
      </c>
      <c r="O393" s="11">
        <v>0</v>
      </c>
      <c r="P393" s="11">
        <v>0</v>
      </c>
      <c r="Q393" s="11">
        <v>0</v>
      </c>
      <c r="R393" s="11">
        <v>0</v>
      </c>
      <c r="S393" s="11">
        <v>0</v>
      </c>
      <c r="T393" s="11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4.6410173109945703E-3</v>
      </c>
      <c r="AI393">
        <v>0</v>
      </c>
      <c r="AJ393">
        <v>0</v>
      </c>
      <c r="AK393">
        <v>0</v>
      </c>
      <c r="AL393">
        <v>0</v>
      </c>
      <c r="AM393">
        <v>0</v>
      </c>
    </row>
    <row r="394" spans="1:39" customFormat="1" hidden="1" x14ac:dyDescent="0.3">
      <c r="A394" t="s">
        <v>1653</v>
      </c>
      <c r="B394" t="s">
        <v>30</v>
      </c>
      <c r="C394" t="s">
        <v>111</v>
      </c>
      <c r="D394" t="s">
        <v>141</v>
      </c>
      <c r="E394" t="s">
        <v>140</v>
      </c>
      <c r="F394" t="s">
        <v>1652</v>
      </c>
      <c r="G394" t="s">
        <v>1651</v>
      </c>
      <c r="H394" s="16">
        <v>0</v>
      </c>
      <c r="I394" s="11">
        <v>0</v>
      </c>
      <c r="J394" s="11">
        <v>0</v>
      </c>
      <c r="K394" s="11">
        <v>0</v>
      </c>
      <c r="L394" s="11">
        <v>0</v>
      </c>
      <c r="M394" s="11">
        <v>0</v>
      </c>
      <c r="N394" s="11">
        <v>0</v>
      </c>
      <c r="O394" s="11">
        <v>0</v>
      </c>
      <c r="P394" s="11">
        <v>0</v>
      </c>
      <c r="Q394" s="11">
        <v>0</v>
      </c>
      <c r="R394" s="11">
        <v>0</v>
      </c>
      <c r="S394" s="11">
        <v>0</v>
      </c>
      <c r="T394" s="11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</row>
    <row r="395" spans="1:39" customFormat="1" hidden="1" x14ac:dyDescent="0.3">
      <c r="A395" t="s">
        <v>1650</v>
      </c>
      <c r="B395" t="s">
        <v>30</v>
      </c>
      <c r="C395" t="s">
        <v>81</v>
      </c>
      <c r="D395" t="s">
        <v>118</v>
      </c>
      <c r="E395" t="s">
        <v>371</v>
      </c>
      <c r="F395" t="s">
        <v>424</v>
      </c>
      <c r="G395" t="s">
        <v>1649</v>
      </c>
      <c r="H395" s="16">
        <v>0</v>
      </c>
      <c r="I395" s="11">
        <v>0</v>
      </c>
      <c r="J395" s="11">
        <v>0</v>
      </c>
      <c r="K395" s="11">
        <v>0</v>
      </c>
      <c r="L395" s="11">
        <v>0</v>
      </c>
      <c r="M395" s="11">
        <v>0</v>
      </c>
      <c r="N395" s="11">
        <v>0</v>
      </c>
      <c r="O395" s="11">
        <v>0</v>
      </c>
      <c r="P395" s="11">
        <v>0</v>
      </c>
      <c r="Q395" s="11">
        <v>0</v>
      </c>
      <c r="R395" s="11">
        <v>0</v>
      </c>
      <c r="S395" s="11">
        <v>0</v>
      </c>
      <c r="T395" s="11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3.1774275546517499E-3</v>
      </c>
      <c r="AA395">
        <v>0</v>
      </c>
      <c r="AB395">
        <v>4.5118209709438702E-3</v>
      </c>
      <c r="AC395">
        <v>0</v>
      </c>
      <c r="AD395">
        <v>0</v>
      </c>
      <c r="AE395">
        <v>0</v>
      </c>
      <c r="AF395">
        <v>0</v>
      </c>
      <c r="AG395">
        <v>1.4081532070689301E-2</v>
      </c>
      <c r="AH395">
        <v>0</v>
      </c>
      <c r="AI395">
        <v>1.37905672519996E-2</v>
      </c>
      <c r="AJ395">
        <v>0</v>
      </c>
      <c r="AK395">
        <v>0</v>
      </c>
      <c r="AL395">
        <v>0</v>
      </c>
      <c r="AM395">
        <v>0</v>
      </c>
    </row>
    <row r="396" spans="1:39" customFormat="1" hidden="1" x14ac:dyDescent="0.3">
      <c r="A396" t="s">
        <v>1648</v>
      </c>
      <c r="B396" t="s">
        <v>30</v>
      </c>
      <c r="C396" t="s">
        <v>81</v>
      </c>
      <c r="D396" t="s">
        <v>80</v>
      </c>
      <c r="E396" t="s">
        <v>79</v>
      </c>
      <c r="F396" t="s">
        <v>78</v>
      </c>
      <c r="G396" t="s">
        <v>77</v>
      </c>
      <c r="H396" s="16">
        <v>4.1583499667332E-3</v>
      </c>
      <c r="I396" s="11">
        <v>0</v>
      </c>
      <c r="J396" s="11">
        <v>0</v>
      </c>
      <c r="K396" s="11">
        <v>0</v>
      </c>
      <c r="L396" s="11">
        <v>0</v>
      </c>
      <c r="M396" s="11">
        <v>0</v>
      </c>
      <c r="N396" s="11">
        <v>0</v>
      </c>
      <c r="O396" s="11">
        <v>0</v>
      </c>
      <c r="P396" s="11">
        <v>0</v>
      </c>
      <c r="Q396" s="11">
        <v>0</v>
      </c>
      <c r="R396" s="11">
        <v>2.2441148089136199E-3</v>
      </c>
      <c r="S396" s="11">
        <v>2.4883049666567102E-3</v>
      </c>
      <c r="T396" s="11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</row>
    <row r="397" spans="1:39" customFormat="1" hidden="1" x14ac:dyDescent="0.3">
      <c r="A397" t="s">
        <v>1647</v>
      </c>
      <c r="B397" t="s">
        <v>30</v>
      </c>
      <c r="C397" t="s">
        <v>81</v>
      </c>
      <c r="D397" t="s">
        <v>118</v>
      </c>
      <c r="E397" t="s">
        <v>1646</v>
      </c>
      <c r="F397" t="s">
        <v>1645</v>
      </c>
      <c r="G397" t="s">
        <v>1644</v>
      </c>
      <c r="H397" s="16">
        <v>0</v>
      </c>
      <c r="I397" s="11">
        <v>0</v>
      </c>
      <c r="J397" s="11">
        <v>0</v>
      </c>
      <c r="K397" s="11">
        <v>0</v>
      </c>
      <c r="L397" s="11">
        <v>0</v>
      </c>
      <c r="M397" s="11">
        <v>0</v>
      </c>
      <c r="N397" s="11">
        <v>0</v>
      </c>
      <c r="O397" s="11">
        <v>0</v>
      </c>
      <c r="P397" s="11">
        <v>0</v>
      </c>
      <c r="Q397" s="11">
        <v>0</v>
      </c>
      <c r="R397" s="11">
        <v>0</v>
      </c>
      <c r="S397" s="11">
        <v>0</v>
      </c>
      <c r="T397" s="11">
        <v>0</v>
      </c>
      <c r="U397">
        <v>3.04201016031394E-3</v>
      </c>
      <c r="V397">
        <v>1.4457657136661001E-2</v>
      </c>
      <c r="W397">
        <v>8.0004266894234399E-3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4.6410173109945703E-3</v>
      </c>
      <c r="AI397">
        <v>0</v>
      </c>
      <c r="AJ397">
        <v>0</v>
      </c>
      <c r="AK397">
        <v>6.02700096432015E-3</v>
      </c>
      <c r="AL397">
        <v>0</v>
      </c>
      <c r="AM397">
        <v>0</v>
      </c>
    </row>
    <row r="398" spans="1:39" customFormat="1" hidden="1" x14ac:dyDescent="0.3">
      <c r="A398" t="s">
        <v>1643</v>
      </c>
      <c r="B398" t="s">
        <v>30</v>
      </c>
      <c r="C398" t="s">
        <v>111</v>
      </c>
      <c r="D398" t="s">
        <v>141</v>
      </c>
      <c r="E398" t="s">
        <v>140</v>
      </c>
      <c r="F398" t="s">
        <v>592</v>
      </c>
      <c r="G398" t="s">
        <v>1642</v>
      </c>
      <c r="H398" s="16">
        <v>0</v>
      </c>
      <c r="I398" s="11">
        <v>0</v>
      </c>
      <c r="J398" s="11">
        <v>0</v>
      </c>
      <c r="K398" s="11">
        <v>0</v>
      </c>
      <c r="L398" s="11">
        <v>0</v>
      </c>
      <c r="M398" s="11">
        <v>0</v>
      </c>
      <c r="N398" s="11">
        <v>0</v>
      </c>
      <c r="O398" s="11">
        <v>0</v>
      </c>
      <c r="P398" s="11">
        <v>0</v>
      </c>
      <c r="Q398" s="11">
        <v>2.7492920572952501E-3</v>
      </c>
      <c r="R398" s="11">
        <v>0</v>
      </c>
      <c r="S398" s="11">
        <v>0</v>
      </c>
      <c r="T398" s="11">
        <v>6.69299243691855E-3</v>
      </c>
      <c r="U398">
        <v>0</v>
      </c>
      <c r="V398">
        <v>7.2288285683305004E-3</v>
      </c>
      <c r="W398">
        <v>0</v>
      </c>
      <c r="X398">
        <v>0</v>
      </c>
      <c r="Y398">
        <v>8.7793743232565599E-3</v>
      </c>
      <c r="Z398">
        <v>1.2709710218607E-2</v>
      </c>
      <c r="AA398">
        <v>0</v>
      </c>
      <c r="AB398">
        <v>0</v>
      </c>
      <c r="AC398">
        <v>1.43822810297713E-2</v>
      </c>
      <c r="AD398">
        <v>3.14564328405159E-3</v>
      </c>
      <c r="AE398">
        <v>3.4299434059338E-3</v>
      </c>
      <c r="AF398">
        <v>5.03372596395852E-3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</row>
    <row r="399" spans="1:39" customFormat="1" hidden="1" x14ac:dyDescent="0.3">
      <c r="A399" t="s">
        <v>1638</v>
      </c>
      <c r="B399" t="s">
        <v>30</v>
      </c>
      <c r="C399" t="s">
        <v>111</v>
      </c>
      <c r="D399" t="s">
        <v>141</v>
      </c>
      <c r="E399" t="s">
        <v>140</v>
      </c>
      <c r="F399" t="s">
        <v>592</v>
      </c>
      <c r="G399" t="s">
        <v>612</v>
      </c>
      <c r="H399" s="16">
        <v>0</v>
      </c>
      <c r="I399" s="11">
        <v>0</v>
      </c>
      <c r="J399" s="11">
        <v>0</v>
      </c>
      <c r="K399" s="11">
        <v>0</v>
      </c>
      <c r="L399" s="11">
        <v>0</v>
      </c>
      <c r="M399" s="11">
        <v>0</v>
      </c>
      <c r="N399" s="11">
        <v>0</v>
      </c>
      <c r="O399" s="11">
        <v>0</v>
      </c>
      <c r="P399" s="11">
        <v>0</v>
      </c>
      <c r="Q399" s="11">
        <v>0</v>
      </c>
      <c r="R399" s="11">
        <v>0</v>
      </c>
      <c r="S399" s="11">
        <v>0</v>
      </c>
      <c r="T399" s="11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</row>
    <row r="400" spans="1:39" customFormat="1" hidden="1" x14ac:dyDescent="0.3">
      <c r="A400" t="s">
        <v>1637</v>
      </c>
      <c r="B400" t="s">
        <v>30</v>
      </c>
      <c r="C400" t="s">
        <v>111</v>
      </c>
      <c r="D400" t="s">
        <v>141</v>
      </c>
      <c r="E400" t="s">
        <v>140</v>
      </c>
      <c r="F400" t="s">
        <v>592</v>
      </c>
      <c r="G400" t="s">
        <v>671</v>
      </c>
      <c r="H400" s="16">
        <v>0</v>
      </c>
      <c r="I400" s="11">
        <v>0</v>
      </c>
      <c r="J400" s="11">
        <v>0</v>
      </c>
      <c r="K400" s="11">
        <v>0</v>
      </c>
      <c r="L400" s="11">
        <v>0</v>
      </c>
      <c r="M400" s="11">
        <v>0</v>
      </c>
      <c r="N400" s="11">
        <v>0</v>
      </c>
      <c r="O400" s="11">
        <v>0</v>
      </c>
      <c r="P400" s="11">
        <v>0</v>
      </c>
      <c r="Q400" s="11">
        <v>0</v>
      </c>
      <c r="R400" s="11">
        <v>0</v>
      </c>
      <c r="S400" s="11">
        <v>0</v>
      </c>
      <c r="T400" s="11">
        <v>0</v>
      </c>
      <c r="U400">
        <v>0</v>
      </c>
      <c r="V400">
        <v>0</v>
      </c>
      <c r="W400">
        <v>0</v>
      </c>
      <c r="X400">
        <v>0</v>
      </c>
      <c r="Y400">
        <v>2.9264581077521898E-3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</row>
    <row r="401" spans="1:39" customFormat="1" hidden="1" x14ac:dyDescent="0.3">
      <c r="A401" t="s">
        <v>1635</v>
      </c>
      <c r="B401" t="s">
        <v>30</v>
      </c>
      <c r="C401" t="s">
        <v>29</v>
      </c>
      <c r="D401" t="s">
        <v>28</v>
      </c>
      <c r="E401" t="s">
        <v>27</v>
      </c>
      <c r="F401" t="s">
        <v>64</v>
      </c>
      <c r="G401" t="s">
        <v>63</v>
      </c>
      <c r="H401" s="16">
        <v>0</v>
      </c>
      <c r="I401" s="11">
        <v>0</v>
      </c>
      <c r="J401" s="11">
        <v>0</v>
      </c>
      <c r="K401" s="11">
        <v>0</v>
      </c>
      <c r="L401" s="11">
        <v>0</v>
      </c>
      <c r="M401" s="11">
        <v>0</v>
      </c>
      <c r="N401" s="11">
        <v>0</v>
      </c>
      <c r="O401" s="11">
        <v>0</v>
      </c>
      <c r="P401" s="11">
        <v>0</v>
      </c>
      <c r="Q401" s="11">
        <v>0</v>
      </c>
      <c r="R401" s="11">
        <v>0</v>
      </c>
      <c r="S401" s="11">
        <v>0</v>
      </c>
      <c r="T401" s="11">
        <v>0</v>
      </c>
      <c r="U401">
        <v>0</v>
      </c>
      <c r="V401">
        <v>0</v>
      </c>
      <c r="W401">
        <v>0</v>
      </c>
      <c r="X401">
        <v>0</v>
      </c>
      <c r="Y401">
        <v>8.7793743232565599E-3</v>
      </c>
      <c r="Z401">
        <v>0</v>
      </c>
      <c r="AA401">
        <v>0</v>
      </c>
      <c r="AB401">
        <v>9.0236419418877507E-3</v>
      </c>
      <c r="AC401">
        <v>1.43822810297713E-2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</row>
    <row r="402" spans="1:39" customFormat="1" hidden="1" x14ac:dyDescent="0.3">
      <c r="A402" t="s">
        <v>1634</v>
      </c>
      <c r="B402" t="s">
        <v>30</v>
      </c>
      <c r="C402" t="s">
        <v>81</v>
      </c>
      <c r="D402" t="s">
        <v>80</v>
      </c>
      <c r="E402" t="s">
        <v>212</v>
      </c>
      <c r="F402" t="s">
        <v>211</v>
      </c>
      <c r="G402" t="s">
        <v>1633</v>
      </c>
      <c r="H402" s="16">
        <v>0</v>
      </c>
      <c r="I402" s="11">
        <v>0</v>
      </c>
      <c r="J402" s="11">
        <v>0</v>
      </c>
      <c r="K402" s="11">
        <v>0</v>
      </c>
      <c r="L402" s="11">
        <v>0</v>
      </c>
      <c r="M402" s="11">
        <v>0</v>
      </c>
      <c r="N402" s="11">
        <v>0</v>
      </c>
      <c r="O402" s="11">
        <v>0</v>
      </c>
      <c r="P402" s="11">
        <v>0</v>
      </c>
      <c r="Q402" s="11">
        <v>0</v>
      </c>
      <c r="R402" s="11">
        <v>0</v>
      </c>
      <c r="S402" s="11">
        <v>0</v>
      </c>
      <c r="T402" s="11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3.1774275546517499E-3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</row>
    <row r="403" spans="1:39" customFormat="1" hidden="1" x14ac:dyDescent="0.3">
      <c r="A403" t="s">
        <v>1632</v>
      </c>
      <c r="B403" t="s">
        <v>30</v>
      </c>
      <c r="C403" t="s">
        <v>81</v>
      </c>
      <c r="D403" t="s">
        <v>80</v>
      </c>
      <c r="E403" t="s">
        <v>618</v>
      </c>
      <c r="F403" t="s">
        <v>617</v>
      </c>
      <c r="G403" t="s">
        <v>1631</v>
      </c>
      <c r="H403" s="16">
        <v>0</v>
      </c>
      <c r="I403" s="11">
        <v>0</v>
      </c>
      <c r="J403" s="11">
        <v>0</v>
      </c>
      <c r="K403" s="11">
        <v>0</v>
      </c>
      <c r="L403" s="11">
        <v>0</v>
      </c>
      <c r="M403" s="11">
        <v>0</v>
      </c>
      <c r="N403" s="11">
        <v>0</v>
      </c>
      <c r="O403" s="11">
        <v>0</v>
      </c>
      <c r="P403" s="11">
        <v>0</v>
      </c>
      <c r="Q403" s="11">
        <v>0</v>
      </c>
      <c r="R403" s="11">
        <v>0</v>
      </c>
      <c r="S403" s="11">
        <v>0</v>
      </c>
      <c r="T403" s="11">
        <v>0</v>
      </c>
      <c r="U403">
        <v>0</v>
      </c>
      <c r="V403">
        <v>7.2288285683305004E-3</v>
      </c>
      <c r="W403">
        <v>2.6668088964744798E-3</v>
      </c>
      <c r="X403">
        <v>0</v>
      </c>
      <c r="Y403">
        <v>5.8529162155043701E-3</v>
      </c>
      <c r="Z403">
        <v>3.1774275546517499E-3</v>
      </c>
      <c r="AA403">
        <v>0</v>
      </c>
      <c r="AB403">
        <v>4.5118209709438702E-3</v>
      </c>
      <c r="AC403">
        <v>7.1911405148856597E-3</v>
      </c>
      <c r="AD403">
        <v>3.14564328405159E-3</v>
      </c>
      <c r="AE403">
        <v>0</v>
      </c>
      <c r="AF403">
        <v>5.03372596395852E-3</v>
      </c>
      <c r="AG403">
        <v>2.3469220117815501E-3</v>
      </c>
      <c r="AH403">
        <v>0</v>
      </c>
      <c r="AI403">
        <v>2.2984278753332699E-3</v>
      </c>
      <c r="AJ403">
        <v>0</v>
      </c>
      <c r="AK403">
        <v>0</v>
      </c>
      <c r="AL403">
        <v>0</v>
      </c>
      <c r="AM403">
        <v>0</v>
      </c>
    </row>
    <row r="404" spans="1:39" customFormat="1" hidden="1" x14ac:dyDescent="0.3">
      <c r="A404" t="s">
        <v>1630</v>
      </c>
      <c r="B404" t="s">
        <v>30</v>
      </c>
      <c r="C404" t="s">
        <v>81</v>
      </c>
      <c r="D404" t="s">
        <v>80</v>
      </c>
      <c r="E404" t="s">
        <v>618</v>
      </c>
      <c r="F404" t="s">
        <v>617</v>
      </c>
      <c r="G404" t="s">
        <v>620</v>
      </c>
      <c r="H404" s="16">
        <v>0</v>
      </c>
      <c r="I404" s="11">
        <v>0</v>
      </c>
      <c r="J404" s="11">
        <v>0</v>
      </c>
      <c r="K404" s="11">
        <v>0</v>
      </c>
      <c r="L404" s="11">
        <v>0</v>
      </c>
      <c r="M404" s="11">
        <v>0</v>
      </c>
      <c r="N404" s="11">
        <v>0</v>
      </c>
      <c r="O404" s="11">
        <v>0</v>
      </c>
      <c r="P404" s="11">
        <v>0</v>
      </c>
      <c r="Q404" s="11">
        <v>0</v>
      </c>
      <c r="R404" s="11">
        <v>0</v>
      </c>
      <c r="S404" s="11">
        <v>0</v>
      </c>
      <c r="T404" s="11">
        <v>0</v>
      </c>
      <c r="U404">
        <v>3.04201016031394E-3</v>
      </c>
      <c r="V404">
        <v>0</v>
      </c>
      <c r="W404">
        <v>0</v>
      </c>
      <c r="X404">
        <v>0</v>
      </c>
      <c r="Y404">
        <v>2.9264581077521898E-3</v>
      </c>
      <c r="Z404">
        <v>6.3548551093035102E-3</v>
      </c>
      <c r="AA404">
        <v>0</v>
      </c>
      <c r="AB404">
        <v>1.35354629128316E-2</v>
      </c>
      <c r="AC404" s="3">
        <v>3.5955702574428303E-2</v>
      </c>
      <c r="AD404">
        <v>0</v>
      </c>
      <c r="AE404">
        <v>0</v>
      </c>
      <c r="AF404">
        <v>0</v>
      </c>
      <c r="AG404">
        <v>0</v>
      </c>
      <c r="AH404">
        <v>4.6410173109945703E-3</v>
      </c>
      <c r="AI404">
        <v>2.2984278753332699E-3</v>
      </c>
      <c r="AJ404">
        <v>0</v>
      </c>
      <c r="AK404">
        <v>0</v>
      </c>
      <c r="AL404">
        <v>0</v>
      </c>
      <c r="AM404">
        <v>0</v>
      </c>
    </row>
    <row r="405" spans="1:39" customFormat="1" hidden="1" x14ac:dyDescent="0.3">
      <c r="A405" t="s">
        <v>1629</v>
      </c>
      <c r="B405" t="s">
        <v>30</v>
      </c>
      <c r="C405" t="s">
        <v>29</v>
      </c>
      <c r="D405" t="s">
        <v>28</v>
      </c>
      <c r="E405" t="s">
        <v>27</v>
      </c>
      <c r="F405" t="s">
        <v>64</v>
      </c>
      <c r="G405" t="s">
        <v>223</v>
      </c>
      <c r="H405" s="16">
        <v>0</v>
      </c>
      <c r="I405" s="11">
        <v>0</v>
      </c>
      <c r="J405" s="11">
        <v>0</v>
      </c>
      <c r="K405" s="11">
        <v>0</v>
      </c>
      <c r="L405" s="11">
        <v>0</v>
      </c>
      <c r="M405" s="11">
        <v>0</v>
      </c>
      <c r="N405" s="11">
        <v>0</v>
      </c>
      <c r="O405" s="11">
        <v>0</v>
      </c>
      <c r="P405" s="11">
        <v>0</v>
      </c>
      <c r="Q405" s="11">
        <v>0</v>
      </c>
      <c r="R405" s="11">
        <v>0</v>
      </c>
      <c r="S405" s="11">
        <v>0</v>
      </c>
      <c r="T405" s="11">
        <v>0</v>
      </c>
      <c r="U405">
        <v>0</v>
      </c>
      <c r="V405">
        <v>7.2288285683305004E-3</v>
      </c>
      <c r="W405">
        <v>2.6668088964744798E-3</v>
      </c>
      <c r="X405">
        <v>0</v>
      </c>
      <c r="Y405">
        <v>5.8529162155043701E-3</v>
      </c>
      <c r="Z405">
        <v>3.1774275546517499E-3</v>
      </c>
      <c r="AA405">
        <v>0</v>
      </c>
      <c r="AB405">
        <v>4.5118209709438702E-3</v>
      </c>
      <c r="AC405">
        <v>0</v>
      </c>
      <c r="AD405">
        <v>0</v>
      </c>
      <c r="AE405">
        <v>6.8598868118676E-3</v>
      </c>
      <c r="AF405">
        <v>0</v>
      </c>
      <c r="AG405">
        <v>0</v>
      </c>
      <c r="AH405">
        <v>0</v>
      </c>
      <c r="AI405">
        <v>2.2984278753332699E-3</v>
      </c>
      <c r="AJ405">
        <v>0</v>
      </c>
      <c r="AK405">
        <v>0</v>
      </c>
      <c r="AL405">
        <v>0</v>
      </c>
      <c r="AM405">
        <v>0</v>
      </c>
    </row>
    <row r="406" spans="1:39" customFormat="1" hidden="1" x14ac:dyDescent="0.3">
      <c r="A406" t="s">
        <v>1628</v>
      </c>
      <c r="B406" t="s">
        <v>30</v>
      </c>
      <c r="C406" t="s">
        <v>81</v>
      </c>
      <c r="D406" t="s">
        <v>118</v>
      </c>
      <c r="E406" t="s">
        <v>1627</v>
      </c>
      <c r="F406" t="s">
        <v>1626</v>
      </c>
      <c r="G406" t="s">
        <v>1625</v>
      </c>
      <c r="H406" s="16">
        <v>0</v>
      </c>
      <c r="I406" s="11">
        <v>0</v>
      </c>
      <c r="J406" s="11">
        <v>0</v>
      </c>
      <c r="K406" s="11">
        <v>0</v>
      </c>
      <c r="L406" s="11">
        <v>0</v>
      </c>
      <c r="M406" s="11">
        <v>0</v>
      </c>
      <c r="N406" s="11">
        <v>0</v>
      </c>
      <c r="O406" s="11">
        <v>0</v>
      </c>
      <c r="P406" s="11">
        <v>0</v>
      </c>
      <c r="Q406" s="11">
        <v>0</v>
      </c>
      <c r="R406" s="11">
        <v>0</v>
      </c>
      <c r="S406" s="11">
        <v>0</v>
      </c>
      <c r="T406" s="11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2.2984278753332699E-3</v>
      </c>
      <c r="AJ406">
        <v>0</v>
      </c>
      <c r="AK406">
        <v>0</v>
      </c>
      <c r="AL406">
        <v>0</v>
      </c>
      <c r="AM406">
        <v>0</v>
      </c>
    </row>
    <row r="407" spans="1:39" customFormat="1" hidden="1" x14ac:dyDescent="0.3">
      <c r="A407" t="s">
        <v>1624</v>
      </c>
      <c r="B407" t="s">
        <v>30</v>
      </c>
      <c r="C407" t="s">
        <v>111</v>
      </c>
      <c r="D407" t="s">
        <v>141</v>
      </c>
      <c r="E407" t="s">
        <v>140</v>
      </c>
      <c r="F407" t="s">
        <v>592</v>
      </c>
      <c r="G407" t="s">
        <v>1623</v>
      </c>
      <c r="H407" s="16">
        <v>4.1583499667332E-3</v>
      </c>
      <c r="I407" s="11">
        <v>0</v>
      </c>
      <c r="J407" s="11">
        <v>0</v>
      </c>
      <c r="K407" s="11">
        <v>2.26359572180409E-2</v>
      </c>
      <c r="L407" s="11">
        <v>0</v>
      </c>
      <c r="M407" s="11">
        <v>0</v>
      </c>
      <c r="N407" s="11">
        <v>0</v>
      </c>
      <c r="O407" s="11">
        <v>0</v>
      </c>
      <c r="P407" s="11">
        <v>0</v>
      </c>
      <c r="Q407" s="11">
        <v>0</v>
      </c>
      <c r="R407" s="11">
        <v>0</v>
      </c>
      <c r="S407" s="11">
        <v>2.4883049666567102E-3</v>
      </c>
      <c r="T407" s="11">
        <v>0</v>
      </c>
      <c r="U407">
        <v>0</v>
      </c>
      <c r="V407">
        <v>0</v>
      </c>
      <c r="W407">
        <v>2.6668088964744798E-3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3.14564328405159E-3</v>
      </c>
      <c r="AE407">
        <v>3.4299434059338E-3</v>
      </c>
      <c r="AF407">
        <v>0</v>
      </c>
      <c r="AG407">
        <v>0</v>
      </c>
      <c r="AH407">
        <v>4.6410173109945703E-3</v>
      </c>
      <c r="AI407">
        <v>0</v>
      </c>
      <c r="AJ407">
        <v>0</v>
      </c>
      <c r="AK407">
        <v>0</v>
      </c>
      <c r="AL407">
        <v>0</v>
      </c>
      <c r="AM407">
        <v>0</v>
      </c>
    </row>
    <row r="408" spans="1:39" customFormat="1" hidden="1" x14ac:dyDescent="0.3">
      <c r="A408" t="s">
        <v>1622</v>
      </c>
      <c r="B408" t="s">
        <v>30</v>
      </c>
      <c r="C408" t="s">
        <v>29</v>
      </c>
      <c r="D408" t="s">
        <v>28</v>
      </c>
      <c r="E408" t="s">
        <v>27</v>
      </c>
      <c r="F408" t="s">
        <v>67</v>
      </c>
      <c r="G408" t="s">
        <v>66</v>
      </c>
      <c r="H408" s="16">
        <v>0</v>
      </c>
      <c r="I408" s="11">
        <v>3.6565745209887401E-3</v>
      </c>
      <c r="J408" s="11">
        <v>0</v>
      </c>
      <c r="K408" s="11">
        <v>0</v>
      </c>
      <c r="L408" s="11">
        <v>0</v>
      </c>
      <c r="M408" s="11">
        <v>0</v>
      </c>
      <c r="N408" s="11">
        <v>0</v>
      </c>
      <c r="O408" s="11">
        <v>0</v>
      </c>
      <c r="P408" s="11">
        <v>0</v>
      </c>
      <c r="Q408" s="11">
        <v>0</v>
      </c>
      <c r="R408" s="11">
        <v>0</v>
      </c>
      <c r="S408" s="11">
        <v>9.9532198666268494E-3</v>
      </c>
      <c r="T408" s="11">
        <v>0</v>
      </c>
      <c r="U408">
        <v>0</v>
      </c>
      <c r="V408">
        <v>0</v>
      </c>
      <c r="W408">
        <v>2.6668088964744798E-3</v>
      </c>
      <c r="X408">
        <v>0</v>
      </c>
      <c r="Y408">
        <v>0</v>
      </c>
      <c r="Z408">
        <v>2.5419420437213999E-2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</row>
    <row r="409" spans="1:39" customFormat="1" hidden="1" x14ac:dyDescent="0.3">
      <c r="A409" t="s">
        <v>1621</v>
      </c>
      <c r="B409" t="s">
        <v>30</v>
      </c>
      <c r="C409" t="s">
        <v>81</v>
      </c>
      <c r="D409" t="s">
        <v>118</v>
      </c>
      <c r="E409" t="s">
        <v>371</v>
      </c>
      <c r="F409" t="s">
        <v>424</v>
      </c>
      <c r="G409" t="s">
        <v>1620</v>
      </c>
      <c r="H409" s="16">
        <v>0</v>
      </c>
      <c r="I409" s="11">
        <v>3.6565745209887401E-3</v>
      </c>
      <c r="J409" s="11">
        <v>0</v>
      </c>
      <c r="K409" s="11">
        <v>0</v>
      </c>
      <c r="L409" s="11">
        <v>0</v>
      </c>
      <c r="M409" s="11">
        <v>0</v>
      </c>
      <c r="N409" s="11">
        <v>0</v>
      </c>
      <c r="O409" s="11">
        <v>0</v>
      </c>
      <c r="P409" s="11">
        <v>0</v>
      </c>
      <c r="Q409" s="11">
        <v>0</v>
      </c>
      <c r="R409" s="11">
        <v>2.2441148089136199E-3</v>
      </c>
      <c r="S409" s="11">
        <v>0</v>
      </c>
      <c r="T409" s="11">
        <v>0</v>
      </c>
      <c r="U409">
        <v>0</v>
      </c>
      <c r="V409">
        <v>0</v>
      </c>
      <c r="W409">
        <v>2.6668088964744798E-3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3.4299434059338E-3</v>
      </c>
      <c r="AF409">
        <v>0</v>
      </c>
      <c r="AG409">
        <v>9.3876880471262004E-3</v>
      </c>
      <c r="AH409">
        <v>4.6410173109945703E-3</v>
      </c>
      <c r="AI409">
        <v>9.1937115013330899E-3</v>
      </c>
      <c r="AJ409">
        <v>0</v>
      </c>
      <c r="AK409">
        <v>0</v>
      </c>
      <c r="AL409">
        <v>3.5844863431070302E-3</v>
      </c>
      <c r="AM409">
        <v>0</v>
      </c>
    </row>
    <row r="410" spans="1:39" customFormat="1" hidden="1" x14ac:dyDescent="0.3">
      <c r="A410" t="s">
        <v>1619</v>
      </c>
      <c r="B410" t="s">
        <v>30</v>
      </c>
      <c r="C410" t="s">
        <v>111</v>
      </c>
      <c r="D410" t="s">
        <v>297</v>
      </c>
      <c r="E410" t="s">
        <v>296</v>
      </c>
      <c r="F410" t="s">
        <v>295</v>
      </c>
      <c r="G410" t="s">
        <v>1618</v>
      </c>
      <c r="H410" s="16">
        <v>0</v>
      </c>
      <c r="I410" s="11">
        <v>0</v>
      </c>
      <c r="J410" s="11">
        <v>0</v>
      </c>
      <c r="K410" s="11">
        <v>0</v>
      </c>
      <c r="L410" s="11">
        <v>0</v>
      </c>
      <c r="M410" s="11">
        <v>0</v>
      </c>
      <c r="N410" s="11">
        <v>0</v>
      </c>
      <c r="O410" s="11">
        <v>0</v>
      </c>
      <c r="P410" s="11">
        <v>0</v>
      </c>
      <c r="Q410" s="11">
        <v>0</v>
      </c>
      <c r="R410" s="11">
        <v>0</v>
      </c>
      <c r="S410" s="11">
        <v>0</v>
      </c>
      <c r="T410" s="11">
        <v>0</v>
      </c>
      <c r="U410">
        <v>0</v>
      </c>
      <c r="V410">
        <v>0</v>
      </c>
      <c r="W410">
        <v>0</v>
      </c>
      <c r="X410">
        <v>0</v>
      </c>
      <c r="Y410">
        <v>2.0485206754265298E-2</v>
      </c>
      <c r="Z410">
        <v>0</v>
      </c>
      <c r="AA410">
        <v>0</v>
      </c>
      <c r="AB410">
        <v>0</v>
      </c>
      <c r="AC410">
        <v>0</v>
      </c>
      <c r="AD410">
        <v>1.25825731362064E-2</v>
      </c>
      <c r="AE410">
        <v>0</v>
      </c>
      <c r="AF410">
        <v>0</v>
      </c>
      <c r="AG410">
        <v>0</v>
      </c>
      <c r="AH410">
        <v>0</v>
      </c>
      <c r="AI410">
        <v>2.2984278753332699E-3</v>
      </c>
      <c r="AJ410">
        <v>0</v>
      </c>
      <c r="AK410">
        <v>0</v>
      </c>
      <c r="AL410">
        <v>0</v>
      </c>
      <c r="AM410">
        <v>0</v>
      </c>
    </row>
    <row r="411" spans="1:39" customFormat="1" hidden="1" x14ac:dyDescent="0.3">
      <c r="A411" t="s">
        <v>1617</v>
      </c>
      <c r="B411" t="s">
        <v>30</v>
      </c>
      <c r="C411" t="s">
        <v>526</v>
      </c>
      <c r="D411" t="s">
        <v>525</v>
      </c>
      <c r="E411" t="s">
        <v>524</v>
      </c>
      <c r="F411" t="s">
        <v>523</v>
      </c>
      <c r="G411" t="s">
        <v>522</v>
      </c>
      <c r="H411" s="16">
        <v>0</v>
      </c>
      <c r="I411" s="11">
        <v>0</v>
      </c>
      <c r="J411" s="11">
        <v>0</v>
      </c>
      <c r="K411" s="11">
        <v>0</v>
      </c>
      <c r="L411" s="11">
        <v>0</v>
      </c>
      <c r="M411" s="11">
        <v>0</v>
      </c>
      <c r="N411" s="11">
        <v>0</v>
      </c>
      <c r="O411" s="11">
        <v>0</v>
      </c>
      <c r="P411" s="11">
        <v>0</v>
      </c>
      <c r="Q411" s="11">
        <v>0</v>
      </c>
      <c r="R411" s="11">
        <v>0</v>
      </c>
      <c r="S411" s="11">
        <v>0</v>
      </c>
      <c r="T411" s="11">
        <v>0</v>
      </c>
      <c r="U411">
        <v>0</v>
      </c>
      <c r="V411">
        <v>1.8072071420826299E-2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9.0236419418877507E-3</v>
      </c>
      <c r="AC411">
        <v>7.1911405148856597E-3</v>
      </c>
      <c r="AD411">
        <v>3.14564328405159E-3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7.1689726862140604E-3</v>
      </c>
      <c r="AM411">
        <v>0</v>
      </c>
    </row>
    <row r="412" spans="1:39" customFormat="1" hidden="1" x14ac:dyDescent="0.3">
      <c r="A412" t="s">
        <v>1616</v>
      </c>
      <c r="B412" t="s">
        <v>30</v>
      </c>
      <c r="C412" t="s">
        <v>29</v>
      </c>
      <c r="D412" t="s">
        <v>28</v>
      </c>
      <c r="E412" t="s">
        <v>91</v>
      </c>
      <c r="F412" t="s">
        <v>90</v>
      </c>
      <c r="G412" t="s">
        <v>1615</v>
      </c>
      <c r="H412" s="16">
        <v>0</v>
      </c>
      <c r="I412" s="11">
        <v>0</v>
      </c>
      <c r="J412" s="11">
        <v>0</v>
      </c>
      <c r="K412" s="11">
        <v>0</v>
      </c>
      <c r="L412" s="11">
        <v>0</v>
      </c>
      <c r="M412" s="11">
        <v>0</v>
      </c>
      <c r="N412" s="11">
        <v>0</v>
      </c>
      <c r="O412" s="11">
        <v>0</v>
      </c>
      <c r="P412" s="11">
        <v>0</v>
      </c>
      <c r="Q412" s="11">
        <v>0</v>
      </c>
      <c r="R412" s="11">
        <v>0</v>
      </c>
      <c r="S412" s="11">
        <v>0</v>
      </c>
      <c r="T412" s="11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</row>
    <row r="413" spans="1:39" customFormat="1" hidden="1" x14ac:dyDescent="0.3">
      <c r="A413" t="s">
        <v>1614</v>
      </c>
      <c r="B413" t="s">
        <v>30</v>
      </c>
      <c r="C413" t="s">
        <v>410</v>
      </c>
      <c r="D413" t="s">
        <v>410</v>
      </c>
      <c r="E413" t="s">
        <v>409</v>
      </c>
      <c r="F413" t="s">
        <v>408</v>
      </c>
      <c r="G413" t="s">
        <v>407</v>
      </c>
      <c r="H413" s="16">
        <v>0</v>
      </c>
      <c r="I413" s="11">
        <v>0</v>
      </c>
      <c r="J413" s="11">
        <v>0</v>
      </c>
      <c r="K413" s="11">
        <v>0</v>
      </c>
      <c r="L413" s="11">
        <v>0</v>
      </c>
      <c r="M413" s="11">
        <v>0</v>
      </c>
      <c r="N413" s="11">
        <v>0</v>
      </c>
      <c r="O413" s="11">
        <v>0</v>
      </c>
      <c r="P413" s="11">
        <v>0</v>
      </c>
      <c r="Q413" s="11">
        <v>2.7492920572952501E-3</v>
      </c>
      <c r="R413" s="11">
        <v>2.2441148089136199E-3</v>
      </c>
      <c r="S413" s="11">
        <v>4.9766099333134299E-3</v>
      </c>
      <c r="T413" s="11">
        <v>1.00394886553778E-2</v>
      </c>
      <c r="U413">
        <v>0</v>
      </c>
      <c r="V413">
        <v>0</v>
      </c>
      <c r="W413">
        <v>0</v>
      </c>
      <c r="X413">
        <v>0</v>
      </c>
      <c r="Y413">
        <v>1.17058324310087E-2</v>
      </c>
      <c r="Z413">
        <v>0</v>
      </c>
      <c r="AA413">
        <v>0</v>
      </c>
      <c r="AB413">
        <v>0</v>
      </c>
      <c r="AC413">
        <v>0</v>
      </c>
      <c r="AD413">
        <v>3.14564328405159E-3</v>
      </c>
      <c r="AE413">
        <v>3.4299434059338E-3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</row>
    <row r="414" spans="1:39" customFormat="1" hidden="1" x14ac:dyDescent="0.3">
      <c r="A414" t="s">
        <v>1613</v>
      </c>
      <c r="B414" t="s">
        <v>30</v>
      </c>
      <c r="C414" t="s">
        <v>111</v>
      </c>
      <c r="D414" t="s">
        <v>141</v>
      </c>
      <c r="E414" t="s">
        <v>140</v>
      </c>
      <c r="F414" t="s">
        <v>592</v>
      </c>
      <c r="G414" t="s">
        <v>1612</v>
      </c>
      <c r="H414" s="16">
        <v>0</v>
      </c>
      <c r="I414" s="11">
        <v>0</v>
      </c>
      <c r="J414" s="11">
        <v>8.7187758838659108E-3</v>
      </c>
      <c r="K414" s="11">
        <v>0</v>
      </c>
      <c r="L414" s="11">
        <v>0</v>
      </c>
      <c r="M414" s="11">
        <v>3.5488679111363502E-3</v>
      </c>
      <c r="N414" s="11">
        <v>0</v>
      </c>
      <c r="O414" s="11">
        <v>0</v>
      </c>
      <c r="P414" s="11">
        <v>0</v>
      </c>
      <c r="Q414" s="11">
        <v>0</v>
      </c>
      <c r="R414" s="11">
        <v>0</v>
      </c>
      <c r="S414" s="11">
        <v>0</v>
      </c>
      <c r="T414" s="11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4.5118209709438702E-3</v>
      </c>
      <c r="AC414">
        <v>7.1911405148856597E-3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3.5844863431070302E-3</v>
      </c>
      <c r="AM414">
        <v>0</v>
      </c>
    </row>
    <row r="415" spans="1:39" customFormat="1" hidden="1" x14ac:dyDescent="0.3">
      <c r="A415" t="s">
        <v>1611</v>
      </c>
      <c r="B415" t="s">
        <v>30</v>
      </c>
      <c r="C415" t="s">
        <v>111</v>
      </c>
      <c r="D415" t="s">
        <v>141</v>
      </c>
      <c r="E415" t="s">
        <v>140</v>
      </c>
      <c r="F415" t="s">
        <v>604</v>
      </c>
      <c r="G415" t="s">
        <v>604</v>
      </c>
      <c r="H415" s="16">
        <v>0</v>
      </c>
      <c r="I415" s="11">
        <v>0</v>
      </c>
      <c r="J415" s="11">
        <v>0</v>
      </c>
      <c r="K415" s="11">
        <v>0</v>
      </c>
      <c r="L415" s="11">
        <v>0</v>
      </c>
      <c r="M415" s="11">
        <v>0</v>
      </c>
      <c r="N415" s="11">
        <v>0</v>
      </c>
      <c r="O415" s="11">
        <v>0</v>
      </c>
      <c r="P415" s="11">
        <v>0</v>
      </c>
      <c r="Q415" s="11">
        <v>0</v>
      </c>
      <c r="R415" s="11">
        <v>0</v>
      </c>
      <c r="S415" s="11">
        <v>0</v>
      </c>
      <c r="T415" s="11">
        <v>0</v>
      </c>
      <c r="U415">
        <v>0</v>
      </c>
      <c r="V415">
        <v>0</v>
      </c>
      <c r="W415">
        <v>0</v>
      </c>
      <c r="X415">
        <v>6.4242579982012101E-3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2.3469220117815501E-3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</row>
    <row r="416" spans="1:39" customFormat="1" hidden="1" x14ac:dyDescent="0.3">
      <c r="A416" t="s">
        <v>1609</v>
      </c>
      <c r="B416" t="s">
        <v>30</v>
      </c>
      <c r="C416" t="s">
        <v>81</v>
      </c>
      <c r="D416" t="s">
        <v>118</v>
      </c>
      <c r="E416" t="s">
        <v>358</v>
      </c>
      <c r="F416" t="s">
        <v>357</v>
      </c>
      <c r="G416" t="s">
        <v>1608</v>
      </c>
      <c r="H416" s="16">
        <v>0</v>
      </c>
      <c r="I416" s="11">
        <v>0</v>
      </c>
      <c r="J416" s="11">
        <v>4.3593879419329502E-3</v>
      </c>
      <c r="K416" s="11">
        <v>0</v>
      </c>
      <c r="L416" s="11">
        <v>0</v>
      </c>
      <c r="M416" s="11">
        <v>0</v>
      </c>
      <c r="N416" s="11">
        <v>0</v>
      </c>
      <c r="O416" s="11">
        <v>0</v>
      </c>
      <c r="P416" s="11">
        <v>0</v>
      </c>
      <c r="Q416" s="11">
        <v>0</v>
      </c>
      <c r="R416" s="11">
        <v>0</v>
      </c>
      <c r="S416" s="11">
        <v>0</v>
      </c>
      <c r="T416" s="11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5.03372596395852E-3</v>
      </c>
      <c r="AG416">
        <v>1.64284540824708E-2</v>
      </c>
      <c r="AH416">
        <v>0</v>
      </c>
      <c r="AI416">
        <v>1.37905672519996E-2</v>
      </c>
      <c r="AJ416">
        <v>0</v>
      </c>
      <c r="AK416">
        <v>0</v>
      </c>
      <c r="AL416">
        <v>0</v>
      </c>
      <c r="AM416">
        <v>0</v>
      </c>
    </row>
    <row r="417" spans="1:39" customFormat="1" hidden="1" x14ac:dyDescent="0.3">
      <c r="A417" t="s">
        <v>1607</v>
      </c>
      <c r="B417" t="s">
        <v>30</v>
      </c>
      <c r="C417" t="s">
        <v>111</v>
      </c>
      <c r="D417" t="s">
        <v>141</v>
      </c>
      <c r="E417" t="s">
        <v>140</v>
      </c>
      <c r="F417" t="s">
        <v>599</v>
      </c>
      <c r="G417" t="s">
        <v>1365</v>
      </c>
      <c r="H417" s="16">
        <v>0</v>
      </c>
      <c r="I417" s="11">
        <v>0</v>
      </c>
      <c r="J417" s="11">
        <v>0</v>
      </c>
      <c r="K417" s="11">
        <v>0</v>
      </c>
      <c r="L417" s="11">
        <v>0</v>
      </c>
      <c r="M417" s="11">
        <v>0</v>
      </c>
      <c r="N417" s="11">
        <v>0</v>
      </c>
      <c r="O417" s="11">
        <v>0</v>
      </c>
      <c r="P417" s="11">
        <v>0</v>
      </c>
      <c r="Q417" s="11">
        <v>2.7492920572952501E-3</v>
      </c>
      <c r="R417" s="11">
        <v>2.2441148089136199E-3</v>
      </c>
      <c r="S417" s="11">
        <v>0</v>
      </c>
      <c r="T417" s="11">
        <v>0</v>
      </c>
      <c r="U417">
        <v>0</v>
      </c>
      <c r="V417">
        <v>0</v>
      </c>
      <c r="W417">
        <v>0</v>
      </c>
      <c r="X417">
        <v>0</v>
      </c>
      <c r="Y417">
        <v>1.46322905387609E-2</v>
      </c>
      <c r="Z417">
        <v>0</v>
      </c>
      <c r="AA417">
        <v>0</v>
      </c>
      <c r="AB417">
        <v>4.5118209709438702E-3</v>
      </c>
      <c r="AC417">
        <v>1.43822810297713E-2</v>
      </c>
      <c r="AD417">
        <v>0</v>
      </c>
      <c r="AE417">
        <v>6.8598868118676E-3</v>
      </c>
      <c r="AF417">
        <v>0</v>
      </c>
      <c r="AG417">
        <v>2.3469220117815501E-3</v>
      </c>
      <c r="AH417">
        <v>0</v>
      </c>
      <c r="AI417">
        <v>2.2984278753332699E-3</v>
      </c>
      <c r="AJ417">
        <v>0</v>
      </c>
      <c r="AK417">
        <v>0</v>
      </c>
      <c r="AL417">
        <v>0</v>
      </c>
      <c r="AM417">
        <v>0</v>
      </c>
    </row>
    <row r="418" spans="1:39" customFormat="1" hidden="1" x14ac:dyDescent="0.3">
      <c r="A418" t="s">
        <v>1606</v>
      </c>
      <c r="B418" t="s">
        <v>30</v>
      </c>
      <c r="C418" t="s">
        <v>81</v>
      </c>
      <c r="D418" t="s">
        <v>80</v>
      </c>
      <c r="E418" t="s">
        <v>122</v>
      </c>
      <c r="F418" t="s">
        <v>121</v>
      </c>
      <c r="G418" t="s">
        <v>124</v>
      </c>
      <c r="H418" s="16">
        <v>8.3166999334664E-3</v>
      </c>
      <c r="I418" s="11">
        <v>0</v>
      </c>
      <c r="J418" s="11">
        <v>4.3593879419329502E-3</v>
      </c>
      <c r="K418" s="11">
        <v>0</v>
      </c>
      <c r="L418" s="11">
        <v>0</v>
      </c>
      <c r="M418" s="11">
        <v>0</v>
      </c>
      <c r="N418" s="11">
        <v>0</v>
      </c>
      <c r="O418" s="11">
        <v>0</v>
      </c>
      <c r="P418" s="11">
        <v>0</v>
      </c>
      <c r="Q418" s="11">
        <v>0</v>
      </c>
      <c r="R418" s="11">
        <v>0</v>
      </c>
      <c r="S418" s="11">
        <v>2.4883049666567102E-3</v>
      </c>
      <c r="T418" s="11">
        <v>0</v>
      </c>
      <c r="U418">
        <v>0</v>
      </c>
      <c r="V418">
        <v>3.6144142841652502E-3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1.37197736237352E-2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</row>
    <row r="419" spans="1:39" customFormat="1" hidden="1" x14ac:dyDescent="0.3">
      <c r="A419" t="s">
        <v>1605</v>
      </c>
      <c r="B419" t="s">
        <v>30</v>
      </c>
      <c r="C419" t="s">
        <v>81</v>
      </c>
      <c r="D419" t="s">
        <v>80</v>
      </c>
      <c r="E419" t="s">
        <v>618</v>
      </c>
      <c r="F419" t="s">
        <v>629</v>
      </c>
      <c r="G419" t="s">
        <v>628</v>
      </c>
      <c r="H419" s="16">
        <v>0</v>
      </c>
      <c r="I419" s="11">
        <v>0</v>
      </c>
      <c r="J419" s="11">
        <v>0</v>
      </c>
      <c r="K419" s="11">
        <v>0</v>
      </c>
      <c r="L419" s="11">
        <v>0</v>
      </c>
      <c r="M419" s="11">
        <v>0</v>
      </c>
      <c r="N419" s="11">
        <v>0</v>
      </c>
      <c r="O419" s="11">
        <v>0</v>
      </c>
      <c r="P419" s="11">
        <v>0</v>
      </c>
      <c r="Q419" s="11">
        <v>0</v>
      </c>
      <c r="R419" s="11">
        <v>0</v>
      </c>
      <c r="S419" s="11">
        <v>0</v>
      </c>
      <c r="T419" s="11">
        <v>0</v>
      </c>
      <c r="U419">
        <v>6.0840203206278696E-3</v>
      </c>
      <c r="V419">
        <v>7.2288285683305004E-3</v>
      </c>
      <c r="W419">
        <v>0</v>
      </c>
      <c r="X419">
        <v>0</v>
      </c>
      <c r="Y419">
        <v>0</v>
      </c>
      <c r="Z419">
        <v>3.1774275546517499E-3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4.5968557506665397E-3</v>
      </c>
      <c r="AJ419">
        <v>0</v>
      </c>
      <c r="AK419">
        <v>0</v>
      </c>
      <c r="AL419">
        <v>3.5844863431070302E-3</v>
      </c>
      <c r="AM419">
        <v>0</v>
      </c>
    </row>
    <row r="420" spans="1:39" customFormat="1" hidden="1" x14ac:dyDescent="0.3">
      <c r="A420" t="s">
        <v>1604</v>
      </c>
      <c r="B420" t="s">
        <v>30</v>
      </c>
      <c r="C420" t="s">
        <v>29</v>
      </c>
      <c r="D420" t="s">
        <v>28</v>
      </c>
      <c r="E420" t="s">
        <v>27</v>
      </c>
      <c r="F420" t="s">
        <v>26</v>
      </c>
      <c r="G420" t="s">
        <v>69</v>
      </c>
      <c r="H420" s="16">
        <v>0</v>
      </c>
      <c r="I420" s="11">
        <v>0</v>
      </c>
      <c r="J420" s="11">
        <v>0</v>
      </c>
      <c r="K420" s="11">
        <v>0</v>
      </c>
      <c r="L420" s="11">
        <v>0</v>
      </c>
      <c r="M420" s="11">
        <v>0</v>
      </c>
      <c r="N420" s="11">
        <v>0</v>
      </c>
      <c r="O420" s="11">
        <v>0</v>
      </c>
      <c r="P420" s="11">
        <v>0</v>
      </c>
      <c r="Q420" s="11">
        <v>0</v>
      </c>
      <c r="R420" s="11">
        <v>0</v>
      </c>
      <c r="S420" s="11">
        <v>0</v>
      </c>
      <c r="T420" s="11">
        <v>0</v>
      </c>
      <c r="U420">
        <v>0</v>
      </c>
      <c r="V420">
        <v>0</v>
      </c>
      <c r="W420">
        <v>2.6668088964744798E-3</v>
      </c>
      <c r="X420">
        <v>0</v>
      </c>
      <c r="Y420">
        <v>0</v>
      </c>
      <c r="Z420">
        <v>2.8596847991865799E-2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5.03372596395852E-3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</row>
    <row r="421" spans="1:39" customFormat="1" hidden="1" x14ac:dyDescent="0.3">
      <c r="A421" t="s">
        <v>1602</v>
      </c>
      <c r="B421" t="s">
        <v>30</v>
      </c>
      <c r="C421" t="s">
        <v>81</v>
      </c>
      <c r="D421" t="s">
        <v>80</v>
      </c>
      <c r="E421" t="s">
        <v>618</v>
      </c>
      <c r="F421" t="s">
        <v>629</v>
      </c>
      <c r="G421" t="s">
        <v>1601</v>
      </c>
      <c r="H421" s="16">
        <v>0</v>
      </c>
      <c r="I421" s="11">
        <v>0</v>
      </c>
      <c r="J421" s="11">
        <v>0</v>
      </c>
      <c r="K421" s="11">
        <v>0</v>
      </c>
      <c r="L421" s="11">
        <v>6.6037112857425901E-3</v>
      </c>
      <c r="M421" s="11">
        <v>0</v>
      </c>
      <c r="N421" s="11">
        <v>9.1671632213411597E-3</v>
      </c>
      <c r="O421" s="11">
        <v>0</v>
      </c>
      <c r="P421" s="11">
        <v>0</v>
      </c>
      <c r="Q421" s="11">
        <v>0</v>
      </c>
      <c r="R421" s="11">
        <v>2.2441148089136199E-3</v>
      </c>
      <c r="S421" s="11">
        <v>0</v>
      </c>
      <c r="T421" s="11">
        <v>3.3464962184592698E-3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</row>
    <row r="422" spans="1:39" customFormat="1" hidden="1" x14ac:dyDescent="0.3">
      <c r="A422" t="s">
        <v>1600</v>
      </c>
      <c r="B422" t="s">
        <v>30</v>
      </c>
      <c r="C422" t="s">
        <v>81</v>
      </c>
      <c r="D422" t="s">
        <v>118</v>
      </c>
      <c r="E422" t="s">
        <v>371</v>
      </c>
      <c r="F422" t="s">
        <v>1599</v>
      </c>
      <c r="G422" t="s">
        <v>1599</v>
      </c>
      <c r="H422" s="16">
        <v>0</v>
      </c>
      <c r="I422" s="11">
        <v>0</v>
      </c>
      <c r="J422" s="11">
        <v>0</v>
      </c>
      <c r="K422" s="11">
        <v>0</v>
      </c>
      <c r="L422" s="11">
        <v>0</v>
      </c>
      <c r="M422" s="11">
        <v>0</v>
      </c>
      <c r="N422" s="11">
        <v>9.1671632213411597E-3</v>
      </c>
      <c r="O422" s="11">
        <v>3.75023438964935E-3</v>
      </c>
      <c r="P422" s="11">
        <v>0</v>
      </c>
      <c r="Q422" s="11">
        <v>1.0997168229181E-2</v>
      </c>
      <c r="R422" s="11">
        <v>0</v>
      </c>
      <c r="S422" s="11">
        <v>0</v>
      </c>
      <c r="T422" s="11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3.0202355783751099E-2</v>
      </c>
      <c r="AG422">
        <v>2.3469220117815501E-3</v>
      </c>
      <c r="AH422">
        <v>0</v>
      </c>
      <c r="AI422">
        <v>1.37905672519996E-2</v>
      </c>
      <c r="AJ422">
        <v>0</v>
      </c>
      <c r="AK422">
        <v>0</v>
      </c>
      <c r="AL422">
        <v>0</v>
      </c>
      <c r="AM422">
        <v>0</v>
      </c>
    </row>
    <row r="423" spans="1:39" customFormat="1" hidden="1" x14ac:dyDescent="0.3">
      <c r="A423" t="s">
        <v>1598</v>
      </c>
      <c r="B423" t="s">
        <v>30</v>
      </c>
      <c r="C423" t="s">
        <v>264</v>
      </c>
      <c r="D423" t="s">
        <v>263</v>
      </c>
      <c r="E423" t="s">
        <v>262</v>
      </c>
      <c r="F423" t="s">
        <v>261</v>
      </c>
      <c r="G423" t="s">
        <v>260</v>
      </c>
      <c r="H423" s="16">
        <v>0</v>
      </c>
      <c r="I423" s="11">
        <v>0</v>
      </c>
      <c r="J423" s="11">
        <v>0</v>
      </c>
      <c r="K423" s="11">
        <v>5.6589893045102101E-3</v>
      </c>
      <c r="L423" s="11">
        <v>0</v>
      </c>
      <c r="M423" s="11">
        <v>0</v>
      </c>
      <c r="N423" s="11">
        <v>4.5835816106705798E-3</v>
      </c>
      <c r="O423" s="11">
        <v>0</v>
      </c>
      <c r="P423" s="11">
        <v>0</v>
      </c>
      <c r="Q423" s="11">
        <v>0</v>
      </c>
      <c r="R423" s="11">
        <v>0</v>
      </c>
      <c r="S423" s="11">
        <v>0</v>
      </c>
      <c r="T423" s="11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</row>
    <row r="424" spans="1:39" customFormat="1" hidden="1" x14ac:dyDescent="0.3">
      <c r="A424" t="s">
        <v>1597</v>
      </c>
      <c r="B424" t="s">
        <v>30</v>
      </c>
      <c r="C424" t="s">
        <v>111</v>
      </c>
      <c r="D424" t="s">
        <v>141</v>
      </c>
      <c r="E424" t="s">
        <v>140</v>
      </c>
      <c r="F424" t="s">
        <v>276</v>
      </c>
      <c r="G424" t="s">
        <v>25</v>
      </c>
      <c r="H424" s="16">
        <v>0</v>
      </c>
      <c r="I424" s="11">
        <v>0</v>
      </c>
      <c r="J424" s="11">
        <v>0</v>
      </c>
      <c r="K424" s="11">
        <v>0</v>
      </c>
      <c r="L424" s="11">
        <v>0</v>
      </c>
      <c r="M424" s="11">
        <v>0</v>
      </c>
      <c r="N424" s="11">
        <v>0</v>
      </c>
      <c r="O424" s="11">
        <v>0</v>
      </c>
      <c r="P424" s="11">
        <v>0</v>
      </c>
      <c r="Q424" s="11">
        <v>0</v>
      </c>
      <c r="R424" s="11">
        <v>0</v>
      </c>
      <c r="S424" s="11">
        <v>0</v>
      </c>
      <c r="T424" s="11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</row>
    <row r="425" spans="1:39" customFormat="1" hidden="1" x14ac:dyDescent="0.3">
      <c r="A425" t="s">
        <v>1596</v>
      </c>
      <c r="B425" t="s">
        <v>30</v>
      </c>
      <c r="C425" t="s">
        <v>111</v>
      </c>
      <c r="D425" t="s">
        <v>141</v>
      </c>
      <c r="E425" t="s">
        <v>140</v>
      </c>
      <c r="F425" t="s">
        <v>599</v>
      </c>
      <c r="G425" t="s">
        <v>945</v>
      </c>
      <c r="H425" s="16">
        <v>0</v>
      </c>
      <c r="I425" s="11">
        <v>0</v>
      </c>
      <c r="J425" s="11">
        <v>0</v>
      </c>
      <c r="K425" s="11">
        <v>0</v>
      </c>
      <c r="L425" s="11">
        <v>0</v>
      </c>
      <c r="M425" s="11">
        <v>0</v>
      </c>
      <c r="N425" s="11">
        <v>0</v>
      </c>
      <c r="O425" s="11">
        <v>0</v>
      </c>
      <c r="P425" s="11">
        <v>0</v>
      </c>
      <c r="Q425" s="11">
        <v>0</v>
      </c>
      <c r="R425" s="11">
        <v>0</v>
      </c>
      <c r="S425" s="11">
        <v>0</v>
      </c>
      <c r="T425" s="11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3.4299434059338E-3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</row>
    <row r="426" spans="1:39" customFormat="1" hidden="1" x14ac:dyDescent="0.3">
      <c r="A426" t="s">
        <v>1595</v>
      </c>
      <c r="B426" t="s">
        <v>30</v>
      </c>
      <c r="C426" t="s">
        <v>81</v>
      </c>
      <c r="D426" t="s">
        <v>80</v>
      </c>
      <c r="E426" t="s">
        <v>618</v>
      </c>
      <c r="F426" t="s">
        <v>617</v>
      </c>
      <c r="G426" t="s">
        <v>1594</v>
      </c>
      <c r="H426" s="16">
        <v>0</v>
      </c>
      <c r="I426" s="11">
        <v>0</v>
      </c>
      <c r="J426" s="11">
        <v>0</v>
      </c>
      <c r="K426" s="11">
        <v>0</v>
      </c>
      <c r="L426" s="11">
        <v>0</v>
      </c>
      <c r="M426" s="11">
        <v>0</v>
      </c>
      <c r="N426" s="11">
        <v>0</v>
      </c>
      <c r="O426" s="11">
        <v>0</v>
      </c>
      <c r="P426" s="11">
        <v>0</v>
      </c>
      <c r="Q426" s="11">
        <v>5.4985841145904898E-3</v>
      </c>
      <c r="R426" s="11">
        <v>2.2441148089136199E-3</v>
      </c>
      <c r="S426" s="11">
        <v>0</v>
      </c>
      <c r="T426" s="11">
        <v>3.3464962184592698E-3</v>
      </c>
      <c r="U426">
        <v>0</v>
      </c>
      <c r="V426">
        <v>0</v>
      </c>
      <c r="W426">
        <v>0</v>
      </c>
      <c r="X426">
        <v>0</v>
      </c>
      <c r="Y426">
        <v>2.9264581077521898E-3</v>
      </c>
      <c r="Z426">
        <v>0</v>
      </c>
      <c r="AA426">
        <v>0</v>
      </c>
      <c r="AB426">
        <v>2.70709258256632E-2</v>
      </c>
      <c r="AC426">
        <v>0</v>
      </c>
      <c r="AD426">
        <v>3.14564328405159E-3</v>
      </c>
      <c r="AE426">
        <v>0</v>
      </c>
      <c r="AF426">
        <v>1.0067451927917E-2</v>
      </c>
      <c r="AG426">
        <v>4.6938440235631002E-3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</row>
    <row r="427" spans="1:39" customFormat="1" hidden="1" x14ac:dyDescent="0.3">
      <c r="A427" t="s">
        <v>1593</v>
      </c>
      <c r="B427" t="s">
        <v>30</v>
      </c>
      <c r="C427" t="s">
        <v>81</v>
      </c>
      <c r="D427" t="s">
        <v>80</v>
      </c>
      <c r="E427" t="s">
        <v>618</v>
      </c>
      <c r="F427" t="s">
        <v>629</v>
      </c>
      <c r="G427" t="s">
        <v>628</v>
      </c>
      <c r="H427" s="16">
        <v>4.1583499667332E-3</v>
      </c>
      <c r="I427" s="11">
        <v>3.6565745209887401E-3</v>
      </c>
      <c r="J427" s="11">
        <v>0</v>
      </c>
      <c r="K427" s="11">
        <v>1.1317978609020399E-2</v>
      </c>
      <c r="L427" s="11">
        <v>0</v>
      </c>
      <c r="M427" s="11">
        <v>3.5488679111363502E-3</v>
      </c>
      <c r="N427" s="11">
        <v>0</v>
      </c>
      <c r="O427" s="11">
        <v>0</v>
      </c>
      <c r="P427" s="11">
        <v>0</v>
      </c>
      <c r="Q427" s="11">
        <v>0</v>
      </c>
      <c r="R427" s="11">
        <v>0</v>
      </c>
      <c r="S427" s="11">
        <v>0</v>
      </c>
      <c r="T427" s="11">
        <v>0</v>
      </c>
      <c r="U427">
        <v>0</v>
      </c>
      <c r="V427">
        <v>0</v>
      </c>
      <c r="W427">
        <v>2.6668088964744798E-3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5.03372596395852E-3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</row>
    <row r="428" spans="1:39" customFormat="1" hidden="1" x14ac:dyDescent="0.3">
      <c r="A428" t="s">
        <v>1592</v>
      </c>
      <c r="B428" t="s">
        <v>30</v>
      </c>
      <c r="C428" t="s">
        <v>111</v>
      </c>
      <c r="D428" t="s">
        <v>141</v>
      </c>
      <c r="E428" t="s">
        <v>140</v>
      </c>
      <c r="F428" t="s">
        <v>1591</v>
      </c>
      <c r="G428" t="s">
        <v>1590</v>
      </c>
      <c r="H428" s="16">
        <v>4.1583499667332E-3</v>
      </c>
      <c r="I428" s="11">
        <v>3.6565745209887401E-3</v>
      </c>
      <c r="J428" s="11">
        <v>0</v>
      </c>
      <c r="K428" s="11">
        <v>0</v>
      </c>
      <c r="L428" s="11">
        <v>0</v>
      </c>
      <c r="M428" s="11">
        <v>0</v>
      </c>
      <c r="N428" s="11">
        <v>0</v>
      </c>
      <c r="O428" s="11">
        <v>0</v>
      </c>
      <c r="P428" s="11">
        <v>0</v>
      </c>
      <c r="Q428" s="11">
        <v>0</v>
      </c>
      <c r="R428" s="11">
        <v>0</v>
      </c>
      <c r="S428" s="11">
        <v>0</v>
      </c>
      <c r="T428" s="11">
        <v>0</v>
      </c>
      <c r="U428">
        <v>3.04201016031394E-3</v>
      </c>
      <c r="V428">
        <v>0</v>
      </c>
      <c r="W428">
        <v>0</v>
      </c>
      <c r="X428">
        <v>6.4242579982012101E-3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2.2984278753332699E-3</v>
      </c>
      <c r="AJ428">
        <v>3.5915670006823998E-3</v>
      </c>
      <c r="AK428">
        <v>0</v>
      </c>
      <c r="AL428">
        <v>0</v>
      </c>
      <c r="AM428">
        <v>0</v>
      </c>
    </row>
    <row r="429" spans="1:39" customFormat="1" hidden="1" x14ac:dyDescent="0.3">
      <c r="A429" t="s">
        <v>1589</v>
      </c>
      <c r="B429" t="s">
        <v>30</v>
      </c>
      <c r="C429" t="s">
        <v>81</v>
      </c>
      <c r="D429" t="s">
        <v>118</v>
      </c>
      <c r="E429" t="s">
        <v>371</v>
      </c>
      <c r="F429" t="s">
        <v>424</v>
      </c>
      <c r="G429" t="s">
        <v>1588</v>
      </c>
      <c r="H429" s="16">
        <v>0</v>
      </c>
      <c r="I429" s="11">
        <v>0</v>
      </c>
      <c r="J429" s="11">
        <v>0</v>
      </c>
      <c r="K429" s="11">
        <v>0</v>
      </c>
      <c r="L429" s="11">
        <v>0</v>
      </c>
      <c r="M429" s="11">
        <v>0</v>
      </c>
      <c r="N429" s="11">
        <v>0</v>
      </c>
      <c r="O429" s="11">
        <v>3.75023438964935E-3</v>
      </c>
      <c r="P429" s="11">
        <v>0</v>
      </c>
      <c r="Q429" s="11">
        <v>2.7492920572952501E-3</v>
      </c>
      <c r="R429" s="11">
        <v>0</v>
      </c>
      <c r="S429" s="11">
        <v>0</v>
      </c>
      <c r="T429" s="11">
        <v>6.69299243691855E-3</v>
      </c>
      <c r="U429">
        <v>0</v>
      </c>
      <c r="V429">
        <v>3.6144142841652502E-3</v>
      </c>
      <c r="W429">
        <v>0</v>
      </c>
      <c r="X429">
        <v>0</v>
      </c>
      <c r="Y429">
        <v>2.9264581077521898E-3</v>
      </c>
      <c r="Z429">
        <v>0</v>
      </c>
      <c r="AA429">
        <v>0</v>
      </c>
      <c r="AB429">
        <v>4.5118209709438702E-3</v>
      </c>
      <c r="AC429">
        <v>0</v>
      </c>
      <c r="AD429">
        <v>0</v>
      </c>
      <c r="AE429">
        <v>0</v>
      </c>
      <c r="AF429">
        <v>0</v>
      </c>
      <c r="AG429">
        <v>1.1734610058907699E-2</v>
      </c>
      <c r="AH429">
        <v>0</v>
      </c>
      <c r="AI429">
        <v>6.89528362599982E-3</v>
      </c>
      <c r="AJ429">
        <v>3.5915670006823998E-3</v>
      </c>
      <c r="AK429">
        <v>0</v>
      </c>
      <c r="AL429">
        <v>0</v>
      </c>
      <c r="AM429">
        <v>0</v>
      </c>
    </row>
    <row r="430" spans="1:39" customFormat="1" hidden="1" x14ac:dyDescent="0.3">
      <c r="A430" t="s">
        <v>1586</v>
      </c>
      <c r="B430" t="s">
        <v>30</v>
      </c>
      <c r="C430" t="s">
        <v>81</v>
      </c>
      <c r="D430" t="s">
        <v>118</v>
      </c>
      <c r="E430" t="s">
        <v>371</v>
      </c>
      <c r="F430" t="s">
        <v>1585</v>
      </c>
      <c r="G430" t="s">
        <v>1584</v>
      </c>
      <c r="H430" s="16">
        <v>0</v>
      </c>
      <c r="I430" s="11">
        <v>0</v>
      </c>
      <c r="J430" s="11">
        <v>0</v>
      </c>
      <c r="K430" s="11">
        <v>0</v>
      </c>
      <c r="L430" s="11">
        <v>0</v>
      </c>
      <c r="M430" s="11">
        <v>0</v>
      </c>
      <c r="N430" s="11">
        <v>0</v>
      </c>
      <c r="O430" s="11">
        <v>0</v>
      </c>
      <c r="P430" s="11">
        <v>0</v>
      </c>
      <c r="Q430" s="11">
        <v>0</v>
      </c>
      <c r="R430" s="11">
        <v>0</v>
      </c>
      <c r="S430" s="11">
        <v>0</v>
      </c>
      <c r="T430" s="11">
        <v>0</v>
      </c>
      <c r="U430">
        <v>0</v>
      </c>
      <c r="V430">
        <v>7.2288285683305004E-3</v>
      </c>
      <c r="W430">
        <v>5.3336177929489597E-3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1.0067451927917E-2</v>
      </c>
      <c r="AG430">
        <v>1.1734610058907699E-2</v>
      </c>
      <c r="AH430">
        <v>0</v>
      </c>
      <c r="AI430">
        <v>0</v>
      </c>
      <c r="AJ430">
        <v>3.5915670006823998E-3</v>
      </c>
      <c r="AK430">
        <v>0</v>
      </c>
      <c r="AL430">
        <v>0</v>
      </c>
      <c r="AM430">
        <v>0</v>
      </c>
    </row>
    <row r="431" spans="1:39" customFormat="1" hidden="1" x14ac:dyDescent="0.3">
      <c r="A431" t="s">
        <v>1579</v>
      </c>
      <c r="B431" t="s">
        <v>30</v>
      </c>
      <c r="C431" t="s">
        <v>81</v>
      </c>
      <c r="D431" t="s">
        <v>80</v>
      </c>
      <c r="E431" t="s">
        <v>642</v>
      </c>
      <c r="F431" t="s">
        <v>645</v>
      </c>
      <c r="G431" t="s">
        <v>644</v>
      </c>
      <c r="H431" s="16">
        <v>0</v>
      </c>
      <c r="I431" s="11">
        <v>0</v>
      </c>
      <c r="J431" s="11">
        <v>0</v>
      </c>
      <c r="K431" s="11">
        <v>0</v>
      </c>
      <c r="L431" s="11">
        <v>0</v>
      </c>
      <c r="M431" s="11">
        <v>0</v>
      </c>
      <c r="N431" s="11">
        <v>0</v>
      </c>
      <c r="O431" s="11">
        <v>0</v>
      </c>
      <c r="P431" s="11">
        <v>0</v>
      </c>
      <c r="Q431" s="11">
        <v>0</v>
      </c>
      <c r="R431" s="11">
        <v>0</v>
      </c>
      <c r="S431" s="11">
        <v>0</v>
      </c>
      <c r="T431" s="1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</row>
    <row r="432" spans="1:39" customFormat="1" hidden="1" x14ac:dyDescent="0.3">
      <c r="A432" t="s">
        <v>1578</v>
      </c>
      <c r="B432" t="s">
        <v>30</v>
      </c>
      <c r="C432" t="s">
        <v>81</v>
      </c>
      <c r="D432" t="s">
        <v>80</v>
      </c>
      <c r="E432" t="s">
        <v>122</v>
      </c>
      <c r="F432" t="s">
        <v>121</v>
      </c>
      <c r="G432" t="s">
        <v>120</v>
      </c>
      <c r="H432" s="16">
        <v>8.3166999334664E-3</v>
      </c>
      <c r="I432" s="11">
        <v>0</v>
      </c>
      <c r="J432" s="11">
        <v>0</v>
      </c>
      <c r="K432" s="11">
        <v>0</v>
      </c>
      <c r="L432" s="11">
        <v>0</v>
      </c>
      <c r="M432" s="11">
        <v>0</v>
      </c>
      <c r="N432" s="11">
        <v>0</v>
      </c>
      <c r="O432" s="11">
        <v>0</v>
      </c>
      <c r="P432" s="11">
        <v>0</v>
      </c>
      <c r="Q432" s="11">
        <v>0</v>
      </c>
      <c r="R432" s="11">
        <v>2.2441148089136199E-3</v>
      </c>
      <c r="S432" s="11">
        <v>2.4883049666567102E-3</v>
      </c>
      <c r="T432" s="11">
        <v>3.3464962184592698E-3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</row>
    <row r="433" spans="1:39" x14ac:dyDescent="0.3">
      <c r="A433" s="6" t="s">
        <v>1577</v>
      </c>
      <c r="B433" s="6" t="s">
        <v>30</v>
      </c>
      <c r="C433" s="6" t="s">
        <v>29</v>
      </c>
      <c r="D433" s="6" t="s">
        <v>28</v>
      </c>
      <c r="E433" s="6" t="s">
        <v>388</v>
      </c>
      <c r="F433" s="6" t="s">
        <v>624</v>
      </c>
      <c r="G433" s="6" t="s">
        <v>634</v>
      </c>
      <c r="H433" s="49">
        <v>0</v>
      </c>
      <c r="I433" s="6">
        <v>0</v>
      </c>
      <c r="J433" s="6">
        <v>0</v>
      </c>
      <c r="K433" s="6">
        <v>0</v>
      </c>
      <c r="L433" s="6">
        <v>0</v>
      </c>
      <c r="M433" s="6">
        <v>0</v>
      </c>
      <c r="N433" s="6">
        <v>0</v>
      </c>
      <c r="O433" s="6">
        <v>0</v>
      </c>
      <c r="P433" s="6">
        <v>0</v>
      </c>
      <c r="Q433" s="6">
        <v>2.7492920572952501E-3</v>
      </c>
      <c r="R433" s="6">
        <v>4.4882296178272501E-3</v>
      </c>
      <c r="S433" s="6">
        <v>0</v>
      </c>
      <c r="T433" s="6">
        <v>0</v>
      </c>
      <c r="U433" s="6">
        <v>0</v>
      </c>
      <c r="V433" s="6">
        <v>0</v>
      </c>
      <c r="W433" s="6">
        <v>0</v>
      </c>
      <c r="X433" s="6">
        <v>0</v>
      </c>
      <c r="Y433" s="6">
        <v>0</v>
      </c>
      <c r="Z433" s="6">
        <v>0</v>
      </c>
      <c r="AA433" s="6">
        <v>0</v>
      </c>
      <c r="AB433" s="6">
        <v>2.70709258256632E-2</v>
      </c>
      <c r="AC433" s="6">
        <v>0</v>
      </c>
      <c r="AD433" s="6">
        <v>0</v>
      </c>
      <c r="AE433" s="6">
        <v>0</v>
      </c>
      <c r="AF433" s="6">
        <v>0</v>
      </c>
      <c r="AG433" s="6">
        <v>0</v>
      </c>
      <c r="AH433" s="6">
        <v>2.32050865549728E-2</v>
      </c>
      <c r="AI433" s="6">
        <v>0</v>
      </c>
      <c r="AJ433" s="6">
        <v>0</v>
      </c>
      <c r="AK433" s="6">
        <v>0</v>
      </c>
      <c r="AL433" s="6">
        <v>0</v>
      </c>
      <c r="AM433" s="6">
        <v>0</v>
      </c>
    </row>
    <row r="434" spans="1:39" customFormat="1" hidden="1" x14ac:dyDescent="0.3">
      <c r="A434" t="s">
        <v>1576</v>
      </c>
      <c r="B434" t="s">
        <v>30</v>
      </c>
      <c r="C434" t="s">
        <v>111</v>
      </c>
      <c r="D434" t="s">
        <v>141</v>
      </c>
      <c r="E434" t="s">
        <v>140</v>
      </c>
      <c r="F434" t="s">
        <v>276</v>
      </c>
      <c r="G434" t="s">
        <v>275</v>
      </c>
      <c r="H434" s="16">
        <v>0</v>
      </c>
      <c r="I434" s="11">
        <v>0</v>
      </c>
      <c r="J434" s="11">
        <v>0</v>
      </c>
      <c r="K434" s="11">
        <v>0</v>
      </c>
      <c r="L434" s="11">
        <v>0</v>
      </c>
      <c r="M434" s="11">
        <v>0</v>
      </c>
      <c r="N434" s="11">
        <v>0</v>
      </c>
      <c r="O434" s="11">
        <v>0</v>
      </c>
      <c r="P434" s="11">
        <v>0</v>
      </c>
      <c r="Q434" s="11">
        <v>0</v>
      </c>
      <c r="R434" s="11">
        <v>0</v>
      </c>
      <c r="S434" s="11">
        <v>2.4883049666567102E-3</v>
      </c>
      <c r="T434" s="11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</row>
    <row r="435" spans="1:39" customFormat="1" hidden="1" x14ac:dyDescent="0.3">
      <c r="A435" t="s">
        <v>1575</v>
      </c>
      <c r="B435" t="s">
        <v>30</v>
      </c>
      <c r="C435" t="s">
        <v>264</v>
      </c>
      <c r="D435" t="s">
        <v>263</v>
      </c>
      <c r="E435" t="s">
        <v>262</v>
      </c>
      <c r="F435" t="s">
        <v>261</v>
      </c>
      <c r="G435" t="s">
        <v>260</v>
      </c>
      <c r="H435" s="16">
        <v>0</v>
      </c>
      <c r="I435" s="11">
        <v>0</v>
      </c>
      <c r="J435" s="11">
        <v>0</v>
      </c>
      <c r="K435" s="11">
        <v>0</v>
      </c>
      <c r="L435" s="11">
        <v>0</v>
      </c>
      <c r="M435" s="11">
        <v>0</v>
      </c>
      <c r="N435" s="11">
        <v>0</v>
      </c>
      <c r="O435" s="11">
        <v>0</v>
      </c>
      <c r="P435" s="11">
        <v>0</v>
      </c>
      <c r="Q435" s="11">
        <v>0</v>
      </c>
      <c r="R435" s="11">
        <v>0</v>
      </c>
      <c r="S435" s="11">
        <v>0</v>
      </c>
      <c r="T435" s="11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7.1831340013647996E-3</v>
      </c>
      <c r="AK435">
        <v>0</v>
      </c>
      <c r="AL435">
        <v>0</v>
      </c>
      <c r="AM435">
        <v>0</v>
      </c>
    </row>
    <row r="436" spans="1:39" customFormat="1" hidden="1" x14ac:dyDescent="0.3">
      <c r="A436" t="s">
        <v>1573</v>
      </c>
      <c r="B436" t="s">
        <v>30</v>
      </c>
      <c r="C436" t="s">
        <v>81</v>
      </c>
      <c r="D436" t="s">
        <v>80</v>
      </c>
      <c r="E436" t="s">
        <v>618</v>
      </c>
      <c r="F436" t="s">
        <v>629</v>
      </c>
      <c r="G436" t="s">
        <v>1572</v>
      </c>
      <c r="H436" s="16">
        <v>0</v>
      </c>
      <c r="I436" s="11">
        <v>0</v>
      </c>
      <c r="J436" s="11">
        <v>0</v>
      </c>
      <c r="K436" s="11">
        <v>0</v>
      </c>
      <c r="L436" s="11">
        <v>0</v>
      </c>
      <c r="M436" s="11">
        <v>0</v>
      </c>
      <c r="N436" s="11">
        <v>0</v>
      </c>
      <c r="O436" s="11">
        <v>3.75023438964935E-3</v>
      </c>
      <c r="P436" s="11">
        <v>0</v>
      </c>
      <c r="Q436" s="11">
        <v>0</v>
      </c>
      <c r="R436" s="11">
        <v>2.2441148089136199E-3</v>
      </c>
      <c r="S436" s="11">
        <v>0</v>
      </c>
      <c r="T436" s="11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3.4299434059338E-3</v>
      </c>
      <c r="AF436">
        <v>0</v>
      </c>
      <c r="AG436">
        <v>9.3876880471262004E-3</v>
      </c>
      <c r="AH436">
        <v>0</v>
      </c>
      <c r="AI436">
        <v>4.5968557506665397E-3</v>
      </c>
      <c r="AJ436">
        <v>0</v>
      </c>
      <c r="AK436">
        <v>0</v>
      </c>
      <c r="AL436">
        <v>0</v>
      </c>
      <c r="AM436">
        <v>0</v>
      </c>
    </row>
    <row r="437" spans="1:39" customFormat="1" hidden="1" x14ac:dyDescent="0.3">
      <c r="A437" t="s">
        <v>1571</v>
      </c>
      <c r="B437" t="s">
        <v>30</v>
      </c>
      <c r="C437" t="s">
        <v>81</v>
      </c>
      <c r="D437" t="s">
        <v>118</v>
      </c>
      <c r="E437" t="s">
        <v>371</v>
      </c>
      <c r="F437" t="s">
        <v>424</v>
      </c>
      <c r="G437" t="s">
        <v>1560</v>
      </c>
      <c r="H437" s="16">
        <v>0</v>
      </c>
      <c r="I437" s="11">
        <v>0</v>
      </c>
      <c r="J437" s="11">
        <v>0</v>
      </c>
      <c r="K437" s="11">
        <v>0</v>
      </c>
      <c r="L437" s="11">
        <v>0</v>
      </c>
      <c r="M437" s="11">
        <v>0</v>
      </c>
      <c r="N437" s="11">
        <v>0</v>
      </c>
      <c r="O437" s="11">
        <v>0</v>
      </c>
      <c r="P437" s="11">
        <v>0</v>
      </c>
      <c r="Q437" s="11">
        <v>0</v>
      </c>
      <c r="R437" s="11">
        <v>0</v>
      </c>
      <c r="S437" s="11">
        <v>0</v>
      </c>
      <c r="T437" s="11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6.8598868118676E-3</v>
      </c>
      <c r="AF437">
        <v>2.0134903855834101E-2</v>
      </c>
      <c r="AG437">
        <v>2.3469220117815501E-3</v>
      </c>
      <c r="AH437">
        <v>1.39230519329837E-2</v>
      </c>
      <c r="AI437">
        <v>0</v>
      </c>
      <c r="AJ437">
        <v>0</v>
      </c>
      <c r="AK437">
        <v>0</v>
      </c>
      <c r="AL437">
        <v>0</v>
      </c>
      <c r="AM437">
        <v>0</v>
      </c>
    </row>
    <row r="438" spans="1:39" customFormat="1" hidden="1" x14ac:dyDescent="0.3">
      <c r="A438" t="s">
        <v>1570</v>
      </c>
      <c r="B438" t="s">
        <v>30</v>
      </c>
      <c r="C438" t="s">
        <v>81</v>
      </c>
      <c r="D438" t="s">
        <v>80</v>
      </c>
      <c r="E438" t="s">
        <v>618</v>
      </c>
      <c r="F438" t="s">
        <v>617</v>
      </c>
      <c r="G438" t="s">
        <v>1569</v>
      </c>
      <c r="H438" s="16">
        <v>0</v>
      </c>
      <c r="I438" s="11">
        <v>3.6565745209887401E-3</v>
      </c>
      <c r="J438" s="11">
        <v>0</v>
      </c>
      <c r="K438" s="11">
        <v>0</v>
      </c>
      <c r="L438" s="11">
        <v>0</v>
      </c>
      <c r="M438" s="11">
        <v>0</v>
      </c>
      <c r="N438" s="11">
        <v>0</v>
      </c>
      <c r="O438" s="11">
        <v>0</v>
      </c>
      <c r="P438" s="11">
        <v>0</v>
      </c>
      <c r="Q438" s="11">
        <v>0</v>
      </c>
      <c r="R438" s="11">
        <v>0</v>
      </c>
      <c r="S438" s="11">
        <v>0</v>
      </c>
      <c r="T438" s="11">
        <v>0</v>
      </c>
      <c r="U438">
        <v>0</v>
      </c>
      <c r="V438">
        <v>0</v>
      </c>
      <c r="W438">
        <v>0</v>
      </c>
      <c r="X438">
        <v>0</v>
      </c>
      <c r="Y438">
        <v>5.8529162155043701E-3</v>
      </c>
      <c r="Z438">
        <v>0</v>
      </c>
      <c r="AA438">
        <v>0</v>
      </c>
      <c r="AB438">
        <v>9.0236419418877507E-3</v>
      </c>
      <c r="AC438">
        <v>1.43822810297713E-2</v>
      </c>
      <c r="AD438">
        <v>3.14564328405159E-3</v>
      </c>
      <c r="AE438">
        <v>3.4299434059338E-3</v>
      </c>
      <c r="AF438">
        <v>0</v>
      </c>
      <c r="AG438">
        <v>2.3469220117815501E-3</v>
      </c>
      <c r="AH438">
        <v>0</v>
      </c>
      <c r="AI438">
        <v>4.5968557506665397E-3</v>
      </c>
      <c r="AJ438">
        <v>0</v>
      </c>
      <c r="AK438">
        <v>0</v>
      </c>
      <c r="AL438">
        <v>0</v>
      </c>
      <c r="AM438">
        <v>0</v>
      </c>
    </row>
    <row r="439" spans="1:39" customFormat="1" hidden="1" x14ac:dyDescent="0.3">
      <c r="A439" t="s">
        <v>1568</v>
      </c>
      <c r="B439" t="s">
        <v>30</v>
      </c>
      <c r="C439" t="s">
        <v>81</v>
      </c>
      <c r="D439" t="s">
        <v>80</v>
      </c>
      <c r="E439" t="s">
        <v>618</v>
      </c>
      <c r="F439" t="s">
        <v>629</v>
      </c>
      <c r="G439" t="s">
        <v>628</v>
      </c>
      <c r="H439" s="16">
        <v>4.1583499667332E-3</v>
      </c>
      <c r="I439" s="11">
        <v>0</v>
      </c>
      <c r="J439" s="11">
        <v>0</v>
      </c>
      <c r="K439" s="11">
        <v>0</v>
      </c>
      <c r="L439" s="11">
        <v>0</v>
      </c>
      <c r="M439" s="11">
        <v>0</v>
      </c>
      <c r="N439" s="11">
        <v>0</v>
      </c>
      <c r="O439" s="11">
        <v>0</v>
      </c>
      <c r="P439" s="11">
        <v>0</v>
      </c>
      <c r="Q439" s="11">
        <v>0</v>
      </c>
      <c r="R439" s="11">
        <v>0</v>
      </c>
      <c r="S439" s="11">
        <v>0</v>
      </c>
      <c r="T439" s="11">
        <v>0</v>
      </c>
      <c r="U439">
        <v>0</v>
      </c>
      <c r="V439">
        <v>3.6144142841652502E-3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5.03372596395852E-3</v>
      </c>
      <c r="AG439">
        <v>2.3469220117815501E-3</v>
      </c>
      <c r="AH439">
        <v>4.6410173109945703E-3</v>
      </c>
      <c r="AI439">
        <v>1.14921393766664E-2</v>
      </c>
      <c r="AJ439">
        <v>0</v>
      </c>
      <c r="AK439">
        <v>0</v>
      </c>
      <c r="AL439">
        <v>0</v>
      </c>
      <c r="AM439">
        <v>0</v>
      </c>
    </row>
    <row r="440" spans="1:39" customFormat="1" hidden="1" x14ac:dyDescent="0.3">
      <c r="A440" t="s">
        <v>1567</v>
      </c>
      <c r="B440" t="s">
        <v>30</v>
      </c>
      <c r="C440" t="s">
        <v>1335</v>
      </c>
      <c r="D440" t="s">
        <v>1566</v>
      </c>
      <c r="E440" t="s">
        <v>1565</v>
      </c>
      <c r="F440" t="s">
        <v>1564</v>
      </c>
      <c r="G440" t="s">
        <v>1563</v>
      </c>
      <c r="H440" s="16">
        <v>0</v>
      </c>
      <c r="I440" s="11">
        <v>0</v>
      </c>
      <c r="J440" s="11">
        <v>0</v>
      </c>
      <c r="K440" s="11">
        <v>0</v>
      </c>
      <c r="L440" s="11">
        <v>0</v>
      </c>
      <c r="M440" s="11">
        <v>0</v>
      </c>
      <c r="N440" s="11">
        <v>0</v>
      </c>
      <c r="O440" s="11">
        <v>3.75023438964935E-3</v>
      </c>
      <c r="P440" s="11">
        <v>0</v>
      </c>
      <c r="Q440" s="11">
        <v>0</v>
      </c>
      <c r="R440" s="11">
        <v>0</v>
      </c>
      <c r="S440" s="11">
        <v>0</v>
      </c>
      <c r="T440" s="11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</row>
    <row r="441" spans="1:39" customFormat="1" hidden="1" x14ac:dyDescent="0.3">
      <c r="A441" t="s">
        <v>1562</v>
      </c>
      <c r="B441" t="s">
        <v>30</v>
      </c>
      <c r="C441" t="s">
        <v>526</v>
      </c>
      <c r="D441" t="s">
        <v>525</v>
      </c>
      <c r="E441" t="s">
        <v>524</v>
      </c>
      <c r="F441" t="s">
        <v>523</v>
      </c>
      <c r="G441" t="s">
        <v>522</v>
      </c>
      <c r="H441" s="16">
        <v>4.1583499667332E-3</v>
      </c>
      <c r="I441" s="11">
        <v>0</v>
      </c>
      <c r="J441" s="11">
        <v>0</v>
      </c>
      <c r="K441" s="11">
        <v>0</v>
      </c>
      <c r="L441" s="11">
        <v>0</v>
      </c>
      <c r="M441" s="11">
        <v>0</v>
      </c>
      <c r="N441" s="11">
        <v>0</v>
      </c>
      <c r="O441" s="11">
        <v>0</v>
      </c>
      <c r="P441" s="11">
        <v>0</v>
      </c>
      <c r="Q441" s="11">
        <v>0</v>
      </c>
      <c r="R441" s="11">
        <v>0</v>
      </c>
      <c r="S441" s="11">
        <v>0</v>
      </c>
      <c r="T441" s="11">
        <v>0</v>
      </c>
      <c r="U441">
        <v>3.04201016031394E-3</v>
      </c>
      <c r="V441">
        <v>0</v>
      </c>
      <c r="W441">
        <v>8.0004266894234399E-3</v>
      </c>
      <c r="X441">
        <v>6.4242579982012101E-3</v>
      </c>
      <c r="Y441">
        <v>5.8529162155043701E-3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</row>
    <row r="442" spans="1:39" customFormat="1" hidden="1" x14ac:dyDescent="0.3">
      <c r="A442" t="s">
        <v>1561</v>
      </c>
      <c r="B442" t="s">
        <v>30</v>
      </c>
      <c r="C442" t="s">
        <v>81</v>
      </c>
      <c r="D442" t="s">
        <v>118</v>
      </c>
      <c r="E442" t="s">
        <v>371</v>
      </c>
      <c r="F442" t="s">
        <v>424</v>
      </c>
      <c r="G442" t="s">
        <v>1560</v>
      </c>
      <c r="H442" s="16">
        <v>0</v>
      </c>
      <c r="I442" s="11">
        <v>0</v>
      </c>
      <c r="J442" s="11">
        <v>0</v>
      </c>
      <c r="K442" s="11">
        <v>0</v>
      </c>
      <c r="L442" s="11">
        <v>0</v>
      </c>
      <c r="M442" s="11">
        <v>0</v>
      </c>
      <c r="N442" s="11">
        <v>0</v>
      </c>
      <c r="O442" s="11">
        <v>0</v>
      </c>
      <c r="P442" s="11">
        <v>0</v>
      </c>
      <c r="Q442" s="11">
        <v>0</v>
      </c>
      <c r="R442" s="11">
        <v>0</v>
      </c>
      <c r="S442" s="11">
        <v>0</v>
      </c>
      <c r="T442" s="11">
        <v>0</v>
      </c>
      <c r="U442">
        <v>0</v>
      </c>
      <c r="V442">
        <v>0</v>
      </c>
      <c r="W442">
        <v>8.0004266894234399E-3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3.4299434059338E-3</v>
      </c>
      <c r="AF442">
        <v>0</v>
      </c>
      <c r="AG442">
        <v>1.1734610058907699E-2</v>
      </c>
      <c r="AH442">
        <v>0</v>
      </c>
      <c r="AI442">
        <v>2.2984278753332699E-3</v>
      </c>
      <c r="AJ442">
        <v>0</v>
      </c>
      <c r="AK442">
        <v>0</v>
      </c>
      <c r="AL442">
        <v>0</v>
      </c>
      <c r="AM442">
        <v>0</v>
      </c>
    </row>
    <row r="443" spans="1:39" customFormat="1" hidden="1" x14ac:dyDescent="0.3">
      <c r="A443" t="s">
        <v>1557</v>
      </c>
      <c r="B443" t="s">
        <v>30</v>
      </c>
      <c r="C443" t="s">
        <v>29</v>
      </c>
      <c r="D443" t="s">
        <v>28</v>
      </c>
      <c r="E443" t="s">
        <v>27</v>
      </c>
      <c r="F443" t="s">
        <v>26</v>
      </c>
      <c r="G443" t="s">
        <v>25</v>
      </c>
      <c r="H443" s="16">
        <v>0</v>
      </c>
      <c r="I443" s="11">
        <v>0</v>
      </c>
      <c r="J443" s="11">
        <v>0</v>
      </c>
      <c r="K443" s="11">
        <v>0</v>
      </c>
      <c r="L443" s="11">
        <v>0</v>
      </c>
      <c r="M443" s="11">
        <v>0</v>
      </c>
      <c r="N443" s="11">
        <v>2.75014896640235E-2</v>
      </c>
      <c r="O443" s="11">
        <v>3.75023438964935E-3</v>
      </c>
      <c r="P443" s="11">
        <v>0</v>
      </c>
      <c r="Q443" s="11">
        <v>0</v>
      </c>
      <c r="R443" s="11">
        <v>0</v>
      </c>
      <c r="S443" s="11">
        <v>0</v>
      </c>
      <c r="T443" s="11">
        <v>0</v>
      </c>
      <c r="U443">
        <v>0</v>
      </c>
      <c r="V443">
        <v>0</v>
      </c>
      <c r="W443">
        <v>0</v>
      </c>
      <c r="X443">
        <v>3.2121289991005997E-2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9.2820346219891405E-3</v>
      </c>
      <c r="AI443">
        <v>0</v>
      </c>
      <c r="AJ443">
        <v>0</v>
      </c>
      <c r="AK443">
        <v>1.8081002892960499E-2</v>
      </c>
      <c r="AL443">
        <v>3.5844863431070302E-3</v>
      </c>
      <c r="AM443">
        <v>0</v>
      </c>
    </row>
    <row r="444" spans="1:39" customFormat="1" hidden="1" x14ac:dyDescent="0.3">
      <c r="A444" t="s">
        <v>1556</v>
      </c>
      <c r="B444" t="s">
        <v>30</v>
      </c>
      <c r="C444" t="s">
        <v>111</v>
      </c>
      <c r="D444" t="s">
        <v>141</v>
      </c>
      <c r="E444" t="s">
        <v>140</v>
      </c>
      <c r="F444" t="s">
        <v>199</v>
      </c>
      <c r="G444" t="s">
        <v>1313</v>
      </c>
      <c r="H444" s="16">
        <v>4.1583499667332E-3</v>
      </c>
      <c r="I444" s="11">
        <v>0</v>
      </c>
      <c r="J444" s="11">
        <v>4.3593879419329502E-3</v>
      </c>
      <c r="K444" s="11">
        <v>2.26359572180409E-2</v>
      </c>
      <c r="L444" s="11">
        <v>0</v>
      </c>
      <c r="M444" s="11">
        <v>0</v>
      </c>
      <c r="N444" s="11">
        <v>0</v>
      </c>
      <c r="O444" s="11">
        <v>0</v>
      </c>
      <c r="P444" s="11">
        <v>0</v>
      </c>
      <c r="Q444" s="11">
        <v>0</v>
      </c>
      <c r="R444" s="11">
        <v>0</v>
      </c>
      <c r="S444" s="11">
        <v>0</v>
      </c>
      <c r="T444" s="11">
        <v>3.3464962184592698E-3</v>
      </c>
      <c r="U444">
        <v>3.04201016031394E-3</v>
      </c>
      <c r="V444">
        <v>3.6144142841652502E-3</v>
      </c>
      <c r="W444">
        <v>8.0004266894234399E-3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4.6410173109945703E-3</v>
      </c>
      <c r="AI444">
        <v>0</v>
      </c>
      <c r="AJ444">
        <v>3.5915670006823998E-3</v>
      </c>
      <c r="AK444">
        <v>0</v>
      </c>
      <c r="AL444">
        <v>0</v>
      </c>
      <c r="AM444">
        <v>0</v>
      </c>
    </row>
    <row r="445" spans="1:39" customFormat="1" hidden="1" x14ac:dyDescent="0.3">
      <c r="A445" t="s">
        <v>1555</v>
      </c>
      <c r="B445" t="s">
        <v>30</v>
      </c>
      <c r="C445" t="s">
        <v>81</v>
      </c>
      <c r="D445" t="s">
        <v>80</v>
      </c>
      <c r="E445" t="s">
        <v>618</v>
      </c>
      <c r="F445" t="s">
        <v>629</v>
      </c>
      <c r="G445" t="s">
        <v>628</v>
      </c>
      <c r="H445" s="16">
        <v>0</v>
      </c>
      <c r="I445" s="11">
        <v>0</v>
      </c>
      <c r="J445" s="11">
        <v>0</v>
      </c>
      <c r="K445" s="11">
        <v>0</v>
      </c>
      <c r="L445" s="11">
        <v>0</v>
      </c>
      <c r="M445" s="11">
        <v>0</v>
      </c>
      <c r="N445" s="11">
        <v>0</v>
      </c>
      <c r="O445" s="11">
        <v>0</v>
      </c>
      <c r="P445" s="11">
        <v>0</v>
      </c>
      <c r="Q445" s="11">
        <v>0</v>
      </c>
      <c r="R445" s="11">
        <v>2.2441148089136199E-3</v>
      </c>
      <c r="S445" s="11">
        <v>0</v>
      </c>
      <c r="T445" s="11">
        <v>3.3464962184592698E-3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3.5915670006823998E-3</v>
      </c>
      <c r="AK445">
        <v>0</v>
      </c>
      <c r="AL445">
        <v>0</v>
      </c>
      <c r="AM445">
        <v>0</v>
      </c>
    </row>
    <row r="446" spans="1:39" customFormat="1" hidden="1" x14ac:dyDescent="0.3">
      <c r="A446" t="s">
        <v>1554</v>
      </c>
      <c r="B446" t="s">
        <v>30</v>
      </c>
      <c r="C446" t="s">
        <v>29</v>
      </c>
      <c r="D446" t="s">
        <v>28</v>
      </c>
      <c r="E446" t="s">
        <v>27</v>
      </c>
      <c r="F446" t="s">
        <v>26</v>
      </c>
      <c r="G446" t="s">
        <v>25</v>
      </c>
      <c r="H446" s="16">
        <v>0</v>
      </c>
      <c r="I446" s="11">
        <v>3.6565745209887401E-3</v>
      </c>
      <c r="J446" s="11">
        <v>0</v>
      </c>
      <c r="K446" s="11">
        <v>0</v>
      </c>
      <c r="L446" s="11">
        <v>0</v>
      </c>
      <c r="M446" s="11">
        <v>0</v>
      </c>
      <c r="N446" s="11">
        <v>1.37507448320117E-2</v>
      </c>
      <c r="O446" s="11">
        <v>3.75023438964935E-3</v>
      </c>
      <c r="P446" s="11">
        <v>0</v>
      </c>
      <c r="Q446" s="11">
        <v>0</v>
      </c>
      <c r="R446" s="11">
        <v>0</v>
      </c>
      <c r="S446" s="11">
        <v>0</v>
      </c>
      <c r="T446" s="11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3.5915670006823998E-3</v>
      </c>
      <c r="AK446">
        <v>0</v>
      </c>
      <c r="AL446">
        <v>0</v>
      </c>
      <c r="AM446">
        <v>0</v>
      </c>
    </row>
    <row r="447" spans="1:39" customFormat="1" hidden="1" x14ac:dyDescent="0.3">
      <c r="A447" t="s">
        <v>1553</v>
      </c>
      <c r="B447" t="s">
        <v>30</v>
      </c>
      <c r="C447" t="s">
        <v>81</v>
      </c>
      <c r="D447" t="s">
        <v>85</v>
      </c>
      <c r="E447" t="s">
        <v>287</v>
      </c>
      <c r="F447" t="s">
        <v>1254</v>
      </c>
      <c r="G447" t="s">
        <v>1253</v>
      </c>
      <c r="H447" s="16">
        <v>0</v>
      </c>
      <c r="I447" s="11">
        <v>0</v>
      </c>
      <c r="J447" s="11">
        <v>0</v>
      </c>
      <c r="K447" s="11">
        <v>0</v>
      </c>
      <c r="L447" s="11">
        <v>0</v>
      </c>
      <c r="M447" s="11">
        <v>0</v>
      </c>
      <c r="N447" s="11">
        <v>0</v>
      </c>
      <c r="O447" s="11">
        <v>0</v>
      </c>
      <c r="P447" s="11">
        <v>0</v>
      </c>
      <c r="Q447" s="11">
        <v>2.7492920572952501E-3</v>
      </c>
      <c r="R447" s="11">
        <v>0</v>
      </c>
      <c r="S447" s="11">
        <v>2.4883049666567102E-3</v>
      </c>
      <c r="T447" s="11">
        <v>0</v>
      </c>
      <c r="U447">
        <v>0</v>
      </c>
      <c r="V447">
        <v>0</v>
      </c>
      <c r="W447">
        <v>2.6668088964744798E-3</v>
      </c>
      <c r="X447">
        <v>0</v>
      </c>
      <c r="Y447">
        <v>2.9264581077521898E-3</v>
      </c>
      <c r="Z447">
        <v>3.1774275546517499E-3</v>
      </c>
      <c r="AA447">
        <v>0</v>
      </c>
      <c r="AB447">
        <v>9.0236419418877507E-3</v>
      </c>
      <c r="AC447">
        <v>7.1911405148856597E-3</v>
      </c>
      <c r="AD447">
        <v>0</v>
      </c>
      <c r="AE447">
        <v>3.4299434059338E-3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</row>
    <row r="448" spans="1:39" customFormat="1" hidden="1" x14ac:dyDescent="0.3">
      <c r="A448" t="s">
        <v>1552</v>
      </c>
      <c r="B448" t="s">
        <v>30</v>
      </c>
      <c r="C448" t="s">
        <v>35</v>
      </c>
      <c r="D448" t="s">
        <v>170</v>
      </c>
      <c r="E448" t="s">
        <v>169</v>
      </c>
      <c r="F448" t="s">
        <v>1551</v>
      </c>
      <c r="G448" t="s">
        <v>1550</v>
      </c>
      <c r="H448" s="16">
        <v>4.1583499667332E-3</v>
      </c>
      <c r="I448" s="11">
        <v>0</v>
      </c>
      <c r="J448" s="11">
        <v>0</v>
      </c>
      <c r="K448" s="11">
        <v>1.1317978609020399E-2</v>
      </c>
      <c r="L448" s="11">
        <v>0</v>
      </c>
      <c r="M448" s="11">
        <v>0</v>
      </c>
      <c r="N448" s="11">
        <v>0</v>
      </c>
      <c r="O448" s="11">
        <v>0</v>
      </c>
      <c r="P448" s="11">
        <v>0</v>
      </c>
      <c r="Q448" s="11">
        <v>0</v>
      </c>
      <c r="R448" s="11">
        <v>0</v>
      </c>
      <c r="S448" s="11">
        <v>0</v>
      </c>
      <c r="T448" s="11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</row>
    <row r="449" spans="1:39" customFormat="1" hidden="1" x14ac:dyDescent="0.3">
      <c r="A449" t="s">
        <v>1549</v>
      </c>
      <c r="B449" t="s">
        <v>30</v>
      </c>
      <c r="C449" t="s">
        <v>81</v>
      </c>
      <c r="D449" t="s">
        <v>85</v>
      </c>
      <c r="E449" t="s">
        <v>314</v>
      </c>
      <c r="F449" t="s">
        <v>313</v>
      </c>
      <c r="G449" t="s">
        <v>312</v>
      </c>
      <c r="H449" s="16">
        <v>0</v>
      </c>
      <c r="I449" s="11">
        <v>0</v>
      </c>
      <c r="J449" s="11">
        <v>0</v>
      </c>
      <c r="K449" s="11">
        <v>0</v>
      </c>
      <c r="L449" s="11">
        <v>0</v>
      </c>
      <c r="M449" s="11">
        <v>0</v>
      </c>
      <c r="N449" s="11">
        <v>0</v>
      </c>
      <c r="O449" s="11">
        <v>0</v>
      </c>
      <c r="P449" s="11">
        <v>0</v>
      </c>
      <c r="Q449" s="11">
        <v>0</v>
      </c>
      <c r="R449" s="11">
        <v>2.2441148089136199E-3</v>
      </c>
      <c r="S449" s="11">
        <v>0</v>
      </c>
      <c r="T449" s="11">
        <v>0</v>
      </c>
      <c r="U449">
        <v>6.0840203206278696E-3</v>
      </c>
      <c r="V449">
        <v>1.4457657136661001E-2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4.6410173109945703E-3</v>
      </c>
      <c r="AI449">
        <v>0</v>
      </c>
      <c r="AJ449">
        <v>0</v>
      </c>
      <c r="AK449">
        <v>6.02700096432015E-3</v>
      </c>
      <c r="AL449">
        <v>0</v>
      </c>
      <c r="AM449">
        <v>0</v>
      </c>
    </row>
    <row r="450" spans="1:39" customFormat="1" hidden="1" x14ac:dyDescent="0.3">
      <c r="A450" t="s">
        <v>1548</v>
      </c>
      <c r="B450" t="s">
        <v>30</v>
      </c>
      <c r="C450" t="s">
        <v>111</v>
      </c>
      <c r="D450" t="s">
        <v>297</v>
      </c>
      <c r="E450" t="s">
        <v>1490</v>
      </c>
      <c r="F450" t="s">
        <v>1547</v>
      </c>
      <c r="G450" t="s">
        <v>1546</v>
      </c>
      <c r="H450" s="16">
        <v>0</v>
      </c>
      <c r="I450" s="11">
        <v>0</v>
      </c>
      <c r="J450" s="11">
        <v>4.3593879419329502E-3</v>
      </c>
      <c r="K450" s="11">
        <v>5.6589893045102101E-3</v>
      </c>
      <c r="L450" s="11">
        <v>0</v>
      </c>
      <c r="M450" s="11">
        <v>0</v>
      </c>
      <c r="N450" s="11">
        <v>9.1671632213411597E-3</v>
      </c>
      <c r="O450" s="11">
        <v>0</v>
      </c>
      <c r="P450" s="11">
        <v>0</v>
      </c>
      <c r="Q450" s="11">
        <v>0</v>
      </c>
      <c r="R450" s="11">
        <v>0</v>
      </c>
      <c r="S450" s="11">
        <v>0</v>
      </c>
      <c r="T450" s="11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</row>
    <row r="451" spans="1:39" customFormat="1" hidden="1" x14ac:dyDescent="0.3">
      <c r="A451" t="s">
        <v>1545</v>
      </c>
      <c r="B451" t="s">
        <v>30</v>
      </c>
      <c r="C451" t="s">
        <v>81</v>
      </c>
      <c r="D451" t="s">
        <v>85</v>
      </c>
      <c r="E451" t="s">
        <v>287</v>
      </c>
      <c r="F451" t="s">
        <v>1250</v>
      </c>
      <c r="G451" t="s">
        <v>1250</v>
      </c>
      <c r="H451" s="16">
        <v>0</v>
      </c>
      <c r="I451" s="11">
        <v>0</v>
      </c>
      <c r="J451" s="11">
        <v>0</v>
      </c>
      <c r="K451" s="11">
        <v>0</v>
      </c>
      <c r="L451" s="11">
        <v>0</v>
      </c>
      <c r="M451" s="11">
        <v>0</v>
      </c>
      <c r="N451" s="11">
        <v>0</v>
      </c>
      <c r="O451" s="11">
        <v>0</v>
      </c>
      <c r="P451" s="11">
        <v>0</v>
      </c>
      <c r="Q451" s="11">
        <v>0</v>
      </c>
      <c r="R451" s="11">
        <v>0</v>
      </c>
      <c r="S451" s="11">
        <v>0</v>
      </c>
      <c r="T451" s="11">
        <v>3.3464962184592698E-3</v>
      </c>
      <c r="U451">
        <v>6.0840203206278696E-3</v>
      </c>
      <c r="V451">
        <v>3.6144142841652502E-3</v>
      </c>
      <c r="W451">
        <v>2.6668088964744798E-3</v>
      </c>
      <c r="X451">
        <v>0</v>
      </c>
      <c r="Y451">
        <v>0</v>
      </c>
      <c r="Z451">
        <v>6.3548551093035102E-3</v>
      </c>
      <c r="AA451">
        <v>0</v>
      </c>
      <c r="AB451">
        <v>0</v>
      </c>
      <c r="AC451">
        <v>7.1911405148856597E-3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6.02700096432015E-3</v>
      </c>
      <c r="AL451">
        <v>0</v>
      </c>
      <c r="AM451">
        <v>0</v>
      </c>
    </row>
    <row r="452" spans="1:39" customFormat="1" hidden="1" x14ac:dyDescent="0.3">
      <c r="A452" t="s">
        <v>1544</v>
      </c>
      <c r="B452" t="s">
        <v>30</v>
      </c>
      <c r="C452" t="s">
        <v>81</v>
      </c>
      <c r="D452" t="s">
        <v>80</v>
      </c>
      <c r="E452" t="s">
        <v>618</v>
      </c>
      <c r="F452" t="s">
        <v>629</v>
      </c>
      <c r="G452" t="s">
        <v>628</v>
      </c>
      <c r="H452" s="16">
        <v>0</v>
      </c>
      <c r="I452" s="11">
        <v>0</v>
      </c>
      <c r="J452" s="11">
        <v>0</v>
      </c>
      <c r="K452" s="11">
        <v>0</v>
      </c>
      <c r="L452" s="11">
        <v>0</v>
      </c>
      <c r="M452" s="11">
        <v>0</v>
      </c>
      <c r="N452" s="11">
        <v>0</v>
      </c>
      <c r="O452" s="11">
        <v>0</v>
      </c>
      <c r="P452" s="11">
        <v>0</v>
      </c>
      <c r="Q452" s="11">
        <v>0</v>
      </c>
      <c r="R452" s="11">
        <v>2.2441148089136199E-3</v>
      </c>
      <c r="S452" s="11">
        <v>0</v>
      </c>
      <c r="T452" s="11">
        <v>0</v>
      </c>
      <c r="U452">
        <v>0</v>
      </c>
      <c r="V452">
        <v>3.6144142841652502E-3</v>
      </c>
      <c r="W452">
        <v>0</v>
      </c>
      <c r="X452">
        <v>0</v>
      </c>
      <c r="Y452">
        <v>0</v>
      </c>
      <c r="Z452">
        <v>3.1774275546517499E-3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9.3876880471262004E-3</v>
      </c>
      <c r="AH452">
        <v>0</v>
      </c>
      <c r="AI452">
        <v>4.5968557506665397E-3</v>
      </c>
      <c r="AJ452">
        <v>0</v>
      </c>
      <c r="AK452">
        <v>0</v>
      </c>
      <c r="AL452">
        <v>0</v>
      </c>
      <c r="AM452">
        <v>0</v>
      </c>
    </row>
    <row r="453" spans="1:39" customFormat="1" hidden="1" x14ac:dyDescent="0.3">
      <c r="A453" t="s">
        <v>1543</v>
      </c>
      <c r="B453" t="s">
        <v>30</v>
      </c>
      <c r="C453" t="s">
        <v>264</v>
      </c>
      <c r="D453" t="s">
        <v>263</v>
      </c>
      <c r="E453" t="s">
        <v>262</v>
      </c>
      <c r="F453" t="s">
        <v>261</v>
      </c>
      <c r="G453" t="s">
        <v>260</v>
      </c>
      <c r="H453" s="16">
        <v>0</v>
      </c>
      <c r="I453" s="11">
        <v>0</v>
      </c>
      <c r="J453" s="11">
        <v>0</v>
      </c>
      <c r="K453" s="11">
        <v>0</v>
      </c>
      <c r="L453" s="11">
        <v>0</v>
      </c>
      <c r="M453" s="11">
        <v>0</v>
      </c>
      <c r="N453" s="11">
        <v>1.8334326442682299E-2</v>
      </c>
      <c r="O453" s="11">
        <v>0</v>
      </c>
      <c r="P453" s="11">
        <v>3.3947788301592198E-3</v>
      </c>
      <c r="Q453" s="11">
        <v>0</v>
      </c>
      <c r="R453" s="11">
        <v>0</v>
      </c>
      <c r="S453" s="11">
        <v>0</v>
      </c>
      <c r="T453" s="11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</row>
    <row r="454" spans="1:39" customFormat="1" hidden="1" x14ac:dyDescent="0.3">
      <c r="A454" t="s">
        <v>1542</v>
      </c>
      <c r="B454" t="s">
        <v>30</v>
      </c>
      <c r="C454" t="s">
        <v>81</v>
      </c>
      <c r="D454" t="s">
        <v>351</v>
      </c>
      <c r="E454" t="s">
        <v>351</v>
      </c>
      <c r="F454" t="s">
        <v>351</v>
      </c>
      <c r="G454" t="s">
        <v>351</v>
      </c>
      <c r="H454" s="16">
        <v>0</v>
      </c>
      <c r="I454" s="11">
        <v>0</v>
      </c>
      <c r="J454" s="11">
        <v>0</v>
      </c>
      <c r="K454" s="11">
        <v>5.6589893045102101E-3</v>
      </c>
      <c r="L454" s="11">
        <v>0</v>
      </c>
      <c r="M454" s="11">
        <v>0</v>
      </c>
      <c r="N454" s="11">
        <v>0</v>
      </c>
      <c r="O454" s="11">
        <v>0</v>
      </c>
      <c r="P454" s="11">
        <v>0</v>
      </c>
      <c r="Q454" s="11">
        <v>0</v>
      </c>
      <c r="R454" s="11">
        <v>0</v>
      </c>
      <c r="S454" s="11">
        <v>0</v>
      </c>
      <c r="T454" s="11">
        <v>0</v>
      </c>
      <c r="U454">
        <v>6.0840203206278696E-3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</row>
    <row r="455" spans="1:39" customFormat="1" hidden="1" x14ac:dyDescent="0.3">
      <c r="A455" t="s">
        <v>1541</v>
      </c>
      <c r="B455" t="s">
        <v>30</v>
      </c>
      <c r="C455" t="s">
        <v>111</v>
      </c>
      <c r="D455" t="s">
        <v>141</v>
      </c>
      <c r="E455" t="s">
        <v>140</v>
      </c>
      <c r="F455" t="s">
        <v>1540</v>
      </c>
      <c r="G455" t="s">
        <v>1539</v>
      </c>
      <c r="H455" s="16">
        <v>0</v>
      </c>
      <c r="I455" s="11">
        <v>1.4626298083955E-2</v>
      </c>
      <c r="J455" s="11">
        <v>0</v>
      </c>
      <c r="K455" s="11">
        <v>0</v>
      </c>
      <c r="L455" s="11">
        <v>0</v>
      </c>
      <c r="M455" s="11">
        <v>0</v>
      </c>
      <c r="N455" s="11">
        <v>0</v>
      </c>
      <c r="O455" s="11">
        <v>0</v>
      </c>
      <c r="P455" s="11">
        <v>0</v>
      </c>
      <c r="Q455" s="11">
        <v>0</v>
      </c>
      <c r="R455" s="11">
        <v>0</v>
      </c>
      <c r="S455" s="11">
        <v>0</v>
      </c>
      <c r="T455" s="11">
        <v>0</v>
      </c>
      <c r="U455">
        <v>0</v>
      </c>
      <c r="V455">
        <v>0</v>
      </c>
      <c r="W455">
        <v>5.3336177929489597E-3</v>
      </c>
      <c r="X455">
        <v>0</v>
      </c>
      <c r="Y455">
        <v>0</v>
      </c>
      <c r="Z455">
        <v>3.1774275546517499E-3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</row>
    <row r="456" spans="1:39" customFormat="1" hidden="1" x14ac:dyDescent="0.3">
      <c r="A456" t="s">
        <v>1538</v>
      </c>
      <c r="B456" t="s">
        <v>30</v>
      </c>
      <c r="C456" t="s">
        <v>81</v>
      </c>
      <c r="D456" t="s">
        <v>80</v>
      </c>
      <c r="E456" t="s">
        <v>618</v>
      </c>
      <c r="F456" t="s">
        <v>629</v>
      </c>
      <c r="G456" t="s">
        <v>1537</v>
      </c>
      <c r="H456" s="16">
        <v>0</v>
      </c>
      <c r="I456" s="11">
        <v>0</v>
      </c>
      <c r="J456" s="11">
        <v>0</v>
      </c>
      <c r="K456" s="11">
        <v>0</v>
      </c>
      <c r="L456" s="11">
        <v>0</v>
      </c>
      <c r="M456" s="11">
        <v>0</v>
      </c>
      <c r="N456" s="11">
        <v>0</v>
      </c>
      <c r="O456" s="11">
        <v>0</v>
      </c>
      <c r="P456" s="11">
        <v>0</v>
      </c>
      <c r="Q456" s="11">
        <v>0</v>
      </c>
      <c r="R456" s="11">
        <v>0</v>
      </c>
      <c r="S456" s="11">
        <v>0</v>
      </c>
      <c r="T456" s="11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</row>
    <row r="457" spans="1:39" customFormat="1" hidden="1" x14ac:dyDescent="0.3">
      <c r="A457" t="s">
        <v>1536</v>
      </c>
      <c r="B457" t="s">
        <v>30</v>
      </c>
      <c r="C457" t="s">
        <v>29</v>
      </c>
      <c r="D457" t="s">
        <v>28</v>
      </c>
      <c r="E457" t="s">
        <v>1535</v>
      </c>
      <c r="F457" t="s">
        <v>1534</v>
      </c>
      <c r="G457" t="s">
        <v>1533</v>
      </c>
      <c r="H457" s="16">
        <v>0</v>
      </c>
      <c r="I457" s="11">
        <v>0</v>
      </c>
      <c r="J457" s="11">
        <v>4.3593879419329502E-3</v>
      </c>
      <c r="K457" s="11">
        <v>0</v>
      </c>
      <c r="L457" s="11">
        <v>0</v>
      </c>
      <c r="M457" s="11">
        <v>0</v>
      </c>
      <c r="N457" s="11">
        <v>0</v>
      </c>
      <c r="O457" s="11">
        <v>0</v>
      </c>
      <c r="P457" s="11">
        <v>0</v>
      </c>
      <c r="Q457" s="11">
        <v>0</v>
      </c>
      <c r="R457" s="11">
        <v>0</v>
      </c>
      <c r="S457" s="11">
        <v>0</v>
      </c>
      <c r="T457" s="11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1.8775376094252401E-2</v>
      </c>
      <c r="AH457">
        <v>0</v>
      </c>
      <c r="AI457">
        <v>2.2984278753332699E-3</v>
      </c>
      <c r="AJ457">
        <v>0</v>
      </c>
      <c r="AK457">
        <v>0</v>
      </c>
      <c r="AL457">
        <v>0</v>
      </c>
      <c r="AM457">
        <v>0</v>
      </c>
    </row>
    <row r="458" spans="1:39" customFormat="1" hidden="1" x14ac:dyDescent="0.3">
      <c r="A458" t="s">
        <v>1529</v>
      </c>
      <c r="B458" t="s">
        <v>30</v>
      </c>
      <c r="C458" t="s">
        <v>81</v>
      </c>
      <c r="D458" t="s">
        <v>118</v>
      </c>
      <c r="E458" t="s">
        <v>371</v>
      </c>
      <c r="F458" t="s">
        <v>424</v>
      </c>
      <c r="G458" t="s">
        <v>444</v>
      </c>
      <c r="H458" s="16">
        <v>0</v>
      </c>
      <c r="I458" s="11">
        <v>0</v>
      </c>
      <c r="J458" s="11">
        <v>0</v>
      </c>
      <c r="K458" s="11">
        <v>0</v>
      </c>
      <c r="L458" s="11">
        <v>0</v>
      </c>
      <c r="M458" s="11">
        <v>0</v>
      </c>
      <c r="N458" s="11">
        <v>0</v>
      </c>
      <c r="O458" s="11">
        <v>0</v>
      </c>
      <c r="P458" s="11">
        <v>3.3947788301592198E-3</v>
      </c>
      <c r="Q458" s="11">
        <v>2.7492920572952501E-3</v>
      </c>
      <c r="R458" s="11">
        <v>2.2441148089136199E-3</v>
      </c>
      <c r="S458" s="11">
        <v>0</v>
      </c>
      <c r="T458" s="11">
        <v>0</v>
      </c>
      <c r="U458">
        <v>0</v>
      </c>
      <c r="V458">
        <v>0</v>
      </c>
      <c r="W458">
        <v>2.6668088964744798E-3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1.02898302178014E-2</v>
      </c>
      <c r="AF458">
        <v>0</v>
      </c>
      <c r="AG458">
        <v>7.0407660353446503E-3</v>
      </c>
      <c r="AH458">
        <v>0</v>
      </c>
      <c r="AI458">
        <v>4.5968557506665397E-3</v>
      </c>
      <c r="AJ458">
        <v>0</v>
      </c>
      <c r="AK458">
        <v>0</v>
      </c>
      <c r="AL458">
        <v>0</v>
      </c>
      <c r="AM458">
        <v>0</v>
      </c>
    </row>
    <row r="459" spans="1:39" customFormat="1" hidden="1" x14ac:dyDescent="0.3">
      <c r="A459" t="s">
        <v>1528</v>
      </c>
      <c r="B459" t="s">
        <v>30</v>
      </c>
      <c r="C459" t="s">
        <v>81</v>
      </c>
      <c r="D459" t="s">
        <v>80</v>
      </c>
      <c r="E459" t="s">
        <v>618</v>
      </c>
      <c r="F459" t="s">
        <v>629</v>
      </c>
      <c r="G459" t="s">
        <v>1353</v>
      </c>
      <c r="H459" s="16">
        <v>0</v>
      </c>
      <c r="I459" s="11">
        <v>0</v>
      </c>
      <c r="J459" s="11">
        <v>0</v>
      </c>
      <c r="K459" s="11">
        <v>0</v>
      </c>
      <c r="L459" s="11">
        <v>0</v>
      </c>
      <c r="M459" s="11">
        <v>0</v>
      </c>
      <c r="N459" s="11">
        <v>0</v>
      </c>
      <c r="O459" s="11">
        <v>3.75023438964935E-3</v>
      </c>
      <c r="P459" s="11">
        <v>0</v>
      </c>
      <c r="Q459" s="11">
        <v>0</v>
      </c>
      <c r="R459" s="11">
        <v>4.4882296178272501E-3</v>
      </c>
      <c r="S459" s="11">
        <v>2.4883049666567102E-3</v>
      </c>
      <c r="T459" s="11">
        <v>0</v>
      </c>
      <c r="U459">
        <v>3.04201016031394E-3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</row>
    <row r="460" spans="1:39" customFormat="1" hidden="1" x14ac:dyDescent="0.3">
      <c r="A460" t="s">
        <v>1527</v>
      </c>
      <c r="B460" t="s">
        <v>30</v>
      </c>
      <c r="C460" t="s">
        <v>111</v>
      </c>
      <c r="D460" t="s">
        <v>141</v>
      </c>
      <c r="E460" t="s">
        <v>140</v>
      </c>
      <c r="F460" t="s">
        <v>599</v>
      </c>
      <c r="G460" t="s">
        <v>1365</v>
      </c>
      <c r="H460" s="16">
        <v>0</v>
      </c>
      <c r="I460" s="11">
        <v>2.1939447125932401E-2</v>
      </c>
      <c r="J460" s="11">
        <v>0</v>
      </c>
      <c r="K460" s="11">
        <v>0</v>
      </c>
      <c r="L460" s="11">
        <v>0</v>
      </c>
      <c r="M460" s="11">
        <v>0</v>
      </c>
      <c r="N460" s="11">
        <v>0</v>
      </c>
      <c r="O460" s="11">
        <v>0</v>
      </c>
      <c r="P460" s="11">
        <v>0</v>
      </c>
      <c r="Q460" s="11">
        <v>0</v>
      </c>
      <c r="R460" s="11">
        <v>0</v>
      </c>
      <c r="S460" s="11">
        <v>0</v>
      </c>
      <c r="T460" s="11">
        <v>0</v>
      </c>
      <c r="U460">
        <v>0</v>
      </c>
      <c r="V460">
        <v>0</v>
      </c>
      <c r="W460">
        <v>0</v>
      </c>
      <c r="X460">
        <v>0</v>
      </c>
      <c r="Y460">
        <v>2.9264581077521898E-3</v>
      </c>
      <c r="Z460">
        <v>0</v>
      </c>
      <c r="AA460">
        <v>0</v>
      </c>
      <c r="AB460">
        <v>9.0236419418877507E-3</v>
      </c>
      <c r="AC460">
        <v>7.1911405148856597E-3</v>
      </c>
      <c r="AD460">
        <v>9.4369298521547705E-3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</row>
    <row r="461" spans="1:39" customFormat="1" hidden="1" x14ac:dyDescent="0.3">
      <c r="A461" t="s">
        <v>1526</v>
      </c>
      <c r="B461" t="s">
        <v>30</v>
      </c>
      <c r="C461" t="s">
        <v>81</v>
      </c>
      <c r="D461" t="s">
        <v>118</v>
      </c>
      <c r="E461" t="s">
        <v>322</v>
      </c>
      <c r="F461" t="s">
        <v>321</v>
      </c>
      <c r="G461" t="s">
        <v>320</v>
      </c>
      <c r="H461" s="16">
        <v>0</v>
      </c>
      <c r="I461" s="11">
        <v>0</v>
      </c>
      <c r="J461" s="11">
        <v>0</v>
      </c>
      <c r="K461" s="11">
        <v>0</v>
      </c>
      <c r="L461" s="11">
        <v>0</v>
      </c>
      <c r="M461" s="11">
        <v>0</v>
      </c>
      <c r="N461" s="11">
        <v>0</v>
      </c>
      <c r="O461" s="11">
        <v>0</v>
      </c>
      <c r="P461" s="11">
        <v>0</v>
      </c>
      <c r="Q461" s="11">
        <v>0</v>
      </c>
      <c r="R461" s="11">
        <v>0</v>
      </c>
      <c r="S461" s="11">
        <v>0</v>
      </c>
      <c r="T461" s="1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1.0067451927917E-2</v>
      </c>
      <c r="AG461">
        <v>7.0407660353446503E-3</v>
      </c>
      <c r="AH461">
        <v>1.39230519329837E-2</v>
      </c>
      <c r="AI461">
        <v>2.2984278753332699E-3</v>
      </c>
      <c r="AJ461">
        <v>0</v>
      </c>
      <c r="AK461">
        <v>0</v>
      </c>
      <c r="AL461">
        <v>0</v>
      </c>
      <c r="AM461">
        <v>0</v>
      </c>
    </row>
    <row r="462" spans="1:39" customFormat="1" hidden="1" x14ac:dyDescent="0.3">
      <c r="A462" t="s">
        <v>1525</v>
      </c>
      <c r="B462" t="s">
        <v>30</v>
      </c>
      <c r="C462" t="s">
        <v>81</v>
      </c>
      <c r="D462" t="s">
        <v>85</v>
      </c>
      <c r="E462" t="s">
        <v>1524</v>
      </c>
      <c r="F462" t="s">
        <v>1523</v>
      </c>
      <c r="G462" t="s">
        <v>1522</v>
      </c>
      <c r="H462" s="16">
        <v>0</v>
      </c>
      <c r="I462" s="11">
        <v>0</v>
      </c>
      <c r="J462" s="11">
        <v>0</v>
      </c>
      <c r="K462" s="11">
        <v>0</v>
      </c>
      <c r="L462" s="11">
        <v>0</v>
      </c>
      <c r="M462" s="11">
        <v>2.12932074668181E-2</v>
      </c>
      <c r="N462" s="11">
        <v>0</v>
      </c>
      <c r="O462" s="11">
        <v>0</v>
      </c>
      <c r="P462" s="11">
        <v>0</v>
      </c>
      <c r="Q462" s="11">
        <v>0</v>
      </c>
      <c r="R462" s="11">
        <v>0</v>
      </c>
      <c r="S462" s="11">
        <v>0</v>
      </c>
      <c r="T462" s="11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3.1774275546517499E-3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3.5915670006823998E-3</v>
      </c>
      <c r="AK462">
        <v>0</v>
      </c>
      <c r="AL462">
        <v>3.5844863431070302E-3</v>
      </c>
      <c r="AM462">
        <v>0</v>
      </c>
    </row>
    <row r="463" spans="1:39" customFormat="1" hidden="1" x14ac:dyDescent="0.3">
      <c r="A463" t="s">
        <v>1521</v>
      </c>
      <c r="B463" t="s">
        <v>30</v>
      </c>
      <c r="C463" t="s">
        <v>111</v>
      </c>
      <c r="D463" t="s">
        <v>141</v>
      </c>
      <c r="E463" t="s">
        <v>140</v>
      </c>
      <c r="F463" t="s">
        <v>595</v>
      </c>
      <c r="G463" t="s">
        <v>1520</v>
      </c>
      <c r="H463" s="16">
        <v>0</v>
      </c>
      <c r="I463" s="11">
        <v>0</v>
      </c>
      <c r="J463" s="11">
        <v>0</v>
      </c>
      <c r="K463" s="11">
        <v>0</v>
      </c>
      <c r="L463" s="11">
        <v>0</v>
      </c>
      <c r="M463" s="11">
        <v>2.12932074668181E-2</v>
      </c>
      <c r="N463" s="11">
        <v>0</v>
      </c>
      <c r="O463" s="11">
        <v>0</v>
      </c>
      <c r="P463" s="11">
        <v>0</v>
      </c>
      <c r="Q463" s="11">
        <v>0</v>
      </c>
      <c r="R463" s="11">
        <v>0</v>
      </c>
      <c r="S463" s="11">
        <v>0</v>
      </c>
      <c r="T463" s="11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</row>
    <row r="464" spans="1:39" customFormat="1" hidden="1" x14ac:dyDescent="0.3">
      <c r="A464" t="s">
        <v>1519</v>
      </c>
      <c r="B464" t="s">
        <v>30</v>
      </c>
      <c r="C464" t="s">
        <v>81</v>
      </c>
      <c r="D464" t="s">
        <v>85</v>
      </c>
      <c r="E464" t="s">
        <v>799</v>
      </c>
      <c r="F464" t="s">
        <v>798</v>
      </c>
      <c r="G464" t="s">
        <v>797</v>
      </c>
      <c r="H464" s="16">
        <v>0</v>
      </c>
      <c r="I464" s="11">
        <v>0</v>
      </c>
      <c r="J464" s="11">
        <v>4.3593879419329502E-3</v>
      </c>
      <c r="K464" s="11">
        <v>1.1317978609020399E-2</v>
      </c>
      <c r="L464" s="11">
        <v>0</v>
      </c>
      <c r="M464" s="11">
        <v>0</v>
      </c>
      <c r="N464" s="11">
        <v>0</v>
      </c>
      <c r="O464" s="11">
        <v>3.75023438964935E-3</v>
      </c>
      <c r="P464" s="11">
        <v>0</v>
      </c>
      <c r="Q464" s="11">
        <v>0</v>
      </c>
      <c r="R464" s="11">
        <v>0</v>
      </c>
      <c r="S464" s="11">
        <v>0</v>
      </c>
      <c r="T464" s="11">
        <v>0</v>
      </c>
      <c r="U464">
        <v>3.04201016031394E-3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7.0407660353446503E-3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</row>
    <row r="465" spans="1:39" customFormat="1" hidden="1" x14ac:dyDescent="0.3">
      <c r="A465" t="s">
        <v>1518</v>
      </c>
      <c r="B465" t="s">
        <v>30</v>
      </c>
      <c r="C465" t="s">
        <v>81</v>
      </c>
      <c r="D465" t="s">
        <v>85</v>
      </c>
      <c r="E465" t="s">
        <v>84</v>
      </c>
      <c r="F465" t="s">
        <v>84</v>
      </c>
      <c r="G465" t="s">
        <v>84</v>
      </c>
      <c r="H465" s="16">
        <v>0</v>
      </c>
      <c r="I465" s="11">
        <v>0</v>
      </c>
      <c r="J465" s="11">
        <v>0</v>
      </c>
      <c r="K465" s="11">
        <v>0</v>
      </c>
      <c r="L465" s="11">
        <v>0</v>
      </c>
      <c r="M465" s="11">
        <v>0</v>
      </c>
      <c r="N465" s="11">
        <v>0</v>
      </c>
      <c r="O465" s="11">
        <v>0</v>
      </c>
      <c r="P465" s="11">
        <v>0</v>
      </c>
      <c r="Q465" s="11">
        <v>2.7492920572952501E-3</v>
      </c>
      <c r="R465" s="11">
        <v>0</v>
      </c>
      <c r="S465" s="11">
        <v>0</v>
      </c>
      <c r="T465" s="11">
        <v>3.3464962184592698E-3</v>
      </c>
      <c r="U465">
        <v>6.0840203206278696E-3</v>
      </c>
      <c r="V465">
        <v>0</v>
      </c>
      <c r="W465">
        <v>0</v>
      </c>
      <c r="X465">
        <v>6.4242579982012101E-3</v>
      </c>
      <c r="Y465">
        <v>2.9264581077521898E-3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3.5915670006823998E-3</v>
      </c>
      <c r="AK465">
        <v>0</v>
      </c>
      <c r="AL465">
        <v>3.5844863431070302E-3</v>
      </c>
      <c r="AM465">
        <v>0</v>
      </c>
    </row>
    <row r="466" spans="1:39" customFormat="1" hidden="1" x14ac:dyDescent="0.3">
      <c r="A466" t="s">
        <v>1517</v>
      </c>
      <c r="B466" t="s">
        <v>30</v>
      </c>
      <c r="C466" t="s">
        <v>81</v>
      </c>
      <c r="D466" t="s">
        <v>80</v>
      </c>
      <c r="E466" t="s">
        <v>618</v>
      </c>
      <c r="F466" t="s">
        <v>629</v>
      </c>
      <c r="G466" t="s">
        <v>628</v>
      </c>
      <c r="H466" s="16">
        <v>0</v>
      </c>
      <c r="I466" s="11">
        <v>0</v>
      </c>
      <c r="J466" s="11">
        <v>0</v>
      </c>
      <c r="K466" s="11">
        <v>0</v>
      </c>
      <c r="L466" s="11">
        <v>0</v>
      </c>
      <c r="M466" s="11">
        <v>0</v>
      </c>
      <c r="N466" s="11">
        <v>0</v>
      </c>
      <c r="O466" s="11">
        <v>0</v>
      </c>
      <c r="P466" s="11">
        <v>0</v>
      </c>
      <c r="Q466" s="11">
        <v>2.7492920572952501E-3</v>
      </c>
      <c r="R466" s="11">
        <v>0</v>
      </c>
      <c r="S466" s="11">
        <v>2.4883049666567102E-3</v>
      </c>
      <c r="T466" s="11">
        <v>3.3464962184592698E-3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6.02700096432015E-3</v>
      </c>
      <c r="AL466">
        <v>0</v>
      </c>
      <c r="AM466">
        <v>0</v>
      </c>
    </row>
    <row r="467" spans="1:39" customFormat="1" hidden="1" x14ac:dyDescent="0.3">
      <c r="A467" t="s">
        <v>1516</v>
      </c>
      <c r="B467" t="s">
        <v>30</v>
      </c>
      <c r="C467" t="s">
        <v>264</v>
      </c>
      <c r="D467" t="s">
        <v>263</v>
      </c>
      <c r="E467" t="s">
        <v>262</v>
      </c>
      <c r="F467" t="s">
        <v>261</v>
      </c>
      <c r="G467" t="s">
        <v>260</v>
      </c>
      <c r="H467" s="16">
        <v>0</v>
      </c>
      <c r="I467" s="11">
        <v>0</v>
      </c>
      <c r="J467" s="11">
        <v>0</v>
      </c>
      <c r="K467" s="11">
        <v>0</v>
      </c>
      <c r="L467" s="11">
        <v>0</v>
      </c>
      <c r="M467" s="11">
        <v>0</v>
      </c>
      <c r="N467" s="11">
        <v>0</v>
      </c>
      <c r="O467" s="11">
        <v>0</v>
      </c>
      <c r="P467" s="11">
        <v>0</v>
      </c>
      <c r="Q467" s="11">
        <v>2.7492920572952501E-3</v>
      </c>
      <c r="R467" s="11">
        <v>0</v>
      </c>
      <c r="S467" s="11">
        <v>0</v>
      </c>
      <c r="T467" s="11">
        <v>0</v>
      </c>
      <c r="U467">
        <v>3.04201016031394E-3</v>
      </c>
      <c r="V467">
        <v>0</v>
      </c>
      <c r="W467">
        <v>0</v>
      </c>
      <c r="X467">
        <v>0</v>
      </c>
      <c r="Y467">
        <v>0</v>
      </c>
      <c r="Z467">
        <v>3.1774275546517499E-3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</row>
    <row r="468" spans="1:39" customFormat="1" hidden="1" x14ac:dyDescent="0.3">
      <c r="A468" t="s">
        <v>1515</v>
      </c>
      <c r="B468" t="s">
        <v>30</v>
      </c>
      <c r="C468" t="s">
        <v>111</v>
      </c>
      <c r="D468" t="s">
        <v>297</v>
      </c>
      <c r="E468" t="s">
        <v>296</v>
      </c>
      <c r="F468" t="s">
        <v>295</v>
      </c>
      <c r="G468" t="s">
        <v>294</v>
      </c>
      <c r="H468" s="16">
        <v>0</v>
      </c>
      <c r="I468" s="11">
        <v>0</v>
      </c>
      <c r="J468" s="11">
        <v>0</v>
      </c>
      <c r="K468" s="11">
        <v>0</v>
      </c>
      <c r="L468" s="11">
        <v>0</v>
      </c>
      <c r="M468" s="11">
        <v>0</v>
      </c>
      <c r="N468" s="11">
        <v>0</v>
      </c>
      <c r="O468" s="11">
        <v>3.75023438964935E-3</v>
      </c>
      <c r="P468" s="11">
        <v>0</v>
      </c>
      <c r="Q468" s="11">
        <v>0</v>
      </c>
      <c r="R468" s="11">
        <v>2.2441148089136199E-3</v>
      </c>
      <c r="S468" s="11">
        <v>2.4883049666567102E-3</v>
      </c>
      <c r="T468" s="11">
        <v>0</v>
      </c>
      <c r="U468">
        <v>0</v>
      </c>
      <c r="V468">
        <v>0</v>
      </c>
      <c r="W468">
        <v>0</v>
      </c>
      <c r="X468">
        <v>6.4242579982012101E-3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3.14564328405159E-3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6.02700096432015E-3</v>
      </c>
      <c r="AL468">
        <v>0</v>
      </c>
      <c r="AM468">
        <v>0</v>
      </c>
    </row>
    <row r="469" spans="1:39" customFormat="1" hidden="1" x14ac:dyDescent="0.3">
      <c r="A469" t="s">
        <v>1514</v>
      </c>
      <c r="B469" t="s">
        <v>30</v>
      </c>
      <c r="C469" t="s">
        <v>111</v>
      </c>
      <c r="D469" t="s">
        <v>297</v>
      </c>
      <c r="E469" t="s">
        <v>296</v>
      </c>
      <c r="F469" t="s">
        <v>295</v>
      </c>
      <c r="G469" t="s">
        <v>294</v>
      </c>
      <c r="H469" s="16">
        <v>0</v>
      </c>
      <c r="I469" s="11">
        <v>0</v>
      </c>
      <c r="J469" s="11">
        <v>0</v>
      </c>
      <c r="K469" s="11">
        <v>0</v>
      </c>
      <c r="L469" s="11">
        <v>0</v>
      </c>
      <c r="M469" s="11">
        <v>3.5488679111363502E-3</v>
      </c>
      <c r="N469" s="11">
        <v>1.37507448320117E-2</v>
      </c>
      <c r="O469" s="11">
        <v>7.5004687792987104E-3</v>
      </c>
      <c r="P469" s="11">
        <v>0</v>
      </c>
      <c r="Q469" s="11">
        <v>0</v>
      </c>
      <c r="R469" s="11">
        <v>0</v>
      </c>
      <c r="S469" s="11">
        <v>0</v>
      </c>
      <c r="T469" s="11">
        <v>0</v>
      </c>
      <c r="U469">
        <v>0</v>
      </c>
      <c r="V469">
        <v>0</v>
      </c>
      <c r="W469">
        <v>0</v>
      </c>
      <c r="X469">
        <v>6.4242579982012101E-3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3.14564328405159E-3</v>
      </c>
      <c r="AE469">
        <v>0</v>
      </c>
      <c r="AF469">
        <v>0</v>
      </c>
      <c r="AG469">
        <v>4.6938440235631002E-3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</row>
    <row r="470" spans="1:39" customFormat="1" hidden="1" x14ac:dyDescent="0.3">
      <c r="A470" t="s">
        <v>1513</v>
      </c>
      <c r="B470" t="s">
        <v>30</v>
      </c>
      <c r="C470" t="s">
        <v>81</v>
      </c>
      <c r="D470" t="s">
        <v>80</v>
      </c>
      <c r="E470" t="s">
        <v>618</v>
      </c>
      <c r="F470" t="s">
        <v>617</v>
      </c>
      <c r="G470" t="s">
        <v>616</v>
      </c>
      <c r="H470" s="16">
        <v>0</v>
      </c>
      <c r="I470" s="11">
        <v>0</v>
      </c>
      <c r="J470" s="11">
        <v>0</v>
      </c>
      <c r="K470" s="11">
        <v>0</v>
      </c>
      <c r="L470" s="11">
        <v>0</v>
      </c>
      <c r="M470" s="11">
        <v>0</v>
      </c>
      <c r="N470" s="11">
        <v>1.37507448320117E-2</v>
      </c>
      <c r="O470" s="11">
        <v>0</v>
      </c>
      <c r="P470" s="11">
        <v>0</v>
      </c>
      <c r="Q470" s="11">
        <v>0</v>
      </c>
      <c r="R470" s="11">
        <v>0</v>
      </c>
      <c r="S470" s="11">
        <v>0</v>
      </c>
      <c r="T470" s="11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1.8047283883775501E-2</v>
      </c>
      <c r="AC470">
        <v>7.1911405148856597E-3</v>
      </c>
      <c r="AD470" s="3">
        <v>1.25825731362064E-2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</row>
    <row r="471" spans="1:39" customFormat="1" hidden="1" x14ac:dyDescent="0.3">
      <c r="A471" t="s">
        <v>1512</v>
      </c>
      <c r="B471" t="s">
        <v>30</v>
      </c>
      <c r="C471" t="s">
        <v>81</v>
      </c>
      <c r="D471" t="s">
        <v>85</v>
      </c>
      <c r="E471" t="s">
        <v>84</v>
      </c>
      <c r="F471" t="s">
        <v>84</v>
      </c>
      <c r="G471" t="s">
        <v>84</v>
      </c>
      <c r="H471" s="16">
        <v>0</v>
      </c>
      <c r="I471" s="11">
        <v>0</v>
      </c>
      <c r="J471" s="11">
        <v>0</v>
      </c>
      <c r="K471" s="11">
        <v>0</v>
      </c>
      <c r="L471" s="11">
        <v>0</v>
      </c>
      <c r="M471" s="11">
        <v>3.5488679111363502E-3</v>
      </c>
      <c r="N471" s="11">
        <v>0</v>
      </c>
      <c r="O471" s="11">
        <v>0</v>
      </c>
      <c r="P471" s="11">
        <v>0</v>
      </c>
      <c r="Q471" s="11">
        <v>0</v>
      </c>
      <c r="R471" s="11">
        <v>4.4882296178272501E-3</v>
      </c>
      <c r="S471" s="11">
        <v>2.4883049666567102E-3</v>
      </c>
      <c r="T471" s="11">
        <v>0</v>
      </c>
      <c r="U471">
        <v>3.04201016031394E-3</v>
      </c>
      <c r="V471">
        <v>0</v>
      </c>
      <c r="W471">
        <v>2.6668088964744798E-3</v>
      </c>
      <c r="X471">
        <v>6.4242579982012101E-3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3.5915670006823998E-3</v>
      </c>
      <c r="AK471">
        <v>6.02700096432015E-3</v>
      </c>
      <c r="AL471">
        <v>0</v>
      </c>
      <c r="AM471">
        <v>0</v>
      </c>
    </row>
    <row r="472" spans="1:39" customFormat="1" hidden="1" x14ac:dyDescent="0.3">
      <c r="A472" t="s">
        <v>1511</v>
      </c>
      <c r="B472" t="s">
        <v>30</v>
      </c>
      <c r="C472" t="s">
        <v>81</v>
      </c>
      <c r="D472" t="s">
        <v>85</v>
      </c>
      <c r="E472" t="s">
        <v>84</v>
      </c>
      <c r="F472" t="s">
        <v>84</v>
      </c>
      <c r="G472" t="s">
        <v>84</v>
      </c>
      <c r="H472" s="16">
        <v>8.3166999334664E-3</v>
      </c>
      <c r="I472" s="11">
        <v>0</v>
      </c>
      <c r="J472" s="11">
        <v>0</v>
      </c>
      <c r="K472" s="11">
        <v>0</v>
      </c>
      <c r="L472" s="11">
        <v>6.6037112857425901E-3</v>
      </c>
      <c r="M472" s="11">
        <v>0</v>
      </c>
      <c r="N472" s="11">
        <v>0</v>
      </c>
      <c r="O472" s="11">
        <v>0</v>
      </c>
      <c r="P472" s="11">
        <v>0</v>
      </c>
      <c r="Q472" s="11">
        <v>0</v>
      </c>
      <c r="R472" s="11">
        <v>0</v>
      </c>
      <c r="S472" s="11">
        <v>2.4883049666567102E-3</v>
      </c>
      <c r="T472" s="11">
        <v>0</v>
      </c>
      <c r="U472">
        <v>0</v>
      </c>
      <c r="V472">
        <v>3.6144142841652502E-3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4.5118209709438702E-3</v>
      </c>
      <c r="AC472">
        <v>7.1911405148856597E-3</v>
      </c>
      <c r="AD472">
        <v>0</v>
      </c>
      <c r="AE472">
        <v>0</v>
      </c>
      <c r="AF472">
        <v>5.03372596395852E-3</v>
      </c>
      <c r="AG472">
        <v>2.3469220117815501E-3</v>
      </c>
      <c r="AH472">
        <v>4.6410173109945703E-3</v>
      </c>
      <c r="AI472">
        <v>2.2984278753332699E-3</v>
      </c>
      <c r="AJ472">
        <v>0</v>
      </c>
      <c r="AK472">
        <v>0</v>
      </c>
      <c r="AL472">
        <v>0</v>
      </c>
      <c r="AM472">
        <v>0</v>
      </c>
    </row>
    <row r="473" spans="1:39" customFormat="1" hidden="1" x14ac:dyDescent="0.3">
      <c r="A473" t="s">
        <v>1510</v>
      </c>
      <c r="B473" t="s">
        <v>30</v>
      </c>
      <c r="C473" t="s">
        <v>111</v>
      </c>
      <c r="D473" t="s">
        <v>283</v>
      </c>
      <c r="E473" t="s">
        <v>283</v>
      </c>
      <c r="F473" t="s">
        <v>283</v>
      </c>
      <c r="G473" t="s">
        <v>283</v>
      </c>
      <c r="H473" s="16">
        <v>0</v>
      </c>
      <c r="I473" s="11">
        <v>0</v>
      </c>
      <c r="J473" s="11">
        <v>0</v>
      </c>
      <c r="K473" s="11">
        <v>0</v>
      </c>
      <c r="L473" s="11">
        <v>0</v>
      </c>
      <c r="M473" s="11">
        <v>0</v>
      </c>
      <c r="N473" s="11">
        <v>0</v>
      </c>
      <c r="O473" s="11">
        <v>0</v>
      </c>
      <c r="P473" s="11">
        <v>0</v>
      </c>
      <c r="Q473" s="11">
        <v>0</v>
      </c>
      <c r="R473" s="11">
        <v>2.2441148089136199E-3</v>
      </c>
      <c r="S473" s="11">
        <v>2.4883049666567102E-3</v>
      </c>
      <c r="T473" s="11">
        <v>0</v>
      </c>
      <c r="U473">
        <v>0</v>
      </c>
      <c r="V473">
        <v>0</v>
      </c>
      <c r="W473">
        <v>2.6668088964744798E-3</v>
      </c>
      <c r="X473">
        <v>0</v>
      </c>
      <c r="Y473">
        <v>0</v>
      </c>
      <c r="Z473">
        <v>3.1774275546517499E-3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</row>
    <row r="474" spans="1:39" customFormat="1" hidden="1" x14ac:dyDescent="0.3">
      <c r="A474" t="s">
        <v>1509</v>
      </c>
      <c r="B474" t="s">
        <v>30</v>
      </c>
      <c r="C474" t="s">
        <v>35</v>
      </c>
      <c r="D474" t="s">
        <v>35</v>
      </c>
      <c r="E474" t="s">
        <v>240</v>
      </c>
      <c r="F474" t="s">
        <v>775</v>
      </c>
      <c r="G474" t="s">
        <v>1508</v>
      </c>
      <c r="H474" s="16">
        <v>0</v>
      </c>
      <c r="I474" s="11">
        <v>0</v>
      </c>
      <c r="J474" s="11">
        <v>0</v>
      </c>
      <c r="K474" s="11">
        <v>0</v>
      </c>
      <c r="L474" s="11">
        <v>0</v>
      </c>
      <c r="M474" s="11">
        <v>0</v>
      </c>
      <c r="N474" s="11">
        <v>0</v>
      </c>
      <c r="O474" s="11">
        <v>0</v>
      </c>
      <c r="P474" s="11">
        <v>0</v>
      </c>
      <c r="Q474" s="11">
        <v>8.2478761718857395E-3</v>
      </c>
      <c r="R474" s="11">
        <v>4.4882296178272501E-3</v>
      </c>
      <c r="S474" s="11">
        <v>0</v>
      </c>
      <c r="T474" s="11">
        <v>0</v>
      </c>
      <c r="U474">
        <v>0</v>
      </c>
      <c r="V474">
        <v>3.6144142841652502E-3</v>
      </c>
      <c r="W474">
        <v>0</v>
      </c>
      <c r="X474">
        <v>0</v>
      </c>
      <c r="Y474">
        <v>8.7793743232565599E-3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2.3469220117815501E-3</v>
      </c>
      <c r="AH474">
        <v>0</v>
      </c>
      <c r="AI474">
        <v>0</v>
      </c>
      <c r="AJ474">
        <v>3.5915670006823998E-3</v>
      </c>
      <c r="AK474">
        <v>0</v>
      </c>
      <c r="AL474">
        <v>0</v>
      </c>
      <c r="AM474">
        <v>0</v>
      </c>
    </row>
    <row r="475" spans="1:39" customFormat="1" hidden="1" x14ac:dyDescent="0.3">
      <c r="A475" t="s">
        <v>1506</v>
      </c>
      <c r="B475" t="s">
        <v>30</v>
      </c>
      <c r="C475" t="s">
        <v>81</v>
      </c>
      <c r="D475" t="s">
        <v>118</v>
      </c>
      <c r="E475" t="s">
        <v>358</v>
      </c>
      <c r="F475" t="s">
        <v>357</v>
      </c>
      <c r="G475" t="s">
        <v>356</v>
      </c>
      <c r="H475" s="16">
        <v>0</v>
      </c>
      <c r="I475" s="11">
        <v>3.6565745209887401E-3</v>
      </c>
      <c r="J475" s="11">
        <v>0</v>
      </c>
      <c r="K475" s="11">
        <v>0</v>
      </c>
      <c r="L475" s="11">
        <v>0</v>
      </c>
      <c r="M475" s="11">
        <v>0</v>
      </c>
      <c r="N475" s="11">
        <v>0</v>
      </c>
      <c r="O475" s="11">
        <v>0</v>
      </c>
      <c r="P475" s="11">
        <v>6.78955766031843E-3</v>
      </c>
      <c r="Q475" s="11">
        <v>2.7492920572952501E-3</v>
      </c>
      <c r="R475" s="11">
        <v>4.4882296178272501E-3</v>
      </c>
      <c r="S475" s="11">
        <v>0</v>
      </c>
      <c r="T475" s="11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1.43822810297713E-2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</row>
    <row r="476" spans="1:39" customFormat="1" hidden="1" x14ac:dyDescent="0.3">
      <c r="A476" t="s">
        <v>1505</v>
      </c>
      <c r="B476" t="s">
        <v>30</v>
      </c>
      <c r="C476" t="s">
        <v>264</v>
      </c>
      <c r="D476" t="s">
        <v>263</v>
      </c>
      <c r="E476" t="s">
        <v>262</v>
      </c>
      <c r="F476" t="s">
        <v>261</v>
      </c>
      <c r="G476" t="s">
        <v>260</v>
      </c>
      <c r="H476" s="16">
        <v>0</v>
      </c>
      <c r="I476" s="11">
        <v>0</v>
      </c>
      <c r="J476" s="11">
        <v>0</v>
      </c>
      <c r="K476" s="11">
        <v>0</v>
      </c>
      <c r="L476" s="11">
        <v>0</v>
      </c>
      <c r="M476" s="11">
        <v>0</v>
      </c>
      <c r="N476" s="11">
        <v>0</v>
      </c>
      <c r="O476" s="11">
        <v>0</v>
      </c>
      <c r="P476" s="11">
        <v>0</v>
      </c>
      <c r="Q476" s="11">
        <v>0</v>
      </c>
      <c r="R476" s="11">
        <v>0</v>
      </c>
      <c r="S476" s="11">
        <v>0</v>
      </c>
      <c r="T476" s="11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7.1911405148856597E-3</v>
      </c>
      <c r="AD476">
        <v>3.14564328405159E-3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</row>
    <row r="477" spans="1:39" customFormat="1" hidden="1" x14ac:dyDescent="0.3">
      <c r="A477" t="s">
        <v>1503</v>
      </c>
      <c r="B477" t="s">
        <v>30</v>
      </c>
      <c r="C477" t="s">
        <v>526</v>
      </c>
      <c r="D477" t="s">
        <v>525</v>
      </c>
      <c r="E477" t="s">
        <v>524</v>
      </c>
      <c r="F477" t="s">
        <v>523</v>
      </c>
      <c r="G477" t="s">
        <v>25</v>
      </c>
      <c r="H477" s="16">
        <v>0</v>
      </c>
      <c r="I477" s="11">
        <v>0</v>
      </c>
      <c r="J477" s="11">
        <v>0</v>
      </c>
      <c r="K477" s="11">
        <v>0</v>
      </c>
      <c r="L477" s="11">
        <v>0</v>
      </c>
      <c r="M477" s="11">
        <v>0</v>
      </c>
      <c r="N477" s="11">
        <v>0</v>
      </c>
      <c r="O477" s="11">
        <v>0</v>
      </c>
      <c r="P477" s="11">
        <v>0</v>
      </c>
      <c r="Q477" s="11">
        <v>0</v>
      </c>
      <c r="R477" s="11">
        <v>0</v>
      </c>
      <c r="S477" s="11">
        <v>4.9766099333134299E-3</v>
      </c>
      <c r="T477" s="11">
        <v>3.3464962184592698E-3</v>
      </c>
      <c r="U477">
        <v>0</v>
      </c>
      <c r="V477">
        <v>3.6144142841652502E-3</v>
      </c>
      <c r="W477">
        <v>2.6668088964744798E-3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3.5915670006823998E-3</v>
      </c>
      <c r="AK477">
        <v>0</v>
      </c>
      <c r="AL477">
        <v>1.0753459029321099E-2</v>
      </c>
      <c r="AM477">
        <v>0</v>
      </c>
    </row>
    <row r="478" spans="1:39" customFormat="1" hidden="1" x14ac:dyDescent="0.3">
      <c r="A478" t="s">
        <v>1502</v>
      </c>
      <c r="B478" t="s">
        <v>30</v>
      </c>
      <c r="C478" t="s">
        <v>81</v>
      </c>
      <c r="D478" t="s">
        <v>80</v>
      </c>
      <c r="E478" t="s">
        <v>618</v>
      </c>
      <c r="F478" t="s">
        <v>1501</v>
      </c>
      <c r="G478" t="s">
        <v>1500</v>
      </c>
      <c r="H478" s="16">
        <v>0</v>
      </c>
      <c r="I478" s="11">
        <v>0</v>
      </c>
      <c r="J478" s="11">
        <v>0</v>
      </c>
      <c r="K478" s="11">
        <v>0</v>
      </c>
      <c r="L478" s="11">
        <v>0</v>
      </c>
      <c r="M478" s="11">
        <v>0</v>
      </c>
      <c r="N478" s="11">
        <v>1.37507448320117E-2</v>
      </c>
      <c r="O478" s="11">
        <v>1.1250703168948099E-2</v>
      </c>
      <c r="P478" s="11">
        <v>0</v>
      </c>
      <c r="Q478" s="11">
        <v>0</v>
      </c>
      <c r="R478" s="11">
        <v>0</v>
      </c>
      <c r="S478" s="11">
        <v>0</v>
      </c>
      <c r="T478" s="11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1.8775376094252401E-2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</row>
    <row r="479" spans="1:39" customFormat="1" hidden="1" x14ac:dyDescent="0.3">
      <c r="A479" t="s">
        <v>1497</v>
      </c>
      <c r="B479" t="s">
        <v>30</v>
      </c>
      <c r="C479" t="s">
        <v>526</v>
      </c>
      <c r="D479" t="s">
        <v>525</v>
      </c>
      <c r="E479" t="s">
        <v>524</v>
      </c>
      <c r="F479" t="s">
        <v>523</v>
      </c>
      <c r="G479" t="s">
        <v>25</v>
      </c>
      <c r="H479" s="16">
        <v>0</v>
      </c>
      <c r="I479" s="11">
        <v>7.3131490419774802E-3</v>
      </c>
      <c r="J479" s="11">
        <v>0</v>
      </c>
      <c r="K479" s="11">
        <v>0</v>
      </c>
      <c r="L479" s="11">
        <v>0</v>
      </c>
      <c r="M479" s="11">
        <v>0</v>
      </c>
      <c r="N479" s="11">
        <v>0</v>
      </c>
      <c r="O479" s="11">
        <v>0</v>
      </c>
      <c r="P479" s="11">
        <v>0</v>
      </c>
      <c r="Q479" s="11">
        <v>0</v>
      </c>
      <c r="R479" s="11">
        <v>0</v>
      </c>
      <c r="S479" s="11">
        <v>2.4883049666567102E-3</v>
      </c>
      <c r="T479" s="11">
        <v>3.3464962184592698E-3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7.1911405148856597E-3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2.2984278753332699E-3</v>
      </c>
      <c r="AJ479">
        <v>0</v>
      </c>
      <c r="AK479">
        <v>0</v>
      </c>
      <c r="AL479">
        <v>0</v>
      </c>
      <c r="AM479">
        <v>0</v>
      </c>
    </row>
    <row r="480" spans="1:39" customFormat="1" hidden="1" x14ac:dyDescent="0.3">
      <c r="A480" t="s">
        <v>1496</v>
      </c>
      <c r="B480" t="s">
        <v>30</v>
      </c>
      <c r="C480" t="s">
        <v>81</v>
      </c>
      <c r="D480" t="s">
        <v>80</v>
      </c>
      <c r="E480" t="s">
        <v>618</v>
      </c>
      <c r="F480" t="s">
        <v>629</v>
      </c>
      <c r="G480" t="s">
        <v>1495</v>
      </c>
      <c r="H480" s="16">
        <v>0</v>
      </c>
      <c r="I480" s="11">
        <v>0</v>
      </c>
      <c r="J480" s="11">
        <v>0</v>
      </c>
      <c r="K480" s="11">
        <v>0</v>
      </c>
      <c r="L480" s="11">
        <v>0</v>
      </c>
      <c r="M480" s="11">
        <v>0</v>
      </c>
      <c r="N480" s="11">
        <v>0</v>
      </c>
      <c r="O480" s="11">
        <v>0</v>
      </c>
      <c r="P480" s="11">
        <v>0</v>
      </c>
      <c r="Q480" s="11">
        <v>0</v>
      </c>
      <c r="R480" s="11">
        <v>0</v>
      </c>
      <c r="S480" s="11">
        <v>0</v>
      </c>
      <c r="T480" s="11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</row>
    <row r="481" spans="1:39" x14ac:dyDescent="0.3">
      <c r="A481" s="6" t="s">
        <v>1494</v>
      </c>
      <c r="B481" s="6" t="s">
        <v>30</v>
      </c>
      <c r="C481" s="6" t="s">
        <v>29</v>
      </c>
      <c r="D481" s="6" t="s">
        <v>28</v>
      </c>
      <c r="E481" s="6" t="s">
        <v>388</v>
      </c>
      <c r="F481" s="6" t="s">
        <v>624</v>
      </c>
      <c r="G481" s="6" t="s">
        <v>634</v>
      </c>
      <c r="H481" s="49">
        <v>4.1583499667332E-3</v>
      </c>
      <c r="I481" s="6">
        <v>0</v>
      </c>
      <c r="J481" s="6">
        <v>0</v>
      </c>
      <c r="K481" s="6">
        <v>0</v>
      </c>
      <c r="L481" s="6">
        <v>0</v>
      </c>
      <c r="M481" s="6">
        <v>0</v>
      </c>
      <c r="N481" s="6">
        <v>1.37507448320117E-2</v>
      </c>
      <c r="O481" s="6">
        <v>0</v>
      </c>
      <c r="P481" s="6">
        <v>3.3947788301592198E-3</v>
      </c>
      <c r="Q481" s="6">
        <v>0</v>
      </c>
      <c r="R481" s="6">
        <v>0</v>
      </c>
      <c r="S481" s="6">
        <v>0</v>
      </c>
      <c r="T481" s="6">
        <v>0</v>
      </c>
      <c r="U481" s="6">
        <v>0</v>
      </c>
      <c r="V481" s="6">
        <v>0</v>
      </c>
      <c r="W481" s="6">
        <v>0</v>
      </c>
      <c r="X481" s="6">
        <v>0</v>
      </c>
      <c r="Y481" s="6">
        <v>0</v>
      </c>
      <c r="Z481" s="6">
        <v>0</v>
      </c>
      <c r="AA481" s="6">
        <v>0</v>
      </c>
      <c r="AB481" s="6">
        <v>0</v>
      </c>
      <c r="AC481" s="6">
        <v>0</v>
      </c>
      <c r="AD481" s="6">
        <v>0</v>
      </c>
      <c r="AE481" s="6">
        <v>0</v>
      </c>
      <c r="AF481" s="6">
        <v>0</v>
      </c>
      <c r="AG481" s="6">
        <v>4.6938440235631002E-3</v>
      </c>
      <c r="AH481" s="6">
        <v>0</v>
      </c>
      <c r="AI481" s="6">
        <v>1.37905672519996E-2</v>
      </c>
      <c r="AJ481" s="6">
        <v>0</v>
      </c>
      <c r="AK481" s="6">
        <v>0</v>
      </c>
      <c r="AL481" s="6">
        <v>0</v>
      </c>
      <c r="AM481" s="6">
        <v>0</v>
      </c>
    </row>
    <row r="482" spans="1:39" x14ac:dyDescent="0.3">
      <c r="A482" s="6" t="s">
        <v>1493</v>
      </c>
      <c r="B482" s="6" t="s">
        <v>30</v>
      </c>
      <c r="C482" s="6" t="s">
        <v>29</v>
      </c>
      <c r="D482" s="6" t="s">
        <v>28</v>
      </c>
      <c r="E482" s="6" t="s">
        <v>388</v>
      </c>
      <c r="F482" s="6" t="s">
        <v>624</v>
      </c>
      <c r="G482" s="6" t="s">
        <v>634</v>
      </c>
      <c r="H482" s="49">
        <v>0</v>
      </c>
      <c r="I482" s="6">
        <v>0</v>
      </c>
      <c r="J482" s="6">
        <v>0</v>
      </c>
      <c r="K482" s="6">
        <v>0</v>
      </c>
      <c r="L482" s="6">
        <v>0</v>
      </c>
      <c r="M482" s="6">
        <v>0</v>
      </c>
      <c r="N482" s="6">
        <v>0</v>
      </c>
      <c r="O482" s="6">
        <v>0</v>
      </c>
      <c r="P482" s="6">
        <v>0</v>
      </c>
      <c r="Q482" s="6">
        <v>2.7492920572952501E-3</v>
      </c>
      <c r="R482" s="6">
        <v>0</v>
      </c>
      <c r="S482" s="6">
        <v>0</v>
      </c>
      <c r="T482" s="6">
        <v>3.3464962184592698E-3</v>
      </c>
      <c r="U482" s="6">
        <v>0</v>
      </c>
      <c r="V482" s="6">
        <v>0</v>
      </c>
      <c r="W482" s="6">
        <v>0</v>
      </c>
      <c r="X482" s="6">
        <v>0</v>
      </c>
      <c r="Y482" s="6">
        <v>0</v>
      </c>
      <c r="Z482" s="6">
        <v>0</v>
      </c>
      <c r="AA482" s="6">
        <v>0</v>
      </c>
      <c r="AB482" s="6">
        <v>4.5118209709438702E-3</v>
      </c>
      <c r="AC482" s="6">
        <v>0</v>
      </c>
      <c r="AD482" s="6">
        <v>3.14564328405159E-3</v>
      </c>
      <c r="AE482" s="6">
        <v>6.8598868118676E-3</v>
      </c>
      <c r="AF482" s="6">
        <v>0</v>
      </c>
      <c r="AG482" s="6">
        <v>2.3469220117815501E-3</v>
      </c>
      <c r="AH482" s="6">
        <v>0</v>
      </c>
      <c r="AI482" s="6">
        <v>6.89528362599982E-3</v>
      </c>
      <c r="AJ482" s="6">
        <v>0</v>
      </c>
      <c r="AK482" s="6">
        <v>0</v>
      </c>
      <c r="AL482" s="6">
        <v>0</v>
      </c>
      <c r="AM482" s="6">
        <v>0</v>
      </c>
    </row>
    <row r="483" spans="1:39" customFormat="1" hidden="1" x14ac:dyDescent="0.3">
      <c r="A483" t="s">
        <v>1492</v>
      </c>
      <c r="B483" t="s">
        <v>30</v>
      </c>
      <c r="C483" t="s">
        <v>81</v>
      </c>
      <c r="D483" t="s">
        <v>85</v>
      </c>
      <c r="E483" t="s">
        <v>287</v>
      </c>
      <c r="F483" t="s">
        <v>286</v>
      </c>
      <c r="G483" t="s">
        <v>286</v>
      </c>
      <c r="H483" s="16">
        <v>0</v>
      </c>
      <c r="I483" s="11">
        <v>0</v>
      </c>
      <c r="J483" s="11">
        <v>0</v>
      </c>
      <c r="K483" s="11">
        <v>0</v>
      </c>
      <c r="L483" s="11">
        <v>0</v>
      </c>
      <c r="M483" s="11">
        <v>0</v>
      </c>
      <c r="N483" s="11">
        <v>4.5835816106705798E-3</v>
      </c>
      <c r="O483" s="11">
        <v>0</v>
      </c>
      <c r="P483" s="11">
        <v>3.3947788301592198E-3</v>
      </c>
      <c r="Q483" s="11">
        <v>1.0997168229181E-2</v>
      </c>
      <c r="R483" s="11">
        <v>0</v>
      </c>
      <c r="S483" s="11">
        <v>0</v>
      </c>
      <c r="T483" s="11">
        <v>0</v>
      </c>
      <c r="U483">
        <v>6.0840203206278696E-3</v>
      </c>
      <c r="V483">
        <v>7.2288285683305004E-3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3.5915670006823998E-3</v>
      </c>
      <c r="AK483">
        <v>0</v>
      </c>
      <c r="AL483">
        <v>0</v>
      </c>
      <c r="AM483">
        <v>0</v>
      </c>
    </row>
    <row r="484" spans="1:39" customFormat="1" hidden="1" x14ac:dyDescent="0.3">
      <c r="A484" t="s">
        <v>1491</v>
      </c>
      <c r="B484" t="s">
        <v>30</v>
      </c>
      <c r="C484" t="s">
        <v>111</v>
      </c>
      <c r="D484" t="s">
        <v>297</v>
      </c>
      <c r="E484" t="s">
        <v>1490</v>
      </c>
      <c r="F484" t="s">
        <v>1489</v>
      </c>
      <c r="G484" t="s">
        <v>1488</v>
      </c>
      <c r="H484" s="16">
        <v>4.1583499667332E-3</v>
      </c>
      <c r="I484" s="11">
        <v>3.6565745209887401E-3</v>
      </c>
      <c r="J484" s="11">
        <v>0</v>
      </c>
      <c r="K484" s="11">
        <v>5.6589893045102101E-3</v>
      </c>
      <c r="L484" s="11">
        <v>0</v>
      </c>
      <c r="M484" s="11">
        <v>0</v>
      </c>
      <c r="N484" s="11">
        <v>0</v>
      </c>
      <c r="O484" s="11">
        <v>0</v>
      </c>
      <c r="P484" s="11">
        <v>0</v>
      </c>
      <c r="Q484" s="11">
        <v>0</v>
      </c>
      <c r="R484" s="11">
        <v>4.4882296178272501E-3</v>
      </c>
      <c r="S484" s="11">
        <v>0</v>
      </c>
      <c r="T484" s="11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1.8775376094252401E-2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</row>
    <row r="485" spans="1:39" customFormat="1" hidden="1" x14ac:dyDescent="0.3">
      <c r="A485" t="s">
        <v>1487</v>
      </c>
      <c r="B485" t="s">
        <v>30</v>
      </c>
      <c r="C485" t="s">
        <v>81</v>
      </c>
      <c r="D485" t="s">
        <v>118</v>
      </c>
      <c r="E485" t="s">
        <v>117</v>
      </c>
      <c r="F485" t="s">
        <v>116</v>
      </c>
      <c r="G485" t="s">
        <v>25</v>
      </c>
      <c r="H485" s="16">
        <v>0</v>
      </c>
      <c r="I485" s="11">
        <v>0</v>
      </c>
      <c r="J485" s="11">
        <v>0</v>
      </c>
      <c r="K485" s="11">
        <v>0</v>
      </c>
      <c r="L485" s="11">
        <v>0</v>
      </c>
      <c r="M485" s="11">
        <v>0</v>
      </c>
      <c r="N485" s="11">
        <v>0</v>
      </c>
      <c r="O485" s="11">
        <v>0</v>
      </c>
      <c r="P485" s="11">
        <v>0</v>
      </c>
      <c r="Q485" s="11">
        <v>0</v>
      </c>
      <c r="R485" s="11">
        <v>0</v>
      </c>
      <c r="S485" s="11">
        <v>0</v>
      </c>
      <c r="T485" s="11">
        <v>0</v>
      </c>
      <c r="U485">
        <v>0</v>
      </c>
      <c r="V485">
        <v>0</v>
      </c>
      <c r="W485">
        <v>2.6668088964744798E-3</v>
      </c>
      <c r="X485">
        <v>6.4242579982012101E-3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3.14564328405159E-3</v>
      </c>
      <c r="AE485">
        <v>0</v>
      </c>
      <c r="AF485">
        <v>0</v>
      </c>
      <c r="AG485">
        <v>0</v>
      </c>
      <c r="AH485">
        <v>4.6410173109945703E-3</v>
      </c>
      <c r="AI485">
        <v>0</v>
      </c>
      <c r="AJ485">
        <v>3.5915670006823998E-3</v>
      </c>
      <c r="AK485">
        <v>0</v>
      </c>
      <c r="AL485">
        <v>0</v>
      </c>
      <c r="AM485">
        <v>0</v>
      </c>
    </row>
    <row r="486" spans="1:39" customFormat="1" hidden="1" x14ac:dyDescent="0.3">
      <c r="A486" t="s">
        <v>1486</v>
      </c>
      <c r="B486" t="s">
        <v>30</v>
      </c>
      <c r="C486" t="s">
        <v>81</v>
      </c>
      <c r="D486" t="s">
        <v>80</v>
      </c>
      <c r="E486" t="s">
        <v>618</v>
      </c>
      <c r="F486" t="s">
        <v>629</v>
      </c>
      <c r="G486" t="s">
        <v>628</v>
      </c>
      <c r="H486" s="16">
        <v>0</v>
      </c>
      <c r="I486" s="11">
        <v>0</v>
      </c>
      <c r="J486" s="11">
        <v>0</v>
      </c>
      <c r="K486" s="11">
        <v>0</v>
      </c>
      <c r="L486" s="11">
        <v>0</v>
      </c>
      <c r="M486" s="11">
        <v>0</v>
      </c>
      <c r="N486" s="11">
        <v>0</v>
      </c>
      <c r="O486" s="11">
        <v>0</v>
      </c>
      <c r="P486" s="11">
        <v>0</v>
      </c>
      <c r="Q486" s="11">
        <v>0</v>
      </c>
      <c r="R486" s="11">
        <v>0</v>
      </c>
      <c r="S486" s="11">
        <v>1.2441524833283601E-2</v>
      </c>
      <c r="T486" s="11">
        <v>3.3464962184592698E-3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6.8598868118676E-3</v>
      </c>
      <c r="AF486">
        <v>0</v>
      </c>
      <c r="AG486">
        <v>1.4081532070689301E-2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</row>
    <row r="487" spans="1:39" customFormat="1" hidden="1" x14ac:dyDescent="0.3">
      <c r="A487" t="s">
        <v>1485</v>
      </c>
      <c r="B487" t="s">
        <v>30</v>
      </c>
      <c r="C487" t="s">
        <v>29</v>
      </c>
      <c r="D487" t="s">
        <v>28</v>
      </c>
      <c r="E487" t="s">
        <v>105</v>
      </c>
      <c r="F487" t="s">
        <v>105</v>
      </c>
      <c r="G487" t="s">
        <v>105</v>
      </c>
      <c r="H487" s="16">
        <v>0</v>
      </c>
      <c r="I487" s="11">
        <v>0</v>
      </c>
      <c r="J487" s="11">
        <v>0</v>
      </c>
      <c r="K487" s="11">
        <v>0</v>
      </c>
      <c r="L487" s="11">
        <v>0</v>
      </c>
      <c r="M487" s="11">
        <v>0</v>
      </c>
      <c r="N487" s="11">
        <v>0</v>
      </c>
      <c r="O487" s="11">
        <v>0</v>
      </c>
      <c r="P487" s="11">
        <v>0</v>
      </c>
      <c r="Q487" s="11">
        <v>0</v>
      </c>
      <c r="R487" s="11">
        <v>4.4882296178272501E-3</v>
      </c>
      <c r="S487" s="11">
        <v>0</v>
      </c>
      <c r="T487" s="11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2.5165146272412699E-2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</row>
    <row r="488" spans="1:39" customFormat="1" hidden="1" x14ac:dyDescent="0.3">
      <c r="A488" t="s">
        <v>1484</v>
      </c>
      <c r="B488" t="s">
        <v>30</v>
      </c>
      <c r="C488" t="s">
        <v>81</v>
      </c>
      <c r="D488" t="s">
        <v>80</v>
      </c>
      <c r="E488" t="s">
        <v>618</v>
      </c>
      <c r="F488" t="s">
        <v>617</v>
      </c>
      <c r="G488" t="s">
        <v>1483</v>
      </c>
      <c r="H488" s="16">
        <v>0</v>
      </c>
      <c r="I488" s="11">
        <v>0</v>
      </c>
      <c r="J488" s="11">
        <v>0</v>
      </c>
      <c r="K488" s="11">
        <v>0</v>
      </c>
      <c r="L488" s="11">
        <v>0</v>
      </c>
      <c r="M488" s="11">
        <v>0</v>
      </c>
      <c r="N488" s="11">
        <v>0</v>
      </c>
      <c r="O488" s="11">
        <v>0</v>
      </c>
      <c r="P488" s="11">
        <v>0</v>
      </c>
      <c r="Q488" s="11">
        <v>2.7492920572952501E-3</v>
      </c>
      <c r="R488" s="11">
        <v>0</v>
      </c>
      <c r="S488" s="11">
        <v>2.4883049666567102E-3</v>
      </c>
      <c r="T488" s="11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2.2559104854719399E-2</v>
      </c>
      <c r="AC488">
        <v>0</v>
      </c>
      <c r="AD488">
        <v>6.2912865681031801E-3</v>
      </c>
      <c r="AE488">
        <v>0</v>
      </c>
      <c r="AF488">
        <v>5.03372596395852E-3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</row>
    <row r="489" spans="1:39" customFormat="1" hidden="1" x14ac:dyDescent="0.3">
      <c r="A489" t="s">
        <v>1482</v>
      </c>
      <c r="B489" t="s">
        <v>30</v>
      </c>
      <c r="C489" t="s">
        <v>81</v>
      </c>
      <c r="D489" t="s">
        <v>118</v>
      </c>
      <c r="E489" t="s">
        <v>236</v>
      </c>
      <c r="F489" t="s">
        <v>236</v>
      </c>
      <c r="G489" t="s">
        <v>236</v>
      </c>
      <c r="H489" s="16">
        <v>0</v>
      </c>
      <c r="I489" s="11">
        <v>0</v>
      </c>
      <c r="J489" s="11">
        <v>0</v>
      </c>
      <c r="K489" s="11">
        <v>0</v>
      </c>
      <c r="L489" s="11">
        <v>6.6037112857425901E-3</v>
      </c>
      <c r="M489" s="11">
        <v>0</v>
      </c>
      <c r="N489" s="11">
        <v>4.5835816106705798E-3</v>
      </c>
      <c r="O489" s="11">
        <v>3.75023438964935E-3</v>
      </c>
      <c r="P489" s="11">
        <v>3.3947788301592198E-3</v>
      </c>
      <c r="Q489" s="11">
        <v>0</v>
      </c>
      <c r="R489" s="11">
        <v>0</v>
      </c>
      <c r="S489" s="11">
        <v>0</v>
      </c>
      <c r="T489" s="11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6.3548551093035102E-3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2.3469220117815501E-3</v>
      </c>
      <c r="AH489">
        <v>0</v>
      </c>
      <c r="AI489">
        <v>1.14921393766664E-2</v>
      </c>
      <c r="AJ489">
        <v>0</v>
      </c>
      <c r="AK489">
        <v>0</v>
      </c>
      <c r="AL489">
        <v>0</v>
      </c>
      <c r="AM489">
        <v>0</v>
      </c>
    </row>
    <row r="490" spans="1:39" customFormat="1" hidden="1" x14ac:dyDescent="0.3">
      <c r="A490" t="s">
        <v>1481</v>
      </c>
      <c r="B490" t="s">
        <v>30</v>
      </c>
      <c r="C490" t="s">
        <v>81</v>
      </c>
      <c r="D490" t="s">
        <v>118</v>
      </c>
      <c r="E490" t="s">
        <v>371</v>
      </c>
      <c r="F490" t="s">
        <v>424</v>
      </c>
      <c r="G490" t="s">
        <v>444</v>
      </c>
      <c r="H490" s="16">
        <v>0</v>
      </c>
      <c r="I490" s="11">
        <v>0</v>
      </c>
      <c r="J490" s="11">
        <v>0</v>
      </c>
      <c r="K490" s="11">
        <v>0</v>
      </c>
      <c r="L490" s="11">
        <v>0</v>
      </c>
      <c r="M490" s="11">
        <v>0</v>
      </c>
      <c r="N490" s="11">
        <v>4.5835816106705798E-3</v>
      </c>
      <c r="O490" s="11">
        <v>0</v>
      </c>
      <c r="P490" s="11">
        <v>0</v>
      </c>
      <c r="Q490" s="11">
        <v>0</v>
      </c>
      <c r="R490" s="11">
        <v>0</v>
      </c>
      <c r="S490" s="11">
        <v>0</v>
      </c>
      <c r="T490" s="11">
        <v>0</v>
      </c>
      <c r="U490">
        <v>0</v>
      </c>
      <c r="V490">
        <v>0</v>
      </c>
      <c r="W490">
        <v>2.6668088964744798E-3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1.02898302178014E-2</v>
      </c>
      <c r="AF490">
        <v>0</v>
      </c>
      <c r="AG490">
        <v>7.0407660353446503E-3</v>
      </c>
      <c r="AH490">
        <v>0</v>
      </c>
      <c r="AI490">
        <v>2.2984278753332699E-3</v>
      </c>
      <c r="AJ490">
        <v>0</v>
      </c>
      <c r="AK490">
        <v>0</v>
      </c>
      <c r="AL490">
        <v>0</v>
      </c>
      <c r="AM490">
        <v>0</v>
      </c>
    </row>
    <row r="491" spans="1:39" customFormat="1" hidden="1" x14ac:dyDescent="0.3">
      <c r="A491" t="s">
        <v>1480</v>
      </c>
      <c r="B491" t="s">
        <v>30</v>
      </c>
      <c r="C491" t="s">
        <v>81</v>
      </c>
      <c r="D491" t="s">
        <v>118</v>
      </c>
      <c r="E491" t="s">
        <v>371</v>
      </c>
      <c r="F491" t="s">
        <v>424</v>
      </c>
      <c r="G491" t="s">
        <v>1479</v>
      </c>
      <c r="H491" s="16">
        <v>0</v>
      </c>
      <c r="I491" s="11">
        <v>0</v>
      </c>
      <c r="J491" s="11">
        <v>0</v>
      </c>
      <c r="K491" s="11">
        <v>0</v>
      </c>
      <c r="L491" s="11">
        <v>0</v>
      </c>
      <c r="M491" s="11">
        <v>3.5488679111363502E-3</v>
      </c>
      <c r="N491" s="11">
        <v>0</v>
      </c>
      <c r="O491" s="11">
        <v>0</v>
      </c>
      <c r="P491" s="11">
        <v>0</v>
      </c>
      <c r="Q491" s="11">
        <v>0</v>
      </c>
      <c r="R491" s="11">
        <v>4.4882296178272501E-3</v>
      </c>
      <c r="S491" s="11">
        <v>2.4883049666567102E-3</v>
      </c>
      <c r="T491" s="11">
        <v>3.3464962184592698E-3</v>
      </c>
      <c r="U491">
        <v>0</v>
      </c>
      <c r="V491">
        <v>7.2288285683305004E-3</v>
      </c>
      <c r="W491">
        <v>2.6668088964744798E-3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9.3876880471262004E-3</v>
      </c>
      <c r="AH491">
        <v>0</v>
      </c>
      <c r="AI491">
        <v>2.2984278753332699E-3</v>
      </c>
      <c r="AJ491">
        <v>0</v>
      </c>
      <c r="AK491">
        <v>0</v>
      </c>
      <c r="AL491">
        <v>0</v>
      </c>
      <c r="AM491">
        <v>0</v>
      </c>
    </row>
    <row r="492" spans="1:39" customFormat="1" hidden="1" x14ac:dyDescent="0.3">
      <c r="A492" t="s">
        <v>1478</v>
      </c>
      <c r="B492" t="s">
        <v>30</v>
      </c>
      <c r="C492" t="s">
        <v>81</v>
      </c>
      <c r="D492" t="s">
        <v>118</v>
      </c>
      <c r="E492" t="s">
        <v>371</v>
      </c>
      <c r="F492" t="s">
        <v>374</v>
      </c>
      <c r="G492" t="s">
        <v>373</v>
      </c>
      <c r="H492" s="16">
        <v>0</v>
      </c>
      <c r="I492" s="11">
        <v>0</v>
      </c>
      <c r="J492" s="11">
        <v>0</v>
      </c>
      <c r="K492" s="11">
        <v>0</v>
      </c>
      <c r="L492" s="11">
        <v>0</v>
      </c>
      <c r="M492" s="11">
        <v>0</v>
      </c>
      <c r="N492" s="11">
        <v>0</v>
      </c>
      <c r="O492" s="11">
        <v>0</v>
      </c>
      <c r="P492" s="11">
        <v>0</v>
      </c>
      <c r="Q492" s="11">
        <v>0</v>
      </c>
      <c r="R492" s="11">
        <v>4.4882296178272501E-3</v>
      </c>
      <c r="S492" s="11">
        <v>2.4883049666567102E-3</v>
      </c>
      <c r="T492" s="11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1.4081532070689301E-2</v>
      </c>
      <c r="AH492">
        <v>0</v>
      </c>
      <c r="AI492">
        <v>4.5968557506665397E-3</v>
      </c>
      <c r="AJ492">
        <v>0</v>
      </c>
      <c r="AK492">
        <v>0</v>
      </c>
      <c r="AL492">
        <v>0</v>
      </c>
      <c r="AM492">
        <v>0</v>
      </c>
    </row>
    <row r="493" spans="1:39" customFormat="1" hidden="1" x14ac:dyDescent="0.3">
      <c r="A493" t="s">
        <v>1477</v>
      </c>
      <c r="B493" t="s">
        <v>30</v>
      </c>
      <c r="C493" t="s">
        <v>41</v>
      </c>
      <c r="D493" t="s">
        <v>41</v>
      </c>
      <c r="E493" t="s">
        <v>41</v>
      </c>
      <c r="F493" t="s">
        <v>41</v>
      </c>
      <c r="G493" t="s">
        <v>41</v>
      </c>
      <c r="H493" s="16">
        <v>0</v>
      </c>
      <c r="I493" s="11">
        <v>0</v>
      </c>
      <c r="J493" s="11">
        <v>0</v>
      </c>
      <c r="K493" s="11">
        <v>0</v>
      </c>
      <c r="L493" s="11">
        <v>0</v>
      </c>
      <c r="M493" s="11">
        <v>0</v>
      </c>
      <c r="N493" s="11">
        <v>0</v>
      </c>
      <c r="O493" s="11">
        <v>0</v>
      </c>
      <c r="P493" s="11">
        <v>0</v>
      </c>
      <c r="Q493" s="11">
        <v>0</v>
      </c>
      <c r="R493" s="11">
        <v>0</v>
      </c>
      <c r="S493" s="11">
        <v>0</v>
      </c>
      <c r="T493" s="11">
        <v>3.3464962184592698E-3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7.1911405148856597E-3</v>
      </c>
      <c r="AD493">
        <v>0</v>
      </c>
      <c r="AE493">
        <v>0</v>
      </c>
      <c r="AF493">
        <v>0</v>
      </c>
      <c r="AG493">
        <v>0</v>
      </c>
      <c r="AH493">
        <v>3.2487121176962001E-2</v>
      </c>
      <c r="AI493">
        <v>0</v>
      </c>
      <c r="AJ493">
        <v>0</v>
      </c>
      <c r="AK493">
        <v>0</v>
      </c>
      <c r="AL493">
        <v>0</v>
      </c>
      <c r="AM493">
        <v>0</v>
      </c>
    </row>
    <row r="494" spans="1:39" customFormat="1" hidden="1" x14ac:dyDescent="0.3">
      <c r="A494" t="s">
        <v>1475</v>
      </c>
      <c r="B494" t="s">
        <v>30</v>
      </c>
      <c r="C494" t="s">
        <v>111</v>
      </c>
      <c r="D494" t="s">
        <v>141</v>
      </c>
      <c r="E494" t="s">
        <v>140</v>
      </c>
      <c r="F494" t="s">
        <v>592</v>
      </c>
      <c r="G494" t="s">
        <v>1474</v>
      </c>
      <c r="H494" s="16">
        <v>0</v>
      </c>
      <c r="I494" s="11">
        <v>0</v>
      </c>
      <c r="J494" s="11">
        <v>0</v>
      </c>
      <c r="K494" s="11">
        <v>0</v>
      </c>
      <c r="L494" s="11">
        <v>0</v>
      </c>
      <c r="M494" s="11">
        <v>0</v>
      </c>
      <c r="N494" s="11">
        <v>0</v>
      </c>
      <c r="O494" s="11">
        <v>0</v>
      </c>
      <c r="P494" s="11">
        <v>0</v>
      </c>
      <c r="Q494" s="11">
        <v>0</v>
      </c>
      <c r="R494" s="11">
        <v>0</v>
      </c>
      <c r="S494" s="11">
        <v>2.4883049666567102E-3</v>
      </c>
      <c r="T494" s="11">
        <v>1.00394886553778E-2</v>
      </c>
      <c r="U494">
        <v>0</v>
      </c>
      <c r="V494">
        <v>3.6144142841652502E-3</v>
      </c>
      <c r="W494">
        <v>0</v>
      </c>
      <c r="X494">
        <v>0</v>
      </c>
      <c r="Y494">
        <v>5.8529162155043701E-3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</row>
    <row r="495" spans="1:39" customFormat="1" hidden="1" x14ac:dyDescent="0.3">
      <c r="A495" t="s">
        <v>1473</v>
      </c>
      <c r="B495" t="s">
        <v>30</v>
      </c>
      <c r="C495" t="s">
        <v>111</v>
      </c>
      <c r="D495" t="s">
        <v>141</v>
      </c>
      <c r="E495" t="s">
        <v>140</v>
      </c>
      <c r="F495" t="s">
        <v>592</v>
      </c>
      <c r="G495" t="s">
        <v>958</v>
      </c>
      <c r="H495" s="16">
        <v>0</v>
      </c>
      <c r="I495" s="11">
        <v>0</v>
      </c>
      <c r="J495" s="11">
        <v>0</v>
      </c>
      <c r="K495" s="11">
        <v>0</v>
      </c>
      <c r="L495" s="11">
        <v>0</v>
      </c>
      <c r="M495" s="11">
        <v>0</v>
      </c>
      <c r="N495" s="11">
        <v>0</v>
      </c>
      <c r="O495" s="11">
        <v>0</v>
      </c>
      <c r="P495" s="11">
        <v>0</v>
      </c>
      <c r="Q495" s="11">
        <v>0</v>
      </c>
      <c r="R495" s="11">
        <v>0</v>
      </c>
      <c r="S495" s="11">
        <v>9.9532198666268494E-3</v>
      </c>
      <c r="T495" s="11">
        <v>3.3464962184592698E-3</v>
      </c>
      <c r="U495">
        <v>6.0840203206278696E-3</v>
      </c>
      <c r="V495">
        <v>0</v>
      </c>
      <c r="W495">
        <v>0</v>
      </c>
      <c r="X495">
        <v>6.4242579982012101E-3</v>
      </c>
      <c r="Y495">
        <v>0</v>
      </c>
      <c r="Z495">
        <v>0</v>
      </c>
      <c r="AA495">
        <v>0</v>
      </c>
      <c r="AB495">
        <v>4.5118209709438702E-3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4.6410173109945703E-3</v>
      </c>
      <c r="AI495">
        <v>0</v>
      </c>
      <c r="AJ495">
        <v>0</v>
      </c>
      <c r="AK495">
        <v>0</v>
      </c>
      <c r="AL495">
        <v>3.5844863431070302E-3</v>
      </c>
      <c r="AM495">
        <v>0</v>
      </c>
    </row>
    <row r="496" spans="1:39" customFormat="1" hidden="1" x14ac:dyDescent="0.3">
      <c r="A496" t="s">
        <v>1472</v>
      </c>
      <c r="B496" t="s">
        <v>30</v>
      </c>
      <c r="C496" t="s">
        <v>81</v>
      </c>
      <c r="D496" t="s">
        <v>80</v>
      </c>
      <c r="E496" t="s">
        <v>618</v>
      </c>
      <c r="F496" t="s">
        <v>617</v>
      </c>
      <c r="G496" t="s">
        <v>1471</v>
      </c>
      <c r="H496" s="16">
        <v>0</v>
      </c>
      <c r="I496" s="11">
        <v>0</v>
      </c>
      <c r="J496" s="11">
        <v>0</v>
      </c>
      <c r="K496" s="11">
        <v>0</v>
      </c>
      <c r="L496" s="11">
        <v>0</v>
      </c>
      <c r="M496" s="11">
        <v>0</v>
      </c>
      <c r="N496" s="11">
        <v>0</v>
      </c>
      <c r="O496" s="11">
        <v>0</v>
      </c>
      <c r="P496" s="11">
        <v>0</v>
      </c>
      <c r="Q496" s="11">
        <v>2.7492920572952501E-3</v>
      </c>
      <c r="R496" s="11">
        <v>2.2441148089136199E-3</v>
      </c>
      <c r="S496" s="11">
        <v>0</v>
      </c>
      <c r="T496" s="11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2.70709258256632E-2</v>
      </c>
      <c r="AC496">
        <v>0</v>
      </c>
      <c r="AD496">
        <v>6.2912865681031801E-3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</row>
    <row r="497" spans="1:39" customFormat="1" hidden="1" x14ac:dyDescent="0.3">
      <c r="A497" t="s">
        <v>1470</v>
      </c>
      <c r="B497" t="s">
        <v>30</v>
      </c>
      <c r="C497" t="s">
        <v>111</v>
      </c>
      <c r="D497" t="s">
        <v>141</v>
      </c>
      <c r="E497" t="s">
        <v>140</v>
      </c>
      <c r="F497" t="s">
        <v>592</v>
      </c>
      <c r="G497" t="s">
        <v>1469</v>
      </c>
      <c r="H497" s="16">
        <v>0</v>
      </c>
      <c r="I497" s="11">
        <v>0</v>
      </c>
      <c r="J497" s="11">
        <v>0</v>
      </c>
      <c r="K497" s="11">
        <v>0</v>
      </c>
      <c r="L497" s="11">
        <v>0</v>
      </c>
      <c r="M497" s="11">
        <v>7.0977358222727004E-3</v>
      </c>
      <c r="N497" s="11">
        <v>0</v>
      </c>
      <c r="O497" s="11">
        <v>0</v>
      </c>
      <c r="P497" s="11">
        <v>0</v>
      </c>
      <c r="Q497" s="11">
        <v>0</v>
      </c>
      <c r="R497" s="11">
        <v>0</v>
      </c>
      <c r="S497" s="11">
        <v>0</v>
      </c>
      <c r="T497" s="11">
        <v>6.69299243691855E-3</v>
      </c>
      <c r="U497">
        <v>0</v>
      </c>
      <c r="V497">
        <v>7.2288285683305004E-3</v>
      </c>
      <c r="W497">
        <v>0</v>
      </c>
      <c r="X497">
        <v>0</v>
      </c>
      <c r="Y497">
        <v>1.46322905387609E-2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3.4299434059338E-3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</row>
    <row r="498" spans="1:39" customFormat="1" hidden="1" x14ac:dyDescent="0.3">
      <c r="A498" t="s">
        <v>1468</v>
      </c>
      <c r="B498" t="s">
        <v>30</v>
      </c>
      <c r="C498" t="s">
        <v>81</v>
      </c>
      <c r="D498" t="s">
        <v>80</v>
      </c>
      <c r="E498" t="s">
        <v>618</v>
      </c>
      <c r="F498" t="s">
        <v>1467</v>
      </c>
      <c r="G498" t="s">
        <v>1220</v>
      </c>
      <c r="H498" s="16">
        <v>4.1583499667332E-3</v>
      </c>
      <c r="I498" s="11">
        <v>1.09697235629662E-2</v>
      </c>
      <c r="J498" s="11">
        <v>0</v>
      </c>
      <c r="K498" s="11">
        <v>0</v>
      </c>
      <c r="L498" s="11">
        <v>0</v>
      </c>
      <c r="M498" s="11">
        <v>0</v>
      </c>
      <c r="N498" s="11">
        <v>0</v>
      </c>
      <c r="O498" s="11">
        <v>0</v>
      </c>
      <c r="P498" s="11">
        <v>3.3947788301592198E-3</v>
      </c>
      <c r="Q498" s="11">
        <v>0</v>
      </c>
      <c r="R498" s="11">
        <v>0</v>
      </c>
      <c r="S498" s="11">
        <v>0</v>
      </c>
      <c r="T498" s="11">
        <v>0</v>
      </c>
      <c r="U498">
        <v>0</v>
      </c>
      <c r="V498">
        <v>0</v>
      </c>
      <c r="W498">
        <v>0</v>
      </c>
      <c r="X498">
        <v>0</v>
      </c>
      <c r="Y498">
        <v>2.9264581077521898E-3</v>
      </c>
      <c r="Z498">
        <v>0</v>
      </c>
      <c r="AA498">
        <v>0</v>
      </c>
      <c r="AB498">
        <v>9.0236419418877507E-3</v>
      </c>
      <c r="AC498" s="3">
        <v>7.1911405148856597E-3</v>
      </c>
      <c r="AD498">
        <v>3.14564328405159E-3</v>
      </c>
      <c r="AE498">
        <v>3.4299434059338E-3</v>
      </c>
      <c r="AF498">
        <v>0</v>
      </c>
      <c r="AG498">
        <v>2.3469220117815501E-3</v>
      </c>
      <c r="AH498">
        <v>0</v>
      </c>
      <c r="AI498">
        <v>2.2984278753332699E-3</v>
      </c>
      <c r="AJ498">
        <v>0</v>
      </c>
      <c r="AK498">
        <v>0</v>
      </c>
      <c r="AL498">
        <v>0</v>
      </c>
      <c r="AM498">
        <v>0</v>
      </c>
    </row>
    <row r="499" spans="1:39" customFormat="1" hidden="1" x14ac:dyDescent="0.3">
      <c r="A499" t="s">
        <v>1466</v>
      </c>
      <c r="B499" t="s">
        <v>30</v>
      </c>
      <c r="C499" t="s">
        <v>264</v>
      </c>
      <c r="D499" t="s">
        <v>263</v>
      </c>
      <c r="E499" t="s">
        <v>262</v>
      </c>
      <c r="F499" t="s">
        <v>261</v>
      </c>
      <c r="G499" t="s">
        <v>260</v>
      </c>
      <c r="H499" s="16">
        <v>0</v>
      </c>
      <c r="I499" s="11">
        <v>0</v>
      </c>
      <c r="J499" s="11">
        <v>0</v>
      </c>
      <c r="K499" s="11">
        <v>0</v>
      </c>
      <c r="L499" s="11">
        <v>0</v>
      </c>
      <c r="M499" s="11">
        <v>0</v>
      </c>
      <c r="N499" s="11">
        <v>0</v>
      </c>
      <c r="O499" s="11">
        <v>0</v>
      </c>
      <c r="P499" s="11">
        <v>0</v>
      </c>
      <c r="Q499" s="11">
        <v>0</v>
      </c>
      <c r="R499" s="11">
        <v>0</v>
      </c>
      <c r="S499" s="11">
        <v>0</v>
      </c>
      <c r="T499" s="11">
        <v>0</v>
      </c>
      <c r="U499">
        <v>3.04201016031394E-3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</row>
    <row r="500" spans="1:39" customFormat="1" hidden="1" x14ac:dyDescent="0.3">
      <c r="A500" t="s">
        <v>1465</v>
      </c>
      <c r="B500" t="s">
        <v>30</v>
      </c>
      <c r="C500" t="s">
        <v>35</v>
      </c>
      <c r="D500" t="s">
        <v>35</v>
      </c>
      <c r="E500" t="s">
        <v>34</v>
      </c>
      <c r="F500" t="s">
        <v>33</v>
      </c>
      <c r="G500" t="s">
        <v>1464</v>
      </c>
      <c r="H500" s="16">
        <v>0</v>
      </c>
      <c r="I500" s="11">
        <v>0</v>
      </c>
      <c r="J500" s="11">
        <v>0</v>
      </c>
      <c r="K500" s="11">
        <v>0</v>
      </c>
      <c r="L500" s="11">
        <v>0</v>
      </c>
      <c r="M500" s="11">
        <v>0</v>
      </c>
      <c r="N500" s="11">
        <v>0</v>
      </c>
      <c r="O500" s="11">
        <v>0</v>
      </c>
      <c r="P500" s="11">
        <v>0</v>
      </c>
      <c r="Q500" s="11">
        <v>0</v>
      </c>
      <c r="R500" s="11">
        <v>0</v>
      </c>
      <c r="S500" s="11">
        <v>0</v>
      </c>
      <c r="T500" s="11">
        <v>0</v>
      </c>
      <c r="U500">
        <v>0</v>
      </c>
      <c r="V500">
        <v>0</v>
      </c>
      <c r="W500">
        <v>2.6668088964744798E-3</v>
      </c>
      <c r="X500">
        <v>0</v>
      </c>
      <c r="Y500">
        <v>2.9264581077521898E-3</v>
      </c>
      <c r="Z500">
        <v>3.1774275546517499E-3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6.02700096432015E-3</v>
      </c>
      <c r="AL500">
        <v>0</v>
      </c>
      <c r="AM500">
        <v>0</v>
      </c>
    </row>
    <row r="501" spans="1:39" customFormat="1" hidden="1" x14ac:dyDescent="0.3">
      <c r="A501" t="s">
        <v>1463</v>
      </c>
      <c r="B501" t="s">
        <v>30</v>
      </c>
      <c r="C501" t="s">
        <v>81</v>
      </c>
      <c r="D501" t="s">
        <v>80</v>
      </c>
      <c r="E501" t="s">
        <v>1462</v>
      </c>
      <c r="F501" t="s">
        <v>1461</v>
      </c>
      <c r="G501" t="s">
        <v>1460</v>
      </c>
      <c r="H501" s="16">
        <v>0</v>
      </c>
      <c r="I501" s="11">
        <v>3.6565745209887401E-3</v>
      </c>
      <c r="J501" s="11">
        <v>0</v>
      </c>
      <c r="K501" s="11">
        <v>0</v>
      </c>
      <c r="L501" s="11">
        <v>1.3207422571485199E-2</v>
      </c>
      <c r="M501" s="11">
        <v>0</v>
      </c>
      <c r="N501" s="11">
        <v>0</v>
      </c>
      <c r="O501" s="11">
        <v>7.5004687792987104E-3</v>
      </c>
      <c r="P501" s="11">
        <v>0</v>
      </c>
      <c r="Q501" s="11">
        <v>0</v>
      </c>
      <c r="R501" s="11">
        <v>0</v>
      </c>
      <c r="S501" s="11">
        <v>0</v>
      </c>
      <c r="T501" s="1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3.1774275546517499E-3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5.03372596395852E-3</v>
      </c>
      <c r="AG501">
        <v>1.1734610058907699E-2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</row>
    <row r="502" spans="1:39" customFormat="1" hidden="1" x14ac:dyDescent="0.3">
      <c r="A502" t="s">
        <v>1459</v>
      </c>
      <c r="B502" t="s">
        <v>30</v>
      </c>
      <c r="C502" t="s">
        <v>81</v>
      </c>
      <c r="D502" t="s">
        <v>118</v>
      </c>
      <c r="E502" t="s">
        <v>371</v>
      </c>
      <c r="F502" t="s">
        <v>374</v>
      </c>
      <c r="G502" t="s">
        <v>1458</v>
      </c>
      <c r="H502" s="16">
        <v>0</v>
      </c>
      <c r="I502" s="11">
        <v>0</v>
      </c>
      <c r="J502" s="11">
        <v>0</v>
      </c>
      <c r="K502" s="11">
        <v>0</v>
      </c>
      <c r="L502" s="11">
        <v>0</v>
      </c>
      <c r="M502" s="11">
        <v>0</v>
      </c>
      <c r="N502" s="11">
        <v>0</v>
      </c>
      <c r="O502" s="11">
        <v>0</v>
      </c>
      <c r="P502" s="11">
        <v>0</v>
      </c>
      <c r="Q502" s="11">
        <v>0</v>
      </c>
      <c r="R502" s="11">
        <v>0</v>
      </c>
      <c r="S502" s="11">
        <v>0</v>
      </c>
      <c r="T502" s="11">
        <v>0</v>
      </c>
      <c r="U502">
        <v>0</v>
      </c>
      <c r="V502">
        <v>0</v>
      </c>
      <c r="W502">
        <v>2.6668088964744798E-3</v>
      </c>
      <c r="X502">
        <v>0</v>
      </c>
      <c r="Y502">
        <v>0</v>
      </c>
      <c r="Z502">
        <v>3.1774275546517499E-3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4.6938440235631002E-3</v>
      </c>
      <c r="AH502">
        <v>0</v>
      </c>
      <c r="AI502">
        <v>4.5968557506665397E-3</v>
      </c>
      <c r="AJ502">
        <v>0</v>
      </c>
      <c r="AK502">
        <v>0</v>
      </c>
      <c r="AL502">
        <v>0</v>
      </c>
      <c r="AM502">
        <v>0</v>
      </c>
    </row>
    <row r="503" spans="1:39" x14ac:dyDescent="0.3">
      <c r="A503" s="6" t="s">
        <v>1457</v>
      </c>
      <c r="B503" s="6" t="s">
        <v>30</v>
      </c>
      <c r="C503" s="6" t="s">
        <v>29</v>
      </c>
      <c r="D503" s="6" t="s">
        <v>28</v>
      </c>
      <c r="E503" s="6" t="s">
        <v>388</v>
      </c>
      <c r="F503" s="6" t="s">
        <v>624</v>
      </c>
      <c r="G503" s="6" t="s">
        <v>634</v>
      </c>
      <c r="H503" s="49">
        <v>0</v>
      </c>
      <c r="I503" s="6">
        <v>3.6565745209887401E-3</v>
      </c>
      <c r="J503" s="6">
        <v>0</v>
      </c>
      <c r="K503" s="6">
        <v>0</v>
      </c>
      <c r="L503" s="6">
        <v>0</v>
      </c>
      <c r="M503" s="6">
        <v>0</v>
      </c>
      <c r="N503" s="6">
        <v>4.5835816106705798E-3</v>
      </c>
      <c r="O503" s="6">
        <v>1.1250703168948099E-2</v>
      </c>
      <c r="P503" s="6">
        <v>0</v>
      </c>
      <c r="Q503" s="6">
        <v>0</v>
      </c>
      <c r="R503" s="6">
        <v>0</v>
      </c>
      <c r="S503" s="6">
        <v>0</v>
      </c>
      <c r="T503" s="6">
        <v>0</v>
      </c>
      <c r="U503" s="6">
        <v>0</v>
      </c>
      <c r="V503" s="6">
        <v>0</v>
      </c>
      <c r="W503" s="6">
        <v>0</v>
      </c>
      <c r="X503" s="6">
        <v>0</v>
      </c>
      <c r="Y503" s="6">
        <v>2.9264581077521898E-3</v>
      </c>
      <c r="Z503" s="6">
        <v>0</v>
      </c>
      <c r="AA503" s="6">
        <v>0</v>
      </c>
      <c r="AB503" s="6">
        <v>9.0236419418877507E-3</v>
      </c>
      <c r="AC503" s="6">
        <v>7.1911405148856597E-3</v>
      </c>
      <c r="AD503" s="6">
        <v>0</v>
      </c>
      <c r="AE503" s="6">
        <v>0</v>
      </c>
      <c r="AF503" s="6">
        <v>0</v>
      </c>
      <c r="AG503" s="6">
        <v>2.3469220117815501E-3</v>
      </c>
      <c r="AH503" s="6">
        <v>0</v>
      </c>
      <c r="AI503" s="6">
        <v>0</v>
      </c>
      <c r="AJ503" s="6">
        <v>0</v>
      </c>
      <c r="AK503" s="6">
        <v>0</v>
      </c>
      <c r="AL503" s="6">
        <v>0</v>
      </c>
      <c r="AM503" s="6">
        <v>0</v>
      </c>
    </row>
    <row r="504" spans="1:39" customFormat="1" hidden="1" x14ac:dyDescent="0.3">
      <c r="A504" t="s">
        <v>1455</v>
      </c>
      <c r="B504" t="s">
        <v>30</v>
      </c>
      <c r="C504" t="s">
        <v>81</v>
      </c>
      <c r="D504" t="s">
        <v>80</v>
      </c>
      <c r="E504" t="s">
        <v>618</v>
      </c>
      <c r="F504" t="s">
        <v>617</v>
      </c>
      <c r="G504" t="s">
        <v>1454</v>
      </c>
      <c r="H504" s="16">
        <v>0</v>
      </c>
      <c r="I504" s="11">
        <v>3.6565745209887401E-3</v>
      </c>
      <c r="J504" s="11">
        <v>0</v>
      </c>
      <c r="K504" s="11">
        <v>0</v>
      </c>
      <c r="L504" s="11">
        <v>0</v>
      </c>
      <c r="M504" s="11">
        <v>0</v>
      </c>
      <c r="N504" s="11">
        <v>4.5835816106705798E-3</v>
      </c>
      <c r="O504" s="11">
        <v>0</v>
      </c>
      <c r="P504" s="11">
        <v>0</v>
      </c>
      <c r="Q504" s="11">
        <v>0</v>
      </c>
      <c r="R504" s="11">
        <v>0</v>
      </c>
      <c r="S504" s="11">
        <v>0</v>
      </c>
      <c r="T504" s="11">
        <v>0</v>
      </c>
      <c r="U504">
        <v>6.0840203206278696E-3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 s="3">
        <v>2.87645620595426E-2</v>
      </c>
      <c r="AD504">
        <v>3.14564328405159E-3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</row>
    <row r="505" spans="1:39" customFormat="1" hidden="1" x14ac:dyDescent="0.3">
      <c r="A505" t="s">
        <v>1452</v>
      </c>
      <c r="B505" t="s">
        <v>30</v>
      </c>
      <c r="C505" t="s">
        <v>29</v>
      </c>
      <c r="D505" t="s">
        <v>28</v>
      </c>
      <c r="E505" t="s">
        <v>27</v>
      </c>
      <c r="F505" t="s">
        <v>67</v>
      </c>
      <c r="G505" t="s">
        <v>66</v>
      </c>
      <c r="H505" s="16">
        <v>0</v>
      </c>
      <c r="I505" s="11">
        <v>0</v>
      </c>
      <c r="J505" s="11">
        <v>4.3593879419329502E-3</v>
      </c>
      <c r="K505" s="11">
        <v>0</v>
      </c>
      <c r="L505" s="11">
        <v>0</v>
      </c>
      <c r="M505" s="11">
        <v>3.5488679111363502E-3</v>
      </c>
      <c r="N505" s="11">
        <v>0</v>
      </c>
      <c r="O505" s="11">
        <v>0</v>
      </c>
      <c r="P505" s="11">
        <v>0</v>
      </c>
      <c r="Q505" s="11">
        <v>0</v>
      </c>
      <c r="R505" s="11">
        <v>2.2441148089136199E-3</v>
      </c>
      <c r="S505" s="11">
        <v>0</v>
      </c>
      <c r="T505" s="11">
        <v>3.3464962184592698E-3</v>
      </c>
      <c r="U505">
        <v>0</v>
      </c>
      <c r="V505">
        <v>0</v>
      </c>
      <c r="W505">
        <v>2.6668088964744798E-3</v>
      </c>
      <c r="X505">
        <v>0</v>
      </c>
      <c r="Y505">
        <v>0</v>
      </c>
      <c r="Z505">
        <v>3.1774275546517499E-3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</row>
    <row r="506" spans="1:39" customFormat="1" hidden="1" x14ac:dyDescent="0.3">
      <c r="A506" t="s">
        <v>1451</v>
      </c>
      <c r="B506" t="s">
        <v>30</v>
      </c>
      <c r="C506" t="s">
        <v>81</v>
      </c>
      <c r="D506" t="s">
        <v>80</v>
      </c>
      <c r="E506" t="s">
        <v>618</v>
      </c>
      <c r="F506" t="s">
        <v>617</v>
      </c>
      <c r="G506" t="s">
        <v>1450</v>
      </c>
      <c r="H506" s="16">
        <v>0</v>
      </c>
      <c r="I506" s="11">
        <v>0</v>
      </c>
      <c r="J506" s="11">
        <v>0</v>
      </c>
      <c r="K506" s="11">
        <v>0</v>
      </c>
      <c r="L506" s="11">
        <v>0</v>
      </c>
      <c r="M506" s="11">
        <v>0</v>
      </c>
      <c r="N506" s="11">
        <v>0</v>
      </c>
      <c r="O506" s="11">
        <v>0</v>
      </c>
      <c r="P506" s="11">
        <v>0</v>
      </c>
      <c r="Q506" s="11">
        <v>2.7492920572952501E-3</v>
      </c>
      <c r="R506" s="11">
        <v>0</v>
      </c>
      <c r="S506" s="11">
        <v>0</v>
      </c>
      <c r="T506" s="11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</row>
    <row r="507" spans="1:39" customFormat="1" hidden="1" x14ac:dyDescent="0.3">
      <c r="A507" t="s">
        <v>1449</v>
      </c>
      <c r="B507" t="s">
        <v>30</v>
      </c>
      <c r="C507" t="s">
        <v>111</v>
      </c>
      <c r="D507" t="s">
        <v>297</v>
      </c>
      <c r="E507" t="s">
        <v>296</v>
      </c>
      <c r="F507" t="s">
        <v>1448</v>
      </c>
      <c r="G507" t="s">
        <v>1447</v>
      </c>
      <c r="H507" s="16">
        <v>0</v>
      </c>
      <c r="I507" s="11">
        <v>1.09697235629662E-2</v>
      </c>
      <c r="J507" s="11">
        <v>0</v>
      </c>
      <c r="K507" s="11">
        <v>0</v>
      </c>
      <c r="L507" s="11">
        <v>0</v>
      </c>
      <c r="M507" s="11">
        <v>0</v>
      </c>
      <c r="N507" s="11">
        <v>0</v>
      </c>
      <c r="O507" s="11">
        <v>0</v>
      </c>
      <c r="P507" s="11">
        <v>3.3947788301592198E-3</v>
      </c>
      <c r="Q507" s="11">
        <v>0</v>
      </c>
      <c r="R507" s="11">
        <v>2.2441148089136199E-3</v>
      </c>
      <c r="S507" s="11">
        <v>0</v>
      </c>
      <c r="T507" s="11">
        <v>0</v>
      </c>
      <c r="U507">
        <v>3.04201016031394E-3</v>
      </c>
      <c r="V507">
        <v>0</v>
      </c>
      <c r="W507">
        <v>2.6668088964744798E-3</v>
      </c>
      <c r="X507">
        <v>0</v>
      </c>
      <c r="Y507">
        <v>0</v>
      </c>
      <c r="Z507">
        <v>3.1774275546517499E-3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5.03372596395852E-3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3.5844863431070302E-3</v>
      </c>
      <c r="AM507">
        <v>0</v>
      </c>
    </row>
    <row r="508" spans="1:39" customFormat="1" hidden="1" x14ac:dyDescent="0.3">
      <c r="A508" t="s">
        <v>1446</v>
      </c>
      <c r="B508" t="s">
        <v>30</v>
      </c>
      <c r="C508" t="s">
        <v>29</v>
      </c>
      <c r="D508" t="s">
        <v>28</v>
      </c>
      <c r="E508" t="s">
        <v>388</v>
      </c>
      <c r="F508" t="s">
        <v>624</v>
      </c>
      <c r="G508" t="s">
        <v>1445</v>
      </c>
      <c r="H508" s="16">
        <v>0</v>
      </c>
      <c r="I508" s="11">
        <v>0</v>
      </c>
      <c r="J508" s="11">
        <v>0</v>
      </c>
      <c r="K508" s="11">
        <v>0</v>
      </c>
      <c r="L508" s="11">
        <v>0</v>
      </c>
      <c r="M508" s="11">
        <v>0</v>
      </c>
      <c r="N508" s="11">
        <v>0</v>
      </c>
      <c r="O508" s="11">
        <v>0</v>
      </c>
      <c r="P508" s="11">
        <v>0</v>
      </c>
      <c r="Q508" s="11">
        <v>0</v>
      </c>
      <c r="R508" s="11">
        <v>0</v>
      </c>
      <c r="S508" s="11">
        <v>4.9766099333134299E-3</v>
      </c>
      <c r="T508" s="11">
        <v>0</v>
      </c>
      <c r="U508">
        <v>0</v>
      </c>
      <c r="V508">
        <v>3.6144142841652502E-3</v>
      </c>
      <c r="W508">
        <v>0</v>
      </c>
      <c r="X508">
        <v>0</v>
      </c>
      <c r="Y508">
        <v>1.17058324310087E-2</v>
      </c>
      <c r="Z508">
        <v>0</v>
      </c>
      <c r="AA508">
        <v>0</v>
      </c>
      <c r="AB508">
        <v>0</v>
      </c>
      <c r="AC508">
        <v>0</v>
      </c>
      <c r="AD508">
        <v>3.14564328405159E-3</v>
      </c>
      <c r="AE508">
        <v>3.4299434059338E-3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</row>
    <row r="509" spans="1:39" customFormat="1" hidden="1" x14ac:dyDescent="0.3">
      <c r="A509" t="s">
        <v>1443</v>
      </c>
      <c r="B509" t="s">
        <v>30</v>
      </c>
      <c r="C509" t="s">
        <v>81</v>
      </c>
      <c r="D509" t="s">
        <v>80</v>
      </c>
      <c r="E509" t="s">
        <v>618</v>
      </c>
      <c r="F509" t="s">
        <v>617</v>
      </c>
      <c r="G509" t="s">
        <v>1214</v>
      </c>
      <c r="H509" s="16">
        <v>0</v>
      </c>
      <c r="I509" s="11">
        <v>3.6565745209887401E-3</v>
      </c>
      <c r="J509" s="11">
        <v>0</v>
      </c>
      <c r="K509" s="11">
        <v>0</v>
      </c>
      <c r="L509" s="11">
        <v>0</v>
      </c>
      <c r="M509" s="11">
        <v>0</v>
      </c>
      <c r="N509" s="11">
        <v>0</v>
      </c>
      <c r="O509" s="11">
        <v>3.75023438964935E-3</v>
      </c>
      <c r="P509" s="11">
        <v>0</v>
      </c>
      <c r="Q509" s="11">
        <v>0</v>
      </c>
      <c r="R509" s="11">
        <v>0</v>
      </c>
      <c r="S509" s="11">
        <v>0</v>
      </c>
      <c r="T509" s="11">
        <v>0</v>
      </c>
      <c r="U509">
        <v>9.1260304809418092E-3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</row>
    <row r="510" spans="1:39" customFormat="1" hidden="1" x14ac:dyDescent="0.3">
      <c r="A510" t="s">
        <v>1442</v>
      </c>
      <c r="B510" t="s">
        <v>30</v>
      </c>
      <c r="C510" t="s">
        <v>81</v>
      </c>
      <c r="D510" t="s">
        <v>80</v>
      </c>
      <c r="E510" t="s">
        <v>618</v>
      </c>
      <c r="F510" t="s">
        <v>629</v>
      </c>
      <c r="G510" t="s">
        <v>628</v>
      </c>
      <c r="H510" s="16">
        <v>0</v>
      </c>
      <c r="I510" s="11">
        <v>0</v>
      </c>
      <c r="J510" s="11">
        <v>0</v>
      </c>
      <c r="K510" s="11">
        <v>0</v>
      </c>
      <c r="L510" s="11">
        <v>0</v>
      </c>
      <c r="M510" s="11">
        <v>0</v>
      </c>
      <c r="N510" s="11">
        <v>0</v>
      </c>
      <c r="O510" s="11">
        <v>0</v>
      </c>
      <c r="P510" s="11">
        <v>0</v>
      </c>
      <c r="Q510" s="11">
        <v>0</v>
      </c>
      <c r="R510" s="11">
        <v>0</v>
      </c>
      <c r="S510" s="11">
        <v>0</v>
      </c>
      <c r="T510" s="11">
        <v>3.3464962184592698E-3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4.6938440235631002E-3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</row>
    <row r="511" spans="1:39" customFormat="1" hidden="1" x14ac:dyDescent="0.3">
      <c r="A511" t="s">
        <v>1441</v>
      </c>
      <c r="B511" t="s">
        <v>30</v>
      </c>
      <c r="C511" t="s">
        <v>29</v>
      </c>
      <c r="D511" t="s">
        <v>28</v>
      </c>
      <c r="E511" t="s">
        <v>27</v>
      </c>
      <c r="F511" t="s">
        <v>26</v>
      </c>
      <c r="G511" t="s">
        <v>1440</v>
      </c>
      <c r="H511" s="16">
        <v>0</v>
      </c>
      <c r="I511" s="11">
        <v>0</v>
      </c>
      <c r="J511" s="11">
        <v>4.3593879419329502E-3</v>
      </c>
      <c r="K511" s="11">
        <v>2.26359572180409E-2</v>
      </c>
      <c r="L511" s="11">
        <v>0</v>
      </c>
      <c r="M511" s="11">
        <v>0</v>
      </c>
      <c r="N511" s="11">
        <v>0</v>
      </c>
      <c r="O511" s="11">
        <v>0</v>
      </c>
      <c r="P511" s="11">
        <v>0</v>
      </c>
      <c r="Q511" s="11">
        <v>0</v>
      </c>
      <c r="R511" s="11">
        <v>0</v>
      </c>
      <c r="S511" s="11">
        <v>0</v>
      </c>
      <c r="T511" s="11">
        <v>0</v>
      </c>
      <c r="U511">
        <v>3.04201016031394E-3</v>
      </c>
      <c r="V511">
        <v>0</v>
      </c>
      <c r="W511">
        <v>2.6668088964744798E-3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3.5915670006823998E-3</v>
      </c>
      <c r="AK511">
        <v>1.20540019286403E-2</v>
      </c>
      <c r="AL511">
        <v>0</v>
      </c>
      <c r="AM511">
        <v>0</v>
      </c>
    </row>
    <row r="512" spans="1:39" customFormat="1" hidden="1" x14ac:dyDescent="0.3">
      <c r="A512" t="s">
        <v>1439</v>
      </c>
      <c r="B512" t="s">
        <v>30</v>
      </c>
      <c r="C512" t="s">
        <v>264</v>
      </c>
      <c r="D512" t="s">
        <v>263</v>
      </c>
      <c r="E512" t="s">
        <v>262</v>
      </c>
      <c r="F512" t="s">
        <v>261</v>
      </c>
      <c r="G512" t="s">
        <v>260</v>
      </c>
      <c r="H512" s="16">
        <v>0</v>
      </c>
      <c r="I512" s="11">
        <v>0</v>
      </c>
      <c r="J512" s="11">
        <v>0</v>
      </c>
      <c r="K512" s="11">
        <v>0</v>
      </c>
      <c r="L512" s="11">
        <v>0</v>
      </c>
      <c r="M512" s="11">
        <v>0</v>
      </c>
      <c r="N512" s="11">
        <v>0</v>
      </c>
      <c r="O512" s="11">
        <v>0</v>
      </c>
      <c r="P512" s="11">
        <v>0</v>
      </c>
      <c r="Q512" s="11">
        <v>0</v>
      </c>
      <c r="R512" s="11">
        <v>0</v>
      </c>
      <c r="S512" s="11">
        <v>2.4883049666567102E-3</v>
      </c>
      <c r="T512" s="11">
        <v>0</v>
      </c>
      <c r="U512">
        <v>0</v>
      </c>
      <c r="V512">
        <v>0</v>
      </c>
      <c r="W512">
        <v>2.6668088964744798E-3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2.3469220117815501E-3</v>
      </c>
      <c r="AH512">
        <v>0</v>
      </c>
      <c r="AI512">
        <v>0</v>
      </c>
      <c r="AJ512">
        <v>0</v>
      </c>
      <c r="AK512">
        <v>6.02700096432015E-3</v>
      </c>
      <c r="AL512">
        <v>0</v>
      </c>
      <c r="AM512">
        <v>0</v>
      </c>
    </row>
    <row r="513" spans="1:39" customFormat="1" hidden="1" x14ac:dyDescent="0.3">
      <c r="A513" t="s">
        <v>1438</v>
      </c>
      <c r="B513" t="s">
        <v>30</v>
      </c>
      <c r="C513" t="s">
        <v>81</v>
      </c>
      <c r="D513" t="s">
        <v>80</v>
      </c>
      <c r="E513" t="s">
        <v>618</v>
      </c>
      <c r="F513" t="s">
        <v>1437</v>
      </c>
      <c r="G513" t="s">
        <v>1436</v>
      </c>
      <c r="H513" s="16">
        <v>0</v>
      </c>
      <c r="I513" s="11">
        <v>0</v>
      </c>
      <c r="J513" s="11">
        <v>0</v>
      </c>
      <c r="K513" s="11">
        <v>0</v>
      </c>
      <c r="L513" s="11">
        <v>0</v>
      </c>
      <c r="M513" s="11">
        <v>0</v>
      </c>
      <c r="N513" s="11">
        <v>0</v>
      </c>
      <c r="O513" s="11">
        <v>0</v>
      </c>
      <c r="P513" s="11">
        <v>0</v>
      </c>
      <c r="Q513" s="11">
        <v>0</v>
      </c>
      <c r="R513" s="11">
        <v>0</v>
      </c>
      <c r="S513" s="11">
        <v>0</v>
      </c>
      <c r="T513" s="11">
        <v>3.3464962184592698E-3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1.8047283883775501E-2</v>
      </c>
      <c r="AC513" s="6">
        <v>0</v>
      </c>
      <c r="AD513">
        <v>9.4369298521547705E-3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</row>
    <row r="514" spans="1:39" customFormat="1" hidden="1" x14ac:dyDescent="0.3">
      <c r="A514" t="s">
        <v>1435</v>
      </c>
      <c r="B514" t="s">
        <v>30</v>
      </c>
      <c r="C514" t="s">
        <v>81</v>
      </c>
      <c r="D514" t="s">
        <v>80</v>
      </c>
      <c r="E514" t="s">
        <v>618</v>
      </c>
      <c r="F514" t="s">
        <v>1434</v>
      </c>
      <c r="G514" t="s">
        <v>1434</v>
      </c>
      <c r="H514" s="16">
        <v>0</v>
      </c>
      <c r="I514" s="11">
        <v>0</v>
      </c>
      <c r="J514" s="11">
        <v>0</v>
      </c>
      <c r="K514" s="11">
        <v>0</v>
      </c>
      <c r="L514" s="11">
        <v>0</v>
      </c>
      <c r="M514" s="11">
        <v>0</v>
      </c>
      <c r="N514" s="11">
        <v>0</v>
      </c>
      <c r="O514" s="11">
        <v>0</v>
      </c>
      <c r="P514" s="11">
        <v>0</v>
      </c>
      <c r="Q514" s="11">
        <v>0</v>
      </c>
      <c r="R514" s="11">
        <v>0</v>
      </c>
      <c r="S514" s="11">
        <v>0</v>
      </c>
      <c r="T514" s="11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9.0236419418877507E-3</v>
      </c>
      <c r="AC514">
        <v>0</v>
      </c>
      <c r="AD514">
        <v>1.5728216420257901E-2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</row>
    <row r="515" spans="1:39" customFormat="1" hidden="1" x14ac:dyDescent="0.3">
      <c r="A515" t="s">
        <v>1433</v>
      </c>
      <c r="B515" t="s">
        <v>30</v>
      </c>
      <c r="C515" t="s">
        <v>264</v>
      </c>
      <c r="D515" t="s">
        <v>263</v>
      </c>
      <c r="E515" t="s">
        <v>262</v>
      </c>
      <c r="F515" t="s">
        <v>261</v>
      </c>
      <c r="G515" t="s">
        <v>260</v>
      </c>
      <c r="H515" s="16">
        <v>0</v>
      </c>
      <c r="I515" s="11">
        <v>0</v>
      </c>
      <c r="J515" s="11">
        <v>0</v>
      </c>
      <c r="K515" s="11">
        <v>0</v>
      </c>
      <c r="L515" s="11">
        <v>0</v>
      </c>
      <c r="M515" s="11">
        <v>0</v>
      </c>
      <c r="N515" s="11">
        <v>0</v>
      </c>
      <c r="O515" s="11">
        <v>0</v>
      </c>
      <c r="P515" s="11">
        <v>0</v>
      </c>
      <c r="Q515" s="11">
        <v>0</v>
      </c>
      <c r="R515" s="11">
        <v>0</v>
      </c>
      <c r="S515" s="11">
        <v>0</v>
      </c>
      <c r="T515" s="11">
        <v>0</v>
      </c>
      <c r="U515">
        <v>3.04201016031394E-3</v>
      </c>
      <c r="V515">
        <v>0</v>
      </c>
      <c r="W515">
        <v>0</v>
      </c>
      <c r="X515">
        <v>0</v>
      </c>
      <c r="Y515">
        <v>0</v>
      </c>
      <c r="Z515">
        <v>3.1774275546517499E-3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</row>
    <row r="516" spans="1:39" customFormat="1" hidden="1" x14ac:dyDescent="0.3">
      <c r="A516" t="s">
        <v>1432</v>
      </c>
      <c r="B516" t="s">
        <v>30</v>
      </c>
      <c r="C516" t="s">
        <v>41</v>
      </c>
      <c r="D516" t="s">
        <v>41</v>
      </c>
      <c r="E516" t="s">
        <v>41</v>
      </c>
      <c r="F516" t="s">
        <v>41</v>
      </c>
      <c r="G516" t="s">
        <v>41</v>
      </c>
      <c r="H516" s="16">
        <v>4.1583499667332E-3</v>
      </c>
      <c r="I516" s="11">
        <v>0</v>
      </c>
      <c r="J516" s="11">
        <v>0</v>
      </c>
      <c r="K516" s="11">
        <v>0</v>
      </c>
      <c r="L516" s="11">
        <v>0</v>
      </c>
      <c r="M516" s="11">
        <v>3.5488679111363502E-3</v>
      </c>
      <c r="N516" s="11">
        <v>0</v>
      </c>
      <c r="O516" s="11">
        <v>3.75023438964935E-3</v>
      </c>
      <c r="P516" s="11">
        <v>0</v>
      </c>
      <c r="Q516" s="11">
        <v>2.7492920572952501E-3</v>
      </c>
      <c r="R516" s="11">
        <v>2.2441148089136199E-3</v>
      </c>
      <c r="S516" s="11">
        <v>0</v>
      </c>
      <c r="T516" s="11">
        <v>0</v>
      </c>
      <c r="U516">
        <v>1.2168040641255699E-2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</row>
    <row r="517" spans="1:39" customFormat="1" hidden="1" x14ac:dyDescent="0.3">
      <c r="A517" t="s">
        <v>1431</v>
      </c>
      <c r="B517" t="s">
        <v>30</v>
      </c>
      <c r="C517" t="s">
        <v>81</v>
      </c>
      <c r="D517" t="s">
        <v>351</v>
      </c>
      <c r="E517" t="s">
        <v>351</v>
      </c>
      <c r="F517" t="s">
        <v>351</v>
      </c>
      <c r="G517" t="s">
        <v>351</v>
      </c>
      <c r="H517" s="16">
        <v>0</v>
      </c>
      <c r="I517" s="11">
        <v>0</v>
      </c>
      <c r="J517" s="11">
        <v>0</v>
      </c>
      <c r="K517" s="11">
        <v>0</v>
      </c>
      <c r="L517" s="11">
        <v>0</v>
      </c>
      <c r="M517" s="11">
        <v>0</v>
      </c>
      <c r="N517" s="11">
        <v>0</v>
      </c>
      <c r="O517" s="11">
        <v>0</v>
      </c>
      <c r="P517" s="11">
        <v>0</v>
      </c>
      <c r="Q517" s="11">
        <v>0</v>
      </c>
      <c r="R517" s="11">
        <v>0</v>
      </c>
      <c r="S517" s="11">
        <v>0</v>
      </c>
      <c r="T517" s="11">
        <v>0</v>
      </c>
      <c r="U517">
        <v>1.8252060961883601E-2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</row>
    <row r="518" spans="1:39" customFormat="1" hidden="1" x14ac:dyDescent="0.3">
      <c r="A518" t="s">
        <v>1430</v>
      </c>
      <c r="B518" t="s">
        <v>30</v>
      </c>
      <c r="C518" t="s">
        <v>526</v>
      </c>
      <c r="D518" t="s">
        <v>525</v>
      </c>
      <c r="E518" t="s">
        <v>524</v>
      </c>
      <c r="F518" t="s">
        <v>523</v>
      </c>
      <c r="G518" t="s">
        <v>530</v>
      </c>
      <c r="H518" s="16">
        <v>0</v>
      </c>
      <c r="I518" s="11">
        <v>0</v>
      </c>
      <c r="J518" s="11">
        <v>8.7187758838659108E-3</v>
      </c>
      <c r="K518" s="11">
        <v>0</v>
      </c>
      <c r="L518" s="11">
        <v>0</v>
      </c>
      <c r="M518" s="11">
        <v>3.5488679111363502E-3</v>
      </c>
      <c r="N518" s="11">
        <v>0</v>
      </c>
      <c r="O518" s="11">
        <v>3.75023438964935E-3</v>
      </c>
      <c r="P518" s="11">
        <v>3.3947788301592198E-3</v>
      </c>
      <c r="Q518" s="11">
        <v>0</v>
      </c>
      <c r="R518" s="11">
        <v>0</v>
      </c>
      <c r="S518" s="11">
        <v>0</v>
      </c>
      <c r="T518" s="11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3.5955702574428303E-2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6.02700096432015E-3</v>
      </c>
      <c r="AL518">
        <v>3.5844863431070302E-3</v>
      </c>
      <c r="AM518">
        <v>0</v>
      </c>
    </row>
    <row r="519" spans="1:39" customFormat="1" hidden="1" x14ac:dyDescent="0.3">
      <c r="A519" t="s">
        <v>1426</v>
      </c>
      <c r="B519" t="s">
        <v>30</v>
      </c>
      <c r="C519" t="s">
        <v>81</v>
      </c>
      <c r="D519" t="s">
        <v>118</v>
      </c>
      <c r="E519" t="s">
        <v>371</v>
      </c>
      <c r="F519" t="s">
        <v>424</v>
      </c>
      <c r="G519" t="s">
        <v>1425</v>
      </c>
      <c r="H519" s="16">
        <v>0</v>
      </c>
      <c r="I519" s="11">
        <v>3.6565745209887401E-3</v>
      </c>
      <c r="J519" s="11">
        <v>4.3593879419329502E-3</v>
      </c>
      <c r="K519" s="11">
        <v>0</v>
      </c>
      <c r="L519" s="11">
        <v>0</v>
      </c>
      <c r="M519" s="11">
        <v>0</v>
      </c>
      <c r="N519" s="11">
        <v>0</v>
      </c>
      <c r="O519" s="11">
        <v>0</v>
      </c>
      <c r="P519" s="11">
        <v>0</v>
      </c>
      <c r="Q519" s="11">
        <v>0</v>
      </c>
      <c r="R519" s="11">
        <v>0</v>
      </c>
      <c r="S519" s="11">
        <v>0</v>
      </c>
      <c r="T519" s="11">
        <v>0</v>
      </c>
      <c r="U519">
        <v>0</v>
      </c>
      <c r="V519">
        <v>0</v>
      </c>
      <c r="W519">
        <v>1.06672355858979E-2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2.3469220117815501E-3</v>
      </c>
      <c r="AH519">
        <v>4.6410173109945703E-3</v>
      </c>
      <c r="AI519">
        <v>2.2984278753332699E-3</v>
      </c>
      <c r="AJ519">
        <v>0</v>
      </c>
      <c r="AK519">
        <v>0</v>
      </c>
      <c r="AL519">
        <v>0</v>
      </c>
      <c r="AM519">
        <v>0</v>
      </c>
    </row>
    <row r="520" spans="1:39" customFormat="1" hidden="1" x14ac:dyDescent="0.3">
      <c r="A520" t="s">
        <v>1422</v>
      </c>
      <c r="B520" t="s">
        <v>30</v>
      </c>
      <c r="C520" t="s">
        <v>81</v>
      </c>
      <c r="D520" t="s">
        <v>118</v>
      </c>
      <c r="E520" t="s">
        <v>371</v>
      </c>
      <c r="F520" t="s">
        <v>1421</v>
      </c>
      <c r="G520" t="s">
        <v>1420</v>
      </c>
      <c r="H520" s="16">
        <v>0</v>
      </c>
      <c r="I520" s="11">
        <v>0</v>
      </c>
      <c r="J520" s="11">
        <v>0</v>
      </c>
      <c r="K520" s="11">
        <v>0</v>
      </c>
      <c r="L520" s="11">
        <v>0</v>
      </c>
      <c r="M520" s="11">
        <v>0</v>
      </c>
      <c r="N520" s="11">
        <v>0</v>
      </c>
      <c r="O520" s="11">
        <v>0</v>
      </c>
      <c r="P520" s="11">
        <v>0</v>
      </c>
      <c r="Q520" s="11">
        <v>0</v>
      </c>
      <c r="R520" s="11">
        <v>0</v>
      </c>
      <c r="S520" s="11">
        <v>0</v>
      </c>
      <c r="T520" s="11">
        <v>0</v>
      </c>
      <c r="U520">
        <v>0</v>
      </c>
      <c r="V520">
        <v>0</v>
      </c>
      <c r="W520">
        <v>1.6000853378846901E-2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</row>
    <row r="521" spans="1:39" customFormat="1" hidden="1" x14ac:dyDescent="0.3">
      <c r="A521" t="s">
        <v>1419</v>
      </c>
      <c r="B521" t="s">
        <v>30</v>
      </c>
      <c r="C521" t="s">
        <v>111</v>
      </c>
      <c r="D521" t="s">
        <v>141</v>
      </c>
      <c r="E521" t="s">
        <v>140</v>
      </c>
      <c r="F521" t="s">
        <v>199</v>
      </c>
      <c r="G521" t="s">
        <v>198</v>
      </c>
      <c r="H521" s="16">
        <v>0</v>
      </c>
      <c r="I521" s="11">
        <v>0</v>
      </c>
      <c r="J521" s="11">
        <v>0</v>
      </c>
      <c r="K521" s="11">
        <v>0</v>
      </c>
      <c r="L521" s="11">
        <v>0</v>
      </c>
      <c r="M521" s="11">
        <v>0</v>
      </c>
      <c r="N521" s="11">
        <v>0</v>
      </c>
      <c r="O521" s="11">
        <v>0</v>
      </c>
      <c r="P521" s="11">
        <v>0</v>
      </c>
      <c r="Q521" s="11">
        <v>0</v>
      </c>
      <c r="R521" s="11">
        <v>2.2441148089136199E-3</v>
      </c>
      <c r="S521" s="11">
        <v>0</v>
      </c>
      <c r="T521" s="11">
        <v>0</v>
      </c>
      <c r="U521">
        <v>0</v>
      </c>
      <c r="V521">
        <v>0</v>
      </c>
      <c r="W521">
        <v>0</v>
      </c>
      <c r="X521">
        <v>0</v>
      </c>
      <c r="Y521">
        <v>8.7793743232565599E-3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5.03372596395852E-3</v>
      </c>
      <c r="AG521">
        <v>0</v>
      </c>
      <c r="AH521">
        <v>0</v>
      </c>
      <c r="AI521">
        <v>0</v>
      </c>
      <c r="AJ521">
        <v>3.5915670006823998E-3</v>
      </c>
      <c r="AK521">
        <v>0</v>
      </c>
      <c r="AL521">
        <v>3.5844863431070302E-3</v>
      </c>
      <c r="AM521">
        <v>0</v>
      </c>
    </row>
    <row r="522" spans="1:39" customFormat="1" hidden="1" x14ac:dyDescent="0.3">
      <c r="A522" t="s">
        <v>1418</v>
      </c>
      <c r="B522" t="s">
        <v>30</v>
      </c>
      <c r="C522" t="s">
        <v>29</v>
      </c>
      <c r="D522" t="s">
        <v>28</v>
      </c>
      <c r="E522" t="s">
        <v>91</v>
      </c>
      <c r="F522" t="s">
        <v>95</v>
      </c>
      <c r="G522" t="s">
        <v>1372</v>
      </c>
      <c r="H522" s="16">
        <v>0</v>
      </c>
      <c r="I522" s="11">
        <v>0</v>
      </c>
      <c r="J522" s="11">
        <v>0</v>
      </c>
      <c r="K522" s="11">
        <v>0</v>
      </c>
      <c r="L522" s="11">
        <v>0</v>
      </c>
      <c r="M522" s="11">
        <v>0</v>
      </c>
      <c r="N522" s="11">
        <v>0</v>
      </c>
      <c r="O522" s="11">
        <v>0</v>
      </c>
      <c r="P522" s="11">
        <v>0</v>
      </c>
      <c r="Q522" s="11">
        <v>0</v>
      </c>
      <c r="R522" s="11">
        <v>0</v>
      </c>
      <c r="S522" s="11">
        <v>0</v>
      </c>
      <c r="T522" s="11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6.2912865681031801E-3</v>
      </c>
      <c r="AE522">
        <v>3.4299434059338E-3</v>
      </c>
      <c r="AF522">
        <v>0</v>
      </c>
      <c r="AG522">
        <v>7.0407660353446503E-3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</row>
    <row r="523" spans="1:39" customFormat="1" hidden="1" x14ac:dyDescent="0.3">
      <c r="A523" t="s">
        <v>1417</v>
      </c>
      <c r="B523" t="s">
        <v>30</v>
      </c>
      <c r="C523" t="s">
        <v>81</v>
      </c>
      <c r="D523" t="s">
        <v>85</v>
      </c>
      <c r="E523" t="s">
        <v>314</v>
      </c>
      <c r="F523" t="s">
        <v>313</v>
      </c>
      <c r="G523" t="s">
        <v>312</v>
      </c>
      <c r="H523" s="16">
        <v>0</v>
      </c>
      <c r="I523" s="11">
        <v>0</v>
      </c>
      <c r="J523" s="11">
        <v>0</v>
      </c>
      <c r="K523" s="11">
        <v>0</v>
      </c>
      <c r="L523" s="11">
        <v>0</v>
      </c>
      <c r="M523" s="11">
        <v>0</v>
      </c>
      <c r="N523" s="11">
        <v>0</v>
      </c>
      <c r="O523" s="11">
        <v>0</v>
      </c>
      <c r="P523" s="11">
        <v>0</v>
      </c>
      <c r="Q523" s="11">
        <v>0</v>
      </c>
      <c r="R523" s="11">
        <v>0</v>
      </c>
      <c r="S523" s="11">
        <v>0</v>
      </c>
      <c r="T523" s="11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4.5118209709438702E-3</v>
      </c>
      <c r="AC523">
        <v>7.1911405148856597E-3</v>
      </c>
      <c r="AD523">
        <v>0</v>
      </c>
      <c r="AE523">
        <v>0</v>
      </c>
      <c r="AF523">
        <v>0</v>
      </c>
      <c r="AG523">
        <v>0</v>
      </c>
      <c r="AH523">
        <v>9.2820346219891405E-3</v>
      </c>
      <c r="AI523">
        <v>0</v>
      </c>
      <c r="AJ523">
        <v>1.07747010020472E-2</v>
      </c>
      <c r="AK523">
        <v>0</v>
      </c>
      <c r="AL523">
        <v>0</v>
      </c>
      <c r="AM523">
        <v>0</v>
      </c>
    </row>
    <row r="524" spans="1:39" customFormat="1" hidden="1" x14ac:dyDescent="0.3">
      <c r="A524" t="s">
        <v>1416</v>
      </c>
      <c r="B524" t="s">
        <v>30</v>
      </c>
      <c r="C524" t="s">
        <v>29</v>
      </c>
      <c r="D524" t="s">
        <v>28</v>
      </c>
      <c r="E524" t="s">
        <v>91</v>
      </c>
      <c r="F524" t="s">
        <v>95</v>
      </c>
      <c r="G524" t="s">
        <v>1415</v>
      </c>
      <c r="H524" s="16">
        <v>0</v>
      </c>
      <c r="I524" s="11">
        <v>0</v>
      </c>
      <c r="J524" s="11">
        <v>0</v>
      </c>
      <c r="K524" s="11">
        <v>0</v>
      </c>
      <c r="L524" s="11">
        <v>0</v>
      </c>
      <c r="M524" s="11">
        <v>0</v>
      </c>
      <c r="N524" s="11">
        <v>0</v>
      </c>
      <c r="O524" s="11">
        <v>0</v>
      </c>
      <c r="P524" s="11">
        <v>0</v>
      </c>
      <c r="Q524" s="11">
        <v>0</v>
      </c>
      <c r="R524" s="11">
        <v>0</v>
      </c>
      <c r="S524" s="11">
        <v>0</v>
      </c>
      <c r="T524" s="11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</row>
    <row r="525" spans="1:39" customFormat="1" hidden="1" x14ac:dyDescent="0.3">
      <c r="A525" t="s">
        <v>1414</v>
      </c>
      <c r="B525" t="s">
        <v>30</v>
      </c>
      <c r="C525" t="s">
        <v>81</v>
      </c>
      <c r="D525" t="s">
        <v>80</v>
      </c>
      <c r="E525" t="s">
        <v>642</v>
      </c>
      <c r="F525" t="s">
        <v>641</v>
      </c>
      <c r="G525" t="s">
        <v>1413</v>
      </c>
      <c r="H525" s="16">
        <v>0</v>
      </c>
      <c r="I525" s="11">
        <v>0</v>
      </c>
      <c r="J525" s="11">
        <v>0</v>
      </c>
      <c r="K525" s="11">
        <v>0</v>
      </c>
      <c r="L525" s="11">
        <v>0</v>
      </c>
      <c r="M525" s="11">
        <v>0</v>
      </c>
      <c r="N525" s="11">
        <v>0</v>
      </c>
      <c r="O525" s="11">
        <v>0</v>
      </c>
      <c r="P525" s="11">
        <v>0</v>
      </c>
      <c r="Q525" s="11">
        <v>0</v>
      </c>
      <c r="R525" s="11">
        <v>0</v>
      </c>
      <c r="S525" s="11">
        <v>0</v>
      </c>
      <c r="T525" s="11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</row>
    <row r="526" spans="1:39" customFormat="1" hidden="1" x14ac:dyDescent="0.3">
      <c r="A526" t="s">
        <v>1412</v>
      </c>
      <c r="B526" t="s">
        <v>30</v>
      </c>
      <c r="C526" t="s">
        <v>81</v>
      </c>
      <c r="D526" t="s">
        <v>85</v>
      </c>
      <c r="E526" t="s">
        <v>287</v>
      </c>
      <c r="F526" t="s">
        <v>1411</v>
      </c>
      <c r="G526" t="s">
        <v>1411</v>
      </c>
      <c r="H526" s="16">
        <v>0</v>
      </c>
      <c r="I526" s="11">
        <v>0</v>
      </c>
      <c r="J526" s="11">
        <v>0</v>
      </c>
      <c r="K526" s="11">
        <v>0</v>
      </c>
      <c r="L526" s="11">
        <v>0</v>
      </c>
      <c r="M526" s="11">
        <v>0</v>
      </c>
      <c r="N526" s="11">
        <v>0</v>
      </c>
      <c r="O526" s="11">
        <v>0</v>
      </c>
      <c r="P526" s="11">
        <v>3.3947788301592198E-3</v>
      </c>
      <c r="Q526" s="11">
        <v>0</v>
      </c>
      <c r="R526" s="11">
        <v>0</v>
      </c>
      <c r="S526" s="11">
        <v>0</v>
      </c>
      <c r="T526" s="11">
        <v>3.3464962184592698E-3</v>
      </c>
      <c r="U526">
        <v>3.04201016031394E-3</v>
      </c>
      <c r="V526">
        <v>0</v>
      </c>
      <c r="W526">
        <v>0</v>
      </c>
      <c r="X526">
        <v>6.4242579982012101E-3</v>
      </c>
      <c r="Y526">
        <v>2.9264581077521898E-3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3.5915670006823998E-3</v>
      </c>
      <c r="AK526">
        <v>0</v>
      </c>
      <c r="AL526">
        <v>3.5844863431070302E-3</v>
      </c>
      <c r="AM526">
        <v>0</v>
      </c>
    </row>
    <row r="527" spans="1:39" customFormat="1" hidden="1" x14ac:dyDescent="0.3">
      <c r="A527" t="s">
        <v>1410</v>
      </c>
      <c r="B527" t="s">
        <v>30</v>
      </c>
      <c r="C527" t="s">
        <v>111</v>
      </c>
      <c r="D527" t="s">
        <v>141</v>
      </c>
      <c r="E527" t="s">
        <v>140</v>
      </c>
      <c r="F527" t="s">
        <v>199</v>
      </c>
      <c r="G527" t="s">
        <v>1396</v>
      </c>
      <c r="H527" s="16">
        <v>0</v>
      </c>
      <c r="I527" s="11">
        <v>0</v>
      </c>
      <c r="J527" s="11">
        <v>0</v>
      </c>
      <c r="K527" s="11">
        <v>0</v>
      </c>
      <c r="L527" s="11">
        <v>0</v>
      </c>
      <c r="M527" s="11">
        <v>0</v>
      </c>
      <c r="N527" s="11">
        <v>0</v>
      </c>
      <c r="O527" s="11">
        <v>0</v>
      </c>
      <c r="P527" s="11">
        <v>0</v>
      </c>
      <c r="Q527" s="11">
        <v>0</v>
      </c>
      <c r="R527" s="11">
        <v>0</v>
      </c>
      <c r="S527" s="11">
        <v>0</v>
      </c>
      <c r="T527" s="11">
        <v>0</v>
      </c>
      <c r="U527">
        <v>0</v>
      </c>
      <c r="V527">
        <v>0</v>
      </c>
      <c r="W527">
        <v>2.6668088964744798E-3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</row>
    <row r="528" spans="1:39" customFormat="1" hidden="1" x14ac:dyDescent="0.3">
      <c r="A528" t="s">
        <v>1409</v>
      </c>
      <c r="B528" t="s">
        <v>30</v>
      </c>
      <c r="C528" t="s">
        <v>81</v>
      </c>
      <c r="D528" t="s">
        <v>85</v>
      </c>
      <c r="E528" t="s">
        <v>287</v>
      </c>
      <c r="F528" t="s">
        <v>817</v>
      </c>
      <c r="G528" t="s">
        <v>817</v>
      </c>
      <c r="H528" s="16">
        <v>0</v>
      </c>
      <c r="I528" s="11">
        <v>0</v>
      </c>
      <c r="J528" s="11">
        <v>0</v>
      </c>
      <c r="K528" s="11">
        <v>0</v>
      </c>
      <c r="L528" s="11">
        <v>0</v>
      </c>
      <c r="M528" s="11">
        <v>0</v>
      </c>
      <c r="N528" s="11">
        <v>1.37507448320117E-2</v>
      </c>
      <c r="O528" s="11">
        <v>0</v>
      </c>
      <c r="P528" s="11">
        <v>0</v>
      </c>
      <c r="Q528" s="11">
        <v>2.7492920572952501E-3</v>
      </c>
      <c r="R528" s="11">
        <v>0</v>
      </c>
      <c r="S528" s="11">
        <v>0</v>
      </c>
      <c r="T528" s="11">
        <v>0</v>
      </c>
      <c r="U528">
        <v>0</v>
      </c>
      <c r="V528">
        <v>0</v>
      </c>
      <c r="W528">
        <v>5.3336177929489597E-3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4.6410173109945703E-3</v>
      </c>
      <c r="AI528">
        <v>0</v>
      </c>
      <c r="AJ528">
        <v>3.5915670006823998E-3</v>
      </c>
      <c r="AK528">
        <v>0</v>
      </c>
      <c r="AL528">
        <v>0</v>
      </c>
      <c r="AM528">
        <v>0</v>
      </c>
    </row>
    <row r="529" spans="1:39" customFormat="1" hidden="1" x14ac:dyDescent="0.3">
      <c r="A529" t="s">
        <v>1408</v>
      </c>
      <c r="B529" t="s">
        <v>30</v>
      </c>
      <c r="C529" t="s">
        <v>81</v>
      </c>
      <c r="D529" t="s">
        <v>118</v>
      </c>
      <c r="E529" t="s">
        <v>371</v>
      </c>
      <c r="F529" t="s">
        <v>1407</v>
      </c>
      <c r="G529" t="s">
        <v>1406</v>
      </c>
      <c r="H529" s="16">
        <v>0</v>
      </c>
      <c r="I529" s="11">
        <v>3.6565745209887401E-3</v>
      </c>
      <c r="J529" s="11">
        <v>0</v>
      </c>
      <c r="K529" s="11">
        <v>0</v>
      </c>
      <c r="L529" s="11">
        <v>0</v>
      </c>
      <c r="M529" s="11">
        <v>0</v>
      </c>
      <c r="N529" s="11">
        <v>0</v>
      </c>
      <c r="O529" s="11">
        <v>0</v>
      </c>
      <c r="P529" s="11">
        <v>0</v>
      </c>
      <c r="Q529" s="11">
        <v>0</v>
      </c>
      <c r="R529" s="11">
        <v>0</v>
      </c>
      <c r="S529" s="11">
        <v>0</v>
      </c>
      <c r="T529" s="11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6.89528362599982E-3</v>
      </c>
      <c r="AJ529">
        <v>0</v>
      </c>
      <c r="AK529">
        <v>0</v>
      </c>
      <c r="AL529">
        <v>0</v>
      </c>
      <c r="AM529">
        <v>0</v>
      </c>
    </row>
    <row r="530" spans="1:39" customFormat="1" hidden="1" x14ac:dyDescent="0.3">
      <c r="A530" t="s">
        <v>1404</v>
      </c>
      <c r="B530" t="s">
        <v>30</v>
      </c>
      <c r="C530" t="s">
        <v>81</v>
      </c>
      <c r="D530" t="s">
        <v>80</v>
      </c>
      <c r="E530" t="s">
        <v>618</v>
      </c>
      <c r="F530" t="s">
        <v>629</v>
      </c>
      <c r="G530" t="s">
        <v>628</v>
      </c>
      <c r="H530" s="16">
        <v>0</v>
      </c>
      <c r="I530" s="11">
        <v>3.6565745209887401E-3</v>
      </c>
      <c r="J530" s="11">
        <v>0</v>
      </c>
      <c r="K530" s="11">
        <v>0</v>
      </c>
      <c r="L530" s="11">
        <v>1.3207422571485199E-2</v>
      </c>
      <c r="M530" s="11">
        <v>0</v>
      </c>
      <c r="N530" s="11">
        <v>0</v>
      </c>
      <c r="O530" s="11">
        <v>0</v>
      </c>
      <c r="P530" s="11">
        <v>0</v>
      </c>
      <c r="Q530" s="11">
        <v>0</v>
      </c>
      <c r="R530" s="11">
        <v>0</v>
      </c>
      <c r="S530" s="11">
        <v>2.4883049666567102E-3</v>
      </c>
      <c r="T530" s="11">
        <v>3.3464962184592698E-3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2.3469220117815501E-3</v>
      </c>
      <c r="AH530">
        <v>0</v>
      </c>
      <c r="AI530">
        <v>2.2984278753332699E-3</v>
      </c>
      <c r="AJ530">
        <v>0</v>
      </c>
      <c r="AK530">
        <v>0</v>
      </c>
      <c r="AL530">
        <v>0</v>
      </c>
      <c r="AM530">
        <v>0</v>
      </c>
    </row>
    <row r="531" spans="1:39" customFormat="1" hidden="1" x14ac:dyDescent="0.3">
      <c r="A531" t="s">
        <v>1400</v>
      </c>
      <c r="B531" t="s">
        <v>30</v>
      </c>
      <c r="C531" t="s">
        <v>81</v>
      </c>
      <c r="D531" t="s">
        <v>118</v>
      </c>
      <c r="E531" t="s">
        <v>371</v>
      </c>
      <c r="F531" t="s">
        <v>424</v>
      </c>
      <c r="G531" t="s">
        <v>1019</v>
      </c>
      <c r="H531" s="16">
        <v>0</v>
      </c>
      <c r="I531" s="11">
        <v>0</v>
      </c>
      <c r="J531" s="11">
        <v>0</v>
      </c>
      <c r="K531" s="11">
        <v>0</v>
      </c>
      <c r="L531" s="11">
        <v>0</v>
      </c>
      <c r="M531" s="11">
        <v>0</v>
      </c>
      <c r="N531" s="11">
        <v>0</v>
      </c>
      <c r="O531" s="11">
        <v>0</v>
      </c>
      <c r="P531" s="11">
        <v>0</v>
      </c>
      <c r="Q531" s="11">
        <v>0</v>
      </c>
      <c r="R531" s="11">
        <v>0</v>
      </c>
      <c r="S531" s="11">
        <v>0</v>
      </c>
      <c r="T531" s="11">
        <v>0</v>
      </c>
      <c r="U531">
        <v>0</v>
      </c>
      <c r="V531">
        <v>3.6144142841652502E-3</v>
      </c>
      <c r="W531">
        <v>2.6668088964744798E-3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2.3469220117815501E-3</v>
      </c>
      <c r="AH531">
        <v>0</v>
      </c>
      <c r="AI531">
        <v>4.5968557506665397E-3</v>
      </c>
      <c r="AJ531">
        <v>0</v>
      </c>
      <c r="AK531">
        <v>0</v>
      </c>
      <c r="AL531">
        <v>0</v>
      </c>
      <c r="AM531">
        <v>0</v>
      </c>
    </row>
    <row r="532" spans="1:39" customFormat="1" hidden="1" x14ac:dyDescent="0.3">
      <c r="A532" t="s">
        <v>1399</v>
      </c>
      <c r="B532" t="s">
        <v>30</v>
      </c>
      <c r="C532" t="s">
        <v>81</v>
      </c>
      <c r="D532" t="s">
        <v>80</v>
      </c>
      <c r="E532" t="s">
        <v>618</v>
      </c>
      <c r="F532" t="s">
        <v>629</v>
      </c>
      <c r="G532" t="s">
        <v>1398</v>
      </c>
      <c r="H532" s="16">
        <v>0</v>
      </c>
      <c r="I532" s="11">
        <v>0</v>
      </c>
      <c r="J532" s="11">
        <v>0</v>
      </c>
      <c r="K532" s="11">
        <v>0</v>
      </c>
      <c r="L532" s="11">
        <v>0</v>
      </c>
      <c r="M532" s="11">
        <v>0</v>
      </c>
      <c r="N532" s="11">
        <v>4.5835816106705798E-3</v>
      </c>
      <c r="O532" s="11">
        <v>0</v>
      </c>
      <c r="P532" s="11">
        <v>0</v>
      </c>
      <c r="Q532" s="11">
        <v>0</v>
      </c>
      <c r="R532" s="11">
        <v>0</v>
      </c>
      <c r="S532" s="11">
        <v>0</v>
      </c>
      <c r="T532" s="11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5.03372596395852E-3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</row>
    <row r="533" spans="1:39" customFormat="1" hidden="1" x14ac:dyDescent="0.3">
      <c r="A533" t="s">
        <v>1397</v>
      </c>
      <c r="B533" t="s">
        <v>30</v>
      </c>
      <c r="C533" t="s">
        <v>526</v>
      </c>
      <c r="D533" t="s">
        <v>525</v>
      </c>
      <c r="E533" t="s">
        <v>524</v>
      </c>
      <c r="F533" t="s">
        <v>523</v>
      </c>
      <c r="G533" t="s">
        <v>1396</v>
      </c>
      <c r="H533" s="16">
        <v>0</v>
      </c>
      <c r="I533" s="11">
        <v>0</v>
      </c>
      <c r="J533" s="11">
        <v>0</v>
      </c>
      <c r="K533" s="11">
        <v>0</v>
      </c>
      <c r="L533" s="11">
        <v>0</v>
      </c>
      <c r="M533" s="11">
        <v>3.5488679111363502E-3</v>
      </c>
      <c r="N533" s="11">
        <v>0</v>
      </c>
      <c r="O533" s="11">
        <v>0</v>
      </c>
      <c r="P533" s="11">
        <v>3.3947788301592198E-3</v>
      </c>
      <c r="Q533" s="11">
        <v>0</v>
      </c>
      <c r="R533" s="11">
        <v>4.4882296178272501E-3</v>
      </c>
      <c r="S533" s="11">
        <v>0</v>
      </c>
      <c r="T533" s="11">
        <v>0</v>
      </c>
      <c r="U533">
        <v>0</v>
      </c>
      <c r="V533">
        <v>0</v>
      </c>
      <c r="W533">
        <v>5.3336177929489597E-3</v>
      </c>
      <c r="X533">
        <v>0</v>
      </c>
      <c r="Y533">
        <v>2.9264581077521898E-3</v>
      </c>
      <c r="Z533">
        <v>3.1774275546517499E-3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6.02700096432015E-3</v>
      </c>
      <c r="AL533">
        <v>0</v>
      </c>
      <c r="AM533">
        <v>0</v>
      </c>
    </row>
    <row r="534" spans="1:39" customFormat="1" hidden="1" x14ac:dyDescent="0.3">
      <c r="A534" t="s">
        <v>1395</v>
      </c>
      <c r="B534" t="s">
        <v>30</v>
      </c>
      <c r="C534" t="s">
        <v>111</v>
      </c>
      <c r="D534" t="s">
        <v>141</v>
      </c>
      <c r="E534" t="s">
        <v>140</v>
      </c>
      <c r="F534" t="s">
        <v>199</v>
      </c>
      <c r="G534" t="s">
        <v>198</v>
      </c>
      <c r="H534" s="16">
        <v>0</v>
      </c>
      <c r="I534" s="11">
        <v>0</v>
      </c>
      <c r="J534" s="11">
        <v>8.7187758838659108E-3</v>
      </c>
      <c r="K534" s="11">
        <v>0</v>
      </c>
      <c r="L534" s="11">
        <v>0</v>
      </c>
      <c r="M534" s="11">
        <v>0</v>
      </c>
      <c r="N534" s="11">
        <v>0</v>
      </c>
      <c r="O534" s="11">
        <v>0</v>
      </c>
      <c r="P534" s="11">
        <v>0</v>
      </c>
      <c r="Q534" s="11">
        <v>0</v>
      </c>
      <c r="R534" s="11">
        <v>2.2441148089136199E-3</v>
      </c>
      <c r="S534" s="11">
        <v>0</v>
      </c>
      <c r="T534" s="11">
        <v>0</v>
      </c>
      <c r="U534">
        <v>0</v>
      </c>
      <c r="V534">
        <v>0</v>
      </c>
      <c r="W534">
        <v>0</v>
      </c>
      <c r="X534">
        <v>0</v>
      </c>
      <c r="Y534">
        <v>2.9264581077521898E-3</v>
      </c>
      <c r="Z534">
        <v>0</v>
      </c>
      <c r="AA534">
        <v>0</v>
      </c>
      <c r="AB534">
        <v>4.5118209709438702E-3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</row>
    <row r="535" spans="1:39" customFormat="1" hidden="1" x14ac:dyDescent="0.3">
      <c r="A535" t="s">
        <v>1394</v>
      </c>
      <c r="B535" t="s">
        <v>30</v>
      </c>
      <c r="C535" t="s">
        <v>81</v>
      </c>
      <c r="D535" t="s">
        <v>118</v>
      </c>
      <c r="E535" t="s">
        <v>236</v>
      </c>
      <c r="F535" t="s">
        <v>236</v>
      </c>
      <c r="G535" t="s">
        <v>236</v>
      </c>
      <c r="H535" s="16">
        <v>4.1583499667332E-3</v>
      </c>
      <c r="I535" s="11">
        <v>0</v>
      </c>
      <c r="J535" s="11">
        <v>8.7187758838659108E-3</v>
      </c>
      <c r="K535" s="11">
        <v>0</v>
      </c>
      <c r="L535" s="11">
        <v>0</v>
      </c>
      <c r="M535" s="11">
        <v>0</v>
      </c>
      <c r="N535" s="11">
        <v>0</v>
      </c>
      <c r="O535" s="11">
        <v>0</v>
      </c>
      <c r="P535" s="11">
        <v>0</v>
      </c>
      <c r="Q535" s="11">
        <v>0</v>
      </c>
      <c r="R535" s="11">
        <v>0</v>
      </c>
      <c r="S535" s="11">
        <v>0</v>
      </c>
      <c r="T535" s="11">
        <v>0</v>
      </c>
      <c r="U535">
        <v>0</v>
      </c>
      <c r="V535">
        <v>0</v>
      </c>
      <c r="W535">
        <v>0</v>
      </c>
      <c r="X535">
        <v>0</v>
      </c>
      <c r="Y535">
        <v>2.9264581077521898E-3</v>
      </c>
      <c r="Z535">
        <v>6.3548551093035102E-3</v>
      </c>
      <c r="AA535">
        <v>0</v>
      </c>
      <c r="AB535">
        <v>4.5118209709438702E-3</v>
      </c>
      <c r="AC535">
        <v>0</v>
      </c>
      <c r="AD535">
        <v>0</v>
      </c>
      <c r="AE535">
        <v>0</v>
      </c>
      <c r="AF535">
        <v>1.0067451927917E-2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</row>
    <row r="536" spans="1:39" customFormat="1" hidden="1" x14ac:dyDescent="0.3">
      <c r="A536" t="s">
        <v>1393</v>
      </c>
      <c r="B536" t="s">
        <v>30</v>
      </c>
      <c r="C536" t="s">
        <v>29</v>
      </c>
      <c r="D536" t="s">
        <v>28</v>
      </c>
      <c r="E536" t="s">
        <v>345</v>
      </c>
      <c r="F536" t="s">
        <v>344</v>
      </c>
      <c r="G536" t="s">
        <v>1392</v>
      </c>
      <c r="H536" s="16">
        <v>0</v>
      </c>
      <c r="I536" s="11">
        <v>0</v>
      </c>
      <c r="J536" s="11">
        <v>0</v>
      </c>
      <c r="K536" s="11">
        <v>0</v>
      </c>
      <c r="L536" s="11">
        <v>0</v>
      </c>
      <c r="M536" s="11">
        <v>0</v>
      </c>
      <c r="N536" s="11">
        <v>0</v>
      </c>
      <c r="O536" s="11">
        <v>0</v>
      </c>
      <c r="P536" s="11">
        <v>6.78955766031843E-3</v>
      </c>
      <c r="Q536" s="11">
        <v>0</v>
      </c>
      <c r="R536" s="11">
        <v>2.2441148089136199E-3</v>
      </c>
      <c r="S536" s="11">
        <v>0</v>
      </c>
      <c r="T536" s="11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1.5728216420257901E-2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</row>
    <row r="537" spans="1:39" customFormat="1" hidden="1" x14ac:dyDescent="0.3">
      <c r="A537" t="s">
        <v>1391</v>
      </c>
      <c r="B537" t="s">
        <v>30</v>
      </c>
      <c r="C537" t="s">
        <v>81</v>
      </c>
      <c r="D537" t="s">
        <v>118</v>
      </c>
      <c r="E537" t="s">
        <v>371</v>
      </c>
      <c r="F537" t="s">
        <v>441</v>
      </c>
      <c r="G537" t="s">
        <v>1390</v>
      </c>
      <c r="H537" s="16">
        <v>4.1583499667332E-3</v>
      </c>
      <c r="I537" s="11">
        <v>0</v>
      </c>
      <c r="J537" s="11">
        <v>0</v>
      </c>
      <c r="K537" s="11">
        <v>0</v>
      </c>
      <c r="L537" s="11">
        <v>1.3207422571485199E-2</v>
      </c>
      <c r="M537" s="11">
        <v>0</v>
      </c>
      <c r="N537" s="11">
        <v>0</v>
      </c>
      <c r="O537" s="11">
        <v>3.75023438964935E-3</v>
      </c>
      <c r="P537" s="11">
        <v>0</v>
      </c>
      <c r="Q537" s="11">
        <v>0</v>
      </c>
      <c r="R537" s="11">
        <v>0</v>
      </c>
      <c r="S537" s="11">
        <v>0</v>
      </c>
      <c r="T537" s="11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7.0407660353446503E-3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</row>
    <row r="538" spans="1:39" customFormat="1" hidden="1" x14ac:dyDescent="0.3">
      <c r="A538" t="s">
        <v>1389</v>
      </c>
      <c r="B538" t="s">
        <v>30</v>
      </c>
      <c r="C538" t="s">
        <v>81</v>
      </c>
      <c r="D538" t="s">
        <v>85</v>
      </c>
      <c r="E538" t="s">
        <v>287</v>
      </c>
      <c r="F538" t="s">
        <v>882</v>
      </c>
      <c r="G538" t="s">
        <v>881</v>
      </c>
      <c r="H538" s="16">
        <v>4.1583499667332E-3</v>
      </c>
      <c r="I538" s="11">
        <v>0</v>
      </c>
      <c r="J538" s="11">
        <v>0</v>
      </c>
      <c r="K538" s="11">
        <v>0</v>
      </c>
      <c r="L538" s="11">
        <v>0</v>
      </c>
      <c r="M538" s="11">
        <v>0</v>
      </c>
      <c r="N538" s="11">
        <v>0</v>
      </c>
      <c r="O538" s="11">
        <v>3.75023438964935E-3</v>
      </c>
      <c r="P538" s="11">
        <v>0</v>
      </c>
      <c r="Q538" s="11">
        <v>0</v>
      </c>
      <c r="R538" s="11">
        <v>0</v>
      </c>
      <c r="S538" s="11">
        <v>0</v>
      </c>
      <c r="T538" s="11">
        <v>0</v>
      </c>
      <c r="U538">
        <v>0</v>
      </c>
      <c r="V538">
        <v>0</v>
      </c>
      <c r="W538">
        <v>2.6668088964744798E-3</v>
      </c>
      <c r="X538">
        <v>0</v>
      </c>
      <c r="Y538">
        <v>0</v>
      </c>
      <c r="Z538">
        <v>3.1774275546517499E-3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</row>
    <row r="539" spans="1:39" customFormat="1" hidden="1" x14ac:dyDescent="0.3">
      <c r="A539" t="s">
        <v>1388</v>
      </c>
      <c r="B539" t="s">
        <v>30</v>
      </c>
      <c r="C539" t="s">
        <v>81</v>
      </c>
      <c r="D539" t="s">
        <v>118</v>
      </c>
      <c r="E539" t="s">
        <v>358</v>
      </c>
      <c r="F539" t="s">
        <v>357</v>
      </c>
      <c r="G539" t="s">
        <v>1387</v>
      </c>
      <c r="H539" s="16">
        <v>0</v>
      </c>
      <c r="I539" s="11">
        <v>0</v>
      </c>
      <c r="J539" s="11">
        <v>0</v>
      </c>
      <c r="K539" s="11">
        <v>0</v>
      </c>
      <c r="L539" s="11">
        <v>0</v>
      </c>
      <c r="M539" s="11">
        <v>0</v>
      </c>
      <c r="N539" s="11">
        <v>0</v>
      </c>
      <c r="O539" s="11">
        <v>0</v>
      </c>
      <c r="P539" s="11">
        <v>0</v>
      </c>
      <c r="Q539" s="11">
        <v>0</v>
      </c>
      <c r="R539" s="11">
        <v>2.2441148089136199E-3</v>
      </c>
      <c r="S539" s="11">
        <v>2.4883049666567102E-3</v>
      </c>
      <c r="T539" s="11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</row>
    <row r="540" spans="1:39" customFormat="1" hidden="1" x14ac:dyDescent="0.3">
      <c r="A540" t="s">
        <v>1386</v>
      </c>
      <c r="B540" t="s">
        <v>30</v>
      </c>
      <c r="C540" t="s">
        <v>81</v>
      </c>
      <c r="D540" t="s">
        <v>80</v>
      </c>
      <c r="E540" t="s">
        <v>618</v>
      </c>
      <c r="F540" t="s">
        <v>617</v>
      </c>
      <c r="G540" t="s">
        <v>616</v>
      </c>
      <c r="H540" s="16">
        <v>0</v>
      </c>
      <c r="I540" s="11">
        <v>0</v>
      </c>
      <c r="J540" s="11">
        <v>0</v>
      </c>
      <c r="K540" s="11">
        <v>0</v>
      </c>
      <c r="L540" s="11">
        <v>0</v>
      </c>
      <c r="M540" s="11">
        <v>0</v>
      </c>
      <c r="N540" s="11">
        <v>0</v>
      </c>
      <c r="O540" s="11">
        <v>0</v>
      </c>
      <c r="P540" s="11">
        <v>0</v>
      </c>
      <c r="Q540" s="11">
        <v>2.7492920572952501E-3</v>
      </c>
      <c r="R540" s="11">
        <v>4.4882296178272501E-3</v>
      </c>
      <c r="S540" s="11">
        <v>0</v>
      </c>
      <c r="T540" s="11">
        <v>0</v>
      </c>
      <c r="U540">
        <v>0</v>
      </c>
      <c r="V540">
        <v>0</v>
      </c>
      <c r="W540">
        <v>2.6668088964744798E-3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 s="3">
        <v>1.25825731362064E-2</v>
      </c>
      <c r="AE540">
        <v>3.4299434059338E-3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</row>
    <row r="541" spans="1:39" customFormat="1" hidden="1" x14ac:dyDescent="0.3">
      <c r="A541" t="s">
        <v>1385</v>
      </c>
      <c r="B541" t="s">
        <v>30</v>
      </c>
      <c r="C541" t="s">
        <v>81</v>
      </c>
      <c r="D541" t="s">
        <v>80</v>
      </c>
      <c r="E541" t="s">
        <v>79</v>
      </c>
      <c r="F541" t="s">
        <v>78</v>
      </c>
      <c r="G541" t="s">
        <v>77</v>
      </c>
      <c r="H541" s="16">
        <v>0</v>
      </c>
      <c r="I541" s="11">
        <v>0</v>
      </c>
      <c r="J541" s="11">
        <v>0</v>
      </c>
      <c r="K541" s="11">
        <v>0</v>
      </c>
      <c r="L541" s="11">
        <v>0</v>
      </c>
      <c r="M541" s="11">
        <v>0</v>
      </c>
      <c r="N541" s="11">
        <v>0</v>
      </c>
      <c r="O541" s="11">
        <v>0</v>
      </c>
      <c r="P541" s="11">
        <v>0</v>
      </c>
      <c r="Q541" s="11">
        <v>0</v>
      </c>
      <c r="R541" s="11">
        <v>0</v>
      </c>
      <c r="S541" s="11">
        <v>0</v>
      </c>
      <c r="T541" s="1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</row>
    <row r="542" spans="1:39" customFormat="1" hidden="1" x14ac:dyDescent="0.3">
      <c r="A542" t="s">
        <v>1384</v>
      </c>
      <c r="B542" t="s">
        <v>30</v>
      </c>
      <c r="C542" t="s">
        <v>81</v>
      </c>
      <c r="D542" t="s">
        <v>80</v>
      </c>
      <c r="E542" t="s">
        <v>79</v>
      </c>
      <c r="F542" t="s">
        <v>78</v>
      </c>
      <c r="G542" t="s">
        <v>77</v>
      </c>
      <c r="H542" s="16">
        <v>0</v>
      </c>
      <c r="I542" s="11">
        <v>0</v>
      </c>
      <c r="J542" s="11">
        <v>4.3593879419329502E-3</v>
      </c>
      <c r="K542" s="11">
        <v>5.6589893045102101E-3</v>
      </c>
      <c r="L542" s="11">
        <v>0</v>
      </c>
      <c r="M542" s="11">
        <v>0</v>
      </c>
      <c r="N542" s="11">
        <v>4.5835816106705798E-3</v>
      </c>
      <c r="O542" s="11">
        <v>3.75023438964935E-3</v>
      </c>
      <c r="P542" s="11">
        <v>0</v>
      </c>
      <c r="Q542" s="11">
        <v>0</v>
      </c>
      <c r="R542" s="11">
        <v>2.2441148089136199E-3</v>
      </c>
      <c r="S542" s="11">
        <v>0</v>
      </c>
      <c r="T542" s="11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</row>
    <row r="543" spans="1:39" customFormat="1" hidden="1" x14ac:dyDescent="0.3">
      <c r="A543" t="s">
        <v>1383</v>
      </c>
      <c r="B543" t="s">
        <v>30</v>
      </c>
      <c r="C543" t="s">
        <v>81</v>
      </c>
      <c r="D543" t="s">
        <v>85</v>
      </c>
      <c r="E543" t="s">
        <v>314</v>
      </c>
      <c r="F543" t="s">
        <v>313</v>
      </c>
      <c r="G543" t="s">
        <v>312</v>
      </c>
      <c r="H543" s="16">
        <v>0</v>
      </c>
      <c r="I543" s="11">
        <v>0</v>
      </c>
      <c r="J543" s="11">
        <v>0</v>
      </c>
      <c r="K543" s="11">
        <v>0</v>
      </c>
      <c r="L543" s="11">
        <v>0</v>
      </c>
      <c r="M543" s="11">
        <v>0</v>
      </c>
      <c r="N543" s="11">
        <v>4.5835816106705798E-3</v>
      </c>
      <c r="O543" s="11">
        <v>0</v>
      </c>
      <c r="P543" s="11">
        <v>0</v>
      </c>
      <c r="Q543" s="11">
        <v>0</v>
      </c>
      <c r="R543" s="11">
        <v>0</v>
      </c>
      <c r="S543" s="11">
        <v>0</v>
      </c>
      <c r="T543" s="11">
        <v>0</v>
      </c>
      <c r="U543">
        <v>0</v>
      </c>
      <c r="V543">
        <v>0</v>
      </c>
      <c r="W543">
        <v>5.3336177929489597E-3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</row>
    <row r="544" spans="1:39" customFormat="1" hidden="1" x14ac:dyDescent="0.3">
      <c r="A544" t="s">
        <v>1381</v>
      </c>
      <c r="B544" t="s">
        <v>30</v>
      </c>
      <c r="C544" t="s">
        <v>81</v>
      </c>
      <c r="D544" t="s">
        <v>85</v>
      </c>
      <c r="E544" t="s">
        <v>84</v>
      </c>
      <c r="F544" t="s">
        <v>84</v>
      </c>
      <c r="G544" t="s">
        <v>84</v>
      </c>
      <c r="H544" s="16">
        <v>0</v>
      </c>
      <c r="I544" s="11">
        <v>0</v>
      </c>
      <c r="J544" s="11">
        <v>0</v>
      </c>
      <c r="K544" s="11">
        <v>0</v>
      </c>
      <c r="L544" s="11">
        <v>0</v>
      </c>
      <c r="M544" s="11">
        <v>0</v>
      </c>
      <c r="N544" s="11">
        <v>0</v>
      </c>
      <c r="O544" s="11">
        <v>0</v>
      </c>
      <c r="P544" s="11">
        <v>0</v>
      </c>
      <c r="Q544" s="11">
        <v>0</v>
      </c>
      <c r="R544" s="11">
        <v>2.2441148089136199E-3</v>
      </c>
      <c r="S544" s="11">
        <v>0</v>
      </c>
      <c r="T544" s="11">
        <v>0</v>
      </c>
      <c r="U544">
        <v>3.04201016031394E-3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5.03372596395852E-3</v>
      </c>
      <c r="AG544">
        <v>0</v>
      </c>
      <c r="AH544">
        <v>0</v>
      </c>
      <c r="AI544">
        <v>0</v>
      </c>
      <c r="AJ544">
        <v>0</v>
      </c>
      <c r="AK544">
        <v>6.02700096432015E-3</v>
      </c>
      <c r="AL544">
        <v>0</v>
      </c>
      <c r="AM544">
        <v>0</v>
      </c>
    </row>
    <row r="545" spans="1:39" customFormat="1" hidden="1" x14ac:dyDescent="0.3">
      <c r="A545" t="s">
        <v>1380</v>
      </c>
      <c r="B545" t="s">
        <v>30</v>
      </c>
      <c r="C545" t="s">
        <v>81</v>
      </c>
      <c r="D545" t="s">
        <v>85</v>
      </c>
      <c r="E545" t="s">
        <v>84</v>
      </c>
      <c r="F545" t="s">
        <v>84</v>
      </c>
      <c r="G545" t="s">
        <v>84</v>
      </c>
      <c r="H545" s="16">
        <v>0</v>
      </c>
      <c r="I545" s="11">
        <v>0</v>
      </c>
      <c r="J545" s="11">
        <v>0</v>
      </c>
      <c r="K545" s="11">
        <v>0</v>
      </c>
      <c r="L545" s="11">
        <v>0</v>
      </c>
      <c r="M545" s="11">
        <v>0</v>
      </c>
      <c r="N545" s="11">
        <v>0</v>
      </c>
      <c r="O545" s="11">
        <v>0</v>
      </c>
      <c r="P545" s="11">
        <v>0</v>
      </c>
      <c r="Q545" s="11">
        <v>0</v>
      </c>
      <c r="R545" s="11">
        <v>0</v>
      </c>
      <c r="S545" s="11">
        <v>0</v>
      </c>
      <c r="T545" s="11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7.1911405148856597E-3</v>
      </c>
      <c r="AD545">
        <v>0</v>
      </c>
      <c r="AE545">
        <v>0</v>
      </c>
      <c r="AF545">
        <v>5.03372596395852E-3</v>
      </c>
      <c r="AG545">
        <v>0</v>
      </c>
      <c r="AH545">
        <v>4.6410173109945703E-3</v>
      </c>
      <c r="AI545">
        <v>0</v>
      </c>
      <c r="AJ545">
        <v>0</v>
      </c>
      <c r="AK545">
        <v>6.02700096432015E-3</v>
      </c>
      <c r="AL545">
        <v>3.5844863431070302E-3</v>
      </c>
      <c r="AM545">
        <v>0</v>
      </c>
    </row>
    <row r="546" spans="1:39" customFormat="1" hidden="1" x14ac:dyDescent="0.3">
      <c r="A546" t="s">
        <v>1378</v>
      </c>
      <c r="B546" t="s">
        <v>30</v>
      </c>
      <c r="C546" t="s">
        <v>111</v>
      </c>
      <c r="D546" t="s">
        <v>297</v>
      </c>
      <c r="E546" t="s">
        <v>296</v>
      </c>
      <c r="F546" t="s">
        <v>1377</v>
      </c>
      <c r="G546" t="s">
        <v>1376</v>
      </c>
      <c r="H546" s="16">
        <v>0</v>
      </c>
      <c r="I546" s="11">
        <v>0</v>
      </c>
      <c r="J546" s="11">
        <v>0</v>
      </c>
      <c r="K546" s="11">
        <v>0</v>
      </c>
      <c r="L546" s="11">
        <v>0</v>
      </c>
      <c r="M546" s="11">
        <v>0</v>
      </c>
      <c r="N546" s="11">
        <v>0</v>
      </c>
      <c r="O546" s="11">
        <v>0</v>
      </c>
      <c r="P546" s="11">
        <v>0</v>
      </c>
      <c r="Q546" s="11">
        <v>0</v>
      </c>
      <c r="R546" s="11">
        <v>0</v>
      </c>
      <c r="S546" s="11">
        <v>2.4883049666567102E-3</v>
      </c>
      <c r="T546" s="11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</row>
    <row r="547" spans="1:39" customFormat="1" hidden="1" x14ac:dyDescent="0.3">
      <c r="A547" t="s">
        <v>1375</v>
      </c>
      <c r="B547" t="s">
        <v>30</v>
      </c>
      <c r="C547" t="s">
        <v>111</v>
      </c>
      <c r="D547" t="s">
        <v>297</v>
      </c>
      <c r="E547" t="s">
        <v>296</v>
      </c>
      <c r="F547" t="s">
        <v>295</v>
      </c>
      <c r="G547" t="s">
        <v>294</v>
      </c>
      <c r="H547" s="16">
        <v>0</v>
      </c>
      <c r="I547" s="11">
        <v>0</v>
      </c>
      <c r="J547" s="11">
        <v>0</v>
      </c>
      <c r="K547" s="11">
        <v>0</v>
      </c>
      <c r="L547" s="11">
        <v>0</v>
      </c>
      <c r="M547" s="11">
        <v>0</v>
      </c>
      <c r="N547" s="11">
        <v>0</v>
      </c>
      <c r="O547" s="11">
        <v>0</v>
      </c>
      <c r="P547" s="11">
        <v>0</v>
      </c>
      <c r="Q547" s="11">
        <v>0</v>
      </c>
      <c r="R547" s="11">
        <v>4.4882296178272501E-3</v>
      </c>
      <c r="S547" s="11">
        <v>0</v>
      </c>
      <c r="T547" s="11">
        <v>3.3464962184592698E-3</v>
      </c>
      <c r="U547">
        <v>0</v>
      </c>
      <c r="V547">
        <v>3.6144142841652502E-3</v>
      </c>
      <c r="W547">
        <v>0</v>
      </c>
      <c r="X547">
        <v>0</v>
      </c>
      <c r="Y547">
        <v>0</v>
      </c>
      <c r="Z547">
        <v>3.1774275546517499E-3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33.3333333333333</v>
      </c>
    </row>
    <row r="548" spans="1:39" customFormat="1" hidden="1" x14ac:dyDescent="0.3">
      <c r="A548" t="s">
        <v>1374</v>
      </c>
      <c r="B548" t="s">
        <v>30</v>
      </c>
      <c r="C548" t="s">
        <v>81</v>
      </c>
      <c r="D548" t="s">
        <v>118</v>
      </c>
      <c r="E548" t="s">
        <v>371</v>
      </c>
      <c r="F548" t="s">
        <v>429</v>
      </c>
      <c r="G548" t="s">
        <v>1027</v>
      </c>
      <c r="H548" s="16">
        <v>0</v>
      </c>
      <c r="I548" s="11">
        <v>0</v>
      </c>
      <c r="J548" s="11">
        <v>0</v>
      </c>
      <c r="K548" s="11">
        <v>0</v>
      </c>
      <c r="L548" s="11">
        <v>0</v>
      </c>
      <c r="M548" s="11">
        <v>0</v>
      </c>
      <c r="N548" s="11">
        <v>0</v>
      </c>
      <c r="O548" s="11">
        <v>0</v>
      </c>
      <c r="P548" s="11">
        <v>0</v>
      </c>
      <c r="Q548" s="11">
        <v>0</v>
      </c>
      <c r="R548" s="11">
        <v>4.4882296178272501E-3</v>
      </c>
      <c r="S548" s="11">
        <v>2.4883049666567102E-3</v>
      </c>
      <c r="T548" s="11">
        <v>3.3464962184592698E-3</v>
      </c>
      <c r="U548">
        <v>3.04201016031394E-3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5.03372596395852E-3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</row>
    <row r="549" spans="1:39" customFormat="1" hidden="1" x14ac:dyDescent="0.3">
      <c r="A549" t="s">
        <v>1373</v>
      </c>
      <c r="B549" t="s">
        <v>30</v>
      </c>
      <c r="C549" t="s">
        <v>29</v>
      </c>
      <c r="D549" t="s">
        <v>28</v>
      </c>
      <c r="E549" t="s">
        <v>91</v>
      </c>
      <c r="F549" t="s">
        <v>95</v>
      </c>
      <c r="G549" t="s">
        <v>1372</v>
      </c>
      <c r="H549" s="16">
        <v>0</v>
      </c>
      <c r="I549" s="11">
        <v>0</v>
      </c>
      <c r="J549" s="11">
        <v>0</v>
      </c>
      <c r="K549" s="11">
        <v>0</v>
      </c>
      <c r="L549" s="11">
        <v>0</v>
      </c>
      <c r="M549" s="11">
        <v>0</v>
      </c>
      <c r="N549" s="11">
        <v>0</v>
      </c>
      <c r="O549" s="11">
        <v>3.75023438964935E-3</v>
      </c>
      <c r="P549" s="11">
        <v>0</v>
      </c>
      <c r="Q549" s="11">
        <v>0</v>
      </c>
      <c r="R549" s="11">
        <v>0</v>
      </c>
      <c r="S549" s="11">
        <v>2.4883049666567102E-3</v>
      </c>
      <c r="T549" s="11">
        <v>3.3464962184592698E-3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7.1911405148856597E-3</v>
      </c>
      <c r="AD549">
        <v>3.14564328405159E-3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</row>
    <row r="550" spans="1:39" customFormat="1" hidden="1" x14ac:dyDescent="0.3">
      <c r="A550" t="s">
        <v>1371</v>
      </c>
      <c r="B550" t="s">
        <v>30</v>
      </c>
      <c r="C550" t="s">
        <v>264</v>
      </c>
      <c r="D550" t="s">
        <v>263</v>
      </c>
      <c r="E550" t="s">
        <v>262</v>
      </c>
      <c r="F550" t="s">
        <v>261</v>
      </c>
      <c r="G550" t="s">
        <v>260</v>
      </c>
      <c r="H550" s="16">
        <v>0</v>
      </c>
      <c r="I550" s="11">
        <v>0</v>
      </c>
      <c r="J550" s="11">
        <v>0</v>
      </c>
      <c r="K550" s="11">
        <v>0</v>
      </c>
      <c r="L550" s="11">
        <v>0</v>
      </c>
      <c r="M550" s="11">
        <v>0</v>
      </c>
      <c r="N550" s="11">
        <v>4.5835816106705798E-3</v>
      </c>
      <c r="O550" s="11">
        <v>0</v>
      </c>
      <c r="P550" s="11">
        <v>0</v>
      </c>
      <c r="Q550" s="11">
        <v>5.4985841145904898E-3</v>
      </c>
      <c r="R550" s="11">
        <v>0</v>
      </c>
      <c r="S550" s="11">
        <v>0</v>
      </c>
      <c r="T550" s="11">
        <v>0</v>
      </c>
      <c r="U550">
        <v>3.04201016031394E-3</v>
      </c>
      <c r="V550">
        <v>0</v>
      </c>
      <c r="W550">
        <v>0</v>
      </c>
      <c r="X550">
        <v>0</v>
      </c>
      <c r="Y550">
        <v>5.8529162155043701E-3</v>
      </c>
      <c r="Z550">
        <v>0</v>
      </c>
      <c r="AA550">
        <v>0</v>
      </c>
      <c r="AB550">
        <v>0</v>
      </c>
      <c r="AC550">
        <v>0</v>
      </c>
      <c r="AD550">
        <v>3.14564328405159E-3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</row>
    <row r="551" spans="1:39" customFormat="1" hidden="1" x14ac:dyDescent="0.3">
      <c r="A551" t="s">
        <v>1370</v>
      </c>
      <c r="B551" t="s">
        <v>30</v>
      </c>
      <c r="C551" t="s">
        <v>264</v>
      </c>
      <c r="D551" t="s">
        <v>263</v>
      </c>
      <c r="E551" t="s">
        <v>262</v>
      </c>
      <c r="F551" t="s">
        <v>261</v>
      </c>
      <c r="G551" t="s">
        <v>260</v>
      </c>
      <c r="H551" s="16">
        <v>0</v>
      </c>
      <c r="I551" s="11">
        <v>0</v>
      </c>
      <c r="J551" s="11">
        <v>0</v>
      </c>
      <c r="K551" s="11">
        <v>0</v>
      </c>
      <c r="L551" s="11">
        <v>0</v>
      </c>
      <c r="M551" s="11">
        <v>0</v>
      </c>
      <c r="N551" s="11">
        <v>0</v>
      </c>
      <c r="O551" s="11">
        <v>0</v>
      </c>
      <c r="P551" s="11">
        <v>0</v>
      </c>
      <c r="Q551" s="11">
        <v>0</v>
      </c>
      <c r="R551" s="11">
        <v>2.2441148089136199E-3</v>
      </c>
      <c r="S551" s="11">
        <v>0</v>
      </c>
      <c r="T551" s="11">
        <v>3.3464962184592698E-3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3.5844863431070302E-3</v>
      </c>
      <c r="AM551">
        <v>0</v>
      </c>
    </row>
    <row r="552" spans="1:39" customFormat="1" hidden="1" x14ac:dyDescent="0.3">
      <c r="A552" t="s">
        <v>1369</v>
      </c>
      <c r="B552" t="s">
        <v>30</v>
      </c>
      <c r="C552" t="s">
        <v>81</v>
      </c>
      <c r="D552" t="s">
        <v>80</v>
      </c>
      <c r="E552" t="s">
        <v>618</v>
      </c>
      <c r="F552" t="s">
        <v>629</v>
      </c>
      <c r="G552" t="s">
        <v>628</v>
      </c>
      <c r="H552" s="16">
        <v>0</v>
      </c>
      <c r="I552" s="11">
        <v>0</v>
      </c>
      <c r="J552" s="11">
        <v>0</v>
      </c>
      <c r="K552" s="11">
        <v>0</v>
      </c>
      <c r="L552" s="11">
        <v>0</v>
      </c>
      <c r="M552" s="11">
        <v>0</v>
      </c>
      <c r="N552" s="11">
        <v>0</v>
      </c>
      <c r="O552" s="11">
        <v>0</v>
      </c>
      <c r="P552" s="11">
        <v>0</v>
      </c>
      <c r="Q552" s="11">
        <v>5.4985841145904898E-3</v>
      </c>
      <c r="R552" s="11">
        <v>0</v>
      </c>
      <c r="S552" s="11">
        <v>0</v>
      </c>
      <c r="T552" s="11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</row>
    <row r="553" spans="1:39" customFormat="1" hidden="1" x14ac:dyDescent="0.3">
      <c r="A553" t="s">
        <v>1368</v>
      </c>
      <c r="B553" t="s">
        <v>30</v>
      </c>
      <c r="C553" t="s">
        <v>81</v>
      </c>
      <c r="D553" t="s">
        <v>80</v>
      </c>
      <c r="E553" t="s">
        <v>618</v>
      </c>
      <c r="F553" t="s">
        <v>617</v>
      </c>
      <c r="G553" t="s">
        <v>616</v>
      </c>
      <c r="H553" s="16">
        <v>0</v>
      </c>
      <c r="I553" s="11">
        <v>0</v>
      </c>
      <c r="J553" s="11">
        <v>0</v>
      </c>
      <c r="K553" s="11">
        <v>0</v>
      </c>
      <c r="L553" s="11">
        <v>0</v>
      </c>
      <c r="M553" s="11">
        <v>0</v>
      </c>
      <c r="N553" s="11">
        <v>0</v>
      </c>
      <c r="O553" s="11">
        <v>0</v>
      </c>
      <c r="P553" s="11">
        <v>0</v>
      </c>
      <c r="Q553" s="11">
        <v>0</v>
      </c>
      <c r="R553" s="11">
        <v>0</v>
      </c>
      <c r="S553" s="11">
        <v>0</v>
      </c>
      <c r="T553" s="11">
        <v>0</v>
      </c>
      <c r="U553">
        <v>0</v>
      </c>
      <c r="V553">
        <v>0</v>
      </c>
      <c r="W553">
        <v>5.3336177929489597E-3</v>
      </c>
      <c r="X553">
        <v>0</v>
      </c>
      <c r="Y553">
        <v>0</v>
      </c>
      <c r="Z553">
        <v>0</v>
      </c>
      <c r="AA553">
        <v>0</v>
      </c>
      <c r="AB553">
        <v>4.5118209709438702E-3</v>
      </c>
      <c r="AC553">
        <v>1.43822810297713E-2</v>
      </c>
      <c r="AD553">
        <v>3.14564328405159E-3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</row>
    <row r="554" spans="1:39" customFormat="1" hidden="1" x14ac:dyDescent="0.3">
      <c r="A554" t="s">
        <v>1366</v>
      </c>
      <c r="B554" t="s">
        <v>30</v>
      </c>
      <c r="C554" t="s">
        <v>111</v>
      </c>
      <c r="D554" t="s">
        <v>141</v>
      </c>
      <c r="E554" t="s">
        <v>140</v>
      </c>
      <c r="F554" t="s">
        <v>599</v>
      </c>
      <c r="G554" t="s">
        <v>1365</v>
      </c>
      <c r="H554" s="16">
        <v>0</v>
      </c>
      <c r="I554" s="11">
        <v>0</v>
      </c>
      <c r="J554" s="11">
        <v>0</v>
      </c>
      <c r="K554" s="11">
        <v>0</v>
      </c>
      <c r="L554" s="11">
        <v>0</v>
      </c>
      <c r="M554" s="11">
        <v>0</v>
      </c>
      <c r="N554" s="11">
        <v>0</v>
      </c>
      <c r="O554" s="11">
        <v>0</v>
      </c>
      <c r="P554" s="11">
        <v>0</v>
      </c>
      <c r="Q554" s="11">
        <v>0</v>
      </c>
      <c r="R554" s="11">
        <v>0</v>
      </c>
      <c r="S554" s="11">
        <v>0</v>
      </c>
      <c r="T554" s="11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</row>
    <row r="555" spans="1:39" customFormat="1" hidden="1" x14ac:dyDescent="0.3">
      <c r="A555" t="s">
        <v>1364</v>
      </c>
      <c r="B555" t="s">
        <v>30</v>
      </c>
      <c r="C555" t="s">
        <v>81</v>
      </c>
      <c r="D555" t="s">
        <v>80</v>
      </c>
      <c r="E555" t="s">
        <v>642</v>
      </c>
      <c r="F555" t="s">
        <v>645</v>
      </c>
      <c r="G555" t="s">
        <v>644</v>
      </c>
      <c r="H555" s="16">
        <v>4.1583499667332E-3</v>
      </c>
      <c r="I555" s="11">
        <v>0</v>
      </c>
      <c r="J555" s="11">
        <v>0</v>
      </c>
      <c r="K555" s="11">
        <v>0</v>
      </c>
      <c r="L555" s="11">
        <v>0</v>
      </c>
      <c r="M555" s="11">
        <v>0</v>
      </c>
      <c r="N555" s="11">
        <v>0</v>
      </c>
      <c r="O555" s="11">
        <v>0</v>
      </c>
      <c r="P555" s="11">
        <v>0</v>
      </c>
      <c r="Q555" s="11">
        <v>0</v>
      </c>
      <c r="R555" s="11">
        <v>4.4882296178272501E-3</v>
      </c>
      <c r="S555" s="11">
        <v>0</v>
      </c>
      <c r="T555" s="11">
        <v>0</v>
      </c>
      <c r="U555">
        <v>3.04201016031394E-3</v>
      </c>
      <c r="V555">
        <v>0</v>
      </c>
      <c r="W555">
        <v>2.6668088964744798E-3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</row>
    <row r="556" spans="1:39" customFormat="1" hidden="1" x14ac:dyDescent="0.3">
      <c r="A556" t="s">
        <v>1363</v>
      </c>
      <c r="B556" t="s">
        <v>30</v>
      </c>
      <c r="C556" t="s">
        <v>81</v>
      </c>
      <c r="D556" t="s">
        <v>351</v>
      </c>
      <c r="E556" t="s">
        <v>351</v>
      </c>
      <c r="F556" t="s">
        <v>351</v>
      </c>
      <c r="G556" t="s">
        <v>351</v>
      </c>
      <c r="H556" s="16">
        <v>0</v>
      </c>
      <c r="I556" s="11">
        <v>0</v>
      </c>
      <c r="J556" s="11">
        <v>4.3593879419329502E-3</v>
      </c>
      <c r="K556" s="11">
        <v>0</v>
      </c>
      <c r="L556" s="11">
        <v>0</v>
      </c>
      <c r="M556" s="11">
        <v>7.0977358222727004E-3</v>
      </c>
      <c r="N556" s="11">
        <v>0</v>
      </c>
      <c r="O556" s="11">
        <v>0</v>
      </c>
      <c r="P556" s="11">
        <v>3.3947788301592198E-3</v>
      </c>
      <c r="Q556" s="11">
        <v>0</v>
      </c>
      <c r="R556" s="11">
        <v>0</v>
      </c>
      <c r="S556" s="11">
        <v>0</v>
      </c>
      <c r="T556" s="11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1.8047283883775501E-2</v>
      </c>
      <c r="AC556">
        <v>0</v>
      </c>
      <c r="AD556">
        <v>6.2912865681031801E-3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</row>
    <row r="557" spans="1:39" customFormat="1" hidden="1" x14ac:dyDescent="0.3">
      <c r="A557" t="s">
        <v>1362</v>
      </c>
      <c r="B557" t="s">
        <v>30</v>
      </c>
      <c r="C557" t="s">
        <v>111</v>
      </c>
      <c r="D557" t="s">
        <v>297</v>
      </c>
      <c r="E557" t="s">
        <v>296</v>
      </c>
      <c r="F557" t="s">
        <v>295</v>
      </c>
      <c r="G557" t="s">
        <v>294</v>
      </c>
      <c r="H557" s="16">
        <v>0</v>
      </c>
      <c r="I557" s="11">
        <v>0</v>
      </c>
      <c r="J557" s="11">
        <v>0</v>
      </c>
      <c r="K557" s="11">
        <v>0</v>
      </c>
      <c r="L557" s="11">
        <v>0</v>
      </c>
      <c r="M557" s="11">
        <v>0</v>
      </c>
      <c r="N557" s="11">
        <v>0</v>
      </c>
      <c r="O557" s="11">
        <v>0</v>
      </c>
      <c r="P557" s="11">
        <v>0</v>
      </c>
      <c r="Q557" s="11">
        <v>0</v>
      </c>
      <c r="R557" s="11">
        <v>0</v>
      </c>
      <c r="S557" s="11">
        <v>0</v>
      </c>
      <c r="T557" s="11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3.5844863431070302E-3</v>
      </c>
      <c r="AM557">
        <v>0</v>
      </c>
    </row>
    <row r="558" spans="1:39" customFormat="1" hidden="1" x14ac:dyDescent="0.3">
      <c r="A558" t="s">
        <v>1361</v>
      </c>
      <c r="B558" t="s">
        <v>30</v>
      </c>
      <c r="C558" t="s">
        <v>81</v>
      </c>
      <c r="D558" t="s">
        <v>85</v>
      </c>
      <c r="E558" t="s">
        <v>287</v>
      </c>
      <c r="F558" t="s">
        <v>882</v>
      </c>
      <c r="G558" t="s">
        <v>881</v>
      </c>
      <c r="H558" s="16">
        <v>0</v>
      </c>
      <c r="I558" s="11">
        <v>0</v>
      </c>
      <c r="J558" s="11">
        <v>0</v>
      </c>
      <c r="K558" s="11">
        <v>0</v>
      </c>
      <c r="L558" s="11">
        <v>0</v>
      </c>
      <c r="M558" s="11">
        <v>0</v>
      </c>
      <c r="N558" s="11">
        <v>0</v>
      </c>
      <c r="O558" s="11">
        <v>0</v>
      </c>
      <c r="P558" s="11">
        <v>0</v>
      </c>
      <c r="Q558" s="11">
        <v>5.4985841145904898E-3</v>
      </c>
      <c r="R558" s="11">
        <v>4.4882296178272501E-3</v>
      </c>
      <c r="S558" s="11">
        <v>2.4883049666567102E-3</v>
      </c>
      <c r="T558" s="11">
        <v>0</v>
      </c>
      <c r="U558">
        <v>3.04201016031394E-3</v>
      </c>
      <c r="V558">
        <v>0</v>
      </c>
      <c r="W558">
        <v>2.6668088964744798E-3</v>
      </c>
      <c r="X558">
        <v>0</v>
      </c>
      <c r="Y558">
        <v>2.9264581077521898E-3</v>
      </c>
      <c r="Z558">
        <v>0</v>
      </c>
      <c r="AA558">
        <v>0</v>
      </c>
      <c r="AB558">
        <v>0</v>
      </c>
      <c r="AC558">
        <v>7.1911405148856597E-3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</row>
    <row r="559" spans="1:39" customFormat="1" hidden="1" x14ac:dyDescent="0.3">
      <c r="A559" t="s">
        <v>1360</v>
      </c>
      <c r="B559" t="s">
        <v>30</v>
      </c>
      <c r="C559" t="s">
        <v>111</v>
      </c>
      <c r="D559" t="s">
        <v>141</v>
      </c>
      <c r="E559" t="s">
        <v>140</v>
      </c>
      <c r="F559" t="s">
        <v>276</v>
      </c>
      <c r="G559" t="s">
        <v>1359</v>
      </c>
      <c r="H559" s="16">
        <v>0</v>
      </c>
      <c r="I559" s="11">
        <v>0</v>
      </c>
      <c r="J559" s="11">
        <v>0</v>
      </c>
      <c r="K559" s="11">
        <v>0</v>
      </c>
      <c r="L559" s="11">
        <v>0</v>
      </c>
      <c r="M559" s="11">
        <v>0</v>
      </c>
      <c r="N559" s="11">
        <v>4.5835816106705798E-3</v>
      </c>
      <c r="O559" s="11">
        <v>0</v>
      </c>
      <c r="P559" s="11">
        <v>0</v>
      </c>
      <c r="Q559" s="11">
        <v>0</v>
      </c>
      <c r="R559" s="11">
        <v>2.2441148089136199E-3</v>
      </c>
      <c r="S559" s="11">
        <v>0</v>
      </c>
      <c r="T559" s="11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</row>
    <row r="560" spans="1:39" customFormat="1" hidden="1" x14ac:dyDescent="0.3">
      <c r="A560" t="s">
        <v>1358</v>
      </c>
      <c r="B560" t="s">
        <v>30</v>
      </c>
      <c r="C560" t="s">
        <v>29</v>
      </c>
      <c r="D560" t="s">
        <v>28</v>
      </c>
      <c r="E560" t="s">
        <v>27</v>
      </c>
      <c r="F560" t="s">
        <v>26</v>
      </c>
      <c r="G560" t="s">
        <v>25</v>
      </c>
      <c r="H560" s="16">
        <v>0</v>
      </c>
      <c r="I560" s="11">
        <v>0</v>
      </c>
      <c r="J560" s="11">
        <v>0</v>
      </c>
      <c r="K560" s="11">
        <v>0</v>
      </c>
      <c r="L560" s="11">
        <v>0</v>
      </c>
      <c r="M560" s="11">
        <v>0</v>
      </c>
      <c r="N560" s="11">
        <v>0</v>
      </c>
      <c r="O560" s="11">
        <v>0</v>
      </c>
      <c r="P560" s="11">
        <v>0</v>
      </c>
      <c r="Q560" s="11">
        <v>5.4985841145904898E-3</v>
      </c>
      <c r="R560" s="11">
        <v>0</v>
      </c>
      <c r="S560" s="11">
        <v>0</v>
      </c>
      <c r="T560" s="11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3.5844863431070302E-3</v>
      </c>
      <c r="AM560">
        <v>0</v>
      </c>
    </row>
    <row r="561" spans="1:39" customFormat="1" hidden="1" x14ac:dyDescent="0.3">
      <c r="A561" t="s">
        <v>1357</v>
      </c>
      <c r="B561" t="s">
        <v>30</v>
      </c>
      <c r="C561" t="s">
        <v>29</v>
      </c>
      <c r="D561" t="s">
        <v>28</v>
      </c>
      <c r="E561" t="s">
        <v>27</v>
      </c>
      <c r="F561" t="s">
        <v>67</v>
      </c>
      <c r="G561" t="s">
        <v>66</v>
      </c>
      <c r="H561" s="16">
        <v>0</v>
      </c>
      <c r="I561" s="11">
        <v>0</v>
      </c>
      <c r="J561" s="11">
        <v>0</v>
      </c>
      <c r="K561" s="11">
        <v>0</v>
      </c>
      <c r="L561" s="11">
        <v>0</v>
      </c>
      <c r="M561" s="11">
        <v>0</v>
      </c>
      <c r="N561" s="11">
        <v>0</v>
      </c>
      <c r="O561" s="11">
        <v>0</v>
      </c>
      <c r="P561" s="11">
        <v>0</v>
      </c>
      <c r="Q561" s="11">
        <v>0</v>
      </c>
      <c r="R561" s="11">
        <v>4.4882296178272501E-3</v>
      </c>
      <c r="S561" s="11">
        <v>0</v>
      </c>
      <c r="T561" s="1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1.9064565327910499E-2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</row>
    <row r="562" spans="1:39" customFormat="1" hidden="1" x14ac:dyDescent="0.3">
      <c r="A562" t="s">
        <v>1356</v>
      </c>
      <c r="B562" t="s">
        <v>30</v>
      </c>
      <c r="C562" t="s">
        <v>81</v>
      </c>
      <c r="D562" t="s">
        <v>80</v>
      </c>
      <c r="E562" t="s">
        <v>642</v>
      </c>
      <c r="F562" t="s">
        <v>641</v>
      </c>
      <c r="G562" t="s">
        <v>692</v>
      </c>
      <c r="H562" s="16">
        <v>0</v>
      </c>
      <c r="I562" s="11">
        <v>0</v>
      </c>
      <c r="J562" s="11">
        <v>0</v>
      </c>
      <c r="K562" s="11">
        <v>0</v>
      </c>
      <c r="L562" s="11">
        <v>0</v>
      </c>
      <c r="M562" s="11">
        <v>0</v>
      </c>
      <c r="N562" s="11">
        <v>0</v>
      </c>
      <c r="O562" s="11">
        <v>0</v>
      </c>
      <c r="P562" s="11">
        <v>0</v>
      </c>
      <c r="Q562" s="11">
        <v>0</v>
      </c>
      <c r="R562" s="11">
        <v>0</v>
      </c>
      <c r="S562" s="11">
        <v>0</v>
      </c>
      <c r="T562" s="11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</row>
    <row r="563" spans="1:39" customFormat="1" hidden="1" x14ac:dyDescent="0.3">
      <c r="A563" t="s">
        <v>1355</v>
      </c>
      <c r="B563" t="s">
        <v>30</v>
      </c>
      <c r="C563" t="s">
        <v>29</v>
      </c>
      <c r="D563" t="s">
        <v>28</v>
      </c>
      <c r="E563" t="s">
        <v>27</v>
      </c>
      <c r="F563" t="s">
        <v>64</v>
      </c>
      <c r="G563" t="s">
        <v>63</v>
      </c>
      <c r="H563" s="16">
        <v>0</v>
      </c>
      <c r="I563" s="11">
        <v>0</v>
      </c>
      <c r="J563" s="11">
        <v>0</v>
      </c>
      <c r="K563" s="11">
        <v>0</v>
      </c>
      <c r="L563" s="11">
        <v>0</v>
      </c>
      <c r="M563" s="11">
        <v>0</v>
      </c>
      <c r="N563" s="11">
        <v>0</v>
      </c>
      <c r="O563" s="11">
        <v>0</v>
      </c>
      <c r="P563" s="11">
        <v>0</v>
      </c>
      <c r="Q563" s="11">
        <v>0</v>
      </c>
      <c r="R563" s="11">
        <v>0</v>
      </c>
      <c r="S563" s="11">
        <v>0</v>
      </c>
      <c r="T563" s="11">
        <v>0</v>
      </c>
      <c r="U563">
        <v>0</v>
      </c>
      <c r="V563">
        <v>0</v>
      </c>
      <c r="W563">
        <v>0</v>
      </c>
      <c r="X563">
        <v>0</v>
      </c>
      <c r="Y563">
        <v>2.9264581077521898E-3</v>
      </c>
      <c r="Z563">
        <v>0</v>
      </c>
      <c r="AA563">
        <v>0</v>
      </c>
      <c r="AB563">
        <v>0</v>
      </c>
      <c r="AC563">
        <v>1.43822810297713E-2</v>
      </c>
      <c r="AD563">
        <v>0</v>
      </c>
      <c r="AE563">
        <v>0</v>
      </c>
      <c r="AF563">
        <v>5.03372596395852E-3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</row>
    <row r="564" spans="1:39" customFormat="1" hidden="1" x14ac:dyDescent="0.3">
      <c r="A564" t="s">
        <v>1351</v>
      </c>
      <c r="B564" t="s">
        <v>30</v>
      </c>
      <c r="C564" t="s">
        <v>81</v>
      </c>
      <c r="D564" t="s">
        <v>80</v>
      </c>
      <c r="E564" t="s">
        <v>618</v>
      </c>
      <c r="F564" t="s">
        <v>617</v>
      </c>
      <c r="G564" t="s">
        <v>616</v>
      </c>
      <c r="H564" s="16">
        <v>0</v>
      </c>
      <c r="I564" s="11">
        <v>0</v>
      </c>
      <c r="J564" s="11">
        <v>0</v>
      </c>
      <c r="K564" s="11">
        <v>0</v>
      </c>
      <c r="L564" s="11">
        <v>0</v>
      </c>
      <c r="M564" s="11">
        <v>0</v>
      </c>
      <c r="N564" s="11">
        <v>0</v>
      </c>
      <c r="O564" s="11">
        <v>0</v>
      </c>
      <c r="P564" s="11">
        <v>0</v>
      </c>
      <c r="Q564" s="11">
        <v>0</v>
      </c>
      <c r="R564" s="11">
        <v>0</v>
      </c>
      <c r="S564" s="11">
        <v>0</v>
      </c>
      <c r="T564" s="11">
        <v>0</v>
      </c>
      <c r="U564">
        <v>0</v>
      </c>
      <c r="V564">
        <v>3.6144142841652502E-3</v>
      </c>
      <c r="W564">
        <v>0</v>
      </c>
      <c r="X564">
        <v>0</v>
      </c>
      <c r="Y564">
        <v>5.8529162155043701E-3</v>
      </c>
      <c r="Z564">
        <v>0</v>
      </c>
      <c r="AA564">
        <v>0</v>
      </c>
      <c r="AB564">
        <v>4.5118209709438702E-3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</row>
    <row r="565" spans="1:39" customFormat="1" hidden="1" x14ac:dyDescent="0.3">
      <c r="A565" t="s">
        <v>1350</v>
      </c>
      <c r="B565" t="s">
        <v>30</v>
      </c>
      <c r="C565" t="s">
        <v>111</v>
      </c>
      <c r="D565" t="s">
        <v>141</v>
      </c>
      <c r="E565" t="s">
        <v>140</v>
      </c>
      <c r="F565" t="s">
        <v>592</v>
      </c>
      <c r="G565" t="s">
        <v>958</v>
      </c>
      <c r="H565" s="16">
        <v>0</v>
      </c>
      <c r="I565" s="11">
        <v>0</v>
      </c>
      <c r="J565" s="11">
        <v>8.7187758838659108E-3</v>
      </c>
      <c r="K565" s="11">
        <v>0</v>
      </c>
      <c r="L565" s="11">
        <v>0</v>
      </c>
      <c r="M565" s="11">
        <v>0</v>
      </c>
      <c r="N565" s="11">
        <v>0</v>
      </c>
      <c r="O565" s="11">
        <v>3.75023438964935E-3</v>
      </c>
      <c r="P565" s="11">
        <v>0</v>
      </c>
      <c r="Q565" s="11">
        <v>2.7492920572952501E-3</v>
      </c>
      <c r="R565" s="11">
        <v>0</v>
      </c>
      <c r="S565" s="11">
        <v>0</v>
      </c>
      <c r="T565" s="11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</row>
    <row r="566" spans="1:39" customFormat="1" hidden="1" x14ac:dyDescent="0.3">
      <c r="A566" t="s">
        <v>1349</v>
      </c>
      <c r="B566" t="s">
        <v>30</v>
      </c>
      <c r="C566" t="s">
        <v>81</v>
      </c>
      <c r="D566" t="s">
        <v>351</v>
      </c>
      <c r="E566" t="s">
        <v>351</v>
      </c>
      <c r="F566" t="s">
        <v>351</v>
      </c>
      <c r="G566" t="s">
        <v>351</v>
      </c>
      <c r="H566" s="16">
        <v>0</v>
      </c>
      <c r="I566" s="11">
        <v>0</v>
      </c>
      <c r="J566" s="11">
        <v>0</v>
      </c>
      <c r="K566" s="11">
        <v>0</v>
      </c>
      <c r="L566" s="11">
        <v>0</v>
      </c>
      <c r="M566" s="11">
        <v>0</v>
      </c>
      <c r="N566" s="11">
        <v>0</v>
      </c>
      <c r="O566" s="11">
        <v>0</v>
      </c>
      <c r="P566" s="11">
        <v>0</v>
      </c>
      <c r="Q566" s="11">
        <v>0</v>
      </c>
      <c r="R566" s="11">
        <v>0</v>
      </c>
      <c r="S566" s="11">
        <v>0</v>
      </c>
      <c r="T566" s="11">
        <v>6.69299243691855E-3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5.03372596395852E-3</v>
      </c>
      <c r="AG566">
        <v>0</v>
      </c>
      <c r="AH566">
        <v>0</v>
      </c>
      <c r="AI566">
        <v>0</v>
      </c>
      <c r="AJ566">
        <v>0</v>
      </c>
      <c r="AK566">
        <v>6.02700096432015E-3</v>
      </c>
      <c r="AL566">
        <v>0</v>
      </c>
      <c r="AM566">
        <v>0</v>
      </c>
    </row>
    <row r="567" spans="1:39" customFormat="1" hidden="1" x14ac:dyDescent="0.3">
      <c r="A567" t="s">
        <v>1346</v>
      </c>
      <c r="B567" t="s">
        <v>30</v>
      </c>
      <c r="C567" t="s">
        <v>81</v>
      </c>
      <c r="D567" t="s">
        <v>80</v>
      </c>
      <c r="E567" t="s">
        <v>618</v>
      </c>
      <c r="F567" t="s">
        <v>629</v>
      </c>
      <c r="G567" t="s">
        <v>628</v>
      </c>
      <c r="H567" s="16">
        <v>0</v>
      </c>
      <c r="I567" s="11">
        <v>0</v>
      </c>
      <c r="J567" s="11">
        <v>0</v>
      </c>
      <c r="K567" s="11">
        <v>0</v>
      </c>
      <c r="L567" s="11">
        <v>0</v>
      </c>
      <c r="M567" s="11">
        <v>0</v>
      </c>
      <c r="N567" s="11">
        <v>0</v>
      </c>
      <c r="O567" s="11">
        <v>0</v>
      </c>
      <c r="P567" s="11">
        <v>0</v>
      </c>
      <c r="Q567" s="11">
        <v>0</v>
      </c>
      <c r="R567" s="11">
        <v>0</v>
      </c>
      <c r="S567" s="11">
        <v>0</v>
      </c>
      <c r="T567" s="11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3.1774275546517499E-3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</row>
    <row r="568" spans="1:39" customFormat="1" hidden="1" x14ac:dyDescent="0.3">
      <c r="A568" t="s">
        <v>1345</v>
      </c>
      <c r="B568" t="s">
        <v>30</v>
      </c>
      <c r="C568" t="s">
        <v>81</v>
      </c>
      <c r="D568" t="s">
        <v>80</v>
      </c>
      <c r="E568" t="s">
        <v>618</v>
      </c>
      <c r="F568" t="s">
        <v>629</v>
      </c>
      <c r="G568" t="s">
        <v>628</v>
      </c>
      <c r="H568" s="16">
        <v>0</v>
      </c>
      <c r="I568" s="11">
        <v>3.6565745209887401E-3</v>
      </c>
      <c r="J568" s="11">
        <v>4.3593879419329502E-3</v>
      </c>
      <c r="K568" s="11">
        <v>5.6589893045102101E-3</v>
      </c>
      <c r="L568" s="11">
        <v>0</v>
      </c>
      <c r="M568" s="11">
        <v>0</v>
      </c>
      <c r="N568" s="11">
        <v>0</v>
      </c>
      <c r="O568" s="11">
        <v>0</v>
      </c>
      <c r="P568" s="11">
        <v>0</v>
      </c>
      <c r="Q568" s="11">
        <v>0</v>
      </c>
      <c r="R568" s="11">
        <v>0</v>
      </c>
      <c r="S568" s="11">
        <v>0</v>
      </c>
      <c r="T568" s="11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</row>
    <row r="569" spans="1:39" customFormat="1" hidden="1" x14ac:dyDescent="0.3">
      <c r="A569" t="s">
        <v>1343</v>
      </c>
      <c r="B569" t="s">
        <v>30</v>
      </c>
      <c r="C569" t="s">
        <v>111</v>
      </c>
      <c r="D569" t="s">
        <v>141</v>
      </c>
      <c r="E569" t="s">
        <v>140</v>
      </c>
      <c r="F569" t="s">
        <v>199</v>
      </c>
      <c r="G569" t="s">
        <v>198</v>
      </c>
      <c r="H569" s="16">
        <v>4.1583499667332E-3</v>
      </c>
      <c r="I569" s="11">
        <v>0</v>
      </c>
      <c r="J569" s="11">
        <v>0</v>
      </c>
      <c r="K569" s="11">
        <v>0</v>
      </c>
      <c r="L569" s="11">
        <v>1.3207422571485199E-2</v>
      </c>
      <c r="M569" s="11">
        <v>0</v>
      </c>
      <c r="N569" s="11">
        <v>0</v>
      </c>
      <c r="O569" s="11">
        <v>0</v>
      </c>
      <c r="P569" s="11">
        <v>0</v>
      </c>
      <c r="Q569" s="11">
        <v>0</v>
      </c>
      <c r="R569" s="11">
        <v>0</v>
      </c>
      <c r="S569" s="11">
        <v>0</v>
      </c>
      <c r="T569" s="11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3.5915670006823998E-3</v>
      </c>
      <c r="AK569">
        <v>0</v>
      </c>
      <c r="AL569">
        <v>0</v>
      </c>
      <c r="AM569">
        <v>0</v>
      </c>
    </row>
    <row r="570" spans="1:39" customFormat="1" hidden="1" x14ac:dyDescent="0.3">
      <c r="A570" t="s">
        <v>1342</v>
      </c>
      <c r="B570" t="s">
        <v>30</v>
      </c>
      <c r="C570" t="s">
        <v>81</v>
      </c>
      <c r="D570" t="s">
        <v>80</v>
      </c>
      <c r="E570" t="s">
        <v>642</v>
      </c>
      <c r="F570" t="s">
        <v>645</v>
      </c>
      <c r="G570" t="s">
        <v>644</v>
      </c>
      <c r="H570" s="16">
        <v>0</v>
      </c>
      <c r="I570" s="11">
        <v>0</v>
      </c>
      <c r="J570" s="11">
        <v>0</v>
      </c>
      <c r="K570" s="11">
        <v>0</v>
      </c>
      <c r="L570" s="11">
        <v>0</v>
      </c>
      <c r="M570" s="11">
        <v>0</v>
      </c>
      <c r="N570" s="11">
        <v>0</v>
      </c>
      <c r="O570" s="11">
        <v>0</v>
      </c>
      <c r="P570" s="11">
        <v>0</v>
      </c>
      <c r="Q570" s="11">
        <v>0</v>
      </c>
      <c r="R570" s="11">
        <v>0</v>
      </c>
      <c r="S570" s="11">
        <v>0</v>
      </c>
      <c r="T570" s="11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</row>
    <row r="571" spans="1:39" x14ac:dyDescent="0.3">
      <c r="A571" s="6" t="s">
        <v>1340</v>
      </c>
      <c r="B571" s="6" t="s">
        <v>30</v>
      </c>
      <c r="C571" s="6" t="s">
        <v>29</v>
      </c>
      <c r="D571" s="6" t="s">
        <v>28</v>
      </c>
      <c r="E571" s="6" t="s">
        <v>388</v>
      </c>
      <c r="F571" s="6" t="s">
        <v>624</v>
      </c>
      <c r="G571" s="6" t="s">
        <v>634</v>
      </c>
      <c r="H571" s="49">
        <v>0</v>
      </c>
      <c r="I571" s="6">
        <v>0</v>
      </c>
      <c r="J571" s="6">
        <v>0</v>
      </c>
      <c r="K571" s="6">
        <v>0</v>
      </c>
      <c r="L571" s="6">
        <v>0</v>
      </c>
      <c r="M571" s="6">
        <v>0</v>
      </c>
      <c r="N571" s="6">
        <v>0</v>
      </c>
      <c r="O571" s="6">
        <v>0</v>
      </c>
      <c r="P571" s="6">
        <v>0</v>
      </c>
      <c r="Q571" s="6">
        <v>0</v>
      </c>
      <c r="R571" s="6">
        <v>0</v>
      </c>
      <c r="S571" s="6">
        <v>0</v>
      </c>
      <c r="T571" s="6">
        <v>0</v>
      </c>
      <c r="U571" s="6">
        <v>0</v>
      </c>
      <c r="V571" s="6">
        <v>0</v>
      </c>
      <c r="W571" s="6">
        <v>0</v>
      </c>
      <c r="X571" s="6">
        <v>0</v>
      </c>
      <c r="Y571" s="6">
        <v>0</v>
      </c>
      <c r="Z571" s="6">
        <v>0</v>
      </c>
      <c r="AA571" s="6">
        <v>0</v>
      </c>
      <c r="AB571" s="6">
        <v>0</v>
      </c>
      <c r="AC571" s="6">
        <v>0</v>
      </c>
      <c r="AD571" s="6">
        <v>3.14564328405159E-3</v>
      </c>
      <c r="AE571" s="6">
        <v>0</v>
      </c>
      <c r="AF571" s="6">
        <v>0</v>
      </c>
      <c r="AG571" s="6">
        <v>0</v>
      </c>
      <c r="AH571" s="6">
        <v>0</v>
      </c>
      <c r="AI571" s="6">
        <v>9.1937115013330899E-3</v>
      </c>
      <c r="AJ571" s="6">
        <v>0</v>
      </c>
      <c r="AK571" s="6">
        <v>0</v>
      </c>
      <c r="AL571" s="6">
        <v>0</v>
      </c>
      <c r="AM571" s="6">
        <v>0</v>
      </c>
    </row>
    <row r="572" spans="1:39" customFormat="1" hidden="1" x14ac:dyDescent="0.3">
      <c r="A572" t="s">
        <v>1339</v>
      </c>
      <c r="B572" t="s">
        <v>30</v>
      </c>
      <c r="C572" t="s">
        <v>111</v>
      </c>
      <c r="D572" t="s">
        <v>141</v>
      </c>
      <c r="E572" t="s">
        <v>140</v>
      </c>
      <c r="F572" t="s">
        <v>599</v>
      </c>
      <c r="G572" t="s">
        <v>1338</v>
      </c>
      <c r="H572" s="16">
        <v>0</v>
      </c>
      <c r="I572" s="11">
        <v>0</v>
      </c>
      <c r="J572" s="11">
        <v>0</v>
      </c>
      <c r="K572" s="11">
        <v>5.6589893045102101E-3</v>
      </c>
      <c r="L572" s="11">
        <v>0</v>
      </c>
      <c r="M572" s="11">
        <v>0</v>
      </c>
      <c r="N572" s="11">
        <v>0</v>
      </c>
      <c r="O572" s="11">
        <v>0</v>
      </c>
      <c r="P572" s="11">
        <v>0</v>
      </c>
      <c r="Q572" s="11">
        <v>2.7492920572952501E-3</v>
      </c>
      <c r="R572" s="11">
        <v>0</v>
      </c>
      <c r="S572" s="11">
        <v>2.4883049666567102E-3</v>
      </c>
      <c r="T572" s="11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</row>
    <row r="573" spans="1:39" customFormat="1" hidden="1" x14ac:dyDescent="0.3">
      <c r="A573" t="s">
        <v>1337</v>
      </c>
      <c r="B573" t="s">
        <v>30</v>
      </c>
      <c r="C573" t="s">
        <v>410</v>
      </c>
      <c r="D573" t="s">
        <v>410</v>
      </c>
      <c r="E573" t="s">
        <v>409</v>
      </c>
      <c r="F573" t="s">
        <v>408</v>
      </c>
      <c r="G573" t="s">
        <v>407</v>
      </c>
      <c r="H573" s="16">
        <v>0</v>
      </c>
      <c r="I573" s="11">
        <v>0</v>
      </c>
      <c r="J573" s="11">
        <v>0</v>
      </c>
      <c r="K573" s="11">
        <v>0</v>
      </c>
      <c r="L573" s="11">
        <v>0</v>
      </c>
      <c r="M573" s="11">
        <v>0</v>
      </c>
      <c r="N573" s="11">
        <v>0</v>
      </c>
      <c r="O573" s="11">
        <v>0</v>
      </c>
      <c r="P573" s="11">
        <v>0</v>
      </c>
      <c r="Q573" s="11">
        <v>0</v>
      </c>
      <c r="R573" s="11">
        <v>0</v>
      </c>
      <c r="S573" s="11">
        <v>0</v>
      </c>
      <c r="T573" s="11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1.5728216420257901E-2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</row>
    <row r="574" spans="1:39" customFormat="1" hidden="1" x14ac:dyDescent="0.3">
      <c r="A574" t="s">
        <v>1336</v>
      </c>
      <c r="B574" t="s">
        <v>30</v>
      </c>
      <c r="C574" t="s">
        <v>1335</v>
      </c>
      <c r="D574" t="s">
        <v>1334</v>
      </c>
      <c r="E574" t="s">
        <v>1333</v>
      </c>
      <c r="F574" t="s">
        <v>1332</v>
      </c>
      <c r="G574" t="s">
        <v>1331</v>
      </c>
      <c r="H574" s="16">
        <v>0</v>
      </c>
      <c r="I574" s="11">
        <v>0</v>
      </c>
      <c r="J574" s="11">
        <v>0</v>
      </c>
      <c r="K574" s="11">
        <v>0</v>
      </c>
      <c r="L574" s="11">
        <v>0</v>
      </c>
      <c r="M574" s="11">
        <v>0</v>
      </c>
      <c r="N574" s="11">
        <v>0</v>
      </c>
      <c r="O574" s="11">
        <v>0</v>
      </c>
      <c r="P574" s="11">
        <v>0</v>
      </c>
      <c r="Q574" s="11">
        <v>0</v>
      </c>
      <c r="R574" s="11">
        <v>0</v>
      </c>
      <c r="S574" s="11">
        <v>0</v>
      </c>
      <c r="T574" s="11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</row>
    <row r="575" spans="1:39" customFormat="1" hidden="1" x14ac:dyDescent="0.3">
      <c r="A575" t="s">
        <v>1330</v>
      </c>
      <c r="B575" t="s">
        <v>30</v>
      </c>
      <c r="C575" t="s">
        <v>81</v>
      </c>
      <c r="D575" t="s">
        <v>85</v>
      </c>
      <c r="E575" t="s">
        <v>314</v>
      </c>
      <c r="F575" t="s">
        <v>313</v>
      </c>
      <c r="G575" t="s">
        <v>341</v>
      </c>
      <c r="H575" s="16">
        <v>0</v>
      </c>
      <c r="I575" s="11">
        <v>0</v>
      </c>
      <c r="J575" s="11">
        <v>0</v>
      </c>
      <c r="K575" s="11">
        <v>0</v>
      </c>
      <c r="L575" s="11">
        <v>0</v>
      </c>
      <c r="M575" s="11">
        <v>0</v>
      </c>
      <c r="N575" s="11">
        <v>0</v>
      </c>
      <c r="O575" s="11">
        <v>0</v>
      </c>
      <c r="P575" s="11">
        <v>0</v>
      </c>
      <c r="Q575" s="11">
        <v>0</v>
      </c>
      <c r="R575" s="11">
        <v>0</v>
      </c>
      <c r="S575" s="11">
        <v>0</v>
      </c>
      <c r="T575" s="11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7.1911405148856597E-3</v>
      </c>
      <c r="AD575">
        <v>3.14564328405159E-3</v>
      </c>
      <c r="AE575">
        <v>3.4299434059338E-3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</row>
    <row r="576" spans="1:39" customFormat="1" hidden="1" x14ac:dyDescent="0.3">
      <c r="A576" t="s">
        <v>1329</v>
      </c>
      <c r="B576" t="s">
        <v>30</v>
      </c>
      <c r="C576" t="s">
        <v>81</v>
      </c>
      <c r="D576" t="s">
        <v>80</v>
      </c>
      <c r="E576" t="s">
        <v>642</v>
      </c>
      <c r="F576" t="s">
        <v>641</v>
      </c>
      <c r="G576" t="s">
        <v>1321</v>
      </c>
      <c r="H576" s="16">
        <v>0</v>
      </c>
      <c r="I576" s="11">
        <v>0</v>
      </c>
      <c r="J576" s="11">
        <v>0</v>
      </c>
      <c r="K576" s="11">
        <v>0</v>
      </c>
      <c r="L576" s="11">
        <v>0</v>
      </c>
      <c r="M576" s="11">
        <v>0</v>
      </c>
      <c r="N576" s="11">
        <v>0</v>
      </c>
      <c r="O576" s="11">
        <v>0</v>
      </c>
      <c r="P576" s="11">
        <v>0</v>
      </c>
      <c r="Q576" s="11">
        <v>0</v>
      </c>
      <c r="R576" s="11">
        <v>0</v>
      </c>
      <c r="S576" s="11">
        <v>0</v>
      </c>
      <c r="T576" s="11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5.03372596395852E-3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</row>
    <row r="577" spans="1:39" customFormat="1" hidden="1" x14ac:dyDescent="0.3">
      <c r="A577" t="s">
        <v>1328</v>
      </c>
      <c r="B577" t="s">
        <v>30</v>
      </c>
      <c r="C577" t="s">
        <v>526</v>
      </c>
      <c r="D577" t="s">
        <v>525</v>
      </c>
      <c r="E577" t="s">
        <v>524</v>
      </c>
      <c r="F577" t="s">
        <v>523</v>
      </c>
      <c r="G577" t="s">
        <v>25</v>
      </c>
      <c r="H577" s="16">
        <v>0</v>
      </c>
      <c r="I577" s="11">
        <v>0</v>
      </c>
      <c r="J577" s="11">
        <v>0</v>
      </c>
      <c r="K577" s="11">
        <v>0</v>
      </c>
      <c r="L577" s="11">
        <v>0</v>
      </c>
      <c r="M577" s="11">
        <v>7.0977358222727004E-3</v>
      </c>
      <c r="N577" s="11">
        <v>0</v>
      </c>
      <c r="O577" s="11">
        <v>0</v>
      </c>
      <c r="P577" s="11">
        <v>0</v>
      </c>
      <c r="Q577" s="11">
        <v>0</v>
      </c>
      <c r="R577" s="11">
        <v>0</v>
      </c>
      <c r="S577" s="11">
        <v>0</v>
      </c>
      <c r="T577" s="11">
        <v>0</v>
      </c>
      <c r="U577">
        <v>0</v>
      </c>
      <c r="V577">
        <v>0</v>
      </c>
      <c r="W577">
        <v>5.3336177929489597E-3</v>
      </c>
      <c r="X577">
        <v>0</v>
      </c>
      <c r="Y577">
        <v>0</v>
      </c>
      <c r="Z577">
        <v>3.1774275546517499E-3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3.5844863431070302E-3</v>
      </c>
      <c r="AM577">
        <v>0</v>
      </c>
    </row>
    <row r="578" spans="1:39" customFormat="1" hidden="1" x14ac:dyDescent="0.3">
      <c r="A578" t="s">
        <v>1327</v>
      </c>
      <c r="B578" t="s">
        <v>30</v>
      </c>
      <c r="C578" t="s">
        <v>526</v>
      </c>
      <c r="D578" t="s">
        <v>525</v>
      </c>
      <c r="E578" t="s">
        <v>524</v>
      </c>
      <c r="F578" t="s">
        <v>523</v>
      </c>
      <c r="G578" t="s">
        <v>25</v>
      </c>
      <c r="H578" s="16">
        <v>0</v>
      </c>
      <c r="I578" s="11">
        <v>0</v>
      </c>
      <c r="J578" s="11">
        <v>0</v>
      </c>
      <c r="K578" s="11">
        <v>0</v>
      </c>
      <c r="L578" s="11">
        <v>0</v>
      </c>
      <c r="M578" s="11">
        <v>0</v>
      </c>
      <c r="N578" s="11">
        <v>0</v>
      </c>
      <c r="O578" s="11">
        <v>0</v>
      </c>
      <c r="P578" s="11">
        <v>0</v>
      </c>
      <c r="Q578" s="11">
        <v>0</v>
      </c>
      <c r="R578" s="11">
        <v>0</v>
      </c>
      <c r="S578" s="11">
        <v>0</v>
      </c>
      <c r="T578" s="11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</row>
    <row r="579" spans="1:39" customFormat="1" hidden="1" x14ac:dyDescent="0.3">
      <c r="A579" t="s">
        <v>1326</v>
      </c>
      <c r="B579" t="s">
        <v>30</v>
      </c>
      <c r="C579" t="s">
        <v>81</v>
      </c>
      <c r="D579" t="s">
        <v>80</v>
      </c>
      <c r="E579" t="s">
        <v>618</v>
      </c>
      <c r="F579" t="s">
        <v>629</v>
      </c>
      <c r="G579" t="s">
        <v>1325</v>
      </c>
      <c r="H579" s="16">
        <v>0</v>
      </c>
      <c r="I579" s="11">
        <v>0</v>
      </c>
      <c r="J579" s="11">
        <v>0</v>
      </c>
      <c r="K579" s="11">
        <v>0</v>
      </c>
      <c r="L579" s="11">
        <v>0</v>
      </c>
      <c r="M579" s="11">
        <v>0</v>
      </c>
      <c r="N579" s="11">
        <v>0</v>
      </c>
      <c r="O579" s="11">
        <v>0</v>
      </c>
      <c r="P579" s="11">
        <v>0</v>
      </c>
      <c r="Q579" s="11">
        <v>0</v>
      </c>
      <c r="R579" s="11">
        <v>0</v>
      </c>
      <c r="S579" s="11">
        <v>2.4883049666567102E-3</v>
      </c>
      <c r="T579" s="11">
        <v>0</v>
      </c>
      <c r="U579">
        <v>0</v>
      </c>
      <c r="V579">
        <v>3.6144142841652502E-3</v>
      </c>
      <c r="W579">
        <v>2.6668088964744798E-3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3.14564328405159E-3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</row>
    <row r="580" spans="1:39" customFormat="1" hidden="1" x14ac:dyDescent="0.3">
      <c r="A580" t="s">
        <v>1324</v>
      </c>
      <c r="B580" t="s">
        <v>30</v>
      </c>
      <c r="C580" t="s">
        <v>111</v>
      </c>
      <c r="D580" t="s">
        <v>141</v>
      </c>
      <c r="E580" t="s">
        <v>140</v>
      </c>
      <c r="F580" t="s">
        <v>199</v>
      </c>
      <c r="G580" t="s">
        <v>25</v>
      </c>
      <c r="H580" s="16">
        <v>0</v>
      </c>
      <c r="I580" s="11">
        <v>0</v>
      </c>
      <c r="J580" s="11">
        <v>0</v>
      </c>
      <c r="K580" s="11">
        <v>0</v>
      </c>
      <c r="L580" s="11">
        <v>0</v>
      </c>
      <c r="M580" s="11">
        <v>0</v>
      </c>
      <c r="N580" s="11">
        <v>0</v>
      </c>
      <c r="O580" s="11">
        <v>0</v>
      </c>
      <c r="P580" s="11">
        <v>0</v>
      </c>
      <c r="Q580" s="11">
        <v>0</v>
      </c>
      <c r="R580" s="11">
        <v>0</v>
      </c>
      <c r="S580" s="11">
        <v>0</v>
      </c>
      <c r="T580" s="11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5.03372596395852E-3</v>
      </c>
      <c r="AG580">
        <v>0</v>
      </c>
      <c r="AH580">
        <v>4.6410173109945703E-3</v>
      </c>
      <c r="AI580">
        <v>0</v>
      </c>
      <c r="AJ580">
        <v>3.5915670006823998E-3</v>
      </c>
      <c r="AK580">
        <v>0</v>
      </c>
      <c r="AL580">
        <v>0</v>
      </c>
      <c r="AM580">
        <v>0</v>
      </c>
    </row>
    <row r="581" spans="1:39" customFormat="1" hidden="1" x14ac:dyDescent="0.3">
      <c r="A581" t="s">
        <v>1322</v>
      </c>
      <c r="B581" t="s">
        <v>30</v>
      </c>
      <c r="C581" t="s">
        <v>81</v>
      </c>
      <c r="D581" t="s">
        <v>80</v>
      </c>
      <c r="E581" t="s">
        <v>642</v>
      </c>
      <c r="F581" t="s">
        <v>641</v>
      </c>
      <c r="G581" t="s">
        <v>1321</v>
      </c>
      <c r="H581" s="16">
        <v>0</v>
      </c>
      <c r="I581" s="11">
        <v>0</v>
      </c>
      <c r="J581" s="11">
        <v>0</v>
      </c>
      <c r="K581" s="11">
        <v>0</v>
      </c>
      <c r="L581" s="11">
        <v>0</v>
      </c>
      <c r="M581" s="11">
        <v>0</v>
      </c>
      <c r="N581" s="11">
        <v>0</v>
      </c>
      <c r="O581" s="11">
        <v>0</v>
      </c>
      <c r="P581" s="11">
        <v>0</v>
      </c>
      <c r="Q581" s="11">
        <v>0</v>
      </c>
      <c r="R581" s="11">
        <v>0</v>
      </c>
      <c r="S581" s="11">
        <v>0</v>
      </c>
      <c r="T581" s="1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</row>
    <row r="582" spans="1:39" customFormat="1" hidden="1" x14ac:dyDescent="0.3">
      <c r="A582" t="s">
        <v>1320</v>
      </c>
      <c r="B582" t="s">
        <v>30</v>
      </c>
      <c r="C582" t="s">
        <v>526</v>
      </c>
      <c r="D582" t="s">
        <v>525</v>
      </c>
      <c r="E582" t="s">
        <v>524</v>
      </c>
      <c r="F582" t="s">
        <v>523</v>
      </c>
      <c r="G582" t="s">
        <v>522</v>
      </c>
      <c r="H582" s="16">
        <v>0</v>
      </c>
      <c r="I582" s="11">
        <v>0</v>
      </c>
      <c r="J582" s="11">
        <v>0</v>
      </c>
      <c r="K582" s="11">
        <v>0</v>
      </c>
      <c r="L582" s="11">
        <v>0</v>
      </c>
      <c r="M582" s="11">
        <v>0</v>
      </c>
      <c r="N582" s="11">
        <v>0</v>
      </c>
      <c r="O582" s="11">
        <v>0</v>
      </c>
      <c r="P582" s="11">
        <v>0</v>
      </c>
      <c r="Q582" s="11">
        <v>0</v>
      </c>
      <c r="R582" s="11">
        <v>0</v>
      </c>
      <c r="S582" s="11">
        <v>0</v>
      </c>
      <c r="T582" s="11">
        <v>0</v>
      </c>
      <c r="U582">
        <v>3.04201016031394E-3</v>
      </c>
      <c r="V582">
        <v>7.2288285683305004E-3</v>
      </c>
      <c r="W582">
        <v>0</v>
      </c>
      <c r="X582">
        <v>6.4242579982012101E-3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</row>
    <row r="583" spans="1:39" customFormat="1" hidden="1" x14ac:dyDescent="0.3">
      <c r="A583" t="s">
        <v>1317</v>
      </c>
      <c r="B583" t="s">
        <v>30</v>
      </c>
      <c r="C583" t="s">
        <v>111</v>
      </c>
      <c r="D583" t="s">
        <v>141</v>
      </c>
      <c r="E583" t="s">
        <v>140</v>
      </c>
      <c r="F583" t="s">
        <v>592</v>
      </c>
      <c r="G583" t="s">
        <v>958</v>
      </c>
      <c r="H583" s="16">
        <v>0</v>
      </c>
      <c r="I583" s="11">
        <v>0</v>
      </c>
      <c r="J583" s="11">
        <v>0</v>
      </c>
      <c r="K583" s="11">
        <v>0</v>
      </c>
      <c r="L583" s="11">
        <v>0</v>
      </c>
      <c r="M583" s="11">
        <v>0</v>
      </c>
      <c r="N583" s="11">
        <v>0</v>
      </c>
      <c r="O583" s="11">
        <v>0</v>
      </c>
      <c r="P583" s="11">
        <v>0</v>
      </c>
      <c r="Q583" s="11">
        <v>0</v>
      </c>
      <c r="R583" s="11">
        <v>0</v>
      </c>
      <c r="S583" s="11">
        <v>0</v>
      </c>
      <c r="T583" s="11">
        <v>0</v>
      </c>
      <c r="U583">
        <v>3.04201016031394E-3</v>
      </c>
      <c r="V583">
        <v>3.6144142841652502E-3</v>
      </c>
      <c r="W583">
        <v>0</v>
      </c>
      <c r="X583">
        <v>0</v>
      </c>
      <c r="Y583">
        <v>2.9264581077521898E-3</v>
      </c>
      <c r="Z583">
        <v>0</v>
      </c>
      <c r="AA583">
        <v>0</v>
      </c>
      <c r="AB583">
        <v>0</v>
      </c>
      <c r="AC583">
        <v>7.1911405148856597E-3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3.5844863431070302E-3</v>
      </c>
      <c r="AM583">
        <v>0</v>
      </c>
    </row>
    <row r="584" spans="1:39" customFormat="1" hidden="1" x14ac:dyDescent="0.3">
      <c r="A584" t="s">
        <v>1314</v>
      </c>
      <c r="B584" t="s">
        <v>30</v>
      </c>
      <c r="C584" t="s">
        <v>111</v>
      </c>
      <c r="D584" t="s">
        <v>141</v>
      </c>
      <c r="E584" t="s">
        <v>140</v>
      </c>
      <c r="F584" t="s">
        <v>199</v>
      </c>
      <c r="G584" t="s">
        <v>1313</v>
      </c>
      <c r="H584" s="16">
        <v>0</v>
      </c>
      <c r="I584" s="11">
        <v>0</v>
      </c>
      <c r="J584" s="11">
        <v>0</v>
      </c>
      <c r="K584" s="11">
        <v>0</v>
      </c>
      <c r="L584" s="11">
        <v>0</v>
      </c>
      <c r="M584" s="11">
        <v>0</v>
      </c>
      <c r="N584" s="11">
        <v>0</v>
      </c>
      <c r="O584" s="11">
        <v>0</v>
      </c>
      <c r="P584" s="11">
        <v>0</v>
      </c>
      <c r="Q584" s="11">
        <v>0</v>
      </c>
      <c r="R584" s="11">
        <v>0</v>
      </c>
      <c r="S584" s="11">
        <v>0</v>
      </c>
      <c r="T584" s="11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</row>
    <row r="585" spans="1:39" customFormat="1" hidden="1" x14ac:dyDescent="0.3">
      <c r="A585" t="s">
        <v>1312</v>
      </c>
      <c r="B585" t="s">
        <v>30</v>
      </c>
      <c r="C585" t="s">
        <v>81</v>
      </c>
      <c r="D585" t="s">
        <v>118</v>
      </c>
      <c r="E585" t="s">
        <v>371</v>
      </c>
      <c r="F585" t="s">
        <v>424</v>
      </c>
      <c r="G585" t="s">
        <v>1311</v>
      </c>
      <c r="H585" s="16">
        <v>0</v>
      </c>
      <c r="I585" s="11">
        <v>0</v>
      </c>
      <c r="J585" s="11">
        <v>0</v>
      </c>
      <c r="K585" s="11">
        <v>0</v>
      </c>
      <c r="L585" s="11">
        <v>0</v>
      </c>
      <c r="M585" s="11">
        <v>0</v>
      </c>
      <c r="N585" s="11">
        <v>0</v>
      </c>
      <c r="O585" s="11">
        <v>0</v>
      </c>
      <c r="P585" s="11">
        <v>0</v>
      </c>
      <c r="Q585" s="11">
        <v>0</v>
      </c>
      <c r="R585" s="11">
        <v>0</v>
      </c>
      <c r="S585" s="11">
        <v>0</v>
      </c>
      <c r="T585" s="11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3.4299434059338E-3</v>
      </c>
      <c r="AF585">
        <v>1.0067451927917E-2</v>
      </c>
      <c r="AG585">
        <v>0</v>
      </c>
      <c r="AH585">
        <v>0</v>
      </c>
      <c r="AI585">
        <v>4.5968557506665397E-3</v>
      </c>
      <c r="AJ585">
        <v>0</v>
      </c>
      <c r="AK585">
        <v>0</v>
      </c>
      <c r="AL585">
        <v>0</v>
      </c>
      <c r="AM585">
        <v>0</v>
      </c>
    </row>
    <row r="586" spans="1:39" customFormat="1" hidden="1" x14ac:dyDescent="0.3">
      <c r="A586" t="s">
        <v>1310</v>
      </c>
      <c r="B586" t="s">
        <v>30</v>
      </c>
      <c r="C586" t="s">
        <v>35</v>
      </c>
      <c r="D586" t="s">
        <v>35</v>
      </c>
      <c r="E586" t="s">
        <v>34</v>
      </c>
      <c r="F586" t="s">
        <v>33</v>
      </c>
      <c r="G586" t="s">
        <v>1309</v>
      </c>
      <c r="H586" s="16">
        <v>0</v>
      </c>
      <c r="I586" s="11">
        <v>0</v>
      </c>
      <c r="J586" s="11">
        <v>0</v>
      </c>
      <c r="K586" s="11">
        <v>0</v>
      </c>
      <c r="L586" s="11">
        <v>0</v>
      </c>
      <c r="M586" s="11">
        <v>0</v>
      </c>
      <c r="N586" s="11">
        <v>0</v>
      </c>
      <c r="O586" s="11">
        <v>0</v>
      </c>
      <c r="P586" s="11">
        <v>0</v>
      </c>
      <c r="Q586" s="11">
        <v>2.7492920572952501E-3</v>
      </c>
      <c r="R586" s="11">
        <v>0</v>
      </c>
      <c r="S586" s="11">
        <v>0</v>
      </c>
      <c r="T586" s="11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</row>
    <row r="587" spans="1:39" customFormat="1" hidden="1" x14ac:dyDescent="0.3">
      <c r="A587" t="s">
        <v>1308</v>
      </c>
      <c r="B587" t="s">
        <v>30</v>
      </c>
      <c r="C587" t="s">
        <v>81</v>
      </c>
      <c r="D587" t="s">
        <v>118</v>
      </c>
      <c r="E587" t="s">
        <v>371</v>
      </c>
      <c r="F587" t="s">
        <v>374</v>
      </c>
      <c r="G587" t="s">
        <v>1307</v>
      </c>
      <c r="H587" s="16">
        <v>0</v>
      </c>
      <c r="I587" s="11">
        <v>0</v>
      </c>
      <c r="J587" s="11">
        <v>0</v>
      </c>
      <c r="K587" s="11">
        <v>0</v>
      </c>
      <c r="L587" s="11">
        <v>6.6037112857425901E-3</v>
      </c>
      <c r="M587" s="11">
        <v>0</v>
      </c>
      <c r="N587" s="11">
        <v>0</v>
      </c>
      <c r="O587" s="11">
        <v>0</v>
      </c>
      <c r="P587" s="11">
        <v>3.3947788301592198E-3</v>
      </c>
      <c r="Q587" s="11">
        <v>0</v>
      </c>
      <c r="R587" s="11">
        <v>0</v>
      </c>
      <c r="S587" s="11">
        <v>0</v>
      </c>
      <c r="T587" s="11">
        <v>0</v>
      </c>
      <c r="U587">
        <v>0</v>
      </c>
      <c r="V587">
        <v>3.6144142841652502E-3</v>
      </c>
      <c r="W587">
        <v>0</v>
      </c>
      <c r="X587">
        <v>0</v>
      </c>
      <c r="Y587">
        <v>5.8529162155043701E-3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</row>
    <row r="588" spans="1:39" customFormat="1" hidden="1" x14ac:dyDescent="0.3">
      <c r="A588" t="s">
        <v>1306</v>
      </c>
      <c r="B588" t="s">
        <v>30</v>
      </c>
      <c r="C588" t="s">
        <v>81</v>
      </c>
      <c r="D588" t="s">
        <v>118</v>
      </c>
      <c r="E588" t="s">
        <v>371</v>
      </c>
      <c r="F588" t="s">
        <v>424</v>
      </c>
      <c r="G588" t="s">
        <v>444</v>
      </c>
      <c r="H588" s="16">
        <v>8.3166999334664E-3</v>
      </c>
      <c r="I588" s="11">
        <v>0</v>
      </c>
      <c r="J588" s="11">
        <v>0</v>
      </c>
      <c r="K588" s="11">
        <v>5.6589893045102101E-3</v>
      </c>
      <c r="L588" s="11">
        <v>6.6037112857425901E-3</v>
      </c>
      <c r="M588" s="11">
        <v>0</v>
      </c>
      <c r="N588" s="11">
        <v>0</v>
      </c>
      <c r="O588" s="11">
        <v>0</v>
      </c>
      <c r="P588" s="11">
        <v>0</v>
      </c>
      <c r="Q588" s="11">
        <v>0</v>
      </c>
      <c r="R588" s="11">
        <v>0</v>
      </c>
      <c r="S588" s="11">
        <v>0</v>
      </c>
      <c r="T588" s="11">
        <v>0</v>
      </c>
      <c r="U588">
        <v>0</v>
      </c>
      <c r="V588">
        <v>0</v>
      </c>
      <c r="W588">
        <v>5.3336177929489597E-3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1.0067451927917E-2</v>
      </c>
      <c r="AG588">
        <v>2.3469220117815501E-3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</row>
    <row r="589" spans="1:39" customFormat="1" hidden="1" x14ac:dyDescent="0.3">
      <c r="A589" t="s">
        <v>1305</v>
      </c>
      <c r="B589" t="s">
        <v>30</v>
      </c>
      <c r="C589" t="s">
        <v>264</v>
      </c>
      <c r="D589" t="s">
        <v>263</v>
      </c>
      <c r="E589" t="s">
        <v>262</v>
      </c>
      <c r="F589" t="s">
        <v>261</v>
      </c>
      <c r="G589" t="s">
        <v>260</v>
      </c>
      <c r="H589" s="16">
        <v>0</v>
      </c>
      <c r="I589" s="11">
        <v>0</v>
      </c>
      <c r="J589" s="11">
        <v>0</v>
      </c>
      <c r="K589" s="11">
        <v>0</v>
      </c>
      <c r="L589" s="11">
        <v>0</v>
      </c>
      <c r="M589" s="11">
        <v>0</v>
      </c>
      <c r="N589" s="11">
        <v>0</v>
      </c>
      <c r="O589" s="11">
        <v>0</v>
      </c>
      <c r="P589" s="11">
        <v>0</v>
      </c>
      <c r="Q589" s="11">
        <v>0</v>
      </c>
      <c r="R589" s="11">
        <v>4.4882296178272501E-3</v>
      </c>
      <c r="S589" s="11">
        <v>4.9766099333134299E-3</v>
      </c>
      <c r="T589" s="11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7.1911405148856597E-3</v>
      </c>
      <c r="AD589">
        <v>6.2912865681031801E-3</v>
      </c>
      <c r="AE589">
        <v>0</v>
      </c>
      <c r="AF589">
        <v>0</v>
      </c>
      <c r="AG589">
        <v>0</v>
      </c>
      <c r="AH589">
        <v>4.6410173109945703E-3</v>
      </c>
      <c r="AI589">
        <v>0</v>
      </c>
      <c r="AJ589">
        <v>0</v>
      </c>
      <c r="AK589">
        <v>0</v>
      </c>
      <c r="AL589">
        <v>0</v>
      </c>
      <c r="AM589">
        <v>0</v>
      </c>
    </row>
    <row r="590" spans="1:39" customFormat="1" hidden="1" x14ac:dyDescent="0.3">
      <c r="A590" t="s">
        <v>1304</v>
      </c>
      <c r="B590" t="s">
        <v>30</v>
      </c>
      <c r="C590" t="s">
        <v>81</v>
      </c>
      <c r="D590" t="s">
        <v>118</v>
      </c>
      <c r="E590" t="s">
        <v>371</v>
      </c>
      <c r="F590" t="s">
        <v>424</v>
      </c>
      <c r="G590" t="s">
        <v>1295</v>
      </c>
      <c r="H590" s="16">
        <v>0</v>
      </c>
      <c r="I590" s="11">
        <v>0</v>
      </c>
      <c r="J590" s="11">
        <v>0</v>
      </c>
      <c r="K590" s="11">
        <v>0</v>
      </c>
      <c r="L590" s="11">
        <v>0</v>
      </c>
      <c r="M590" s="11">
        <v>0</v>
      </c>
      <c r="N590" s="11">
        <v>0</v>
      </c>
      <c r="O590" s="11">
        <v>0</v>
      </c>
      <c r="P590" s="11">
        <v>0</v>
      </c>
      <c r="Q590" s="11">
        <v>2.7492920572952501E-3</v>
      </c>
      <c r="R590" s="11">
        <v>0</v>
      </c>
      <c r="S590" s="11">
        <v>0</v>
      </c>
      <c r="T590" s="11">
        <v>0</v>
      </c>
      <c r="U590">
        <v>0</v>
      </c>
      <c r="V590">
        <v>0</v>
      </c>
      <c r="W590">
        <v>2.6668088964744798E-3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5.03372596395852E-3</v>
      </c>
      <c r="AG590">
        <v>7.0407660353446503E-3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</row>
    <row r="591" spans="1:39" customFormat="1" hidden="1" x14ac:dyDescent="0.3">
      <c r="A591" t="s">
        <v>1303</v>
      </c>
      <c r="B591" t="s">
        <v>30</v>
      </c>
      <c r="C591" t="s">
        <v>81</v>
      </c>
      <c r="D591" t="s">
        <v>118</v>
      </c>
      <c r="E591" t="s">
        <v>371</v>
      </c>
      <c r="F591" t="s">
        <v>1302</v>
      </c>
      <c r="G591" t="s">
        <v>1302</v>
      </c>
      <c r="H591" s="16">
        <v>0</v>
      </c>
      <c r="I591" s="11">
        <v>3.6565745209887401E-3</v>
      </c>
      <c r="J591" s="11">
        <v>0</v>
      </c>
      <c r="K591" s="11">
        <v>0</v>
      </c>
      <c r="L591" s="11">
        <v>6.6037112857425901E-3</v>
      </c>
      <c r="M591" s="11">
        <v>0</v>
      </c>
      <c r="N591" s="11">
        <v>0</v>
      </c>
      <c r="O591" s="11">
        <v>0</v>
      </c>
      <c r="P591" s="11">
        <v>0</v>
      </c>
      <c r="Q591" s="11">
        <v>0</v>
      </c>
      <c r="R591" s="11">
        <v>0</v>
      </c>
      <c r="S591" s="11">
        <v>0</v>
      </c>
      <c r="T591" s="11">
        <v>0</v>
      </c>
      <c r="U591">
        <v>0</v>
      </c>
      <c r="V591">
        <v>0</v>
      </c>
      <c r="W591">
        <v>5.3336177929489597E-3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5.03372596395852E-3</v>
      </c>
      <c r="AG591">
        <v>0</v>
      </c>
      <c r="AH591">
        <v>4.6410173109945703E-3</v>
      </c>
      <c r="AI591">
        <v>0</v>
      </c>
      <c r="AJ591">
        <v>0</v>
      </c>
      <c r="AK591">
        <v>6.02700096432015E-3</v>
      </c>
      <c r="AL591">
        <v>0</v>
      </c>
      <c r="AM591">
        <v>0</v>
      </c>
    </row>
    <row r="592" spans="1:39" customFormat="1" hidden="1" x14ac:dyDescent="0.3">
      <c r="A592" t="s">
        <v>1301</v>
      </c>
      <c r="B592" t="s">
        <v>30</v>
      </c>
      <c r="C592" t="s">
        <v>81</v>
      </c>
      <c r="D592" t="s">
        <v>118</v>
      </c>
      <c r="E592" t="s">
        <v>371</v>
      </c>
      <c r="F592" t="s">
        <v>441</v>
      </c>
      <c r="G592" t="s">
        <v>1300</v>
      </c>
      <c r="H592" s="16">
        <v>0</v>
      </c>
      <c r="I592" s="11">
        <v>0</v>
      </c>
      <c r="J592" s="11">
        <v>0</v>
      </c>
      <c r="K592" s="11">
        <v>0</v>
      </c>
      <c r="L592" s="11">
        <v>0</v>
      </c>
      <c r="M592" s="11">
        <v>0</v>
      </c>
      <c r="N592" s="11">
        <v>0</v>
      </c>
      <c r="O592" s="11">
        <v>0</v>
      </c>
      <c r="P592" s="11">
        <v>0</v>
      </c>
      <c r="Q592" s="11">
        <v>0</v>
      </c>
      <c r="R592" s="11">
        <v>0</v>
      </c>
      <c r="S592" s="11">
        <v>0</v>
      </c>
      <c r="T592" s="11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1.1734610058907699E-2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</row>
    <row r="593" spans="1:39" customFormat="1" hidden="1" x14ac:dyDescent="0.3">
      <c r="A593" t="s">
        <v>1298</v>
      </c>
      <c r="B593" t="s">
        <v>30</v>
      </c>
      <c r="C593" t="s">
        <v>29</v>
      </c>
      <c r="D593" t="s">
        <v>28</v>
      </c>
      <c r="E593" t="s">
        <v>91</v>
      </c>
      <c r="F593" t="s">
        <v>90</v>
      </c>
      <c r="G593" t="s">
        <v>89</v>
      </c>
      <c r="H593" s="16">
        <v>0</v>
      </c>
      <c r="I593" s="11">
        <v>0</v>
      </c>
      <c r="J593" s="11">
        <v>4.3593879419329502E-3</v>
      </c>
      <c r="K593" s="11">
        <v>0</v>
      </c>
      <c r="L593" s="11">
        <v>0</v>
      </c>
      <c r="M593" s="11">
        <v>0</v>
      </c>
      <c r="N593" s="11">
        <v>0</v>
      </c>
      <c r="O593" s="11">
        <v>0</v>
      </c>
      <c r="P593" s="11">
        <v>0</v>
      </c>
      <c r="Q593" s="11">
        <v>0</v>
      </c>
      <c r="R593" s="11">
        <v>0</v>
      </c>
      <c r="S593" s="11">
        <v>2.4883049666567102E-3</v>
      </c>
      <c r="T593" s="11">
        <v>0</v>
      </c>
      <c r="U593">
        <v>0</v>
      </c>
      <c r="V593">
        <v>0</v>
      </c>
      <c r="W593">
        <v>0</v>
      </c>
      <c r="X593">
        <v>6.4242579982012101E-3</v>
      </c>
      <c r="Y593">
        <v>0</v>
      </c>
      <c r="Z593">
        <v>6.3548551093035102E-3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</row>
    <row r="594" spans="1:39" customFormat="1" hidden="1" x14ac:dyDescent="0.3">
      <c r="A594" t="s">
        <v>1297</v>
      </c>
      <c r="B594" t="s">
        <v>30</v>
      </c>
      <c r="C594" t="s">
        <v>81</v>
      </c>
      <c r="D594" t="s">
        <v>118</v>
      </c>
      <c r="E594" t="s">
        <v>371</v>
      </c>
      <c r="F594" t="s">
        <v>1296</v>
      </c>
      <c r="G594" t="s">
        <v>1295</v>
      </c>
      <c r="H594" s="16">
        <v>0</v>
      </c>
      <c r="I594" s="11">
        <v>0</v>
      </c>
      <c r="J594" s="11">
        <v>0</v>
      </c>
      <c r="K594" s="11">
        <v>0</v>
      </c>
      <c r="L594" s="11">
        <v>0</v>
      </c>
      <c r="M594" s="11">
        <v>0</v>
      </c>
      <c r="N594" s="11">
        <v>0</v>
      </c>
      <c r="O594" s="11">
        <v>0</v>
      </c>
      <c r="P594" s="11">
        <v>0</v>
      </c>
      <c r="Q594" s="11">
        <v>0</v>
      </c>
      <c r="R594" s="11">
        <v>0</v>
      </c>
      <c r="S594" s="11">
        <v>0</v>
      </c>
      <c r="T594" s="11">
        <v>0</v>
      </c>
      <c r="U594">
        <v>0</v>
      </c>
      <c r="V594">
        <v>0</v>
      </c>
      <c r="W594">
        <v>2.6668088964744798E-3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3.4299434059338E-3</v>
      </c>
      <c r="AF594">
        <v>0</v>
      </c>
      <c r="AG594">
        <v>0</v>
      </c>
      <c r="AH594">
        <v>4.6410173109945703E-3</v>
      </c>
      <c r="AI594">
        <v>4.5968557506665397E-3</v>
      </c>
      <c r="AJ594">
        <v>0</v>
      </c>
      <c r="AK594">
        <v>0</v>
      </c>
      <c r="AL594">
        <v>0</v>
      </c>
      <c r="AM594">
        <v>0</v>
      </c>
    </row>
    <row r="595" spans="1:39" customFormat="1" hidden="1" x14ac:dyDescent="0.3">
      <c r="A595" t="s">
        <v>1294</v>
      </c>
      <c r="B595" t="s">
        <v>30</v>
      </c>
      <c r="C595" t="s">
        <v>111</v>
      </c>
      <c r="D595" t="s">
        <v>141</v>
      </c>
      <c r="E595" t="s">
        <v>140</v>
      </c>
      <c r="F595" t="s">
        <v>592</v>
      </c>
      <c r="G595" t="s">
        <v>958</v>
      </c>
      <c r="H595" s="16">
        <v>0</v>
      </c>
      <c r="I595" s="11">
        <v>0</v>
      </c>
      <c r="J595" s="11">
        <v>0</v>
      </c>
      <c r="K595" s="11">
        <v>0</v>
      </c>
      <c r="L595" s="11">
        <v>0</v>
      </c>
      <c r="M595" s="11">
        <v>0</v>
      </c>
      <c r="N595" s="11">
        <v>0</v>
      </c>
      <c r="O595" s="11">
        <v>0</v>
      </c>
      <c r="P595" s="11">
        <v>0</v>
      </c>
      <c r="Q595" s="11">
        <v>0</v>
      </c>
      <c r="R595" s="11">
        <v>0</v>
      </c>
      <c r="S595" s="11">
        <v>0</v>
      </c>
      <c r="T595" s="11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3.5844863431070302E-3</v>
      </c>
      <c r="AM595">
        <v>0</v>
      </c>
    </row>
    <row r="596" spans="1:39" customFormat="1" hidden="1" x14ac:dyDescent="0.3">
      <c r="A596" t="s">
        <v>1293</v>
      </c>
      <c r="B596" t="s">
        <v>30</v>
      </c>
      <c r="C596" t="s">
        <v>35</v>
      </c>
      <c r="D596" t="s">
        <v>35</v>
      </c>
      <c r="E596" t="s">
        <v>45</v>
      </c>
      <c r="F596" t="s">
        <v>44</v>
      </c>
      <c r="G596" t="s">
        <v>1292</v>
      </c>
      <c r="H596" s="16">
        <v>0</v>
      </c>
      <c r="I596" s="11">
        <v>0</v>
      </c>
      <c r="J596" s="11">
        <v>0</v>
      </c>
      <c r="K596" s="11">
        <v>0</v>
      </c>
      <c r="L596" s="11">
        <v>0</v>
      </c>
      <c r="M596" s="11">
        <v>0</v>
      </c>
      <c r="N596" s="11">
        <v>0</v>
      </c>
      <c r="O596" s="11">
        <v>0</v>
      </c>
      <c r="P596" s="11">
        <v>0</v>
      </c>
      <c r="Q596" s="11">
        <v>0</v>
      </c>
      <c r="R596" s="11">
        <v>0</v>
      </c>
      <c r="S596" s="11">
        <v>0</v>
      </c>
      <c r="T596" s="11">
        <v>0</v>
      </c>
      <c r="U596">
        <v>0</v>
      </c>
      <c r="V596">
        <v>0</v>
      </c>
      <c r="W596">
        <v>2.6668088964744798E-3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6.8598868118676E-3</v>
      </c>
      <c r="AF596">
        <v>0</v>
      </c>
      <c r="AG596">
        <v>2.3469220117815501E-3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</row>
    <row r="597" spans="1:39" customFormat="1" hidden="1" x14ac:dyDescent="0.3">
      <c r="A597" t="s">
        <v>1291</v>
      </c>
      <c r="B597" t="s">
        <v>30</v>
      </c>
      <c r="C597" t="s">
        <v>29</v>
      </c>
      <c r="D597" t="s">
        <v>28</v>
      </c>
      <c r="E597" t="s">
        <v>27</v>
      </c>
      <c r="F597" t="s">
        <v>64</v>
      </c>
      <c r="G597" t="s">
        <v>63</v>
      </c>
      <c r="H597" s="16">
        <v>0</v>
      </c>
      <c r="I597" s="11">
        <v>0</v>
      </c>
      <c r="J597" s="11">
        <v>0</v>
      </c>
      <c r="K597" s="11">
        <v>0</v>
      </c>
      <c r="L597" s="11">
        <v>0</v>
      </c>
      <c r="M597" s="11">
        <v>0</v>
      </c>
      <c r="N597" s="11">
        <v>0</v>
      </c>
      <c r="O597" s="11">
        <v>0</v>
      </c>
      <c r="P597" s="11">
        <v>0</v>
      </c>
      <c r="Q597" s="11">
        <v>0</v>
      </c>
      <c r="R597" s="11">
        <v>0</v>
      </c>
      <c r="S597" s="11">
        <v>0</v>
      </c>
      <c r="T597" s="11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</row>
    <row r="598" spans="1:39" customFormat="1" hidden="1" x14ac:dyDescent="0.3">
      <c r="A598" t="s">
        <v>1290</v>
      </c>
      <c r="B598" t="s">
        <v>30</v>
      </c>
      <c r="C598" t="s">
        <v>29</v>
      </c>
      <c r="D598" t="s">
        <v>28</v>
      </c>
      <c r="E598" t="s">
        <v>27</v>
      </c>
      <c r="F598" t="s">
        <v>67</v>
      </c>
      <c r="G598" t="s">
        <v>66</v>
      </c>
      <c r="H598" s="16">
        <v>0</v>
      </c>
      <c r="I598" s="11">
        <v>0</v>
      </c>
      <c r="J598" s="11">
        <v>0</v>
      </c>
      <c r="K598" s="11">
        <v>0</v>
      </c>
      <c r="L598" s="11">
        <v>0</v>
      </c>
      <c r="M598" s="11">
        <v>7.0977358222727004E-3</v>
      </c>
      <c r="N598" s="11">
        <v>0</v>
      </c>
      <c r="O598" s="11">
        <v>0</v>
      </c>
      <c r="P598" s="11">
        <v>0</v>
      </c>
      <c r="Q598" s="11">
        <v>2.7492920572952501E-3</v>
      </c>
      <c r="R598" s="11">
        <v>0</v>
      </c>
      <c r="S598" s="11">
        <v>0</v>
      </c>
      <c r="T598" s="11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1.58871377732588E-2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</row>
    <row r="599" spans="1:39" customFormat="1" hidden="1" x14ac:dyDescent="0.3">
      <c r="A599" t="s">
        <v>1289</v>
      </c>
      <c r="B599" t="s">
        <v>30</v>
      </c>
      <c r="C599" t="s">
        <v>29</v>
      </c>
      <c r="D599" t="s">
        <v>28</v>
      </c>
      <c r="E599" t="s">
        <v>27</v>
      </c>
      <c r="F599" t="s">
        <v>26</v>
      </c>
      <c r="G599" t="s">
        <v>69</v>
      </c>
      <c r="H599" s="16">
        <v>0</v>
      </c>
      <c r="I599" s="11">
        <v>0</v>
      </c>
      <c r="J599" s="11">
        <v>0</v>
      </c>
      <c r="K599" s="11">
        <v>0</v>
      </c>
      <c r="L599" s="11">
        <v>0</v>
      </c>
      <c r="M599" s="11">
        <v>0</v>
      </c>
      <c r="N599" s="11">
        <v>0</v>
      </c>
      <c r="O599" s="11">
        <v>0</v>
      </c>
      <c r="P599" s="11">
        <v>0</v>
      </c>
      <c r="Q599" s="11">
        <v>0</v>
      </c>
      <c r="R599" s="11">
        <v>0</v>
      </c>
      <c r="S599" s="11">
        <v>0</v>
      </c>
      <c r="T599" s="11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6.3548551093035102E-3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3.5915670006823998E-3</v>
      </c>
      <c r="AK599">
        <v>0</v>
      </c>
      <c r="AL599">
        <v>3.5844863431070302E-3</v>
      </c>
      <c r="AM599">
        <v>0</v>
      </c>
    </row>
    <row r="600" spans="1:39" customFormat="1" hidden="1" x14ac:dyDescent="0.3">
      <c r="A600" t="s">
        <v>1288</v>
      </c>
      <c r="B600" t="s">
        <v>30</v>
      </c>
      <c r="C600" t="s">
        <v>29</v>
      </c>
      <c r="D600" t="s">
        <v>28</v>
      </c>
      <c r="E600" t="s">
        <v>27</v>
      </c>
      <c r="F600" t="s">
        <v>26</v>
      </c>
      <c r="G600" t="s">
        <v>25</v>
      </c>
      <c r="H600" s="16">
        <v>0</v>
      </c>
      <c r="I600" s="11">
        <v>0</v>
      </c>
      <c r="J600" s="11">
        <v>0</v>
      </c>
      <c r="K600" s="11">
        <v>0</v>
      </c>
      <c r="L600" s="11">
        <v>0</v>
      </c>
      <c r="M600" s="11">
        <v>0</v>
      </c>
      <c r="N600" s="11">
        <v>0</v>
      </c>
      <c r="O600" s="11">
        <v>0</v>
      </c>
      <c r="P600" s="11">
        <v>0</v>
      </c>
      <c r="Q600" s="11">
        <v>2.7492920572952501E-3</v>
      </c>
      <c r="R600" s="11">
        <v>2.2441148089136199E-3</v>
      </c>
      <c r="S600" s="11">
        <v>0</v>
      </c>
      <c r="T600" s="11">
        <v>0</v>
      </c>
      <c r="U600">
        <v>0</v>
      </c>
      <c r="V600">
        <v>0</v>
      </c>
      <c r="W600">
        <v>0</v>
      </c>
      <c r="X600">
        <v>6.4242579982012101E-3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</row>
    <row r="601" spans="1:39" customFormat="1" hidden="1" x14ac:dyDescent="0.3">
      <c r="A601" t="s">
        <v>1287</v>
      </c>
      <c r="B601" t="s">
        <v>30</v>
      </c>
      <c r="C601" t="s">
        <v>29</v>
      </c>
      <c r="D601" t="s">
        <v>28</v>
      </c>
      <c r="E601" t="s">
        <v>27</v>
      </c>
      <c r="F601" t="s">
        <v>26</v>
      </c>
      <c r="G601" t="s">
        <v>25</v>
      </c>
      <c r="H601" s="16">
        <v>0</v>
      </c>
      <c r="I601" s="11">
        <v>0</v>
      </c>
      <c r="J601" s="11">
        <v>0</v>
      </c>
      <c r="K601" s="11">
        <v>0</v>
      </c>
      <c r="L601" s="11">
        <v>0</v>
      </c>
      <c r="M601" s="11">
        <v>0</v>
      </c>
      <c r="N601" s="11">
        <v>0</v>
      </c>
      <c r="O601" s="11">
        <v>0</v>
      </c>
      <c r="P601" s="11">
        <v>0</v>
      </c>
      <c r="Q601" s="11">
        <v>0</v>
      </c>
      <c r="R601" s="11">
        <v>0</v>
      </c>
      <c r="S601" s="11">
        <v>2.4883049666567102E-3</v>
      </c>
      <c r="T601" s="11">
        <v>0</v>
      </c>
      <c r="U601">
        <v>0</v>
      </c>
      <c r="V601">
        <v>0</v>
      </c>
      <c r="W601">
        <v>2.6668088964744798E-3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6.02700096432015E-3</v>
      </c>
      <c r="AL601">
        <v>0</v>
      </c>
      <c r="AM601">
        <v>0</v>
      </c>
    </row>
    <row r="602" spans="1:39" customFormat="1" hidden="1" x14ac:dyDescent="0.3">
      <c r="A602" t="s">
        <v>1286</v>
      </c>
      <c r="B602" t="s">
        <v>30</v>
      </c>
      <c r="C602" t="s">
        <v>35</v>
      </c>
      <c r="D602" t="s">
        <v>35</v>
      </c>
      <c r="E602" t="s">
        <v>34</v>
      </c>
      <c r="F602" t="s">
        <v>33</v>
      </c>
      <c r="G602" t="s">
        <v>1285</v>
      </c>
      <c r="H602" s="16">
        <v>0</v>
      </c>
      <c r="I602" s="11">
        <v>0</v>
      </c>
      <c r="J602" s="11">
        <v>4.3593879419329502E-3</v>
      </c>
      <c r="K602" s="11">
        <v>0</v>
      </c>
      <c r="L602" s="11">
        <v>0</v>
      </c>
      <c r="M602" s="11">
        <v>0</v>
      </c>
      <c r="N602" s="11">
        <v>9.1671632213411597E-3</v>
      </c>
      <c r="O602" s="11">
        <v>3.75023438964935E-3</v>
      </c>
      <c r="P602" s="11">
        <v>0</v>
      </c>
      <c r="Q602" s="11">
        <v>0</v>
      </c>
      <c r="R602" s="11">
        <v>0</v>
      </c>
      <c r="S602" s="11">
        <v>0</v>
      </c>
      <c r="T602" s="11">
        <v>0</v>
      </c>
      <c r="U602">
        <v>0</v>
      </c>
      <c r="V602">
        <v>3.6144142841652502E-3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7.1911405148856597E-3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</row>
    <row r="603" spans="1:39" customFormat="1" hidden="1" x14ac:dyDescent="0.3">
      <c r="A603" t="s">
        <v>1284</v>
      </c>
      <c r="B603" t="s">
        <v>30</v>
      </c>
      <c r="C603" t="s">
        <v>29</v>
      </c>
      <c r="D603" t="s">
        <v>28</v>
      </c>
      <c r="E603" t="s">
        <v>27</v>
      </c>
      <c r="F603" t="s">
        <v>26</v>
      </c>
      <c r="G603" t="s">
        <v>25</v>
      </c>
      <c r="H603" s="16">
        <v>0</v>
      </c>
      <c r="I603" s="11">
        <v>0</v>
      </c>
      <c r="J603" s="11">
        <v>0</v>
      </c>
      <c r="K603" s="11">
        <v>0</v>
      </c>
      <c r="L603" s="11">
        <v>0</v>
      </c>
      <c r="M603" s="11">
        <v>0</v>
      </c>
      <c r="N603" s="11">
        <v>4.5835816106705798E-3</v>
      </c>
      <c r="O603" s="11">
        <v>0</v>
      </c>
      <c r="P603" s="11">
        <v>0</v>
      </c>
      <c r="Q603" s="11">
        <v>2.7492920572952501E-3</v>
      </c>
      <c r="R603" s="11">
        <v>0</v>
      </c>
      <c r="S603" s="11">
        <v>0</v>
      </c>
      <c r="T603" s="11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7.1831340013647996E-3</v>
      </c>
      <c r="AK603">
        <v>0</v>
      </c>
      <c r="AL603">
        <v>0</v>
      </c>
      <c r="AM603">
        <v>0</v>
      </c>
    </row>
    <row r="604" spans="1:39" customFormat="1" hidden="1" x14ac:dyDescent="0.3">
      <c r="A604" t="s">
        <v>1283</v>
      </c>
      <c r="B604" t="s">
        <v>30</v>
      </c>
      <c r="C604" t="s">
        <v>29</v>
      </c>
      <c r="D604" t="s">
        <v>28</v>
      </c>
      <c r="E604" t="s">
        <v>27</v>
      </c>
      <c r="F604" t="s">
        <v>54</v>
      </c>
      <c r="G604" t="s">
        <v>53</v>
      </c>
      <c r="H604" s="16">
        <v>0</v>
      </c>
      <c r="I604" s="11">
        <v>0</v>
      </c>
      <c r="J604" s="11">
        <v>0</v>
      </c>
      <c r="K604" s="11">
        <v>0</v>
      </c>
      <c r="L604" s="11">
        <v>0</v>
      </c>
      <c r="M604" s="11">
        <v>0</v>
      </c>
      <c r="N604" s="11">
        <v>0</v>
      </c>
      <c r="O604" s="11">
        <v>0</v>
      </c>
      <c r="P604" s="11">
        <v>0</v>
      </c>
      <c r="Q604" s="11">
        <v>5.4985841145904898E-3</v>
      </c>
      <c r="R604" s="11">
        <v>2.2441148089136199E-3</v>
      </c>
      <c r="S604" s="11">
        <v>0</v>
      </c>
      <c r="T604" s="11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3.4299434059338E-3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</row>
    <row r="605" spans="1:39" customFormat="1" hidden="1" x14ac:dyDescent="0.3">
      <c r="A605" t="s">
        <v>1282</v>
      </c>
      <c r="B605" t="s">
        <v>30</v>
      </c>
      <c r="C605" t="s">
        <v>29</v>
      </c>
      <c r="D605" t="s">
        <v>28</v>
      </c>
      <c r="E605" t="s">
        <v>27</v>
      </c>
      <c r="F605" t="s">
        <v>54</v>
      </c>
      <c r="G605" t="s">
        <v>53</v>
      </c>
      <c r="H605" s="16">
        <v>0</v>
      </c>
      <c r="I605" s="11">
        <v>0</v>
      </c>
      <c r="J605" s="11">
        <v>0</v>
      </c>
      <c r="K605" s="11">
        <v>0</v>
      </c>
      <c r="L605" s="11">
        <v>0</v>
      </c>
      <c r="M605" s="11">
        <v>0</v>
      </c>
      <c r="N605" s="11">
        <v>0</v>
      </c>
      <c r="O605" s="11">
        <v>0</v>
      </c>
      <c r="P605" s="11">
        <v>0</v>
      </c>
      <c r="Q605" s="11">
        <v>0</v>
      </c>
      <c r="R605" s="11">
        <v>2.2441148089136199E-3</v>
      </c>
      <c r="S605" s="11">
        <v>0</v>
      </c>
      <c r="T605" s="11">
        <v>0</v>
      </c>
      <c r="U605">
        <v>0</v>
      </c>
      <c r="V605">
        <v>0</v>
      </c>
      <c r="W605">
        <v>2.6668088964744798E-3</v>
      </c>
      <c r="X605">
        <v>0</v>
      </c>
      <c r="Y605">
        <v>2.9264581077521898E-3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6.02700096432015E-3</v>
      </c>
      <c r="AL605">
        <v>0</v>
      </c>
      <c r="AM605">
        <v>0</v>
      </c>
    </row>
    <row r="606" spans="1:39" customFormat="1" hidden="1" x14ac:dyDescent="0.3">
      <c r="A606" t="s">
        <v>1281</v>
      </c>
      <c r="B606" t="s">
        <v>30</v>
      </c>
      <c r="C606" t="s">
        <v>29</v>
      </c>
      <c r="D606" t="s">
        <v>28</v>
      </c>
      <c r="E606" t="s">
        <v>27</v>
      </c>
      <c r="F606" t="s">
        <v>26</v>
      </c>
      <c r="G606" t="s">
        <v>69</v>
      </c>
      <c r="H606" s="16">
        <v>0</v>
      </c>
      <c r="I606" s="11">
        <v>0</v>
      </c>
      <c r="J606" s="11">
        <v>0</v>
      </c>
      <c r="K606" s="11">
        <v>0</v>
      </c>
      <c r="L606" s="11">
        <v>0</v>
      </c>
      <c r="M606" s="11">
        <v>0</v>
      </c>
      <c r="N606" s="11">
        <v>0</v>
      </c>
      <c r="O606" s="11">
        <v>0</v>
      </c>
      <c r="P606" s="11">
        <v>0</v>
      </c>
      <c r="Q606" s="11">
        <v>5.4985841145904898E-3</v>
      </c>
      <c r="R606" s="11">
        <v>0</v>
      </c>
      <c r="S606" s="11">
        <v>0</v>
      </c>
      <c r="T606" s="11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9.5322826639552601E-3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</row>
    <row r="607" spans="1:39" customFormat="1" hidden="1" x14ac:dyDescent="0.3">
      <c r="A607" t="s">
        <v>1280</v>
      </c>
      <c r="B607" t="s">
        <v>30</v>
      </c>
      <c r="C607" t="s">
        <v>81</v>
      </c>
      <c r="D607" t="s">
        <v>85</v>
      </c>
      <c r="E607" t="s">
        <v>287</v>
      </c>
      <c r="F607" t="s">
        <v>1279</v>
      </c>
      <c r="G607" t="s">
        <v>1278</v>
      </c>
      <c r="H607" s="16">
        <v>4.1583499667332E-3</v>
      </c>
      <c r="I607" s="11">
        <v>0</v>
      </c>
      <c r="J607" s="11">
        <v>0</v>
      </c>
      <c r="K607" s="11">
        <v>0</v>
      </c>
      <c r="L607" s="11">
        <v>0</v>
      </c>
      <c r="M607" s="11">
        <v>0</v>
      </c>
      <c r="N607" s="11">
        <v>0</v>
      </c>
      <c r="O607" s="11">
        <v>0</v>
      </c>
      <c r="P607" s="11">
        <v>3.3947788301592198E-3</v>
      </c>
      <c r="Q607" s="11">
        <v>0</v>
      </c>
      <c r="R607" s="11">
        <v>0</v>
      </c>
      <c r="S607" s="11">
        <v>0</v>
      </c>
      <c r="T607" s="11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2.2984278753332699E-3</v>
      </c>
      <c r="AJ607">
        <v>3.5915670006823998E-3</v>
      </c>
      <c r="AK607">
        <v>0</v>
      </c>
      <c r="AL607">
        <v>0</v>
      </c>
      <c r="AM607">
        <v>0</v>
      </c>
    </row>
    <row r="608" spans="1:39" customFormat="1" hidden="1" x14ac:dyDescent="0.3">
      <c r="A608" t="s">
        <v>1277</v>
      </c>
      <c r="B608" t="s">
        <v>30</v>
      </c>
      <c r="C608" t="s">
        <v>81</v>
      </c>
      <c r="D608" t="s">
        <v>351</v>
      </c>
      <c r="E608" t="s">
        <v>351</v>
      </c>
      <c r="F608" t="s">
        <v>351</v>
      </c>
      <c r="G608" t="s">
        <v>351</v>
      </c>
      <c r="H608" s="16">
        <v>0</v>
      </c>
      <c r="I608" s="11">
        <v>0</v>
      </c>
      <c r="J608" s="11">
        <v>0</v>
      </c>
      <c r="K608" s="11">
        <v>0</v>
      </c>
      <c r="L608" s="11">
        <v>0</v>
      </c>
      <c r="M608" s="11">
        <v>0</v>
      </c>
      <c r="N608" s="11">
        <v>0</v>
      </c>
      <c r="O608" s="11">
        <v>0</v>
      </c>
      <c r="P608" s="11">
        <v>3.3947788301592198E-3</v>
      </c>
      <c r="Q608" s="11">
        <v>2.7492920572952501E-3</v>
      </c>
      <c r="R608" s="11">
        <v>0</v>
      </c>
      <c r="S608" s="11">
        <v>4.9766099333134299E-3</v>
      </c>
      <c r="T608" s="11">
        <v>0</v>
      </c>
      <c r="U608">
        <v>1.5210050801569701E-2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</row>
    <row r="609" spans="1:39" customFormat="1" hidden="1" x14ac:dyDescent="0.3">
      <c r="A609" t="s">
        <v>1276</v>
      </c>
      <c r="B609" t="s">
        <v>30</v>
      </c>
      <c r="C609" t="s">
        <v>111</v>
      </c>
      <c r="D609" t="s">
        <v>141</v>
      </c>
      <c r="E609" t="s">
        <v>140</v>
      </c>
      <c r="F609" t="s">
        <v>199</v>
      </c>
      <c r="G609" t="s">
        <v>25</v>
      </c>
      <c r="H609" s="16">
        <v>0</v>
      </c>
      <c r="I609" s="11">
        <v>0</v>
      </c>
      <c r="J609" s="11">
        <v>0</v>
      </c>
      <c r="K609" s="11">
        <v>0</v>
      </c>
      <c r="L609" s="11">
        <v>0</v>
      </c>
      <c r="M609" s="11">
        <v>0</v>
      </c>
      <c r="N609" s="11">
        <v>0</v>
      </c>
      <c r="O609" s="11">
        <v>0</v>
      </c>
      <c r="P609" s="11">
        <v>0</v>
      </c>
      <c r="Q609" s="11">
        <v>0</v>
      </c>
      <c r="R609" s="11">
        <v>0</v>
      </c>
      <c r="S609" s="11">
        <v>0</v>
      </c>
      <c r="T609" s="11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</row>
    <row r="610" spans="1:39" customFormat="1" hidden="1" x14ac:dyDescent="0.3">
      <c r="A610" t="s">
        <v>1275</v>
      </c>
      <c r="B610" t="s">
        <v>30</v>
      </c>
      <c r="C610" t="s">
        <v>81</v>
      </c>
      <c r="D610" t="s">
        <v>85</v>
      </c>
      <c r="E610" t="s">
        <v>287</v>
      </c>
      <c r="F610" t="s">
        <v>1263</v>
      </c>
      <c r="G610" t="s">
        <v>1263</v>
      </c>
      <c r="H610" s="16">
        <v>0</v>
      </c>
      <c r="I610" s="11">
        <v>0</v>
      </c>
      <c r="J610" s="11">
        <v>0</v>
      </c>
      <c r="K610" s="11">
        <v>0</v>
      </c>
      <c r="L610" s="11">
        <v>0</v>
      </c>
      <c r="M610" s="11">
        <v>0</v>
      </c>
      <c r="N610" s="11">
        <v>0</v>
      </c>
      <c r="O610" s="11">
        <v>0</v>
      </c>
      <c r="P610" s="11">
        <v>0</v>
      </c>
      <c r="Q610" s="11">
        <v>0</v>
      </c>
      <c r="R610" s="11">
        <v>0</v>
      </c>
      <c r="S610" s="11">
        <v>2.4883049666567102E-3</v>
      </c>
      <c r="T610" s="11">
        <v>0</v>
      </c>
      <c r="U610">
        <v>0</v>
      </c>
      <c r="V610">
        <v>3.6144142841652502E-3</v>
      </c>
      <c r="W610">
        <v>5.3336177929489597E-3</v>
      </c>
      <c r="X610">
        <v>0</v>
      </c>
      <c r="Y610">
        <v>2.9264581077521898E-3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</row>
    <row r="611" spans="1:39" customFormat="1" hidden="1" x14ac:dyDescent="0.3">
      <c r="A611" t="s">
        <v>1273</v>
      </c>
      <c r="B611" t="s">
        <v>30</v>
      </c>
      <c r="C611" t="s">
        <v>29</v>
      </c>
      <c r="D611" t="s">
        <v>28</v>
      </c>
      <c r="E611" t="s">
        <v>345</v>
      </c>
      <c r="F611" t="s">
        <v>344</v>
      </c>
      <c r="G611" t="s">
        <v>1272</v>
      </c>
      <c r="H611" s="16">
        <v>0</v>
      </c>
      <c r="I611" s="11">
        <v>0</v>
      </c>
      <c r="J611" s="11">
        <v>0</v>
      </c>
      <c r="K611" s="11">
        <v>0</v>
      </c>
      <c r="L611" s="11">
        <v>0</v>
      </c>
      <c r="M611" s="11">
        <v>0</v>
      </c>
      <c r="N611" s="11">
        <v>0</v>
      </c>
      <c r="O611" s="11">
        <v>0</v>
      </c>
      <c r="P611" s="11">
        <v>0</v>
      </c>
      <c r="Q611" s="11">
        <v>0</v>
      </c>
      <c r="R611" s="11">
        <v>4.4882296178272501E-3</v>
      </c>
      <c r="S611" s="11">
        <v>2.4883049666567102E-3</v>
      </c>
      <c r="T611" s="11">
        <v>0</v>
      </c>
      <c r="U611">
        <v>0</v>
      </c>
      <c r="V611">
        <v>0</v>
      </c>
      <c r="W611">
        <v>2.6668088964744798E-3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5.03372596395852E-3</v>
      </c>
      <c r="AG611">
        <v>7.0407660353446503E-3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</row>
    <row r="612" spans="1:39" customFormat="1" hidden="1" x14ac:dyDescent="0.3">
      <c r="A612" t="s">
        <v>1271</v>
      </c>
      <c r="B612" t="s">
        <v>30</v>
      </c>
      <c r="C612" t="s">
        <v>81</v>
      </c>
      <c r="D612" t="s">
        <v>85</v>
      </c>
      <c r="E612" t="s">
        <v>287</v>
      </c>
      <c r="F612" t="s">
        <v>1250</v>
      </c>
      <c r="G612" t="s">
        <v>1250</v>
      </c>
      <c r="H612" s="16">
        <v>0</v>
      </c>
      <c r="I612" s="11">
        <v>0</v>
      </c>
      <c r="J612" s="11">
        <v>0</v>
      </c>
      <c r="K612" s="11">
        <v>0</v>
      </c>
      <c r="L612" s="11">
        <v>0</v>
      </c>
      <c r="M612" s="11">
        <v>0</v>
      </c>
      <c r="N612" s="11">
        <v>0</v>
      </c>
      <c r="O612" s="11">
        <v>0</v>
      </c>
      <c r="P612" s="11">
        <v>0</v>
      </c>
      <c r="Q612" s="11">
        <v>0</v>
      </c>
      <c r="R612" s="11">
        <v>0</v>
      </c>
      <c r="S612" s="11">
        <v>0</v>
      </c>
      <c r="T612" s="11">
        <v>0</v>
      </c>
      <c r="U612">
        <v>3.04201016031394E-3</v>
      </c>
      <c r="V612">
        <v>3.6144142841652502E-3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3.5915670006823998E-3</v>
      </c>
      <c r="AK612">
        <v>6.02700096432015E-3</v>
      </c>
      <c r="AL612">
        <v>0</v>
      </c>
      <c r="AM612">
        <v>0</v>
      </c>
    </row>
    <row r="613" spans="1:39" customFormat="1" hidden="1" x14ac:dyDescent="0.3">
      <c r="A613" t="s">
        <v>1269</v>
      </c>
      <c r="B613" t="s">
        <v>30</v>
      </c>
      <c r="C613" t="s">
        <v>81</v>
      </c>
      <c r="D613" t="s">
        <v>85</v>
      </c>
      <c r="E613" t="s">
        <v>287</v>
      </c>
      <c r="F613" t="s">
        <v>286</v>
      </c>
      <c r="G613" t="s">
        <v>286</v>
      </c>
      <c r="H613" s="16">
        <v>0</v>
      </c>
      <c r="I613" s="11">
        <v>0</v>
      </c>
      <c r="J613" s="11">
        <v>0</v>
      </c>
      <c r="K613" s="11">
        <v>0</v>
      </c>
      <c r="L613" s="11">
        <v>0</v>
      </c>
      <c r="M613" s="11">
        <v>0</v>
      </c>
      <c r="N613" s="11">
        <v>0</v>
      </c>
      <c r="O613" s="11">
        <v>0</v>
      </c>
      <c r="P613" s="11">
        <v>0</v>
      </c>
      <c r="Q613" s="11">
        <v>0</v>
      </c>
      <c r="R613" s="11">
        <v>0</v>
      </c>
      <c r="S613" s="11">
        <v>0</v>
      </c>
      <c r="T613" s="11">
        <v>3.3464962184592698E-3</v>
      </c>
      <c r="U613">
        <v>0</v>
      </c>
      <c r="V613">
        <v>0</v>
      </c>
      <c r="W613">
        <v>2.6668088964744798E-3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</row>
    <row r="614" spans="1:39" customFormat="1" hidden="1" x14ac:dyDescent="0.3">
      <c r="A614" t="s">
        <v>1268</v>
      </c>
      <c r="B614" t="s">
        <v>30</v>
      </c>
      <c r="C614" t="s">
        <v>81</v>
      </c>
      <c r="D614" t="s">
        <v>85</v>
      </c>
      <c r="E614" t="s">
        <v>287</v>
      </c>
      <c r="F614" t="s">
        <v>1250</v>
      </c>
      <c r="G614" t="s">
        <v>1250</v>
      </c>
      <c r="H614" s="16">
        <v>0</v>
      </c>
      <c r="I614" s="11">
        <v>0</v>
      </c>
      <c r="J614" s="11">
        <v>0</v>
      </c>
      <c r="K614" s="11">
        <v>0</v>
      </c>
      <c r="L614" s="11">
        <v>0</v>
      </c>
      <c r="M614" s="11">
        <v>3.5488679111363502E-3</v>
      </c>
      <c r="N614" s="11">
        <v>0</v>
      </c>
      <c r="O614" s="11">
        <v>7.5004687792987104E-3</v>
      </c>
      <c r="P614" s="11">
        <v>0</v>
      </c>
      <c r="Q614" s="11">
        <v>2.7492920572952501E-3</v>
      </c>
      <c r="R614" s="11">
        <v>0</v>
      </c>
      <c r="S614" s="11">
        <v>0</v>
      </c>
      <c r="T614" s="11">
        <v>0</v>
      </c>
      <c r="U614">
        <v>3.04201016031394E-3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3.5844863431070302E-3</v>
      </c>
      <c r="AM614">
        <v>0</v>
      </c>
    </row>
    <row r="615" spans="1:39" customFormat="1" hidden="1" x14ac:dyDescent="0.3">
      <c r="A615" t="s">
        <v>1267</v>
      </c>
      <c r="B615" t="s">
        <v>30</v>
      </c>
      <c r="C615" t="s">
        <v>81</v>
      </c>
      <c r="D615" t="s">
        <v>85</v>
      </c>
      <c r="E615" t="s">
        <v>287</v>
      </c>
      <c r="F615" t="s">
        <v>470</v>
      </c>
      <c r="G615" t="s">
        <v>469</v>
      </c>
      <c r="H615" s="16">
        <v>0</v>
      </c>
      <c r="I615" s="11">
        <v>0</v>
      </c>
      <c r="J615" s="11">
        <v>0</v>
      </c>
      <c r="K615" s="11">
        <v>0</v>
      </c>
      <c r="L615" s="11">
        <v>0</v>
      </c>
      <c r="M615" s="11">
        <v>0</v>
      </c>
      <c r="N615" s="11">
        <v>0</v>
      </c>
      <c r="O615" s="11">
        <v>0</v>
      </c>
      <c r="P615" s="11">
        <v>0</v>
      </c>
      <c r="Q615" s="11">
        <v>0</v>
      </c>
      <c r="R615" s="11">
        <v>0</v>
      </c>
      <c r="S615" s="11">
        <v>0</v>
      </c>
      <c r="T615" s="11">
        <v>0</v>
      </c>
      <c r="U615">
        <v>3.04201016031394E-3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3.5844863431070302E-3</v>
      </c>
      <c r="AM615">
        <v>0</v>
      </c>
    </row>
    <row r="616" spans="1:39" customFormat="1" hidden="1" x14ac:dyDescent="0.3">
      <c r="A616" t="s">
        <v>1266</v>
      </c>
      <c r="B616" t="s">
        <v>30</v>
      </c>
      <c r="C616" t="s">
        <v>81</v>
      </c>
      <c r="D616" t="s">
        <v>85</v>
      </c>
      <c r="E616" t="s">
        <v>287</v>
      </c>
      <c r="F616" t="s">
        <v>1254</v>
      </c>
      <c r="G616" t="s">
        <v>1265</v>
      </c>
      <c r="H616" s="16">
        <v>0</v>
      </c>
      <c r="I616" s="11">
        <v>0</v>
      </c>
      <c r="J616" s="11">
        <v>0</v>
      </c>
      <c r="K616" s="11">
        <v>0</v>
      </c>
      <c r="L616" s="11">
        <v>0</v>
      </c>
      <c r="M616" s="11">
        <v>0</v>
      </c>
      <c r="N616" s="11">
        <v>0</v>
      </c>
      <c r="O616" s="11">
        <v>0</v>
      </c>
      <c r="P616" s="11">
        <v>0</v>
      </c>
      <c r="Q616" s="11">
        <v>0</v>
      </c>
      <c r="R616" s="11">
        <v>0</v>
      </c>
      <c r="S616" s="11">
        <v>4.9766099333134299E-3</v>
      </c>
      <c r="T616" s="11">
        <v>3.3464962184592698E-3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5.03372596395852E-3</v>
      </c>
      <c r="AG616">
        <v>0</v>
      </c>
      <c r="AH616">
        <v>4.6410173109945703E-3</v>
      </c>
      <c r="AI616">
        <v>0</v>
      </c>
      <c r="AJ616">
        <v>3.5915670006823998E-3</v>
      </c>
      <c r="AK616">
        <v>0</v>
      </c>
      <c r="AL616">
        <v>0</v>
      </c>
      <c r="AM616">
        <v>0</v>
      </c>
    </row>
    <row r="617" spans="1:39" customFormat="1" hidden="1" x14ac:dyDescent="0.3">
      <c r="A617" t="s">
        <v>1259</v>
      </c>
      <c r="B617" t="s">
        <v>30</v>
      </c>
      <c r="C617" t="s">
        <v>81</v>
      </c>
      <c r="D617" t="s">
        <v>118</v>
      </c>
      <c r="E617" t="s">
        <v>371</v>
      </c>
      <c r="F617" t="s">
        <v>424</v>
      </c>
      <c r="G617" t="s">
        <v>444</v>
      </c>
      <c r="H617" s="16">
        <v>0</v>
      </c>
      <c r="I617" s="11">
        <v>3.6565745209887401E-3</v>
      </c>
      <c r="J617" s="11">
        <v>0</v>
      </c>
      <c r="K617" s="11">
        <v>0</v>
      </c>
      <c r="L617" s="11">
        <v>0</v>
      </c>
      <c r="M617" s="11">
        <v>0</v>
      </c>
      <c r="N617" s="11">
        <v>0</v>
      </c>
      <c r="O617" s="11">
        <v>0</v>
      </c>
      <c r="P617" s="11">
        <v>0</v>
      </c>
      <c r="Q617" s="11">
        <v>0</v>
      </c>
      <c r="R617" s="11">
        <v>0</v>
      </c>
      <c r="S617" s="11">
        <v>0</v>
      </c>
      <c r="T617" s="11">
        <v>0</v>
      </c>
      <c r="U617">
        <v>0</v>
      </c>
      <c r="V617">
        <v>0</v>
      </c>
      <c r="W617">
        <v>8.0004266894234399E-3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4.5968557506665397E-3</v>
      </c>
      <c r="AJ617">
        <v>0</v>
      </c>
      <c r="AK617">
        <v>0</v>
      </c>
      <c r="AL617">
        <v>0</v>
      </c>
      <c r="AM617">
        <v>0</v>
      </c>
    </row>
    <row r="618" spans="1:39" customFormat="1" hidden="1" x14ac:dyDescent="0.3">
      <c r="A618" t="s">
        <v>1258</v>
      </c>
      <c r="B618" t="s">
        <v>30</v>
      </c>
      <c r="C618" t="s">
        <v>81</v>
      </c>
      <c r="D618" t="s">
        <v>118</v>
      </c>
      <c r="E618" t="s">
        <v>371</v>
      </c>
      <c r="F618" t="s">
        <v>1207</v>
      </c>
      <c r="G618" t="s">
        <v>1206</v>
      </c>
      <c r="H618" s="16">
        <v>0</v>
      </c>
      <c r="I618" s="11">
        <v>0</v>
      </c>
      <c r="J618" s="11">
        <v>0</v>
      </c>
      <c r="K618" s="11">
        <v>0</v>
      </c>
      <c r="L618" s="11">
        <v>1.3207422571485199E-2</v>
      </c>
      <c r="M618" s="11">
        <v>0</v>
      </c>
      <c r="N618" s="11">
        <v>0</v>
      </c>
      <c r="O618" s="11">
        <v>0</v>
      </c>
      <c r="P618" s="11">
        <v>0</v>
      </c>
      <c r="Q618" s="11">
        <v>0</v>
      </c>
      <c r="R618" s="11">
        <v>0</v>
      </c>
      <c r="S618" s="11">
        <v>0</v>
      </c>
      <c r="T618" s="11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3.4299434059338E-3</v>
      </c>
      <c r="AF618">
        <v>0</v>
      </c>
      <c r="AG618">
        <v>0</v>
      </c>
      <c r="AH618">
        <v>0</v>
      </c>
      <c r="AI618">
        <v>2.2984278753332699E-3</v>
      </c>
      <c r="AJ618">
        <v>0</v>
      </c>
      <c r="AK618">
        <v>0</v>
      </c>
      <c r="AL618">
        <v>0</v>
      </c>
      <c r="AM618">
        <v>0</v>
      </c>
    </row>
    <row r="619" spans="1:39" customFormat="1" hidden="1" x14ac:dyDescent="0.3">
      <c r="A619" t="s">
        <v>1257</v>
      </c>
      <c r="B619" t="s">
        <v>30</v>
      </c>
      <c r="C619" t="s">
        <v>35</v>
      </c>
      <c r="D619" t="s">
        <v>35</v>
      </c>
      <c r="E619" t="s">
        <v>34</v>
      </c>
      <c r="F619" t="s">
        <v>33</v>
      </c>
      <c r="G619" t="s">
        <v>1256</v>
      </c>
      <c r="H619" s="16">
        <v>0</v>
      </c>
      <c r="I619" s="11">
        <v>0</v>
      </c>
      <c r="J619" s="11">
        <v>0</v>
      </c>
      <c r="K619" s="11">
        <v>0</v>
      </c>
      <c r="L619" s="11">
        <v>0</v>
      </c>
      <c r="M619" s="11">
        <v>0</v>
      </c>
      <c r="N619" s="11">
        <v>0</v>
      </c>
      <c r="O619" s="11">
        <v>0</v>
      </c>
      <c r="P619" s="11">
        <v>0</v>
      </c>
      <c r="Q619" s="11">
        <v>0</v>
      </c>
      <c r="R619" s="11">
        <v>0</v>
      </c>
      <c r="S619" s="11">
        <v>2.4883049666567102E-3</v>
      </c>
      <c r="T619" s="11">
        <v>0</v>
      </c>
      <c r="U619">
        <v>0</v>
      </c>
      <c r="V619">
        <v>0</v>
      </c>
      <c r="W619">
        <v>0</v>
      </c>
      <c r="X619">
        <v>0</v>
      </c>
      <c r="Y619">
        <v>2.9264581077521898E-3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</row>
    <row r="620" spans="1:39" customFormat="1" hidden="1" x14ac:dyDescent="0.3">
      <c r="A620" t="s">
        <v>1255</v>
      </c>
      <c r="B620" t="s">
        <v>30</v>
      </c>
      <c r="C620" t="s">
        <v>81</v>
      </c>
      <c r="D620" t="s">
        <v>85</v>
      </c>
      <c r="E620" t="s">
        <v>287</v>
      </c>
      <c r="F620" t="s">
        <v>1254</v>
      </c>
      <c r="G620" t="s">
        <v>1253</v>
      </c>
      <c r="H620" s="16">
        <v>0</v>
      </c>
      <c r="I620" s="11">
        <v>0</v>
      </c>
      <c r="J620" s="11">
        <v>0</v>
      </c>
      <c r="K620" s="11">
        <v>0</v>
      </c>
      <c r="L620" s="11">
        <v>0</v>
      </c>
      <c r="M620" s="11">
        <v>3.5488679111363502E-3</v>
      </c>
      <c r="N620" s="11">
        <v>0</v>
      </c>
      <c r="O620" s="11">
        <v>0</v>
      </c>
      <c r="P620" s="11">
        <v>6.78955766031843E-3</v>
      </c>
      <c r="Q620" s="11">
        <v>2.7492920572952501E-3</v>
      </c>
      <c r="R620" s="11">
        <v>0</v>
      </c>
      <c r="S620" s="11">
        <v>0</v>
      </c>
      <c r="T620" s="11">
        <v>0</v>
      </c>
      <c r="U620">
        <v>0</v>
      </c>
      <c r="V620">
        <v>3.6144142841652502E-3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3.14564328405159E-3</v>
      </c>
      <c r="AE620">
        <v>0</v>
      </c>
      <c r="AF620">
        <v>5.03372596395852E-3</v>
      </c>
      <c r="AG620">
        <v>0</v>
      </c>
      <c r="AH620">
        <v>0</v>
      </c>
      <c r="AI620">
        <v>4.5968557506665397E-3</v>
      </c>
      <c r="AJ620">
        <v>0</v>
      </c>
      <c r="AK620">
        <v>0</v>
      </c>
      <c r="AL620">
        <v>0</v>
      </c>
      <c r="AM620">
        <v>0</v>
      </c>
    </row>
    <row r="621" spans="1:39" customFormat="1" hidden="1" x14ac:dyDescent="0.3">
      <c r="A621" t="s">
        <v>1252</v>
      </c>
      <c r="B621" t="s">
        <v>30</v>
      </c>
      <c r="C621" t="s">
        <v>41</v>
      </c>
      <c r="D621" t="s">
        <v>41</v>
      </c>
      <c r="E621" t="s">
        <v>41</v>
      </c>
      <c r="F621" t="s">
        <v>41</v>
      </c>
      <c r="G621" t="s">
        <v>41</v>
      </c>
      <c r="H621" s="16">
        <v>0</v>
      </c>
      <c r="I621" s="11">
        <v>0</v>
      </c>
      <c r="J621" s="11">
        <v>0</v>
      </c>
      <c r="K621" s="11">
        <v>0</v>
      </c>
      <c r="L621" s="11">
        <v>0</v>
      </c>
      <c r="M621" s="11">
        <v>0</v>
      </c>
      <c r="N621" s="11">
        <v>0</v>
      </c>
      <c r="O621" s="11">
        <v>0</v>
      </c>
      <c r="P621" s="11">
        <v>0</v>
      </c>
      <c r="Q621" s="11">
        <v>0</v>
      </c>
      <c r="R621" s="11">
        <v>0</v>
      </c>
      <c r="S621" s="11">
        <v>0</v>
      </c>
      <c r="T621" s="1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</row>
    <row r="622" spans="1:39" customFormat="1" hidden="1" x14ac:dyDescent="0.3">
      <c r="A622" t="s">
        <v>1251</v>
      </c>
      <c r="B622" t="s">
        <v>30</v>
      </c>
      <c r="C622" t="s">
        <v>81</v>
      </c>
      <c r="D622" t="s">
        <v>85</v>
      </c>
      <c r="E622" t="s">
        <v>287</v>
      </c>
      <c r="F622" t="s">
        <v>1250</v>
      </c>
      <c r="G622" t="s">
        <v>1250</v>
      </c>
      <c r="H622" s="16">
        <v>0</v>
      </c>
      <c r="I622" s="11">
        <v>3.6565745209887401E-3</v>
      </c>
      <c r="J622" s="11">
        <v>0</v>
      </c>
      <c r="K622" s="11">
        <v>0</v>
      </c>
      <c r="L622" s="11">
        <v>0</v>
      </c>
      <c r="M622" s="11">
        <v>0</v>
      </c>
      <c r="N622" s="11">
        <v>0</v>
      </c>
      <c r="O622" s="11">
        <v>3.75023438964935E-3</v>
      </c>
      <c r="P622" s="11">
        <v>3.3947788301592198E-3</v>
      </c>
      <c r="Q622" s="11">
        <v>0</v>
      </c>
      <c r="R622" s="11">
        <v>0</v>
      </c>
      <c r="S622" s="11">
        <v>0</v>
      </c>
      <c r="T622" s="11">
        <v>0</v>
      </c>
      <c r="U622">
        <v>3.04201016031394E-3</v>
      </c>
      <c r="V622">
        <v>0</v>
      </c>
      <c r="W622">
        <v>2.6668088964744798E-3</v>
      </c>
      <c r="X622">
        <v>0</v>
      </c>
      <c r="Y622">
        <v>2.9264581077521898E-3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</row>
    <row r="623" spans="1:39" customFormat="1" hidden="1" x14ac:dyDescent="0.3">
      <c r="A623" t="s">
        <v>1249</v>
      </c>
      <c r="B623" t="s">
        <v>30</v>
      </c>
      <c r="C623" t="s">
        <v>251</v>
      </c>
      <c r="D623" t="s">
        <v>250</v>
      </c>
      <c r="E623" t="s">
        <v>249</v>
      </c>
      <c r="F623" t="s">
        <v>255</v>
      </c>
      <c r="G623" t="s">
        <v>254</v>
      </c>
      <c r="H623" s="16">
        <v>0</v>
      </c>
      <c r="I623" s="11">
        <v>0</v>
      </c>
      <c r="J623" s="11">
        <v>0</v>
      </c>
      <c r="K623" s="11">
        <v>0</v>
      </c>
      <c r="L623" s="11">
        <v>0</v>
      </c>
      <c r="M623" s="11">
        <v>7.0977358222727004E-3</v>
      </c>
      <c r="N623" s="11">
        <v>0</v>
      </c>
      <c r="O623" s="11">
        <v>0</v>
      </c>
      <c r="P623" s="11">
        <v>3.3947788301592198E-3</v>
      </c>
      <c r="Q623" s="11">
        <v>0</v>
      </c>
      <c r="R623" s="11">
        <v>0</v>
      </c>
      <c r="S623" s="11">
        <v>0</v>
      </c>
      <c r="T623" s="11">
        <v>3.3464962184592698E-3</v>
      </c>
      <c r="U623">
        <v>0</v>
      </c>
      <c r="V623">
        <v>0</v>
      </c>
      <c r="W623">
        <v>2.6668088964744798E-3</v>
      </c>
      <c r="X623">
        <v>0</v>
      </c>
      <c r="Y623">
        <v>0</v>
      </c>
      <c r="Z623">
        <v>3.1774275546517499E-3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2.2984278753332699E-3</v>
      </c>
      <c r="AJ623">
        <v>0</v>
      </c>
      <c r="AK623">
        <v>0</v>
      </c>
      <c r="AL623">
        <v>0</v>
      </c>
      <c r="AM623">
        <v>0</v>
      </c>
    </row>
    <row r="624" spans="1:39" customFormat="1" hidden="1" x14ac:dyDescent="0.3">
      <c r="A624" t="s">
        <v>1248</v>
      </c>
      <c r="B624" t="s">
        <v>30</v>
      </c>
      <c r="C624" t="s">
        <v>81</v>
      </c>
      <c r="D624" t="s">
        <v>85</v>
      </c>
      <c r="E624" t="s">
        <v>287</v>
      </c>
      <c r="F624" t="s">
        <v>1126</v>
      </c>
      <c r="G624" t="s">
        <v>1126</v>
      </c>
      <c r="H624" s="16">
        <v>0</v>
      </c>
      <c r="I624" s="11">
        <v>0</v>
      </c>
      <c r="J624" s="11">
        <v>0</v>
      </c>
      <c r="K624" s="11">
        <v>5.6589893045102101E-3</v>
      </c>
      <c r="L624" s="11">
        <v>0</v>
      </c>
      <c r="M624" s="11">
        <v>0</v>
      </c>
      <c r="N624" s="11">
        <v>0</v>
      </c>
      <c r="O624" s="11">
        <v>0</v>
      </c>
      <c r="P624" s="11">
        <v>6.78955766031843E-3</v>
      </c>
      <c r="Q624" s="11">
        <v>0</v>
      </c>
      <c r="R624" s="11">
        <v>0</v>
      </c>
      <c r="S624" s="11">
        <v>0</v>
      </c>
      <c r="T624" s="11">
        <v>0</v>
      </c>
      <c r="U624">
        <v>0</v>
      </c>
      <c r="V624">
        <v>3.6144142841652502E-3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6.02700096432015E-3</v>
      </c>
      <c r="AL624">
        <v>0</v>
      </c>
      <c r="AM624">
        <v>0</v>
      </c>
    </row>
    <row r="625" spans="1:39" customFormat="1" hidden="1" x14ac:dyDescent="0.3">
      <c r="A625" t="s">
        <v>1247</v>
      </c>
      <c r="B625" t="s">
        <v>30</v>
      </c>
      <c r="C625" t="s">
        <v>81</v>
      </c>
      <c r="D625" t="s">
        <v>80</v>
      </c>
      <c r="E625" t="s">
        <v>618</v>
      </c>
      <c r="F625" t="s">
        <v>617</v>
      </c>
      <c r="G625" t="s">
        <v>616</v>
      </c>
      <c r="H625" s="16">
        <v>8.3166999334664E-3</v>
      </c>
      <c r="I625" s="11">
        <v>3.6565745209887401E-3</v>
      </c>
      <c r="J625" s="11">
        <v>0</v>
      </c>
      <c r="K625" s="11">
        <v>0</v>
      </c>
      <c r="L625" s="11">
        <v>0</v>
      </c>
      <c r="M625" s="11">
        <v>0</v>
      </c>
      <c r="N625" s="11">
        <v>4.5835816106705798E-3</v>
      </c>
      <c r="O625" s="11">
        <v>0</v>
      </c>
      <c r="P625" s="11">
        <v>0</v>
      </c>
      <c r="Q625" s="11">
        <v>0</v>
      </c>
      <c r="R625" s="11">
        <v>0</v>
      </c>
      <c r="S625" s="11">
        <v>0</v>
      </c>
      <c r="T625" s="11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4.5118209709438702E-3</v>
      </c>
      <c r="AC625">
        <v>7.1911405148856597E-3</v>
      </c>
      <c r="AD625">
        <v>6.2912865681031801E-3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</row>
    <row r="626" spans="1:39" customFormat="1" hidden="1" x14ac:dyDescent="0.3">
      <c r="A626" t="s">
        <v>1246</v>
      </c>
      <c r="B626" t="s">
        <v>30</v>
      </c>
      <c r="C626" t="s">
        <v>81</v>
      </c>
      <c r="D626" t="s">
        <v>80</v>
      </c>
      <c r="E626" t="s">
        <v>618</v>
      </c>
      <c r="F626" t="s">
        <v>626</v>
      </c>
      <c r="G626" t="s">
        <v>626</v>
      </c>
      <c r="H626" s="16">
        <v>0</v>
      </c>
      <c r="I626" s="11">
        <v>0</v>
      </c>
      <c r="J626" s="11">
        <v>0</v>
      </c>
      <c r="K626" s="11">
        <v>0</v>
      </c>
      <c r="L626" s="11">
        <v>0</v>
      </c>
      <c r="M626" s="11">
        <v>0</v>
      </c>
      <c r="N626" s="11">
        <v>0</v>
      </c>
      <c r="O626" s="11">
        <v>0</v>
      </c>
      <c r="P626" s="11">
        <v>0</v>
      </c>
      <c r="Q626" s="11">
        <v>0</v>
      </c>
      <c r="R626" s="11">
        <v>0</v>
      </c>
      <c r="S626" s="11">
        <v>0</v>
      </c>
      <c r="T626" s="11">
        <v>3.3464962184592698E-3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1.8047283883775501E-2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</row>
    <row r="627" spans="1:39" customFormat="1" hidden="1" x14ac:dyDescent="0.3">
      <c r="A627" t="s">
        <v>1245</v>
      </c>
      <c r="B627" t="s">
        <v>30</v>
      </c>
      <c r="C627" t="s">
        <v>81</v>
      </c>
      <c r="D627" t="s">
        <v>80</v>
      </c>
      <c r="E627" t="s">
        <v>618</v>
      </c>
      <c r="F627" t="s">
        <v>617</v>
      </c>
      <c r="G627" t="s">
        <v>616</v>
      </c>
      <c r="H627" s="16">
        <v>4.1583499667332E-3</v>
      </c>
      <c r="I627" s="11">
        <v>0</v>
      </c>
      <c r="J627" s="11">
        <v>0</v>
      </c>
      <c r="K627" s="11">
        <v>0</v>
      </c>
      <c r="L627" s="11">
        <v>0</v>
      </c>
      <c r="M627" s="11">
        <v>0</v>
      </c>
      <c r="N627" s="11">
        <v>0</v>
      </c>
      <c r="O627" s="11">
        <v>0</v>
      </c>
      <c r="P627" s="11">
        <v>0</v>
      </c>
      <c r="Q627" s="11">
        <v>0</v>
      </c>
      <c r="R627" s="11">
        <v>0</v>
      </c>
      <c r="S627" s="11">
        <v>0</v>
      </c>
      <c r="T627" s="11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1.8047283883775501E-2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</row>
    <row r="628" spans="1:39" customFormat="1" hidden="1" x14ac:dyDescent="0.3">
      <c r="A628" t="s">
        <v>1244</v>
      </c>
      <c r="B628" t="s">
        <v>30</v>
      </c>
      <c r="C628" t="s">
        <v>111</v>
      </c>
      <c r="D628" t="s">
        <v>297</v>
      </c>
      <c r="E628" t="s">
        <v>296</v>
      </c>
      <c r="F628" t="s">
        <v>295</v>
      </c>
      <c r="G628" t="s">
        <v>294</v>
      </c>
      <c r="H628" s="16">
        <v>0</v>
      </c>
      <c r="I628" s="11">
        <v>0</v>
      </c>
      <c r="J628" s="11">
        <v>0</v>
      </c>
      <c r="K628" s="11">
        <v>0</v>
      </c>
      <c r="L628" s="11">
        <v>0</v>
      </c>
      <c r="M628" s="11">
        <v>0</v>
      </c>
      <c r="N628" s="11">
        <v>0</v>
      </c>
      <c r="O628" s="11">
        <v>0</v>
      </c>
      <c r="P628" s="11">
        <v>0</v>
      </c>
      <c r="Q628" s="11">
        <v>0</v>
      </c>
      <c r="R628" s="11">
        <v>0</v>
      </c>
      <c r="S628" s="11">
        <v>0</v>
      </c>
      <c r="T628" s="11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</row>
    <row r="629" spans="1:39" customFormat="1" hidden="1" x14ac:dyDescent="0.3">
      <c r="A629" t="s">
        <v>1243</v>
      </c>
      <c r="B629" t="s">
        <v>30</v>
      </c>
      <c r="C629" t="s">
        <v>81</v>
      </c>
      <c r="D629" t="s">
        <v>80</v>
      </c>
      <c r="E629" t="s">
        <v>122</v>
      </c>
      <c r="F629" t="s">
        <v>121</v>
      </c>
      <c r="G629" t="s">
        <v>1242</v>
      </c>
      <c r="H629" s="16">
        <v>0</v>
      </c>
      <c r="I629" s="11">
        <v>0</v>
      </c>
      <c r="J629" s="11">
        <v>0</v>
      </c>
      <c r="K629" s="11">
        <v>0</v>
      </c>
      <c r="L629" s="11">
        <v>0</v>
      </c>
      <c r="M629" s="11">
        <v>0</v>
      </c>
      <c r="N629" s="11">
        <v>0</v>
      </c>
      <c r="O629" s="11">
        <v>0</v>
      </c>
      <c r="P629" s="11">
        <v>0</v>
      </c>
      <c r="Q629" s="11">
        <v>0</v>
      </c>
      <c r="R629" s="11">
        <v>0</v>
      </c>
      <c r="S629" s="11">
        <v>0</v>
      </c>
      <c r="T629" s="11">
        <v>0</v>
      </c>
      <c r="U629">
        <v>0</v>
      </c>
      <c r="V629">
        <v>3.6144142841652502E-3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4.5118209709438702E-3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</row>
    <row r="630" spans="1:39" customFormat="1" hidden="1" x14ac:dyDescent="0.3">
      <c r="A630" t="s">
        <v>1241</v>
      </c>
      <c r="B630" t="s">
        <v>30</v>
      </c>
      <c r="C630" t="s">
        <v>81</v>
      </c>
      <c r="D630" t="s">
        <v>118</v>
      </c>
      <c r="E630" t="s">
        <v>322</v>
      </c>
      <c r="F630" t="s">
        <v>321</v>
      </c>
      <c r="G630" t="s">
        <v>320</v>
      </c>
      <c r="H630" s="16">
        <v>0</v>
      </c>
      <c r="I630" s="11">
        <v>3.6565745209887401E-3</v>
      </c>
      <c r="J630" s="11">
        <v>0</v>
      </c>
      <c r="K630" s="11">
        <v>0</v>
      </c>
      <c r="L630" s="11">
        <v>0</v>
      </c>
      <c r="M630" s="11">
        <v>0</v>
      </c>
      <c r="N630" s="11">
        <v>0</v>
      </c>
      <c r="O630" s="11">
        <v>3.75023438964935E-3</v>
      </c>
      <c r="P630" s="11">
        <v>0</v>
      </c>
      <c r="Q630" s="11">
        <v>0</v>
      </c>
      <c r="R630" s="11">
        <v>0</v>
      </c>
      <c r="S630" s="11">
        <v>0</v>
      </c>
      <c r="T630" s="11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5.03372596395852E-3</v>
      </c>
      <c r="AG630">
        <v>4.6938440235631002E-3</v>
      </c>
      <c r="AH630">
        <v>4.6410173109945703E-3</v>
      </c>
      <c r="AI630">
        <v>0</v>
      </c>
      <c r="AJ630">
        <v>0</v>
      </c>
      <c r="AK630">
        <v>0</v>
      </c>
      <c r="AL630">
        <v>0</v>
      </c>
      <c r="AM630">
        <v>0</v>
      </c>
    </row>
    <row r="631" spans="1:39" customFormat="1" hidden="1" x14ac:dyDescent="0.3">
      <c r="A631" t="s">
        <v>1240</v>
      </c>
      <c r="B631" t="s">
        <v>30</v>
      </c>
      <c r="C631" t="s">
        <v>81</v>
      </c>
      <c r="D631" t="s">
        <v>80</v>
      </c>
      <c r="E631" t="s">
        <v>618</v>
      </c>
      <c r="F631" t="s">
        <v>629</v>
      </c>
      <c r="G631" t="s">
        <v>628</v>
      </c>
      <c r="H631" s="16">
        <v>0</v>
      </c>
      <c r="I631" s="11">
        <v>0</v>
      </c>
      <c r="J631" s="11">
        <v>0</v>
      </c>
      <c r="K631" s="11">
        <v>0</v>
      </c>
      <c r="L631" s="11">
        <v>0</v>
      </c>
      <c r="M631" s="11">
        <v>0</v>
      </c>
      <c r="N631" s="11">
        <v>4.5835816106705798E-3</v>
      </c>
      <c r="O631" s="11">
        <v>7.5004687792987104E-3</v>
      </c>
      <c r="P631" s="11">
        <v>0</v>
      </c>
      <c r="Q631" s="11">
        <v>2.7492920572952501E-3</v>
      </c>
      <c r="R631" s="11">
        <v>0</v>
      </c>
      <c r="S631" s="11">
        <v>0</v>
      </c>
      <c r="T631" s="11">
        <v>0</v>
      </c>
      <c r="U631">
        <v>0</v>
      </c>
      <c r="V631">
        <v>3.6144142841652502E-3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</row>
    <row r="632" spans="1:39" customFormat="1" hidden="1" x14ac:dyDescent="0.3">
      <c r="A632" t="s">
        <v>1239</v>
      </c>
      <c r="B632" t="s">
        <v>30</v>
      </c>
      <c r="C632" t="s">
        <v>81</v>
      </c>
      <c r="D632" t="s">
        <v>80</v>
      </c>
      <c r="E632" t="s">
        <v>618</v>
      </c>
      <c r="F632" t="s">
        <v>629</v>
      </c>
      <c r="G632" t="s">
        <v>628</v>
      </c>
      <c r="H632" s="16">
        <v>0</v>
      </c>
      <c r="I632" s="11">
        <v>0</v>
      </c>
      <c r="J632" s="11">
        <v>1.7437551767731801E-2</v>
      </c>
      <c r="K632" s="11">
        <v>0</v>
      </c>
      <c r="L632" s="11">
        <v>0</v>
      </c>
      <c r="M632" s="11">
        <v>0</v>
      </c>
      <c r="N632" s="11">
        <v>0</v>
      </c>
      <c r="O632" s="11">
        <v>0</v>
      </c>
      <c r="P632" s="11">
        <v>0</v>
      </c>
      <c r="Q632" s="11">
        <v>0</v>
      </c>
      <c r="R632" s="11">
        <v>0</v>
      </c>
      <c r="S632" s="11">
        <v>0</v>
      </c>
      <c r="T632" s="11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2.2984278753332699E-3</v>
      </c>
      <c r="AJ632">
        <v>0</v>
      </c>
      <c r="AK632">
        <v>0</v>
      </c>
      <c r="AL632">
        <v>0</v>
      </c>
      <c r="AM632">
        <v>0</v>
      </c>
    </row>
    <row r="633" spans="1:39" customFormat="1" hidden="1" x14ac:dyDescent="0.3">
      <c r="A633" t="s">
        <v>1238</v>
      </c>
      <c r="B633" t="s">
        <v>30</v>
      </c>
      <c r="C633" t="s">
        <v>81</v>
      </c>
      <c r="D633" t="s">
        <v>351</v>
      </c>
      <c r="E633" t="s">
        <v>351</v>
      </c>
      <c r="F633" t="s">
        <v>351</v>
      </c>
      <c r="G633" t="s">
        <v>351</v>
      </c>
      <c r="H633" s="16">
        <v>0</v>
      </c>
      <c r="I633" s="11">
        <v>0</v>
      </c>
      <c r="J633" s="11">
        <v>0</v>
      </c>
      <c r="K633" s="11">
        <v>0</v>
      </c>
      <c r="L633" s="11">
        <v>0</v>
      </c>
      <c r="M633" s="11">
        <v>3.5488679111363502E-3</v>
      </c>
      <c r="N633" s="11">
        <v>0</v>
      </c>
      <c r="O633" s="11">
        <v>0</v>
      </c>
      <c r="P633" s="11">
        <v>3.3947788301592198E-3</v>
      </c>
      <c r="Q633" s="11">
        <v>0</v>
      </c>
      <c r="R633" s="11">
        <v>0</v>
      </c>
      <c r="S633" s="11">
        <v>2.4883049666567102E-3</v>
      </c>
      <c r="T633" s="11">
        <v>0</v>
      </c>
      <c r="U633">
        <v>1.2168040641255699E-2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</row>
    <row r="634" spans="1:39" customFormat="1" hidden="1" x14ac:dyDescent="0.3">
      <c r="A634" t="s">
        <v>1237</v>
      </c>
      <c r="B634" t="s">
        <v>30</v>
      </c>
      <c r="C634" t="s">
        <v>29</v>
      </c>
      <c r="D634" t="s">
        <v>28</v>
      </c>
      <c r="E634" t="s">
        <v>105</v>
      </c>
      <c r="F634" t="s">
        <v>105</v>
      </c>
      <c r="G634" t="s">
        <v>105</v>
      </c>
      <c r="H634" s="16">
        <v>0</v>
      </c>
      <c r="I634" s="11">
        <v>0</v>
      </c>
      <c r="J634" s="11">
        <v>0</v>
      </c>
      <c r="K634" s="11">
        <v>0</v>
      </c>
      <c r="L634" s="11">
        <v>0</v>
      </c>
      <c r="M634" s="11">
        <v>0</v>
      </c>
      <c r="N634" s="11">
        <v>0</v>
      </c>
      <c r="O634" s="11">
        <v>0</v>
      </c>
      <c r="P634" s="11">
        <v>0</v>
      </c>
      <c r="Q634" s="11">
        <v>5.4985841145904898E-3</v>
      </c>
      <c r="R634" s="11">
        <v>2.2441148089136199E-3</v>
      </c>
      <c r="S634" s="11">
        <v>2.4883049666567102E-3</v>
      </c>
      <c r="T634" s="11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1.25825731362064E-2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</row>
    <row r="635" spans="1:39" customFormat="1" hidden="1" x14ac:dyDescent="0.3">
      <c r="A635" t="s">
        <v>1236</v>
      </c>
      <c r="B635" t="s">
        <v>30</v>
      </c>
      <c r="C635" t="s">
        <v>81</v>
      </c>
      <c r="D635" t="s">
        <v>80</v>
      </c>
      <c r="E635" t="s">
        <v>642</v>
      </c>
      <c r="F635" t="s">
        <v>645</v>
      </c>
      <c r="G635" t="s">
        <v>644</v>
      </c>
      <c r="H635" s="16">
        <v>0</v>
      </c>
      <c r="I635" s="11">
        <v>0</v>
      </c>
      <c r="J635" s="11">
        <v>0</v>
      </c>
      <c r="K635" s="11">
        <v>0</v>
      </c>
      <c r="L635" s="11">
        <v>0</v>
      </c>
      <c r="M635" s="11">
        <v>0</v>
      </c>
      <c r="N635" s="11">
        <v>0</v>
      </c>
      <c r="O635" s="11">
        <v>0</v>
      </c>
      <c r="P635" s="11">
        <v>0</v>
      </c>
      <c r="Q635" s="11">
        <v>2.7492920572952501E-3</v>
      </c>
      <c r="R635" s="11">
        <v>2.2441148089136199E-3</v>
      </c>
      <c r="S635" s="11">
        <v>0</v>
      </c>
      <c r="T635" s="11">
        <v>0</v>
      </c>
      <c r="U635">
        <v>3.04201016031394E-3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</row>
    <row r="636" spans="1:39" customFormat="1" hidden="1" x14ac:dyDescent="0.3">
      <c r="A636" t="s">
        <v>1235</v>
      </c>
      <c r="B636" t="s">
        <v>30</v>
      </c>
      <c r="C636" t="s">
        <v>35</v>
      </c>
      <c r="D636" t="s">
        <v>35</v>
      </c>
      <c r="E636" t="s">
        <v>34</v>
      </c>
      <c r="F636" t="s">
        <v>33</v>
      </c>
      <c r="G636" t="s">
        <v>50</v>
      </c>
      <c r="H636" s="16">
        <v>0</v>
      </c>
      <c r="I636" s="11">
        <v>0</v>
      </c>
      <c r="J636" s="11">
        <v>0</v>
      </c>
      <c r="K636" s="11">
        <v>0</v>
      </c>
      <c r="L636" s="11">
        <v>0</v>
      </c>
      <c r="M636" s="11">
        <v>0</v>
      </c>
      <c r="N636" s="11">
        <v>0</v>
      </c>
      <c r="O636" s="11">
        <v>0</v>
      </c>
      <c r="P636" s="11">
        <v>0</v>
      </c>
      <c r="Q636" s="11">
        <v>0</v>
      </c>
      <c r="R636" s="11">
        <v>0</v>
      </c>
      <c r="S636" s="11">
        <v>0</v>
      </c>
      <c r="T636" s="11">
        <v>0</v>
      </c>
      <c r="U636">
        <v>0</v>
      </c>
      <c r="V636">
        <v>0</v>
      </c>
      <c r="W636">
        <v>2.6668088964744798E-3</v>
      </c>
      <c r="X636">
        <v>0</v>
      </c>
      <c r="Y636">
        <v>0</v>
      </c>
      <c r="Z636">
        <v>3.1774275546517499E-3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2.2984278753332699E-3</v>
      </c>
      <c r="AJ636">
        <v>0</v>
      </c>
      <c r="AK636">
        <v>6.02700096432015E-3</v>
      </c>
      <c r="AL636">
        <v>0</v>
      </c>
      <c r="AM636">
        <v>0</v>
      </c>
    </row>
    <row r="637" spans="1:39" customFormat="1" hidden="1" x14ac:dyDescent="0.3">
      <c r="A637" t="s">
        <v>1234</v>
      </c>
      <c r="B637" t="s">
        <v>30</v>
      </c>
      <c r="C637" t="s">
        <v>35</v>
      </c>
      <c r="D637" t="s">
        <v>35</v>
      </c>
      <c r="E637" t="s">
        <v>34</v>
      </c>
      <c r="F637" t="s">
        <v>33</v>
      </c>
      <c r="G637" t="s">
        <v>1233</v>
      </c>
      <c r="H637" s="16">
        <v>0</v>
      </c>
      <c r="I637" s="11">
        <v>0</v>
      </c>
      <c r="J637" s="11">
        <v>0</v>
      </c>
      <c r="K637" s="11">
        <v>0</v>
      </c>
      <c r="L637" s="11">
        <v>0</v>
      </c>
      <c r="M637" s="11">
        <v>0</v>
      </c>
      <c r="N637" s="11">
        <v>0</v>
      </c>
      <c r="O637" s="11">
        <v>3.75023438964935E-3</v>
      </c>
      <c r="P637" s="11">
        <v>0</v>
      </c>
      <c r="Q637" s="11">
        <v>0</v>
      </c>
      <c r="R637" s="11">
        <v>0</v>
      </c>
      <c r="S637" s="11">
        <v>0</v>
      </c>
      <c r="T637" s="11">
        <v>3.3464962184592698E-3</v>
      </c>
      <c r="U637">
        <v>3.04201016031394E-3</v>
      </c>
      <c r="V637">
        <v>0</v>
      </c>
      <c r="W637">
        <v>0</v>
      </c>
      <c r="X637">
        <v>0</v>
      </c>
      <c r="Y637">
        <v>2.9264581077521898E-3</v>
      </c>
      <c r="Z637">
        <v>3.1774275546517499E-3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6.02700096432015E-3</v>
      </c>
      <c r="AL637">
        <v>0</v>
      </c>
      <c r="AM637">
        <v>0</v>
      </c>
    </row>
    <row r="638" spans="1:39" customFormat="1" hidden="1" x14ac:dyDescent="0.3">
      <c r="A638" t="s">
        <v>1232</v>
      </c>
      <c r="B638" t="s">
        <v>30</v>
      </c>
      <c r="C638" t="s">
        <v>29</v>
      </c>
      <c r="D638" t="s">
        <v>28</v>
      </c>
      <c r="E638" t="s">
        <v>105</v>
      </c>
      <c r="F638" t="s">
        <v>105</v>
      </c>
      <c r="G638" t="s">
        <v>105</v>
      </c>
      <c r="H638" s="16">
        <v>0</v>
      </c>
      <c r="I638" s="11">
        <v>0</v>
      </c>
      <c r="J638" s="11">
        <v>0</v>
      </c>
      <c r="K638" s="11">
        <v>0</v>
      </c>
      <c r="L638" s="11">
        <v>0</v>
      </c>
      <c r="M638" s="11">
        <v>0</v>
      </c>
      <c r="N638" s="11">
        <v>0</v>
      </c>
      <c r="O638" s="11">
        <v>0</v>
      </c>
      <c r="P638" s="11">
        <v>0</v>
      </c>
      <c r="Q638" s="11">
        <v>0</v>
      </c>
      <c r="R638" s="11">
        <v>0</v>
      </c>
      <c r="S638" s="11">
        <v>0</v>
      </c>
      <c r="T638" s="11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1.25825731362064E-2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</row>
    <row r="639" spans="1:39" customFormat="1" hidden="1" x14ac:dyDescent="0.3">
      <c r="A639" t="s">
        <v>1231</v>
      </c>
      <c r="B639" t="s">
        <v>30</v>
      </c>
      <c r="C639" t="s">
        <v>81</v>
      </c>
      <c r="D639" t="s">
        <v>118</v>
      </c>
      <c r="E639" t="s">
        <v>236</v>
      </c>
      <c r="F639" t="s">
        <v>236</v>
      </c>
      <c r="G639" t="s">
        <v>236</v>
      </c>
      <c r="H639" s="16">
        <v>0</v>
      </c>
      <c r="I639" s="11">
        <v>0</v>
      </c>
      <c r="J639" s="11">
        <v>0</v>
      </c>
      <c r="K639" s="11">
        <v>5.6589893045102101E-3</v>
      </c>
      <c r="L639" s="11">
        <v>0</v>
      </c>
      <c r="M639" s="11">
        <v>0</v>
      </c>
      <c r="N639" s="11">
        <v>0</v>
      </c>
      <c r="O639" s="11">
        <v>0</v>
      </c>
      <c r="P639" s="11">
        <v>6.78955766031843E-3</v>
      </c>
      <c r="Q639" s="11">
        <v>0</v>
      </c>
      <c r="R639" s="11">
        <v>0</v>
      </c>
      <c r="S639" s="11">
        <v>0</v>
      </c>
      <c r="T639" s="11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9.2820346219891405E-3</v>
      </c>
      <c r="AI639">
        <v>4.5968557506665397E-3</v>
      </c>
      <c r="AJ639">
        <v>0</v>
      </c>
      <c r="AK639">
        <v>0</v>
      </c>
      <c r="AL639">
        <v>0</v>
      </c>
      <c r="AM639">
        <v>0</v>
      </c>
    </row>
    <row r="640" spans="1:39" customFormat="1" hidden="1" x14ac:dyDescent="0.3">
      <c r="A640" t="s">
        <v>1230</v>
      </c>
      <c r="B640" t="s">
        <v>30</v>
      </c>
      <c r="C640" t="s">
        <v>35</v>
      </c>
      <c r="D640" t="s">
        <v>35</v>
      </c>
      <c r="E640" t="s">
        <v>34</v>
      </c>
      <c r="F640" t="s">
        <v>33</v>
      </c>
      <c r="G640" t="s">
        <v>50</v>
      </c>
      <c r="H640" s="16">
        <v>0</v>
      </c>
      <c r="I640" s="11">
        <v>0</v>
      </c>
      <c r="J640" s="11">
        <v>0</v>
      </c>
      <c r="K640" s="11">
        <v>0</v>
      </c>
      <c r="L640" s="11">
        <v>0</v>
      </c>
      <c r="M640" s="11">
        <v>0</v>
      </c>
      <c r="N640" s="11">
        <v>0</v>
      </c>
      <c r="O640" s="11">
        <v>0</v>
      </c>
      <c r="P640" s="11">
        <v>0</v>
      </c>
      <c r="Q640" s="11">
        <v>0</v>
      </c>
      <c r="R640" s="11">
        <v>4.4882296178272501E-3</v>
      </c>
      <c r="S640" s="11">
        <v>2.4883049666567102E-3</v>
      </c>
      <c r="T640" s="11">
        <v>0</v>
      </c>
      <c r="U640">
        <v>0</v>
      </c>
      <c r="V640">
        <v>0</v>
      </c>
      <c r="W640">
        <v>2.6668088964744798E-3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2.2984278753332699E-3</v>
      </c>
      <c r="AJ640">
        <v>0</v>
      </c>
      <c r="AK640">
        <v>0</v>
      </c>
      <c r="AL640">
        <v>0</v>
      </c>
      <c r="AM640">
        <v>0</v>
      </c>
    </row>
    <row r="641" spans="1:39" x14ac:dyDescent="0.3">
      <c r="A641" s="6" t="s">
        <v>1229</v>
      </c>
      <c r="B641" s="6" t="s">
        <v>30</v>
      </c>
      <c r="C641" s="6" t="s">
        <v>29</v>
      </c>
      <c r="D641" s="6" t="s">
        <v>28</v>
      </c>
      <c r="E641" s="6" t="s">
        <v>388</v>
      </c>
      <c r="F641" s="6" t="s">
        <v>624</v>
      </c>
      <c r="G641" s="6" t="s">
        <v>634</v>
      </c>
      <c r="H641" s="49">
        <v>0</v>
      </c>
      <c r="I641" s="6">
        <v>0</v>
      </c>
      <c r="J641" s="6">
        <v>0</v>
      </c>
      <c r="K641" s="6">
        <v>0</v>
      </c>
      <c r="L641" s="6">
        <v>0</v>
      </c>
      <c r="M641" s="6">
        <v>0</v>
      </c>
      <c r="N641" s="6">
        <v>0</v>
      </c>
      <c r="O641" s="6">
        <v>0</v>
      </c>
      <c r="P641" s="6">
        <v>0</v>
      </c>
      <c r="Q641" s="6">
        <v>2.7492920572952501E-3</v>
      </c>
      <c r="R641" s="6">
        <v>4.4882296178272501E-3</v>
      </c>
      <c r="S641" s="6">
        <v>0</v>
      </c>
      <c r="T641" s="6">
        <v>0</v>
      </c>
      <c r="U641" s="6">
        <v>0</v>
      </c>
      <c r="V641" s="6">
        <v>0</v>
      </c>
      <c r="W641" s="6">
        <v>0</v>
      </c>
      <c r="X641" s="6">
        <v>0</v>
      </c>
      <c r="Y641" s="6">
        <v>2.9264581077521898E-3</v>
      </c>
      <c r="Z641" s="6">
        <v>0</v>
      </c>
      <c r="AA641" s="6">
        <v>0</v>
      </c>
      <c r="AB641" s="6">
        <v>4.5118209709438702E-3</v>
      </c>
      <c r="AC641" s="6">
        <v>7.1911405148856597E-3</v>
      </c>
      <c r="AD641" s="6">
        <v>3.14564328405159E-3</v>
      </c>
      <c r="AE641" s="6">
        <v>0</v>
      </c>
      <c r="AF641" s="6">
        <v>0</v>
      </c>
      <c r="AG641" s="6">
        <v>0</v>
      </c>
      <c r="AH641" s="6">
        <v>0</v>
      </c>
      <c r="AI641" s="6">
        <v>0</v>
      </c>
      <c r="AJ641" s="6">
        <v>0</v>
      </c>
      <c r="AK641" s="6">
        <v>0</v>
      </c>
      <c r="AL641" s="6">
        <v>0</v>
      </c>
      <c r="AM641" s="6">
        <v>0</v>
      </c>
    </row>
    <row r="642" spans="1:39" customFormat="1" hidden="1" x14ac:dyDescent="0.3">
      <c r="A642" t="s">
        <v>1227</v>
      </c>
      <c r="B642" t="s">
        <v>30</v>
      </c>
      <c r="C642" t="s">
        <v>81</v>
      </c>
      <c r="D642" t="s">
        <v>85</v>
      </c>
      <c r="E642" t="s">
        <v>287</v>
      </c>
      <c r="F642" t="s">
        <v>470</v>
      </c>
      <c r="G642" t="s">
        <v>469</v>
      </c>
      <c r="H642" s="16">
        <v>0</v>
      </c>
      <c r="I642" s="11">
        <v>0</v>
      </c>
      <c r="J642" s="11">
        <v>0</v>
      </c>
      <c r="K642" s="11">
        <v>0</v>
      </c>
      <c r="L642" s="11">
        <v>0</v>
      </c>
      <c r="M642" s="11">
        <v>0</v>
      </c>
      <c r="N642" s="11">
        <v>0</v>
      </c>
      <c r="O642" s="11">
        <v>0</v>
      </c>
      <c r="P642" s="11">
        <v>0</v>
      </c>
      <c r="Q642" s="11">
        <v>0</v>
      </c>
      <c r="R642" s="11">
        <v>0</v>
      </c>
      <c r="S642" s="11">
        <v>2.4883049666567102E-3</v>
      </c>
      <c r="T642" s="11">
        <v>0</v>
      </c>
      <c r="U642">
        <v>3.04201016031394E-3</v>
      </c>
      <c r="V642">
        <v>7.2288285683305004E-3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6.02700096432015E-3</v>
      </c>
      <c r="AL642">
        <v>0</v>
      </c>
      <c r="AM642">
        <v>0</v>
      </c>
    </row>
    <row r="643" spans="1:39" customFormat="1" hidden="1" x14ac:dyDescent="0.3">
      <c r="A643" t="s">
        <v>1226</v>
      </c>
      <c r="B643" t="s">
        <v>30</v>
      </c>
      <c r="C643" t="s">
        <v>81</v>
      </c>
      <c r="D643" t="s">
        <v>80</v>
      </c>
      <c r="E643" t="s">
        <v>618</v>
      </c>
      <c r="F643" t="s">
        <v>617</v>
      </c>
      <c r="G643" t="s">
        <v>616</v>
      </c>
      <c r="H643" s="16">
        <v>0</v>
      </c>
      <c r="I643" s="11">
        <v>0</v>
      </c>
      <c r="J643" s="11">
        <v>0</v>
      </c>
      <c r="K643" s="11">
        <v>0</v>
      </c>
      <c r="L643" s="11">
        <v>0</v>
      </c>
      <c r="M643" s="11">
        <v>0</v>
      </c>
      <c r="N643" s="11">
        <v>0</v>
      </c>
      <c r="O643" s="11">
        <v>0</v>
      </c>
      <c r="P643" s="11">
        <v>0</v>
      </c>
      <c r="Q643" s="11">
        <v>0</v>
      </c>
      <c r="R643" s="11">
        <v>0</v>
      </c>
      <c r="S643" s="11">
        <v>2.4883049666567102E-3</v>
      </c>
      <c r="T643" s="11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4.5118209709438702E-3</v>
      </c>
      <c r="AC643">
        <v>7.1911405148856597E-3</v>
      </c>
      <c r="AD643">
        <v>6.2912865681031801E-3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</row>
    <row r="644" spans="1:39" customFormat="1" hidden="1" x14ac:dyDescent="0.3">
      <c r="A644" t="s">
        <v>1225</v>
      </c>
      <c r="B644" t="s">
        <v>30</v>
      </c>
      <c r="C644" t="s">
        <v>29</v>
      </c>
      <c r="D644" t="s">
        <v>28</v>
      </c>
      <c r="E644" t="s">
        <v>388</v>
      </c>
      <c r="F644" t="s">
        <v>624</v>
      </c>
      <c r="G644" t="s">
        <v>623</v>
      </c>
      <c r="H644" s="16">
        <v>0</v>
      </c>
      <c r="I644" s="11">
        <v>0</v>
      </c>
      <c r="J644" s="11">
        <v>0</v>
      </c>
      <c r="K644" s="11">
        <v>0</v>
      </c>
      <c r="L644" s="11">
        <v>0</v>
      </c>
      <c r="M644" s="11">
        <v>0</v>
      </c>
      <c r="N644" s="11">
        <v>0</v>
      </c>
      <c r="O644" s="11">
        <v>0</v>
      </c>
      <c r="P644" s="11">
        <v>0</v>
      </c>
      <c r="Q644" s="11">
        <v>0</v>
      </c>
      <c r="R644" s="11">
        <v>0</v>
      </c>
      <c r="S644" s="11">
        <v>0</v>
      </c>
      <c r="T644" s="11">
        <v>3.3464962184592698E-3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2.3469220117815501E-3</v>
      </c>
      <c r="AH644">
        <v>0</v>
      </c>
      <c r="AI644">
        <v>6.89528362599982E-3</v>
      </c>
      <c r="AJ644">
        <v>0</v>
      </c>
      <c r="AK644">
        <v>0</v>
      </c>
      <c r="AL644">
        <v>0</v>
      </c>
      <c r="AM644">
        <v>0</v>
      </c>
    </row>
    <row r="645" spans="1:39" x14ac:dyDescent="0.3">
      <c r="A645" s="6" t="s">
        <v>1224</v>
      </c>
      <c r="B645" s="6" t="s">
        <v>30</v>
      </c>
      <c r="C645" s="6" t="s">
        <v>29</v>
      </c>
      <c r="D645" s="6" t="s">
        <v>28</v>
      </c>
      <c r="E645" s="6" t="s">
        <v>388</v>
      </c>
      <c r="F645" s="6" t="s">
        <v>624</v>
      </c>
      <c r="G645" s="6" t="s">
        <v>634</v>
      </c>
      <c r="H645" s="49">
        <v>0</v>
      </c>
      <c r="I645" s="6">
        <v>0</v>
      </c>
      <c r="J645" s="6">
        <v>0</v>
      </c>
      <c r="K645" s="6">
        <v>0</v>
      </c>
      <c r="L645" s="6">
        <v>0</v>
      </c>
      <c r="M645" s="6">
        <v>0</v>
      </c>
      <c r="N645" s="6">
        <v>0</v>
      </c>
      <c r="O645" s="6">
        <v>0</v>
      </c>
      <c r="P645" s="6">
        <v>0</v>
      </c>
      <c r="Q645" s="6">
        <v>5.4985841145904898E-3</v>
      </c>
      <c r="R645" s="6">
        <v>2.2441148089136199E-3</v>
      </c>
      <c r="S645" s="6">
        <v>0</v>
      </c>
      <c r="T645" s="6">
        <v>0</v>
      </c>
      <c r="U645" s="6">
        <v>0</v>
      </c>
      <c r="V645" s="6">
        <v>0</v>
      </c>
      <c r="W645" s="6">
        <v>0</v>
      </c>
      <c r="X645" s="6">
        <v>0</v>
      </c>
      <c r="Y645" s="6">
        <v>0</v>
      </c>
      <c r="Z645" s="6">
        <v>0</v>
      </c>
      <c r="AA645" s="6">
        <v>0</v>
      </c>
      <c r="AB645" s="6">
        <v>0</v>
      </c>
      <c r="AC645" s="6">
        <v>0</v>
      </c>
      <c r="AD645" s="6">
        <v>0</v>
      </c>
      <c r="AE645" s="6">
        <v>0</v>
      </c>
      <c r="AF645" s="6">
        <v>0</v>
      </c>
      <c r="AG645" s="6">
        <v>0</v>
      </c>
      <c r="AH645" s="6">
        <v>0</v>
      </c>
      <c r="AI645" s="6">
        <v>9.1937115013330899E-3</v>
      </c>
      <c r="AJ645" s="6">
        <v>0</v>
      </c>
      <c r="AK645" s="6">
        <v>0</v>
      </c>
      <c r="AL645" s="6">
        <v>0</v>
      </c>
      <c r="AM645" s="6">
        <v>0</v>
      </c>
    </row>
    <row r="646" spans="1:39" x14ac:dyDescent="0.3">
      <c r="A646" s="6" t="s">
        <v>1223</v>
      </c>
      <c r="B646" s="6" t="s">
        <v>30</v>
      </c>
      <c r="C646" s="6" t="s">
        <v>29</v>
      </c>
      <c r="D646" s="6" t="s">
        <v>28</v>
      </c>
      <c r="E646" s="6" t="s">
        <v>388</v>
      </c>
      <c r="F646" s="6" t="s">
        <v>624</v>
      </c>
      <c r="G646" s="6" t="s">
        <v>634</v>
      </c>
      <c r="H646" s="49">
        <v>0</v>
      </c>
      <c r="I646" s="6">
        <v>3.6565745209887401E-3</v>
      </c>
      <c r="J646" s="6">
        <v>0</v>
      </c>
      <c r="K646" s="6">
        <v>0</v>
      </c>
      <c r="L646" s="6">
        <v>0</v>
      </c>
      <c r="M646" s="6">
        <v>0</v>
      </c>
      <c r="N646" s="6">
        <v>0</v>
      </c>
      <c r="O646" s="6">
        <v>3.75023438964935E-3</v>
      </c>
      <c r="P646" s="6">
        <v>0</v>
      </c>
      <c r="Q646" s="6">
        <v>0</v>
      </c>
      <c r="R646" s="6">
        <v>0</v>
      </c>
      <c r="S646" s="6">
        <v>0</v>
      </c>
      <c r="T646" s="6">
        <v>0</v>
      </c>
      <c r="U646" s="6">
        <v>0</v>
      </c>
      <c r="V646" s="6">
        <v>0</v>
      </c>
      <c r="W646" s="6">
        <v>0</v>
      </c>
      <c r="X646" s="6">
        <v>0</v>
      </c>
      <c r="Y646" s="6">
        <v>8.7793743232565599E-3</v>
      </c>
      <c r="Z646" s="6">
        <v>0</v>
      </c>
      <c r="AA646" s="6">
        <v>0</v>
      </c>
      <c r="AB646" s="6">
        <v>4.5118209709438702E-3</v>
      </c>
      <c r="AC646" s="6">
        <v>0</v>
      </c>
      <c r="AD646" s="6">
        <v>0</v>
      </c>
      <c r="AE646" s="6">
        <v>0</v>
      </c>
      <c r="AF646" s="6">
        <v>0</v>
      </c>
      <c r="AG646" s="6">
        <v>0</v>
      </c>
      <c r="AH646" s="6">
        <v>0</v>
      </c>
      <c r="AI646" s="6">
        <v>0</v>
      </c>
      <c r="AJ646" s="6">
        <v>0</v>
      </c>
      <c r="AK646" s="6">
        <v>0</v>
      </c>
      <c r="AL646" s="6">
        <v>0</v>
      </c>
      <c r="AM646" s="6">
        <v>0</v>
      </c>
    </row>
    <row r="647" spans="1:39" customFormat="1" hidden="1" x14ac:dyDescent="0.3">
      <c r="A647" t="s">
        <v>1222</v>
      </c>
      <c r="B647" t="s">
        <v>30</v>
      </c>
      <c r="C647" t="s">
        <v>81</v>
      </c>
      <c r="D647" t="s">
        <v>80</v>
      </c>
      <c r="E647" t="s">
        <v>618</v>
      </c>
      <c r="F647" t="s">
        <v>617</v>
      </c>
      <c r="G647" t="s">
        <v>616</v>
      </c>
      <c r="H647" s="16">
        <v>0</v>
      </c>
      <c r="I647" s="11">
        <v>0</v>
      </c>
      <c r="J647" s="11">
        <v>0</v>
      </c>
      <c r="K647" s="11">
        <v>0</v>
      </c>
      <c r="L647" s="11">
        <v>0</v>
      </c>
      <c r="M647" s="11">
        <v>0</v>
      </c>
      <c r="N647" s="11">
        <v>0</v>
      </c>
      <c r="O647" s="11">
        <v>0</v>
      </c>
      <c r="P647" s="11">
        <v>0</v>
      </c>
      <c r="Q647" s="11">
        <v>0</v>
      </c>
      <c r="R647" s="11">
        <v>6.7323444267408704E-3</v>
      </c>
      <c r="S647" s="11">
        <v>0</v>
      </c>
      <c r="T647" s="11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7.1911405148856597E-3</v>
      </c>
      <c r="AD647">
        <v>6.2912865681031801E-3</v>
      </c>
      <c r="AE647">
        <v>0</v>
      </c>
      <c r="AF647">
        <v>0</v>
      </c>
      <c r="AG647">
        <v>2.3469220117815501E-3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</row>
    <row r="648" spans="1:39" customFormat="1" hidden="1" x14ac:dyDescent="0.3">
      <c r="A648" t="s">
        <v>1221</v>
      </c>
      <c r="B648" t="s">
        <v>30</v>
      </c>
      <c r="C648" t="s">
        <v>81</v>
      </c>
      <c r="D648" t="s">
        <v>80</v>
      </c>
      <c r="E648" t="s">
        <v>618</v>
      </c>
      <c r="F648" t="s">
        <v>617</v>
      </c>
      <c r="G648" t="s">
        <v>1220</v>
      </c>
      <c r="H648" s="16">
        <v>4.1583499667332E-3</v>
      </c>
      <c r="I648" s="11">
        <v>0</v>
      </c>
      <c r="J648" s="11">
        <v>0</v>
      </c>
      <c r="K648" s="11">
        <v>0</v>
      </c>
      <c r="L648" s="11">
        <v>0</v>
      </c>
      <c r="M648" s="11">
        <v>0</v>
      </c>
      <c r="N648" s="11">
        <v>0</v>
      </c>
      <c r="O648" s="11">
        <v>0</v>
      </c>
      <c r="P648" s="11">
        <v>0</v>
      </c>
      <c r="Q648" s="11">
        <v>0</v>
      </c>
      <c r="R648" s="11">
        <v>0</v>
      </c>
      <c r="S648" s="11">
        <v>0</v>
      </c>
      <c r="T648" s="11">
        <v>0</v>
      </c>
      <c r="U648">
        <v>3.04201016031394E-3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 s="6">
        <v>0</v>
      </c>
      <c r="AD648">
        <v>3.14564328405159E-3</v>
      </c>
      <c r="AE648">
        <v>0</v>
      </c>
      <c r="AF648">
        <v>0</v>
      </c>
      <c r="AG648">
        <v>2.3469220117815501E-3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</row>
    <row r="649" spans="1:39" customFormat="1" hidden="1" x14ac:dyDescent="0.3">
      <c r="A649" t="s">
        <v>1219</v>
      </c>
      <c r="B649" t="s">
        <v>30</v>
      </c>
      <c r="C649" t="s">
        <v>111</v>
      </c>
      <c r="D649" t="s">
        <v>297</v>
      </c>
      <c r="E649" t="s">
        <v>296</v>
      </c>
      <c r="F649" t="s">
        <v>295</v>
      </c>
      <c r="G649" t="s">
        <v>294</v>
      </c>
      <c r="H649" s="16">
        <v>0</v>
      </c>
      <c r="I649" s="11">
        <v>0</v>
      </c>
      <c r="J649" s="11">
        <v>0</v>
      </c>
      <c r="K649" s="11">
        <v>0</v>
      </c>
      <c r="L649" s="11">
        <v>0</v>
      </c>
      <c r="M649" s="11">
        <v>0</v>
      </c>
      <c r="N649" s="11">
        <v>0</v>
      </c>
      <c r="O649" s="11">
        <v>0</v>
      </c>
      <c r="P649" s="11">
        <v>0</v>
      </c>
      <c r="Q649" s="11">
        <v>0</v>
      </c>
      <c r="R649" s="11">
        <v>4.4882296178272501E-3</v>
      </c>
      <c r="S649" s="11">
        <v>0</v>
      </c>
      <c r="T649" s="11">
        <v>0</v>
      </c>
      <c r="U649">
        <v>0</v>
      </c>
      <c r="V649">
        <v>0</v>
      </c>
      <c r="W649">
        <v>0</v>
      </c>
      <c r="X649">
        <v>6.4242579982012101E-3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33.3333333333333</v>
      </c>
    </row>
    <row r="650" spans="1:39" customFormat="1" hidden="1" x14ac:dyDescent="0.3">
      <c r="A650" t="s">
        <v>1218</v>
      </c>
      <c r="B650" t="s">
        <v>30</v>
      </c>
      <c r="C650" t="s">
        <v>111</v>
      </c>
      <c r="D650" t="s">
        <v>297</v>
      </c>
      <c r="E650" t="s">
        <v>296</v>
      </c>
      <c r="F650" t="s">
        <v>1217</v>
      </c>
      <c r="G650" t="s">
        <v>1216</v>
      </c>
      <c r="H650" s="16">
        <v>0</v>
      </c>
      <c r="I650" s="11">
        <v>0</v>
      </c>
      <c r="J650" s="11">
        <v>0</v>
      </c>
      <c r="K650" s="11">
        <v>0</v>
      </c>
      <c r="L650" s="11">
        <v>0</v>
      </c>
      <c r="M650" s="11">
        <v>0</v>
      </c>
      <c r="N650" s="11">
        <v>0</v>
      </c>
      <c r="O650" s="11">
        <v>0</v>
      </c>
      <c r="P650" s="11">
        <v>0</v>
      </c>
      <c r="Q650" s="11">
        <v>0</v>
      </c>
      <c r="R650" s="11">
        <v>0</v>
      </c>
      <c r="S650" s="11">
        <v>0</v>
      </c>
      <c r="T650" s="11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</row>
    <row r="651" spans="1:39" customFormat="1" hidden="1" x14ac:dyDescent="0.3">
      <c r="A651" t="s">
        <v>1215</v>
      </c>
      <c r="B651" t="s">
        <v>30</v>
      </c>
      <c r="C651" t="s">
        <v>81</v>
      </c>
      <c r="D651" t="s">
        <v>80</v>
      </c>
      <c r="E651" t="s">
        <v>618</v>
      </c>
      <c r="F651" t="s">
        <v>617</v>
      </c>
      <c r="G651" t="s">
        <v>1214</v>
      </c>
      <c r="H651" s="16">
        <v>0</v>
      </c>
      <c r="I651" s="11">
        <v>0</v>
      </c>
      <c r="J651" s="11">
        <v>0</v>
      </c>
      <c r="K651" s="11">
        <v>0</v>
      </c>
      <c r="L651" s="11">
        <v>0</v>
      </c>
      <c r="M651" s="11">
        <v>0</v>
      </c>
      <c r="N651" s="11">
        <v>0</v>
      </c>
      <c r="O651" s="11">
        <v>0</v>
      </c>
      <c r="P651" s="11">
        <v>0</v>
      </c>
      <c r="Q651" s="11">
        <v>0</v>
      </c>
      <c r="R651" s="11">
        <v>0</v>
      </c>
      <c r="S651" s="11">
        <v>0</v>
      </c>
      <c r="T651" s="11">
        <v>6.69299243691855E-3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</row>
    <row r="652" spans="1:39" customFormat="1" hidden="1" x14ac:dyDescent="0.3">
      <c r="A652" t="s">
        <v>1213</v>
      </c>
      <c r="B652" t="s">
        <v>30</v>
      </c>
      <c r="C652" t="s">
        <v>81</v>
      </c>
      <c r="D652" t="s">
        <v>85</v>
      </c>
      <c r="E652" t="s">
        <v>287</v>
      </c>
      <c r="F652" t="s">
        <v>1126</v>
      </c>
      <c r="G652" t="s">
        <v>1126</v>
      </c>
      <c r="H652" s="16">
        <v>0</v>
      </c>
      <c r="I652" s="11">
        <v>0</v>
      </c>
      <c r="J652" s="11">
        <v>0</v>
      </c>
      <c r="K652" s="11">
        <v>0</v>
      </c>
      <c r="L652" s="11">
        <v>0</v>
      </c>
      <c r="M652" s="11">
        <v>0</v>
      </c>
      <c r="N652" s="11">
        <v>0</v>
      </c>
      <c r="O652" s="11">
        <v>0</v>
      </c>
      <c r="P652" s="11">
        <v>0</v>
      </c>
      <c r="Q652" s="11">
        <v>0</v>
      </c>
      <c r="R652" s="11">
        <v>2.2441148089136199E-3</v>
      </c>
      <c r="S652" s="11">
        <v>0</v>
      </c>
      <c r="T652" s="11">
        <v>3.3464962184592698E-3</v>
      </c>
      <c r="U652">
        <v>0</v>
      </c>
      <c r="V652">
        <v>0</v>
      </c>
      <c r="W652">
        <v>0</v>
      </c>
      <c r="X652">
        <v>0</v>
      </c>
      <c r="Y652">
        <v>2.9264581077521898E-3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4.6410173109945703E-3</v>
      </c>
      <c r="AI652">
        <v>0</v>
      </c>
      <c r="AJ652">
        <v>0</v>
      </c>
      <c r="AK652">
        <v>0</v>
      </c>
      <c r="AL652">
        <v>3.5844863431070302E-3</v>
      </c>
      <c r="AM652">
        <v>0</v>
      </c>
    </row>
    <row r="653" spans="1:39" customFormat="1" hidden="1" x14ac:dyDescent="0.3">
      <c r="A653" t="s">
        <v>1212</v>
      </c>
      <c r="B653" t="s">
        <v>30</v>
      </c>
      <c r="C653" t="s">
        <v>111</v>
      </c>
      <c r="D653" t="s">
        <v>141</v>
      </c>
      <c r="E653" t="s">
        <v>140</v>
      </c>
      <c r="F653" t="s">
        <v>607</v>
      </c>
      <c r="G653" t="s">
        <v>606</v>
      </c>
      <c r="H653" s="16">
        <v>0</v>
      </c>
      <c r="I653" s="11">
        <v>0</v>
      </c>
      <c r="J653" s="11">
        <v>0</v>
      </c>
      <c r="K653" s="11">
        <v>0</v>
      </c>
      <c r="L653" s="11">
        <v>0</v>
      </c>
      <c r="M653" s="11">
        <v>0</v>
      </c>
      <c r="N653" s="11">
        <v>0</v>
      </c>
      <c r="O653" s="11">
        <v>0</v>
      </c>
      <c r="P653" s="11">
        <v>0</v>
      </c>
      <c r="Q653" s="11">
        <v>0</v>
      </c>
      <c r="R653" s="11">
        <v>0</v>
      </c>
      <c r="S653" s="11">
        <v>0</v>
      </c>
      <c r="T653" s="11">
        <v>0</v>
      </c>
      <c r="U653">
        <v>0</v>
      </c>
      <c r="V653">
        <v>0</v>
      </c>
      <c r="W653">
        <v>0</v>
      </c>
      <c r="X653">
        <v>0</v>
      </c>
      <c r="Y653">
        <v>5.8529162155043701E-3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</row>
    <row r="654" spans="1:39" customFormat="1" hidden="1" x14ac:dyDescent="0.3">
      <c r="A654" t="s">
        <v>1211</v>
      </c>
      <c r="B654" t="s">
        <v>30</v>
      </c>
      <c r="C654" t="s">
        <v>81</v>
      </c>
      <c r="D654" t="s">
        <v>118</v>
      </c>
      <c r="E654" t="s">
        <v>371</v>
      </c>
      <c r="F654" t="s">
        <v>1210</v>
      </c>
      <c r="G654" t="s">
        <v>1210</v>
      </c>
      <c r="H654" s="16">
        <v>0</v>
      </c>
      <c r="I654" s="11">
        <v>0</v>
      </c>
      <c r="J654" s="11">
        <v>0</v>
      </c>
      <c r="K654" s="11">
        <v>0</v>
      </c>
      <c r="L654" s="11">
        <v>0</v>
      </c>
      <c r="M654" s="11">
        <v>0</v>
      </c>
      <c r="N654" s="11">
        <v>0</v>
      </c>
      <c r="O654" s="11">
        <v>0</v>
      </c>
      <c r="P654" s="11">
        <v>0</v>
      </c>
      <c r="Q654" s="11">
        <v>0</v>
      </c>
      <c r="R654" s="11">
        <v>0</v>
      </c>
      <c r="S654" s="11">
        <v>0</v>
      </c>
      <c r="T654" s="11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2.3469220117815501E-3</v>
      </c>
      <c r="AH654">
        <v>0</v>
      </c>
      <c r="AI654">
        <v>6.89528362599982E-3</v>
      </c>
      <c r="AJ654">
        <v>0</v>
      </c>
      <c r="AK654">
        <v>0</v>
      </c>
      <c r="AL654">
        <v>0</v>
      </c>
      <c r="AM654">
        <v>0</v>
      </c>
    </row>
    <row r="655" spans="1:39" customFormat="1" hidden="1" x14ac:dyDescent="0.3">
      <c r="A655" t="s">
        <v>1209</v>
      </c>
      <c r="B655" t="s">
        <v>30</v>
      </c>
      <c r="C655" t="s">
        <v>251</v>
      </c>
      <c r="D655" t="s">
        <v>250</v>
      </c>
      <c r="E655" t="s">
        <v>249</v>
      </c>
      <c r="F655" t="s">
        <v>248</v>
      </c>
      <c r="G655" t="s">
        <v>247</v>
      </c>
      <c r="H655" s="16">
        <v>0</v>
      </c>
      <c r="I655" s="11">
        <v>0</v>
      </c>
      <c r="J655" s="11">
        <v>0</v>
      </c>
      <c r="K655" s="11">
        <v>0</v>
      </c>
      <c r="L655" s="11">
        <v>0</v>
      </c>
      <c r="M655" s="11">
        <v>0</v>
      </c>
      <c r="N655" s="11">
        <v>0</v>
      </c>
      <c r="O655" s="11">
        <v>0</v>
      </c>
      <c r="P655" s="11">
        <v>0</v>
      </c>
      <c r="Q655" s="11">
        <v>0</v>
      </c>
      <c r="R655" s="11">
        <v>2.2441148089136199E-3</v>
      </c>
      <c r="S655" s="11">
        <v>0</v>
      </c>
      <c r="T655" s="11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7.1831340013647996E-3</v>
      </c>
      <c r="AK655">
        <v>0</v>
      </c>
      <c r="AL655">
        <v>0</v>
      </c>
      <c r="AM655">
        <v>0</v>
      </c>
    </row>
    <row r="656" spans="1:39" customFormat="1" hidden="1" x14ac:dyDescent="0.3">
      <c r="A656" t="s">
        <v>1208</v>
      </c>
      <c r="B656" t="s">
        <v>30</v>
      </c>
      <c r="C656" t="s">
        <v>81</v>
      </c>
      <c r="D656" t="s">
        <v>118</v>
      </c>
      <c r="E656" t="s">
        <v>371</v>
      </c>
      <c r="F656" t="s">
        <v>1207</v>
      </c>
      <c r="G656" t="s">
        <v>1206</v>
      </c>
      <c r="H656" s="16">
        <v>0</v>
      </c>
      <c r="I656" s="11">
        <v>0</v>
      </c>
      <c r="J656" s="11">
        <v>0</v>
      </c>
      <c r="K656" s="11">
        <v>0</v>
      </c>
      <c r="L656" s="11">
        <v>0</v>
      </c>
      <c r="M656" s="11">
        <v>0</v>
      </c>
      <c r="N656" s="11">
        <v>0</v>
      </c>
      <c r="O656" s="11">
        <v>0</v>
      </c>
      <c r="P656" s="11">
        <v>3.3947788301592198E-3</v>
      </c>
      <c r="Q656" s="11">
        <v>2.7492920572952501E-3</v>
      </c>
      <c r="R656" s="11">
        <v>0</v>
      </c>
      <c r="S656" s="11">
        <v>2.4883049666567102E-3</v>
      </c>
      <c r="T656" s="11">
        <v>0</v>
      </c>
      <c r="U656">
        <v>0</v>
      </c>
      <c r="V656">
        <v>0</v>
      </c>
      <c r="W656">
        <v>0</v>
      </c>
      <c r="X656">
        <v>0</v>
      </c>
      <c r="Y656">
        <v>2.9264581077521898E-3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6.8598868118676E-3</v>
      </c>
      <c r="AF656">
        <v>0</v>
      </c>
      <c r="AG656">
        <v>2.3469220117815501E-3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</row>
    <row r="657" spans="1:39" customFormat="1" hidden="1" x14ac:dyDescent="0.3">
      <c r="A657" t="s">
        <v>1205</v>
      </c>
      <c r="B657" t="s">
        <v>30</v>
      </c>
      <c r="C657" t="s">
        <v>81</v>
      </c>
      <c r="D657" t="s">
        <v>118</v>
      </c>
      <c r="E657" t="s">
        <v>371</v>
      </c>
      <c r="F657" t="s">
        <v>1204</v>
      </c>
      <c r="G657" t="s">
        <v>1203</v>
      </c>
      <c r="H657" s="16">
        <v>0</v>
      </c>
      <c r="I657" s="11">
        <v>0</v>
      </c>
      <c r="J657" s="11">
        <v>0</v>
      </c>
      <c r="K657" s="11">
        <v>0</v>
      </c>
      <c r="L657" s="11">
        <v>0</v>
      </c>
      <c r="M657" s="11">
        <v>0</v>
      </c>
      <c r="N657" s="11">
        <v>0</v>
      </c>
      <c r="O657" s="11">
        <v>0</v>
      </c>
      <c r="P657" s="11">
        <v>0</v>
      </c>
      <c r="Q657" s="11">
        <v>0</v>
      </c>
      <c r="R657" s="11">
        <v>4.4882296178272501E-3</v>
      </c>
      <c r="S657" s="11">
        <v>0</v>
      </c>
      <c r="T657" s="11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3.1774275546517499E-3</v>
      </c>
      <c r="AA657">
        <v>0</v>
      </c>
      <c r="AB657">
        <v>0</v>
      </c>
      <c r="AC657">
        <v>0</v>
      </c>
      <c r="AD657">
        <v>0</v>
      </c>
      <c r="AE657">
        <v>3.4299434059338E-3</v>
      </c>
      <c r="AF657">
        <v>5.03372596395852E-3</v>
      </c>
      <c r="AG657">
        <v>0</v>
      </c>
      <c r="AH657">
        <v>0</v>
      </c>
      <c r="AI657">
        <v>2.2984278753332699E-3</v>
      </c>
      <c r="AJ657">
        <v>0</v>
      </c>
      <c r="AK657">
        <v>0</v>
      </c>
      <c r="AL657">
        <v>0</v>
      </c>
      <c r="AM657">
        <v>0</v>
      </c>
    </row>
    <row r="658" spans="1:39" customFormat="1" hidden="1" x14ac:dyDescent="0.3">
      <c r="A658" t="s">
        <v>1202</v>
      </c>
      <c r="B658" t="s">
        <v>30</v>
      </c>
      <c r="C658" t="s">
        <v>81</v>
      </c>
      <c r="D658" t="s">
        <v>118</v>
      </c>
      <c r="E658" t="s">
        <v>371</v>
      </c>
      <c r="F658" t="s">
        <v>370</v>
      </c>
      <c r="G658" t="s">
        <v>370</v>
      </c>
      <c r="H658" s="16">
        <v>0</v>
      </c>
      <c r="I658" s="11">
        <v>0</v>
      </c>
      <c r="J658" s="11">
        <v>0</v>
      </c>
      <c r="K658" s="11">
        <v>0</v>
      </c>
      <c r="L658" s="11">
        <v>0</v>
      </c>
      <c r="M658" s="11">
        <v>0</v>
      </c>
      <c r="N658" s="11">
        <v>0</v>
      </c>
      <c r="O658" s="11">
        <v>0</v>
      </c>
      <c r="P658" s="11">
        <v>0</v>
      </c>
      <c r="Q658" s="11">
        <v>0</v>
      </c>
      <c r="R658" s="11">
        <v>2.2441148089136199E-3</v>
      </c>
      <c r="S658" s="11">
        <v>0</v>
      </c>
      <c r="T658" s="11">
        <v>0</v>
      </c>
      <c r="U658">
        <v>0</v>
      </c>
      <c r="V658">
        <v>0</v>
      </c>
      <c r="W658">
        <v>0</v>
      </c>
      <c r="X658">
        <v>0</v>
      </c>
      <c r="Y658">
        <v>5.8529162155043701E-3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4.6938440235631002E-3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</row>
    <row r="659" spans="1:39" customFormat="1" hidden="1" x14ac:dyDescent="0.3">
      <c r="A659" t="s">
        <v>1201</v>
      </c>
      <c r="B659" t="s">
        <v>30</v>
      </c>
      <c r="C659" t="s">
        <v>81</v>
      </c>
      <c r="D659" t="s">
        <v>118</v>
      </c>
      <c r="E659" t="s">
        <v>371</v>
      </c>
      <c r="F659" t="s">
        <v>424</v>
      </c>
      <c r="G659" t="s">
        <v>444</v>
      </c>
      <c r="H659" s="16">
        <v>0</v>
      </c>
      <c r="I659" s="11">
        <v>0</v>
      </c>
      <c r="J659" s="11">
        <v>0</v>
      </c>
      <c r="K659" s="11">
        <v>0</v>
      </c>
      <c r="L659" s="11">
        <v>0</v>
      </c>
      <c r="M659" s="11">
        <v>0</v>
      </c>
      <c r="N659" s="11">
        <v>0</v>
      </c>
      <c r="O659" s="11">
        <v>0</v>
      </c>
      <c r="P659" s="11">
        <v>0</v>
      </c>
      <c r="Q659" s="11">
        <v>0</v>
      </c>
      <c r="R659" s="11">
        <v>2.2441148089136199E-3</v>
      </c>
      <c r="S659" s="11">
        <v>0</v>
      </c>
      <c r="T659" s="11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7.0407660353446503E-3</v>
      </c>
      <c r="AH659">
        <v>0</v>
      </c>
      <c r="AI659">
        <v>2.2984278753332699E-3</v>
      </c>
      <c r="AJ659">
        <v>0</v>
      </c>
      <c r="AK659">
        <v>0</v>
      </c>
      <c r="AL659">
        <v>0</v>
      </c>
      <c r="AM659">
        <v>0</v>
      </c>
    </row>
    <row r="660" spans="1:39" customFormat="1" hidden="1" x14ac:dyDescent="0.3">
      <c r="A660" t="s">
        <v>1199</v>
      </c>
      <c r="B660" t="s">
        <v>30</v>
      </c>
      <c r="C660" t="s">
        <v>81</v>
      </c>
      <c r="D660" t="s">
        <v>118</v>
      </c>
      <c r="E660" t="s">
        <v>358</v>
      </c>
      <c r="F660" t="s">
        <v>357</v>
      </c>
      <c r="G660" t="s">
        <v>356</v>
      </c>
      <c r="H660" s="16">
        <v>0</v>
      </c>
      <c r="I660" s="11">
        <v>0</v>
      </c>
      <c r="J660" s="11">
        <v>0</v>
      </c>
      <c r="K660" s="11">
        <v>0</v>
      </c>
      <c r="L660" s="11">
        <v>0</v>
      </c>
      <c r="M660" s="11">
        <v>0</v>
      </c>
      <c r="N660" s="11">
        <v>4.5835816106705798E-3</v>
      </c>
      <c r="O660" s="11">
        <v>3.75023438964935E-3</v>
      </c>
      <c r="P660" s="11">
        <v>0</v>
      </c>
      <c r="Q660" s="11">
        <v>0</v>
      </c>
      <c r="R660" s="11">
        <v>0</v>
      </c>
      <c r="S660" s="11">
        <v>0</v>
      </c>
      <c r="T660" s="11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9.1937115013330899E-3</v>
      </c>
      <c r="AJ660">
        <v>0</v>
      </c>
      <c r="AK660">
        <v>0</v>
      </c>
      <c r="AL660">
        <v>0</v>
      </c>
      <c r="AM660">
        <v>0</v>
      </c>
    </row>
    <row r="661" spans="1:39" customFormat="1" hidden="1" x14ac:dyDescent="0.3">
      <c r="A661" t="s">
        <v>1198</v>
      </c>
      <c r="B661" t="s">
        <v>30</v>
      </c>
      <c r="C661" t="s">
        <v>81</v>
      </c>
      <c r="D661" t="s">
        <v>85</v>
      </c>
      <c r="E661" t="s">
        <v>287</v>
      </c>
      <c r="F661" t="s">
        <v>470</v>
      </c>
      <c r="G661" t="s">
        <v>1160</v>
      </c>
      <c r="H661" s="16">
        <v>0</v>
      </c>
      <c r="I661" s="11">
        <v>0</v>
      </c>
      <c r="J661" s="11">
        <v>0</v>
      </c>
      <c r="K661" s="11">
        <v>0</v>
      </c>
      <c r="L661" s="11">
        <v>0</v>
      </c>
      <c r="M661" s="11">
        <v>0</v>
      </c>
      <c r="N661" s="11">
        <v>0</v>
      </c>
      <c r="O661" s="11">
        <v>0</v>
      </c>
      <c r="P661" s="11">
        <v>0</v>
      </c>
      <c r="Q661" s="11">
        <v>0</v>
      </c>
      <c r="R661" s="11">
        <v>0</v>
      </c>
      <c r="S661" s="11">
        <v>0</v>
      </c>
      <c r="T661" s="11">
        <v>0</v>
      </c>
      <c r="U661">
        <v>3.04201016031394E-3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5.03372596395852E-3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</row>
    <row r="662" spans="1:39" customFormat="1" hidden="1" x14ac:dyDescent="0.3">
      <c r="A662" t="s">
        <v>1197</v>
      </c>
      <c r="B662" t="s">
        <v>30</v>
      </c>
      <c r="C662" t="s">
        <v>81</v>
      </c>
      <c r="D662" t="s">
        <v>85</v>
      </c>
      <c r="E662" t="s">
        <v>287</v>
      </c>
      <c r="F662" t="s">
        <v>286</v>
      </c>
      <c r="G662" t="s">
        <v>286</v>
      </c>
      <c r="H662" s="16">
        <v>0</v>
      </c>
      <c r="I662" s="11">
        <v>0</v>
      </c>
      <c r="J662" s="11">
        <v>0</v>
      </c>
      <c r="K662" s="11">
        <v>0</v>
      </c>
      <c r="L662" s="11">
        <v>0</v>
      </c>
      <c r="M662" s="11">
        <v>0</v>
      </c>
      <c r="N662" s="11">
        <v>0</v>
      </c>
      <c r="O662" s="11">
        <v>0</v>
      </c>
      <c r="P662" s="11">
        <v>0</v>
      </c>
      <c r="Q662" s="11">
        <v>0</v>
      </c>
      <c r="R662" s="11">
        <v>0</v>
      </c>
      <c r="S662" s="11">
        <v>0</v>
      </c>
      <c r="T662" s="11">
        <v>3.3464962184592698E-3</v>
      </c>
      <c r="U662">
        <v>0</v>
      </c>
      <c r="V662">
        <v>3.6144142841652502E-3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7.1911405148856597E-3</v>
      </c>
      <c r="AD662">
        <v>0</v>
      </c>
      <c r="AE662">
        <v>0</v>
      </c>
      <c r="AF662">
        <v>5.03372596395852E-3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</row>
    <row r="663" spans="1:39" customFormat="1" hidden="1" x14ac:dyDescent="0.3">
      <c r="A663" t="s">
        <v>1196</v>
      </c>
      <c r="B663" t="s">
        <v>30</v>
      </c>
      <c r="C663" t="s">
        <v>111</v>
      </c>
      <c r="D663" t="s">
        <v>141</v>
      </c>
      <c r="E663" t="s">
        <v>140</v>
      </c>
      <c r="F663" t="s">
        <v>599</v>
      </c>
      <c r="G663" t="s">
        <v>945</v>
      </c>
      <c r="H663" s="16">
        <v>0</v>
      </c>
      <c r="I663" s="11">
        <v>0</v>
      </c>
      <c r="J663" s="11">
        <v>0</v>
      </c>
      <c r="K663" s="11">
        <v>0</v>
      </c>
      <c r="L663" s="11">
        <v>0</v>
      </c>
      <c r="M663" s="11">
        <v>0</v>
      </c>
      <c r="N663" s="11">
        <v>0</v>
      </c>
      <c r="O663" s="11">
        <v>0</v>
      </c>
      <c r="P663" s="11">
        <v>0</v>
      </c>
      <c r="Q663" s="11">
        <v>0</v>
      </c>
      <c r="R663" s="11">
        <v>0</v>
      </c>
      <c r="S663" s="11">
        <v>2.4883049666567102E-3</v>
      </c>
      <c r="T663" s="11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</row>
    <row r="664" spans="1:39" customFormat="1" hidden="1" x14ac:dyDescent="0.3">
      <c r="A664" t="s">
        <v>1195</v>
      </c>
      <c r="B664" t="s">
        <v>30</v>
      </c>
      <c r="C664" t="s">
        <v>81</v>
      </c>
      <c r="D664" t="s">
        <v>85</v>
      </c>
      <c r="E664" t="s">
        <v>287</v>
      </c>
      <c r="F664" t="s">
        <v>1161</v>
      </c>
      <c r="G664" t="s">
        <v>1160</v>
      </c>
      <c r="H664" s="16">
        <v>0</v>
      </c>
      <c r="I664" s="11">
        <v>0</v>
      </c>
      <c r="J664" s="11">
        <v>0</v>
      </c>
      <c r="K664" s="11">
        <v>0</v>
      </c>
      <c r="L664" s="11">
        <v>0</v>
      </c>
      <c r="M664" s="11">
        <v>0</v>
      </c>
      <c r="N664" s="11">
        <v>0</v>
      </c>
      <c r="O664" s="11">
        <v>0</v>
      </c>
      <c r="P664" s="11">
        <v>0</v>
      </c>
      <c r="Q664" s="11">
        <v>0</v>
      </c>
      <c r="R664" s="11">
        <v>0</v>
      </c>
      <c r="S664" s="11">
        <v>2.4883049666567102E-3</v>
      </c>
      <c r="T664" s="11">
        <v>3.3464962184592698E-3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3.14564328405159E-3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3.5915670006823998E-3</v>
      </c>
      <c r="AK664">
        <v>0</v>
      </c>
      <c r="AL664">
        <v>0</v>
      </c>
      <c r="AM664">
        <v>0</v>
      </c>
    </row>
    <row r="665" spans="1:39" customFormat="1" hidden="1" x14ac:dyDescent="0.3">
      <c r="A665" t="s">
        <v>1194</v>
      </c>
      <c r="B665" t="s">
        <v>30</v>
      </c>
      <c r="C665" t="s">
        <v>81</v>
      </c>
      <c r="D665" t="s">
        <v>85</v>
      </c>
      <c r="E665" t="s">
        <v>287</v>
      </c>
      <c r="F665" t="s">
        <v>1126</v>
      </c>
      <c r="G665" t="s">
        <v>1126</v>
      </c>
      <c r="H665" s="16">
        <v>0</v>
      </c>
      <c r="I665" s="11">
        <v>0</v>
      </c>
      <c r="J665" s="11">
        <v>0</v>
      </c>
      <c r="K665" s="11">
        <v>0</v>
      </c>
      <c r="L665" s="11">
        <v>0</v>
      </c>
      <c r="M665" s="11">
        <v>0</v>
      </c>
      <c r="N665" s="11">
        <v>0</v>
      </c>
      <c r="O665" s="11">
        <v>0</v>
      </c>
      <c r="P665" s="11">
        <v>0</v>
      </c>
      <c r="Q665" s="11">
        <v>0</v>
      </c>
      <c r="R665" s="11">
        <v>2.2441148089136199E-3</v>
      </c>
      <c r="S665" s="11">
        <v>0</v>
      </c>
      <c r="T665" s="11">
        <v>3.3464962184592698E-3</v>
      </c>
      <c r="U665">
        <v>3.04201016031394E-3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</row>
    <row r="666" spans="1:39" customFormat="1" hidden="1" x14ac:dyDescent="0.3">
      <c r="A666" t="s">
        <v>1193</v>
      </c>
      <c r="B666" t="s">
        <v>30</v>
      </c>
      <c r="C666" t="s">
        <v>81</v>
      </c>
      <c r="D666" t="s">
        <v>85</v>
      </c>
      <c r="E666" t="s">
        <v>287</v>
      </c>
      <c r="F666" t="s">
        <v>286</v>
      </c>
      <c r="G666" t="s">
        <v>286</v>
      </c>
      <c r="H666" s="16">
        <v>0</v>
      </c>
      <c r="I666" s="11">
        <v>0</v>
      </c>
      <c r="J666" s="11">
        <v>0</v>
      </c>
      <c r="K666" s="11">
        <v>0</v>
      </c>
      <c r="L666" s="11">
        <v>0</v>
      </c>
      <c r="M666" s="11">
        <v>0</v>
      </c>
      <c r="N666" s="11">
        <v>0</v>
      </c>
      <c r="O666" s="11">
        <v>0</v>
      </c>
      <c r="P666" s="11">
        <v>0</v>
      </c>
      <c r="Q666" s="11">
        <v>0</v>
      </c>
      <c r="R666" s="11">
        <v>0</v>
      </c>
      <c r="S666" s="11">
        <v>2.4883049666567102E-3</v>
      </c>
      <c r="T666" s="11">
        <v>0</v>
      </c>
      <c r="U666">
        <v>0</v>
      </c>
      <c r="V666">
        <v>0</v>
      </c>
      <c r="W666">
        <v>2.6668088964744798E-3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3.5915670006823998E-3</v>
      </c>
      <c r="AK666">
        <v>6.02700096432015E-3</v>
      </c>
      <c r="AL666">
        <v>0</v>
      </c>
      <c r="AM666">
        <v>0</v>
      </c>
    </row>
    <row r="667" spans="1:39" customFormat="1" hidden="1" x14ac:dyDescent="0.3">
      <c r="A667" t="s">
        <v>1191</v>
      </c>
      <c r="B667" t="s">
        <v>30</v>
      </c>
      <c r="C667" t="s">
        <v>264</v>
      </c>
      <c r="D667" t="s">
        <v>263</v>
      </c>
      <c r="E667" t="s">
        <v>262</v>
      </c>
      <c r="F667" t="s">
        <v>261</v>
      </c>
      <c r="G667" t="s">
        <v>260</v>
      </c>
      <c r="H667" s="16">
        <v>0</v>
      </c>
      <c r="I667" s="11">
        <v>0</v>
      </c>
      <c r="J667" s="11">
        <v>0</v>
      </c>
      <c r="K667" s="11">
        <v>0</v>
      </c>
      <c r="L667" s="11">
        <v>0</v>
      </c>
      <c r="M667" s="11">
        <v>0</v>
      </c>
      <c r="N667" s="11">
        <v>0</v>
      </c>
      <c r="O667" s="11">
        <v>0</v>
      </c>
      <c r="P667" s="11">
        <v>0</v>
      </c>
      <c r="Q667" s="11">
        <v>0</v>
      </c>
      <c r="R667" s="11">
        <v>0</v>
      </c>
      <c r="S667" s="11">
        <v>0</v>
      </c>
      <c r="T667" s="11">
        <v>0</v>
      </c>
      <c r="U667">
        <v>0</v>
      </c>
      <c r="V667">
        <v>0</v>
      </c>
      <c r="W667">
        <v>0</v>
      </c>
      <c r="X667">
        <v>0</v>
      </c>
      <c r="Y667">
        <v>2.9264581077521898E-3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3.5844863431070302E-3</v>
      </c>
      <c r="AM667">
        <v>0</v>
      </c>
    </row>
    <row r="668" spans="1:39" customFormat="1" hidden="1" x14ac:dyDescent="0.3">
      <c r="A668" t="s">
        <v>1190</v>
      </c>
      <c r="B668" t="s">
        <v>30</v>
      </c>
      <c r="C668" t="s">
        <v>264</v>
      </c>
      <c r="D668" t="s">
        <v>263</v>
      </c>
      <c r="E668" t="s">
        <v>262</v>
      </c>
      <c r="F668" t="s">
        <v>261</v>
      </c>
      <c r="G668" t="s">
        <v>260</v>
      </c>
      <c r="H668" s="16">
        <v>0</v>
      </c>
      <c r="I668" s="11">
        <v>0</v>
      </c>
      <c r="J668" s="11">
        <v>0</v>
      </c>
      <c r="K668" s="11">
        <v>0</v>
      </c>
      <c r="L668" s="11">
        <v>0</v>
      </c>
      <c r="M668" s="11">
        <v>0</v>
      </c>
      <c r="N668" s="11">
        <v>0</v>
      </c>
      <c r="O668" s="11">
        <v>0</v>
      </c>
      <c r="P668" s="11">
        <v>0</v>
      </c>
      <c r="Q668" s="11">
        <v>0</v>
      </c>
      <c r="R668" s="11">
        <v>0</v>
      </c>
      <c r="S668" s="11">
        <v>0</v>
      </c>
      <c r="T668" s="11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</row>
    <row r="669" spans="1:39" customFormat="1" hidden="1" x14ac:dyDescent="0.3">
      <c r="A669" t="s">
        <v>1189</v>
      </c>
      <c r="B669" t="s">
        <v>30</v>
      </c>
      <c r="C669" t="s">
        <v>81</v>
      </c>
      <c r="D669" t="s">
        <v>85</v>
      </c>
      <c r="E669" t="s">
        <v>287</v>
      </c>
      <c r="F669" t="s">
        <v>1126</v>
      </c>
      <c r="G669" t="s">
        <v>1126</v>
      </c>
      <c r="H669" s="16">
        <v>0</v>
      </c>
      <c r="I669" s="11">
        <v>0</v>
      </c>
      <c r="J669" s="11">
        <v>0</v>
      </c>
      <c r="K669" s="11">
        <v>0</v>
      </c>
      <c r="L669" s="11">
        <v>0</v>
      </c>
      <c r="M669" s="11">
        <v>0</v>
      </c>
      <c r="N669" s="11">
        <v>0</v>
      </c>
      <c r="O669" s="11">
        <v>0</v>
      </c>
      <c r="P669" s="11">
        <v>0</v>
      </c>
      <c r="Q669" s="11">
        <v>0</v>
      </c>
      <c r="R669" s="11">
        <v>2.2441148089136199E-3</v>
      </c>
      <c r="S669" s="11">
        <v>0</v>
      </c>
      <c r="T669" s="11">
        <v>3.3464962184592698E-3</v>
      </c>
      <c r="U669">
        <v>0</v>
      </c>
      <c r="V669">
        <v>0</v>
      </c>
      <c r="W669">
        <v>2.6668088964744798E-3</v>
      </c>
      <c r="X669">
        <v>0</v>
      </c>
      <c r="Y669">
        <v>0</v>
      </c>
      <c r="Z669">
        <v>0</v>
      </c>
      <c r="AA669">
        <v>0</v>
      </c>
      <c r="AB669">
        <v>4.5118209709438702E-3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2.2984278753332699E-3</v>
      </c>
      <c r="AJ669">
        <v>0</v>
      </c>
      <c r="AK669">
        <v>0</v>
      </c>
      <c r="AL669">
        <v>3.5844863431070302E-3</v>
      </c>
      <c r="AM669">
        <v>0</v>
      </c>
    </row>
    <row r="670" spans="1:39" customFormat="1" hidden="1" x14ac:dyDescent="0.3">
      <c r="A670" t="s">
        <v>1188</v>
      </c>
      <c r="B670" t="s">
        <v>30</v>
      </c>
      <c r="C670" t="s">
        <v>111</v>
      </c>
      <c r="D670" t="s">
        <v>141</v>
      </c>
      <c r="E670" t="s">
        <v>140</v>
      </c>
      <c r="F670" t="s">
        <v>592</v>
      </c>
      <c r="G670" t="s">
        <v>1187</v>
      </c>
      <c r="H670" s="16">
        <v>0</v>
      </c>
      <c r="I670" s="11">
        <v>0</v>
      </c>
      <c r="J670" s="11">
        <v>0</v>
      </c>
      <c r="K670" s="11">
        <v>0</v>
      </c>
      <c r="L670" s="11">
        <v>0</v>
      </c>
      <c r="M670" s="11">
        <v>0</v>
      </c>
      <c r="N670" s="11">
        <v>0</v>
      </c>
      <c r="O670" s="11">
        <v>0</v>
      </c>
      <c r="P670" s="11">
        <v>0</v>
      </c>
      <c r="Q670" s="11">
        <v>0</v>
      </c>
      <c r="R670" s="11">
        <v>0</v>
      </c>
      <c r="S670" s="11">
        <v>2.4883049666567102E-3</v>
      </c>
      <c r="T670" s="11">
        <v>0</v>
      </c>
      <c r="U670">
        <v>3.04201016031394E-3</v>
      </c>
      <c r="V670">
        <v>0</v>
      </c>
      <c r="W670">
        <v>0</v>
      </c>
      <c r="X670">
        <v>1.2848515996402399E-2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</row>
    <row r="671" spans="1:39" customFormat="1" hidden="1" x14ac:dyDescent="0.3">
      <c r="A671" t="s">
        <v>1186</v>
      </c>
      <c r="B671" t="s">
        <v>30</v>
      </c>
      <c r="C671" t="s">
        <v>81</v>
      </c>
      <c r="D671" t="s">
        <v>85</v>
      </c>
      <c r="E671" t="s">
        <v>287</v>
      </c>
      <c r="F671" t="s">
        <v>1126</v>
      </c>
      <c r="G671" t="s">
        <v>1126</v>
      </c>
      <c r="H671" s="16">
        <v>0</v>
      </c>
      <c r="I671" s="11">
        <v>0</v>
      </c>
      <c r="J671" s="11">
        <v>0</v>
      </c>
      <c r="K671" s="11">
        <v>0</v>
      </c>
      <c r="L671" s="11">
        <v>0</v>
      </c>
      <c r="M671" s="11">
        <v>0</v>
      </c>
      <c r="N671" s="11">
        <v>0</v>
      </c>
      <c r="O671" s="11">
        <v>0</v>
      </c>
      <c r="P671" s="11">
        <v>0</v>
      </c>
      <c r="Q671" s="11">
        <v>0</v>
      </c>
      <c r="R671" s="11">
        <v>0</v>
      </c>
      <c r="S671" s="11">
        <v>0</v>
      </c>
      <c r="T671" s="11">
        <v>0</v>
      </c>
      <c r="U671">
        <v>0</v>
      </c>
      <c r="V671">
        <v>0</v>
      </c>
      <c r="W671">
        <v>0</v>
      </c>
      <c r="X671">
        <v>0</v>
      </c>
      <c r="Y671">
        <v>2.9264581077521898E-3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</row>
    <row r="672" spans="1:39" customFormat="1" hidden="1" x14ac:dyDescent="0.3">
      <c r="A672" t="s">
        <v>1184</v>
      </c>
      <c r="B672" t="s">
        <v>30</v>
      </c>
      <c r="C672" t="s">
        <v>81</v>
      </c>
      <c r="D672" t="s">
        <v>85</v>
      </c>
      <c r="E672" t="s">
        <v>287</v>
      </c>
      <c r="F672" t="s">
        <v>470</v>
      </c>
      <c r="G672" t="s">
        <v>469</v>
      </c>
      <c r="H672" s="16">
        <v>0</v>
      </c>
      <c r="I672" s="11">
        <v>0</v>
      </c>
      <c r="J672" s="11">
        <v>0</v>
      </c>
      <c r="K672" s="11">
        <v>0</v>
      </c>
      <c r="L672" s="11">
        <v>0</v>
      </c>
      <c r="M672" s="11">
        <v>0</v>
      </c>
      <c r="N672" s="11">
        <v>0</v>
      </c>
      <c r="O672" s="11">
        <v>3.75023438964935E-3</v>
      </c>
      <c r="P672" s="11">
        <v>0</v>
      </c>
      <c r="Q672" s="11">
        <v>0</v>
      </c>
      <c r="R672" s="11">
        <v>0</v>
      </c>
      <c r="S672" s="11">
        <v>0</v>
      </c>
      <c r="T672" s="11">
        <v>3.3464962184592698E-3</v>
      </c>
      <c r="U672">
        <v>0</v>
      </c>
      <c r="V672">
        <v>0</v>
      </c>
      <c r="W672">
        <v>2.6668088964744798E-3</v>
      </c>
      <c r="X672">
        <v>0</v>
      </c>
      <c r="Y672">
        <v>2.9264581077521898E-3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6.02700096432015E-3</v>
      </c>
      <c r="AL672">
        <v>0</v>
      </c>
      <c r="AM672">
        <v>0</v>
      </c>
    </row>
    <row r="673" spans="1:39" customFormat="1" hidden="1" x14ac:dyDescent="0.3">
      <c r="A673" t="s">
        <v>1183</v>
      </c>
      <c r="B673" t="s">
        <v>30</v>
      </c>
      <c r="C673" t="s">
        <v>29</v>
      </c>
      <c r="D673" t="s">
        <v>28</v>
      </c>
      <c r="E673" t="s">
        <v>27</v>
      </c>
      <c r="F673" t="s">
        <v>67</v>
      </c>
      <c r="G673" t="s">
        <v>66</v>
      </c>
      <c r="H673" s="16">
        <v>0</v>
      </c>
      <c r="I673" s="11">
        <v>0</v>
      </c>
      <c r="J673" s="11">
        <v>0</v>
      </c>
      <c r="K673" s="11">
        <v>0</v>
      </c>
      <c r="L673" s="11">
        <v>0</v>
      </c>
      <c r="M673" s="11">
        <v>0</v>
      </c>
      <c r="N673" s="11">
        <v>0</v>
      </c>
      <c r="O673" s="11">
        <v>0</v>
      </c>
      <c r="P673" s="11">
        <v>0</v>
      </c>
      <c r="Q673" s="11">
        <v>2.7492920572952501E-3</v>
      </c>
      <c r="R673" s="11">
        <v>0</v>
      </c>
      <c r="S673" s="11">
        <v>0</v>
      </c>
      <c r="T673" s="11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</row>
    <row r="674" spans="1:39" customFormat="1" hidden="1" x14ac:dyDescent="0.3">
      <c r="A674" t="s">
        <v>1182</v>
      </c>
      <c r="B674" t="s">
        <v>30</v>
      </c>
      <c r="C674" t="s">
        <v>410</v>
      </c>
      <c r="D674" t="s">
        <v>410</v>
      </c>
      <c r="E674" t="s">
        <v>409</v>
      </c>
      <c r="F674" t="s">
        <v>408</v>
      </c>
      <c r="G674" t="s">
        <v>407</v>
      </c>
      <c r="H674" s="16">
        <v>0</v>
      </c>
      <c r="I674" s="11">
        <v>0</v>
      </c>
      <c r="J674" s="11">
        <v>0</v>
      </c>
      <c r="K674" s="11">
        <v>0</v>
      </c>
      <c r="L674" s="11">
        <v>0</v>
      </c>
      <c r="M674" s="11">
        <v>0</v>
      </c>
      <c r="N674" s="11">
        <v>4.5835816106705798E-3</v>
      </c>
      <c r="O674" s="11">
        <v>0</v>
      </c>
      <c r="P674" s="11">
        <v>0</v>
      </c>
      <c r="Q674" s="11">
        <v>0</v>
      </c>
      <c r="R674" s="11">
        <v>0</v>
      </c>
      <c r="S674" s="11">
        <v>0</v>
      </c>
      <c r="T674" s="11">
        <v>0</v>
      </c>
      <c r="U674">
        <v>0</v>
      </c>
      <c r="V674">
        <v>0</v>
      </c>
      <c r="W674">
        <v>0</v>
      </c>
      <c r="X674">
        <v>0</v>
      </c>
      <c r="Y674">
        <v>2.9264581077521898E-3</v>
      </c>
      <c r="Z674">
        <v>0</v>
      </c>
      <c r="AA674">
        <v>0</v>
      </c>
      <c r="AB674">
        <v>0</v>
      </c>
      <c r="AC674">
        <v>7.1911405148856597E-3</v>
      </c>
      <c r="AD674">
        <v>3.14564328405159E-3</v>
      </c>
      <c r="AE674">
        <v>0</v>
      </c>
      <c r="AF674">
        <v>0</v>
      </c>
      <c r="AG674">
        <v>2.3469220117815501E-3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</row>
    <row r="675" spans="1:39" customFormat="1" hidden="1" x14ac:dyDescent="0.3">
      <c r="A675" t="s">
        <v>1181</v>
      </c>
      <c r="B675" t="s">
        <v>30</v>
      </c>
      <c r="C675" t="s">
        <v>111</v>
      </c>
      <c r="D675" t="s">
        <v>141</v>
      </c>
      <c r="E675" t="s">
        <v>140</v>
      </c>
      <c r="F675" t="s">
        <v>592</v>
      </c>
      <c r="G675" t="s">
        <v>958</v>
      </c>
      <c r="H675" s="16">
        <v>0</v>
      </c>
      <c r="I675" s="11">
        <v>0</v>
      </c>
      <c r="J675" s="11">
        <v>0</v>
      </c>
      <c r="K675" s="11">
        <v>0</v>
      </c>
      <c r="L675" s="11">
        <v>0</v>
      </c>
      <c r="M675" s="11">
        <v>0</v>
      </c>
      <c r="N675" s="11">
        <v>0</v>
      </c>
      <c r="O675" s="11">
        <v>0</v>
      </c>
      <c r="P675" s="11">
        <v>0</v>
      </c>
      <c r="Q675" s="11">
        <v>0</v>
      </c>
      <c r="R675" s="11">
        <v>2.2441148089136199E-3</v>
      </c>
      <c r="S675" s="11">
        <v>0</v>
      </c>
      <c r="T675" s="11">
        <v>0</v>
      </c>
      <c r="U675">
        <v>3.04201016031394E-3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</row>
    <row r="676" spans="1:39" customFormat="1" hidden="1" x14ac:dyDescent="0.3">
      <c r="A676" t="s">
        <v>1180</v>
      </c>
      <c r="B676" t="s">
        <v>30</v>
      </c>
      <c r="C676" t="s">
        <v>1179</v>
      </c>
      <c r="D676" t="s">
        <v>1178</v>
      </c>
      <c r="E676" t="s">
        <v>1177</v>
      </c>
      <c r="F676" t="s">
        <v>1176</v>
      </c>
      <c r="G676" t="s">
        <v>1175</v>
      </c>
      <c r="H676" s="16">
        <v>0</v>
      </c>
      <c r="I676" s="11">
        <v>0</v>
      </c>
      <c r="J676" s="11">
        <v>0</v>
      </c>
      <c r="K676" s="11">
        <v>0</v>
      </c>
      <c r="L676" s="11">
        <v>0</v>
      </c>
      <c r="M676" s="11">
        <v>0</v>
      </c>
      <c r="N676" s="11">
        <v>0</v>
      </c>
      <c r="O676" s="11">
        <v>0</v>
      </c>
      <c r="P676" s="11">
        <v>0</v>
      </c>
      <c r="Q676" s="11">
        <v>0</v>
      </c>
      <c r="R676" s="11">
        <v>0</v>
      </c>
      <c r="S676" s="11">
        <v>0</v>
      </c>
      <c r="T676" s="11">
        <v>3.3464962184592698E-3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3.14564328405159E-3</v>
      </c>
      <c r="AE676">
        <v>0</v>
      </c>
      <c r="AF676">
        <v>0</v>
      </c>
      <c r="AG676">
        <v>4.6938440235631002E-3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</row>
    <row r="677" spans="1:39" customFormat="1" hidden="1" x14ac:dyDescent="0.3">
      <c r="A677" t="s">
        <v>1174</v>
      </c>
      <c r="B677" t="s">
        <v>30</v>
      </c>
      <c r="C677" t="s">
        <v>81</v>
      </c>
      <c r="D677" t="s">
        <v>80</v>
      </c>
      <c r="E677" t="s">
        <v>212</v>
      </c>
      <c r="F677" t="s">
        <v>211</v>
      </c>
      <c r="G677" t="s">
        <v>1173</v>
      </c>
      <c r="H677" s="16">
        <v>0</v>
      </c>
      <c r="I677" s="11">
        <v>0</v>
      </c>
      <c r="J677" s="11">
        <v>0</v>
      </c>
      <c r="K677" s="11">
        <v>0</v>
      </c>
      <c r="L677" s="11">
        <v>0</v>
      </c>
      <c r="M677" s="11">
        <v>0</v>
      </c>
      <c r="N677" s="11">
        <v>0</v>
      </c>
      <c r="O677" s="11">
        <v>0</v>
      </c>
      <c r="P677" s="11">
        <v>0</v>
      </c>
      <c r="Q677" s="11">
        <v>5.4985841145904898E-3</v>
      </c>
      <c r="R677" s="11">
        <v>0</v>
      </c>
      <c r="S677" s="11">
        <v>0</v>
      </c>
      <c r="T677" s="11">
        <v>0</v>
      </c>
      <c r="U677">
        <v>0</v>
      </c>
      <c r="V677">
        <v>0</v>
      </c>
      <c r="W677">
        <v>0</v>
      </c>
      <c r="X677">
        <v>0</v>
      </c>
      <c r="Y677">
        <v>2.9264581077521898E-3</v>
      </c>
      <c r="Z677">
        <v>3.1774275546517499E-3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</row>
    <row r="678" spans="1:39" customFormat="1" hidden="1" x14ac:dyDescent="0.3">
      <c r="A678" t="s">
        <v>1172</v>
      </c>
      <c r="B678" t="s">
        <v>30</v>
      </c>
      <c r="C678" t="s">
        <v>29</v>
      </c>
      <c r="D678" t="s">
        <v>28</v>
      </c>
      <c r="E678" t="s">
        <v>27</v>
      </c>
      <c r="F678" t="s">
        <v>26</v>
      </c>
      <c r="G678" t="s">
        <v>25</v>
      </c>
      <c r="H678" s="16">
        <v>0</v>
      </c>
      <c r="I678" s="11">
        <v>0</v>
      </c>
      <c r="J678" s="11">
        <v>0</v>
      </c>
      <c r="K678" s="11">
        <v>0</v>
      </c>
      <c r="L678" s="11">
        <v>0</v>
      </c>
      <c r="M678" s="11">
        <v>0</v>
      </c>
      <c r="N678" s="11">
        <v>0</v>
      </c>
      <c r="O678" s="11">
        <v>0</v>
      </c>
      <c r="P678" s="11">
        <v>0</v>
      </c>
      <c r="Q678" s="11">
        <v>0</v>
      </c>
      <c r="R678" s="11">
        <v>0</v>
      </c>
      <c r="S678" s="11">
        <v>0</v>
      </c>
      <c r="T678" s="11">
        <v>0</v>
      </c>
      <c r="U678">
        <v>0</v>
      </c>
      <c r="V678">
        <v>0</v>
      </c>
      <c r="W678">
        <v>2.6668088964744798E-3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3.5915670006823998E-3</v>
      </c>
      <c r="AK678">
        <v>0</v>
      </c>
      <c r="AL678">
        <v>3.5844863431070302E-3</v>
      </c>
      <c r="AM678">
        <v>0</v>
      </c>
    </row>
    <row r="679" spans="1:39" customFormat="1" hidden="1" x14ac:dyDescent="0.3">
      <c r="A679" t="s">
        <v>1171</v>
      </c>
      <c r="B679" t="s">
        <v>30</v>
      </c>
      <c r="C679" t="s">
        <v>29</v>
      </c>
      <c r="D679" t="s">
        <v>28</v>
      </c>
      <c r="E679" t="s">
        <v>27</v>
      </c>
      <c r="F679" t="s">
        <v>26</v>
      </c>
      <c r="G679" t="s">
        <v>25</v>
      </c>
      <c r="H679" s="16">
        <v>0</v>
      </c>
      <c r="I679" s="11">
        <v>0</v>
      </c>
      <c r="J679" s="11">
        <v>0</v>
      </c>
      <c r="K679" s="11">
        <v>0</v>
      </c>
      <c r="L679" s="11">
        <v>0</v>
      </c>
      <c r="M679" s="11">
        <v>0</v>
      </c>
      <c r="N679" s="11">
        <v>0</v>
      </c>
      <c r="O679" s="11">
        <v>0</v>
      </c>
      <c r="P679" s="11">
        <v>3.3947788301592198E-3</v>
      </c>
      <c r="Q679" s="11">
        <v>0</v>
      </c>
      <c r="R679" s="11">
        <v>2.2441148089136199E-3</v>
      </c>
      <c r="S679" s="11">
        <v>0</v>
      </c>
      <c r="T679" s="11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</row>
    <row r="680" spans="1:39" customFormat="1" hidden="1" x14ac:dyDescent="0.3">
      <c r="A680" t="s">
        <v>1166</v>
      </c>
      <c r="B680" t="s">
        <v>30</v>
      </c>
      <c r="C680" t="s">
        <v>29</v>
      </c>
      <c r="D680" t="s">
        <v>28</v>
      </c>
      <c r="E680" t="s">
        <v>27</v>
      </c>
      <c r="F680" t="s">
        <v>26</v>
      </c>
      <c r="G680" t="s">
        <v>25</v>
      </c>
      <c r="H680" s="16">
        <v>0</v>
      </c>
      <c r="I680" s="11">
        <v>0</v>
      </c>
      <c r="J680" s="11">
        <v>0</v>
      </c>
      <c r="K680" s="11">
        <v>0</v>
      </c>
      <c r="L680" s="11">
        <v>0</v>
      </c>
      <c r="M680" s="11">
        <v>0</v>
      </c>
      <c r="N680" s="11">
        <v>0</v>
      </c>
      <c r="O680" s="11">
        <v>0</v>
      </c>
      <c r="P680" s="11">
        <v>0</v>
      </c>
      <c r="Q680" s="11">
        <v>0</v>
      </c>
      <c r="R680" s="11">
        <v>0</v>
      </c>
      <c r="S680" s="11">
        <v>0</v>
      </c>
      <c r="T680" s="11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3.5915670006823998E-3</v>
      </c>
      <c r="AK680">
        <v>0</v>
      </c>
      <c r="AL680">
        <v>0</v>
      </c>
      <c r="AM680">
        <v>0</v>
      </c>
    </row>
    <row r="681" spans="1:39" customFormat="1" hidden="1" x14ac:dyDescent="0.3">
      <c r="A681" t="s">
        <v>1165</v>
      </c>
      <c r="B681" t="s">
        <v>30</v>
      </c>
      <c r="C681" t="s">
        <v>29</v>
      </c>
      <c r="D681" t="s">
        <v>28</v>
      </c>
      <c r="E681" t="s">
        <v>27</v>
      </c>
      <c r="F681" t="s">
        <v>26</v>
      </c>
      <c r="G681" t="s">
        <v>25</v>
      </c>
      <c r="H681" s="16">
        <v>0</v>
      </c>
      <c r="I681" s="11">
        <v>0</v>
      </c>
      <c r="J681" s="11">
        <v>0</v>
      </c>
      <c r="K681" s="11">
        <v>0</v>
      </c>
      <c r="L681" s="11">
        <v>0</v>
      </c>
      <c r="M681" s="11">
        <v>0</v>
      </c>
      <c r="N681" s="11">
        <v>0</v>
      </c>
      <c r="O681" s="11">
        <v>0</v>
      </c>
      <c r="P681" s="11">
        <v>0</v>
      </c>
      <c r="Q681" s="11">
        <v>0</v>
      </c>
      <c r="R681" s="11">
        <v>0</v>
      </c>
      <c r="S681" s="11">
        <v>0</v>
      </c>
      <c r="T681" s="1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</row>
    <row r="682" spans="1:39" customFormat="1" hidden="1" x14ac:dyDescent="0.3">
      <c r="A682" t="s">
        <v>1164</v>
      </c>
      <c r="B682" t="s">
        <v>30</v>
      </c>
      <c r="C682" t="s">
        <v>29</v>
      </c>
      <c r="D682" t="s">
        <v>28</v>
      </c>
      <c r="E682" t="s">
        <v>27</v>
      </c>
      <c r="F682" t="s">
        <v>26</v>
      </c>
      <c r="G682" t="s">
        <v>25</v>
      </c>
      <c r="H682" s="16">
        <v>0</v>
      </c>
      <c r="I682" s="11">
        <v>0</v>
      </c>
      <c r="J682" s="11">
        <v>0</v>
      </c>
      <c r="K682" s="11">
        <v>0</v>
      </c>
      <c r="L682" s="11">
        <v>0</v>
      </c>
      <c r="M682" s="11">
        <v>0</v>
      </c>
      <c r="N682" s="11">
        <v>0</v>
      </c>
      <c r="O682" s="11">
        <v>0</v>
      </c>
      <c r="P682" s="11">
        <v>0</v>
      </c>
      <c r="Q682" s="11">
        <v>0</v>
      </c>
      <c r="R682" s="11">
        <v>0</v>
      </c>
      <c r="S682" s="11">
        <v>0</v>
      </c>
      <c r="T682" s="11">
        <v>3.3464962184592698E-3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4.6410173109945703E-3</v>
      </c>
      <c r="AI682">
        <v>0</v>
      </c>
      <c r="AJ682">
        <v>0</v>
      </c>
      <c r="AK682">
        <v>0</v>
      </c>
      <c r="AL682">
        <v>0</v>
      </c>
      <c r="AM682">
        <v>0</v>
      </c>
    </row>
    <row r="683" spans="1:39" customFormat="1" hidden="1" x14ac:dyDescent="0.3">
      <c r="A683" t="s">
        <v>1163</v>
      </c>
      <c r="B683" t="s">
        <v>30</v>
      </c>
      <c r="C683" t="s">
        <v>29</v>
      </c>
      <c r="D683" t="s">
        <v>28</v>
      </c>
      <c r="E683" t="s">
        <v>27</v>
      </c>
      <c r="F683" t="s">
        <v>26</v>
      </c>
      <c r="G683" t="s">
        <v>25</v>
      </c>
      <c r="H683" s="16">
        <v>0</v>
      </c>
      <c r="I683" s="11">
        <v>0</v>
      </c>
      <c r="J683" s="11">
        <v>0</v>
      </c>
      <c r="K683" s="11">
        <v>0</v>
      </c>
      <c r="L683" s="11">
        <v>0</v>
      </c>
      <c r="M683" s="11">
        <v>0</v>
      </c>
      <c r="N683" s="11">
        <v>0</v>
      </c>
      <c r="O683" s="11">
        <v>0</v>
      </c>
      <c r="P683" s="11">
        <v>0</v>
      </c>
      <c r="Q683" s="11">
        <v>0</v>
      </c>
      <c r="R683" s="11">
        <v>0</v>
      </c>
      <c r="S683" s="11">
        <v>2.4883049666567102E-3</v>
      </c>
      <c r="T683" s="11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</row>
    <row r="684" spans="1:39" customFormat="1" hidden="1" x14ac:dyDescent="0.3">
      <c r="A684" t="s">
        <v>1156</v>
      </c>
      <c r="B684" t="s">
        <v>30</v>
      </c>
      <c r="C684" t="s">
        <v>41</v>
      </c>
      <c r="D684" t="s">
        <v>41</v>
      </c>
      <c r="E684" t="s">
        <v>41</v>
      </c>
      <c r="F684" t="s">
        <v>41</v>
      </c>
      <c r="G684" t="s">
        <v>41</v>
      </c>
      <c r="H684" s="16">
        <v>0</v>
      </c>
      <c r="I684" s="11">
        <v>0</v>
      </c>
      <c r="J684" s="11">
        <v>0</v>
      </c>
      <c r="K684" s="11">
        <v>0</v>
      </c>
      <c r="L684" s="11">
        <v>0</v>
      </c>
      <c r="M684" s="11">
        <v>0</v>
      </c>
      <c r="N684" s="11">
        <v>0</v>
      </c>
      <c r="O684" s="11">
        <v>0</v>
      </c>
      <c r="P684" s="11">
        <v>0</v>
      </c>
      <c r="Q684" s="11">
        <v>0</v>
      </c>
      <c r="R684" s="11">
        <v>0</v>
      </c>
      <c r="S684" s="11">
        <v>0</v>
      </c>
      <c r="T684" s="11">
        <v>0</v>
      </c>
      <c r="U684">
        <v>0</v>
      </c>
      <c r="V684">
        <v>3.6144142841652502E-3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4.5118209709438702E-3</v>
      </c>
      <c r="AC684">
        <v>0</v>
      </c>
      <c r="AD684">
        <v>0</v>
      </c>
      <c r="AE684">
        <v>0</v>
      </c>
      <c r="AF684">
        <v>5.03372596395852E-3</v>
      </c>
      <c r="AG684">
        <v>0</v>
      </c>
      <c r="AH684">
        <v>0</v>
      </c>
      <c r="AI684">
        <v>0</v>
      </c>
      <c r="AJ684">
        <v>0</v>
      </c>
      <c r="AK684">
        <v>6.02700096432015E-3</v>
      </c>
      <c r="AL684">
        <v>0</v>
      </c>
      <c r="AM684">
        <v>0</v>
      </c>
    </row>
    <row r="685" spans="1:39" customFormat="1" hidden="1" x14ac:dyDescent="0.3">
      <c r="A685" t="s">
        <v>1155</v>
      </c>
      <c r="B685" t="s">
        <v>30</v>
      </c>
      <c r="C685" t="s">
        <v>111</v>
      </c>
      <c r="D685" t="s">
        <v>141</v>
      </c>
      <c r="E685" t="s">
        <v>140</v>
      </c>
      <c r="F685" t="s">
        <v>276</v>
      </c>
      <c r="G685" t="s">
        <v>1154</v>
      </c>
      <c r="H685" s="16">
        <v>0</v>
      </c>
      <c r="I685" s="11">
        <v>0</v>
      </c>
      <c r="J685" s="11">
        <v>0</v>
      </c>
      <c r="K685" s="11">
        <v>0</v>
      </c>
      <c r="L685" s="11">
        <v>0</v>
      </c>
      <c r="M685" s="11">
        <v>0</v>
      </c>
      <c r="N685" s="11">
        <v>0</v>
      </c>
      <c r="O685" s="11">
        <v>0</v>
      </c>
      <c r="P685" s="11">
        <v>0</v>
      </c>
      <c r="Q685" s="11">
        <v>0</v>
      </c>
      <c r="R685" s="11">
        <v>2.2441148089136199E-3</v>
      </c>
      <c r="S685" s="11">
        <v>0</v>
      </c>
      <c r="T685" s="11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9.0236419418877507E-3</v>
      </c>
      <c r="AC685">
        <v>0</v>
      </c>
      <c r="AD685">
        <v>6.2912865681031801E-3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</row>
    <row r="686" spans="1:39" customFormat="1" hidden="1" x14ac:dyDescent="0.3">
      <c r="A686" t="s">
        <v>1153</v>
      </c>
      <c r="B686" t="s">
        <v>30</v>
      </c>
      <c r="C686" t="s">
        <v>111</v>
      </c>
      <c r="D686" t="s">
        <v>141</v>
      </c>
      <c r="E686" t="s">
        <v>140</v>
      </c>
      <c r="F686" t="s">
        <v>276</v>
      </c>
      <c r="G686" t="s">
        <v>25</v>
      </c>
      <c r="H686" s="16">
        <v>0</v>
      </c>
      <c r="I686" s="11">
        <v>0</v>
      </c>
      <c r="J686" s="11">
        <v>0</v>
      </c>
      <c r="K686" s="11">
        <v>0</v>
      </c>
      <c r="L686" s="11">
        <v>0</v>
      </c>
      <c r="M686" s="11">
        <v>0</v>
      </c>
      <c r="N686" s="11">
        <v>0</v>
      </c>
      <c r="O686" s="11">
        <v>0</v>
      </c>
      <c r="P686" s="11">
        <v>0</v>
      </c>
      <c r="Q686" s="11">
        <v>0</v>
      </c>
      <c r="R686" s="11">
        <v>0</v>
      </c>
      <c r="S686" s="11">
        <v>0</v>
      </c>
      <c r="T686" s="11">
        <v>0</v>
      </c>
      <c r="U686">
        <v>0</v>
      </c>
      <c r="V686">
        <v>0</v>
      </c>
      <c r="W686">
        <v>0</v>
      </c>
      <c r="X686">
        <v>0</v>
      </c>
      <c r="Y686">
        <v>2.9264581077521898E-3</v>
      </c>
      <c r="Z686">
        <v>0</v>
      </c>
      <c r="AA686">
        <v>0</v>
      </c>
      <c r="AB686">
        <v>0</v>
      </c>
      <c r="AC686">
        <v>7.1911405148856597E-3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</row>
    <row r="687" spans="1:39" customFormat="1" hidden="1" x14ac:dyDescent="0.3">
      <c r="A687" t="s">
        <v>1152</v>
      </c>
      <c r="B687" t="s">
        <v>30</v>
      </c>
      <c r="C687" t="s">
        <v>35</v>
      </c>
      <c r="D687" t="s">
        <v>35</v>
      </c>
      <c r="E687" t="s">
        <v>45</v>
      </c>
      <c r="F687" t="s">
        <v>1151</v>
      </c>
      <c r="G687" t="s">
        <v>1151</v>
      </c>
      <c r="H687" s="16">
        <v>0</v>
      </c>
      <c r="I687" s="11">
        <v>0</v>
      </c>
      <c r="J687" s="11">
        <v>0</v>
      </c>
      <c r="K687" s="11">
        <v>0</v>
      </c>
      <c r="L687" s="11">
        <v>0</v>
      </c>
      <c r="M687" s="11">
        <v>0</v>
      </c>
      <c r="N687" s="11">
        <v>0</v>
      </c>
      <c r="O687" s="11">
        <v>0</v>
      </c>
      <c r="P687" s="11">
        <v>0</v>
      </c>
      <c r="Q687" s="11">
        <v>2.7492920572952501E-3</v>
      </c>
      <c r="R687" s="11">
        <v>0</v>
      </c>
      <c r="S687" s="11">
        <v>0</v>
      </c>
      <c r="T687" s="11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</row>
    <row r="688" spans="1:39" customFormat="1" hidden="1" x14ac:dyDescent="0.3">
      <c r="A688" t="s">
        <v>1150</v>
      </c>
      <c r="B688" t="s">
        <v>30</v>
      </c>
      <c r="C688" t="s">
        <v>111</v>
      </c>
      <c r="D688" t="s">
        <v>141</v>
      </c>
      <c r="E688" t="s">
        <v>140</v>
      </c>
      <c r="F688" t="s">
        <v>592</v>
      </c>
      <c r="G688" t="s">
        <v>612</v>
      </c>
      <c r="H688" s="16">
        <v>0</v>
      </c>
      <c r="I688" s="11">
        <v>0</v>
      </c>
      <c r="J688" s="11">
        <v>0</v>
      </c>
      <c r="K688" s="11">
        <v>0</v>
      </c>
      <c r="L688" s="11">
        <v>0</v>
      </c>
      <c r="M688" s="11">
        <v>0</v>
      </c>
      <c r="N688" s="11">
        <v>0</v>
      </c>
      <c r="O688" s="11">
        <v>0</v>
      </c>
      <c r="P688" s="11">
        <v>0</v>
      </c>
      <c r="Q688" s="11">
        <v>2.7492920572952501E-3</v>
      </c>
      <c r="R688" s="11">
        <v>0</v>
      </c>
      <c r="S688" s="11">
        <v>2.4883049666567102E-3</v>
      </c>
      <c r="T688" s="11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</row>
    <row r="689" spans="1:39" customFormat="1" hidden="1" x14ac:dyDescent="0.3">
      <c r="A689" t="s">
        <v>1149</v>
      </c>
      <c r="B689" t="s">
        <v>30</v>
      </c>
      <c r="C689" t="s">
        <v>81</v>
      </c>
      <c r="D689" t="s">
        <v>85</v>
      </c>
      <c r="E689" t="s">
        <v>84</v>
      </c>
      <c r="F689" t="s">
        <v>84</v>
      </c>
      <c r="G689" t="s">
        <v>84</v>
      </c>
      <c r="H689" s="16">
        <v>0</v>
      </c>
      <c r="I689" s="11">
        <v>0</v>
      </c>
      <c r="J689" s="11">
        <v>0</v>
      </c>
      <c r="K689" s="11">
        <v>0</v>
      </c>
      <c r="L689" s="11">
        <v>0</v>
      </c>
      <c r="M689" s="11">
        <v>0</v>
      </c>
      <c r="N689" s="11">
        <v>0</v>
      </c>
      <c r="O689" s="11">
        <v>0</v>
      </c>
      <c r="P689" s="11">
        <v>0</v>
      </c>
      <c r="Q689" s="11">
        <v>0</v>
      </c>
      <c r="R689" s="11">
        <v>2.2441148089136199E-3</v>
      </c>
      <c r="S689" s="11">
        <v>0</v>
      </c>
      <c r="T689" s="11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7.1911405148856597E-3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</v>
      </c>
      <c r="AM689">
        <v>0</v>
      </c>
    </row>
    <row r="690" spans="1:39" customFormat="1" hidden="1" x14ac:dyDescent="0.3">
      <c r="A690" t="s">
        <v>1148</v>
      </c>
      <c r="B690" t="s">
        <v>30</v>
      </c>
      <c r="C690" t="s">
        <v>81</v>
      </c>
      <c r="D690" t="s">
        <v>85</v>
      </c>
      <c r="E690" t="s">
        <v>84</v>
      </c>
      <c r="F690" t="s">
        <v>84</v>
      </c>
      <c r="G690" t="s">
        <v>84</v>
      </c>
      <c r="H690" s="16">
        <v>0</v>
      </c>
      <c r="I690" s="11">
        <v>0</v>
      </c>
      <c r="J690" s="11">
        <v>0</v>
      </c>
      <c r="K690" s="11">
        <v>0</v>
      </c>
      <c r="L690" s="11">
        <v>0</v>
      </c>
      <c r="M690" s="11">
        <v>0</v>
      </c>
      <c r="N690" s="11">
        <v>0</v>
      </c>
      <c r="O690" s="11">
        <v>0</v>
      </c>
      <c r="P690" s="11">
        <v>0</v>
      </c>
      <c r="Q690" s="11">
        <v>0</v>
      </c>
      <c r="R690" s="11">
        <v>0</v>
      </c>
      <c r="S690" s="11">
        <v>0</v>
      </c>
      <c r="T690" s="11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</row>
    <row r="691" spans="1:39" customFormat="1" hidden="1" x14ac:dyDescent="0.3">
      <c r="A691" t="s">
        <v>1147</v>
      </c>
      <c r="B691" t="s">
        <v>30</v>
      </c>
      <c r="C691" t="s">
        <v>81</v>
      </c>
      <c r="D691" t="s">
        <v>351</v>
      </c>
      <c r="E691" t="s">
        <v>351</v>
      </c>
      <c r="F691" t="s">
        <v>351</v>
      </c>
      <c r="G691" t="s">
        <v>351</v>
      </c>
      <c r="H691" s="16">
        <v>0</v>
      </c>
      <c r="I691" s="11">
        <v>0</v>
      </c>
      <c r="J691" s="11">
        <v>0</v>
      </c>
      <c r="K691" s="11">
        <v>0</v>
      </c>
      <c r="L691" s="11">
        <v>0</v>
      </c>
      <c r="M691" s="11">
        <v>0</v>
      </c>
      <c r="N691" s="11">
        <v>0</v>
      </c>
      <c r="O691" s="11">
        <v>0</v>
      </c>
      <c r="P691" s="11">
        <v>3.3947788301592198E-3</v>
      </c>
      <c r="Q691" s="11">
        <v>0</v>
      </c>
      <c r="R691" s="11">
        <v>0</v>
      </c>
      <c r="S691" s="11">
        <v>0</v>
      </c>
      <c r="T691" s="11">
        <v>0</v>
      </c>
      <c r="U691">
        <v>3.04201016031394E-3</v>
      </c>
      <c r="V691">
        <v>0</v>
      </c>
      <c r="W691">
        <v>0</v>
      </c>
      <c r="X691">
        <v>6.4242579982012101E-3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</row>
    <row r="692" spans="1:39" customFormat="1" hidden="1" x14ac:dyDescent="0.3">
      <c r="A692" t="s">
        <v>1146</v>
      </c>
      <c r="B692" t="s">
        <v>30</v>
      </c>
      <c r="C692" t="s">
        <v>81</v>
      </c>
      <c r="D692" t="s">
        <v>85</v>
      </c>
      <c r="E692" t="s">
        <v>84</v>
      </c>
      <c r="F692" t="s">
        <v>84</v>
      </c>
      <c r="G692" t="s">
        <v>84</v>
      </c>
      <c r="H692" s="16">
        <v>0</v>
      </c>
      <c r="I692" s="11">
        <v>0</v>
      </c>
      <c r="J692" s="11">
        <v>0</v>
      </c>
      <c r="K692" s="11">
        <v>0</v>
      </c>
      <c r="L692" s="11">
        <v>0</v>
      </c>
      <c r="M692" s="11">
        <v>0</v>
      </c>
      <c r="N692" s="11">
        <v>0</v>
      </c>
      <c r="O692" s="11">
        <v>0</v>
      </c>
      <c r="P692" s="11">
        <v>0</v>
      </c>
      <c r="Q692" s="11">
        <v>0</v>
      </c>
      <c r="R692" s="11">
        <v>0</v>
      </c>
      <c r="S692" s="11">
        <v>0</v>
      </c>
      <c r="T692" s="11">
        <v>0</v>
      </c>
      <c r="U692">
        <v>3.04201016031394E-3</v>
      </c>
      <c r="V692">
        <v>0</v>
      </c>
      <c r="W692">
        <v>0</v>
      </c>
      <c r="X692">
        <v>0</v>
      </c>
      <c r="Y692">
        <v>0</v>
      </c>
      <c r="Z692">
        <v>3.1774275546517499E-3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7.1831340013647996E-3</v>
      </c>
      <c r="AK692">
        <v>0</v>
      </c>
      <c r="AL692">
        <v>0</v>
      </c>
      <c r="AM692">
        <v>0</v>
      </c>
    </row>
    <row r="693" spans="1:39" customFormat="1" hidden="1" x14ac:dyDescent="0.3">
      <c r="A693" t="s">
        <v>1145</v>
      </c>
      <c r="B693" t="s">
        <v>30</v>
      </c>
      <c r="C693" t="s">
        <v>81</v>
      </c>
      <c r="D693" t="s">
        <v>85</v>
      </c>
      <c r="E693" t="s">
        <v>84</v>
      </c>
      <c r="F693" t="s">
        <v>84</v>
      </c>
      <c r="G693" t="s">
        <v>84</v>
      </c>
      <c r="H693" s="16">
        <v>0</v>
      </c>
      <c r="I693" s="11">
        <v>0</v>
      </c>
      <c r="J693" s="11">
        <v>0</v>
      </c>
      <c r="K693" s="11">
        <v>0</v>
      </c>
      <c r="L693" s="11">
        <v>0</v>
      </c>
      <c r="M693" s="11">
        <v>0</v>
      </c>
      <c r="N693" s="11">
        <v>0</v>
      </c>
      <c r="O693" s="11">
        <v>0</v>
      </c>
      <c r="P693" s="11">
        <v>0</v>
      </c>
      <c r="Q693" s="11">
        <v>0</v>
      </c>
      <c r="R693" s="11">
        <v>0</v>
      </c>
      <c r="S693" s="11">
        <v>0</v>
      </c>
      <c r="T693" s="11">
        <v>3.3464962184592698E-3</v>
      </c>
      <c r="U693">
        <v>3.04201016031394E-3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3.5915670006823998E-3</v>
      </c>
      <c r="AK693">
        <v>0</v>
      </c>
      <c r="AL693">
        <v>0</v>
      </c>
      <c r="AM693">
        <v>0</v>
      </c>
    </row>
    <row r="694" spans="1:39" customFormat="1" hidden="1" x14ac:dyDescent="0.3">
      <c r="A694" t="s">
        <v>1144</v>
      </c>
      <c r="B694" t="s">
        <v>30</v>
      </c>
      <c r="C694" t="s">
        <v>526</v>
      </c>
      <c r="D694" t="s">
        <v>525</v>
      </c>
      <c r="E694" t="s">
        <v>524</v>
      </c>
      <c r="F694" t="s">
        <v>523</v>
      </c>
      <c r="G694" t="s">
        <v>1143</v>
      </c>
      <c r="H694" s="16">
        <v>0</v>
      </c>
      <c r="I694" s="11">
        <v>0</v>
      </c>
      <c r="J694" s="11">
        <v>0</v>
      </c>
      <c r="K694" s="11">
        <v>0</v>
      </c>
      <c r="L694" s="11">
        <v>0</v>
      </c>
      <c r="M694" s="11">
        <v>0</v>
      </c>
      <c r="N694" s="11">
        <v>0</v>
      </c>
      <c r="O694" s="11">
        <v>0</v>
      </c>
      <c r="P694" s="11">
        <v>0</v>
      </c>
      <c r="Q694" s="11">
        <v>0</v>
      </c>
      <c r="R694" s="11">
        <v>2.2441148089136199E-3</v>
      </c>
      <c r="S694" s="11">
        <v>0</v>
      </c>
      <c r="T694" s="11">
        <v>0</v>
      </c>
      <c r="U694">
        <v>0</v>
      </c>
      <c r="V694">
        <v>3.6144142841652502E-3</v>
      </c>
      <c r="W694">
        <v>0</v>
      </c>
      <c r="X694">
        <v>0</v>
      </c>
      <c r="Y694">
        <v>0</v>
      </c>
      <c r="Z694">
        <v>6.3548551093035102E-3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3.5844863431070302E-3</v>
      </c>
      <c r="AM694">
        <v>0</v>
      </c>
    </row>
    <row r="695" spans="1:39" customFormat="1" hidden="1" x14ac:dyDescent="0.3">
      <c r="A695" t="s">
        <v>1142</v>
      </c>
      <c r="B695" t="s">
        <v>30</v>
      </c>
      <c r="C695" t="s">
        <v>35</v>
      </c>
      <c r="D695" t="s">
        <v>35</v>
      </c>
      <c r="E695" t="s">
        <v>240</v>
      </c>
      <c r="F695" t="s">
        <v>243</v>
      </c>
      <c r="G695" t="s">
        <v>242</v>
      </c>
      <c r="H695" s="16">
        <v>0</v>
      </c>
      <c r="I695" s="11">
        <v>0</v>
      </c>
      <c r="J695" s="11">
        <v>0</v>
      </c>
      <c r="K695" s="11">
        <v>0</v>
      </c>
      <c r="L695" s="11">
        <v>0</v>
      </c>
      <c r="M695" s="11">
        <v>0</v>
      </c>
      <c r="N695" s="11">
        <v>0</v>
      </c>
      <c r="O695" s="11">
        <v>0</v>
      </c>
      <c r="P695" s="11">
        <v>0</v>
      </c>
      <c r="Q695" s="11">
        <v>2.7492920572952501E-3</v>
      </c>
      <c r="R695" s="11">
        <v>0</v>
      </c>
      <c r="S695" s="11">
        <v>0</v>
      </c>
      <c r="T695" s="11">
        <v>6.69299243691855E-3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4.6410173109945703E-3</v>
      </c>
      <c r="AI695">
        <v>0</v>
      </c>
      <c r="AJ695">
        <v>0</v>
      </c>
      <c r="AK695">
        <v>0</v>
      </c>
      <c r="AL695">
        <v>0</v>
      </c>
      <c r="AM695">
        <v>0</v>
      </c>
    </row>
    <row r="696" spans="1:39" customFormat="1" hidden="1" x14ac:dyDescent="0.3">
      <c r="A696" t="s">
        <v>1141</v>
      </c>
      <c r="B696" t="s">
        <v>30</v>
      </c>
      <c r="C696" t="s">
        <v>81</v>
      </c>
      <c r="D696" t="s">
        <v>80</v>
      </c>
      <c r="E696" t="s">
        <v>618</v>
      </c>
      <c r="F696" t="s">
        <v>629</v>
      </c>
      <c r="G696" t="s">
        <v>1140</v>
      </c>
      <c r="H696" s="16">
        <v>0</v>
      </c>
      <c r="I696" s="11">
        <v>0</v>
      </c>
      <c r="J696" s="11">
        <v>0</v>
      </c>
      <c r="K696" s="11">
        <v>0</v>
      </c>
      <c r="L696" s="11">
        <v>0</v>
      </c>
      <c r="M696" s="11">
        <v>0</v>
      </c>
      <c r="N696" s="11">
        <v>0</v>
      </c>
      <c r="O696" s="11">
        <v>0</v>
      </c>
      <c r="P696" s="11">
        <v>0</v>
      </c>
      <c r="Q696" s="11">
        <v>0</v>
      </c>
      <c r="R696" s="11">
        <v>2.2441148089136199E-3</v>
      </c>
      <c r="S696" s="11">
        <v>0</v>
      </c>
      <c r="T696" s="11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2.3469220117815501E-3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</row>
    <row r="697" spans="1:39" customFormat="1" hidden="1" x14ac:dyDescent="0.3">
      <c r="A697" t="s">
        <v>1139</v>
      </c>
      <c r="B697" t="s">
        <v>30</v>
      </c>
      <c r="C697" t="s">
        <v>111</v>
      </c>
      <c r="D697" t="s">
        <v>141</v>
      </c>
      <c r="E697" t="s">
        <v>140</v>
      </c>
      <c r="F697" t="s">
        <v>206</v>
      </c>
      <c r="G697" t="s">
        <v>1138</v>
      </c>
      <c r="H697" s="16">
        <v>0</v>
      </c>
      <c r="I697" s="11">
        <v>0</v>
      </c>
      <c r="J697" s="11">
        <v>0</v>
      </c>
      <c r="K697" s="11">
        <v>0</v>
      </c>
      <c r="L697" s="11">
        <v>0</v>
      </c>
      <c r="M697" s="11">
        <v>0</v>
      </c>
      <c r="N697" s="11">
        <v>0</v>
      </c>
      <c r="O697" s="11">
        <v>0</v>
      </c>
      <c r="P697" s="11">
        <v>0</v>
      </c>
      <c r="Q697" s="11">
        <v>5.4985841145904898E-3</v>
      </c>
      <c r="R697" s="11">
        <v>2.2441148089136199E-3</v>
      </c>
      <c r="S697" s="11">
        <v>0</v>
      </c>
      <c r="T697" s="11">
        <v>0</v>
      </c>
      <c r="U697">
        <v>0</v>
      </c>
      <c r="V697">
        <v>0</v>
      </c>
      <c r="W697">
        <v>2.6668088964744798E-3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</v>
      </c>
    </row>
    <row r="698" spans="1:39" customFormat="1" hidden="1" x14ac:dyDescent="0.3">
      <c r="A698" t="s">
        <v>1137</v>
      </c>
      <c r="B698" t="s">
        <v>30</v>
      </c>
      <c r="C698" t="s">
        <v>81</v>
      </c>
      <c r="D698" t="s">
        <v>85</v>
      </c>
      <c r="E698" t="s">
        <v>287</v>
      </c>
      <c r="F698" t="s">
        <v>286</v>
      </c>
      <c r="G698" t="s">
        <v>286</v>
      </c>
      <c r="H698" s="16">
        <v>0</v>
      </c>
      <c r="I698" s="11">
        <v>0</v>
      </c>
      <c r="J698" s="11">
        <v>0</v>
      </c>
      <c r="K698" s="11">
        <v>0</v>
      </c>
      <c r="L698" s="11">
        <v>0</v>
      </c>
      <c r="M698" s="11">
        <v>0</v>
      </c>
      <c r="N698" s="11">
        <v>0</v>
      </c>
      <c r="O698" s="11">
        <v>3.75023438964935E-3</v>
      </c>
      <c r="P698" s="11">
        <v>0</v>
      </c>
      <c r="Q698" s="11">
        <v>0</v>
      </c>
      <c r="R698" s="11">
        <v>0</v>
      </c>
      <c r="S698" s="11">
        <v>0</v>
      </c>
      <c r="T698" s="11">
        <v>0</v>
      </c>
      <c r="U698">
        <v>0</v>
      </c>
      <c r="V698">
        <v>0</v>
      </c>
      <c r="W698">
        <v>0</v>
      </c>
      <c r="X698">
        <v>0</v>
      </c>
      <c r="Y698">
        <v>2.9264581077521898E-3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6.02700096432015E-3</v>
      </c>
      <c r="AL698">
        <v>3.5844863431070302E-3</v>
      </c>
      <c r="AM698">
        <v>0</v>
      </c>
    </row>
    <row r="699" spans="1:39" customFormat="1" hidden="1" x14ac:dyDescent="0.3">
      <c r="A699" t="s">
        <v>1136</v>
      </c>
      <c r="B699" t="s">
        <v>30</v>
      </c>
      <c r="C699" t="s">
        <v>81</v>
      </c>
      <c r="D699" t="s">
        <v>85</v>
      </c>
      <c r="E699" t="s">
        <v>287</v>
      </c>
      <c r="F699" t="s">
        <v>286</v>
      </c>
      <c r="G699" t="s">
        <v>286</v>
      </c>
      <c r="H699" s="16">
        <v>0</v>
      </c>
      <c r="I699" s="11">
        <v>0</v>
      </c>
      <c r="J699" s="11">
        <v>0</v>
      </c>
      <c r="K699" s="11">
        <v>0</v>
      </c>
      <c r="L699" s="11">
        <v>0</v>
      </c>
      <c r="M699" s="11">
        <v>0</v>
      </c>
      <c r="N699" s="11">
        <v>4.5835816106705798E-3</v>
      </c>
      <c r="O699" s="11">
        <v>0</v>
      </c>
      <c r="P699" s="11">
        <v>0</v>
      </c>
      <c r="Q699" s="11">
        <v>0</v>
      </c>
      <c r="R699" s="11">
        <v>0</v>
      </c>
      <c r="S699" s="11">
        <v>0</v>
      </c>
      <c r="T699" s="11">
        <v>0</v>
      </c>
      <c r="U699">
        <v>3.04201016031394E-3</v>
      </c>
      <c r="V699">
        <v>3.6144142841652502E-3</v>
      </c>
      <c r="W699">
        <v>0</v>
      </c>
      <c r="X699">
        <v>6.4242579982012101E-3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0</v>
      </c>
    </row>
    <row r="700" spans="1:39" customFormat="1" hidden="1" x14ac:dyDescent="0.3">
      <c r="A700" t="s">
        <v>1135</v>
      </c>
      <c r="B700" t="s">
        <v>30</v>
      </c>
      <c r="C700" t="s">
        <v>81</v>
      </c>
      <c r="D700" t="s">
        <v>85</v>
      </c>
      <c r="E700" t="s">
        <v>287</v>
      </c>
      <c r="F700" t="s">
        <v>470</v>
      </c>
      <c r="G700" t="s">
        <v>469</v>
      </c>
      <c r="H700" s="16">
        <v>0</v>
      </c>
      <c r="I700" s="11">
        <v>0</v>
      </c>
      <c r="J700" s="11">
        <v>0</v>
      </c>
      <c r="K700" s="11">
        <v>0</v>
      </c>
      <c r="L700" s="11">
        <v>0</v>
      </c>
      <c r="M700" s="11">
        <v>0</v>
      </c>
      <c r="N700" s="11">
        <v>0</v>
      </c>
      <c r="O700" s="11">
        <v>0</v>
      </c>
      <c r="P700" s="11">
        <v>0</v>
      </c>
      <c r="Q700" s="11">
        <v>2.7492920572952501E-3</v>
      </c>
      <c r="R700" s="11">
        <v>0</v>
      </c>
      <c r="S700" s="11">
        <v>0</v>
      </c>
      <c r="T700" s="11">
        <v>0</v>
      </c>
      <c r="U700">
        <v>3.04201016031394E-3</v>
      </c>
      <c r="V700">
        <v>0</v>
      </c>
      <c r="W700">
        <v>0</v>
      </c>
      <c r="X700">
        <v>0</v>
      </c>
      <c r="Y700">
        <v>2.9264581077521898E-3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2.2984278753332699E-3</v>
      </c>
      <c r="AJ700">
        <v>0</v>
      </c>
      <c r="AK700">
        <v>0</v>
      </c>
      <c r="AL700">
        <v>0</v>
      </c>
      <c r="AM700">
        <v>0</v>
      </c>
    </row>
    <row r="701" spans="1:39" customFormat="1" hidden="1" x14ac:dyDescent="0.3">
      <c r="A701" t="s">
        <v>1134</v>
      </c>
      <c r="B701" t="s">
        <v>30</v>
      </c>
      <c r="C701" t="s">
        <v>81</v>
      </c>
      <c r="D701" t="s">
        <v>118</v>
      </c>
      <c r="E701" t="s">
        <v>117</v>
      </c>
      <c r="F701" t="s">
        <v>116</v>
      </c>
      <c r="G701" t="s">
        <v>25</v>
      </c>
      <c r="H701" s="16">
        <v>0</v>
      </c>
      <c r="I701" s="11">
        <v>0</v>
      </c>
      <c r="J701" s="11">
        <v>0</v>
      </c>
      <c r="K701" s="11">
        <v>0</v>
      </c>
      <c r="L701" s="11">
        <v>0</v>
      </c>
      <c r="M701" s="11">
        <v>0</v>
      </c>
      <c r="N701" s="11">
        <v>0</v>
      </c>
      <c r="O701" s="11">
        <v>0</v>
      </c>
      <c r="P701" s="11">
        <v>0</v>
      </c>
      <c r="Q701" s="11">
        <v>0</v>
      </c>
      <c r="R701" s="11">
        <v>0</v>
      </c>
      <c r="S701" s="11">
        <v>0</v>
      </c>
      <c r="T701" s="11">
        <v>0</v>
      </c>
      <c r="U701">
        <v>3.04201016031394E-3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</row>
    <row r="702" spans="1:39" customFormat="1" hidden="1" x14ac:dyDescent="0.3">
      <c r="A702" t="s">
        <v>1132</v>
      </c>
      <c r="B702" t="s">
        <v>30</v>
      </c>
      <c r="C702" t="s">
        <v>81</v>
      </c>
      <c r="D702" t="s">
        <v>80</v>
      </c>
      <c r="E702" t="s">
        <v>618</v>
      </c>
      <c r="F702" t="s">
        <v>626</v>
      </c>
      <c r="G702" t="s">
        <v>626</v>
      </c>
      <c r="H702" s="16">
        <v>0</v>
      </c>
      <c r="I702" s="11">
        <v>0</v>
      </c>
      <c r="J702" s="11">
        <v>0</v>
      </c>
      <c r="K702" s="11">
        <v>0</v>
      </c>
      <c r="L702" s="11">
        <v>0</v>
      </c>
      <c r="M702" s="11">
        <v>0</v>
      </c>
      <c r="N702" s="11">
        <v>0</v>
      </c>
      <c r="O702" s="11">
        <v>0</v>
      </c>
      <c r="P702" s="11">
        <v>0</v>
      </c>
      <c r="Q702" s="11">
        <v>2.7492920572952501E-3</v>
      </c>
      <c r="R702" s="11">
        <v>2.2441148089136199E-3</v>
      </c>
      <c r="S702" s="11">
        <v>0</v>
      </c>
      <c r="T702" s="11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4.5118209709438702E-3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</row>
    <row r="703" spans="1:39" customFormat="1" hidden="1" x14ac:dyDescent="0.3">
      <c r="A703" t="s">
        <v>1131</v>
      </c>
      <c r="B703" t="s">
        <v>30</v>
      </c>
      <c r="C703" t="s">
        <v>264</v>
      </c>
      <c r="D703" t="s">
        <v>263</v>
      </c>
      <c r="E703" t="s">
        <v>262</v>
      </c>
      <c r="F703" t="s">
        <v>261</v>
      </c>
      <c r="G703" t="s">
        <v>260</v>
      </c>
      <c r="H703" s="16">
        <v>0</v>
      </c>
      <c r="I703" s="11">
        <v>0</v>
      </c>
      <c r="J703" s="11">
        <v>0</v>
      </c>
      <c r="K703" s="11">
        <v>0</v>
      </c>
      <c r="L703" s="11">
        <v>0</v>
      </c>
      <c r="M703" s="11">
        <v>0</v>
      </c>
      <c r="N703" s="11">
        <v>0</v>
      </c>
      <c r="O703" s="11">
        <v>0</v>
      </c>
      <c r="P703" s="11">
        <v>3.3947788301592198E-3</v>
      </c>
      <c r="Q703" s="11">
        <v>0</v>
      </c>
      <c r="R703" s="11">
        <v>0</v>
      </c>
      <c r="S703" s="11">
        <v>0</v>
      </c>
      <c r="T703" s="11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9.0236419418877507E-3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3.5844863431070302E-3</v>
      </c>
      <c r="AM703">
        <v>0</v>
      </c>
    </row>
    <row r="704" spans="1:39" customFormat="1" hidden="1" x14ac:dyDescent="0.3">
      <c r="A704" t="s">
        <v>1130</v>
      </c>
      <c r="B704" t="s">
        <v>30</v>
      </c>
      <c r="C704" t="s">
        <v>81</v>
      </c>
      <c r="D704" t="s">
        <v>85</v>
      </c>
      <c r="E704" t="s">
        <v>287</v>
      </c>
      <c r="F704" t="s">
        <v>1126</v>
      </c>
      <c r="G704" t="s">
        <v>1126</v>
      </c>
      <c r="H704" s="16">
        <v>0</v>
      </c>
      <c r="I704" s="11">
        <v>0</v>
      </c>
      <c r="J704" s="11">
        <v>0</v>
      </c>
      <c r="K704" s="11">
        <v>0</v>
      </c>
      <c r="L704" s="11">
        <v>0</v>
      </c>
      <c r="M704" s="11">
        <v>0</v>
      </c>
      <c r="N704" s="11">
        <v>0</v>
      </c>
      <c r="O704" s="11">
        <v>0</v>
      </c>
      <c r="P704" s="11">
        <v>0</v>
      </c>
      <c r="Q704" s="11">
        <v>2.7492920572952501E-3</v>
      </c>
      <c r="R704" s="11">
        <v>0</v>
      </c>
      <c r="S704" s="11">
        <v>0</v>
      </c>
      <c r="T704" s="11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4.6410173109945703E-3</v>
      </c>
      <c r="AI704">
        <v>0</v>
      </c>
      <c r="AJ704">
        <v>0</v>
      </c>
      <c r="AK704">
        <v>0</v>
      </c>
      <c r="AL704">
        <v>3.5844863431070302E-3</v>
      </c>
      <c r="AM704">
        <v>0</v>
      </c>
    </row>
    <row r="705" spans="1:39" customFormat="1" hidden="1" x14ac:dyDescent="0.3">
      <c r="A705" t="s">
        <v>1129</v>
      </c>
      <c r="B705" t="s">
        <v>30</v>
      </c>
      <c r="C705" t="s">
        <v>81</v>
      </c>
      <c r="D705" t="s">
        <v>85</v>
      </c>
      <c r="E705" t="s">
        <v>287</v>
      </c>
      <c r="F705" t="s">
        <v>286</v>
      </c>
      <c r="G705" t="s">
        <v>286</v>
      </c>
      <c r="H705" s="16">
        <v>0</v>
      </c>
      <c r="I705" s="11">
        <v>0</v>
      </c>
      <c r="J705" s="11">
        <v>0</v>
      </c>
      <c r="K705" s="11">
        <v>0</v>
      </c>
      <c r="L705" s="11">
        <v>0</v>
      </c>
      <c r="M705" s="11">
        <v>0</v>
      </c>
      <c r="N705" s="11">
        <v>4.5835816106705798E-3</v>
      </c>
      <c r="O705" s="11">
        <v>0</v>
      </c>
      <c r="P705" s="11">
        <v>0</v>
      </c>
      <c r="Q705" s="11">
        <v>0</v>
      </c>
      <c r="R705" s="11">
        <v>0</v>
      </c>
      <c r="S705" s="11">
        <v>0</v>
      </c>
      <c r="T705" s="11">
        <v>0</v>
      </c>
      <c r="U705">
        <v>0</v>
      </c>
      <c r="V705">
        <v>0</v>
      </c>
      <c r="W705">
        <v>0</v>
      </c>
      <c r="X705">
        <v>1.2848515996402399E-2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3.5915670006823998E-3</v>
      </c>
      <c r="AK705">
        <v>6.02700096432015E-3</v>
      </c>
      <c r="AL705">
        <v>0</v>
      </c>
      <c r="AM705">
        <v>0</v>
      </c>
    </row>
    <row r="706" spans="1:39" customFormat="1" hidden="1" x14ac:dyDescent="0.3">
      <c r="A706" t="s">
        <v>1128</v>
      </c>
      <c r="B706" t="s">
        <v>30</v>
      </c>
      <c r="C706" t="s">
        <v>81</v>
      </c>
      <c r="D706" t="s">
        <v>85</v>
      </c>
      <c r="E706" t="s">
        <v>287</v>
      </c>
      <c r="F706" t="s">
        <v>1126</v>
      </c>
      <c r="G706" t="s">
        <v>1126</v>
      </c>
      <c r="H706" s="16">
        <v>0</v>
      </c>
      <c r="I706" s="11">
        <v>0</v>
      </c>
      <c r="J706" s="11">
        <v>0</v>
      </c>
      <c r="K706" s="11">
        <v>0</v>
      </c>
      <c r="L706" s="11">
        <v>0</v>
      </c>
      <c r="M706" s="11">
        <v>0</v>
      </c>
      <c r="N706" s="11">
        <v>0</v>
      </c>
      <c r="O706" s="11">
        <v>0</v>
      </c>
      <c r="P706" s="11">
        <v>0</v>
      </c>
      <c r="Q706" s="11">
        <v>0</v>
      </c>
      <c r="R706" s="11">
        <v>0</v>
      </c>
      <c r="S706" s="11">
        <v>0</v>
      </c>
      <c r="T706" s="11">
        <v>0</v>
      </c>
      <c r="U706">
        <v>0</v>
      </c>
      <c r="V706">
        <v>0</v>
      </c>
      <c r="W706">
        <v>2.6668088964744798E-3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3.5915670006823998E-3</v>
      </c>
      <c r="AK706">
        <v>0</v>
      </c>
      <c r="AL706">
        <v>0</v>
      </c>
      <c r="AM706">
        <v>0</v>
      </c>
    </row>
    <row r="707" spans="1:39" customFormat="1" hidden="1" x14ac:dyDescent="0.3">
      <c r="A707" t="s">
        <v>1127</v>
      </c>
      <c r="B707" t="s">
        <v>30</v>
      </c>
      <c r="C707" t="s">
        <v>81</v>
      </c>
      <c r="D707" t="s">
        <v>85</v>
      </c>
      <c r="E707" t="s">
        <v>287</v>
      </c>
      <c r="F707" t="s">
        <v>1126</v>
      </c>
      <c r="G707" t="s">
        <v>1126</v>
      </c>
      <c r="H707" s="16">
        <v>0</v>
      </c>
      <c r="I707" s="11">
        <v>0</v>
      </c>
      <c r="J707" s="11">
        <v>0</v>
      </c>
      <c r="K707" s="11">
        <v>0</v>
      </c>
      <c r="L707" s="11">
        <v>0</v>
      </c>
      <c r="M707" s="11">
        <v>0</v>
      </c>
      <c r="N707" s="11">
        <v>0</v>
      </c>
      <c r="O707" s="11">
        <v>0</v>
      </c>
      <c r="P707" s="11">
        <v>0</v>
      </c>
      <c r="Q707" s="11">
        <v>0</v>
      </c>
      <c r="R707" s="11">
        <v>0</v>
      </c>
      <c r="S707" s="11">
        <v>2.4883049666567102E-3</v>
      </c>
      <c r="T707" s="11">
        <v>3.3464962184592698E-3</v>
      </c>
      <c r="U707">
        <v>0</v>
      </c>
      <c r="V707">
        <v>0</v>
      </c>
      <c r="W707">
        <v>0</v>
      </c>
      <c r="X707">
        <v>0</v>
      </c>
      <c r="Y707">
        <v>2.9264581077521898E-3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3.5844863431070302E-3</v>
      </c>
      <c r="AM707">
        <v>0</v>
      </c>
    </row>
    <row r="708" spans="1:39" customFormat="1" hidden="1" x14ac:dyDescent="0.3">
      <c r="A708" t="s">
        <v>1125</v>
      </c>
      <c r="B708" t="s">
        <v>30</v>
      </c>
      <c r="C708" t="s">
        <v>81</v>
      </c>
      <c r="D708" t="s">
        <v>85</v>
      </c>
      <c r="E708" t="s">
        <v>287</v>
      </c>
      <c r="F708" t="s">
        <v>286</v>
      </c>
      <c r="G708" t="s">
        <v>286</v>
      </c>
      <c r="H708" s="16">
        <v>0</v>
      </c>
      <c r="I708" s="11">
        <v>0</v>
      </c>
      <c r="J708" s="11">
        <v>0</v>
      </c>
      <c r="K708" s="11">
        <v>0</v>
      </c>
      <c r="L708" s="11">
        <v>0</v>
      </c>
      <c r="M708" s="11">
        <v>0</v>
      </c>
      <c r="N708" s="11">
        <v>0</v>
      </c>
      <c r="O708" s="11">
        <v>0</v>
      </c>
      <c r="P708" s="11">
        <v>0</v>
      </c>
      <c r="Q708" s="11">
        <v>0</v>
      </c>
      <c r="R708" s="11">
        <v>2.2441148089136199E-3</v>
      </c>
      <c r="S708" s="11">
        <v>0</v>
      </c>
      <c r="T708" s="11">
        <v>3.3464962184592698E-3</v>
      </c>
      <c r="U708">
        <v>0</v>
      </c>
      <c r="V708">
        <v>0</v>
      </c>
      <c r="W708">
        <v>0</v>
      </c>
      <c r="X708">
        <v>6.4242579982012101E-3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2.2984278753332699E-3</v>
      </c>
      <c r="AJ708">
        <v>3.5915670006823998E-3</v>
      </c>
      <c r="AK708">
        <v>0</v>
      </c>
      <c r="AL708">
        <v>3.5844863431070302E-3</v>
      </c>
      <c r="AM708">
        <v>0</v>
      </c>
    </row>
    <row r="709" spans="1:39" customFormat="1" hidden="1" x14ac:dyDescent="0.3">
      <c r="A709" t="s">
        <v>1124</v>
      </c>
      <c r="B709" t="s">
        <v>30</v>
      </c>
      <c r="C709" t="s">
        <v>81</v>
      </c>
      <c r="D709" t="s">
        <v>80</v>
      </c>
      <c r="E709" t="s">
        <v>618</v>
      </c>
      <c r="F709" t="s">
        <v>617</v>
      </c>
      <c r="G709" t="s">
        <v>620</v>
      </c>
      <c r="H709" s="16">
        <v>0</v>
      </c>
      <c r="I709" s="11">
        <v>0</v>
      </c>
      <c r="J709" s="11">
        <v>0</v>
      </c>
      <c r="K709" s="11">
        <v>0</v>
      </c>
      <c r="L709" s="11">
        <v>0</v>
      </c>
      <c r="M709" s="11">
        <v>0</v>
      </c>
      <c r="N709" s="11">
        <v>0</v>
      </c>
      <c r="O709" s="11">
        <v>0</v>
      </c>
      <c r="P709" s="11">
        <v>0</v>
      </c>
      <c r="Q709" s="11">
        <v>2.7492920572952501E-3</v>
      </c>
      <c r="R709" s="11">
        <v>0</v>
      </c>
      <c r="S709" s="11">
        <v>0</v>
      </c>
      <c r="T709" s="11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1.8047283883775501E-2</v>
      </c>
      <c r="AC709" s="3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</row>
    <row r="710" spans="1:39" customFormat="1" hidden="1" x14ac:dyDescent="0.3">
      <c r="A710" t="s">
        <v>1123</v>
      </c>
      <c r="B710" t="s">
        <v>30</v>
      </c>
      <c r="C710" t="s">
        <v>81</v>
      </c>
      <c r="D710" t="s">
        <v>85</v>
      </c>
      <c r="E710" t="s">
        <v>287</v>
      </c>
      <c r="F710" t="s">
        <v>286</v>
      </c>
      <c r="G710" t="s">
        <v>286</v>
      </c>
      <c r="H710" s="16">
        <v>8.3166999334664E-3</v>
      </c>
      <c r="I710" s="11">
        <v>0</v>
      </c>
      <c r="J710" s="11">
        <v>0</v>
      </c>
      <c r="K710" s="11">
        <v>5.6589893045102101E-3</v>
      </c>
      <c r="L710" s="11">
        <v>0</v>
      </c>
      <c r="M710" s="11">
        <v>0</v>
      </c>
      <c r="N710" s="11">
        <v>0</v>
      </c>
      <c r="O710" s="11">
        <v>0</v>
      </c>
      <c r="P710" s="11">
        <v>0</v>
      </c>
      <c r="Q710" s="11">
        <v>0</v>
      </c>
      <c r="R710" s="11">
        <v>0</v>
      </c>
      <c r="S710" s="11">
        <v>0</v>
      </c>
      <c r="T710" s="11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3.1774275546517499E-3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4.6410173109945703E-3</v>
      </c>
      <c r="AI710">
        <v>0</v>
      </c>
      <c r="AJ710">
        <v>0</v>
      </c>
      <c r="AK710">
        <v>0</v>
      </c>
      <c r="AL710">
        <v>3.5844863431070302E-3</v>
      </c>
      <c r="AM710">
        <v>0</v>
      </c>
    </row>
    <row r="711" spans="1:39" customFormat="1" hidden="1" x14ac:dyDescent="0.3">
      <c r="A711" t="s">
        <v>1122</v>
      </c>
      <c r="B711" t="s">
        <v>30</v>
      </c>
      <c r="C711" t="s">
        <v>526</v>
      </c>
      <c r="D711" t="s">
        <v>525</v>
      </c>
      <c r="E711" t="s">
        <v>524</v>
      </c>
      <c r="F711" t="s">
        <v>523</v>
      </c>
      <c r="G711" t="s">
        <v>522</v>
      </c>
      <c r="H711" s="16">
        <v>0</v>
      </c>
      <c r="I711" s="11">
        <v>0</v>
      </c>
      <c r="J711" s="11">
        <v>0</v>
      </c>
      <c r="K711" s="11">
        <v>0</v>
      </c>
      <c r="L711" s="11">
        <v>0</v>
      </c>
      <c r="M711" s="11">
        <v>7.0977358222727004E-3</v>
      </c>
      <c r="N711" s="11">
        <v>0</v>
      </c>
      <c r="O711" s="11">
        <v>0</v>
      </c>
      <c r="P711" s="11">
        <v>0</v>
      </c>
      <c r="Q711" s="11">
        <v>0</v>
      </c>
      <c r="R711" s="11">
        <v>0</v>
      </c>
      <c r="S711" s="11">
        <v>2.4883049666567102E-3</v>
      </c>
      <c r="T711" s="11">
        <v>0</v>
      </c>
      <c r="U711">
        <v>0</v>
      </c>
      <c r="V711">
        <v>3.6144142841652502E-3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</row>
    <row r="712" spans="1:39" customFormat="1" hidden="1" x14ac:dyDescent="0.3">
      <c r="A712" t="s">
        <v>1121</v>
      </c>
      <c r="B712" t="s">
        <v>30</v>
      </c>
      <c r="C712" t="s">
        <v>81</v>
      </c>
      <c r="D712" t="s">
        <v>85</v>
      </c>
      <c r="E712" t="s">
        <v>287</v>
      </c>
      <c r="F712" t="s">
        <v>817</v>
      </c>
      <c r="G712" t="s">
        <v>817</v>
      </c>
      <c r="H712" s="16">
        <v>0</v>
      </c>
      <c r="I712" s="11">
        <v>0</v>
      </c>
      <c r="J712" s="11">
        <v>0</v>
      </c>
      <c r="K712" s="11">
        <v>1.6976967913530601E-2</v>
      </c>
      <c r="L712" s="11">
        <v>0</v>
      </c>
      <c r="M712" s="11">
        <v>0</v>
      </c>
      <c r="N712" s="11">
        <v>0</v>
      </c>
      <c r="O712" s="11">
        <v>0</v>
      </c>
      <c r="P712" s="11">
        <v>0</v>
      </c>
      <c r="Q712" s="11">
        <v>0</v>
      </c>
      <c r="R712" s="11">
        <v>0</v>
      </c>
      <c r="S712" s="11">
        <v>0</v>
      </c>
      <c r="T712" s="11">
        <v>0</v>
      </c>
      <c r="U712">
        <v>0</v>
      </c>
      <c r="V712">
        <v>0</v>
      </c>
      <c r="W712">
        <v>0</v>
      </c>
      <c r="X712">
        <v>0</v>
      </c>
      <c r="Y712">
        <v>2.9264581077521898E-3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</row>
    <row r="713" spans="1:39" customFormat="1" hidden="1" x14ac:dyDescent="0.3">
      <c r="A713" t="s">
        <v>1120</v>
      </c>
      <c r="B713" t="s">
        <v>30</v>
      </c>
      <c r="C713" t="s">
        <v>410</v>
      </c>
      <c r="D713" t="s">
        <v>410</v>
      </c>
      <c r="E713" t="s">
        <v>409</v>
      </c>
      <c r="F713" t="s">
        <v>408</v>
      </c>
      <c r="G713" t="s">
        <v>407</v>
      </c>
      <c r="H713" s="16">
        <v>0</v>
      </c>
      <c r="I713" s="11">
        <v>0</v>
      </c>
      <c r="J713" s="11">
        <v>4.3593879419329502E-3</v>
      </c>
      <c r="K713" s="11">
        <v>0</v>
      </c>
      <c r="L713" s="11">
        <v>0</v>
      </c>
      <c r="M713" s="11">
        <v>0</v>
      </c>
      <c r="N713" s="11">
        <v>4.5835816106705798E-3</v>
      </c>
      <c r="O713" s="11">
        <v>0</v>
      </c>
      <c r="P713" s="11">
        <v>3.3947788301592198E-3</v>
      </c>
      <c r="Q713" s="11">
        <v>0</v>
      </c>
      <c r="R713" s="11">
        <v>0</v>
      </c>
      <c r="S713" s="11">
        <v>0</v>
      </c>
      <c r="T713" s="11">
        <v>0</v>
      </c>
      <c r="U713">
        <v>0</v>
      </c>
      <c r="V713">
        <v>0</v>
      </c>
      <c r="W713">
        <v>0</v>
      </c>
      <c r="X713">
        <v>0</v>
      </c>
      <c r="Y713">
        <v>5.8529162155043701E-3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</row>
    <row r="714" spans="1:39" customFormat="1" hidden="1" x14ac:dyDescent="0.3">
      <c r="A714" t="s">
        <v>1119</v>
      </c>
      <c r="B714" t="s">
        <v>30</v>
      </c>
      <c r="C714" t="s">
        <v>81</v>
      </c>
      <c r="D714" t="s">
        <v>85</v>
      </c>
      <c r="E714" t="s">
        <v>287</v>
      </c>
      <c r="F714" t="s">
        <v>286</v>
      </c>
      <c r="G714" t="s">
        <v>286</v>
      </c>
      <c r="H714" s="16">
        <v>0</v>
      </c>
      <c r="I714" s="11">
        <v>0</v>
      </c>
      <c r="J714" s="11">
        <v>0</v>
      </c>
      <c r="K714" s="11">
        <v>0</v>
      </c>
      <c r="L714" s="11">
        <v>0</v>
      </c>
      <c r="M714" s="11">
        <v>0</v>
      </c>
      <c r="N714" s="11">
        <v>0</v>
      </c>
      <c r="O714" s="11">
        <v>0</v>
      </c>
      <c r="P714" s="11">
        <v>0</v>
      </c>
      <c r="Q714" s="11">
        <v>0</v>
      </c>
      <c r="R714" s="11">
        <v>0</v>
      </c>
      <c r="S714" s="11">
        <v>0</v>
      </c>
      <c r="T714" s="11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4.5118209709438702E-3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3.5915670006823998E-3</v>
      </c>
      <c r="AK714">
        <v>0</v>
      </c>
      <c r="AL714">
        <v>0</v>
      </c>
      <c r="AM714">
        <v>0</v>
      </c>
    </row>
    <row r="715" spans="1:39" customFormat="1" hidden="1" x14ac:dyDescent="0.3">
      <c r="A715" t="s">
        <v>1118</v>
      </c>
      <c r="B715" t="s">
        <v>30</v>
      </c>
      <c r="C715" t="s">
        <v>81</v>
      </c>
      <c r="D715" t="s">
        <v>85</v>
      </c>
      <c r="E715" t="s">
        <v>287</v>
      </c>
      <c r="F715" t="s">
        <v>286</v>
      </c>
      <c r="G715" t="s">
        <v>286</v>
      </c>
      <c r="H715" s="16">
        <v>0</v>
      </c>
      <c r="I715" s="11">
        <v>3.6565745209887401E-3</v>
      </c>
      <c r="J715" s="11">
        <v>4.3593879419329502E-3</v>
      </c>
      <c r="K715" s="11">
        <v>0</v>
      </c>
      <c r="L715" s="11">
        <v>0</v>
      </c>
      <c r="M715" s="11">
        <v>0</v>
      </c>
      <c r="N715" s="11">
        <v>0</v>
      </c>
      <c r="O715" s="11">
        <v>0</v>
      </c>
      <c r="P715" s="11">
        <v>0</v>
      </c>
      <c r="Q715" s="11">
        <v>0</v>
      </c>
      <c r="R715" s="11">
        <v>0</v>
      </c>
      <c r="S715" s="11">
        <v>0</v>
      </c>
      <c r="T715" s="11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3.1774275546517499E-3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</row>
    <row r="716" spans="1:39" customFormat="1" hidden="1" x14ac:dyDescent="0.3">
      <c r="A716" t="s">
        <v>1117</v>
      </c>
      <c r="B716" t="s">
        <v>30</v>
      </c>
      <c r="C716" t="s">
        <v>81</v>
      </c>
      <c r="D716" t="s">
        <v>85</v>
      </c>
      <c r="E716" t="s">
        <v>287</v>
      </c>
      <c r="F716" t="s">
        <v>286</v>
      </c>
      <c r="G716" t="s">
        <v>286</v>
      </c>
      <c r="H716" s="16">
        <v>0</v>
      </c>
      <c r="I716" s="11">
        <v>0</v>
      </c>
      <c r="J716" s="11">
        <v>0</v>
      </c>
      <c r="K716" s="11">
        <v>0</v>
      </c>
      <c r="L716" s="11">
        <v>0</v>
      </c>
      <c r="M716" s="11">
        <v>0</v>
      </c>
      <c r="N716" s="11">
        <v>0</v>
      </c>
      <c r="O716" s="11">
        <v>0</v>
      </c>
      <c r="P716" s="11">
        <v>0</v>
      </c>
      <c r="Q716" s="11">
        <v>0</v>
      </c>
      <c r="R716" s="11">
        <v>0</v>
      </c>
      <c r="S716" s="11">
        <v>0</v>
      </c>
      <c r="T716" s="11">
        <v>0</v>
      </c>
      <c r="U716">
        <v>0</v>
      </c>
      <c r="V716">
        <v>0</v>
      </c>
      <c r="W716">
        <v>0</v>
      </c>
      <c r="X716">
        <v>6.4242579982012101E-3</v>
      </c>
      <c r="Y716">
        <v>0</v>
      </c>
      <c r="Z716">
        <v>0</v>
      </c>
      <c r="AA716">
        <v>0</v>
      </c>
      <c r="AB716">
        <v>0</v>
      </c>
      <c r="AC716">
        <v>7.1911405148856597E-3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3.5844863431070302E-3</v>
      </c>
      <c r="AM716">
        <v>0</v>
      </c>
    </row>
    <row r="717" spans="1:39" customFormat="1" hidden="1" x14ac:dyDescent="0.3">
      <c r="A717" t="s">
        <v>1116</v>
      </c>
      <c r="B717" t="s">
        <v>30</v>
      </c>
      <c r="C717" t="s">
        <v>81</v>
      </c>
      <c r="D717" t="s">
        <v>85</v>
      </c>
      <c r="E717" t="s">
        <v>287</v>
      </c>
      <c r="F717" t="s">
        <v>817</v>
      </c>
      <c r="G717" t="s">
        <v>817</v>
      </c>
      <c r="H717" s="16">
        <v>0</v>
      </c>
      <c r="I717" s="11">
        <v>0</v>
      </c>
      <c r="J717" s="11">
        <v>0</v>
      </c>
      <c r="K717" s="11">
        <v>0</v>
      </c>
      <c r="L717" s="11">
        <v>0</v>
      </c>
      <c r="M717" s="11">
        <v>0</v>
      </c>
      <c r="N717" s="11">
        <v>0</v>
      </c>
      <c r="O717" s="11">
        <v>0</v>
      </c>
      <c r="P717" s="11">
        <v>0</v>
      </c>
      <c r="Q717" s="11">
        <v>0</v>
      </c>
      <c r="R717" s="11">
        <v>0</v>
      </c>
      <c r="S717" s="11">
        <v>0</v>
      </c>
      <c r="T717" s="11">
        <v>3.3464962184592698E-3</v>
      </c>
      <c r="U717">
        <v>0</v>
      </c>
      <c r="V717">
        <v>3.6144142841652502E-3</v>
      </c>
      <c r="W717">
        <v>2.6668088964744798E-3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</row>
    <row r="718" spans="1:39" customFormat="1" hidden="1" x14ac:dyDescent="0.3">
      <c r="A718" t="s">
        <v>1115</v>
      </c>
      <c r="B718" t="s">
        <v>30</v>
      </c>
      <c r="C718" t="s">
        <v>81</v>
      </c>
      <c r="D718" t="s">
        <v>85</v>
      </c>
      <c r="E718" t="s">
        <v>287</v>
      </c>
      <c r="F718" t="s">
        <v>286</v>
      </c>
      <c r="G718" t="s">
        <v>286</v>
      </c>
      <c r="H718" s="16">
        <v>0</v>
      </c>
      <c r="I718" s="11">
        <v>0</v>
      </c>
      <c r="J718" s="11">
        <v>0</v>
      </c>
      <c r="K718" s="11">
        <v>0</v>
      </c>
      <c r="L718" s="11">
        <v>0</v>
      </c>
      <c r="M718" s="11">
        <v>0</v>
      </c>
      <c r="N718" s="11">
        <v>0</v>
      </c>
      <c r="O718" s="11">
        <v>3.75023438964935E-3</v>
      </c>
      <c r="P718" s="11">
        <v>0</v>
      </c>
      <c r="Q718" s="11">
        <v>0</v>
      </c>
      <c r="R718" s="11">
        <v>0</v>
      </c>
      <c r="S718" s="11">
        <v>0</v>
      </c>
      <c r="T718" s="11">
        <v>0</v>
      </c>
      <c r="U718">
        <v>0</v>
      </c>
      <c r="V718">
        <v>3.6144142841652502E-3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2.3469220117815501E-3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</row>
    <row r="719" spans="1:39" customFormat="1" hidden="1" x14ac:dyDescent="0.3">
      <c r="A719" t="s">
        <v>1114</v>
      </c>
      <c r="B719" t="s">
        <v>30</v>
      </c>
      <c r="C719" t="s">
        <v>81</v>
      </c>
      <c r="D719" t="s">
        <v>85</v>
      </c>
      <c r="E719" t="s">
        <v>287</v>
      </c>
      <c r="F719" t="s">
        <v>882</v>
      </c>
      <c r="G719" t="s">
        <v>881</v>
      </c>
      <c r="H719" s="16">
        <v>0</v>
      </c>
      <c r="I719" s="11">
        <v>0</v>
      </c>
      <c r="J719" s="11">
        <v>0</v>
      </c>
      <c r="K719" s="11">
        <v>0</v>
      </c>
      <c r="L719" s="11">
        <v>0</v>
      </c>
      <c r="M719" s="11">
        <v>0</v>
      </c>
      <c r="N719" s="11">
        <v>0</v>
      </c>
      <c r="O719" s="11">
        <v>0</v>
      </c>
      <c r="P719" s="11">
        <v>0</v>
      </c>
      <c r="Q719" s="11">
        <v>0</v>
      </c>
      <c r="R719" s="11">
        <v>0</v>
      </c>
      <c r="S719" s="11">
        <v>0</v>
      </c>
      <c r="T719" s="11">
        <v>0</v>
      </c>
      <c r="U719">
        <v>0</v>
      </c>
      <c r="V719">
        <v>3.6144142841652502E-3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</row>
    <row r="720" spans="1:39" customFormat="1" hidden="1" x14ac:dyDescent="0.3">
      <c r="A720" t="s">
        <v>1113</v>
      </c>
      <c r="B720" t="s">
        <v>30</v>
      </c>
      <c r="C720" t="s">
        <v>81</v>
      </c>
      <c r="D720" t="s">
        <v>85</v>
      </c>
      <c r="E720" t="s">
        <v>287</v>
      </c>
      <c r="F720" t="s">
        <v>882</v>
      </c>
      <c r="G720" t="s">
        <v>881</v>
      </c>
      <c r="H720" s="16">
        <v>0</v>
      </c>
      <c r="I720" s="11">
        <v>0</v>
      </c>
      <c r="J720" s="11">
        <v>0</v>
      </c>
      <c r="K720" s="11">
        <v>0</v>
      </c>
      <c r="L720" s="11">
        <v>0</v>
      </c>
      <c r="M720" s="11">
        <v>1.0646603733408999E-2</v>
      </c>
      <c r="N720" s="11">
        <v>0</v>
      </c>
      <c r="O720" s="11">
        <v>0</v>
      </c>
      <c r="P720" s="11">
        <v>0</v>
      </c>
      <c r="Q720" s="11">
        <v>0</v>
      </c>
      <c r="R720" s="11">
        <v>0</v>
      </c>
      <c r="S720" s="11">
        <v>0</v>
      </c>
      <c r="T720" s="11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6.02700096432015E-3</v>
      </c>
      <c r="AL720">
        <v>0</v>
      </c>
      <c r="AM720">
        <v>0</v>
      </c>
    </row>
    <row r="721" spans="1:39" customFormat="1" hidden="1" x14ac:dyDescent="0.3">
      <c r="A721" t="s">
        <v>1112</v>
      </c>
      <c r="B721" t="s">
        <v>30</v>
      </c>
      <c r="C721" t="s">
        <v>81</v>
      </c>
      <c r="D721" t="s">
        <v>85</v>
      </c>
      <c r="E721" t="s">
        <v>287</v>
      </c>
      <c r="F721" t="s">
        <v>286</v>
      </c>
      <c r="G721" t="s">
        <v>286</v>
      </c>
      <c r="H721" s="16">
        <v>8.3166999334664E-3</v>
      </c>
      <c r="I721" s="11">
        <v>0</v>
      </c>
      <c r="J721" s="11">
        <v>0</v>
      </c>
      <c r="K721" s="11">
        <v>0</v>
      </c>
      <c r="L721" s="11">
        <v>0</v>
      </c>
      <c r="M721" s="11">
        <v>0</v>
      </c>
      <c r="N721" s="11">
        <v>0</v>
      </c>
      <c r="O721" s="11">
        <v>0</v>
      </c>
      <c r="P721" s="11">
        <v>0</v>
      </c>
      <c r="Q721" s="11">
        <v>0</v>
      </c>
      <c r="R721" s="11">
        <v>2.2441148089136199E-3</v>
      </c>
      <c r="S721" s="11">
        <v>0</v>
      </c>
      <c r="T721" s="11">
        <v>0</v>
      </c>
      <c r="U721">
        <v>0</v>
      </c>
      <c r="V721">
        <v>3.6144142841652502E-3</v>
      </c>
      <c r="W721">
        <v>0</v>
      </c>
      <c r="X721">
        <v>0</v>
      </c>
      <c r="Y721">
        <v>2.9264581077521898E-3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</row>
    <row r="722" spans="1:39" customFormat="1" hidden="1" x14ac:dyDescent="0.3">
      <c r="A722" t="s">
        <v>1111</v>
      </c>
      <c r="B722" t="s">
        <v>30</v>
      </c>
      <c r="C722" t="s">
        <v>81</v>
      </c>
      <c r="D722" t="s">
        <v>85</v>
      </c>
      <c r="E722" t="s">
        <v>287</v>
      </c>
      <c r="F722" t="s">
        <v>286</v>
      </c>
      <c r="G722" t="s">
        <v>286</v>
      </c>
      <c r="H722" s="16">
        <v>0</v>
      </c>
      <c r="I722" s="11">
        <v>0</v>
      </c>
      <c r="J722" s="11">
        <v>0</v>
      </c>
      <c r="K722" s="11">
        <v>0</v>
      </c>
      <c r="L722" s="11">
        <v>0</v>
      </c>
      <c r="M722" s="11">
        <v>0</v>
      </c>
      <c r="N722" s="11">
        <v>0</v>
      </c>
      <c r="O722" s="11">
        <v>0</v>
      </c>
      <c r="P722" s="11">
        <v>0</v>
      </c>
      <c r="Q722" s="11">
        <v>2.7492920572952501E-3</v>
      </c>
      <c r="R722" s="11">
        <v>0</v>
      </c>
      <c r="S722" s="11">
        <v>0</v>
      </c>
      <c r="T722" s="11">
        <v>0</v>
      </c>
      <c r="U722">
        <v>3.04201016031394E-3</v>
      </c>
      <c r="V722">
        <v>0</v>
      </c>
      <c r="W722">
        <v>0</v>
      </c>
      <c r="X722">
        <v>0</v>
      </c>
      <c r="Y722">
        <v>2.9264581077521898E-3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3.5844863431070302E-3</v>
      </c>
      <c r="AM722">
        <v>0</v>
      </c>
    </row>
    <row r="723" spans="1:39" customFormat="1" hidden="1" x14ac:dyDescent="0.3">
      <c r="A723" t="s">
        <v>1110</v>
      </c>
      <c r="B723" t="s">
        <v>30</v>
      </c>
      <c r="C723" t="s">
        <v>81</v>
      </c>
      <c r="D723" t="s">
        <v>85</v>
      </c>
      <c r="E723" t="s">
        <v>287</v>
      </c>
      <c r="F723" t="s">
        <v>286</v>
      </c>
      <c r="G723" t="s">
        <v>286</v>
      </c>
      <c r="H723" s="16">
        <v>0</v>
      </c>
      <c r="I723" s="11">
        <v>0</v>
      </c>
      <c r="J723" s="11">
        <v>0</v>
      </c>
      <c r="K723" s="11">
        <v>0</v>
      </c>
      <c r="L723" s="11">
        <v>0</v>
      </c>
      <c r="M723" s="11">
        <v>0</v>
      </c>
      <c r="N723" s="11">
        <v>0</v>
      </c>
      <c r="O723" s="11">
        <v>0</v>
      </c>
      <c r="P723" s="11">
        <v>0</v>
      </c>
      <c r="Q723" s="11">
        <v>2.7492920572952501E-3</v>
      </c>
      <c r="R723" s="11">
        <v>2.2441148089136199E-3</v>
      </c>
      <c r="S723" s="11">
        <v>0</v>
      </c>
      <c r="T723" s="11">
        <v>0</v>
      </c>
      <c r="U723">
        <v>0</v>
      </c>
      <c r="V723">
        <v>7.2288285683305004E-3</v>
      </c>
      <c r="W723">
        <v>2.6668088964744798E-3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</row>
    <row r="724" spans="1:39" customFormat="1" hidden="1" x14ac:dyDescent="0.3">
      <c r="A724" t="s">
        <v>1109</v>
      </c>
      <c r="B724" t="s">
        <v>30</v>
      </c>
      <c r="C724" t="s">
        <v>81</v>
      </c>
      <c r="D724" t="s">
        <v>85</v>
      </c>
      <c r="E724" t="s">
        <v>287</v>
      </c>
      <c r="F724" t="s">
        <v>817</v>
      </c>
      <c r="G724" t="s">
        <v>817</v>
      </c>
      <c r="H724" s="16">
        <v>0</v>
      </c>
      <c r="I724" s="11">
        <v>0</v>
      </c>
      <c r="J724" s="11">
        <v>0</v>
      </c>
      <c r="K724" s="11">
        <v>0</v>
      </c>
      <c r="L724" s="11">
        <v>0</v>
      </c>
      <c r="M724" s="11">
        <v>0</v>
      </c>
      <c r="N724" s="11">
        <v>0</v>
      </c>
      <c r="O724" s="11">
        <v>0</v>
      </c>
      <c r="P724" s="11">
        <v>0</v>
      </c>
      <c r="Q724" s="11">
        <v>0</v>
      </c>
      <c r="R724" s="11">
        <v>0</v>
      </c>
      <c r="S724" s="11">
        <v>0</v>
      </c>
      <c r="T724" s="11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5.03372596395852E-3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</row>
    <row r="725" spans="1:39" customFormat="1" hidden="1" x14ac:dyDescent="0.3">
      <c r="A725" t="s">
        <v>1107</v>
      </c>
      <c r="B725" t="s">
        <v>30</v>
      </c>
      <c r="C725" t="s">
        <v>410</v>
      </c>
      <c r="D725" t="s">
        <v>410</v>
      </c>
      <c r="E725" t="s">
        <v>409</v>
      </c>
      <c r="F725" t="s">
        <v>408</v>
      </c>
      <c r="G725" t="s">
        <v>407</v>
      </c>
      <c r="H725" s="16">
        <v>0</v>
      </c>
      <c r="I725" s="11">
        <v>0</v>
      </c>
      <c r="J725" s="11">
        <v>0</v>
      </c>
      <c r="K725" s="11">
        <v>0</v>
      </c>
      <c r="L725" s="11">
        <v>0</v>
      </c>
      <c r="M725" s="11">
        <v>0</v>
      </c>
      <c r="N725" s="11">
        <v>0</v>
      </c>
      <c r="O725" s="11">
        <v>0</v>
      </c>
      <c r="P725" s="11">
        <v>0</v>
      </c>
      <c r="Q725" s="11">
        <v>0</v>
      </c>
      <c r="R725" s="11">
        <v>0</v>
      </c>
      <c r="S725" s="11">
        <v>0</v>
      </c>
      <c r="T725" s="11">
        <v>0</v>
      </c>
      <c r="U725">
        <v>0</v>
      </c>
      <c r="V725">
        <v>0</v>
      </c>
      <c r="W725">
        <v>0</v>
      </c>
      <c r="X725">
        <v>0</v>
      </c>
      <c r="Y725">
        <v>2.9264581077521898E-3</v>
      </c>
      <c r="Z725">
        <v>0</v>
      </c>
      <c r="AA725">
        <v>0</v>
      </c>
      <c r="AB725">
        <v>4.5118209709438702E-3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2.2984278753332699E-3</v>
      </c>
      <c r="AJ725">
        <v>0</v>
      </c>
      <c r="AK725">
        <v>0</v>
      </c>
      <c r="AL725">
        <v>0</v>
      </c>
      <c r="AM725">
        <v>0</v>
      </c>
    </row>
    <row r="726" spans="1:39" customFormat="1" hidden="1" x14ac:dyDescent="0.3">
      <c r="A726" t="s">
        <v>1106</v>
      </c>
      <c r="B726" t="s">
        <v>30</v>
      </c>
      <c r="C726" t="s">
        <v>81</v>
      </c>
      <c r="D726" t="s">
        <v>85</v>
      </c>
      <c r="E726" t="s">
        <v>287</v>
      </c>
      <c r="F726" t="s">
        <v>286</v>
      </c>
      <c r="G726" t="s">
        <v>286</v>
      </c>
      <c r="H726" s="16">
        <v>0</v>
      </c>
      <c r="I726" s="11">
        <v>0</v>
      </c>
      <c r="J726" s="11">
        <v>0</v>
      </c>
      <c r="K726" s="11">
        <v>0</v>
      </c>
      <c r="L726" s="11">
        <v>0</v>
      </c>
      <c r="M726" s="11">
        <v>0</v>
      </c>
      <c r="N726" s="11">
        <v>0</v>
      </c>
      <c r="O726" s="11">
        <v>0</v>
      </c>
      <c r="P726" s="11">
        <v>0</v>
      </c>
      <c r="Q726" s="11">
        <v>0</v>
      </c>
      <c r="R726" s="11">
        <v>0</v>
      </c>
      <c r="S726" s="11">
        <v>0</v>
      </c>
      <c r="T726" s="11">
        <v>3.3464962184592698E-3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4.6410173109945703E-3</v>
      </c>
      <c r="AI726">
        <v>0</v>
      </c>
      <c r="AJ726">
        <v>0</v>
      </c>
      <c r="AK726">
        <v>0</v>
      </c>
      <c r="AL726">
        <v>0</v>
      </c>
      <c r="AM726">
        <v>0</v>
      </c>
    </row>
    <row r="727" spans="1:39" customFormat="1" hidden="1" x14ac:dyDescent="0.3">
      <c r="A727" t="s">
        <v>1105</v>
      </c>
      <c r="B727" t="s">
        <v>30</v>
      </c>
      <c r="C727" t="s">
        <v>81</v>
      </c>
      <c r="D727" t="s">
        <v>85</v>
      </c>
      <c r="E727" t="s">
        <v>287</v>
      </c>
      <c r="F727" t="s">
        <v>470</v>
      </c>
      <c r="G727" t="s">
        <v>469</v>
      </c>
      <c r="H727" s="16">
        <v>0</v>
      </c>
      <c r="I727" s="11">
        <v>0</v>
      </c>
      <c r="J727" s="11">
        <v>0</v>
      </c>
      <c r="K727" s="11">
        <v>0</v>
      </c>
      <c r="L727" s="11">
        <v>0</v>
      </c>
      <c r="M727" s="11">
        <v>0</v>
      </c>
      <c r="N727" s="11">
        <v>0</v>
      </c>
      <c r="O727" s="11">
        <v>0</v>
      </c>
      <c r="P727" s="11">
        <v>0</v>
      </c>
      <c r="Q727" s="11">
        <v>2.7492920572952501E-3</v>
      </c>
      <c r="R727" s="11">
        <v>2.2441148089136199E-3</v>
      </c>
      <c r="S727" s="11">
        <v>0</v>
      </c>
      <c r="T727" s="11">
        <v>0</v>
      </c>
      <c r="U727">
        <v>0</v>
      </c>
      <c r="V727">
        <v>0</v>
      </c>
      <c r="W727">
        <v>0</v>
      </c>
      <c r="X727">
        <v>6.4242579982012101E-3</v>
      </c>
      <c r="Y727">
        <v>2.9264581077521898E-3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</row>
    <row r="728" spans="1:39" customFormat="1" hidden="1" x14ac:dyDescent="0.3">
      <c r="A728" t="s">
        <v>1104</v>
      </c>
      <c r="B728" t="s">
        <v>30</v>
      </c>
      <c r="C728" t="s">
        <v>81</v>
      </c>
      <c r="D728" t="s">
        <v>85</v>
      </c>
      <c r="E728" t="s">
        <v>287</v>
      </c>
      <c r="F728" t="s">
        <v>817</v>
      </c>
      <c r="G728" t="s">
        <v>817</v>
      </c>
      <c r="H728" s="16">
        <v>0</v>
      </c>
      <c r="I728" s="11">
        <v>0</v>
      </c>
      <c r="J728" s="11">
        <v>0</v>
      </c>
      <c r="K728" s="11">
        <v>0</v>
      </c>
      <c r="L728" s="11">
        <v>0</v>
      </c>
      <c r="M728" s="11">
        <v>0</v>
      </c>
      <c r="N728" s="11">
        <v>0</v>
      </c>
      <c r="O728" s="11">
        <v>0</v>
      </c>
      <c r="P728" s="11">
        <v>0</v>
      </c>
      <c r="Q728" s="11">
        <v>0</v>
      </c>
      <c r="R728" s="11">
        <v>0</v>
      </c>
      <c r="S728" s="11">
        <v>0</v>
      </c>
      <c r="T728" s="11">
        <v>3.3464962184592698E-3</v>
      </c>
      <c r="U728">
        <v>0</v>
      </c>
      <c r="V728">
        <v>0</v>
      </c>
      <c r="W728">
        <v>0</v>
      </c>
      <c r="X728">
        <v>6.4242579982012101E-3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3.4299434059338E-3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</row>
    <row r="729" spans="1:39" customFormat="1" hidden="1" x14ac:dyDescent="0.3">
      <c r="A729" t="s">
        <v>1103</v>
      </c>
      <c r="B729" t="s">
        <v>30</v>
      </c>
      <c r="C729" t="s">
        <v>81</v>
      </c>
      <c r="D729" t="s">
        <v>85</v>
      </c>
      <c r="E729" t="s">
        <v>287</v>
      </c>
      <c r="F729" t="s">
        <v>286</v>
      </c>
      <c r="G729" t="s">
        <v>286</v>
      </c>
      <c r="H729" s="16">
        <v>0</v>
      </c>
      <c r="I729" s="11">
        <v>0</v>
      </c>
      <c r="J729" s="11">
        <v>0</v>
      </c>
      <c r="K729" s="11">
        <v>0</v>
      </c>
      <c r="L729" s="11">
        <v>0</v>
      </c>
      <c r="M729" s="11">
        <v>0</v>
      </c>
      <c r="N729" s="11">
        <v>0</v>
      </c>
      <c r="O729" s="11">
        <v>0</v>
      </c>
      <c r="P729" s="11">
        <v>0</v>
      </c>
      <c r="Q729" s="11">
        <v>0</v>
      </c>
      <c r="R729" s="11">
        <v>0</v>
      </c>
      <c r="S729" s="11">
        <v>2.4883049666567102E-3</v>
      </c>
      <c r="T729" s="11">
        <v>0</v>
      </c>
      <c r="U729">
        <v>3.04201016031394E-3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6.02700096432015E-3</v>
      </c>
      <c r="AL729">
        <v>0</v>
      </c>
      <c r="AM729">
        <v>0</v>
      </c>
    </row>
    <row r="730" spans="1:39" customFormat="1" hidden="1" x14ac:dyDescent="0.3">
      <c r="A730" t="s">
        <v>1102</v>
      </c>
      <c r="B730" t="s">
        <v>30</v>
      </c>
      <c r="C730" t="s">
        <v>81</v>
      </c>
      <c r="D730" t="s">
        <v>85</v>
      </c>
      <c r="E730" t="s">
        <v>287</v>
      </c>
      <c r="F730" t="s">
        <v>817</v>
      </c>
      <c r="G730" t="s">
        <v>817</v>
      </c>
      <c r="H730" s="16">
        <v>0</v>
      </c>
      <c r="I730" s="11">
        <v>0</v>
      </c>
      <c r="J730" s="11">
        <v>0</v>
      </c>
      <c r="K730" s="11">
        <v>0</v>
      </c>
      <c r="L730" s="11">
        <v>0</v>
      </c>
      <c r="M730" s="11">
        <v>0</v>
      </c>
      <c r="N730" s="11">
        <v>0</v>
      </c>
      <c r="O730" s="11">
        <v>0</v>
      </c>
      <c r="P730" s="11">
        <v>0</v>
      </c>
      <c r="Q730" s="11">
        <v>0</v>
      </c>
      <c r="R730" s="11">
        <v>0</v>
      </c>
      <c r="S730" s="11">
        <v>0</v>
      </c>
      <c r="T730" s="11">
        <v>0</v>
      </c>
      <c r="U730">
        <v>3.04201016031394E-3</v>
      </c>
      <c r="V730">
        <v>3.6144142841652502E-3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0</v>
      </c>
    </row>
    <row r="731" spans="1:39" customFormat="1" hidden="1" x14ac:dyDescent="0.3">
      <c r="A731" t="s">
        <v>1101</v>
      </c>
      <c r="B731" t="s">
        <v>30</v>
      </c>
      <c r="C731" t="s">
        <v>81</v>
      </c>
      <c r="D731" t="s">
        <v>85</v>
      </c>
      <c r="E731" t="s">
        <v>287</v>
      </c>
      <c r="F731" t="s">
        <v>817</v>
      </c>
      <c r="G731" t="s">
        <v>817</v>
      </c>
      <c r="H731" s="16">
        <v>0</v>
      </c>
      <c r="I731" s="11">
        <v>0</v>
      </c>
      <c r="J731" s="11">
        <v>0</v>
      </c>
      <c r="K731" s="11">
        <v>0</v>
      </c>
      <c r="L731" s="11">
        <v>0</v>
      </c>
      <c r="M731" s="11">
        <v>0</v>
      </c>
      <c r="N731" s="11">
        <v>0</v>
      </c>
      <c r="O731" s="11">
        <v>0</v>
      </c>
      <c r="P731" s="11">
        <v>0</v>
      </c>
      <c r="Q731" s="11">
        <v>0</v>
      </c>
      <c r="R731" s="11">
        <v>2.2441148089136199E-3</v>
      </c>
      <c r="S731" s="11">
        <v>0</v>
      </c>
      <c r="T731" s="11">
        <v>0</v>
      </c>
      <c r="U731">
        <v>3.04201016031394E-3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</row>
    <row r="732" spans="1:39" customFormat="1" hidden="1" x14ac:dyDescent="0.3">
      <c r="A732" t="s">
        <v>1099</v>
      </c>
      <c r="B732" t="s">
        <v>30</v>
      </c>
      <c r="C732" t="s">
        <v>81</v>
      </c>
      <c r="D732" t="s">
        <v>85</v>
      </c>
      <c r="E732" t="s">
        <v>287</v>
      </c>
      <c r="F732" t="s">
        <v>286</v>
      </c>
      <c r="G732" t="s">
        <v>286</v>
      </c>
      <c r="H732" s="16">
        <v>0</v>
      </c>
      <c r="I732" s="11">
        <v>0</v>
      </c>
      <c r="J732" s="11">
        <v>0</v>
      </c>
      <c r="K732" s="11">
        <v>0</v>
      </c>
      <c r="L732" s="11">
        <v>0</v>
      </c>
      <c r="M732" s="11">
        <v>0</v>
      </c>
      <c r="N732" s="11">
        <v>0</v>
      </c>
      <c r="O732" s="11">
        <v>3.75023438964935E-3</v>
      </c>
      <c r="P732" s="11">
        <v>0</v>
      </c>
      <c r="Q732" s="11">
        <v>0</v>
      </c>
      <c r="R732" s="11">
        <v>0</v>
      </c>
      <c r="S732" s="11">
        <v>0</v>
      </c>
      <c r="T732" s="11">
        <v>0</v>
      </c>
      <c r="U732">
        <v>0</v>
      </c>
      <c r="V732">
        <v>0</v>
      </c>
      <c r="W732">
        <v>0</v>
      </c>
      <c r="X732">
        <v>0</v>
      </c>
      <c r="Y732">
        <v>2.9264581077521898E-3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0</v>
      </c>
    </row>
    <row r="733" spans="1:39" customFormat="1" hidden="1" x14ac:dyDescent="0.3">
      <c r="A733" t="s">
        <v>1098</v>
      </c>
      <c r="B733" t="s">
        <v>30</v>
      </c>
      <c r="C733" t="s">
        <v>81</v>
      </c>
      <c r="D733" t="s">
        <v>85</v>
      </c>
      <c r="E733" t="s">
        <v>287</v>
      </c>
      <c r="F733" t="s">
        <v>817</v>
      </c>
      <c r="G733" t="s">
        <v>817</v>
      </c>
      <c r="H733" s="16">
        <v>0</v>
      </c>
      <c r="I733" s="11">
        <v>0</v>
      </c>
      <c r="J733" s="11">
        <v>0</v>
      </c>
      <c r="K733" s="11">
        <v>0</v>
      </c>
      <c r="L733" s="11">
        <v>0</v>
      </c>
      <c r="M733" s="11">
        <v>0</v>
      </c>
      <c r="N733" s="11">
        <v>0</v>
      </c>
      <c r="O733" s="11">
        <v>3.75023438964935E-3</v>
      </c>
      <c r="P733" s="11">
        <v>3.3947788301592198E-3</v>
      </c>
      <c r="Q733" s="11">
        <v>0</v>
      </c>
      <c r="R733" s="11">
        <v>2.2441148089136199E-3</v>
      </c>
      <c r="S733" s="11">
        <v>0</v>
      </c>
      <c r="T733" s="11">
        <v>0</v>
      </c>
      <c r="U733">
        <v>3.04201016031394E-3</v>
      </c>
      <c r="V733">
        <v>0</v>
      </c>
      <c r="W733">
        <v>0</v>
      </c>
      <c r="X733">
        <v>0</v>
      </c>
      <c r="Y733">
        <v>2.9264581077521898E-3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3.5844863431070302E-3</v>
      </c>
      <c r="AM733">
        <v>0</v>
      </c>
    </row>
    <row r="734" spans="1:39" customFormat="1" hidden="1" x14ac:dyDescent="0.3">
      <c r="A734" t="s">
        <v>1097</v>
      </c>
      <c r="B734" t="s">
        <v>30</v>
      </c>
      <c r="C734" t="s">
        <v>81</v>
      </c>
      <c r="D734" t="s">
        <v>85</v>
      </c>
      <c r="E734" t="s">
        <v>287</v>
      </c>
      <c r="F734" t="s">
        <v>286</v>
      </c>
      <c r="G734" t="s">
        <v>286</v>
      </c>
      <c r="H734" s="16">
        <v>0</v>
      </c>
      <c r="I734" s="11">
        <v>0</v>
      </c>
      <c r="J734" s="11">
        <v>0</v>
      </c>
      <c r="K734" s="11">
        <v>0</v>
      </c>
      <c r="L734" s="11">
        <v>0</v>
      </c>
      <c r="M734" s="11">
        <v>0</v>
      </c>
      <c r="N734" s="11">
        <v>0</v>
      </c>
      <c r="O734" s="11">
        <v>0</v>
      </c>
      <c r="P734" s="11">
        <v>0</v>
      </c>
      <c r="Q734" s="11">
        <v>0</v>
      </c>
      <c r="R734" s="11">
        <v>0</v>
      </c>
      <c r="S734" s="11">
        <v>0</v>
      </c>
      <c r="T734" s="11">
        <v>0</v>
      </c>
      <c r="U734">
        <v>9.1260304809418092E-3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</row>
    <row r="735" spans="1:39" customFormat="1" hidden="1" x14ac:dyDescent="0.3">
      <c r="A735" t="s">
        <v>1096</v>
      </c>
      <c r="B735" t="s">
        <v>30</v>
      </c>
      <c r="C735" t="s">
        <v>81</v>
      </c>
      <c r="D735" t="s">
        <v>85</v>
      </c>
      <c r="E735" t="s">
        <v>287</v>
      </c>
      <c r="F735" t="s">
        <v>882</v>
      </c>
      <c r="G735" t="s">
        <v>881</v>
      </c>
      <c r="H735" s="16">
        <v>0</v>
      </c>
      <c r="I735" s="11">
        <v>0</v>
      </c>
      <c r="J735" s="11">
        <v>0</v>
      </c>
      <c r="K735" s="11">
        <v>0</v>
      </c>
      <c r="L735" s="11">
        <v>0</v>
      </c>
      <c r="M735" s="11">
        <v>0</v>
      </c>
      <c r="N735" s="11">
        <v>4.5835816106705798E-3</v>
      </c>
      <c r="O735" s="11">
        <v>0</v>
      </c>
      <c r="P735" s="11">
        <v>0</v>
      </c>
      <c r="Q735" s="11">
        <v>0</v>
      </c>
      <c r="R735" s="11">
        <v>0</v>
      </c>
      <c r="S735" s="11">
        <v>0</v>
      </c>
      <c r="T735" s="11">
        <v>0</v>
      </c>
      <c r="U735">
        <v>3.04201016031394E-3</v>
      </c>
      <c r="V735">
        <v>0</v>
      </c>
      <c r="W735">
        <v>0</v>
      </c>
      <c r="X735">
        <v>0</v>
      </c>
      <c r="Y735">
        <v>2.9264581077521898E-3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</row>
    <row r="736" spans="1:39" customFormat="1" hidden="1" x14ac:dyDescent="0.3">
      <c r="A736" t="s">
        <v>1095</v>
      </c>
      <c r="B736" t="s">
        <v>30</v>
      </c>
      <c r="C736" t="s">
        <v>81</v>
      </c>
      <c r="D736" t="s">
        <v>85</v>
      </c>
      <c r="E736" t="s">
        <v>287</v>
      </c>
      <c r="F736" t="s">
        <v>286</v>
      </c>
      <c r="G736" t="s">
        <v>286</v>
      </c>
      <c r="H736" s="16">
        <v>0</v>
      </c>
      <c r="I736" s="11">
        <v>7.3131490419774802E-3</v>
      </c>
      <c r="J736" s="11">
        <v>0</v>
      </c>
      <c r="K736" s="11">
        <v>0</v>
      </c>
      <c r="L736" s="11">
        <v>0</v>
      </c>
      <c r="M736" s="11">
        <v>0</v>
      </c>
      <c r="N736" s="11">
        <v>0</v>
      </c>
      <c r="O736" s="11">
        <v>3.75023438964935E-3</v>
      </c>
      <c r="P736" s="11">
        <v>0</v>
      </c>
      <c r="Q736" s="11">
        <v>0</v>
      </c>
      <c r="R736" s="11">
        <v>0</v>
      </c>
      <c r="S736" s="11">
        <v>0</v>
      </c>
      <c r="T736" s="11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3.5915670006823998E-3</v>
      </c>
      <c r="AK736">
        <v>6.02700096432015E-3</v>
      </c>
      <c r="AL736">
        <v>0</v>
      </c>
      <c r="AM736">
        <v>0</v>
      </c>
    </row>
    <row r="737" spans="1:39" customFormat="1" hidden="1" x14ac:dyDescent="0.3">
      <c r="A737" t="s">
        <v>1094</v>
      </c>
      <c r="B737" t="s">
        <v>30</v>
      </c>
      <c r="C737" t="s">
        <v>81</v>
      </c>
      <c r="D737" t="s">
        <v>85</v>
      </c>
      <c r="E737" t="s">
        <v>287</v>
      </c>
      <c r="F737" t="s">
        <v>286</v>
      </c>
      <c r="G737" t="s">
        <v>286</v>
      </c>
      <c r="H737" s="16">
        <v>0</v>
      </c>
      <c r="I737" s="11">
        <v>0</v>
      </c>
      <c r="J737" s="11">
        <v>0</v>
      </c>
      <c r="K737" s="11">
        <v>5.6589893045102101E-3</v>
      </c>
      <c r="L737" s="11">
        <v>0</v>
      </c>
      <c r="M737" s="11">
        <v>3.5488679111363502E-3</v>
      </c>
      <c r="N737" s="11">
        <v>0</v>
      </c>
      <c r="O737" s="11">
        <v>0</v>
      </c>
      <c r="P737" s="11">
        <v>3.3947788301592198E-3</v>
      </c>
      <c r="Q737" s="11">
        <v>0</v>
      </c>
      <c r="R737" s="11">
        <v>0</v>
      </c>
      <c r="S737" s="11">
        <v>0</v>
      </c>
      <c r="T737" s="11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7.1911405148856597E-3</v>
      </c>
      <c r="AD737">
        <v>0</v>
      </c>
      <c r="AE737">
        <v>0</v>
      </c>
      <c r="AF737">
        <v>5.03372596395852E-3</v>
      </c>
      <c r="AG737">
        <v>0</v>
      </c>
      <c r="AH737">
        <v>0</v>
      </c>
      <c r="AI737">
        <v>0</v>
      </c>
      <c r="AJ737">
        <v>0</v>
      </c>
      <c r="AK737">
        <v>6.02700096432015E-3</v>
      </c>
      <c r="AL737">
        <v>0</v>
      </c>
      <c r="AM737">
        <v>0</v>
      </c>
    </row>
    <row r="738" spans="1:39" customFormat="1" hidden="1" x14ac:dyDescent="0.3">
      <c r="A738" t="s">
        <v>1093</v>
      </c>
      <c r="B738" t="s">
        <v>30</v>
      </c>
      <c r="C738" t="s">
        <v>81</v>
      </c>
      <c r="D738" t="s">
        <v>85</v>
      </c>
      <c r="E738" t="s">
        <v>287</v>
      </c>
      <c r="F738" t="s">
        <v>470</v>
      </c>
      <c r="G738" t="s">
        <v>469</v>
      </c>
      <c r="H738" s="16">
        <v>0</v>
      </c>
      <c r="I738" s="11">
        <v>0</v>
      </c>
      <c r="J738" s="11">
        <v>0</v>
      </c>
      <c r="K738" s="11">
        <v>0</v>
      </c>
      <c r="L738" s="11">
        <v>0</v>
      </c>
      <c r="M738" s="11">
        <v>0</v>
      </c>
      <c r="N738" s="11">
        <v>0</v>
      </c>
      <c r="O738" s="11">
        <v>0</v>
      </c>
      <c r="P738" s="11">
        <v>0</v>
      </c>
      <c r="Q738" s="11">
        <v>0</v>
      </c>
      <c r="R738" s="11">
        <v>0</v>
      </c>
      <c r="S738" s="11">
        <v>0</v>
      </c>
      <c r="T738" s="11">
        <v>0</v>
      </c>
      <c r="U738">
        <v>3.04201016031394E-3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5.03372596395852E-3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</row>
    <row r="739" spans="1:39" customFormat="1" hidden="1" x14ac:dyDescent="0.3">
      <c r="A739" t="s">
        <v>1092</v>
      </c>
      <c r="B739" t="s">
        <v>30</v>
      </c>
      <c r="C739" t="s">
        <v>81</v>
      </c>
      <c r="D739" t="s">
        <v>85</v>
      </c>
      <c r="E739" t="s">
        <v>287</v>
      </c>
      <c r="F739" t="s">
        <v>882</v>
      </c>
      <c r="G739" t="s">
        <v>881</v>
      </c>
      <c r="H739" s="16">
        <v>0</v>
      </c>
      <c r="I739" s="11">
        <v>0</v>
      </c>
      <c r="J739" s="11">
        <v>0</v>
      </c>
      <c r="K739" s="11">
        <v>0</v>
      </c>
      <c r="L739" s="11">
        <v>0</v>
      </c>
      <c r="M739" s="11">
        <v>0</v>
      </c>
      <c r="N739" s="11">
        <v>0</v>
      </c>
      <c r="O739" s="11">
        <v>0</v>
      </c>
      <c r="P739" s="11">
        <v>0</v>
      </c>
      <c r="Q739" s="11">
        <v>0</v>
      </c>
      <c r="R739" s="11">
        <v>0</v>
      </c>
      <c r="S739" s="11">
        <v>0</v>
      </c>
      <c r="T739" s="11">
        <v>0</v>
      </c>
      <c r="U739">
        <v>0</v>
      </c>
      <c r="V739">
        <v>3.6144142841652502E-3</v>
      </c>
      <c r="W739">
        <v>0</v>
      </c>
      <c r="X739">
        <v>0</v>
      </c>
      <c r="Y739">
        <v>2.9264581077521898E-3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2.2984278753332699E-3</v>
      </c>
      <c r="AJ739">
        <v>0</v>
      </c>
      <c r="AK739">
        <v>0</v>
      </c>
      <c r="AL739">
        <v>0</v>
      </c>
      <c r="AM739">
        <v>0</v>
      </c>
    </row>
    <row r="740" spans="1:39" customFormat="1" hidden="1" x14ac:dyDescent="0.3">
      <c r="A740" t="s">
        <v>1091</v>
      </c>
      <c r="B740" t="s">
        <v>30</v>
      </c>
      <c r="C740" t="s">
        <v>81</v>
      </c>
      <c r="D740" t="s">
        <v>85</v>
      </c>
      <c r="E740" t="s">
        <v>287</v>
      </c>
      <c r="F740" t="s">
        <v>470</v>
      </c>
      <c r="G740" t="s">
        <v>469</v>
      </c>
      <c r="H740" s="16">
        <v>0</v>
      </c>
      <c r="I740" s="11">
        <v>0</v>
      </c>
      <c r="J740" s="11">
        <v>0</v>
      </c>
      <c r="K740" s="11">
        <v>0</v>
      </c>
      <c r="L740" s="11">
        <v>0</v>
      </c>
      <c r="M740" s="11">
        <v>0</v>
      </c>
      <c r="N740" s="11">
        <v>0</v>
      </c>
      <c r="O740" s="11">
        <v>3.75023438964935E-3</v>
      </c>
      <c r="P740" s="11">
        <v>0</v>
      </c>
      <c r="Q740" s="11">
        <v>0</v>
      </c>
      <c r="R740" s="11">
        <v>0</v>
      </c>
      <c r="S740" s="11">
        <v>0</v>
      </c>
      <c r="T740" s="11">
        <v>0</v>
      </c>
      <c r="U740">
        <v>3.04201016031394E-3</v>
      </c>
      <c r="V740">
        <v>0</v>
      </c>
      <c r="W740">
        <v>0</v>
      </c>
      <c r="X740">
        <v>0</v>
      </c>
      <c r="Y740">
        <v>0</v>
      </c>
      <c r="Z740">
        <v>3.1774275546517499E-3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</row>
    <row r="741" spans="1:39" customFormat="1" hidden="1" x14ac:dyDescent="0.3">
      <c r="A741" t="s">
        <v>1090</v>
      </c>
      <c r="B741" t="s">
        <v>30</v>
      </c>
      <c r="C741" t="s">
        <v>81</v>
      </c>
      <c r="D741" t="s">
        <v>85</v>
      </c>
      <c r="E741" t="s">
        <v>287</v>
      </c>
      <c r="F741" t="s">
        <v>882</v>
      </c>
      <c r="G741" t="s">
        <v>1045</v>
      </c>
      <c r="H741" s="16">
        <v>0</v>
      </c>
      <c r="I741" s="11">
        <v>0</v>
      </c>
      <c r="J741" s="11">
        <v>0</v>
      </c>
      <c r="K741" s="11">
        <v>0</v>
      </c>
      <c r="L741" s="11">
        <v>0</v>
      </c>
      <c r="M741" s="11">
        <v>0</v>
      </c>
      <c r="N741" s="11">
        <v>0</v>
      </c>
      <c r="O741" s="11">
        <v>0</v>
      </c>
      <c r="P741" s="11">
        <v>0</v>
      </c>
      <c r="Q741" s="11">
        <v>0</v>
      </c>
      <c r="R741" s="11">
        <v>0</v>
      </c>
      <c r="S741" s="11">
        <v>0</v>
      </c>
      <c r="T741" s="1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2.2984278753332699E-3</v>
      </c>
      <c r="AJ741">
        <v>0</v>
      </c>
      <c r="AK741">
        <v>0</v>
      </c>
      <c r="AL741">
        <v>0</v>
      </c>
      <c r="AM741">
        <v>0</v>
      </c>
    </row>
    <row r="742" spans="1:39" customFormat="1" hidden="1" x14ac:dyDescent="0.3">
      <c r="A742" t="s">
        <v>1089</v>
      </c>
      <c r="B742" t="s">
        <v>30</v>
      </c>
      <c r="C742" t="s">
        <v>81</v>
      </c>
      <c r="D742" t="s">
        <v>85</v>
      </c>
      <c r="E742" t="s">
        <v>287</v>
      </c>
      <c r="F742" t="s">
        <v>470</v>
      </c>
      <c r="G742" t="s">
        <v>469</v>
      </c>
      <c r="H742" s="16">
        <v>0</v>
      </c>
      <c r="I742" s="11">
        <v>0</v>
      </c>
      <c r="J742" s="11">
        <v>0</v>
      </c>
      <c r="K742" s="11">
        <v>0</v>
      </c>
      <c r="L742" s="11">
        <v>0</v>
      </c>
      <c r="M742" s="11">
        <v>0</v>
      </c>
      <c r="N742" s="11">
        <v>0</v>
      </c>
      <c r="O742" s="11">
        <v>0</v>
      </c>
      <c r="P742" s="11">
        <v>0</v>
      </c>
      <c r="Q742" s="11">
        <v>0</v>
      </c>
      <c r="R742" s="11">
        <v>0</v>
      </c>
      <c r="S742" s="11">
        <v>2.4883049666567102E-3</v>
      </c>
      <c r="T742" s="11">
        <v>0</v>
      </c>
      <c r="U742">
        <v>0</v>
      </c>
      <c r="V742">
        <v>0</v>
      </c>
      <c r="W742">
        <v>0</v>
      </c>
      <c r="X742">
        <v>1.2848515996402399E-2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</row>
    <row r="743" spans="1:39" customFormat="1" hidden="1" x14ac:dyDescent="0.3">
      <c r="A743" t="s">
        <v>1087</v>
      </c>
      <c r="B743" t="s">
        <v>30</v>
      </c>
      <c r="C743" t="s">
        <v>81</v>
      </c>
      <c r="D743" t="s">
        <v>85</v>
      </c>
      <c r="E743" t="s">
        <v>287</v>
      </c>
      <c r="F743" t="s">
        <v>882</v>
      </c>
      <c r="G743" t="s">
        <v>881</v>
      </c>
      <c r="H743" s="16">
        <v>0</v>
      </c>
      <c r="I743" s="11">
        <v>0</v>
      </c>
      <c r="J743" s="11">
        <v>0</v>
      </c>
      <c r="K743" s="11">
        <v>0</v>
      </c>
      <c r="L743" s="11">
        <v>0</v>
      </c>
      <c r="M743" s="11">
        <v>0</v>
      </c>
      <c r="N743" s="11">
        <v>0</v>
      </c>
      <c r="O743" s="11">
        <v>0</v>
      </c>
      <c r="P743" s="11">
        <v>0</v>
      </c>
      <c r="Q743" s="11">
        <v>0</v>
      </c>
      <c r="R743" s="11">
        <v>0</v>
      </c>
      <c r="S743" s="11">
        <v>0</v>
      </c>
      <c r="T743" s="11">
        <v>0</v>
      </c>
      <c r="U743">
        <v>0</v>
      </c>
      <c r="V743">
        <v>0</v>
      </c>
      <c r="W743">
        <v>2.6668088964744798E-3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2.2984278753332699E-3</v>
      </c>
      <c r="AJ743">
        <v>0</v>
      </c>
      <c r="AK743">
        <v>0</v>
      </c>
      <c r="AL743">
        <v>0</v>
      </c>
      <c r="AM743">
        <v>0</v>
      </c>
    </row>
    <row r="744" spans="1:39" customFormat="1" hidden="1" x14ac:dyDescent="0.3">
      <c r="A744" t="s">
        <v>1086</v>
      </c>
      <c r="B744" t="s">
        <v>30</v>
      </c>
      <c r="C744" t="s">
        <v>81</v>
      </c>
      <c r="D744" t="s">
        <v>85</v>
      </c>
      <c r="E744" t="s">
        <v>287</v>
      </c>
      <c r="F744" t="s">
        <v>882</v>
      </c>
      <c r="G744" t="s">
        <v>881</v>
      </c>
      <c r="H744" s="16">
        <v>0</v>
      </c>
      <c r="I744" s="11">
        <v>0</v>
      </c>
      <c r="J744" s="11">
        <v>0</v>
      </c>
      <c r="K744" s="11">
        <v>0</v>
      </c>
      <c r="L744" s="11">
        <v>0</v>
      </c>
      <c r="M744" s="11">
        <v>0</v>
      </c>
      <c r="N744" s="11">
        <v>0</v>
      </c>
      <c r="O744" s="11">
        <v>0</v>
      </c>
      <c r="P744" s="11">
        <v>6.78955766031843E-3</v>
      </c>
      <c r="Q744" s="11">
        <v>0</v>
      </c>
      <c r="R744" s="11">
        <v>0</v>
      </c>
      <c r="S744" s="11">
        <v>0</v>
      </c>
      <c r="T744" s="11">
        <v>0</v>
      </c>
      <c r="U744">
        <v>0</v>
      </c>
      <c r="V744">
        <v>0</v>
      </c>
      <c r="W744">
        <v>0</v>
      </c>
      <c r="X744">
        <v>6.4242579982012101E-3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6.02700096432015E-3</v>
      </c>
      <c r="AL744">
        <v>3.5844863431070302E-3</v>
      </c>
      <c r="AM744">
        <v>0</v>
      </c>
    </row>
    <row r="745" spans="1:39" customFormat="1" hidden="1" x14ac:dyDescent="0.3">
      <c r="A745" t="s">
        <v>1085</v>
      </c>
      <c r="B745" t="s">
        <v>30</v>
      </c>
      <c r="C745" t="s">
        <v>81</v>
      </c>
      <c r="D745" t="s">
        <v>85</v>
      </c>
      <c r="E745" t="s">
        <v>287</v>
      </c>
      <c r="F745" t="s">
        <v>286</v>
      </c>
      <c r="G745" t="s">
        <v>286</v>
      </c>
      <c r="H745" s="16">
        <v>0</v>
      </c>
      <c r="I745" s="11">
        <v>0</v>
      </c>
      <c r="J745" s="11">
        <v>0</v>
      </c>
      <c r="K745" s="11">
        <v>0</v>
      </c>
      <c r="L745" s="11">
        <v>0</v>
      </c>
      <c r="M745" s="11">
        <v>0</v>
      </c>
      <c r="N745" s="11">
        <v>0</v>
      </c>
      <c r="O745" s="11">
        <v>0</v>
      </c>
      <c r="P745" s="11">
        <v>0</v>
      </c>
      <c r="Q745" s="11">
        <v>0</v>
      </c>
      <c r="R745" s="11">
        <v>0</v>
      </c>
      <c r="S745" s="11">
        <v>0</v>
      </c>
      <c r="T745" s="11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3.5915670006823998E-3</v>
      </c>
      <c r="AK745">
        <v>0</v>
      </c>
      <c r="AL745">
        <v>3.5844863431070302E-3</v>
      </c>
      <c r="AM745">
        <v>0</v>
      </c>
    </row>
    <row r="746" spans="1:39" customFormat="1" hidden="1" x14ac:dyDescent="0.3">
      <c r="A746" t="s">
        <v>1084</v>
      </c>
      <c r="B746" t="s">
        <v>30</v>
      </c>
      <c r="C746" t="s">
        <v>81</v>
      </c>
      <c r="D746" t="s">
        <v>85</v>
      </c>
      <c r="E746" t="s">
        <v>287</v>
      </c>
      <c r="F746" t="s">
        <v>882</v>
      </c>
      <c r="G746" t="s">
        <v>881</v>
      </c>
      <c r="H746" s="16">
        <v>0</v>
      </c>
      <c r="I746" s="11">
        <v>0</v>
      </c>
      <c r="J746" s="11">
        <v>0</v>
      </c>
      <c r="K746" s="11">
        <v>0</v>
      </c>
      <c r="L746" s="11">
        <v>0</v>
      </c>
      <c r="M746" s="11">
        <v>0</v>
      </c>
      <c r="N746" s="11">
        <v>0</v>
      </c>
      <c r="O746" s="11">
        <v>0</v>
      </c>
      <c r="P746" s="11">
        <v>0</v>
      </c>
      <c r="Q746" s="11">
        <v>0</v>
      </c>
      <c r="R746" s="11">
        <v>0</v>
      </c>
      <c r="S746" s="11">
        <v>0</v>
      </c>
      <c r="T746" s="11">
        <v>0</v>
      </c>
      <c r="U746">
        <v>0</v>
      </c>
      <c r="V746">
        <v>3.6144142841652502E-3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5.03372596395852E-3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</row>
    <row r="747" spans="1:39" customFormat="1" hidden="1" x14ac:dyDescent="0.3">
      <c r="A747" t="s">
        <v>1083</v>
      </c>
      <c r="B747" t="s">
        <v>30</v>
      </c>
      <c r="C747" t="s">
        <v>81</v>
      </c>
      <c r="D747" t="s">
        <v>85</v>
      </c>
      <c r="E747" t="s">
        <v>287</v>
      </c>
      <c r="F747" t="s">
        <v>882</v>
      </c>
      <c r="G747" t="s">
        <v>1045</v>
      </c>
      <c r="H747" s="16">
        <v>0</v>
      </c>
      <c r="I747" s="11">
        <v>0</v>
      </c>
      <c r="J747" s="11">
        <v>0</v>
      </c>
      <c r="K747" s="11">
        <v>0</v>
      </c>
      <c r="L747" s="11">
        <v>0</v>
      </c>
      <c r="M747" s="11">
        <v>0</v>
      </c>
      <c r="N747" s="11">
        <v>0</v>
      </c>
      <c r="O747" s="11">
        <v>0</v>
      </c>
      <c r="P747" s="11">
        <v>0</v>
      </c>
      <c r="Q747" s="11">
        <v>0</v>
      </c>
      <c r="R747" s="11">
        <v>0</v>
      </c>
      <c r="S747" s="11">
        <v>2.4883049666567102E-3</v>
      </c>
      <c r="T747" s="11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</row>
    <row r="748" spans="1:39" customFormat="1" hidden="1" x14ac:dyDescent="0.3">
      <c r="A748" t="s">
        <v>1081</v>
      </c>
      <c r="B748" t="s">
        <v>30</v>
      </c>
      <c r="C748" t="s">
        <v>81</v>
      </c>
      <c r="D748" t="s">
        <v>85</v>
      </c>
      <c r="E748" t="s">
        <v>287</v>
      </c>
      <c r="F748" t="s">
        <v>286</v>
      </c>
      <c r="G748" t="s">
        <v>286</v>
      </c>
      <c r="H748" s="16">
        <v>0</v>
      </c>
      <c r="I748" s="11">
        <v>0</v>
      </c>
      <c r="J748" s="11">
        <v>0</v>
      </c>
      <c r="K748" s="11">
        <v>0</v>
      </c>
      <c r="L748" s="11">
        <v>6.6037112857425901E-3</v>
      </c>
      <c r="M748" s="11">
        <v>0</v>
      </c>
      <c r="N748" s="11">
        <v>0</v>
      </c>
      <c r="O748" s="11">
        <v>7.5004687792987104E-3</v>
      </c>
      <c r="P748" s="11">
        <v>0</v>
      </c>
      <c r="Q748" s="11">
        <v>0</v>
      </c>
      <c r="R748" s="11">
        <v>0</v>
      </c>
      <c r="S748" s="11">
        <v>0</v>
      </c>
      <c r="T748" s="11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</row>
    <row r="749" spans="1:39" customFormat="1" hidden="1" x14ac:dyDescent="0.3">
      <c r="A749" t="s">
        <v>1080</v>
      </c>
      <c r="B749" t="s">
        <v>30</v>
      </c>
      <c r="C749" t="s">
        <v>81</v>
      </c>
      <c r="D749" t="s">
        <v>85</v>
      </c>
      <c r="E749" t="s">
        <v>287</v>
      </c>
      <c r="F749" t="s">
        <v>882</v>
      </c>
      <c r="G749" t="s">
        <v>881</v>
      </c>
      <c r="H749" s="16">
        <v>0</v>
      </c>
      <c r="I749" s="11">
        <v>0</v>
      </c>
      <c r="J749" s="11">
        <v>0</v>
      </c>
      <c r="K749" s="11">
        <v>0</v>
      </c>
      <c r="L749" s="11">
        <v>6.6037112857425901E-3</v>
      </c>
      <c r="M749" s="11">
        <v>0</v>
      </c>
      <c r="N749" s="11">
        <v>4.5835816106705798E-3</v>
      </c>
      <c r="O749" s="11">
        <v>3.75023438964935E-3</v>
      </c>
      <c r="P749" s="11">
        <v>0</v>
      </c>
      <c r="Q749" s="11">
        <v>0</v>
      </c>
      <c r="R749" s="11">
        <v>0</v>
      </c>
      <c r="S749" s="11">
        <v>0</v>
      </c>
      <c r="T749" s="11">
        <v>0</v>
      </c>
      <c r="U749">
        <v>0</v>
      </c>
      <c r="V749">
        <v>3.6144142841652502E-3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3.5844863431070302E-3</v>
      </c>
      <c r="AM749">
        <v>0</v>
      </c>
    </row>
    <row r="750" spans="1:39" customFormat="1" hidden="1" x14ac:dyDescent="0.3">
      <c r="A750" t="s">
        <v>1079</v>
      </c>
      <c r="B750" t="s">
        <v>30</v>
      </c>
      <c r="C750" t="s">
        <v>81</v>
      </c>
      <c r="D750" t="s">
        <v>85</v>
      </c>
      <c r="E750" t="s">
        <v>287</v>
      </c>
      <c r="F750" t="s">
        <v>286</v>
      </c>
      <c r="G750" t="s">
        <v>286</v>
      </c>
      <c r="H750" s="16">
        <v>0</v>
      </c>
      <c r="I750" s="11">
        <v>0</v>
      </c>
      <c r="J750" s="11">
        <v>0</v>
      </c>
      <c r="K750" s="11">
        <v>0</v>
      </c>
      <c r="L750" s="11">
        <v>0</v>
      </c>
      <c r="M750" s="11">
        <v>0</v>
      </c>
      <c r="N750" s="11">
        <v>0</v>
      </c>
      <c r="O750" s="11">
        <v>0</v>
      </c>
      <c r="P750" s="11">
        <v>0</v>
      </c>
      <c r="Q750" s="11">
        <v>0</v>
      </c>
      <c r="R750" s="11">
        <v>0</v>
      </c>
      <c r="S750" s="11">
        <v>0</v>
      </c>
      <c r="T750" s="11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3.1774275546517499E-3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3.5915670006823998E-3</v>
      </c>
      <c r="AK750">
        <v>0</v>
      </c>
      <c r="AL750">
        <v>0</v>
      </c>
      <c r="AM750">
        <v>0</v>
      </c>
    </row>
    <row r="751" spans="1:39" customFormat="1" hidden="1" x14ac:dyDescent="0.3">
      <c r="A751" t="s">
        <v>1078</v>
      </c>
      <c r="B751" t="s">
        <v>30</v>
      </c>
      <c r="C751" t="s">
        <v>81</v>
      </c>
      <c r="D751" t="s">
        <v>85</v>
      </c>
      <c r="E751" t="s">
        <v>287</v>
      </c>
      <c r="F751" t="s">
        <v>817</v>
      </c>
      <c r="G751" t="s">
        <v>817</v>
      </c>
      <c r="H751" s="16">
        <v>0</v>
      </c>
      <c r="I751" s="11">
        <v>0</v>
      </c>
      <c r="J751" s="11">
        <v>4.3593879419329502E-3</v>
      </c>
      <c r="K751" s="11">
        <v>0</v>
      </c>
      <c r="L751" s="11">
        <v>0</v>
      </c>
      <c r="M751" s="11">
        <v>0</v>
      </c>
      <c r="N751" s="11">
        <v>0</v>
      </c>
      <c r="O751" s="11">
        <v>0</v>
      </c>
      <c r="P751" s="11">
        <v>0</v>
      </c>
      <c r="Q751" s="11">
        <v>0</v>
      </c>
      <c r="R751" s="11">
        <v>2.2441148089136199E-3</v>
      </c>
      <c r="S751" s="11">
        <v>0</v>
      </c>
      <c r="T751" s="11">
        <v>0</v>
      </c>
      <c r="U751">
        <v>3.04201016031394E-3</v>
      </c>
      <c r="V751">
        <v>0</v>
      </c>
      <c r="W751">
        <v>0</v>
      </c>
      <c r="X751">
        <v>0</v>
      </c>
      <c r="Y751">
        <v>0</v>
      </c>
      <c r="Z751">
        <v>3.1774275546517499E-3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</row>
    <row r="752" spans="1:39" customFormat="1" hidden="1" x14ac:dyDescent="0.3">
      <c r="A752" t="s">
        <v>1077</v>
      </c>
      <c r="B752" t="s">
        <v>30</v>
      </c>
      <c r="C752" t="s">
        <v>81</v>
      </c>
      <c r="D752" t="s">
        <v>85</v>
      </c>
      <c r="E752" t="s">
        <v>287</v>
      </c>
      <c r="F752" t="s">
        <v>882</v>
      </c>
      <c r="G752" t="s">
        <v>881</v>
      </c>
      <c r="H752" s="16">
        <v>0</v>
      </c>
      <c r="I752" s="11">
        <v>0</v>
      </c>
      <c r="J752" s="11">
        <v>4.3593879419329502E-3</v>
      </c>
      <c r="K752" s="11">
        <v>0</v>
      </c>
      <c r="L752" s="11">
        <v>0</v>
      </c>
      <c r="M752" s="11">
        <v>0</v>
      </c>
      <c r="N752" s="11">
        <v>0</v>
      </c>
      <c r="O752" s="11">
        <v>0</v>
      </c>
      <c r="P752" s="11">
        <v>0</v>
      </c>
      <c r="Q752" s="11">
        <v>2.7492920572952501E-3</v>
      </c>
      <c r="R752" s="11">
        <v>0</v>
      </c>
      <c r="S752" s="11">
        <v>0</v>
      </c>
      <c r="T752" s="11">
        <v>0</v>
      </c>
      <c r="U752">
        <v>0</v>
      </c>
      <c r="V752">
        <v>0</v>
      </c>
      <c r="W752">
        <v>0</v>
      </c>
      <c r="X752">
        <v>0</v>
      </c>
      <c r="Y752">
        <v>2.9264581077521898E-3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4.6410173109945703E-3</v>
      </c>
      <c r="AI752">
        <v>0</v>
      </c>
      <c r="AJ752">
        <v>0</v>
      </c>
      <c r="AK752">
        <v>0</v>
      </c>
      <c r="AL752">
        <v>3.5844863431070302E-3</v>
      </c>
      <c r="AM752">
        <v>0</v>
      </c>
    </row>
    <row r="753" spans="1:39" customFormat="1" hidden="1" x14ac:dyDescent="0.3">
      <c r="A753" t="s">
        <v>1076</v>
      </c>
      <c r="B753" t="s">
        <v>30</v>
      </c>
      <c r="C753" t="s">
        <v>81</v>
      </c>
      <c r="D753" t="s">
        <v>85</v>
      </c>
      <c r="E753" t="s">
        <v>287</v>
      </c>
      <c r="F753" t="s">
        <v>817</v>
      </c>
      <c r="G753" t="s">
        <v>817</v>
      </c>
      <c r="H753" s="16">
        <v>0</v>
      </c>
      <c r="I753" s="11">
        <v>0</v>
      </c>
      <c r="J753" s="11">
        <v>0</v>
      </c>
      <c r="K753" s="11">
        <v>0</v>
      </c>
      <c r="L753" s="11">
        <v>0</v>
      </c>
      <c r="M753" s="11">
        <v>0</v>
      </c>
      <c r="N753" s="11">
        <v>0</v>
      </c>
      <c r="O753" s="11">
        <v>0</v>
      </c>
      <c r="P753" s="11">
        <v>0</v>
      </c>
      <c r="Q753" s="11">
        <v>0</v>
      </c>
      <c r="R753" s="11">
        <v>0</v>
      </c>
      <c r="S753" s="11">
        <v>4.9766099333134299E-3</v>
      </c>
      <c r="T753" s="11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3.1774275546517499E-3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</v>
      </c>
      <c r="AM753">
        <v>0</v>
      </c>
    </row>
    <row r="754" spans="1:39" customFormat="1" hidden="1" x14ac:dyDescent="0.3">
      <c r="A754" t="s">
        <v>1075</v>
      </c>
      <c r="B754" t="s">
        <v>30</v>
      </c>
      <c r="C754" t="s">
        <v>81</v>
      </c>
      <c r="D754" t="s">
        <v>85</v>
      </c>
      <c r="E754" t="s">
        <v>287</v>
      </c>
      <c r="F754" t="s">
        <v>286</v>
      </c>
      <c r="G754" t="s">
        <v>286</v>
      </c>
      <c r="H754" s="16">
        <v>0</v>
      </c>
      <c r="I754" s="11">
        <v>0</v>
      </c>
      <c r="J754" s="11">
        <v>0</v>
      </c>
      <c r="K754" s="11">
        <v>0</v>
      </c>
      <c r="L754" s="11">
        <v>0</v>
      </c>
      <c r="M754" s="11">
        <v>0</v>
      </c>
      <c r="N754" s="11">
        <v>0</v>
      </c>
      <c r="O754" s="11">
        <v>0</v>
      </c>
      <c r="P754" s="11">
        <v>0</v>
      </c>
      <c r="Q754" s="11">
        <v>0</v>
      </c>
      <c r="R754" s="11">
        <v>0</v>
      </c>
      <c r="S754" s="11">
        <v>0</v>
      </c>
      <c r="T754" s="11">
        <v>0</v>
      </c>
      <c r="U754">
        <v>0</v>
      </c>
      <c r="V754">
        <v>0</v>
      </c>
      <c r="W754">
        <v>2.6668088964744798E-3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4.6410173109945703E-3</v>
      </c>
      <c r="AI754">
        <v>0</v>
      </c>
      <c r="AJ754">
        <v>0</v>
      </c>
      <c r="AK754">
        <v>0</v>
      </c>
      <c r="AL754">
        <v>0</v>
      </c>
      <c r="AM754">
        <v>0</v>
      </c>
    </row>
    <row r="755" spans="1:39" customFormat="1" hidden="1" x14ac:dyDescent="0.3">
      <c r="A755" t="s">
        <v>1074</v>
      </c>
      <c r="B755" t="s">
        <v>30</v>
      </c>
      <c r="C755" t="s">
        <v>81</v>
      </c>
      <c r="D755" t="s">
        <v>85</v>
      </c>
      <c r="E755" t="s">
        <v>287</v>
      </c>
      <c r="F755" t="s">
        <v>817</v>
      </c>
      <c r="G755" t="s">
        <v>817</v>
      </c>
      <c r="H755" s="16">
        <v>0</v>
      </c>
      <c r="I755" s="11">
        <v>0</v>
      </c>
      <c r="J755" s="11">
        <v>0</v>
      </c>
      <c r="K755" s="11">
        <v>0</v>
      </c>
      <c r="L755" s="11">
        <v>0</v>
      </c>
      <c r="M755" s="11">
        <v>0</v>
      </c>
      <c r="N755" s="11">
        <v>0</v>
      </c>
      <c r="O755" s="11">
        <v>0</v>
      </c>
      <c r="P755" s="11">
        <v>3.3947788301592198E-3</v>
      </c>
      <c r="Q755" s="11">
        <v>0</v>
      </c>
      <c r="R755" s="11">
        <v>2.2441148089136199E-3</v>
      </c>
      <c r="S755" s="11">
        <v>2.4883049666567102E-3</v>
      </c>
      <c r="T755" s="11">
        <v>0</v>
      </c>
      <c r="U755">
        <v>3.04201016031394E-3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7.1911405148856597E-3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</row>
    <row r="756" spans="1:39" customFormat="1" hidden="1" x14ac:dyDescent="0.3">
      <c r="A756" t="s">
        <v>1073</v>
      </c>
      <c r="B756" t="s">
        <v>30</v>
      </c>
      <c r="C756" t="s">
        <v>81</v>
      </c>
      <c r="D756" t="s">
        <v>85</v>
      </c>
      <c r="E756" t="s">
        <v>287</v>
      </c>
      <c r="F756" t="s">
        <v>817</v>
      </c>
      <c r="G756" t="s">
        <v>817</v>
      </c>
      <c r="H756" s="16">
        <v>0</v>
      </c>
      <c r="I756" s="11">
        <v>0</v>
      </c>
      <c r="J756" s="11">
        <v>0</v>
      </c>
      <c r="K756" s="11">
        <v>0</v>
      </c>
      <c r="L756" s="11">
        <v>0</v>
      </c>
      <c r="M756" s="11">
        <v>0</v>
      </c>
      <c r="N756" s="11">
        <v>0</v>
      </c>
      <c r="O756" s="11">
        <v>0</v>
      </c>
      <c r="P756" s="11">
        <v>0</v>
      </c>
      <c r="Q756" s="11">
        <v>0</v>
      </c>
      <c r="R756" s="11">
        <v>4.4882296178272501E-3</v>
      </c>
      <c r="S756" s="11">
        <v>0</v>
      </c>
      <c r="T756" s="11">
        <v>0</v>
      </c>
      <c r="U756">
        <v>0</v>
      </c>
      <c r="V756">
        <v>3.6144142841652502E-3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5.03372596395852E-3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</v>
      </c>
      <c r="AM756">
        <v>0</v>
      </c>
    </row>
    <row r="757" spans="1:39" customFormat="1" hidden="1" x14ac:dyDescent="0.3">
      <c r="A757" t="s">
        <v>1072</v>
      </c>
      <c r="B757" t="s">
        <v>30</v>
      </c>
      <c r="C757" t="s">
        <v>81</v>
      </c>
      <c r="D757" t="s">
        <v>85</v>
      </c>
      <c r="E757" t="s">
        <v>287</v>
      </c>
      <c r="F757" t="s">
        <v>817</v>
      </c>
      <c r="G757" t="s">
        <v>817</v>
      </c>
      <c r="H757" s="16">
        <v>0</v>
      </c>
      <c r="I757" s="11">
        <v>0</v>
      </c>
      <c r="J757" s="11">
        <v>0</v>
      </c>
      <c r="K757" s="11">
        <v>0</v>
      </c>
      <c r="L757" s="11">
        <v>0</v>
      </c>
      <c r="M757" s="11">
        <v>0</v>
      </c>
      <c r="N757" s="11">
        <v>0</v>
      </c>
      <c r="O757" s="11">
        <v>0</v>
      </c>
      <c r="P757" s="11">
        <v>0</v>
      </c>
      <c r="Q757" s="11">
        <v>0</v>
      </c>
      <c r="R757" s="11">
        <v>0</v>
      </c>
      <c r="S757" s="11">
        <v>0</v>
      </c>
      <c r="T757" s="11">
        <v>0</v>
      </c>
      <c r="U757">
        <v>0</v>
      </c>
      <c r="V757">
        <v>0</v>
      </c>
      <c r="W757">
        <v>0</v>
      </c>
      <c r="X757">
        <v>0</v>
      </c>
      <c r="Y757">
        <v>2.9264581077521898E-3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6.02700096432015E-3</v>
      </c>
      <c r="AL757">
        <v>3.5844863431070302E-3</v>
      </c>
      <c r="AM757">
        <v>0</v>
      </c>
    </row>
    <row r="758" spans="1:39" customFormat="1" hidden="1" x14ac:dyDescent="0.3">
      <c r="A758" t="s">
        <v>1071</v>
      </c>
      <c r="B758" t="s">
        <v>30</v>
      </c>
      <c r="C758" t="s">
        <v>81</v>
      </c>
      <c r="D758" t="s">
        <v>85</v>
      </c>
      <c r="E758" t="s">
        <v>287</v>
      </c>
      <c r="F758" t="s">
        <v>817</v>
      </c>
      <c r="G758" t="s">
        <v>817</v>
      </c>
      <c r="H758" s="16">
        <v>0</v>
      </c>
      <c r="I758" s="11">
        <v>0</v>
      </c>
      <c r="J758" s="11">
        <v>0</v>
      </c>
      <c r="K758" s="11">
        <v>0</v>
      </c>
      <c r="L758" s="11">
        <v>0</v>
      </c>
      <c r="M758" s="11">
        <v>0</v>
      </c>
      <c r="N758" s="11">
        <v>0</v>
      </c>
      <c r="O758" s="11">
        <v>0</v>
      </c>
      <c r="P758" s="11">
        <v>0</v>
      </c>
      <c r="Q758" s="11">
        <v>0</v>
      </c>
      <c r="R758" s="11">
        <v>0</v>
      </c>
      <c r="S758" s="11">
        <v>0</v>
      </c>
      <c r="T758" s="11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3.4299434059338E-3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0</v>
      </c>
    </row>
    <row r="759" spans="1:39" customFormat="1" hidden="1" x14ac:dyDescent="0.3">
      <c r="A759" t="s">
        <v>1070</v>
      </c>
      <c r="B759" t="s">
        <v>30</v>
      </c>
      <c r="C759" t="s">
        <v>81</v>
      </c>
      <c r="D759" t="s">
        <v>85</v>
      </c>
      <c r="E759" t="s">
        <v>287</v>
      </c>
      <c r="F759" t="s">
        <v>286</v>
      </c>
      <c r="G759" t="s">
        <v>286</v>
      </c>
      <c r="H759" s="16">
        <v>0</v>
      </c>
      <c r="I759" s="11">
        <v>0</v>
      </c>
      <c r="J759" s="11">
        <v>0</v>
      </c>
      <c r="K759" s="11">
        <v>0</v>
      </c>
      <c r="L759" s="11">
        <v>0</v>
      </c>
      <c r="M759" s="11">
        <v>0</v>
      </c>
      <c r="N759" s="11">
        <v>0</v>
      </c>
      <c r="O759" s="11">
        <v>0</v>
      </c>
      <c r="P759" s="11">
        <v>0</v>
      </c>
      <c r="Q759" s="11">
        <v>0</v>
      </c>
      <c r="R759" s="11">
        <v>0</v>
      </c>
      <c r="S759" s="11">
        <v>0</v>
      </c>
      <c r="T759" s="11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3.5844863431070302E-3</v>
      </c>
      <c r="AM759">
        <v>0</v>
      </c>
    </row>
    <row r="760" spans="1:39" customFormat="1" hidden="1" x14ac:dyDescent="0.3">
      <c r="A760" t="s">
        <v>1069</v>
      </c>
      <c r="B760" t="s">
        <v>30</v>
      </c>
      <c r="C760" t="s">
        <v>81</v>
      </c>
      <c r="D760" t="s">
        <v>85</v>
      </c>
      <c r="E760" t="s">
        <v>287</v>
      </c>
      <c r="F760" t="s">
        <v>882</v>
      </c>
      <c r="G760" t="s">
        <v>881</v>
      </c>
      <c r="H760" s="16">
        <v>0</v>
      </c>
      <c r="I760" s="11">
        <v>0</v>
      </c>
      <c r="J760" s="11">
        <v>0</v>
      </c>
      <c r="K760" s="11">
        <v>0</v>
      </c>
      <c r="L760" s="11">
        <v>0</v>
      </c>
      <c r="M760" s="11">
        <v>3.5488679111363502E-3</v>
      </c>
      <c r="N760" s="11">
        <v>0</v>
      </c>
      <c r="O760" s="11">
        <v>0</v>
      </c>
      <c r="P760" s="11">
        <v>3.3947788301592198E-3</v>
      </c>
      <c r="Q760" s="11">
        <v>0</v>
      </c>
      <c r="R760" s="11">
        <v>0</v>
      </c>
      <c r="S760" s="11">
        <v>0</v>
      </c>
      <c r="T760" s="11">
        <v>0</v>
      </c>
      <c r="U760">
        <v>0</v>
      </c>
      <c r="V760">
        <v>3.6144142841652502E-3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4.6410173109945703E-3</v>
      </c>
      <c r="AI760">
        <v>0</v>
      </c>
      <c r="AJ760">
        <v>0</v>
      </c>
      <c r="AK760">
        <v>0</v>
      </c>
      <c r="AL760">
        <v>0</v>
      </c>
      <c r="AM760">
        <v>0</v>
      </c>
    </row>
    <row r="761" spans="1:39" customFormat="1" hidden="1" x14ac:dyDescent="0.3">
      <c r="A761" t="s">
        <v>1068</v>
      </c>
      <c r="B761" t="s">
        <v>30</v>
      </c>
      <c r="C761" t="s">
        <v>264</v>
      </c>
      <c r="D761" t="s">
        <v>263</v>
      </c>
      <c r="E761" t="s">
        <v>262</v>
      </c>
      <c r="F761" t="s">
        <v>261</v>
      </c>
      <c r="G761" t="s">
        <v>260</v>
      </c>
      <c r="H761" s="16">
        <v>0</v>
      </c>
      <c r="I761" s="11">
        <v>0</v>
      </c>
      <c r="J761" s="11">
        <v>0</v>
      </c>
      <c r="K761" s="11">
        <v>0</v>
      </c>
      <c r="L761" s="11">
        <v>0</v>
      </c>
      <c r="M761" s="11">
        <v>0</v>
      </c>
      <c r="N761" s="11">
        <v>0</v>
      </c>
      <c r="O761" s="11">
        <v>0</v>
      </c>
      <c r="P761" s="11">
        <v>0</v>
      </c>
      <c r="Q761" s="11">
        <v>0</v>
      </c>
      <c r="R761" s="11">
        <v>0</v>
      </c>
      <c r="S761" s="11">
        <v>0</v>
      </c>
      <c r="T761" s="1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</row>
    <row r="762" spans="1:39" customFormat="1" hidden="1" x14ac:dyDescent="0.3">
      <c r="A762" t="s">
        <v>1067</v>
      </c>
      <c r="B762" t="s">
        <v>30</v>
      </c>
      <c r="C762" t="s">
        <v>81</v>
      </c>
      <c r="D762" t="s">
        <v>80</v>
      </c>
      <c r="E762" t="s">
        <v>79</v>
      </c>
      <c r="F762" t="s">
        <v>78</v>
      </c>
      <c r="G762" t="s">
        <v>77</v>
      </c>
      <c r="H762" s="16">
        <v>0</v>
      </c>
      <c r="I762" s="11">
        <v>0</v>
      </c>
      <c r="J762" s="11">
        <v>0</v>
      </c>
      <c r="K762" s="11">
        <v>0</v>
      </c>
      <c r="L762" s="11">
        <v>0</v>
      </c>
      <c r="M762" s="11">
        <v>0</v>
      </c>
      <c r="N762" s="11">
        <v>0</v>
      </c>
      <c r="O762" s="11">
        <v>0</v>
      </c>
      <c r="P762" s="11">
        <v>0</v>
      </c>
      <c r="Q762" s="11">
        <v>2.7492920572952501E-3</v>
      </c>
      <c r="R762" s="11">
        <v>0</v>
      </c>
      <c r="S762" s="11">
        <v>0</v>
      </c>
      <c r="T762" s="11">
        <v>3.3464962184592698E-3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  <c r="AM762">
        <v>0</v>
      </c>
    </row>
    <row r="763" spans="1:39" customFormat="1" hidden="1" x14ac:dyDescent="0.3">
      <c r="A763" t="s">
        <v>1066</v>
      </c>
      <c r="B763" t="s">
        <v>30</v>
      </c>
      <c r="C763" t="s">
        <v>35</v>
      </c>
      <c r="D763" t="s">
        <v>35</v>
      </c>
      <c r="E763" t="s">
        <v>45</v>
      </c>
      <c r="F763" t="s">
        <v>44</v>
      </c>
      <c r="G763" t="s">
        <v>1065</v>
      </c>
      <c r="H763" s="16">
        <v>0</v>
      </c>
      <c r="I763" s="11">
        <v>0</v>
      </c>
      <c r="J763" s="11">
        <v>0</v>
      </c>
      <c r="K763" s="11">
        <v>0</v>
      </c>
      <c r="L763" s="11">
        <v>0</v>
      </c>
      <c r="M763" s="11">
        <v>0</v>
      </c>
      <c r="N763" s="11">
        <v>0</v>
      </c>
      <c r="O763" s="11">
        <v>0</v>
      </c>
      <c r="P763" s="11">
        <v>0</v>
      </c>
      <c r="Q763" s="11">
        <v>0</v>
      </c>
      <c r="R763" s="11">
        <v>0</v>
      </c>
      <c r="S763" s="11">
        <v>0</v>
      </c>
      <c r="T763" s="11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0</v>
      </c>
    </row>
    <row r="764" spans="1:39" customFormat="1" hidden="1" x14ac:dyDescent="0.3">
      <c r="A764" t="s">
        <v>1064</v>
      </c>
      <c r="B764" t="s">
        <v>30</v>
      </c>
      <c r="C764" t="s">
        <v>35</v>
      </c>
      <c r="D764" t="s">
        <v>35</v>
      </c>
      <c r="E764" t="s">
        <v>45</v>
      </c>
      <c r="F764" t="s">
        <v>1063</v>
      </c>
      <c r="G764" t="s">
        <v>1063</v>
      </c>
      <c r="H764" s="16">
        <v>0</v>
      </c>
      <c r="I764" s="11">
        <v>3.6565745209887401E-3</v>
      </c>
      <c r="J764" s="11">
        <v>0</v>
      </c>
      <c r="K764" s="11">
        <v>0</v>
      </c>
      <c r="L764" s="11">
        <v>0</v>
      </c>
      <c r="M764" s="11">
        <v>0</v>
      </c>
      <c r="N764" s="11">
        <v>0</v>
      </c>
      <c r="O764" s="11">
        <v>0</v>
      </c>
      <c r="P764" s="11">
        <v>0</v>
      </c>
      <c r="Q764" s="11">
        <v>2.7492920572952501E-3</v>
      </c>
      <c r="R764" s="11">
        <v>0</v>
      </c>
      <c r="S764" s="11">
        <v>0</v>
      </c>
      <c r="T764" s="11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0</v>
      </c>
    </row>
    <row r="765" spans="1:39" customFormat="1" hidden="1" x14ac:dyDescent="0.3">
      <c r="A765" t="s">
        <v>1062</v>
      </c>
      <c r="B765" t="s">
        <v>30</v>
      </c>
      <c r="C765" t="s">
        <v>35</v>
      </c>
      <c r="D765" t="s">
        <v>35</v>
      </c>
      <c r="E765" t="s">
        <v>45</v>
      </c>
      <c r="F765" t="s">
        <v>1061</v>
      </c>
      <c r="G765" t="s">
        <v>1060</v>
      </c>
      <c r="H765" s="16">
        <v>0</v>
      </c>
      <c r="I765" s="11">
        <v>0</v>
      </c>
      <c r="J765" s="11">
        <v>0</v>
      </c>
      <c r="K765" s="11">
        <v>0</v>
      </c>
      <c r="L765" s="11">
        <v>0</v>
      </c>
      <c r="M765" s="11">
        <v>0</v>
      </c>
      <c r="N765" s="11">
        <v>0</v>
      </c>
      <c r="O765" s="11">
        <v>0</v>
      </c>
      <c r="P765" s="11">
        <v>0</v>
      </c>
      <c r="Q765" s="11">
        <v>0</v>
      </c>
      <c r="R765" s="11">
        <v>0</v>
      </c>
      <c r="S765" s="11">
        <v>0</v>
      </c>
      <c r="T765" s="11">
        <v>0</v>
      </c>
      <c r="U765">
        <v>0</v>
      </c>
      <c r="V765">
        <v>0</v>
      </c>
      <c r="W765">
        <v>2.6668088964744798E-3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5.03372596395852E-3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3.5844863431070302E-3</v>
      </c>
      <c r="AM765">
        <v>0</v>
      </c>
    </row>
    <row r="766" spans="1:39" customFormat="1" hidden="1" x14ac:dyDescent="0.3">
      <c r="A766" t="s">
        <v>1059</v>
      </c>
      <c r="B766" t="s">
        <v>30</v>
      </c>
      <c r="C766" t="s">
        <v>35</v>
      </c>
      <c r="D766" t="s">
        <v>35</v>
      </c>
      <c r="E766" t="s">
        <v>45</v>
      </c>
      <c r="F766" t="s">
        <v>44</v>
      </c>
      <c r="G766" t="s">
        <v>43</v>
      </c>
      <c r="H766" s="16">
        <v>0</v>
      </c>
      <c r="I766" s="11">
        <v>0</v>
      </c>
      <c r="J766" s="11">
        <v>0</v>
      </c>
      <c r="K766" s="11">
        <v>0</v>
      </c>
      <c r="L766" s="11">
        <v>0</v>
      </c>
      <c r="M766" s="11">
        <v>0</v>
      </c>
      <c r="N766" s="11">
        <v>0</v>
      </c>
      <c r="O766" s="11">
        <v>0</v>
      </c>
      <c r="P766" s="11">
        <v>0</v>
      </c>
      <c r="Q766" s="11">
        <v>0</v>
      </c>
      <c r="R766" s="11">
        <v>0</v>
      </c>
      <c r="S766" s="11">
        <v>0</v>
      </c>
      <c r="T766" s="11">
        <v>0</v>
      </c>
      <c r="U766">
        <v>0</v>
      </c>
      <c r="V766">
        <v>3.6144142841652502E-3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0</v>
      </c>
    </row>
    <row r="767" spans="1:39" customFormat="1" hidden="1" x14ac:dyDescent="0.3">
      <c r="A767" t="s">
        <v>1058</v>
      </c>
      <c r="B767" t="s">
        <v>30</v>
      </c>
      <c r="C767" t="s">
        <v>81</v>
      </c>
      <c r="D767" t="s">
        <v>118</v>
      </c>
      <c r="E767" t="s">
        <v>358</v>
      </c>
      <c r="F767" t="s">
        <v>357</v>
      </c>
      <c r="G767" t="s">
        <v>356</v>
      </c>
      <c r="H767" s="16">
        <v>0</v>
      </c>
      <c r="I767" s="11">
        <v>0</v>
      </c>
      <c r="J767" s="11">
        <v>0</v>
      </c>
      <c r="K767" s="11">
        <v>0</v>
      </c>
      <c r="L767" s="11">
        <v>0</v>
      </c>
      <c r="M767" s="11">
        <v>0</v>
      </c>
      <c r="N767" s="11">
        <v>0</v>
      </c>
      <c r="O767" s="11">
        <v>0</v>
      </c>
      <c r="P767" s="11">
        <v>3.3947788301592198E-3</v>
      </c>
      <c r="Q767" s="11">
        <v>0</v>
      </c>
      <c r="R767" s="11">
        <v>0</v>
      </c>
      <c r="S767" s="11">
        <v>0</v>
      </c>
      <c r="T767" s="11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7.0407660353446503E-3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0</v>
      </c>
    </row>
    <row r="768" spans="1:39" customFormat="1" hidden="1" x14ac:dyDescent="0.3">
      <c r="A768" t="s">
        <v>1057</v>
      </c>
      <c r="B768" t="s">
        <v>30</v>
      </c>
      <c r="C768" t="s">
        <v>81</v>
      </c>
      <c r="D768" t="s">
        <v>118</v>
      </c>
      <c r="E768" t="s">
        <v>358</v>
      </c>
      <c r="F768" t="s">
        <v>357</v>
      </c>
      <c r="G768" t="s">
        <v>1056</v>
      </c>
      <c r="H768" s="16">
        <v>0</v>
      </c>
      <c r="I768" s="11">
        <v>0</v>
      </c>
      <c r="J768" s="11">
        <v>0</v>
      </c>
      <c r="K768" s="11">
        <v>0</v>
      </c>
      <c r="L768" s="11">
        <v>0</v>
      </c>
      <c r="M768" s="11">
        <v>0</v>
      </c>
      <c r="N768" s="11">
        <v>0</v>
      </c>
      <c r="O768" s="11">
        <v>0</v>
      </c>
      <c r="P768" s="11">
        <v>0</v>
      </c>
      <c r="Q768" s="11">
        <v>0</v>
      </c>
      <c r="R768" s="11">
        <v>0</v>
      </c>
      <c r="S768" s="11">
        <v>0</v>
      </c>
      <c r="T768" s="11">
        <v>0</v>
      </c>
      <c r="U768">
        <v>0</v>
      </c>
      <c r="V768">
        <v>3.6144142841652502E-3</v>
      </c>
      <c r="W768">
        <v>2.6668088964744798E-3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0</v>
      </c>
    </row>
    <row r="769" spans="1:39" customFormat="1" hidden="1" x14ac:dyDescent="0.3">
      <c r="A769" t="s">
        <v>1055</v>
      </c>
      <c r="B769" t="s">
        <v>30</v>
      </c>
      <c r="C769" t="s">
        <v>81</v>
      </c>
      <c r="D769" t="s">
        <v>118</v>
      </c>
      <c r="E769" t="s">
        <v>358</v>
      </c>
      <c r="F769" t="s">
        <v>357</v>
      </c>
      <c r="G769" t="s">
        <v>1054</v>
      </c>
      <c r="H769" s="16">
        <v>0</v>
      </c>
      <c r="I769" s="11">
        <v>0</v>
      </c>
      <c r="J769" s="11">
        <v>0</v>
      </c>
      <c r="K769" s="11">
        <v>0</v>
      </c>
      <c r="L769" s="11">
        <v>0</v>
      </c>
      <c r="M769" s="11">
        <v>0</v>
      </c>
      <c r="N769" s="11">
        <v>0</v>
      </c>
      <c r="O769" s="11">
        <v>0</v>
      </c>
      <c r="P769" s="11">
        <v>0</v>
      </c>
      <c r="Q769" s="11">
        <v>0</v>
      </c>
      <c r="R769" s="11">
        <v>0</v>
      </c>
      <c r="S769" s="11">
        <v>0</v>
      </c>
      <c r="T769" s="11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3.14564328405159E-3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33.3333333333333</v>
      </c>
    </row>
    <row r="770" spans="1:39" customFormat="1" hidden="1" x14ac:dyDescent="0.3">
      <c r="A770" t="s">
        <v>1053</v>
      </c>
      <c r="B770" t="s">
        <v>30</v>
      </c>
      <c r="C770" t="s">
        <v>410</v>
      </c>
      <c r="D770" t="s">
        <v>410</v>
      </c>
      <c r="E770" t="s">
        <v>409</v>
      </c>
      <c r="F770" t="s">
        <v>408</v>
      </c>
      <c r="G770" t="s">
        <v>407</v>
      </c>
      <c r="H770" s="16">
        <v>4.1583499667332E-3</v>
      </c>
      <c r="I770" s="11">
        <v>0</v>
      </c>
      <c r="J770" s="11">
        <v>0</v>
      </c>
      <c r="K770" s="11">
        <v>0</v>
      </c>
      <c r="L770" s="11">
        <v>0</v>
      </c>
      <c r="M770" s="11">
        <v>0</v>
      </c>
      <c r="N770" s="11">
        <v>0</v>
      </c>
      <c r="O770" s="11">
        <v>0</v>
      </c>
      <c r="P770" s="11">
        <v>0</v>
      </c>
      <c r="Q770" s="11">
        <v>0</v>
      </c>
      <c r="R770" s="11">
        <v>0</v>
      </c>
      <c r="S770" s="11">
        <v>2.4883049666567102E-3</v>
      </c>
      <c r="T770" s="11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9.0236419418877507E-3</v>
      </c>
      <c r="AC770">
        <v>0</v>
      </c>
      <c r="AD770">
        <v>3.14564328405159E-3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0</v>
      </c>
    </row>
    <row r="771" spans="1:39" customFormat="1" hidden="1" x14ac:dyDescent="0.3">
      <c r="A771" t="s">
        <v>1052</v>
      </c>
      <c r="B771" t="s">
        <v>30</v>
      </c>
      <c r="C771" t="s">
        <v>81</v>
      </c>
      <c r="D771" t="s">
        <v>80</v>
      </c>
      <c r="E771" t="s">
        <v>79</v>
      </c>
      <c r="F771" t="s">
        <v>78</v>
      </c>
      <c r="G771" t="s">
        <v>77</v>
      </c>
      <c r="H771" s="16">
        <v>0</v>
      </c>
      <c r="I771" s="11">
        <v>0</v>
      </c>
      <c r="J771" s="11">
        <v>0</v>
      </c>
      <c r="K771" s="11">
        <v>0</v>
      </c>
      <c r="L771" s="11">
        <v>0</v>
      </c>
      <c r="M771" s="11">
        <v>3.5488679111363502E-3</v>
      </c>
      <c r="N771" s="11">
        <v>4.5835816106705798E-3</v>
      </c>
      <c r="O771" s="11">
        <v>0</v>
      </c>
      <c r="P771" s="11">
        <v>0</v>
      </c>
      <c r="Q771" s="11">
        <v>0</v>
      </c>
      <c r="R771" s="11">
        <v>0</v>
      </c>
      <c r="S771" s="11">
        <v>0</v>
      </c>
      <c r="T771" s="1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</row>
    <row r="772" spans="1:39" customFormat="1" hidden="1" x14ac:dyDescent="0.3">
      <c r="A772" t="s">
        <v>1051</v>
      </c>
      <c r="B772" t="s">
        <v>30</v>
      </c>
      <c r="C772" t="s">
        <v>264</v>
      </c>
      <c r="D772" t="s">
        <v>263</v>
      </c>
      <c r="E772" t="s">
        <v>262</v>
      </c>
      <c r="F772" t="s">
        <v>261</v>
      </c>
      <c r="G772" t="s">
        <v>260</v>
      </c>
      <c r="H772" s="16">
        <v>0</v>
      </c>
      <c r="I772" s="11">
        <v>0</v>
      </c>
      <c r="J772" s="11">
        <v>0</v>
      </c>
      <c r="K772" s="11">
        <v>0</v>
      </c>
      <c r="L772" s="11">
        <v>0</v>
      </c>
      <c r="M772" s="11">
        <v>0</v>
      </c>
      <c r="N772" s="11">
        <v>0</v>
      </c>
      <c r="O772" s="11">
        <v>0</v>
      </c>
      <c r="P772" s="11">
        <v>0</v>
      </c>
      <c r="Q772" s="11">
        <v>0</v>
      </c>
      <c r="R772" s="11">
        <v>0</v>
      </c>
      <c r="S772" s="11">
        <v>0</v>
      </c>
      <c r="T772" s="11">
        <v>3.3464962184592698E-3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0</v>
      </c>
    </row>
    <row r="773" spans="1:39" customFormat="1" hidden="1" x14ac:dyDescent="0.3">
      <c r="A773" t="s">
        <v>1050</v>
      </c>
      <c r="B773" t="s">
        <v>30</v>
      </c>
      <c r="C773" t="s">
        <v>81</v>
      </c>
      <c r="D773" t="s">
        <v>118</v>
      </c>
      <c r="E773" t="s">
        <v>1049</v>
      </c>
      <c r="F773" t="s">
        <v>1048</v>
      </c>
      <c r="G773" t="s">
        <v>1047</v>
      </c>
      <c r="H773" s="16">
        <v>0</v>
      </c>
      <c r="I773" s="11">
        <v>0</v>
      </c>
      <c r="J773" s="11">
        <v>0</v>
      </c>
      <c r="K773" s="11">
        <v>0</v>
      </c>
      <c r="L773" s="11">
        <v>0</v>
      </c>
      <c r="M773" s="11">
        <v>0</v>
      </c>
      <c r="N773" s="11">
        <v>0</v>
      </c>
      <c r="O773" s="11">
        <v>0</v>
      </c>
      <c r="P773" s="11">
        <v>0</v>
      </c>
      <c r="Q773" s="11">
        <v>0</v>
      </c>
      <c r="R773" s="11">
        <v>0</v>
      </c>
      <c r="S773" s="11">
        <v>0</v>
      </c>
      <c r="T773" s="11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5.03372596395852E-3</v>
      </c>
      <c r="AG773">
        <v>0</v>
      </c>
      <c r="AH773">
        <v>4.6410173109945703E-3</v>
      </c>
      <c r="AI773">
        <v>0</v>
      </c>
      <c r="AJ773">
        <v>0</v>
      </c>
      <c r="AK773">
        <v>0</v>
      </c>
      <c r="AL773">
        <v>0</v>
      </c>
      <c r="AM773">
        <v>0</v>
      </c>
    </row>
    <row r="774" spans="1:39" customFormat="1" hidden="1" x14ac:dyDescent="0.3">
      <c r="A774" t="s">
        <v>1046</v>
      </c>
      <c r="B774" t="s">
        <v>30</v>
      </c>
      <c r="C774" t="s">
        <v>81</v>
      </c>
      <c r="D774" t="s">
        <v>85</v>
      </c>
      <c r="E774" t="s">
        <v>287</v>
      </c>
      <c r="F774" t="s">
        <v>882</v>
      </c>
      <c r="G774" t="s">
        <v>1045</v>
      </c>
      <c r="H774" s="16">
        <v>0</v>
      </c>
      <c r="I774" s="11">
        <v>0</v>
      </c>
      <c r="J774" s="11">
        <v>0</v>
      </c>
      <c r="K774" s="11">
        <v>0</v>
      </c>
      <c r="L774" s="11">
        <v>0</v>
      </c>
      <c r="M774" s="11">
        <v>0</v>
      </c>
      <c r="N774" s="11">
        <v>4.5835816106705798E-3</v>
      </c>
      <c r="O774" s="11">
        <v>0</v>
      </c>
      <c r="P774" s="11">
        <v>0</v>
      </c>
      <c r="Q774" s="11">
        <v>2.7492920572952501E-3</v>
      </c>
      <c r="R774" s="11">
        <v>0</v>
      </c>
      <c r="S774" s="11">
        <v>0</v>
      </c>
      <c r="T774" s="11">
        <v>0</v>
      </c>
      <c r="U774">
        <v>0</v>
      </c>
      <c r="V774">
        <v>0</v>
      </c>
      <c r="W774">
        <v>0</v>
      </c>
      <c r="X774">
        <v>0</v>
      </c>
      <c r="Y774">
        <v>2.9264581077521898E-3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</row>
    <row r="775" spans="1:39" customFormat="1" hidden="1" x14ac:dyDescent="0.3">
      <c r="A775" t="s">
        <v>1044</v>
      </c>
      <c r="B775" t="s">
        <v>30</v>
      </c>
      <c r="C775" t="s">
        <v>81</v>
      </c>
      <c r="D775" t="s">
        <v>85</v>
      </c>
      <c r="E775" t="s">
        <v>287</v>
      </c>
      <c r="F775" t="s">
        <v>817</v>
      </c>
      <c r="G775" t="s">
        <v>817</v>
      </c>
      <c r="H775" s="16">
        <v>0</v>
      </c>
      <c r="I775" s="11">
        <v>0</v>
      </c>
      <c r="J775" s="11">
        <v>0</v>
      </c>
      <c r="K775" s="11">
        <v>0</v>
      </c>
      <c r="L775" s="11">
        <v>0</v>
      </c>
      <c r="M775" s="11">
        <v>0</v>
      </c>
      <c r="N775" s="11">
        <v>0</v>
      </c>
      <c r="O775" s="11">
        <v>0</v>
      </c>
      <c r="P775" s="11">
        <v>0</v>
      </c>
      <c r="Q775" s="11">
        <v>0</v>
      </c>
      <c r="R775" s="11">
        <v>2.2441148089136199E-3</v>
      </c>
      <c r="S775" s="11">
        <v>0</v>
      </c>
      <c r="T775" s="11">
        <v>0</v>
      </c>
      <c r="U775">
        <v>0</v>
      </c>
      <c r="V775">
        <v>0</v>
      </c>
      <c r="W775">
        <v>2.6668088964744798E-3</v>
      </c>
      <c r="X775">
        <v>0</v>
      </c>
      <c r="Y775">
        <v>0</v>
      </c>
      <c r="Z775">
        <v>3.1774275546517499E-3</v>
      </c>
      <c r="AA775">
        <v>0</v>
      </c>
      <c r="AB775">
        <v>4.5118209709438702E-3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</v>
      </c>
    </row>
    <row r="776" spans="1:39" customFormat="1" hidden="1" x14ac:dyDescent="0.3">
      <c r="A776" t="s">
        <v>1043</v>
      </c>
      <c r="B776" t="s">
        <v>30</v>
      </c>
      <c r="C776" t="s">
        <v>81</v>
      </c>
      <c r="D776" t="s">
        <v>85</v>
      </c>
      <c r="E776" t="s">
        <v>287</v>
      </c>
      <c r="F776" t="s">
        <v>817</v>
      </c>
      <c r="G776" t="s">
        <v>817</v>
      </c>
      <c r="H776" s="16">
        <v>0</v>
      </c>
      <c r="I776" s="11">
        <v>0</v>
      </c>
      <c r="J776" s="11">
        <v>0</v>
      </c>
      <c r="K776" s="11">
        <v>0</v>
      </c>
      <c r="L776" s="11">
        <v>0</v>
      </c>
      <c r="M776" s="11">
        <v>0</v>
      </c>
      <c r="N776" s="11">
        <v>0</v>
      </c>
      <c r="O776" s="11">
        <v>0</v>
      </c>
      <c r="P776" s="11">
        <v>0</v>
      </c>
      <c r="Q776" s="11">
        <v>0</v>
      </c>
      <c r="R776" s="11">
        <v>0</v>
      </c>
      <c r="S776" s="11">
        <v>0</v>
      </c>
      <c r="T776" s="11">
        <v>0</v>
      </c>
      <c r="U776">
        <v>6.0840203206278696E-3</v>
      </c>
      <c r="V776">
        <v>0</v>
      </c>
      <c r="W776">
        <v>2.6668088964744798E-3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0</v>
      </c>
    </row>
    <row r="777" spans="1:39" customFormat="1" hidden="1" x14ac:dyDescent="0.3">
      <c r="A777" t="s">
        <v>1042</v>
      </c>
      <c r="B777" t="s">
        <v>30</v>
      </c>
      <c r="C777" t="s">
        <v>81</v>
      </c>
      <c r="D777" t="s">
        <v>85</v>
      </c>
      <c r="E777" t="s">
        <v>287</v>
      </c>
      <c r="F777" t="s">
        <v>286</v>
      </c>
      <c r="G777" t="s">
        <v>286</v>
      </c>
      <c r="H777" s="16">
        <v>4.1583499667332E-3</v>
      </c>
      <c r="I777" s="11">
        <v>0</v>
      </c>
      <c r="J777" s="11">
        <v>0</v>
      </c>
      <c r="K777" s="11">
        <v>0</v>
      </c>
      <c r="L777" s="11">
        <v>6.6037112857425901E-3</v>
      </c>
      <c r="M777" s="11">
        <v>0</v>
      </c>
      <c r="N777" s="11">
        <v>0</v>
      </c>
      <c r="O777" s="11">
        <v>3.75023438964935E-3</v>
      </c>
      <c r="P777" s="11">
        <v>0</v>
      </c>
      <c r="Q777" s="11">
        <v>0</v>
      </c>
      <c r="R777" s="11">
        <v>0</v>
      </c>
      <c r="S777" s="11">
        <v>0</v>
      </c>
      <c r="T777" s="11">
        <v>0</v>
      </c>
      <c r="U777">
        <v>3.04201016031394E-3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5.03372596395852E-3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</v>
      </c>
      <c r="AM777">
        <v>0</v>
      </c>
    </row>
    <row r="778" spans="1:39" customFormat="1" hidden="1" x14ac:dyDescent="0.3">
      <c r="A778" t="s">
        <v>1041</v>
      </c>
      <c r="B778" t="s">
        <v>30</v>
      </c>
      <c r="C778" t="s">
        <v>264</v>
      </c>
      <c r="D778" t="s">
        <v>263</v>
      </c>
      <c r="E778" t="s">
        <v>262</v>
      </c>
      <c r="F778" t="s">
        <v>261</v>
      </c>
      <c r="G778" t="s">
        <v>260</v>
      </c>
      <c r="H778" s="16">
        <v>0</v>
      </c>
      <c r="I778" s="11">
        <v>0</v>
      </c>
      <c r="J778" s="11">
        <v>0</v>
      </c>
      <c r="K778" s="11">
        <v>0</v>
      </c>
      <c r="L778" s="11">
        <v>0</v>
      </c>
      <c r="M778" s="11">
        <v>0</v>
      </c>
      <c r="N778" s="11">
        <v>1.37507448320117E-2</v>
      </c>
      <c r="O778" s="11">
        <v>0</v>
      </c>
      <c r="P778" s="11">
        <v>0</v>
      </c>
      <c r="Q778" s="11">
        <v>0</v>
      </c>
      <c r="R778" s="11">
        <v>0</v>
      </c>
      <c r="S778" s="11">
        <v>0</v>
      </c>
      <c r="T778" s="11">
        <v>0</v>
      </c>
      <c r="U778">
        <v>3.04201016031394E-3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0</v>
      </c>
      <c r="AM778">
        <v>0</v>
      </c>
    </row>
    <row r="779" spans="1:39" customFormat="1" hidden="1" x14ac:dyDescent="0.3">
      <c r="A779" t="s">
        <v>1040</v>
      </c>
      <c r="B779" t="s">
        <v>30</v>
      </c>
      <c r="C779" t="s">
        <v>81</v>
      </c>
      <c r="D779" t="s">
        <v>85</v>
      </c>
      <c r="E779" t="s">
        <v>287</v>
      </c>
      <c r="F779" t="s">
        <v>286</v>
      </c>
      <c r="G779" t="s">
        <v>286</v>
      </c>
      <c r="H779" s="16">
        <v>0</v>
      </c>
      <c r="I779" s="11">
        <v>0</v>
      </c>
      <c r="J779" s="11">
        <v>0</v>
      </c>
      <c r="K779" s="11">
        <v>0</v>
      </c>
      <c r="L779" s="11">
        <v>0</v>
      </c>
      <c r="M779" s="11">
        <v>0</v>
      </c>
      <c r="N779" s="11">
        <v>0</v>
      </c>
      <c r="O779" s="11">
        <v>0</v>
      </c>
      <c r="P779" s="11">
        <v>0</v>
      </c>
      <c r="Q779" s="11">
        <v>0</v>
      </c>
      <c r="R779" s="11">
        <v>0</v>
      </c>
      <c r="S779" s="11">
        <v>0</v>
      </c>
      <c r="T779" s="11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6.02700096432015E-3</v>
      </c>
      <c r="AL779">
        <v>3.5844863431070302E-3</v>
      </c>
      <c r="AM779">
        <v>0</v>
      </c>
    </row>
    <row r="780" spans="1:39" customFormat="1" hidden="1" x14ac:dyDescent="0.3">
      <c r="A780" t="s">
        <v>1039</v>
      </c>
      <c r="B780" t="s">
        <v>30</v>
      </c>
      <c r="C780" t="s">
        <v>81</v>
      </c>
      <c r="D780" t="s">
        <v>85</v>
      </c>
      <c r="E780" t="s">
        <v>287</v>
      </c>
      <c r="F780" t="s">
        <v>817</v>
      </c>
      <c r="G780" t="s">
        <v>817</v>
      </c>
      <c r="H780" s="16">
        <v>4.1583499667332E-3</v>
      </c>
      <c r="I780" s="11">
        <v>0</v>
      </c>
      <c r="J780" s="11">
        <v>4.3593879419329502E-3</v>
      </c>
      <c r="K780" s="11">
        <v>0</v>
      </c>
      <c r="L780" s="11">
        <v>6.6037112857425901E-3</v>
      </c>
      <c r="M780" s="11">
        <v>0</v>
      </c>
      <c r="N780" s="11">
        <v>0</v>
      </c>
      <c r="O780" s="11">
        <v>0</v>
      </c>
      <c r="P780" s="11">
        <v>0</v>
      </c>
      <c r="Q780" s="11">
        <v>0</v>
      </c>
      <c r="R780" s="11">
        <v>0</v>
      </c>
      <c r="S780" s="11">
        <v>0</v>
      </c>
      <c r="T780" s="11">
        <v>0</v>
      </c>
      <c r="U780">
        <v>3.04201016031394E-3</v>
      </c>
      <c r="V780">
        <v>0</v>
      </c>
      <c r="W780">
        <v>2.6668088964744798E-3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</v>
      </c>
      <c r="AM780">
        <v>0</v>
      </c>
    </row>
    <row r="781" spans="1:39" customFormat="1" hidden="1" x14ac:dyDescent="0.3">
      <c r="A781" t="s">
        <v>1038</v>
      </c>
      <c r="B781" t="s">
        <v>30</v>
      </c>
      <c r="C781" t="s">
        <v>81</v>
      </c>
      <c r="D781" t="s">
        <v>118</v>
      </c>
      <c r="E781" t="s">
        <v>371</v>
      </c>
      <c r="F781" t="s">
        <v>1016</v>
      </c>
      <c r="G781" t="s">
        <v>1016</v>
      </c>
      <c r="H781" s="16">
        <v>0</v>
      </c>
      <c r="I781" s="11">
        <v>0</v>
      </c>
      <c r="J781" s="11">
        <v>0</v>
      </c>
      <c r="K781" s="11">
        <v>0</v>
      </c>
      <c r="L781" s="11">
        <v>1.3207422571485199E-2</v>
      </c>
      <c r="M781" s="11">
        <v>0</v>
      </c>
      <c r="N781" s="11">
        <v>0</v>
      </c>
      <c r="O781" s="11">
        <v>3.75023438964935E-3</v>
      </c>
      <c r="P781" s="11">
        <v>0</v>
      </c>
      <c r="Q781" s="11">
        <v>0</v>
      </c>
      <c r="R781" s="11">
        <v>0</v>
      </c>
      <c r="S781" s="11">
        <v>0</v>
      </c>
      <c r="T781" s="1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4.6938440235631002E-3</v>
      </c>
      <c r="AH781">
        <v>4.6410173109945703E-3</v>
      </c>
      <c r="AI781">
        <v>0</v>
      </c>
      <c r="AJ781">
        <v>0</v>
      </c>
      <c r="AK781">
        <v>0</v>
      </c>
      <c r="AL781">
        <v>0</v>
      </c>
      <c r="AM781">
        <v>0</v>
      </c>
    </row>
    <row r="782" spans="1:39" customFormat="1" hidden="1" x14ac:dyDescent="0.3">
      <c r="A782" t="s">
        <v>1036</v>
      </c>
      <c r="B782" t="s">
        <v>30</v>
      </c>
      <c r="C782" t="s">
        <v>81</v>
      </c>
      <c r="D782" t="s">
        <v>118</v>
      </c>
      <c r="E782" t="s">
        <v>371</v>
      </c>
      <c r="F782" t="s">
        <v>1035</v>
      </c>
      <c r="G782" t="s">
        <v>1034</v>
      </c>
      <c r="H782" s="16">
        <v>0</v>
      </c>
      <c r="I782" s="11">
        <v>3.6565745209887401E-3</v>
      </c>
      <c r="J782" s="11">
        <v>0</v>
      </c>
      <c r="K782" s="11">
        <v>0</v>
      </c>
      <c r="L782" s="11">
        <v>0</v>
      </c>
      <c r="M782" s="11">
        <v>0</v>
      </c>
      <c r="N782" s="11">
        <v>0</v>
      </c>
      <c r="O782" s="11">
        <v>7.5004687792987104E-3</v>
      </c>
      <c r="P782" s="11">
        <v>0</v>
      </c>
      <c r="Q782" s="11">
        <v>0</v>
      </c>
      <c r="R782" s="11">
        <v>0</v>
      </c>
      <c r="S782" s="11">
        <v>0</v>
      </c>
      <c r="T782" s="11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4.6938440235631002E-3</v>
      </c>
      <c r="AH782">
        <v>0</v>
      </c>
      <c r="AI782">
        <v>0</v>
      </c>
      <c r="AJ782">
        <v>0</v>
      </c>
      <c r="AK782">
        <v>0</v>
      </c>
      <c r="AL782">
        <v>0</v>
      </c>
      <c r="AM782">
        <v>0</v>
      </c>
    </row>
    <row r="783" spans="1:39" customFormat="1" hidden="1" x14ac:dyDescent="0.3">
      <c r="A783" t="s">
        <v>1033</v>
      </c>
      <c r="B783" t="s">
        <v>30</v>
      </c>
      <c r="C783" t="s">
        <v>81</v>
      </c>
      <c r="D783" t="s">
        <v>118</v>
      </c>
      <c r="E783" t="s">
        <v>371</v>
      </c>
      <c r="F783" t="s">
        <v>435</v>
      </c>
      <c r="G783" t="s">
        <v>1029</v>
      </c>
      <c r="H783" s="16">
        <v>0</v>
      </c>
      <c r="I783" s="11">
        <v>0</v>
      </c>
      <c r="J783" s="11">
        <v>0</v>
      </c>
      <c r="K783" s="11">
        <v>0</v>
      </c>
      <c r="L783" s="11">
        <v>6.6037112857425901E-3</v>
      </c>
      <c r="M783" s="11">
        <v>0</v>
      </c>
      <c r="N783" s="11">
        <v>0</v>
      </c>
      <c r="O783" s="11">
        <v>3.75023438964935E-3</v>
      </c>
      <c r="P783" s="11">
        <v>0</v>
      </c>
      <c r="Q783" s="11">
        <v>0</v>
      </c>
      <c r="R783" s="11">
        <v>0</v>
      </c>
      <c r="S783" s="11">
        <v>0</v>
      </c>
      <c r="T783" s="11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</v>
      </c>
      <c r="AM783">
        <v>0</v>
      </c>
    </row>
    <row r="784" spans="1:39" customFormat="1" hidden="1" x14ac:dyDescent="0.3">
      <c r="A784" t="s">
        <v>1032</v>
      </c>
      <c r="B784" t="s">
        <v>30</v>
      </c>
      <c r="C784" t="s">
        <v>81</v>
      </c>
      <c r="D784" t="s">
        <v>118</v>
      </c>
      <c r="E784" t="s">
        <v>371</v>
      </c>
      <c r="F784" t="s">
        <v>424</v>
      </c>
      <c r="G784" t="s">
        <v>1019</v>
      </c>
      <c r="H784" s="16">
        <v>0</v>
      </c>
      <c r="I784" s="11">
        <v>0</v>
      </c>
      <c r="J784" s="11">
        <v>0</v>
      </c>
      <c r="K784" s="11">
        <v>0</v>
      </c>
      <c r="L784" s="11">
        <v>0</v>
      </c>
      <c r="M784" s="11">
        <v>0</v>
      </c>
      <c r="N784" s="11">
        <v>0</v>
      </c>
      <c r="O784" s="11">
        <v>3.75023438964935E-3</v>
      </c>
      <c r="P784" s="11">
        <v>0</v>
      </c>
      <c r="Q784" s="11">
        <v>0</v>
      </c>
      <c r="R784" s="11">
        <v>2.2441148089136199E-3</v>
      </c>
      <c r="S784" s="11">
        <v>0</v>
      </c>
      <c r="T784" s="11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4.6938440235631002E-3</v>
      </c>
      <c r="AH784">
        <v>0</v>
      </c>
      <c r="AI784">
        <v>2.2984278753332699E-3</v>
      </c>
      <c r="AJ784">
        <v>0</v>
      </c>
      <c r="AK784">
        <v>0</v>
      </c>
      <c r="AL784">
        <v>0</v>
      </c>
      <c r="AM784">
        <v>0</v>
      </c>
    </row>
    <row r="785" spans="1:39" customFormat="1" hidden="1" x14ac:dyDescent="0.3">
      <c r="A785" t="s">
        <v>1031</v>
      </c>
      <c r="B785" t="s">
        <v>30</v>
      </c>
      <c r="C785" t="s">
        <v>81</v>
      </c>
      <c r="D785" t="s">
        <v>118</v>
      </c>
      <c r="E785" t="s">
        <v>371</v>
      </c>
      <c r="F785" t="s">
        <v>424</v>
      </c>
      <c r="G785" t="s">
        <v>444</v>
      </c>
      <c r="H785" s="16">
        <v>0</v>
      </c>
      <c r="I785" s="11">
        <v>0</v>
      </c>
      <c r="J785" s="11">
        <v>0</v>
      </c>
      <c r="K785" s="11">
        <v>0</v>
      </c>
      <c r="L785" s="11">
        <v>0</v>
      </c>
      <c r="M785" s="11">
        <v>0</v>
      </c>
      <c r="N785" s="11">
        <v>0</v>
      </c>
      <c r="O785" s="11">
        <v>7.5004687792987104E-3</v>
      </c>
      <c r="P785" s="11">
        <v>0</v>
      </c>
      <c r="Q785" s="11">
        <v>0</v>
      </c>
      <c r="R785" s="11">
        <v>0</v>
      </c>
      <c r="S785" s="11">
        <v>0</v>
      </c>
      <c r="T785" s="11">
        <v>0</v>
      </c>
      <c r="U785">
        <v>0</v>
      </c>
      <c r="V785">
        <v>0</v>
      </c>
      <c r="W785">
        <v>2.6668088964744798E-3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2.3469220117815501E-3</v>
      </c>
      <c r="AH785">
        <v>0</v>
      </c>
      <c r="AI785">
        <v>0</v>
      </c>
      <c r="AJ785">
        <v>0</v>
      </c>
      <c r="AK785">
        <v>0</v>
      </c>
      <c r="AL785">
        <v>0</v>
      </c>
      <c r="AM785">
        <v>0</v>
      </c>
    </row>
    <row r="786" spans="1:39" customFormat="1" hidden="1" x14ac:dyDescent="0.3">
      <c r="A786" t="s">
        <v>1030</v>
      </c>
      <c r="B786" t="s">
        <v>30</v>
      </c>
      <c r="C786" t="s">
        <v>81</v>
      </c>
      <c r="D786" t="s">
        <v>118</v>
      </c>
      <c r="E786" t="s">
        <v>371</v>
      </c>
      <c r="F786" t="s">
        <v>435</v>
      </c>
      <c r="G786" t="s">
        <v>1029</v>
      </c>
      <c r="H786" s="16">
        <v>0</v>
      </c>
      <c r="I786" s="11">
        <v>0</v>
      </c>
      <c r="J786" s="11">
        <v>0</v>
      </c>
      <c r="K786" s="11">
        <v>0</v>
      </c>
      <c r="L786" s="11">
        <v>6.6037112857425901E-3</v>
      </c>
      <c r="M786" s="11">
        <v>0</v>
      </c>
      <c r="N786" s="11">
        <v>0</v>
      </c>
      <c r="O786" s="11">
        <v>0</v>
      </c>
      <c r="P786" s="11">
        <v>0</v>
      </c>
      <c r="Q786" s="11">
        <v>0</v>
      </c>
      <c r="R786" s="11">
        <v>0</v>
      </c>
      <c r="S786" s="11">
        <v>0</v>
      </c>
      <c r="T786" s="11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</v>
      </c>
      <c r="AM786">
        <v>0</v>
      </c>
    </row>
    <row r="787" spans="1:39" customFormat="1" hidden="1" x14ac:dyDescent="0.3">
      <c r="A787" t="s">
        <v>1028</v>
      </c>
      <c r="B787" t="s">
        <v>30</v>
      </c>
      <c r="C787" t="s">
        <v>81</v>
      </c>
      <c r="D787" t="s">
        <v>118</v>
      </c>
      <c r="E787" t="s">
        <v>371</v>
      </c>
      <c r="F787" t="s">
        <v>429</v>
      </c>
      <c r="G787" t="s">
        <v>1027</v>
      </c>
      <c r="H787" s="16">
        <v>0</v>
      </c>
      <c r="I787" s="11">
        <v>0</v>
      </c>
      <c r="J787" s="11">
        <v>0</v>
      </c>
      <c r="K787" s="11">
        <v>0</v>
      </c>
      <c r="L787" s="11">
        <v>0</v>
      </c>
      <c r="M787" s="11">
        <v>3.5488679111363502E-3</v>
      </c>
      <c r="N787" s="11">
        <v>0</v>
      </c>
      <c r="O787" s="11">
        <v>0</v>
      </c>
      <c r="P787" s="11">
        <v>0</v>
      </c>
      <c r="Q787" s="11">
        <v>0</v>
      </c>
      <c r="R787" s="11">
        <v>0</v>
      </c>
      <c r="S787" s="11">
        <v>2.4883049666567102E-3</v>
      </c>
      <c r="T787" s="11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0</v>
      </c>
    </row>
    <row r="788" spans="1:39" customFormat="1" hidden="1" x14ac:dyDescent="0.3">
      <c r="A788" t="s">
        <v>1026</v>
      </c>
      <c r="B788" t="s">
        <v>30</v>
      </c>
      <c r="C788" t="s">
        <v>81</v>
      </c>
      <c r="D788" t="s">
        <v>118</v>
      </c>
      <c r="E788" t="s">
        <v>371</v>
      </c>
      <c r="F788" t="s">
        <v>424</v>
      </c>
      <c r="G788" t="s">
        <v>1019</v>
      </c>
      <c r="H788" s="16">
        <v>0</v>
      </c>
      <c r="I788" s="11">
        <v>0</v>
      </c>
      <c r="J788" s="11">
        <v>4.3593879419329502E-3</v>
      </c>
      <c r="K788" s="11">
        <v>0</v>
      </c>
      <c r="L788" s="11">
        <v>0</v>
      </c>
      <c r="M788" s="11">
        <v>3.5488679111363502E-3</v>
      </c>
      <c r="N788" s="11">
        <v>4.5835816106705798E-3</v>
      </c>
      <c r="O788" s="11">
        <v>0</v>
      </c>
      <c r="P788" s="11">
        <v>0</v>
      </c>
      <c r="Q788" s="11">
        <v>0</v>
      </c>
      <c r="R788" s="11">
        <v>0</v>
      </c>
      <c r="S788" s="11">
        <v>0</v>
      </c>
      <c r="T788" s="11">
        <v>0</v>
      </c>
      <c r="U788">
        <v>0</v>
      </c>
      <c r="V788">
        <v>0</v>
      </c>
      <c r="W788">
        <v>2.6668088964744798E-3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5.03372596395852E-3</v>
      </c>
      <c r="AG788">
        <v>2.3469220117815501E-3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0</v>
      </c>
    </row>
    <row r="789" spans="1:39" customFormat="1" hidden="1" x14ac:dyDescent="0.3">
      <c r="A789" t="s">
        <v>1025</v>
      </c>
      <c r="B789" t="s">
        <v>30</v>
      </c>
      <c r="C789" t="s">
        <v>81</v>
      </c>
      <c r="D789" t="s">
        <v>118</v>
      </c>
      <c r="E789" t="s">
        <v>371</v>
      </c>
      <c r="F789" t="s">
        <v>424</v>
      </c>
      <c r="G789" t="s">
        <v>423</v>
      </c>
      <c r="H789" s="16">
        <v>0</v>
      </c>
      <c r="I789" s="11">
        <v>0</v>
      </c>
      <c r="J789" s="11">
        <v>0</v>
      </c>
      <c r="K789" s="11">
        <v>0</v>
      </c>
      <c r="L789" s="11">
        <v>0</v>
      </c>
      <c r="M789" s="11">
        <v>0</v>
      </c>
      <c r="N789" s="11">
        <v>0</v>
      </c>
      <c r="O789" s="11">
        <v>0</v>
      </c>
      <c r="P789" s="11">
        <v>0</v>
      </c>
      <c r="Q789" s="11">
        <v>2.7492920572952501E-3</v>
      </c>
      <c r="R789" s="11">
        <v>0</v>
      </c>
      <c r="S789" s="11">
        <v>0</v>
      </c>
      <c r="T789" s="11">
        <v>6.69299243691855E-3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9.2820346219891405E-3</v>
      </c>
      <c r="AI789">
        <v>2.2984278753332699E-3</v>
      </c>
      <c r="AJ789">
        <v>0</v>
      </c>
      <c r="AK789">
        <v>0</v>
      </c>
      <c r="AL789">
        <v>0</v>
      </c>
      <c r="AM789">
        <v>0</v>
      </c>
    </row>
    <row r="790" spans="1:39" customFormat="1" hidden="1" x14ac:dyDescent="0.3">
      <c r="A790" t="s">
        <v>1024</v>
      </c>
      <c r="B790" t="s">
        <v>30</v>
      </c>
      <c r="C790" t="s">
        <v>81</v>
      </c>
      <c r="D790" t="s">
        <v>118</v>
      </c>
      <c r="E790" t="s">
        <v>371</v>
      </c>
      <c r="F790" t="s">
        <v>424</v>
      </c>
      <c r="G790" t="s">
        <v>1023</v>
      </c>
      <c r="H790" s="16">
        <v>0</v>
      </c>
      <c r="I790" s="11">
        <v>3.6565745209887401E-3</v>
      </c>
      <c r="J790" s="11">
        <v>0</v>
      </c>
      <c r="K790" s="11">
        <v>0</v>
      </c>
      <c r="L790" s="11">
        <v>0</v>
      </c>
      <c r="M790" s="11">
        <v>0</v>
      </c>
      <c r="N790" s="11">
        <v>0</v>
      </c>
      <c r="O790" s="11">
        <v>0</v>
      </c>
      <c r="P790" s="11">
        <v>0</v>
      </c>
      <c r="Q790" s="11">
        <v>0</v>
      </c>
      <c r="R790" s="11">
        <v>0</v>
      </c>
      <c r="S790" s="11">
        <v>4.9766099333134299E-3</v>
      </c>
      <c r="T790" s="11">
        <v>0</v>
      </c>
      <c r="U790">
        <v>0</v>
      </c>
      <c r="V790">
        <v>0</v>
      </c>
      <c r="W790">
        <v>2.6668088964744798E-3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2.2984278753332699E-3</v>
      </c>
      <c r="AJ790">
        <v>0</v>
      </c>
      <c r="AK790">
        <v>0</v>
      </c>
      <c r="AL790">
        <v>0</v>
      </c>
      <c r="AM790">
        <v>0</v>
      </c>
    </row>
    <row r="791" spans="1:39" customFormat="1" hidden="1" x14ac:dyDescent="0.3">
      <c r="A791" t="s">
        <v>1022</v>
      </c>
      <c r="B791" t="s">
        <v>30</v>
      </c>
      <c r="C791" t="s">
        <v>81</v>
      </c>
      <c r="D791" t="s">
        <v>118</v>
      </c>
      <c r="E791" t="s">
        <v>371</v>
      </c>
      <c r="F791" t="s">
        <v>424</v>
      </c>
      <c r="G791" t="s">
        <v>444</v>
      </c>
      <c r="H791" s="16">
        <v>0</v>
      </c>
      <c r="I791" s="11">
        <v>0</v>
      </c>
      <c r="J791" s="11">
        <v>0</v>
      </c>
      <c r="K791" s="11">
        <v>0</v>
      </c>
      <c r="L791" s="11">
        <v>0</v>
      </c>
      <c r="M791" s="11">
        <v>0</v>
      </c>
      <c r="N791" s="11">
        <v>0</v>
      </c>
      <c r="O791" s="11">
        <v>0</v>
      </c>
      <c r="P791" s="11">
        <v>0</v>
      </c>
      <c r="Q791" s="11">
        <v>2.7492920572952501E-3</v>
      </c>
      <c r="R791" s="11">
        <v>0</v>
      </c>
      <c r="S791" s="11">
        <v>0</v>
      </c>
      <c r="T791" s="1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3.1774275546517499E-3</v>
      </c>
      <c r="AA791">
        <v>0</v>
      </c>
      <c r="AB791">
        <v>0</v>
      </c>
      <c r="AC791">
        <v>0</v>
      </c>
      <c r="AD791">
        <v>0</v>
      </c>
      <c r="AE791">
        <v>3.4299434059338E-3</v>
      </c>
      <c r="AF791">
        <v>0</v>
      </c>
      <c r="AG791">
        <v>2.3469220117815501E-3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0</v>
      </c>
    </row>
    <row r="792" spans="1:39" customFormat="1" hidden="1" x14ac:dyDescent="0.3">
      <c r="A792" t="s">
        <v>1021</v>
      </c>
      <c r="B792" t="s">
        <v>30</v>
      </c>
      <c r="C792" t="s">
        <v>526</v>
      </c>
      <c r="D792" t="s">
        <v>525</v>
      </c>
      <c r="E792" t="s">
        <v>524</v>
      </c>
      <c r="F792" t="s">
        <v>523</v>
      </c>
      <c r="G792" t="s">
        <v>522</v>
      </c>
      <c r="H792" s="16">
        <v>0</v>
      </c>
      <c r="I792" s="11">
        <v>3.6565745209887401E-3</v>
      </c>
      <c r="J792" s="11">
        <v>0</v>
      </c>
      <c r="K792" s="11">
        <v>0</v>
      </c>
      <c r="L792" s="11">
        <v>6.6037112857425901E-3</v>
      </c>
      <c r="M792" s="11">
        <v>0</v>
      </c>
      <c r="N792" s="11">
        <v>0</v>
      </c>
      <c r="O792" s="11">
        <v>0</v>
      </c>
      <c r="P792" s="11">
        <v>3.3947788301592198E-3</v>
      </c>
      <c r="Q792" s="11">
        <v>0</v>
      </c>
      <c r="R792" s="11">
        <v>0</v>
      </c>
      <c r="S792" s="11">
        <v>0</v>
      </c>
      <c r="T792" s="11">
        <v>0</v>
      </c>
      <c r="U792">
        <v>0</v>
      </c>
      <c r="V792">
        <v>7.2288285683305004E-3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</row>
    <row r="793" spans="1:39" customFormat="1" hidden="1" x14ac:dyDescent="0.3">
      <c r="A793" t="s">
        <v>1020</v>
      </c>
      <c r="B793" t="s">
        <v>30</v>
      </c>
      <c r="C793" t="s">
        <v>81</v>
      </c>
      <c r="D793" t="s">
        <v>118</v>
      </c>
      <c r="E793" t="s">
        <v>371</v>
      </c>
      <c r="F793" t="s">
        <v>424</v>
      </c>
      <c r="G793" t="s">
        <v>1019</v>
      </c>
      <c r="H793" s="16">
        <v>0</v>
      </c>
      <c r="I793" s="11">
        <v>0</v>
      </c>
      <c r="J793" s="11">
        <v>0</v>
      </c>
      <c r="K793" s="11">
        <v>5.6589893045102101E-3</v>
      </c>
      <c r="L793" s="11">
        <v>0</v>
      </c>
      <c r="M793" s="11">
        <v>0</v>
      </c>
      <c r="N793" s="11">
        <v>0</v>
      </c>
      <c r="O793" s="11">
        <v>0</v>
      </c>
      <c r="P793" s="11">
        <v>0</v>
      </c>
      <c r="Q793" s="11">
        <v>0</v>
      </c>
      <c r="R793" s="11">
        <v>0</v>
      </c>
      <c r="S793" s="11">
        <v>0</v>
      </c>
      <c r="T793" s="11">
        <v>0</v>
      </c>
      <c r="U793">
        <v>0</v>
      </c>
      <c r="V793">
        <v>0</v>
      </c>
      <c r="W793">
        <v>5.3336177929489597E-3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4.6410173109945703E-3</v>
      </c>
      <c r="AI793">
        <v>0</v>
      </c>
      <c r="AJ793">
        <v>0</v>
      </c>
      <c r="AK793">
        <v>0</v>
      </c>
      <c r="AL793">
        <v>0</v>
      </c>
      <c r="AM793">
        <v>0</v>
      </c>
    </row>
    <row r="794" spans="1:39" customFormat="1" hidden="1" x14ac:dyDescent="0.3">
      <c r="A794" t="s">
        <v>1018</v>
      </c>
      <c r="B794" t="s">
        <v>30</v>
      </c>
      <c r="C794" t="s">
        <v>81</v>
      </c>
      <c r="D794" t="s">
        <v>118</v>
      </c>
      <c r="E794" t="s">
        <v>371</v>
      </c>
      <c r="F794" t="s">
        <v>374</v>
      </c>
      <c r="G794" t="s">
        <v>373</v>
      </c>
      <c r="H794" s="16">
        <v>0</v>
      </c>
      <c r="I794" s="11">
        <v>0</v>
      </c>
      <c r="J794" s="11">
        <v>0</v>
      </c>
      <c r="K794" s="11">
        <v>0</v>
      </c>
      <c r="L794" s="11">
        <v>6.6037112857425901E-3</v>
      </c>
      <c r="M794" s="11">
        <v>0</v>
      </c>
      <c r="N794" s="11">
        <v>4.5835816106705798E-3</v>
      </c>
      <c r="O794" s="11">
        <v>3.75023438964935E-3</v>
      </c>
      <c r="P794" s="11">
        <v>0</v>
      </c>
      <c r="Q794" s="11">
        <v>0</v>
      </c>
      <c r="R794" s="11">
        <v>0</v>
      </c>
      <c r="S794" s="11">
        <v>0</v>
      </c>
      <c r="T794" s="11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2.2984278753332699E-3</v>
      </c>
      <c r="AJ794">
        <v>0</v>
      </c>
      <c r="AK794">
        <v>0</v>
      </c>
      <c r="AL794">
        <v>0</v>
      </c>
      <c r="AM794">
        <v>0</v>
      </c>
    </row>
    <row r="795" spans="1:39" customFormat="1" hidden="1" x14ac:dyDescent="0.3">
      <c r="A795" t="s">
        <v>1017</v>
      </c>
      <c r="B795" t="s">
        <v>30</v>
      </c>
      <c r="C795" t="s">
        <v>81</v>
      </c>
      <c r="D795" t="s">
        <v>118</v>
      </c>
      <c r="E795" t="s">
        <v>371</v>
      </c>
      <c r="F795" t="s">
        <v>1016</v>
      </c>
      <c r="G795" t="s">
        <v>1016</v>
      </c>
      <c r="H795" s="16">
        <v>0</v>
      </c>
      <c r="I795" s="11">
        <v>0</v>
      </c>
      <c r="J795" s="11">
        <v>0</v>
      </c>
      <c r="K795" s="11">
        <v>0</v>
      </c>
      <c r="L795" s="11">
        <v>0</v>
      </c>
      <c r="M795" s="11">
        <v>0</v>
      </c>
      <c r="N795" s="11">
        <v>9.1671632213411597E-3</v>
      </c>
      <c r="O795" s="11">
        <v>3.75023438964935E-3</v>
      </c>
      <c r="P795" s="11">
        <v>0</v>
      </c>
      <c r="Q795" s="11">
        <v>0</v>
      </c>
      <c r="R795" s="11">
        <v>0</v>
      </c>
      <c r="S795" s="11">
        <v>0</v>
      </c>
      <c r="T795" s="11">
        <v>0</v>
      </c>
      <c r="U795">
        <v>0</v>
      </c>
      <c r="V795">
        <v>3.6144142841652502E-3</v>
      </c>
      <c r="W795">
        <v>2.6668088964744798E-3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2.3469220117815501E-3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0</v>
      </c>
    </row>
    <row r="796" spans="1:39" customFormat="1" hidden="1" x14ac:dyDescent="0.3">
      <c r="A796" t="s">
        <v>1015</v>
      </c>
      <c r="B796" t="s">
        <v>30</v>
      </c>
      <c r="C796" t="s">
        <v>81</v>
      </c>
      <c r="D796" t="s">
        <v>118</v>
      </c>
      <c r="E796" t="s">
        <v>371</v>
      </c>
      <c r="F796" t="s">
        <v>370</v>
      </c>
      <c r="G796" t="s">
        <v>370</v>
      </c>
      <c r="H796" s="16">
        <v>0</v>
      </c>
      <c r="I796" s="11">
        <v>0</v>
      </c>
      <c r="J796" s="11">
        <v>0</v>
      </c>
      <c r="K796" s="11">
        <v>0</v>
      </c>
      <c r="L796" s="11">
        <v>0</v>
      </c>
      <c r="M796" s="11">
        <v>0</v>
      </c>
      <c r="N796" s="11">
        <v>0</v>
      </c>
      <c r="O796" s="11">
        <v>0</v>
      </c>
      <c r="P796" s="11">
        <v>0</v>
      </c>
      <c r="Q796" s="11">
        <v>0</v>
      </c>
      <c r="R796" s="11">
        <v>4.4882296178272501E-3</v>
      </c>
      <c r="S796" s="11">
        <v>0</v>
      </c>
      <c r="T796" s="11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2.3469220117815501E-3</v>
      </c>
      <c r="AH796">
        <v>0</v>
      </c>
      <c r="AI796">
        <v>4.5968557506665397E-3</v>
      </c>
      <c r="AJ796">
        <v>0</v>
      </c>
      <c r="AK796">
        <v>0</v>
      </c>
      <c r="AL796">
        <v>0</v>
      </c>
      <c r="AM796">
        <v>0</v>
      </c>
    </row>
    <row r="797" spans="1:39" customFormat="1" hidden="1" x14ac:dyDescent="0.3">
      <c r="A797" t="s">
        <v>1014</v>
      </c>
      <c r="B797" t="s">
        <v>30</v>
      </c>
      <c r="C797" t="s">
        <v>81</v>
      </c>
      <c r="D797" t="s">
        <v>118</v>
      </c>
      <c r="E797" t="s">
        <v>371</v>
      </c>
      <c r="F797" t="s">
        <v>374</v>
      </c>
      <c r="G797" t="s">
        <v>1013</v>
      </c>
      <c r="H797" s="16">
        <v>0</v>
      </c>
      <c r="I797" s="11">
        <v>3.6565745209887401E-3</v>
      </c>
      <c r="J797" s="11">
        <v>4.3593879419329502E-3</v>
      </c>
      <c r="K797" s="11">
        <v>0</v>
      </c>
      <c r="L797" s="11">
        <v>0</v>
      </c>
      <c r="M797" s="11">
        <v>0</v>
      </c>
      <c r="N797" s="11">
        <v>0</v>
      </c>
      <c r="O797" s="11">
        <v>3.75023438964935E-3</v>
      </c>
      <c r="P797" s="11">
        <v>0</v>
      </c>
      <c r="Q797" s="11">
        <v>0</v>
      </c>
      <c r="R797" s="11">
        <v>0</v>
      </c>
      <c r="S797" s="11">
        <v>0</v>
      </c>
      <c r="T797" s="11">
        <v>0</v>
      </c>
      <c r="U797">
        <v>0</v>
      </c>
      <c r="V797">
        <v>0</v>
      </c>
      <c r="W797">
        <v>0</v>
      </c>
      <c r="X797">
        <v>0</v>
      </c>
      <c r="Y797">
        <v>5.8529162155043701E-3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0</v>
      </c>
    </row>
    <row r="798" spans="1:39" customFormat="1" hidden="1" x14ac:dyDescent="0.3">
      <c r="A798" t="s">
        <v>1012</v>
      </c>
      <c r="B798" t="s">
        <v>30</v>
      </c>
      <c r="C798" t="s">
        <v>29</v>
      </c>
      <c r="D798" t="s">
        <v>28</v>
      </c>
      <c r="E798" t="s">
        <v>27</v>
      </c>
      <c r="F798" t="s">
        <v>26</v>
      </c>
      <c r="G798" t="s">
        <v>1011</v>
      </c>
      <c r="H798" s="16">
        <v>0</v>
      </c>
      <c r="I798" s="11">
        <v>0</v>
      </c>
      <c r="J798" s="11">
        <v>0</v>
      </c>
      <c r="K798" s="11">
        <v>0</v>
      </c>
      <c r="L798" s="11">
        <v>1.3207422571485199E-2</v>
      </c>
      <c r="M798" s="11">
        <v>0</v>
      </c>
      <c r="N798" s="11">
        <v>0</v>
      </c>
      <c r="O798" s="11">
        <v>3.75023438964935E-3</v>
      </c>
      <c r="P798" s="11">
        <v>0</v>
      </c>
      <c r="Q798" s="11">
        <v>0</v>
      </c>
      <c r="R798" s="11">
        <v>0</v>
      </c>
      <c r="S798" s="11">
        <v>0</v>
      </c>
      <c r="T798" s="11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0</v>
      </c>
    </row>
    <row r="799" spans="1:39" customFormat="1" hidden="1" x14ac:dyDescent="0.3">
      <c r="A799" t="s">
        <v>1010</v>
      </c>
      <c r="B799" t="s">
        <v>30</v>
      </c>
      <c r="C799" t="s">
        <v>29</v>
      </c>
      <c r="D799" t="s">
        <v>28</v>
      </c>
      <c r="E799" t="s">
        <v>27</v>
      </c>
      <c r="F799" t="s">
        <v>67</v>
      </c>
      <c r="G799" t="s">
        <v>66</v>
      </c>
      <c r="H799" s="16">
        <v>4.1583499667332E-3</v>
      </c>
      <c r="I799" s="11">
        <v>0</v>
      </c>
      <c r="J799" s="11">
        <v>0</v>
      </c>
      <c r="K799" s="11">
        <v>0</v>
      </c>
      <c r="L799" s="11">
        <v>0</v>
      </c>
      <c r="M799" s="11">
        <v>0</v>
      </c>
      <c r="N799" s="11">
        <v>4.5835816106705798E-3</v>
      </c>
      <c r="O799" s="11">
        <v>0</v>
      </c>
      <c r="P799" s="11">
        <v>3.3947788301592198E-3</v>
      </c>
      <c r="Q799" s="11">
        <v>0</v>
      </c>
      <c r="R799" s="11">
        <v>0</v>
      </c>
      <c r="S799" s="11">
        <v>0</v>
      </c>
      <c r="T799" s="11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0</v>
      </c>
    </row>
    <row r="800" spans="1:39" customFormat="1" hidden="1" x14ac:dyDescent="0.3">
      <c r="A800" t="s">
        <v>1009</v>
      </c>
      <c r="B800" t="s">
        <v>30</v>
      </c>
      <c r="C800" t="s">
        <v>29</v>
      </c>
      <c r="D800" t="s">
        <v>28</v>
      </c>
      <c r="E800" t="s">
        <v>27</v>
      </c>
      <c r="F800" t="s">
        <v>64</v>
      </c>
      <c r="G800" t="s">
        <v>1008</v>
      </c>
      <c r="H800" s="16">
        <v>0</v>
      </c>
      <c r="I800" s="11">
        <v>3.6565745209887401E-3</v>
      </c>
      <c r="J800" s="11">
        <v>8.7187758838659108E-3</v>
      </c>
      <c r="K800" s="11">
        <v>0</v>
      </c>
      <c r="L800" s="11">
        <v>0</v>
      </c>
      <c r="M800" s="11">
        <v>0</v>
      </c>
      <c r="N800" s="11">
        <v>0</v>
      </c>
      <c r="O800" s="11">
        <v>0</v>
      </c>
      <c r="P800" s="11">
        <v>0</v>
      </c>
      <c r="Q800" s="11">
        <v>0</v>
      </c>
      <c r="R800" s="11">
        <v>0</v>
      </c>
      <c r="S800" s="11">
        <v>0</v>
      </c>
      <c r="T800" s="11">
        <v>0</v>
      </c>
      <c r="U800">
        <v>0</v>
      </c>
      <c r="V800">
        <v>0</v>
      </c>
      <c r="W800">
        <v>8.0004266894234399E-3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0</v>
      </c>
      <c r="AM800">
        <v>0</v>
      </c>
    </row>
    <row r="801" spans="1:39" customFormat="1" hidden="1" x14ac:dyDescent="0.3">
      <c r="A801" t="s">
        <v>1007</v>
      </c>
      <c r="B801" t="s">
        <v>30</v>
      </c>
      <c r="C801" t="s">
        <v>29</v>
      </c>
      <c r="D801" t="s">
        <v>28</v>
      </c>
      <c r="E801" t="s">
        <v>27</v>
      </c>
      <c r="F801" t="s">
        <v>26</v>
      </c>
      <c r="G801" t="s">
        <v>25</v>
      </c>
      <c r="H801" s="16">
        <v>0</v>
      </c>
      <c r="I801" s="11">
        <v>0</v>
      </c>
      <c r="J801" s="11">
        <v>0</v>
      </c>
      <c r="K801" s="11">
        <v>0</v>
      </c>
      <c r="L801" s="11">
        <v>0</v>
      </c>
      <c r="M801" s="11">
        <v>0</v>
      </c>
      <c r="N801" s="11">
        <v>0</v>
      </c>
      <c r="O801" s="11">
        <v>0</v>
      </c>
      <c r="P801" s="11">
        <v>0</v>
      </c>
      <c r="Q801" s="11">
        <v>0</v>
      </c>
      <c r="R801" s="11">
        <v>2.2441148089136199E-3</v>
      </c>
      <c r="S801" s="11">
        <v>4.9766099333134299E-3</v>
      </c>
      <c r="T801" s="11">
        <v>0</v>
      </c>
      <c r="U801">
        <v>0</v>
      </c>
      <c r="V801">
        <v>0</v>
      </c>
      <c r="W801">
        <v>2.6668088964744798E-3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L801">
        <v>0</v>
      </c>
      <c r="AM801">
        <v>0</v>
      </c>
    </row>
    <row r="802" spans="1:39" customFormat="1" hidden="1" x14ac:dyDescent="0.3">
      <c r="A802" t="s">
        <v>1006</v>
      </c>
      <c r="B802" t="s">
        <v>30</v>
      </c>
      <c r="C802" t="s">
        <v>29</v>
      </c>
      <c r="D802" t="s">
        <v>28</v>
      </c>
      <c r="E802" t="s">
        <v>27</v>
      </c>
      <c r="F802" t="s">
        <v>26</v>
      </c>
      <c r="G802" t="s">
        <v>25</v>
      </c>
      <c r="H802" s="16">
        <v>4.1583499667332E-3</v>
      </c>
      <c r="I802" s="11">
        <v>3.6565745209887401E-3</v>
      </c>
      <c r="J802" s="11">
        <v>0</v>
      </c>
      <c r="K802" s="11">
        <v>0</v>
      </c>
      <c r="L802" s="11">
        <v>0</v>
      </c>
      <c r="M802" s="11">
        <v>0</v>
      </c>
      <c r="N802" s="11">
        <v>0</v>
      </c>
      <c r="O802" s="11">
        <v>0</v>
      </c>
      <c r="P802" s="11">
        <v>3.3947788301592198E-3</v>
      </c>
      <c r="Q802" s="11">
        <v>0</v>
      </c>
      <c r="R802" s="11">
        <v>0</v>
      </c>
      <c r="S802" s="11">
        <v>0</v>
      </c>
      <c r="T802" s="11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3.5915670006823998E-3</v>
      </c>
      <c r="AK802">
        <v>0</v>
      </c>
      <c r="AL802">
        <v>0</v>
      </c>
      <c r="AM802">
        <v>0</v>
      </c>
    </row>
    <row r="803" spans="1:39" customFormat="1" hidden="1" x14ac:dyDescent="0.3">
      <c r="A803" t="s">
        <v>1005</v>
      </c>
      <c r="B803" t="s">
        <v>30</v>
      </c>
      <c r="C803" t="s">
        <v>29</v>
      </c>
      <c r="D803" t="s">
        <v>28</v>
      </c>
      <c r="E803" t="s">
        <v>27</v>
      </c>
      <c r="F803" t="s">
        <v>26</v>
      </c>
      <c r="G803" t="s">
        <v>25</v>
      </c>
      <c r="H803" s="16">
        <v>4.1583499667332E-3</v>
      </c>
      <c r="I803" s="11">
        <v>0</v>
      </c>
      <c r="J803" s="11">
        <v>0</v>
      </c>
      <c r="K803" s="11">
        <v>0</v>
      </c>
      <c r="L803" s="11">
        <v>0</v>
      </c>
      <c r="M803" s="11">
        <v>0</v>
      </c>
      <c r="N803" s="11">
        <v>0</v>
      </c>
      <c r="O803" s="11">
        <v>0</v>
      </c>
      <c r="P803" s="11">
        <v>0</v>
      </c>
      <c r="Q803" s="11">
        <v>0</v>
      </c>
      <c r="R803" s="11">
        <v>4.4882296178272501E-3</v>
      </c>
      <c r="S803" s="11">
        <v>0</v>
      </c>
      <c r="T803" s="11">
        <v>0</v>
      </c>
      <c r="U803">
        <v>0</v>
      </c>
      <c r="V803">
        <v>0</v>
      </c>
      <c r="W803">
        <v>2.6668088964744798E-3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0</v>
      </c>
      <c r="AM803">
        <v>0</v>
      </c>
    </row>
    <row r="804" spans="1:39" customFormat="1" hidden="1" x14ac:dyDescent="0.3">
      <c r="A804" t="s">
        <v>1003</v>
      </c>
      <c r="B804" t="s">
        <v>30</v>
      </c>
      <c r="C804" t="s">
        <v>81</v>
      </c>
      <c r="D804" t="s">
        <v>80</v>
      </c>
      <c r="E804" t="s">
        <v>618</v>
      </c>
      <c r="F804" t="s">
        <v>617</v>
      </c>
      <c r="G804" t="s">
        <v>859</v>
      </c>
      <c r="H804" s="16">
        <v>0</v>
      </c>
      <c r="I804" s="11">
        <v>0</v>
      </c>
      <c r="J804" s="11">
        <v>4.3593879419329502E-3</v>
      </c>
      <c r="K804" s="11">
        <v>0</v>
      </c>
      <c r="L804" s="11">
        <v>0</v>
      </c>
      <c r="M804" s="11">
        <v>0</v>
      </c>
      <c r="N804" s="11">
        <v>0</v>
      </c>
      <c r="O804" s="11">
        <v>0</v>
      </c>
      <c r="P804" s="11">
        <v>6.78955766031843E-3</v>
      </c>
      <c r="Q804" s="11">
        <v>0</v>
      </c>
      <c r="R804" s="11">
        <v>0</v>
      </c>
      <c r="S804" s="11">
        <v>0</v>
      </c>
      <c r="T804" s="11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0</v>
      </c>
      <c r="AM804">
        <v>0</v>
      </c>
    </row>
    <row r="805" spans="1:39" customFormat="1" hidden="1" x14ac:dyDescent="0.3">
      <c r="A805" t="s">
        <v>1002</v>
      </c>
      <c r="B805" t="s">
        <v>30</v>
      </c>
      <c r="C805" t="s">
        <v>81</v>
      </c>
      <c r="D805" t="s">
        <v>80</v>
      </c>
      <c r="E805" t="s">
        <v>618</v>
      </c>
      <c r="F805" t="s">
        <v>629</v>
      </c>
      <c r="G805" t="s">
        <v>628</v>
      </c>
      <c r="H805" s="16">
        <v>0</v>
      </c>
      <c r="I805" s="11">
        <v>0</v>
      </c>
      <c r="J805" s="11">
        <v>0</v>
      </c>
      <c r="K805" s="11">
        <v>0</v>
      </c>
      <c r="L805" s="11">
        <v>6.6037112857425901E-3</v>
      </c>
      <c r="M805" s="11">
        <v>0</v>
      </c>
      <c r="N805" s="11">
        <v>0</v>
      </c>
      <c r="O805" s="11">
        <v>0</v>
      </c>
      <c r="P805" s="11">
        <v>3.3947788301592198E-3</v>
      </c>
      <c r="Q805" s="11">
        <v>2.7492920572952501E-3</v>
      </c>
      <c r="R805" s="11">
        <v>0</v>
      </c>
      <c r="S805" s="11">
        <v>0</v>
      </c>
      <c r="T805" s="11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5.03372596395852E-3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0</v>
      </c>
      <c r="AM805">
        <v>0</v>
      </c>
    </row>
    <row r="806" spans="1:39" customFormat="1" hidden="1" x14ac:dyDescent="0.3">
      <c r="A806" t="s">
        <v>1001</v>
      </c>
      <c r="B806" t="s">
        <v>30</v>
      </c>
      <c r="C806" t="s">
        <v>81</v>
      </c>
      <c r="D806" t="s">
        <v>80</v>
      </c>
      <c r="E806" t="s">
        <v>618</v>
      </c>
      <c r="F806" t="s">
        <v>617</v>
      </c>
      <c r="G806" t="s">
        <v>616</v>
      </c>
      <c r="H806" s="16">
        <v>0</v>
      </c>
      <c r="I806" s="11">
        <v>3.6565745209887401E-3</v>
      </c>
      <c r="J806" s="11">
        <v>0</v>
      </c>
      <c r="K806" s="11">
        <v>0</v>
      </c>
      <c r="L806" s="11">
        <v>0</v>
      </c>
      <c r="M806" s="11">
        <v>0</v>
      </c>
      <c r="N806" s="11">
        <v>0</v>
      </c>
      <c r="O806" s="11">
        <v>0</v>
      </c>
      <c r="P806" s="11">
        <v>0</v>
      </c>
      <c r="Q806" s="11">
        <v>0</v>
      </c>
      <c r="R806" s="11">
        <v>0</v>
      </c>
      <c r="S806" s="11">
        <v>0</v>
      </c>
      <c r="T806" s="11">
        <v>3.3464962184592698E-3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4.5118209709438702E-3</v>
      </c>
      <c r="AC806">
        <v>0</v>
      </c>
      <c r="AD806">
        <v>6.2912865681031801E-3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0</v>
      </c>
      <c r="AM806">
        <v>0</v>
      </c>
    </row>
    <row r="807" spans="1:39" customFormat="1" hidden="1" x14ac:dyDescent="0.3">
      <c r="A807" t="s">
        <v>1000</v>
      </c>
      <c r="B807" t="s">
        <v>30</v>
      </c>
      <c r="C807" t="s">
        <v>81</v>
      </c>
      <c r="D807" t="s">
        <v>80</v>
      </c>
      <c r="E807" t="s">
        <v>618</v>
      </c>
      <c r="F807" t="s">
        <v>617</v>
      </c>
      <c r="G807" t="s">
        <v>616</v>
      </c>
      <c r="H807" s="16">
        <v>4.1583499667332E-3</v>
      </c>
      <c r="I807" s="11">
        <v>0</v>
      </c>
      <c r="J807" s="11">
        <v>0</v>
      </c>
      <c r="K807" s="11">
        <v>5.6589893045102101E-3</v>
      </c>
      <c r="L807" s="11">
        <v>0</v>
      </c>
      <c r="M807" s="11">
        <v>0</v>
      </c>
      <c r="N807" s="11">
        <v>0</v>
      </c>
      <c r="O807" s="11">
        <v>0</v>
      </c>
      <c r="P807" s="11">
        <v>0</v>
      </c>
      <c r="Q807" s="11">
        <v>2.7492920572952501E-3</v>
      </c>
      <c r="R807" s="11">
        <v>0</v>
      </c>
      <c r="S807" s="11">
        <v>0</v>
      </c>
      <c r="T807" s="11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4.5118209709438702E-3</v>
      </c>
      <c r="AC807">
        <v>0</v>
      </c>
      <c r="AD807">
        <v>3.14564328405159E-3</v>
      </c>
      <c r="AE807">
        <v>0</v>
      </c>
      <c r="AF807">
        <v>5.03372596395852E-3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0</v>
      </c>
      <c r="AM807">
        <v>0</v>
      </c>
    </row>
    <row r="808" spans="1:39" customFormat="1" hidden="1" x14ac:dyDescent="0.3">
      <c r="A808" t="s">
        <v>999</v>
      </c>
      <c r="B808" t="s">
        <v>30</v>
      </c>
      <c r="C808" t="s">
        <v>81</v>
      </c>
      <c r="D808" t="s">
        <v>80</v>
      </c>
      <c r="E808" t="s">
        <v>618</v>
      </c>
      <c r="F808" t="s">
        <v>617</v>
      </c>
      <c r="G808" t="s">
        <v>616</v>
      </c>
      <c r="H808" s="16">
        <v>0</v>
      </c>
      <c r="I808" s="11">
        <v>0</v>
      </c>
      <c r="J808" s="11">
        <v>0</v>
      </c>
      <c r="K808" s="11">
        <v>0</v>
      </c>
      <c r="L808" s="11">
        <v>0</v>
      </c>
      <c r="M808" s="11">
        <v>3.5488679111363502E-3</v>
      </c>
      <c r="N808" s="11">
        <v>0</v>
      </c>
      <c r="O808" s="11">
        <v>0</v>
      </c>
      <c r="P808" s="11">
        <v>3.3947788301592198E-3</v>
      </c>
      <c r="Q808" s="11">
        <v>0</v>
      </c>
      <c r="R808" s="11">
        <v>0</v>
      </c>
      <c r="S808" s="11">
        <v>0</v>
      </c>
      <c r="T808" s="11">
        <v>3.3464962184592698E-3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9.0236419418877507E-3</v>
      </c>
      <c r="AC808">
        <v>0</v>
      </c>
      <c r="AD808">
        <v>0</v>
      </c>
      <c r="AE808">
        <v>0</v>
      </c>
      <c r="AF808">
        <v>0</v>
      </c>
      <c r="AG808">
        <v>2.3469220117815501E-3</v>
      </c>
      <c r="AH808">
        <v>0</v>
      </c>
      <c r="AI808">
        <v>0</v>
      </c>
      <c r="AJ808">
        <v>0</v>
      </c>
      <c r="AK808">
        <v>0</v>
      </c>
      <c r="AL808">
        <v>0</v>
      </c>
      <c r="AM808">
        <v>0</v>
      </c>
    </row>
    <row r="809" spans="1:39" customFormat="1" hidden="1" x14ac:dyDescent="0.3">
      <c r="A809" t="s">
        <v>998</v>
      </c>
      <c r="B809" t="s">
        <v>30</v>
      </c>
      <c r="C809" t="s">
        <v>81</v>
      </c>
      <c r="D809" t="s">
        <v>80</v>
      </c>
      <c r="E809" t="s">
        <v>618</v>
      </c>
      <c r="F809" t="s">
        <v>629</v>
      </c>
      <c r="G809" t="s">
        <v>997</v>
      </c>
      <c r="H809" s="16">
        <v>0</v>
      </c>
      <c r="I809" s="11">
        <v>0</v>
      </c>
      <c r="J809" s="11">
        <v>0</v>
      </c>
      <c r="K809" s="11">
        <v>0</v>
      </c>
      <c r="L809" s="11">
        <v>0</v>
      </c>
      <c r="M809" s="11">
        <v>0</v>
      </c>
      <c r="N809" s="11">
        <v>0</v>
      </c>
      <c r="O809" s="11">
        <v>0</v>
      </c>
      <c r="P809" s="11">
        <v>6.78955766031843E-3</v>
      </c>
      <c r="Q809" s="11">
        <v>0</v>
      </c>
      <c r="R809" s="11">
        <v>0</v>
      </c>
      <c r="S809" s="11">
        <v>0</v>
      </c>
      <c r="T809" s="11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2.3469220117815501E-3</v>
      </c>
      <c r="AH809">
        <v>0</v>
      </c>
      <c r="AI809">
        <v>0</v>
      </c>
      <c r="AJ809">
        <v>0</v>
      </c>
      <c r="AK809">
        <v>0</v>
      </c>
      <c r="AL809">
        <v>0</v>
      </c>
      <c r="AM809">
        <v>0</v>
      </c>
    </row>
    <row r="810" spans="1:39" customFormat="1" hidden="1" x14ac:dyDescent="0.3">
      <c r="A810" t="s">
        <v>996</v>
      </c>
      <c r="B810" t="s">
        <v>30</v>
      </c>
      <c r="C810" t="s">
        <v>81</v>
      </c>
      <c r="D810" t="s">
        <v>80</v>
      </c>
      <c r="E810" t="s">
        <v>618</v>
      </c>
      <c r="F810" t="s">
        <v>617</v>
      </c>
      <c r="G810" t="s">
        <v>620</v>
      </c>
      <c r="H810" s="16">
        <v>0</v>
      </c>
      <c r="I810" s="11">
        <v>0</v>
      </c>
      <c r="J810" s="11">
        <v>0</v>
      </c>
      <c r="K810" s="11">
        <v>0</v>
      </c>
      <c r="L810" s="11">
        <v>0</v>
      </c>
      <c r="M810" s="11">
        <v>0</v>
      </c>
      <c r="N810" s="11">
        <v>4.5835816106705798E-3</v>
      </c>
      <c r="O810" s="11">
        <v>0</v>
      </c>
      <c r="P810" s="11">
        <v>0</v>
      </c>
      <c r="Q810" s="11">
        <v>0</v>
      </c>
      <c r="R810" s="11">
        <v>0</v>
      </c>
      <c r="S810" s="11">
        <v>0</v>
      </c>
      <c r="T810" s="11">
        <v>0</v>
      </c>
      <c r="U810">
        <v>0</v>
      </c>
      <c r="V810">
        <v>0</v>
      </c>
      <c r="W810">
        <v>0</v>
      </c>
      <c r="X810">
        <v>0</v>
      </c>
      <c r="Y810">
        <v>2.9264581077521898E-3</v>
      </c>
      <c r="Z810">
        <v>0</v>
      </c>
      <c r="AA810">
        <v>0</v>
      </c>
      <c r="AB810">
        <v>0</v>
      </c>
      <c r="AC810" s="3">
        <v>1.43822810297713E-2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0</v>
      </c>
      <c r="AM810">
        <v>0</v>
      </c>
    </row>
    <row r="811" spans="1:39" customFormat="1" hidden="1" x14ac:dyDescent="0.3">
      <c r="A811" t="s">
        <v>995</v>
      </c>
      <c r="B811" t="s">
        <v>30</v>
      </c>
      <c r="C811" t="s">
        <v>526</v>
      </c>
      <c r="D811" t="s">
        <v>525</v>
      </c>
      <c r="E811" t="s">
        <v>524</v>
      </c>
      <c r="F811" t="s">
        <v>523</v>
      </c>
      <c r="G811" t="s">
        <v>565</v>
      </c>
      <c r="H811" s="16">
        <v>0</v>
      </c>
      <c r="I811" s="11">
        <v>0</v>
      </c>
      <c r="J811" s="11">
        <v>0</v>
      </c>
      <c r="K811" s="11">
        <v>0</v>
      </c>
      <c r="L811" s="11">
        <v>0</v>
      </c>
      <c r="M811" s="11">
        <v>0</v>
      </c>
      <c r="N811" s="11">
        <v>0</v>
      </c>
      <c r="O811" s="11">
        <v>0</v>
      </c>
      <c r="P811" s="11">
        <v>0</v>
      </c>
      <c r="Q811" s="11">
        <v>0</v>
      </c>
      <c r="R811" s="11">
        <v>0</v>
      </c>
      <c r="S811" s="11">
        <v>0</v>
      </c>
      <c r="T811" s="11">
        <v>0</v>
      </c>
      <c r="U811">
        <v>3.04201016031394E-3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0</v>
      </c>
      <c r="AM811">
        <v>0</v>
      </c>
    </row>
    <row r="812" spans="1:39" customFormat="1" hidden="1" x14ac:dyDescent="0.3">
      <c r="A812" t="s">
        <v>993</v>
      </c>
      <c r="B812" t="s">
        <v>30</v>
      </c>
      <c r="C812" t="s">
        <v>526</v>
      </c>
      <c r="D812" t="s">
        <v>525</v>
      </c>
      <c r="E812" t="s">
        <v>524</v>
      </c>
      <c r="F812" t="s">
        <v>523</v>
      </c>
      <c r="G812" t="s">
        <v>25</v>
      </c>
      <c r="H812" s="16">
        <v>0</v>
      </c>
      <c r="I812" s="11">
        <v>0</v>
      </c>
      <c r="J812" s="11">
        <v>0</v>
      </c>
      <c r="K812" s="11">
        <v>0</v>
      </c>
      <c r="L812" s="11">
        <v>0</v>
      </c>
      <c r="M812" s="11">
        <v>0</v>
      </c>
      <c r="N812" s="11">
        <v>0</v>
      </c>
      <c r="O812" s="11">
        <v>0</v>
      </c>
      <c r="P812" s="11">
        <v>0</v>
      </c>
      <c r="Q812" s="11">
        <v>0</v>
      </c>
      <c r="R812" s="11">
        <v>0</v>
      </c>
      <c r="S812" s="11">
        <v>0</v>
      </c>
      <c r="T812" s="11">
        <v>0</v>
      </c>
      <c r="U812">
        <v>0</v>
      </c>
      <c r="V812">
        <v>0</v>
      </c>
      <c r="W812">
        <v>0</v>
      </c>
      <c r="X812">
        <v>0</v>
      </c>
      <c r="Y812">
        <v>2.9264581077521898E-3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L812">
        <v>0</v>
      </c>
      <c r="AM812">
        <v>0</v>
      </c>
    </row>
    <row r="813" spans="1:39" customFormat="1" hidden="1" x14ac:dyDescent="0.3">
      <c r="A813" t="s">
        <v>992</v>
      </c>
      <c r="B813" t="s">
        <v>30</v>
      </c>
      <c r="C813" t="s">
        <v>526</v>
      </c>
      <c r="D813" t="s">
        <v>525</v>
      </c>
      <c r="E813" t="s">
        <v>524</v>
      </c>
      <c r="F813" t="s">
        <v>523</v>
      </c>
      <c r="G813" t="s">
        <v>522</v>
      </c>
      <c r="H813" s="16">
        <v>0</v>
      </c>
      <c r="I813" s="11">
        <v>0</v>
      </c>
      <c r="J813" s="11">
        <v>0</v>
      </c>
      <c r="K813" s="11">
        <v>0</v>
      </c>
      <c r="L813" s="11">
        <v>0</v>
      </c>
      <c r="M813" s="11">
        <v>7.0977358222727004E-3</v>
      </c>
      <c r="N813" s="11">
        <v>0</v>
      </c>
      <c r="O813" s="11">
        <v>0</v>
      </c>
      <c r="P813" s="11">
        <v>0</v>
      </c>
      <c r="Q813" s="11">
        <v>0</v>
      </c>
      <c r="R813" s="11">
        <v>0</v>
      </c>
      <c r="S813" s="11">
        <v>0</v>
      </c>
      <c r="T813" s="11">
        <v>0</v>
      </c>
      <c r="U813">
        <v>3.04201016031394E-3</v>
      </c>
      <c r="V813">
        <v>0</v>
      </c>
      <c r="W813">
        <v>0</v>
      </c>
      <c r="X813">
        <v>0</v>
      </c>
      <c r="Y813">
        <v>2.9264581077521898E-3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3.5915670006823998E-3</v>
      </c>
      <c r="AK813">
        <v>0</v>
      </c>
      <c r="AL813">
        <v>0</v>
      </c>
      <c r="AM813">
        <v>0</v>
      </c>
    </row>
    <row r="814" spans="1:39" customFormat="1" hidden="1" x14ac:dyDescent="0.3">
      <c r="A814" t="s">
        <v>991</v>
      </c>
      <c r="B814" t="s">
        <v>30</v>
      </c>
      <c r="C814" t="s">
        <v>29</v>
      </c>
      <c r="D814" t="s">
        <v>28</v>
      </c>
      <c r="E814" t="s">
        <v>388</v>
      </c>
      <c r="F814" t="s">
        <v>624</v>
      </c>
      <c r="G814" t="s">
        <v>623</v>
      </c>
      <c r="H814" s="16">
        <v>4.1583499667332E-3</v>
      </c>
      <c r="I814" s="11">
        <v>3.6565745209887401E-3</v>
      </c>
      <c r="J814" s="11">
        <v>0</v>
      </c>
      <c r="K814" s="11">
        <v>0</v>
      </c>
      <c r="L814" s="11">
        <v>0</v>
      </c>
      <c r="M814" s="11">
        <v>0</v>
      </c>
      <c r="N814" s="11">
        <v>0</v>
      </c>
      <c r="O814" s="11">
        <v>0</v>
      </c>
      <c r="P814" s="11">
        <v>0</v>
      </c>
      <c r="Q814" s="11">
        <v>0</v>
      </c>
      <c r="R814" s="11">
        <v>0</v>
      </c>
      <c r="S814" s="11">
        <v>0</v>
      </c>
      <c r="T814" s="11">
        <v>3.3464962184592698E-3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6.89528362599982E-3</v>
      </c>
      <c r="AJ814">
        <v>0</v>
      </c>
      <c r="AK814">
        <v>0</v>
      </c>
      <c r="AL814">
        <v>0</v>
      </c>
      <c r="AM814">
        <v>0</v>
      </c>
    </row>
    <row r="815" spans="1:39" customFormat="1" hidden="1" x14ac:dyDescent="0.3">
      <c r="A815" t="s">
        <v>989</v>
      </c>
      <c r="B815" t="s">
        <v>30</v>
      </c>
      <c r="C815" t="s">
        <v>526</v>
      </c>
      <c r="D815" t="s">
        <v>525</v>
      </c>
      <c r="E815" t="s">
        <v>524</v>
      </c>
      <c r="F815" t="s">
        <v>523</v>
      </c>
      <c r="G815" t="s">
        <v>532</v>
      </c>
      <c r="H815" s="16">
        <v>4.1583499667332E-3</v>
      </c>
      <c r="I815" s="11">
        <v>0</v>
      </c>
      <c r="J815" s="11">
        <v>0</v>
      </c>
      <c r="K815" s="11">
        <v>0</v>
      </c>
      <c r="L815" s="11">
        <v>0</v>
      </c>
      <c r="M815" s="11">
        <v>0</v>
      </c>
      <c r="N815" s="11">
        <v>0</v>
      </c>
      <c r="O815" s="11">
        <v>0</v>
      </c>
      <c r="P815" s="11">
        <v>3.3947788301592198E-3</v>
      </c>
      <c r="Q815" s="11">
        <v>0</v>
      </c>
      <c r="R815" s="11">
        <v>0</v>
      </c>
      <c r="S815" s="11">
        <v>2.4883049666567102E-3</v>
      </c>
      <c r="T815" s="11">
        <v>0</v>
      </c>
      <c r="U815">
        <v>0</v>
      </c>
      <c r="V815">
        <v>3.6144142841652502E-3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2.3469220117815501E-3</v>
      </c>
      <c r="AH815">
        <v>4.6410173109945703E-3</v>
      </c>
      <c r="AI815">
        <v>0</v>
      </c>
      <c r="AJ815">
        <v>0</v>
      </c>
      <c r="AK815">
        <v>0</v>
      </c>
      <c r="AL815">
        <v>0</v>
      </c>
      <c r="AM815">
        <v>0</v>
      </c>
    </row>
    <row r="816" spans="1:39" customFormat="1" hidden="1" x14ac:dyDescent="0.3">
      <c r="A816" t="s">
        <v>988</v>
      </c>
      <c r="B816" t="s">
        <v>30</v>
      </c>
      <c r="C816" t="s">
        <v>526</v>
      </c>
      <c r="D816" t="s">
        <v>525</v>
      </c>
      <c r="E816" t="s">
        <v>524</v>
      </c>
      <c r="F816" t="s">
        <v>523</v>
      </c>
      <c r="G816" t="s">
        <v>530</v>
      </c>
      <c r="H816" s="16">
        <v>0</v>
      </c>
      <c r="I816" s="11">
        <v>0</v>
      </c>
      <c r="J816" s="11">
        <v>0</v>
      </c>
      <c r="K816" s="11">
        <v>0</v>
      </c>
      <c r="L816" s="11">
        <v>0</v>
      </c>
      <c r="M816" s="11">
        <v>0</v>
      </c>
      <c r="N816" s="11">
        <v>0</v>
      </c>
      <c r="O816" s="11">
        <v>0</v>
      </c>
      <c r="P816" s="11">
        <v>0</v>
      </c>
      <c r="Q816" s="11">
        <v>0</v>
      </c>
      <c r="R816" s="11">
        <v>0</v>
      </c>
      <c r="S816" s="11">
        <v>0</v>
      </c>
      <c r="T816" s="11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1.0753459029321099E-2</v>
      </c>
      <c r="AM816">
        <v>0</v>
      </c>
    </row>
    <row r="817" spans="1:39" customFormat="1" hidden="1" x14ac:dyDescent="0.3">
      <c r="A817" t="s">
        <v>987</v>
      </c>
      <c r="B817" t="s">
        <v>30</v>
      </c>
      <c r="C817" t="s">
        <v>526</v>
      </c>
      <c r="D817" t="s">
        <v>525</v>
      </c>
      <c r="E817" t="s">
        <v>524</v>
      </c>
      <c r="F817" t="s">
        <v>523</v>
      </c>
      <c r="G817" t="s">
        <v>522</v>
      </c>
      <c r="H817" s="16">
        <v>0</v>
      </c>
      <c r="I817" s="11">
        <v>0</v>
      </c>
      <c r="J817" s="11">
        <v>0</v>
      </c>
      <c r="K817" s="11">
        <v>0</v>
      </c>
      <c r="L817" s="11">
        <v>0</v>
      </c>
      <c r="M817" s="11">
        <v>0</v>
      </c>
      <c r="N817" s="11">
        <v>0</v>
      </c>
      <c r="O817" s="11">
        <v>0</v>
      </c>
      <c r="P817" s="11">
        <v>0</v>
      </c>
      <c r="Q817" s="11">
        <v>0</v>
      </c>
      <c r="R817" s="11">
        <v>0</v>
      </c>
      <c r="S817" s="11">
        <v>0</v>
      </c>
      <c r="T817" s="11">
        <v>0</v>
      </c>
      <c r="U817">
        <v>0</v>
      </c>
      <c r="V817">
        <v>0</v>
      </c>
      <c r="W817">
        <v>0</v>
      </c>
      <c r="X817">
        <v>6.4242579982012101E-3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</v>
      </c>
      <c r="AM817">
        <v>0</v>
      </c>
    </row>
    <row r="818" spans="1:39" customFormat="1" hidden="1" x14ac:dyDescent="0.3">
      <c r="A818" t="s">
        <v>986</v>
      </c>
      <c r="B818" t="s">
        <v>30</v>
      </c>
      <c r="C818" t="s">
        <v>526</v>
      </c>
      <c r="D818" t="s">
        <v>525</v>
      </c>
      <c r="E818" t="s">
        <v>524</v>
      </c>
      <c r="F818" t="s">
        <v>523</v>
      </c>
      <c r="G818" t="s">
        <v>530</v>
      </c>
      <c r="H818" s="16">
        <v>0</v>
      </c>
      <c r="I818" s="11">
        <v>0</v>
      </c>
      <c r="J818" s="11">
        <v>0</v>
      </c>
      <c r="K818" s="11">
        <v>0</v>
      </c>
      <c r="L818" s="11">
        <v>6.6037112857425901E-3</v>
      </c>
      <c r="M818" s="11">
        <v>0</v>
      </c>
      <c r="N818" s="11">
        <v>0</v>
      </c>
      <c r="O818" s="11">
        <v>0</v>
      </c>
      <c r="P818" s="11">
        <v>0</v>
      </c>
      <c r="Q818" s="11">
        <v>0</v>
      </c>
      <c r="R818" s="11">
        <v>0</v>
      </c>
      <c r="S818" s="11">
        <v>2.4883049666567102E-3</v>
      </c>
      <c r="T818" s="11">
        <v>0</v>
      </c>
      <c r="U818">
        <v>0</v>
      </c>
      <c r="V818">
        <v>0</v>
      </c>
      <c r="W818">
        <v>0</v>
      </c>
      <c r="X818">
        <v>0</v>
      </c>
      <c r="Y818">
        <v>2.9264581077521898E-3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0</v>
      </c>
      <c r="AM818">
        <v>0</v>
      </c>
    </row>
    <row r="819" spans="1:39" customFormat="1" hidden="1" x14ac:dyDescent="0.3">
      <c r="A819" t="s">
        <v>983</v>
      </c>
      <c r="B819" t="s">
        <v>30</v>
      </c>
      <c r="C819" t="s">
        <v>526</v>
      </c>
      <c r="D819" t="s">
        <v>525</v>
      </c>
      <c r="E819" t="s">
        <v>524</v>
      </c>
      <c r="F819" t="s">
        <v>523</v>
      </c>
      <c r="G819" t="s">
        <v>25</v>
      </c>
      <c r="H819" s="16">
        <v>0</v>
      </c>
      <c r="I819" s="11">
        <v>0</v>
      </c>
      <c r="J819" s="11">
        <v>4.3593879419329502E-3</v>
      </c>
      <c r="K819" s="11">
        <v>5.6589893045102101E-3</v>
      </c>
      <c r="L819" s="11">
        <v>0</v>
      </c>
      <c r="M819" s="11">
        <v>0</v>
      </c>
      <c r="N819" s="11">
        <v>0</v>
      </c>
      <c r="O819" s="11">
        <v>0</v>
      </c>
      <c r="P819" s="11">
        <v>3.3947788301592198E-3</v>
      </c>
      <c r="Q819" s="11">
        <v>0</v>
      </c>
      <c r="R819" s="11">
        <v>0</v>
      </c>
      <c r="S819" s="11">
        <v>0</v>
      </c>
      <c r="T819" s="11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3.5915670006823998E-3</v>
      </c>
      <c r="AK819">
        <v>0</v>
      </c>
      <c r="AL819">
        <v>0</v>
      </c>
      <c r="AM819">
        <v>0</v>
      </c>
    </row>
    <row r="820" spans="1:39" customFormat="1" hidden="1" x14ac:dyDescent="0.3">
      <c r="A820" t="s">
        <v>982</v>
      </c>
      <c r="B820" t="s">
        <v>30</v>
      </c>
      <c r="C820" t="s">
        <v>526</v>
      </c>
      <c r="D820" t="s">
        <v>525</v>
      </c>
      <c r="E820" t="s">
        <v>524</v>
      </c>
      <c r="F820" t="s">
        <v>523</v>
      </c>
      <c r="G820" t="s">
        <v>522</v>
      </c>
      <c r="H820" s="16">
        <v>0</v>
      </c>
      <c r="I820" s="11">
        <v>0</v>
      </c>
      <c r="J820" s="11">
        <v>0</v>
      </c>
      <c r="K820" s="11">
        <v>0</v>
      </c>
      <c r="L820" s="11">
        <v>0</v>
      </c>
      <c r="M820" s="11">
        <v>0</v>
      </c>
      <c r="N820" s="11">
        <v>0</v>
      </c>
      <c r="O820" s="11">
        <v>0</v>
      </c>
      <c r="P820" s="11">
        <v>3.3947788301592198E-3</v>
      </c>
      <c r="Q820" s="11">
        <v>0</v>
      </c>
      <c r="R820" s="11">
        <v>2.2441148089136199E-3</v>
      </c>
      <c r="S820" s="11">
        <v>0</v>
      </c>
      <c r="T820" s="11">
        <v>0</v>
      </c>
      <c r="U820">
        <v>0</v>
      </c>
      <c r="V820">
        <v>0</v>
      </c>
      <c r="W820">
        <v>0</v>
      </c>
      <c r="X820">
        <v>6.4242579982012101E-3</v>
      </c>
      <c r="Y820">
        <v>2.9264581077521898E-3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</v>
      </c>
      <c r="AM820">
        <v>0</v>
      </c>
    </row>
    <row r="821" spans="1:39" customFormat="1" hidden="1" x14ac:dyDescent="0.3">
      <c r="A821" t="s">
        <v>981</v>
      </c>
      <c r="B821" t="s">
        <v>30</v>
      </c>
      <c r="C821" t="s">
        <v>526</v>
      </c>
      <c r="D821" t="s">
        <v>525</v>
      </c>
      <c r="E821" t="s">
        <v>524</v>
      </c>
      <c r="F821" t="s">
        <v>523</v>
      </c>
      <c r="G821" t="s">
        <v>25</v>
      </c>
      <c r="H821" s="16">
        <v>0</v>
      </c>
      <c r="I821" s="11">
        <v>0</v>
      </c>
      <c r="J821" s="11">
        <v>0</v>
      </c>
      <c r="K821" s="11">
        <v>0</v>
      </c>
      <c r="L821" s="11">
        <v>0</v>
      </c>
      <c r="M821" s="11">
        <v>0</v>
      </c>
      <c r="N821" s="11">
        <v>0</v>
      </c>
      <c r="O821" s="11">
        <v>0</v>
      </c>
      <c r="P821" s="11">
        <v>3.3947788301592198E-3</v>
      </c>
      <c r="Q821" s="11">
        <v>0</v>
      </c>
      <c r="R821" s="11">
        <v>0</v>
      </c>
      <c r="S821" s="11">
        <v>0</v>
      </c>
      <c r="T821" s="11">
        <v>3.3464962184592698E-3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3.1774275546517499E-3</v>
      </c>
      <c r="AA821">
        <v>0</v>
      </c>
      <c r="AB821">
        <v>0</v>
      </c>
      <c r="AC821">
        <v>7.1911405148856597E-3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2.2984278753332699E-3</v>
      </c>
      <c r="AJ821">
        <v>0</v>
      </c>
      <c r="AK821">
        <v>0</v>
      </c>
      <c r="AL821">
        <v>0</v>
      </c>
      <c r="AM821">
        <v>0</v>
      </c>
    </row>
    <row r="822" spans="1:39" customFormat="1" hidden="1" x14ac:dyDescent="0.3">
      <c r="A822" t="s">
        <v>980</v>
      </c>
      <c r="B822" t="s">
        <v>30</v>
      </c>
      <c r="C822" t="s">
        <v>111</v>
      </c>
      <c r="D822" t="s">
        <v>141</v>
      </c>
      <c r="E822" t="s">
        <v>140</v>
      </c>
      <c r="F822" t="s">
        <v>599</v>
      </c>
      <c r="G822" t="s">
        <v>979</v>
      </c>
      <c r="H822" s="16">
        <v>4.1583499667332E-3</v>
      </c>
      <c r="I822" s="11">
        <v>0</v>
      </c>
      <c r="J822" s="11">
        <v>0</v>
      </c>
      <c r="K822" s="11">
        <v>0</v>
      </c>
      <c r="L822" s="11">
        <v>0</v>
      </c>
      <c r="M822" s="11">
        <v>3.5488679111363502E-3</v>
      </c>
      <c r="N822" s="11">
        <v>0</v>
      </c>
      <c r="O822" s="11">
        <v>0</v>
      </c>
      <c r="P822" s="11">
        <v>0</v>
      </c>
      <c r="Q822" s="11">
        <v>0</v>
      </c>
      <c r="R822" s="11">
        <v>0</v>
      </c>
      <c r="S822" s="11">
        <v>0</v>
      </c>
      <c r="T822" s="11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</v>
      </c>
      <c r="AM822">
        <v>0</v>
      </c>
    </row>
    <row r="823" spans="1:39" customFormat="1" hidden="1" x14ac:dyDescent="0.3">
      <c r="A823" t="s">
        <v>978</v>
      </c>
      <c r="B823" t="s">
        <v>30</v>
      </c>
      <c r="C823" t="s">
        <v>111</v>
      </c>
      <c r="D823" t="s">
        <v>141</v>
      </c>
      <c r="E823" t="s">
        <v>140</v>
      </c>
      <c r="F823" t="s">
        <v>599</v>
      </c>
      <c r="G823" t="s">
        <v>977</v>
      </c>
      <c r="H823" s="16">
        <v>0</v>
      </c>
      <c r="I823" s="11">
        <v>0</v>
      </c>
      <c r="J823" s="11">
        <v>0</v>
      </c>
      <c r="K823" s="11">
        <v>0</v>
      </c>
      <c r="L823" s="11">
        <v>0</v>
      </c>
      <c r="M823" s="11">
        <v>0</v>
      </c>
      <c r="N823" s="11">
        <v>4.5835816106705798E-3</v>
      </c>
      <c r="O823" s="11">
        <v>3.75023438964935E-3</v>
      </c>
      <c r="P823" s="11">
        <v>3.3947788301592198E-3</v>
      </c>
      <c r="Q823" s="11">
        <v>0</v>
      </c>
      <c r="R823" s="11">
        <v>0</v>
      </c>
      <c r="S823" s="11">
        <v>0</v>
      </c>
      <c r="T823" s="11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</v>
      </c>
      <c r="AM823">
        <v>0</v>
      </c>
    </row>
    <row r="824" spans="1:39" customFormat="1" hidden="1" x14ac:dyDescent="0.3">
      <c r="A824" t="s">
        <v>976</v>
      </c>
      <c r="B824" t="s">
        <v>30</v>
      </c>
      <c r="C824" t="s">
        <v>111</v>
      </c>
      <c r="D824" t="s">
        <v>141</v>
      </c>
      <c r="E824" t="s">
        <v>140</v>
      </c>
      <c r="F824" t="s">
        <v>199</v>
      </c>
      <c r="G824" t="s">
        <v>198</v>
      </c>
      <c r="H824" s="16">
        <v>0</v>
      </c>
      <c r="I824" s="11">
        <v>0</v>
      </c>
      <c r="J824" s="11">
        <v>0</v>
      </c>
      <c r="K824" s="11">
        <v>0</v>
      </c>
      <c r="L824" s="11">
        <v>0</v>
      </c>
      <c r="M824" s="11">
        <v>0</v>
      </c>
      <c r="N824" s="11">
        <v>0</v>
      </c>
      <c r="O824" s="11">
        <v>0</v>
      </c>
      <c r="P824" s="11">
        <v>0</v>
      </c>
      <c r="Q824" s="11">
        <v>0</v>
      </c>
      <c r="R824" s="11">
        <v>0</v>
      </c>
      <c r="S824" s="11">
        <v>0</v>
      </c>
      <c r="T824" s="11">
        <v>6.69299243691855E-3</v>
      </c>
      <c r="U824">
        <v>0</v>
      </c>
      <c r="V824">
        <v>0</v>
      </c>
      <c r="W824">
        <v>2.6668088964744798E-3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5.03372596395852E-3</v>
      </c>
      <c r="AG824">
        <v>2.3469220117815501E-3</v>
      </c>
      <c r="AH824">
        <v>0</v>
      </c>
      <c r="AI824">
        <v>0</v>
      </c>
      <c r="AJ824">
        <v>0</v>
      </c>
      <c r="AK824">
        <v>0</v>
      </c>
      <c r="AL824">
        <v>0</v>
      </c>
      <c r="AM824">
        <v>0</v>
      </c>
    </row>
    <row r="825" spans="1:39" customFormat="1" hidden="1" x14ac:dyDescent="0.3">
      <c r="A825" t="s">
        <v>975</v>
      </c>
      <c r="B825" t="s">
        <v>30</v>
      </c>
      <c r="C825" t="s">
        <v>111</v>
      </c>
      <c r="D825" t="s">
        <v>141</v>
      </c>
      <c r="E825" t="s">
        <v>140</v>
      </c>
      <c r="F825" t="s">
        <v>276</v>
      </c>
      <c r="G825" t="s">
        <v>25</v>
      </c>
      <c r="H825" s="16">
        <v>0</v>
      </c>
      <c r="I825" s="11">
        <v>0</v>
      </c>
      <c r="J825" s="11">
        <v>0</v>
      </c>
      <c r="K825" s="11">
        <v>0</v>
      </c>
      <c r="L825" s="11">
        <v>0</v>
      </c>
      <c r="M825" s="11">
        <v>0</v>
      </c>
      <c r="N825" s="11">
        <v>0</v>
      </c>
      <c r="O825" s="11">
        <v>0</v>
      </c>
      <c r="P825" s="11">
        <v>0</v>
      </c>
      <c r="Q825" s="11">
        <v>2.7492920572952501E-3</v>
      </c>
      <c r="R825" s="11">
        <v>0</v>
      </c>
      <c r="S825" s="11">
        <v>0</v>
      </c>
      <c r="T825" s="11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0</v>
      </c>
      <c r="AM825">
        <v>0</v>
      </c>
    </row>
    <row r="826" spans="1:39" customFormat="1" hidden="1" x14ac:dyDescent="0.3">
      <c r="A826" t="s">
        <v>974</v>
      </c>
      <c r="B826" t="s">
        <v>30</v>
      </c>
      <c r="C826" t="s">
        <v>111</v>
      </c>
      <c r="D826" t="s">
        <v>141</v>
      </c>
      <c r="E826" t="s">
        <v>140</v>
      </c>
      <c r="F826" t="s">
        <v>139</v>
      </c>
      <c r="G826" t="s">
        <v>973</v>
      </c>
      <c r="H826" s="16">
        <v>0</v>
      </c>
      <c r="I826" s="11">
        <v>0</v>
      </c>
      <c r="J826" s="11">
        <v>0</v>
      </c>
      <c r="K826" s="11">
        <v>0</v>
      </c>
      <c r="L826" s="11">
        <v>0</v>
      </c>
      <c r="M826" s="11">
        <v>0</v>
      </c>
      <c r="N826" s="11">
        <v>0</v>
      </c>
      <c r="O826" s="11">
        <v>0</v>
      </c>
      <c r="P826" s="11">
        <v>0</v>
      </c>
      <c r="Q826" s="11">
        <v>0</v>
      </c>
      <c r="R826" s="11">
        <v>0</v>
      </c>
      <c r="S826" s="11">
        <v>0</v>
      </c>
      <c r="T826" s="11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</v>
      </c>
      <c r="AM826">
        <v>0</v>
      </c>
    </row>
    <row r="827" spans="1:39" customFormat="1" hidden="1" x14ac:dyDescent="0.3">
      <c r="A827" t="s">
        <v>972</v>
      </c>
      <c r="B827" t="s">
        <v>30</v>
      </c>
      <c r="C827" t="s">
        <v>111</v>
      </c>
      <c r="D827" t="s">
        <v>141</v>
      </c>
      <c r="E827" t="s">
        <v>140</v>
      </c>
      <c r="F827" t="s">
        <v>199</v>
      </c>
      <c r="G827" t="s">
        <v>971</v>
      </c>
      <c r="H827" s="16">
        <v>0</v>
      </c>
      <c r="I827" s="11">
        <v>0</v>
      </c>
      <c r="J827" s="11">
        <v>0</v>
      </c>
      <c r="K827" s="11">
        <v>0</v>
      </c>
      <c r="L827" s="11">
        <v>0</v>
      </c>
      <c r="M827" s="11">
        <v>0</v>
      </c>
      <c r="N827" s="11">
        <v>0</v>
      </c>
      <c r="O827" s="11">
        <v>0</v>
      </c>
      <c r="P827" s="11">
        <v>0</v>
      </c>
      <c r="Q827" s="11">
        <v>2.7492920572952501E-3</v>
      </c>
      <c r="R827" s="11">
        <v>0</v>
      </c>
      <c r="S827" s="11">
        <v>0</v>
      </c>
      <c r="T827" s="11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0</v>
      </c>
      <c r="AM827">
        <v>0</v>
      </c>
    </row>
    <row r="828" spans="1:39" customFormat="1" hidden="1" x14ac:dyDescent="0.3">
      <c r="A828" t="s">
        <v>970</v>
      </c>
      <c r="B828" t="s">
        <v>30</v>
      </c>
      <c r="C828" t="s">
        <v>111</v>
      </c>
      <c r="D828" t="s">
        <v>141</v>
      </c>
      <c r="E828" t="s">
        <v>140</v>
      </c>
      <c r="F828" t="s">
        <v>599</v>
      </c>
      <c r="G828" t="s">
        <v>969</v>
      </c>
      <c r="H828" s="16">
        <v>0</v>
      </c>
      <c r="I828" s="11">
        <v>0</v>
      </c>
      <c r="J828" s="11">
        <v>0</v>
      </c>
      <c r="K828" s="11">
        <v>0</v>
      </c>
      <c r="L828" s="11">
        <v>0</v>
      </c>
      <c r="M828" s="11">
        <v>0</v>
      </c>
      <c r="N828" s="11">
        <v>0</v>
      </c>
      <c r="O828" s="11">
        <v>3.75023438964935E-3</v>
      </c>
      <c r="P828" s="11">
        <v>0</v>
      </c>
      <c r="Q828" s="11">
        <v>0</v>
      </c>
      <c r="R828" s="11">
        <v>0</v>
      </c>
      <c r="S828" s="11">
        <v>0</v>
      </c>
      <c r="T828" s="11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3.14564328405159E-3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L828">
        <v>0</v>
      </c>
      <c r="AM828">
        <v>0</v>
      </c>
    </row>
    <row r="829" spans="1:39" customFormat="1" hidden="1" x14ac:dyDescent="0.3">
      <c r="A829" t="s">
        <v>968</v>
      </c>
      <c r="B829" t="s">
        <v>30</v>
      </c>
      <c r="C829" t="s">
        <v>111</v>
      </c>
      <c r="D829" t="s">
        <v>141</v>
      </c>
      <c r="E829" t="s">
        <v>140</v>
      </c>
      <c r="F829" t="s">
        <v>592</v>
      </c>
      <c r="G829" t="s">
        <v>967</v>
      </c>
      <c r="H829" s="16">
        <v>0</v>
      </c>
      <c r="I829" s="11">
        <v>0</v>
      </c>
      <c r="J829" s="11">
        <v>0</v>
      </c>
      <c r="K829" s="11">
        <v>0</v>
      </c>
      <c r="L829" s="11">
        <v>0</v>
      </c>
      <c r="M829" s="11">
        <v>0</v>
      </c>
      <c r="N829" s="11">
        <v>0</v>
      </c>
      <c r="O829" s="11">
        <v>0</v>
      </c>
      <c r="P829" s="11">
        <v>3.3947788301592198E-3</v>
      </c>
      <c r="Q829" s="11">
        <v>0</v>
      </c>
      <c r="R829" s="11">
        <v>2.2441148089136199E-3</v>
      </c>
      <c r="S829" s="11">
        <v>0</v>
      </c>
      <c r="T829" s="11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3.5915670006823998E-3</v>
      </c>
      <c r="AK829">
        <v>0</v>
      </c>
      <c r="AL829">
        <v>0</v>
      </c>
      <c r="AM829">
        <v>0</v>
      </c>
    </row>
    <row r="830" spans="1:39" customFormat="1" hidden="1" x14ac:dyDescent="0.3">
      <c r="A830" t="s">
        <v>966</v>
      </c>
      <c r="B830" t="s">
        <v>30</v>
      </c>
      <c r="C830" t="s">
        <v>111</v>
      </c>
      <c r="D830" t="s">
        <v>141</v>
      </c>
      <c r="E830" t="s">
        <v>140</v>
      </c>
      <c r="F830" t="s">
        <v>599</v>
      </c>
      <c r="G830" t="s">
        <v>945</v>
      </c>
      <c r="H830" s="16">
        <v>0</v>
      </c>
      <c r="I830" s="11">
        <v>0</v>
      </c>
      <c r="J830" s="11">
        <v>0</v>
      </c>
      <c r="K830" s="11">
        <v>0</v>
      </c>
      <c r="L830" s="11">
        <v>0</v>
      </c>
      <c r="M830" s="11">
        <v>0</v>
      </c>
      <c r="N830" s="11">
        <v>0</v>
      </c>
      <c r="O830" s="11">
        <v>0</v>
      </c>
      <c r="P830" s="11">
        <v>0</v>
      </c>
      <c r="Q830" s="11">
        <v>0</v>
      </c>
      <c r="R830" s="11">
        <v>0</v>
      </c>
      <c r="S830" s="11">
        <v>0</v>
      </c>
      <c r="T830" s="11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3.4299434059338E-3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0</v>
      </c>
      <c r="AM830">
        <v>0</v>
      </c>
    </row>
    <row r="831" spans="1:39" customFormat="1" hidden="1" x14ac:dyDescent="0.3">
      <c r="A831" t="s">
        <v>965</v>
      </c>
      <c r="B831" t="s">
        <v>30</v>
      </c>
      <c r="C831" t="s">
        <v>111</v>
      </c>
      <c r="D831" t="s">
        <v>141</v>
      </c>
      <c r="E831" t="s">
        <v>140</v>
      </c>
      <c r="F831" t="s">
        <v>592</v>
      </c>
      <c r="G831" t="s">
        <v>964</v>
      </c>
      <c r="H831" s="16">
        <v>0</v>
      </c>
      <c r="I831" s="11">
        <v>0</v>
      </c>
      <c r="J831" s="11">
        <v>0</v>
      </c>
      <c r="K831" s="11">
        <v>0</v>
      </c>
      <c r="L831" s="11">
        <v>0</v>
      </c>
      <c r="M831" s="11">
        <v>0</v>
      </c>
      <c r="N831" s="11">
        <v>0</v>
      </c>
      <c r="O831" s="11">
        <v>0</v>
      </c>
      <c r="P831" s="11">
        <v>0</v>
      </c>
      <c r="Q831" s="11">
        <v>0</v>
      </c>
      <c r="R831" s="11">
        <v>0</v>
      </c>
      <c r="S831" s="11">
        <v>0</v>
      </c>
      <c r="T831" s="11">
        <v>3.3464962184592698E-3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6.8598868118676E-3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0</v>
      </c>
      <c r="AM831">
        <v>0</v>
      </c>
    </row>
    <row r="832" spans="1:39" customFormat="1" hidden="1" x14ac:dyDescent="0.3">
      <c r="A832" t="s">
        <v>963</v>
      </c>
      <c r="B832" t="s">
        <v>30</v>
      </c>
      <c r="C832" t="s">
        <v>111</v>
      </c>
      <c r="D832" t="s">
        <v>141</v>
      </c>
      <c r="E832" t="s">
        <v>140</v>
      </c>
      <c r="F832" t="s">
        <v>199</v>
      </c>
      <c r="G832" t="s">
        <v>198</v>
      </c>
      <c r="H832" s="16">
        <v>0</v>
      </c>
      <c r="I832" s="11">
        <v>0</v>
      </c>
      <c r="J832" s="11">
        <v>0</v>
      </c>
      <c r="K832" s="11">
        <v>0</v>
      </c>
      <c r="L832" s="11">
        <v>0</v>
      </c>
      <c r="M832" s="11">
        <v>0</v>
      </c>
      <c r="N832" s="11">
        <v>0</v>
      </c>
      <c r="O832" s="11">
        <v>0</v>
      </c>
      <c r="P832" s="11">
        <v>0</v>
      </c>
      <c r="Q832" s="11">
        <v>0</v>
      </c>
      <c r="R832" s="11">
        <v>0</v>
      </c>
      <c r="S832" s="11">
        <v>0</v>
      </c>
      <c r="T832" s="11">
        <v>0</v>
      </c>
      <c r="U832">
        <v>3.04201016031394E-3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</v>
      </c>
      <c r="AM832">
        <v>0</v>
      </c>
    </row>
    <row r="833" spans="1:39" customFormat="1" hidden="1" x14ac:dyDescent="0.3">
      <c r="A833" t="s">
        <v>962</v>
      </c>
      <c r="B833" t="s">
        <v>30</v>
      </c>
      <c r="C833" t="s">
        <v>111</v>
      </c>
      <c r="D833" t="s">
        <v>141</v>
      </c>
      <c r="E833" t="s">
        <v>140</v>
      </c>
      <c r="F833" t="s">
        <v>25</v>
      </c>
      <c r="G833" t="s">
        <v>961</v>
      </c>
      <c r="H833" s="16">
        <v>0</v>
      </c>
      <c r="I833" s="11">
        <v>0</v>
      </c>
      <c r="J833" s="11">
        <v>0</v>
      </c>
      <c r="K833" s="11">
        <v>0</v>
      </c>
      <c r="L833" s="11">
        <v>0</v>
      </c>
      <c r="M833" s="11">
        <v>0</v>
      </c>
      <c r="N833" s="11">
        <v>4.5835816106705798E-3</v>
      </c>
      <c r="O833" s="11">
        <v>0</v>
      </c>
      <c r="P833" s="11">
        <v>0</v>
      </c>
      <c r="Q833" s="11">
        <v>0</v>
      </c>
      <c r="R833" s="11">
        <v>0</v>
      </c>
      <c r="S833" s="11">
        <v>0</v>
      </c>
      <c r="T833" s="11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0</v>
      </c>
      <c r="AM833">
        <v>0</v>
      </c>
    </row>
    <row r="834" spans="1:39" customFormat="1" hidden="1" x14ac:dyDescent="0.3">
      <c r="A834" t="s">
        <v>960</v>
      </c>
      <c r="B834" t="s">
        <v>30</v>
      </c>
      <c r="C834" t="s">
        <v>29</v>
      </c>
      <c r="D834" t="s">
        <v>28</v>
      </c>
      <c r="E834" t="s">
        <v>27</v>
      </c>
      <c r="F834" t="s">
        <v>26</v>
      </c>
      <c r="G834" t="s">
        <v>25</v>
      </c>
      <c r="H834" s="16">
        <v>0</v>
      </c>
      <c r="I834" s="11">
        <v>0</v>
      </c>
      <c r="J834" s="11">
        <v>0</v>
      </c>
      <c r="K834" s="11">
        <v>0</v>
      </c>
      <c r="L834" s="11">
        <v>0</v>
      </c>
      <c r="M834" s="11">
        <v>0</v>
      </c>
      <c r="N834" s="11">
        <v>0</v>
      </c>
      <c r="O834" s="11">
        <v>0</v>
      </c>
      <c r="P834" s="11">
        <v>0</v>
      </c>
      <c r="Q834" s="11">
        <v>0</v>
      </c>
      <c r="R834" s="11">
        <v>0</v>
      </c>
      <c r="S834" s="11">
        <v>2.4883049666567102E-3</v>
      </c>
      <c r="T834" s="11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L834">
        <v>0</v>
      </c>
      <c r="AM834">
        <v>0</v>
      </c>
    </row>
    <row r="835" spans="1:39" customFormat="1" hidden="1" x14ac:dyDescent="0.3">
      <c r="A835" t="s">
        <v>959</v>
      </c>
      <c r="B835" t="s">
        <v>30</v>
      </c>
      <c r="C835" t="s">
        <v>111</v>
      </c>
      <c r="D835" t="s">
        <v>141</v>
      </c>
      <c r="E835" t="s">
        <v>140</v>
      </c>
      <c r="F835" t="s">
        <v>592</v>
      </c>
      <c r="G835" t="s">
        <v>958</v>
      </c>
      <c r="H835" s="16">
        <v>0</v>
      </c>
      <c r="I835" s="11">
        <v>0</v>
      </c>
      <c r="J835" s="11">
        <v>0</v>
      </c>
      <c r="K835" s="11">
        <v>0</v>
      </c>
      <c r="L835" s="11">
        <v>0</v>
      </c>
      <c r="M835" s="11">
        <v>0</v>
      </c>
      <c r="N835" s="11">
        <v>4.5835816106705798E-3</v>
      </c>
      <c r="O835" s="11">
        <v>3.75023438964935E-3</v>
      </c>
      <c r="P835" s="11">
        <v>0</v>
      </c>
      <c r="Q835" s="11">
        <v>0</v>
      </c>
      <c r="R835" s="11">
        <v>0</v>
      </c>
      <c r="S835" s="11">
        <v>0</v>
      </c>
      <c r="T835" s="11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  <c r="AL835">
        <v>0</v>
      </c>
      <c r="AM835">
        <v>0</v>
      </c>
    </row>
    <row r="836" spans="1:39" customFormat="1" hidden="1" x14ac:dyDescent="0.3">
      <c r="A836" t="s">
        <v>957</v>
      </c>
      <c r="B836" t="s">
        <v>30</v>
      </c>
      <c r="C836" t="s">
        <v>111</v>
      </c>
      <c r="D836" t="s">
        <v>141</v>
      </c>
      <c r="E836" t="s">
        <v>140</v>
      </c>
      <c r="F836" t="s">
        <v>607</v>
      </c>
      <c r="G836" t="s">
        <v>606</v>
      </c>
      <c r="H836" s="16">
        <v>0</v>
      </c>
      <c r="I836" s="11">
        <v>0</v>
      </c>
      <c r="J836" s="11">
        <v>0</v>
      </c>
      <c r="K836" s="11">
        <v>0</v>
      </c>
      <c r="L836" s="11">
        <v>0</v>
      </c>
      <c r="M836" s="11">
        <v>0</v>
      </c>
      <c r="N836" s="11">
        <v>0</v>
      </c>
      <c r="O836" s="11">
        <v>0</v>
      </c>
      <c r="P836" s="11">
        <v>0</v>
      </c>
      <c r="Q836" s="11">
        <v>0</v>
      </c>
      <c r="R836" s="11">
        <v>0</v>
      </c>
      <c r="S836" s="11">
        <v>0</v>
      </c>
      <c r="T836" s="11">
        <v>0</v>
      </c>
      <c r="U836">
        <v>0</v>
      </c>
      <c r="V836">
        <v>0</v>
      </c>
      <c r="W836">
        <v>0</v>
      </c>
      <c r="X836">
        <v>0</v>
      </c>
      <c r="Y836">
        <v>5.8529162155043701E-3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0</v>
      </c>
      <c r="AM836">
        <v>0</v>
      </c>
    </row>
    <row r="837" spans="1:39" customFormat="1" hidden="1" x14ac:dyDescent="0.3">
      <c r="A837" t="s">
        <v>956</v>
      </c>
      <c r="B837" t="s">
        <v>30</v>
      </c>
      <c r="C837" t="s">
        <v>111</v>
      </c>
      <c r="D837" t="s">
        <v>141</v>
      </c>
      <c r="E837" t="s">
        <v>140</v>
      </c>
      <c r="F837" t="s">
        <v>599</v>
      </c>
      <c r="G837" t="s">
        <v>955</v>
      </c>
      <c r="H837" s="16">
        <v>0</v>
      </c>
      <c r="I837" s="11">
        <v>3.6565745209887401E-3</v>
      </c>
      <c r="J837" s="11">
        <v>0</v>
      </c>
      <c r="K837" s="11">
        <v>0</v>
      </c>
      <c r="L837" s="11">
        <v>0</v>
      </c>
      <c r="M837" s="11">
        <v>7.0977358222727004E-3</v>
      </c>
      <c r="N837" s="11">
        <v>0</v>
      </c>
      <c r="O837" s="11">
        <v>0</v>
      </c>
      <c r="P837" s="11">
        <v>0</v>
      </c>
      <c r="Q837" s="11">
        <v>0</v>
      </c>
      <c r="R837" s="11">
        <v>0</v>
      </c>
      <c r="S837" s="11">
        <v>0</v>
      </c>
      <c r="T837" s="11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</v>
      </c>
      <c r="AM837">
        <v>0</v>
      </c>
    </row>
    <row r="838" spans="1:39" customFormat="1" hidden="1" x14ac:dyDescent="0.3">
      <c r="A838" t="s">
        <v>954</v>
      </c>
      <c r="B838" t="s">
        <v>30</v>
      </c>
      <c r="C838" t="s">
        <v>111</v>
      </c>
      <c r="D838" t="s">
        <v>141</v>
      </c>
      <c r="E838" t="s">
        <v>140</v>
      </c>
      <c r="F838" t="s">
        <v>199</v>
      </c>
      <c r="G838" t="s">
        <v>198</v>
      </c>
      <c r="H838" s="16">
        <v>0</v>
      </c>
      <c r="I838" s="11">
        <v>3.6565745209887401E-3</v>
      </c>
      <c r="J838" s="11">
        <v>4.3593879419329502E-3</v>
      </c>
      <c r="K838" s="11">
        <v>0</v>
      </c>
      <c r="L838" s="11">
        <v>0</v>
      </c>
      <c r="M838" s="11">
        <v>0</v>
      </c>
      <c r="N838" s="11">
        <v>0</v>
      </c>
      <c r="O838" s="11">
        <v>0</v>
      </c>
      <c r="P838" s="11">
        <v>0</v>
      </c>
      <c r="Q838" s="11">
        <v>0</v>
      </c>
      <c r="R838" s="11">
        <v>0</v>
      </c>
      <c r="S838" s="11">
        <v>0</v>
      </c>
      <c r="T838" s="11">
        <v>0</v>
      </c>
      <c r="U838">
        <v>0</v>
      </c>
      <c r="V838">
        <v>0</v>
      </c>
      <c r="W838">
        <v>0</v>
      </c>
      <c r="X838">
        <v>6.4242579982012101E-3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6.02700096432015E-3</v>
      </c>
      <c r="AL838">
        <v>0</v>
      </c>
      <c r="AM838">
        <v>0</v>
      </c>
    </row>
    <row r="839" spans="1:39" customFormat="1" hidden="1" x14ac:dyDescent="0.3">
      <c r="A839" t="s">
        <v>953</v>
      </c>
      <c r="B839" t="s">
        <v>30</v>
      </c>
      <c r="C839" t="s">
        <v>111</v>
      </c>
      <c r="D839" t="s">
        <v>141</v>
      </c>
      <c r="E839" t="s">
        <v>140</v>
      </c>
      <c r="F839" t="s">
        <v>276</v>
      </c>
      <c r="G839" t="s">
        <v>275</v>
      </c>
      <c r="H839" s="16">
        <v>4.1583499667332E-3</v>
      </c>
      <c r="I839" s="11">
        <v>0</v>
      </c>
      <c r="J839" s="11">
        <v>4.3593879419329502E-3</v>
      </c>
      <c r="K839" s="11">
        <v>0</v>
      </c>
      <c r="L839" s="11">
        <v>0</v>
      </c>
      <c r="M839" s="11">
        <v>0</v>
      </c>
      <c r="N839" s="11">
        <v>0</v>
      </c>
      <c r="O839" s="11">
        <v>3.75023438964935E-3</v>
      </c>
      <c r="P839" s="11">
        <v>0</v>
      </c>
      <c r="Q839" s="11">
        <v>0</v>
      </c>
      <c r="R839" s="11">
        <v>0</v>
      </c>
      <c r="S839" s="11">
        <v>0</v>
      </c>
      <c r="T839" s="11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</v>
      </c>
      <c r="AM839">
        <v>0</v>
      </c>
    </row>
    <row r="840" spans="1:39" customFormat="1" hidden="1" x14ac:dyDescent="0.3">
      <c r="A840" t="s">
        <v>952</v>
      </c>
      <c r="B840" t="s">
        <v>30</v>
      </c>
      <c r="C840" t="s">
        <v>111</v>
      </c>
      <c r="D840" t="s">
        <v>141</v>
      </c>
      <c r="E840" t="s">
        <v>140</v>
      </c>
      <c r="F840" t="s">
        <v>276</v>
      </c>
      <c r="G840" t="s">
        <v>951</v>
      </c>
      <c r="H840" s="16">
        <v>0</v>
      </c>
      <c r="I840" s="11">
        <v>0</v>
      </c>
      <c r="J840" s="11">
        <v>0</v>
      </c>
      <c r="K840" s="11">
        <v>0</v>
      </c>
      <c r="L840" s="11">
        <v>0</v>
      </c>
      <c r="M840" s="11">
        <v>0</v>
      </c>
      <c r="N840" s="11">
        <v>0</v>
      </c>
      <c r="O840" s="11">
        <v>0</v>
      </c>
      <c r="P840" s="11">
        <v>0</v>
      </c>
      <c r="Q840" s="11">
        <v>0</v>
      </c>
      <c r="R840" s="11">
        <v>0</v>
      </c>
      <c r="S840" s="11">
        <v>0</v>
      </c>
      <c r="T840" s="11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</v>
      </c>
      <c r="AM840">
        <v>0</v>
      </c>
    </row>
    <row r="841" spans="1:39" customFormat="1" hidden="1" x14ac:dyDescent="0.3">
      <c r="A841" t="s">
        <v>950</v>
      </c>
      <c r="B841" t="s">
        <v>30</v>
      </c>
      <c r="C841" t="s">
        <v>111</v>
      </c>
      <c r="D841" t="s">
        <v>141</v>
      </c>
      <c r="E841" t="s">
        <v>140</v>
      </c>
      <c r="F841" t="s">
        <v>602</v>
      </c>
      <c r="G841" t="s">
        <v>949</v>
      </c>
      <c r="H841" s="16">
        <v>0</v>
      </c>
      <c r="I841" s="11">
        <v>0</v>
      </c>
      <c r="J841" s="11">
        <v>0</v>
      </c>
      <c r="K841" s="11">
        <v>0</v>
      </c>
      <c r="L841" s="11">
        <v>0</v>
      </c>
      <c r="M841" s="11">
        <v>0</v>
      </c>
      <c r="N841" s="11">
        <v>0</v>
      </c>
      <c r="O841" s="11">
        <v>0</v>
      </c>
      <c r="P841" s="11">
        <v>0</v>
      </c>
      <c r="Q841" s="11">
        <v>0</v>
      </c>
      <c r="R841" s="11">
        <v>0</v>
      </c>
      <c r="S841" s="11">
        <v>0</v>
      </c>
      <c r="T841" s="11">
        <v>0</v>
      </c>
      <c r="U841">
        <v>0</v>
      </c>
      <c r="V841">
        <v>0</v>
      </c>
      <c r="W841">
        <v>0</v>
      </c>
      <c r="X841">
        <v>0</v>
      </c>
      <c r="Y841">
        <v>2.9264581077521898E-3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</v>
      </c>
      <c r="AM841">
        <v>0</v>
      </c>
    </row>
    <row r="842" spans="1:39" customFormat="1" hidden="1" x14ac:dyDescent="0.3">
      <c r="A842" t="s">
        <v>948</v>
      </c>
      <c r="B842" t="s">
        <v>30</v>
      </c>
      <c r="C842" t="s">
        <v>111</v>
      </c>
      <c r="D842" t="s">
        <v>141</v>
      </c>
      <c r="E842" t="s">
        <v>140</v>
      </c>
      <c r="F842" t="s">
        <v>592</v>
      </c>
      <c r="G842" t="s">
        <v>947</v>
      </c>
      <c r="H842" s="16">
        <v>0</v>
      </c>
      <c r="I842" s="11">
        <v>0</v>
      </c>
      <c r="J842" s="11">
        <v>0</v>
      </c>
      <c r="K842" s="11">
        <v>0</v>
      </c>
      <c r="L842" s="11">
        <v>0</v>
      </c>
      <c r="M842" s="11">
        <v>0</v>
      </c>
      <c r="N842" s="11">
        <v>0</v>
      </c>
      <c r="O842" s="11">
        <v>0</v>
      </c>
      <c r="P842" s="11">
        <v>0</v>
      </c>
      <c r="Q842" s="11">
        <v>0</v>
      </c>
      <c r="R842" s="11">
        <v>0</v>
      </c>
      <c r="S842" s="11">
        <v>0</v>
      </c>
      <c r="T842" s="11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</v>
      </c>
      <c r="AM842">
        <v>0</v>
      </c>
    </row>
    <row r="843" spans="1:39" customFormat="1" hidden="1" x14ac:dyDescent="0.3">
      <c r="A843" t="s">
        <v>946</v>
      </c>
      <c r="B843" t="s">
        <v>30</v>
      </c>
      <c r="C843" t="s">
        <v>111</v>
      </c>
      <c r="D843" t="s">
        <v>141</v>
      </c>
      <c r="E843" t="s">
        <v>140</v>
      </c>
      <c r="F843" t="s">
        <v>599</v>
      </c>
      <c r="G843" t="s">
        <v>945</v>
      </c>
      <c r="H843" s="16">
        <v>0</v>
      </c>
      <c r="I843" s="11">
        <v>0</v>
      </c>
      <c r="J843" s="11">
        <v>0</v>
      </c>
      <c r="K843" s="11">
        <v>0</v>
      </c>
      <c r="L843" s="11">
        <v>0</v>
      </c>
      <c r="M843" s="11">
        <v>0</v>
      </c>
      <c r="N843" s="11">
        <v>0</v>
      </c>
      <c r="O843" s="11">
        <v>0</v>
      </c>
      <c r="P843" s="11">
        <v>0</v>
      </c>
      <c r="Q843" s="11">
        <v>0</v>
      </c>
      <c r="R843" s="11">
        <v>0</v>
      </c>
      <c r="S843" s="11">
        <v>0</v>
      </c>
      <c r="T843" s="11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</v>
      </c>
      <c r="AM843">
        <v>0</v>
      </c>
    </row>
    <row r="844" spans="1:39" customFormat="1" hidden="1" x14ac:dyDescent="0.3">
      <c r="A844" t="s">
        <v>944</v>
      </c>
      <c r="B844" t="s">
        <v>30</v>
      </c>
      <c r="C844" t="s">
        <v>111</v>
      </c>
      <c r="D844" t="s">
        <v>141</v>
      </c>
      <c r="E844" t="s">
        <v>140</v>
      </c>
      <c r="F844" t="s">
        <v>599</v>
      </c>
      <c r="G844" t="s">
        <v>943</v>
      </c>
      <c r="H844" s="16">
        <v>0</v>
      </c>
      <c r="I844" s="11">
        <v>0</v>
      </c>
      <c r="J844" s="11">
        <v>0</v>
      </c>
      <c r="K844" s="11">
        <v>0</v>
      </c>
      <c r="L844" s="11">
        <v>6.6037112857425901E-3</v>
      </c>
      <c r="M844" s="11">
        <v>0</v>
      </c>
      <c r="N844" s="11">
        <v>4.5835816106705798E-3</v>
      </c>
      <c r="O844" s="11">
        <v>0</v>
      </c>
      <c r="P844" s="11">
        <v>0</v>
      </c>
      <c r="Q844" s="11">
        <v>0</v>
      </c>
      <c r="R844" s="11">
        <v>0</v>
      </c>
      <c r="S844" s="11">
        <v>0</v>
      </c>
      <c r="T844" s="11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</v>
      </c>
      <c r="AM844">
        <v>0</v>
      </c>
    </row>
    <row r="845" spans="1:39" customFormat="1" hidden="1" x14ac:dyDescent="0.3">
      <c r="A845" t="s">
        <v>942</v>
      </c>
      <c r="B845" t="s">
        <v>30</v>
      </c>
      <c r="C845" t="s">
        <v>29</v>
      </c>
      <c r="D845" t="s">
        <v>28</v>
      </c>
      <c r="E845" t="s">
        <v>27</v>
      </c>
      <c r="F845" t="s">
        <v>26</v>
      </c>
      <c r="G845" t="s">
        <v>25</v>
      </c>
      <c r="H845" s="16">
        <v>0</v>
      </c>
      <c r="I845" s="11">
        <v>0</v>
      </c>
      <c r="J845" s="11">
        <v>0</v>
      </c>
      <c r="K845" s="11">
        <v>0</v>
      </c>
      <c r="L845" s="11">
        <v>0</v>
      </c>
      <c r="M845" s="11">
        <v>0</v>
      </c>
      <c r="N845" s="11">
        <v>0</v>
      </c>
      <c r="O845" s="11">
        <v>0</v>
      </c>
      <c r="P845" s="11">
        <v>0</v>
      </c>
      <c r="Q845" s="11">
        <v>0</v>
      </c>
      <c r="R845" s="11">
        <v>0</v>
      </c>
      <c r="S845" s="11">
        <v>0</v>
      </c>
      <c r="T845" s="11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0</v>
      </c>
    </row>
    <row r="846" spans="1:39" customFormat="1" hidden="1" x14ac:dyDescent="0.3">
      <c r="A846" t="s">
        <v>941</v>
      </c>
      <c r="B846" t="s">
        <v>30</v>
      </c>
      <c r="C846" t="s">
        <v>29</v>
      </c>
      <c r="D846" t="s">
        <v>28</v>
      </c>
      <c r="E846" t="s">
        <v>27</v>
      </c>
      <c r="F846" t="s">
        <v>26</v>
      </c>
      <c r="G846" t="s">
        <v>25</v>
      </c>
      <c r="H846" s="16">
        <v>0</v>
      </c>
      <c r="I846" s="11">
        <v>0</v>
      </c>
      <c r="J846" s="11">
        <v>0</v>
      </c>
      <c r="K846" s="11">
        <v>0</v>
      </c>
      <c r="L846" s="11">
        <v>0</v>
      </c>
      <c r="M846" s="11">
        <v>0</v>
      </c>
      <c r="N846" s="11">
        <v>0</v>
      </c>
      <c r="O846" s="11">
        <v>0</v>
      </c>
      <c r="P846" s="11">
        <v>0</v>
      </c>
      <c r="Q846" s="11">
        <v>0</v>
      </c>
      <c r="R846" s="11">
        <v>0</v>
      </c>
      <c r="S846" s="11">
        <v>0</v>
      </c>
      <c r="T846" s="11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</v>
      </c>
      <c r="AM846">
        <v>0</v>
      </c>
    </row>
    <row r="847" spans="1:39" customFormat="1" hidden="1" x14ac:dyDescent="0.3">
      <c r="A847" t="s">
        <v>940</v>
      </c>
      <c r="B847" t="s">
        <v>30</v>
      </c>
      <c r="C847" t="s">
        <v>29</v>
      </c>
      <c r="D847" t="s">
        <v>28</v>
      </c>
      <c r="E847" t="s">
        <v>27</v>
      </c>
      <c r="F847" t="s">
        <v>26</v>
      </c>
      <c r="G847" t="s">
        <v>25</v>
      </c>
      <c r="H847" s="16">
        <v>0</v>
      </c>
      <c r="I847" s="11">
        <v>0</v>
      </c>
      <c r="J847" s="11">
        <v>0</v>
      </c>
      <c r="K847" s="11">
        <v>0</v>
      </c>
      <c r="L847" s="11">
        <v>0</v>
      </c>
      <c r="M847" s="11">
        <v>0</v>
      </c>
      <c r="N847" s="11">
        <v>0</v>
      </c>
      <c r="O847" s="11">
        <v>0</v>
      </c>
      <c r="P847" s="11">
        <v>0</v>
      </c>
      <c r="Q847" s="11">
        <v>0</v>
      </c>
      <c r="R847" s="11">
        <v>0</v>
      </c>
      <c r="S847" s="11">
        <v>0</v>
      </c>
      <c r="T847" s="11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</v>
      </c>
      <c r="AM847">
        <v>0</v>
      </c>
    </row>
    <row r="848" spans="1:39" customFormat="1" hidden="1" x14ac:dyDescent="0.3">
      <c r="A848" t="s">
        <v>939</v>
      </c>
      <c r="B848" t="s">
        <v>30</v>
      </c>
      <c r="C848" t="s">
        <v>29</v>
      </c>
      <c r="D848" t="s">
        <v>28</v>
      </c>
      <c r="E848" t="s">
        <v>27</v>
      </c>
      <c r="F848" t="s">
        <v>26</v>
      </c>
      <c r="G848" t="s">
        <v>25</v>
      </c>
      <c r="H848" s="16">
        <v>0</v>
      </c>
      <c r="I848" s="11">
        <v>0</v>
      </c>
      <c r="J848" s="11">
        <v>0</v>
      </c>
      <c r="K848" s="11">
        <v>0</v>
      </c>
      <c r="L848" s="11">
        <v>0</v>
      </c>
      <c r="M848" s="11">
        <v>0</v>
      </c>
      <c r="N848" s="11">
        <v>0</v>
      </c>
      <c r="O848" s="11">
        <v>0</v>
      </c>
      <c r="P848" s="11">
        <v>3.3947788301592198E-3</v>
      </c>
      <c r="Q848" s="11">
        <v>0</v>
      </c>
      <c r="R848" s="11">
        <v>0</v>
      </c>
      <c r="S848" s="11">
        <v>0</v>
      </c>
      <c r="T848" s="11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L848">
        <v>0</v>
      </c>
      <c r="AM848">
        <v>0</v>
      </c>
    </row>
    <row r="849" spans="1:39" customFormat="1" hidden="1" x14ac:dyDescent="0.3">
      <c r="A849" t="s">
        <v>938</v>
      </c>
      <c r="B849" t="s">
        <v>30</v>
      </c>
      <c r="C849" t="s">
        <v>29</v>
      </c>
      <c r="D849" t="s">
        <v>28</v>
      </c>
      <c r="E849" t="s">
        <v>27</v>
      </c>
      <c r="F849" t="s">
        <v>26</v>
      </c>
      <c r="G849" t="s">
        <v>25</v>
      </c>
      <c r="H849" s="16">
        <v>0</v>
      </c>
      <c r="I849" s="11">
        <v>0</v>
      </c>
      <c r="J849" s="11">
        <v>0</v>
      </c>
      <c r="K849" s="11">
        <v>0</v>
      </c>
      <c r="L849" s="11">
        <v>0</v>
      </c>
      <c r="M849" s="11">
        <v>0</v>
      </c>
      <c r="N849" s="11">
        <v>0</v>
      </c>
      <c r="O849" s="11">
        <v>0</v>
      </c>
      <c r="P849" s="11">
        <v>0</v>
      </c>
      <c r="Q849" s="11">
        <v>0</v>
      </c>
      <c r="R849" s="11">
        <v>0</v>
      </c>
      <c r="S849" s="11">
        <v>0</v>
      </c>
      <c r="T849" s="11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0</v>
      </c>
      <c r="AM849">
        <v>0</v>
      </c>
    </row>
    <row r="850" spans="1:39" customFormat="1" hidden="1" x14ac:dyDescent="0.3">
      <c r="A850" t="s">
        <v>937</v>
      </c>
      <c r="B850" t="s">
        <v>30</v>
      </c>
      <c r="C850" t="s">
        <v>29</v>
      </c>
      <c r="D850" t="s">
        <v>28</v>
      </c>
      <c r="E850" t="s">
        <v>27</v>
      </c>
      <c r="F850" t="s">
        <v>26</v>
      </c>
      <c r="G850" t="s">
        <v>25</v>
      </c>
      <c r="H850" s="16">
        <v>0</v>
      </c>
      <c r="I850" s="11">
        <v>0</v>
      </c>
      <c r="J850" s="11">
        <v>0</v>
      </c>
      <c r="K850" s="11">
        <v>0</v>
      </c>
      <c r="L850" s="11">
        <v>0</v>
      </c>
      <c r="M850" s="11">
        <v>0</v>
      </c>
      <c r="N850" s="11">
        <v>0</v>
      </c>
      <c r="O850" s="11">
        <v>0</v>
      </c>
      <c r="P850" s="11">
        <v>0</v>
      </c>
      <c r="Q850" s="11">
        <v>0</v>
      </c>
      <c r="R850" s="11">
        <v>0</v>
      </c>
      <c r="S850" s="11">
        <v>0</v>
      </c>
      <c r="T850" s="11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0</v>
      </c>
      <c r="AM850">
        <v>0</v>
      </c>
    </row>
    <row r="851" spans="1:39" customFormat="1" hidden="1" x14ac:dyDescent="0.3">
      <c r="A851" t="s">
        <v>936</v>
      </c>
      <c r="B851" t="s">
        <v>30</v>
      </c>
      <c r="C851" t="s">
        <v>29</v>
      </c>
      <c r="D851" t="s">
        <v>28</v>
      </c>
      <c r="E851" t="s">
        <v>27</v>
      </c>
      <c r="F851" t="s">
        <v>26</v>
      </c>
      <c r="G851" t="s">
        <v>25</v>
      </c>
      <c r="H851" s="16">
        <v>0</v>
      </c>
      <c r="I851" s="11">
        <v>0</v>
      </c>
      <c r="J851" s="11">
        <v>0</v>
      </c>
      <c r="K851" s="11">
        <v>0</v>
      </c>
      <c r="L851" s="11">
        <v>0</v>
      </c>
      <c r="M851" s="11">
        <v>0</v>
      </c>
      <c r="N851" s="11">
        <v>0</v>
      </c>
      <c r="O851" s="11">
        <v>0</v>
      </c>
      <c r="P851" s="11">
        <v>3.3947788301592198E-3</v>
      </c>
      <c r="Q851" s="11">
        <v>0</v>
      </c>
      <c r="R851" s="11">
        <v>2.2441148089136199E-3</v>
      </c>
      <c r="S851" s="11">
        <v>0</v>
      </c>
      <c r="T851" s="1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3.5915670006823998E-3</v>
      </c>
      <c r="AK851">
        <v>0</v>
      </c>
      <c r="AL851">
        <v>0</v>
      </c>
      <c r="AM851">
        <v>0</v>
      </c>
    </row>
    <row r="852" spans="1:39" customFormat="1" hidden="1" x14ac:dyDescent="0.3">
      <c r="A852" t="s">
        <v>935</v>
      </c>
      <c r="B852" t="s">
        <v>30</v>
      </c>
      <c r="C852" t="s">
        <v>29</v>
      </c>
      <c r="D852" t="s">
        <v>28</v>
      </c>
      <c r="E852" t="s">
        <v>27</v>
      </c>
      <c r="F852" t="s">
        <v>26</v>
      </c>
      <c r="G852" t="s">
        <v>25</v>
      </c>
      <c r="H852" s="16">
        <v>0</v>
      </c>
      <c r="I852" s="11">
        <v>0</v>
      </c>
      <c r="J852" s="11">
        <v>0</v>
      </c>
      <c r="K852" s="11">
        <v>0</v>
      </c>
      <c r="L852" s="11">
        <v>0</v>
      </c>
      <c r="M852" s="11">
        <v>0</v>
      </c>
      <c r="N852" s="11">
        <v>0</v>
      </c>
      <c r="O852" s="11">
        <v>0</v>
      </c>
      <c r="P852" s="11">
        <v>0</v>
      </c>
      <c r="Q852" s="11">
        <v>0</v>
      </c>
      <c r="R852" s="11">
        <v>0</v>
      </c>
      <c r="S852" s="11">
        <v>0</v>
      </c>
      <c r="T852" s="11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0</v>
      </c>
      <c r="AM852">
        <v>0</v>
      </c>
    </row>
    <row r="853" spans="1:39" customFormat="1" hidden="1" x14ac:dyDescent="0.3">
      <c r="A853" t="s">
        <v>934</v>
      </c>
      <c r="B853" t="s">
        <v>30</v>
      </c>
      <c r="C853" t="s">
        <v>29</v>
      </c>
      <c r="D853" t="s">
        <v>28</v>
      </c>
      <c r="E853" t="s">
        <v>27</v>
      </c>
      <c r="F853" t="s">
        <v>26</v>
      </c>
      <c r="G853" t="s">
        <v>25</v>
      </c>
      <c r="H853" s="16">
        <v>0</v>
      </c>
      <c r="I853" s="11">
        <v>0</v>
      </c>
      <c r="J853" s="11">
        <v>0</v>
      </c>
      <c r="K853" s="11">
        <v>0</v>
      </c>
      <c r="L853" s="11">
        <v>0</v>
      </c>
      <c r="M853" s="11">
        <v>0</v>
      </c>
      <c r="N853" s="11">
        <v>0</v>
      </c>
      <c r="O853" s="11">
        <v>0</v>
      </c>
      <c r="P853" s="11">
        <v>0</v>
      </c>
      <c r="Q853" s="11">
        <v>0</v>
      </c>
      <c r="R853" s="11">
        <v>0</v>
      </c>
      <c r="S853" s="11">
        <v>0</v>
      </c>
      <c r="T853" s="11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0</v>
      </c>
      <c r="AM853">
        <v>0</v>
      </c>
    </row>
    <row r="854" spans="1:39" customFormat="1" hidden="1" x14ac:dyDescent="0.3">
      <c r="A854" t="s">
        <v>933</v>
      </c>
      <c r="B854" t="s">
        <v>30</v>
      </c>
      <c r="C854" t="s">
        <v>29</v>
      </c>
      <c r="D854" t="s">
        <v>28</v>
      </c>
      <c r="E854" t="s">
        <v>27</v>
      </c>
      <c r="F854" t="s">
        <v>26</v>
      </c>
      <c r="G854" t="s">
        <v>25</v>
      </c>
      <c r="H854" s="16">
        <v>0</v>
      </c>
      <c r="I854" s="11">
        <v>0</v>
      </c>
      <c r="J854" s="11">
        <v>0</v>
      </c>
      <c r="K854" s="11">
        <v>0</v>
      </c>
      <c r="L854" s="11">
        <v>0</v>
      </c>
      <c r="M854" s="11">
        <v>0</v>
      </c>
      <c r="N854" s="11">
        <v>0</v>
      </c>
      <c r="O854" s="11">
        <v>0</v>
      </c>
      <c r="P854" s="11">
        <v>0</v>
      </c>
      <c r="Q854" s="11">
        <v>0</v>
      </c>
      <c r="R854" s="11">
        <v>0</v>
      </c>
      <c r="S854" s="11">
        <v>2.4883049666567102E-3</v>
      </c>
      <c r="T854" s="11">
        <v>0</v>
      </c>
      <c r="U854">
        <v>0</v>
      </c>
      <c r="V854">
        <v>3.6144142841652502E-3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</v>
      </c>
      <c r="AM854">
        <v>0</v>
      </c>
    </row>
    <row r="855" spans="1:39" customFormat="1" hidden="1" x14ac:dyDescent="0.3">
      <c r="A855" t="s">
        <v>932</v>
      </c>
      <c r="B855" t="s">
        <v>30</v>
      </c>
      <c r="C855" t="s">
        <v>29</v>
      </c>
      <c r="D855" t="s">
        <v>28</v>
      </c>
      <c r="E855" t="s">
        <v>91</v>
      </c>
      <c r="F855" t="s">
        <v>90</v>
      </c>
      <c r="G855" t="s">
        <v>89</v>
      </c>
      <c r="H855" s="16">
        <v>0</v>
      </c>
      <c r="I855" s="11">
        <v>0</v>
      </c>
      <c r="J855" s="11">
        <v>0</v>
      </c>
      <c r="K855" s="11">
        <v>0</v>
      </c>
      <c r="L855" s="11">
        <v>0</v>
      </c>
      <c r="M855" s="11">
        <v>0</v>
      </c>
      <c r="N855" s="11">
        <v>0</v>
      </c>
      <c r="O855" s="11">
        <v>0</v>
      </c>
      <c r="P855" s="11">
        <v>0</v>
      </c>
      <c r="Q855" s="11">
        <v>0</v>
      </c>
      <c r="R855" s="11">
        <v>2.2441148089136199E-3</v>
      </c>
      <c r="S855" s="11">
        <v>0</v>
      </c>
      <c r="T855" s="11">
        <v>0</v>
      </c>
      <c r="U855">
        <v>0</v>
      </c>
      <c r="V855">
        <v>3.6144142841652502E-3</v>
      </c>
      <c r="W855">
        <v>0</v>
      </c>
      <c r="X855">
        <v>0</v>
      </c>
      <c r="Y855">
        <v>0</v>
      </c>
      <c r="Z855">
        <v>3.1774275546517499E-3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0</v>
      </c>
      <c r="AM855">
        <v>0</v>
      </c>
    </row>
    <row r="856" spans="1:39" customFormat="1" hidden="1" x14ac:dyDescent="0.3">
      <c r="A856" t="s">
        <v>931</v>
      </c>
      <c r="B856" t="s">
        <v>30</v>
      </c>
      <c r="C856" t="s">
        <v>29</v>
      </c>
      <c r="D856" t="s">
        <v>28</v>
      </c>
      <c r="E856" t="s">
        <v>91</v>
      </c>
      <c r="F856" t="s">
        <v>90</v>
      </c>
      <c r="G856" t="s">
        <v>89</v>
      </c>
      <c r="H856" s="16">
        <v>0</v>
      </c>
      <c r="I856" s="11">
        <v>0</v>
      </c>
      <c r="J856" s="11">
        <v>0</v>
      </c>
      <c r="K856" s="11">
        <v>0</v>
      </c>
      <c r="L856" s="11">
        <v>0</v>
      </c>
      <c r="M856" s="11">
        <v>0</v>
      </c>
      <c r="N856" s="11">
        <v>4.5835816106705798E-3</v>
      </c>
      <c r="O856" s="11">
        <v>0</v>
      </c>
      <c r="P856" s="11">
        <v>0</v>
      </c>
      <c r="Q856" s="11">
        <v>0</v>
      </c>
      <c r="R856" s="11">
        <v>0</v>
      </c>
      <c r="S856" s="11">
        <v>0</v>
      </c>
      <c r="T856" s="11">
        <v>0</v>
      </c>
      <c r="U856">
        <v>0</v>
      </c>
      <c r="V856">
        <v>0</v>
      </c>
      <c r="W856">
        <v>2.6668088964744798E-3</v>
      </c>
      <c r="X856">
        <v>0</v>
      </c>
      <c r="Y856">
        <v>2.9264581077521898E-3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3.5844863431070302E-3</v>
      </c>
      <c r="AM856">
        <v>0</v>
      </c>
    </row>
    <row r="857" spans="1:39" customFormat="1" hidden="1" x14ac:dyDescent="0.3">
      <c r="A857" t="s">
        <v>930</v>
      </c>
      <c r="B857" t="s">
        <v>30</v>
      </c>
      <c r="C857" t="s">
        <v>81</v>
      </c>
      <c r="D857" t="s">
        <v>80</v>
      </c>
      <c r="E857" t="s">
        <v>618</v>
      </c>
      <c r="F857" t="s">
        <v>617</v>
      </c>
      <c r="G857" t="s">
        <v>616</v>
      </c>
      <c r="H857" s="16">
        <v>0</v>
      </c>
      <c r="I857" s="11">
        <v>0</v>
      </c>
      <c r="J857" s="11">
        <v>0</v>
      </c>
      <c r="K857" s="11">
        <v>0</v>
      </c>
      <c r="L857" s="11">
        <v>0</v>
      </c>
      <c r="M857" s="11">
        <v>0</v>
      </c>
      <c r="N857" s="11">
        <v>0</v>
      </c>
      <c r="O857" s="11">
        <v>0</v>
      </c>
      <c r="P857" s="11">
        <v>0</v>
      </c>
      <c r="Q857" s="11">
        <v>0</v>
      </c>
      <c r="R857" s="11">
        <v>2.2441148089136199E-3</v>
      </c>
      <c r="S857" s="11">
        <v>0</v>
      </c>
      <c r="T857" s="11">
        <v>3.3464962184592698E-3</v>
      </c>
      <c r="U857">
        <v>0</v>
      </c>
      <c r="V857">
        <v>0</v>
      </c>
      <c r="W857">
        <v>0</v>
      </c>
      <c r="X857">
        <v>0</v>
      </c>
      <c r="Y857">
        <v>2.9264581077521898E-3</v>
      </c>
      <c r="Z857">
        <v>0</v>
      </c>
      <c r="AA857">
        <v>0</v>
      </c>
      <c r="AB857">
        <v>0</v>
      </c>
      <c r="AC857">
        <v>7.1911405148856597E-3</v>
      </c>
      <c r="AD857">
        <v>3.14564328405159E-3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0</v>
      </c>
      <c r="AM857">
        <v>0</v>
      </c>
    </row>
    <row r="858" spans="1:39" customFormat="1" hidden="1" x14ac:dyDescent="0.3">
      <c r="A858" t="s">
        <v>929</v>
      </c>
      <c r="B858" t="s">
        <v>30</v>
      </c>
      <c r="C858" t="s">
        <v>29</v>
      </c>
      <c r="D858" t="s">
        <v>28</v>
      </c>
      <c r="E858" t="s">
        <v>27</v>
      </c>
      <c r="F858" t="s">
        <v>26</v>
      </c>
      <c r="G858" t="s">
        <v>25</v>
      </c>
      <c r="H858" s="16">
        <v>0</v>
      </c>
      <c r="I858" s="11">
        <v>0</v>
      </c>
      <c r="J858" s="11">
        <v>0</v>
      </c>
      <c r="K858" s="11">
        <v>0</v>
      </c>
      <c r="L858" s="11">
        <v>0</v>
      </c>
      <c r="M858" s="11">
        <v>0</v>
      </c>
      <c r="N858" s="11">
        <v>0</v>
      </c>
      <c r="O858" s="11">
        <v>0</v>
      </c>
      <c r="P858" s="11">
        <v>0</v>
      </c>
      <c r="Q858" s="11">
        <v>0</v>
      </c>
      <c r="R858" s="11">
        <v>0</v>
      </c>
      <c r="S858" s="11">
        <v>2.4883049666567102E-3</v>
      </c>
      <c r="T858" s="11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6.02700096432015E-3</v>
      </c>
      <c r="AL858">
        <v>0</v>
      </c>
      <c r="AM858">
        <v>0</v>
      </c>
    </row>
    <row r="859" spans="1:39" customFormat="1" hidden="1" x14ac:dyDescent="0.3">
      <c r="A859" t="s">
        <v>928</v>
      </c>
      <c r="B859" t="s">
        <v>30</v>
      </c>
      <c r="C859" t="s">
        <v>29</v>
      </c>
      <c r="D859" t="s">
        <v>28</v>
      </c>
      <c r="E859" t="s">
        <v>27</v>
      </c>
      <c r="F859" t="s">
        <v>26</v>
      </c>
      <c r="G859" t="s">
        <v>25</v>
      </c>
      <c r="H859" s="16">
        <v>0</v>
      </c>
      <c r="I859" s="11">
        <v>0</v>
      </c>
      <c r="J859" s="11">
        <v>0</v>
      </c>
      <c r="K859" s="11">
        <v>0</v>
      </c>
      <c r="L859" s="11">
        <v>0</v>
      </c>
      <c r="M859" s="11">
        <v>0</v>
      </c>
      <c r="N859" s="11">
        <v>0</v>
      </c>
      <c r="O859" s="11">
        <v>0</v>
      </c>
      <c r="P859" s="11">
        <v>0</v>
      </c>
      <c r="Q859" s="11">
        <v>0</v>
      </c>
      <c r="R859" s="11">
        <v>0</v>
      </c>
      <c r="S859" s="11">
        <v>0</v>
      </c>
      <c r="T859" s="11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0</v>
      </c>
      <c r="AM859">
        <v>0</v>
      </c>
    </row>
    <row r="860" spans="1:39" customFormat="1" hidden="1" x14ac:dyDescent="0.3">
      <c r="A860" t="s">
        <v>927</v>
      </c>
      <c r="B860" t="s">
        <v>30</v>
      </c>
      <c r="C860" t="s">
        <v>29</v>
      </c>
      <c r="D860" t="s">
        <v>28</v>
      </c>
      <c r="E860" t="s">
        <v>27</v>
      </c>
      <c r="F860" t="s">
        <v>26</v>
      </c>
      <c r="G860" t="s">
        <v>25</v>
      </c>
      <c r="H860" s="16">
        <v>0</v>
      </c>
      <c r="I860" s="11">
        <v>0</v>
      </c>
      <c r="J860" s="11">
        <v>0</v>
      </c>
      <c r="K860" s="11">
        <v>0</v>
      </c>
      <c r="L860" s="11">
        <v>0</v>
      </c>
      <c r="M860" s="11">
        <v>0</v>
      </c>
      <c r="N860" s="11">
        <v>0</v>
      </c>
      <c r="O860" s="11">
        <v>0</v>
      </c>
      <c r="P860" s="11">
        <v>3.3947788301592198E-3</v>
      </c>
      <c r="Q860" s="11">
        <v>0</v>
      </c>
      <c r="R860" s="11">
        <v>0</v>
      </c>
      <c r="S860" s="11">
        <v>2.4883049666567102E-3</v>
      </c>
      <c r="T860" s="11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0</v>
      </c>
      <c r="AM860">
        <v>0</v>
      </c>
    </row>
    <row r="861" spans="1:39" customFormat="1" hidden="1" x14ac:dyDescent="0.3">
      <c r="A861" t="s">
        <v>926</v>
      </c>
      <c r="B861" t="s">
        <v>30</v>
      </c>
      <c r="C861" t="s">
        <v>29</v>
      </c>
      <c r="D861" t="s">
        <v>28</v>
      </c>
      <c r="E861" t="s">
        <v>27</v>
      </c>
      <c r="F861" t="s">
        <v>67</v>
      </c>
      <c r="G861" t="s">
        <v>66</v>
      </c>
      <c r="H861" s="16">
        <v>0</v>
      </c>
      <c r="I861" s="11">
        <v>0</v>
      </c>
      <c r="J861" s="11">
        <v>0</v>
      </c>
      <c r="K861" s="11">
        <v>0</v>
      </c>
      <c r="L861" s="11">
        <v>0</v>
      </c>
      <c r="M861" s="11">
        <v>0</v>
      </c>
      <c r="N861" s="11">
        <v>0</v>
      </c>
      <c r="O861" s="11">
        <v>0</v>
      </c>
      <c r="P861" s="11">
        <v>0</v>
      </c>
      <c r="Q861" s="11">
        <v>0</v>
      </c>
      <c r="R861" s="11">
        <v>0</v>
      </c>
      <c r="S861" s="11">
        <v>0</v>
      </c>
      <c r="T861" s="11">
        <v>3.3464962184592698E-3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9.5322826639552601E-3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0</v>
      </c>
      <c r="AM861">
        <v>0</v>
      </c>
    </row>
    <row r="862" spans="1:39" customFormat="1" hidden="1" x14ac:dyDescent="0.3">
      <c r="A862" t="s">
        <v>925</v>
      </c>
      <c r="B862" t="s">
        <v>30</v>
      </c>
      <c r="C862" t="s">
        <v>29</v>
      </c>
      <c r="D862" t="s">
        <v>28</v>
      </c>
      <c r="E862" t="s">
        <v>27</v>
      </c>
      <c r="F862" t="s">
        <v>26</v>
      </c>
      <c r="G862" t="s">
        <v>25</v>
      </c>
      <c r="H862" s="16">
        <v>0</v>
      </c>
      <c r="I862" s="11">
        <v>0</v>
      </c>
      <c r="J862" s="11">
        <v>0</v>
      </c>
      <c r="K862" s="11">
        <v>0</v>
      </c>
      <c r="L862" s="11">
        <v>0</v>
      </c>
      <c r="M862" s="11">
        <v>0</v>
      </c>
      <c r="N862" s="11">
        <v>4.5835816106705798E-3</v>
      </c>
      <c r="O862" s="11">
        <v>0</v>
      </c>
      <c r="P862" s="11">
        <v>0</v>
      </c>
      <c r="Q862" s="11">
        <v>0</v>
      </c>
      <c r="R862" s="11">
        <v>2.2441148089136199E-3</v>
      </c>
      <c r="S862" s="11">
        <v>0</v>
      </c>
      <c r="T862" s="11">
        <v>0</v>
      </c>
      <c r="U862">
        <v>0</v>
      </c>
      <c r="V862">
        <v>0</v>
      </c>
      <c r="W862">
        <v>0</v>
      </c>
      <c r="X862">
        <v>1.9272773994603601E-2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</v>
      </c>
      <c r="AM862">
        <v>0</v>
      </c>
    </row>
    <row r="863" spans="1:39" customFormat="1" hidden="1" x14ac:dyDescent="0.3">
      <c r="A863" t="s">
        <v>924</v>
      </c>
      <c r="B863" t="s">
        <v>30</v>
      </c>
      <c r="C863" t="s">
        <v>111</v>
      </c>
      <c r="D863" t="s">
        <v>110</v>
      </c>
      <c r="E863" t="s">
        <v>109</v>
      </c>
      <c r="F863" t="s">
        <v>108</v>
      </c>
      <c r="G863" t="s">
        <v>154</v>
      </c>
      <c r="H863" s="16">
        <v>0</v>
      </c>
      <c r="I863" s="11">
        <v>0</v>
      </c>
      <c r="J863" s="11">
        <v>0</v>
      </c>
      <c r="K863" s="11">
        <v>0</v>
      </c>
      <c r="L863" s="11">
        <v>0</v>
      </c>
      <c r="M863" s="11">
        <v>0</v>
      </c>
      <c r="N863" s="11">
        <v>4.5835816106705798E-3</v>
      </c>
      <c r="O863" s="11">
        <v>0</v>
      </c>
      <c r="P863" s="11">
        <v>0</v>
      </c>
      <c r="Q863" s="11">
        <v>0</v>
      </c>
      <c r="R863" s="11">
        <v>0</v>
      </c>
      <c r="S863" s="11">
        <v>0</v>
      </c>
      <c r="T863" s="11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3.1774275546517499E-3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0</v>
      </c>
      <c r="AM863">
        <v>0</v>
      </c>
    </row>
    <row r="864" spans="1:39" customFormat="1" hidden="1" x14ac:dyDescent="0.3">
      <c r="A864" t="s">
        <v>923</v>
      </c>
      <c r="B864" t="s">
        <v>30</v>
      </c>
      <c r="C864" t="s">
        <v>29</v>
      </c>
      <c r="D864" t="s">
        <v>28</v>
      </c>
      <c r="E864" t="s">
        <v>27</v>
      </c>
      <c r="F864" t="s">
        <v>26</v>
      </c>
      <c r="G864" t="s">
        <v>25</v>
      </c>
      <c r="H864" s="16">
        <v>0</v>
      </c>
      <c r="I864" s="11">
        <v>0</v>
      </c>
      <c r="J864" s="11">
        <v>0</v>
      </c>
      <c r="K864" s="11">
        <v>0</v>
      </c>
      <c r="L864" s="11">
        <v>0</v>
      </c>
      <c r="M864" s="11">
        <v>0</v>
      </c>
      <c r="N864" s="11">
        <v>0</v>
      </c>
      <c r="O864" s="11">
        <v>0</v>
      </c>
      <c r="P864" s="11">
        <v>0</v>
      </c>
      <c r="Q864" s="11">
        <v>0</v>
      </c>
      <c r="R864" s="11">
        <v>0</v>
      </c>
      <c r="S864" s="11">
        <v>0</v>
      </c>
      <c r="T864" s="11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0</v>
      </c>
      <c r="AM864">
        <v>0</v>
      </c>
    </row>
    <row r="865" spans="1:39" customFormat="1" hidden="1" x14ac:dyDescent="0.3">
      <c r="A865" t="s">
        <v>922</v>
      </c>
      <c r="B865" t="s">
        <v>30</v>
      </c>
      <c r="C865" t="s">
        <v>29</v>
      </c>
      <c r="D865" t="s">
        <v>28</v>
      </c>
      <c r="E865" t="s">
        <v>27</v>
      </c>
      <c r="F865" t="s">
        <v>26</v>
      </c>
      <c r="G865" t="s">
        <v>25</v>
      </c>
      <c r="H865" s="16">
        <v>0</v>
      </c>
      <c r="I865" s="11">
        <v>0</v>
      </c>
      <c r="J865" s="11">
        <v>0</v>
      </c>
      <c r="K865" s="11">
        <v>0</v>
      </c>
      <c r="L865" s="11">
        <v>0</v>
      </c>
      <c r="M865" s="11">
        <v>0</v>
      </c>
      <c r="N865" s="11">
        <v>4.5835816106705798E-3</v>
      </c>
      <c r="O865" s="11">
        <v>0</v>
      </c>
      <c r="P865" s="11">
        <v>0</v>
      </c>
      <c r="Q865" s="11">
        <v>0</v>
      </c>
      <c r="R865" s="11">
        <v>0</v>
      </c>
      <c r="S865" s="11">
        <v>0</v>
      </c>
      <c r="T865" s="11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3.1774275546517499E-3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</v>
      </c>
      <c r="AM865">
        <v>0</v>
      </c>
    </row>
    <row r="866" spans="1:39" customFormat="1" hidden="1" x14ac:dyDescent="0.3">
      <c r="A866" t="s">
        <v>921</v>
      </c>
      <c r="B866" t="s">
        <v>30</v>
      </c>
      <c r="C866" t="s">
        <v>29</v>
      </c>
      <c r="D866" t="s">
        <v>28</v>
      </c>
      <c r="E866" t="s">
        <v>27</v>
      </c>
      <c r="F866" t="s">
        <v>26</v>
      </c>
      <c r="G866" t="s">
        <v>25</v>
      </c>
      <c r="H866" s="16">
        <v>0</v>
      </c>
      <c r="I866" s="11">
        <v>0</v>
      </c>
      <c r="J866" s="11">
        <v>0</v>
      </c>
      <c r="K866" s="11">
        <v>0</v>
      </c>
      <c r="L866" s="11">
        <v>0</v>
      </c>
      <c r="M866" s="11">
        <v>0</v>
      </c>
      <c r="N866" s="11">
        <v>0</v>
      </c>
      <c r="O866" s="11">
        <v>0</v>
      </c>
      <c r="P866" s="11">
        <v>0</v>
      </c>
      <c r="Q866" s="11">
        <v>0</v>
      </c>
      <c r="R866" s="11">
        <v>0</v>
      </c>
      <c r="S866" s="11">
        <v>0</v>
      </c>
      <c r="T866" s="11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3.5915670006823998E-3</v>
      </c>
      <c r="AK866">
        <v>0</v>
      </c>
      <c r="AL866">
        <v>0</v>
      </c>
      <c r="AM866">
        <v>0</v>
      </c>
    </row>
    <row r="867" spans="1:39" customFormat="1" hidden="1" x14ac:dyDescent="0.3">
      <c r="A867" t="s">
        <v>920</v>
      </c>
      <c r="B867" t="s">
        <v>30</v>
      </c>
      <c r="C867" t="s">
        <v>29</v>
      </c>
      <c r="D867" t="s">
        <v>28</v>
      </c>
      <c r="E867" t="s">
        <v>27</v>
      </c>
      <c r="F867" t="s">
        <v>26</v>
      </c>
      <c r="G867" t="s">
        <v>25</v>
      </c>
      <c r="H867" s="16">
        <v>0</v>
      </c>
      <c r="I867" s="11">
        <v>0</v>
      </c>
      <c r="J867" s="11">
        <v>0</v>
      </c>
      <c r="K867" s="11">
        <v>0</v>
      </c>
      <c r="L867" s="11">
        <v>0</v>
      </c>
      <c r="M867" s="11">
        <v>0</v>
      </c>
      <c r="N867" s="11">
        <v>0</v>
      </c>
      <c r="O867" s="11">
        <v>0</v>
      </c>
      <c r="P867" s="11">
        <v>0</v>
      </c>
      <c r="Q867" s="11">
        <v>0</v>
      </c>
      <c r="R867" s="11">
        <v>0</v>
      </c>
      <c r="S867" s="11">
        <v>0</v>
      </c>
      <c r="T867" s="11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3.5844863431070302E-3</v>
      </c>
      <c r="AM867">
        <v>0</v>
      </c>
    </row>
    <row r="868" spans="1:39" customFormat="1" hidden="1" x14ac:dyDescent="0.3">
      <c r="A868" t="s">
        <v>919</v>
      </c>
      <c r="B868" t="s">
        <v>30</v>
      </c>
      <c r="C868" t="s">
        <v>35</v>
      </c>
      <c r="D868" t="s">
        <v>35</v>
      </c>
      <c r="E868" t="s">
        <v>34</v>
      </c>
      <c r="F868" t="s">
        <v>33</v>
      </c>
      <c r="G868" t="s">
        <v>904</v>
      </c>
      <c r="H868" s="16">
        <v>0</v>
      </c>
      <c r="I868" s="11">
        <v>0</v>
      </c>
      <c r="J868" s="11">
        <v>0</v>
      </c>
      <c r="K868" s="11">
        <v>0</v>
      </c>
      <c r="L868" s="11">
        <v>0</v>
      </c>
      <c r="M868" s="11">
        <v>0</v>
      </c>
      <c r="N868" s="11">
        <v>0</v>
      </c>
      <c r="O868" s="11">
        <v>0</v>
      </c>
      <c r="P868" s="11">
        <v>0</v>
      </c>
      <c r="Q868" s="11">
        <v>0</v>
      </c>
      <c r="R868" s="11">
        <v>6.7323444267408704E-3</v>
      </c>
      <c r="S868" s="11">
        <v>0</v>
      </c>
      <c r="T868" s="11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0</v>
      </c>
      <c r="AM868">
        <v>0</v>
      </c>
    </row>
    <row r="869" spans="1:39" customFormat="1" hidden="1" x14ac:dyDescent="0.3">
      <c r="A869" t="s">
        <v>918</v>
      </c>
      <c r="B869" t="s">
        <v>30</v>
      </c>
      <c r="C869" t="s">
        <v>81</v>
      </c>
      <c r="D869" t="s">
        <v>85</v>
      </c>
      <c r="E869" t="s">
        <v>287</v>
      </c>
      <c r="F869" t="s">
        <v>286</v>
      </c>
      <c r="G869" t="s">
        <v>286</v>
      </c>
      <c r="H869" s="16">
        <v>0</v>
      </c>
      <c r="I869" s="11">
        <v>0</v>
      </c>
      <c r="J869" s="11">
        <v>0</v>
      </c>
      <c r="K869" s="11">
        <v>0</v>
      </c>
      <c r="L869" s="11">
        <v>0</v>
      </c>
      <c r="M869" s="11">
        <v>0</v>
      </c>
      <c r="N869" s="11">
        <v>0</v>
      </c>
      <c r="O869" s="11">
        <v>3.75023438964935E-3</v>
      </c>
      <c r="P869" s="11">
        <v>0</v>
      </c>
      <c r="Q869" s="11">
        <v>2.7492920572952501E-3</v>
      </c>
      <c r="R869" s="11">
        <v>0</v>
      </c>
      <c r="S869" s="11">
        <v>0</v>
      </c>
      <c r="T869" s="11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3.5844863431070302E-3</v>
      </c>
      <c r="AM869">
        <v>0</v>
      </c>
    </row>
    <row r="870" spans="1:39" customFormat="1" hidden="1" x14ac:dyDescent="0.3">
      <c r="A870" t="s">
        <v>917</v>
      </c>
      <c r="B870" t="s">
        <v>30</v>
      </c>
      <c r="C870" t="s">
        <v>81</v>
      </c>
      <c r="D870" t="s">
        <v>85</v>
      </c>
      <c r="E870" t="s">
        <v>287</v>
      </c>
      <c r="F870" t="s">
        <v>286</v>
      </c>
      <c r="G870" t="s">
        <v>286</v>
      </c>
      <c r="H870" s="16">
        <v>0</v>
      </c>
      <c r="I870" s="11">
        <v>0</v>
      </c>
      <c r="J870" s="11">
        <v>0</v>
      </c>
      <c r="K870" s="11">
        <v>0</v>
      </c>
      <c r="L870" s="11">
        <v>0</v>
      </c>
      <c r="M870" s="11">
        <v>0</v>
      </c>
      <c r="N870" s="11">
        <v>0</v>
      </c>
      <c r="O870" s="11">
        <v>3.75023438964935E-3</v>
      </c>
      <c r="P870" s="11">
        <v>0</v>
      </c>
      <c r="Q870" s="11">
        <v>2.7492920572952501E-3</v>
      </c>
      <c r="R870" s="11">
        <v>0</v>
      </c>
      <c r="S870" s="11">
        <v>2.4883049666567102E-3</v>
      </c>
      <c r="T870" s="11">
        <v>0</v>
      </c>
      <c r="U870">
        <v>3.04201016031394E-3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3.5844863431070302E-3</v>
      </c>
      <c r="AM870">
        <v>0</v>
      </c>
    </row>
    <row r="871" spans="1:39" customFormat="1" hidden="1" x14ac:dyDescent="0.3">
      <c r="A871" t="s">
        <v>916</v>
      </c>
      <c r="B871" t="s">
        <v>30</v>
      </c>
      <c r="C871" t="s">
        <v>81</v>
      </c>
      <c r="D871" t="s">
        <v>85</v>
      </c>
      <c r="E871" t="s">
        <v>287</v>
      </c>
      <c r="F871" t="s">
        <v>286</v>
      </c>
      <c r="G871" t="s">
        <v>286</v>
      </c>
      <c r="H871" s="16">
        <v>0</v>
      </c>
      <c r="I871" s="11">
        <v>0</v>
      </c>
      <c r="J871" s="11">
        <v>4.3593879419329502E-3</v>
      </c>
      <c r="K871" s="11">
        <v>0</v>
      </c>
      <c r="L871" s="11">
        <v>0</v>
      </c>
      <c r="M871" s="11">
        <v>0</v>
      </c>
      <c r="N871" s="11">
        <v>0</v>
      </c>
      <c r="O871" s="11">
        <v>0</v>
      </c>
      <c r="P871" s="11">
        <v>0</v>
      </c>
      <c r="Q871" s="11">
        <v>0</v>
      </c>
      <c r="R871" s="11">
        <v>0</v>
      </c>
      <c r="S871" s="11">
        <v>2.4883049666567102E-3</v>
      </c>
      <c r="T871" s="11">
        <v>3.3464962184592698E-3</v>
      </c>
      <c r="U871">
        <v>3.04201016031394E-3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4.6410173109945703E-3</v>
      </c>
      <c r="AI871">
        <v>0</v>
      </c>
      <c r="AJ871">
        <v>3.5915670006823998E-3</v>
      </c>
      <c r="AK871">
        <v>0</v>
      </c>
      <c r="AL871">
        <v>0</v>
      </c>
      <c r="AM871">
        <v>0</v>
      </c>
    </row>
    <row r="872" spans="1:39" customFormat="1" hidden="1" x14ac:dyDescent="0.3">
      <c r="A872" t="s">
        <v>915</v>
      </c>
      <c r="B872" t="s">
        <v>30</v>
      </c>
      <c r="C872" t="s">
        <v>81</v>
      </c>
      <c r="D872" t="s">
        <v>85</v>
      </c>
      <c r="E872" t="s">
        <v>287</v>
      </c>
      <c r="F872" t="s">
        <v>286</v>
      </c>
      <c r="G872" t="s">
        <v>286</v>
      </c>
      <c r="H872" s="16">
        <v>0</v>
      </c>
      <c r="I872" s="11">
        <v>0</v>
      </c>
      <c r="J872" s="11">
        <v>0</v>
      </c>
      <c r="K872" s="11">
        <v>0</v>
      </c>
      <c r="L872" s="11">
        <v>0</v>
      </c>
      <c r="M872" s="11">
        <v>0</v>
      </c>
      <c r="N872" s="11">
        <v>0</v>
      </c>
      <c r="O872" s="11">
        <v>0</v>
      </c>
      <c r="P872" s="11">
        <v>0</v>
      </c>
      <c r="Q872" s="11">
        <v>2.7492920572952501E-3</v>
      </c>
      <c r="R872" s="11">
        <v>0</v>
      </c>
      <c r="S872" s="11">
        <v>2.4883049666567102E-3</v>
      </c>
      <c r="T872" s="11">
        <v>0</v>
      </c>
      <c r="U872">
        <v>0</v>
      </c>
      <c r="V872">
        <v>0</v>
      </c>
      <c r="W872">
        <v>0</v>
      </c>
      <c r="X872">
        <v>0</v>
      </c>
      <c r="Y872">
        <v>2.9264581077521898E-3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3.5915670006823998E-3</v>
      </c>
      <c r="AK872">
        <v>0</v>
      </c>
      <c r="AL872">
        <v>0</v>
      </c>
      <c r="AM872">
        <v>0</v>
      </c>
    </row>
    <row r="873" spans="1:39" customFormat="1" hidden="1" x14ac:dyDescent="0.3">
      <c r="A873" t="s">
        <v>914</v>
      </c>
      <c r="B873" t="s">
        <v>30</v>
      </c>
      <c r="C873" t="s">
        <v>81</v>
      </c>
      <c r="D873" t="s">
        <v>85</v>
      </c>
      <c r="E873" t="s">
        <v>287</v>
      </c>
      <c r="F873" t="s">
        <v>817</v>
      </c>
      <c r="G873" t="s">
        <v>817</v>
      </c>
      <c r="H873" s="16">
        <v>0</v>
      </c>
      <c r="I873" s="11">
        <v>0</v>
      </c>
      <c r="J873" s="11">
        <v>0</v>
      </c>
      <c r="K873" s="11">
        <v>0</v>
      </c>
      <c r="L873" s="11">
        <v>0</v>
      </c>
      <c r="M873" s="11">
        <v>0</v>
      </c>
      <c r="N873" s="11">
        <v>0</v>
      </c>
      <c r="O873" s="11">
        <v>0</v>
      </c>
      <c r="P873" s="11">
        <v>0</v>
      </c>
      <c r="Q873" s="11">
        <v>0</v>
      </c>
      <c r="R873" s="11">
        <v>0</v>
      </c>
      <c r="S873" s="11">
        <v>0</v>
      </c>
      <c r="T873" s="11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3.1774275546517499E-3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4.6410173109945703E-3</v>
      </c>
      <c r="AI873">
        <v>0</v>
      </c>
      <c r="AJ873">
        <v>0</v>
      </c>
      <c r="AK873">
        <v>0</v>
      </c>
      <c r="AL873">
        <v>0</v>
      </c>
      <c r="AM873">
        <v>0</v>
      </c>
    </row>
    <row r="874" spans="1:39" customFormat="1" hidden="1" x14ac:dyDescent="0.3">
      <c r="A874" t="s">
        <v>913</v>
      </c>
      <c r="B874" t="s">
        <v>30</v>
      </c>
      <c r="C874" t="s">
        <v>81</v>
      </c>
      <c r="D874" t="s">
        <v>85</v>
      </c>
      <c r="E874" t="s">
        <v>287</v>
      </c>
      <c r="F874" t="s">
        <v>817</v>
      </c>
      <c r="G874" t="s">
        <v>817</v>
      </c>
      <c r="H874" s="16">
        <v>4.1583499667332E-3</v>
      </c>
      <c r="I874" s="11">
        <v>7.3131490419774802E-3</v>
      </c>
      <c r="J874" s="11">
        <v>0</v>
      </c>
      <c r="K874" s="11">
        <v>0</v>
      </c>
      <c r="L874" s="11">
        <v>0</v>
      </c>
      <c r="M874" s="11">
        <v>0</v>
      </c>
      <c r="N874" s="11">
        <v>0</v>
      </c>
      <c r="O874" s="11">
        <v>0</v>
      </c>
      <c r="P874" s="11">
        <v>0</v>
      </c>
      <c r="Q874" s="11">
        <v>0</v>
      </c>
      <c r="R874" s="11">
        <v>0</v>
      </c>
      <c r="S874" s="11">
        <v>0</v>
      </c>
      <c r="T874" s="11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3.4299434059338E-3</v>
      </c>
      <c r="AF874">
        <v>0</v>
      </c>
      <c r="AG874">
        <v>0</v>
      </c>
      <c r="AH874">
        <v>0</v>
      </c>
      <c r="AI874">
        <v>0</v>
      </c>
      <c r="AJ874">
        <v>0</v>
      </c>
      <c r="AK874">
        <v>0</v>
      </c>
      <c r="AL874">
        <v>0</v>
      </c>
      <c r="AM874">
        <v>0</v>
      </c>
    </row>
    <row r="875" spans="1:39" customFormat="1" hidden="1" x14ac:dyDescent="0.3">
      <c r="A875" t="s">
        <v>912</v>
      </c>
      <c r="B875" t="s">
        <v>30</v>
      </c>
      <c r="C875" t="s">
        <v>81</v>
      </c>
      <c r="D875" t="s">
        <v>85</v>
      </c>
      <c r="E875" t="s">
        <v>287</v>
      </c>
      <c r="F875" t="s">
        <v>286</v>
      </c>
      <c r="G875" t="s">
        <v>286</v>
      </c>
      <c r="H875" s="16">
        <v>0</v>
      </c>
      <c r="I875" s="11">
        <v>0</v>
      </c>
      <c r="J875" s="11">
        <v>0</v>
      </c>
      <c r="K875" s="11">
        <v>0</v>
      </c>
      <c r="L875" s="11">
        <v>0</v>
      </c>
      <c r="M875" s="11">
        <v>0</v>
      </c>
      <c r="N875" s="11">
        <v>0</v>
      </c>
      <c r="O875" s="11">
        <v>0</v>
      </c>
      <c r="P875" s="11">
        <v>0</v>
      </c>
      <c r="Q875" s="11">
        <v>0</v>
      </c>
      <c r="R875" s="11">
        <v>0</v>
      </c>
      <c r="S875" s="11">
        <v>0</v>
      </c>
      <c r="T875" s="11">
        <v>0</v>
      </c>
      <c r="U875">
        <v>3.04201016031394E-3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7.1911405148856597E-3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  <c r="AJ875">
        <v>0</v>
      </c>
      <c r="AK875">
        <v>0</v>
      </c>
      <c r="AL875">
        <v>3.5844863431070302E-3</v>
      </c>
      <c r="AM875">
        <v>0</v>
      </c>
    </row>
    <row r="876" spans="1:39" customFormat="1" hidden="1" x14ac:dyDescent="0.3">
      <c r="A876" t="s">
        <v>911</v>
      </c>
      <c r="B876" t="s">
        <v>30</v>
      </c>
      <c r="C876" t="s">
        <v>81</v>
      </c>
      <c r="D876" t="s">
        <v>85</v>
      </c>
      <c r="E876" t="s">
        <v>287</v>
      </c>
      <c r="F876" t="s">
        <v>286</v>
      </c>
      <c r="G876" t="s">
        <v>286</v>
      </c>
      <c r="H876" s="16">
        <v>0</v>
      </c>
      <c r="I876" s="11">
        <v>0</v>
      </c>
      <c r="J876" s="11">
        <v>0</v>
      </c>
      <c r="K876" s="11">
        <v>0</v>
      </c>
      <c r="L876" s="11">
        <v>0</v>
      </c>
      <c r="M876" s="11">
        <v>0</v>
      </c>
      <c r="N876" s="11">
        <v>0</v>
      </c>
      <c r="O876" s="11">
        <v>0</v>
      </c>
      <c r="P876" s="11">
        <v>0</v>
      </c>
      <c r="Q876" s="11">
        <v>0</v>
      </c>
      <c r="R876" s="11">
        <v>0</v>
      </c>
      <c r="S876" s="11">
        <v>0</v>
      </c>
      <c r="T876" s="11">
        <v>0</v>
      </c>
      <c r="U876">
        <v>0</v>
      </c>
      <c r="V876">
        <v>0</v>
      </c>
      <c r="W876">
        <v>0</v>
      </c>
      <c r="X876">
        <v>0</v>
      </c>
      <c r="Y876">
        <v>5.8529162155043701E-3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0</v>
      </c>
      <c r="AJ876">
        <v>0</v>
      </c>
      <c r="AK876">
        <v>0</v>
      </c>
      <c r="AL876">
        <v>0</v>
      </c>
      <c r="AM876">
        <v>0</v>
      </c>
    </row>
    <row r="877" spans="1:39" customFormat="1" hidden="1" x14ac:dyDescent="0.3">
      <c r="A877" t="s">
        <v>910</v>
      </c>
      <c r="B877" t="s">
        <v>30</v>
      </c>
      <c r="C877" t="s">
        <v>81</v>
      </c>
      <c r="D877" t="s">
        <v>85</v>
      </c>
      <c r="E877" t="s">
        <v>287</v>
      </c>
      <c r="F877" t="s">
        <v>817</v>
      </c>
      <c r="G877" t="s">
        <v>817</v>
      </c>
      <c r="H877" s="16">
        <v>0</v>
      </c>
      <c r="I877" s="11">
        <v>0</v>
      </c>
      <c r="J877" s="11">
        <v>0</v>
      </c>
      <c r="K877" s="11">
        <v>0</v>
      </c>
      <c r="L877" s="11">
        <v>0</v>
      </c>
      <c r="M877" s="11">
        <v>0</v>
      </c>
      <c r="N877" s="11">
        <v>0</v>
      </c>
      <c r="O877" s="11">
        <v>0</v>
      </c>
      <c r="P877" s="11">
        <v>0</v>
      </c>
      <c r="Q877" s="11">
        <v>0</v>
      </c>
      <c r="R877" s="11">
        <v>0</v>
      </c>
      <c r="S877" s="11">
        <v>0</v>
      </c>
      <c r="T877" s="11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3.1774275546517499E-3</v>
      </c>
      <c r="AA877">
        <v>0</v>
      </c>
      <c r="AB877">
        <v>0</v>
      </c>
      <c r="AC877">
        <v>0</v>
      </c>
      <c r="AD877">
        <v>3.14564328405159E-3</v>
      </c>
      <c r="AE877">
        <v>0</v>
      </c>
      <c r="AF877">
        <v>0</v>
      </c>
      <c r="AG877">
        <v>0</v>
      </c>
      <c r="AH877">
        <v>4.6410173109945703E-3</v>
      </c>
      <c r="AI877">
        <v>0</v>
      </c>
      <c r="AJ877">
        <v>0</v>
      </c>
      <c r="AK877">
        <v>0</v>
      </c>
      <c r="AL877">
        <v>0</v>
      </c>
      <c r="AM877">
        <v>0</v>
      </c>
    </row>
    <row r="878" spans="1:39" customFormat="1" hidden="1" x14ac:dyDescent="0.3">
      <c r="A878" t="s">
        <v>909</v>
      </c>
      <c r="B878" t="s">
        <v>30</v>
      </c>
      <c r="C878" t="s">
        <v>81</v>
      </c>
      <c r="D878" t="s">
        <v>85</v>
      </c>
      <c r="E878" t="s">
        <v>287</v>
      </c>
      <c r="F878" t="s">
        <v>817</v>
      </c>
      <c r="G878" t="s">
        <v>817</v>
      </c>
      <c r="H878" s="16">
        <v>0</v>
      </c>
      <c r="I878" s="11">
        <v>0</v>
      </c>
      <c r="J878" s="11">
        <v>0</v>
      </c>
      <c r="K878" s="11">
        <v>0</v>
      </c>
      <c r="L878" s="11">
        <v>0</v>
      </c>
      <c r="M878" s="11">
        <v>0</v>
      </c>
      <c r="N878" s="11">
        <v>0</v>
      </c>
      <c r="O878" s="11">
        <v>0</v>
      </c>
      <c r="P878" s="11">
        <v>0</v>
      </c>
      <c r="Q878" s="11">
        <v>0</v>
      </c>
      <c r="R878" s="11">
        <v>0</v>
      </c>
      <c r="S878" s="11">
        <v>0</v>
      </c>
      <c r="T878" s="11">
        <v>0</v>
      </c>
      <c r="U878">
        <v>0</v>
      </c>
      <c r="V878">
        <v>0</v>
      </c>
      <c r="W878">
        <v>0</v>
      </c>
      <c r="X878">
        <v>0</v>
      </c>
      <c r="Y878">
        <v>2.9264581077521898E-3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0</v>
      </c>
      <c r="AJ878">
        <v>0</v>
      </c>
      <c r="AK878">
        <v>0</v>
      </c>
      <c r="AL878">
        <v>3.5844863431070302E-3</v>
      </c>
      <c r="AM878">
        <v>0</v>
      </c>
    </row>
    <row r="879" spans="1:39" customFormat="1" hidden="1" x14ac:dyDescent="0.3">
      <c r="A879" t="s">
        <v>908</v>
      </c>
      <c r="B879" t="s">
        <v>30</v>
      </c>
      <c r="C879" t="s">
        <v>81</v>
      </c>
      <c r="D879" t="s">
        <v>85</v>
      </c>
      <c r="E879" t="s">
        <v>287</v>
      </c>
      <c r="F879" t="s">
        <v>817</v>
      </c>
      <c r="G879" t="s">
        <v>817</v>
      </c>
      <c r="H879" s="16">
        <v>0</v>
      </c>
      <c r="I879" s="11">
        <v>0</v>
      </c>
      <c r="J879" s="11">
        <v>0</v>
      </c>
      <c r="K879" s="11">
        <v>0</v>
      </c>
      <c r="L879" s="11">
        <v>0</v>
      </c>
      <c r="M879" s="11">
        <v>0</v>
      </c>
      <c r="N879" s="11">
        <v>0</v>
      </c>
      <c r="O879" s="11">
        <v>0</v>
      </c>
      <c r="P879" s="11">
        <v>0</v>
      </c>
      <c r="Q879" s="11">
        <v>0</v>
      </c>
      <c r="R879" s="11">
        <v>0</v>
      </c>
      <c r="S879" s="11">
        <v>0</v>
      </c>
      <c r="T879" s="11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3.1774275546517499E-3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5.03372596395852E-3</v>
      </c>
      <c r="AG879">
        <v>0</v>
      </c>
      <c r="AH879">
        <v>0</v>
      </c>
      <c r="AI879">
        <v>0</v>
      </c>
      <c r="AJ879">
        <v>0</v>
      </c>
      <c r="AK879">
        <v>0</v>
      </c>
      <c r="AL879">
        <v>0</v>
      </c>
      <c r="AM879">
        <v>0</v>
      </c>
    </row>
    <row r="880" spans="1:39" customFormat="1" hidden="1" x14ac:dyDescent="0.3">
      <c r="A880" t="s">
        <v>907</v>
      </c>
      <c r="B880" t="s">
        <v>30</v>
      </c>
      <c r="C880" t="s">
        <v>81</v>
      </c>
      <c r="D880" t="s">
        <v>85</v>
      </c>
      <c r="E880" t="s">
        <v>287</v>
      </c>
      <c r="F880" t="s">
        <v>470</v>
      </c>
      <c r="G880" t="s">
        <v>469</v>
      </c>
      <c r="H880" s="16">
        <v>0</v>
      </c>
      <c r="I880" s="11">
        <v>0</v>
      </c>
      <c r="J880" s="11">
        <v>0</v>
      </c>
      <c r="K880" s="11">
        <v>5.6589893045102101E-3</v>
      </c>
      <c r="L880" s="11">
        <v>0</v>
      </c>
      <c r="M880" s="11">
        <v>3.5488679111363502E-3</v>
      </c>
      <c r="N880" s="11">
        <v>0</v>
      </c>
      <c r="O880" s="11">
        <v>0</v>
      </c>
      <c r="P880" s="11">
        <v>0</v>
      </c>
      <c r="Q880" s="11">
        <v>0</v>
      </c>
      <c r="R880" s="11">
        <v>0</v>
      </c>
      <c r="S880" s="11">
        <v>0</v>
      </c>
      <c r="T880" s="11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3.5915670006823998E-3</v>
      </c>
      <c r="AK880">
        <v>0</v>
      </c>
      <c r="AL880">
        <v>0</v>
      </c>
      <c r="AM880">
        <v>0</v>
      </c>
    </row>
    <row r="881" spans="1:39" customFormat="1" hidden="1" x14ac:dyDescent="0.3">
      <c r="A881" t="s">
        <v>905</v>
      </c>
      <c r="B881" t="s">
        <v>30</v>
      </c>
      <c r="C881" t="s">
        <v>35</v>
      </c>
      <c r="D881" t="s">
        <v>35</v>
      </c>
      <c r="E881" t="s">
        <v>34</v>
      </c>
      <c r="F881" t="s">
        <v>33</v>
      </c>
      <c r="G881" t="s">
        <v>904</v>
      </c>
      <c r="H881" s="16">
        <v>0</v>
      </c>
      <c r="I881" s="11">
        <v>0</v>
      </c>
      <c r="J881" s="11">
        <v>0</v>
      </c>
      <c r="K881" s="11">
        <v>0</v>
      </c>
      <c r="L881" s="11">
        <v>0</v>
      </c>
      <c r="M881" s="11">
        <v>0</v>
      </c>
      <c r="N881" s="11">
        <v>0</v>
      </c>
      <c r="O881" s="11">
        <v>0</v>
      </c>
      <c r="P881" s="11">
        <v>0</v>
      </c>
      <c r="Q881" s="11">
        <v>0</v>
      </c>
      <c r="R881" s="11">
        <v>0</v>
      </c>
      <c r="S881" s="11">
        <v>0</v>
      </c>
      <c r="T881" s="11">
        <v>3.3464962184592698E-3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  <c r="AJ881">
        <v>0</v>
      </c>
      <c r="AK881">
        <v>0</v>
      </c>
      <c r="AL881">
        <v>0</v>
      </c>
      <c r="AM881">
        <v>0</v>
      </c>
    </row>
    <row r="882" spans="1:39" customFormat="1" hidden="1" x14ac:dyDescent="0.3">
      <c r="A882" t="s">
        <v>903</v>
      </c>
      <c r="B882" t="s">
        <v>30</v>
      </c>
      <c r="C882" t="s">
        <v>35</v>
      </c>
      <c r="D882" t="s">
        <v>35</v>
      </c>
      <c r="E882" t="s">
        <v>34</v>
      </c>
      <c r="F882" t="s">
        <v>33</v>
      </c>
      <c r="G882" t="s">
        <v>901</v>
      </c>
      <c r="H882" s="16">
        <v>0</v>
      </c>
      <c r="I882" s="11">
        <v>0</v>
      </c>
      <c r="J882" s="11">
        <v>0</v>
      </c>
      <c r="K882" s="11">
        <v>0</v>
      </c>
      <c r="L882" s="11">
        <v>0</v>
      </c>
      <c r="M882" s="11">
        <v>0</v>
      </c>
      <c r="N882" s="11">
        <v>0</v>
      </c>
      <c r="O882" s="11">
        <v>0</v>
      </c>
      <c r="P882" s="11">
        <v>0</v>
      </c>
      <c r="Q882" s="11">
        <v>0</v>
      </c>
      <c r="R882" s="11">
        <v>0</v>
      </c>
      <c r="S882" s="11">
        <v>0</v>
      </c>
      <c r="T882" s="11">
        <v>0</v>
      </c>
      <c r="U882">
        <v>0</v>
      </c>
      <c r="V882">
        <v>3.6144142841652502E-3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0</v>
      </c>
      <c r="AL882">
        <v>0</v>
      </c>
      <c r="AM882">
        <v>0</v>
      </c>
    </row>
    <row r="883" spans="1:39" customFormat="1" hidden="1" x14ac:dyDescent="0.3">
      <c r="A883" t="s">
        <v>902</v>
      </c>
      <c r="B883" t="s">
        <v>30</v>
      </c>
      <c r="C883" t="s">
        <v>35</v>
      </c>
      <c r="D883" t="s">
        <v>35</v>
      </c>
      <c r="E883" t="s">
        <v>34</v>
      </c>
      <c r="F883" t="s">
        <v>33</v>
      </c>
      <c r="G883" t="s">
        <v>901</v>
      </c>
      <c r="H883" s="16">
        <v>0</v>
      </c>
      <c r="I883" s="11">
        <v>0</v>
      </c>
      <c r="J883" s="11">
        <v>4.3593879419329502E-3</v>
      </c>
      <c r="K883" s="11">
        <v>0</v>
      </c>
      <c r="L883" s="11">
        <v>0</v>
      </c>
      <c r="M883" s="11">
        <v>0</v>
      </c>
      <c r="N883" s="11">
        <v>0</v>
      </c>
      <c r="O883" s="11">
        <v>0</v>
      </c>
      <c r="P883" s="11">
        <v>0</v>
      </c>
      <c r="Q883" s="11">
        <v>0</v>
      </c>
      <c r="R883" s="11">
        <v>0</v>
      </c>
      <c r="S883" s="11">
        <v>2.4883049666567102E-3</v>
      </c>
      <c r="T883" s="11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0</v>
      </c>
      <c r="AL883">
        <v>0</v>
      </c>
      <c r="AM883">
        <v>0</v>
      </c>
    </row>
    <row r="884" spans="1:39" customFormat="1" hidden="1" x14ac:dyDescent="0.3">
      <c r="A884" t="s">
        <v>900</v>
      </c>
      <c r="B884" t="s">
        <v>30</v>
      </c>
      <c r="C884" t="s">
        <v>81</v>
      </c>
      <c r="D884" t="s">
        <v>118</v>
      </c>
      <c r="E884" t="s">
        <v>322</v>
      </c>
      <c r="F884" t="s">
        <v>321</v>
      </c>
      <c r="G884" t="s">
        <v>320</v>
      </c>
      <c r="H884" s="16">
        <v>4.1583499667332E-3</v>
      </c>
      <c r="I884" s="11">
        <v>0</v>
      </c>
      <c r="J884" s="11">
        <v>4.3593879419329502E-3</v>
      </c>
      <c r="K884" s="11">
        <v>0</v>
      </c>
      <c r="L884" s="11">
        <v>0</v>
      </c>
      <c r="M884" s="11">
        <v>0</v>
      </c>
      <c r="N884" s="11">
        <v>0</v>
      </c>
      <c r="O884" s="11">
        <v>0</v>
      </c>
      <c r="P884" s="11">
        <v>0</v>
      </c>
      <c r="Q884" s="11">
        <v>0</v>
      </c>
      <c r="R884" s="11">
        <v>0</v>
      </c>
      <c r="S884" s="11">
        <v>0</v>
      </c>
      <c r="T884" s="11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5.03372596395852E-3</v>
      </c>
      <c r="AG884">
        <v>0</v>
      </c>
      <c r="AH884">
        <v>0</v>
      </c>
      <c r="AI884">
        <v>4.5968557506665397E-3</v>
      </c>
      <c r="AJ884">
        <v>0</v>
      </c>
      <c r="AK884">
        <v>0</v>
      </c>
      <c r="AL884">
        <v>0</v>
      </c>
      <c r="AM884">
        <v>0</v>
      </c>
    </row>
    <row r="885" spans="1:39" customFormat="1" hidden="1" x14ac:dyDescent="0.3">
      <c r="A885" t="s">
        <v>899</v>
      </c>
      <c r="B885" t="s">
        <v>30</v>
      </c>
      <c r="C885" t="s">
        <v>81</v>
      </c>
      <c r="D885" t="s">
        <v>118</v>
      </c>
      <c r="E885" t="s">
        <v>322</v>
      </c>
      <c r="F885" t="s">
        <v>321</v>
      </c>
      <c r="G885" t="s">
        <v>898</v>
      </c>
      <c r="H885" s="16">
        <v>0</v>
      </c>
      <c r="I885" s="11">
        <v>3.6565745209887401E-3</v>
      </c>
      <c r="J885" s="11">
        <v>0</v>
      </c>
      <c r="K885" s="11">
        <v>5.6589893045102101E-3</v>
      </c>
      <c r="L885" s="11">
        <v>0</v>
      </c>
      <c r="M885" s="11">
        <v>3.5488679111363502E-3</v>
      </c>
      <c r="N885" s="11">
        <v>0</v>
      </c>
      <c r="O885" s="11">
        <v>0</v>
      </c>
      <c r="P885" s="11">
        <v>0</v>
      </c>
      <c r="Q885" s="11">
        <v>0</v>
      </c>
      <c r="R885" s="11">
        <v>0</v>
      </c>
      <c r="S885" s="11">
        <v>0</v>
      </c>
      <c r="T885" s="11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3.1774275546517499E-3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2.3469220117815501E-3</v>
      </c>
      <c r="AH885">
        <v>0</v>
      </c>
      <c r="AI885">
        <v>2.2984278753332699E-3</v>
      </c>
      <c r="AJ885">
        <v>0</v>
      </c>
      <c r="AK885">
        <v>0</v>
      </c>
      <c r="AL885">
        <v>0</v>
      </c>
      <c r="AM885">
        <v>0</v>
      </c>
    </row>
    <row r="886" spans="1:39" customFormat="1" hidden="1" x14ac:dyDescent="0.3">
      <c r="A886" t="s">
        <v>897</v>
      </c>
      <c r="B886" t="s">
        <v>30</v>
      </c>
      <c r="C886" t="s">
        <v>81</v>
      </c>
      <c r="D886" t="s">
        <v>118</v>
      </c>
      <c r="E886" t="s">
        <v>236</v>
      </c>
      <c r="F886" t="s">
        <v>236</v>
      </c>
      <c r="G886" t="s">
        <v>236</v>
      </c>
      <c r="H886" s="16">
        <v>0</v>
      </c>
      <c r="I886" s="11">
        <v>0</v>
      </c>
      <c r="J886" s="11">
        <v>0</v>
      </c>
      <c r="K886" s="11">
        <v>0</v>
      </c>
      <c r="L886" s="11">
        <v>0</v>
      </c>
      <c r="M886" s="11">
        <v>0</v>
      </c>
      <c r="N886" s="11">
        <v>0</v>
      </c>
      <c r="O886" s="11">
        <v>0</v>
      </c>
      <c r="P886" s="11">
        <v>0</v>
      </c>
      <c r="Q886" s="11">
        <v>0</v>
      </c>
      <c r="R886" s="11">
        <v>0</v>
      </c>
      <c r="S886" s="11">
        <v>0</v>
      </c>
      <c r="T886" s="11">
        <v>0</v>
      </c>
      <c r="U886">
        <v>0</v>
      </c>
      <c r="V886">
        <v>0</v>
      </c>
      <c r="W886">
        <v>0</v>
      </c>
      <c r="X886">
        <v>0</v>
      </c>
      <c r="Y886">
        <v>2.9264581077521898E-3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5.03372596395852E-3</v>
      </c>
      <c r="AG886">
        <v>0</v>
      </c>
      <c r="AH886">
        <v>4.6410173109945703E-3</v>
      </c>
      <c r="AI886">
        <v>0</v>
      </c>
      <c r="AJ886">
        <v>0</v>
      </c>
      <c r="AK886">
        <v>0</v>
      </c>
      <c r="AL886">
        <v>0</v>
      </c>
      <c r="AM886">
        <v>0</v>
      </c>
    </row>
    <row r="887" spans="1:39" customFormat="1" hidden="1" x14ac:dyDescent="0.3">
      <c r="A887" t="s">
        <v>896</v>
      </c>
      <c r="B887" t="s">
        <v>30</v>
      </c>
      <c r="C887" t="s">
        <v>29</v>
      </c>
      <c r="D887" t="s">
        <v>28</v>
      </c>
      <c r="E887" t="s">
        <v>388</v>
      </c>
      <c r="F887" t="s">
        <v>387</v>
      </c>
      <c r="G887" t="s">
        <v>387</v>
      </c>
      <c r="H887" s="16">
        <v>0</v>
      </c>
      <c r="I887" s="11">
        <v>0</v>
      </c>
      <c r="J887" s="11">
        <v>0</v>
      </c>
      <c r="K887" s="11">
        <v>0</v>
      </c>
      <c r="L887" s="11">
        <v>0</v>
      </c>
      <c r="M887" s="11">
        <v>0</v>
      </c>
      <c r="N887" s="11">
        <v>0</v>
      </c>
      <c r="O887" s="11">
        <v>0</v>
      </c>
      <c r="P887" s="11">
        <v>0</v>
      </c>
      <c r="Q887" s="11">
        <v>0</v>
      </c>
      <c r="R887" s="11">
        <v>0</v>
      </c>
      <c r="S887" s="11">
        <v>0</v>
      </c>
      <c r="T887" s="11">
        <v>0</v>
      </c>
      <c r="U887">
        <v>0</v>
      </c>
      <c r="V887">
        <v>0</v>
      </c>
      <c r="W887">
        <v>0</v>
      </c>
      <c r="X887">
        <v>0</v>
      </c>
      <c r="Y887">
        <v>8.7793743232565599E-3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</v>
      </c>
      <c r="AM887">
        <v>0</v>
      </c>
    </row>
    <row r="888" spans="1:39" customFormat="1" hidden="1" x14ac:dyDescent="0.3">
      <c r="A888" t="s">
        <v>895</v>
      </c>
      <c r="B888" t="s">
        <v>30</v>
      </c>
      <c r="C888" t="s">
        <v>35</v>
      </c>
      <c r="D888" t="s">
        <v>35</v>
      </c>
      <c r="E888" t="s">
        <v>894</v>
      </c>
      <c r="F888" t="s">
        <v>893</v>
      </c>
      <c r="G888" t="s">
        <v>892</v>
      </c>
      <c r="H888" s="16">
        <v>0</v>
      </c>
      <c r="I888" s="11">
        <v>0</v>
      </c>
      <c r="J888" s="11">
        <v>0</v>
      </c>
      <c r="K888" s="11">
        <v>0</v>
      </c>
      <c r="L888" s="11">
        <v>0</v>
      </c>
      <c r="M888" s="11">
        <v>0</v>
      </c>
      <c r="N888" s="11">
        <v>0</v>
      </c>
      <c r="O888" s="11">
        <v>0</v>
      </c>
      <c r="P888" s="11">
        <v>0</v>
      </c>
      <c r="Q888" s="11">
        <v>0</v>
      </c>
      <c r="R888" s="11">
        <v>0</v>
      </c>
      <c r="S888" s="11">
        <v>0</v>
      </c>
      <c r="T888" s="11">
        <v>0</v>
      </c>
      <c r="U888">
        <v>3.04201016031394E-3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</v>
      </c>
      <c r="AM888">
        <v>0</v>
      </c>
    </row>
    <row r="889" spans="1:39" customFormat="1" hidden="1" x14ac:dyDescent="0.3">
      <c r="A889" t="s">
        <v>891</v>
      </c>
      <c r="B889" t="s">
        <v>30</v>
      </c>
      <c r="C889" t="s">
        <v>29</v>
      </c>
      <c r="D889" t="s">
        <v>28</v>
      </c>
      <c r="E889" t="s">
        <v>388</v>
      </c>
      <c r="F889" t="s">
        <v>624</v>
      </c>
      <c r="G889" t="s">
        <v>890</v>
      </c>
      <c r="H889" s="16">
        <v>0</v>
      </c>
      <c r="I889" s="11">
        <v>0</v>
      </c>
      <c r="J889" s="11">
        <v>0</v>
      </c>
      <c r="K889" s="11">
        <v>0</v>
      </c>
      <c r="L889" s="11">
        <v>0</v>
      </c>
      <c r="M889" s="11">
        <v>0</v>
      </c>
      <c r="N889" s="11">
        <v>4.5835816106705798E-3</v>
      </c>
      <c r="O889" s="11">
        <v>0</v>
      </c>
      <c r="P889" s="11">
        <v>0</v>
      </c>
      <c r="Q889" s="11">
        <v>0</v>
      </c>
      <c r="R889" s="11">
        <v>0</v>
      </c>
      <c r="S889" s="11">
        <v>0</v>
      </c>
      <c r="T889" s="11">
        <v>0</v>
      </c>
      <c r="U889">
        <v>0</v>
      </c>
      <c r="V889">
        <v>0</v>
      </c>
      <c r="W889">
        <v>0</v>
      </c>
      <c r="X889">
        <v>6.4242579982012101E-3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7.1831340013647996E-3</v>
      </c>
      <c r="AK889">
        <v>0</v>
      </c>
      <c r="AL889">
        <v>0</v>
      </c>
      <c r="AM889">
        <v>0</v>
      </c>
    </row>
    <row r="890" spans="1:39" x14ac:dyDescent="0.3">
      <c r="A890" s="6" t="s">
        <v>889</v>
      </c>
      <c r="B890" s="6" t="s">
        <v>30</v>
      </c>
      <c r="C890" s="6" t="s">
        <v>29</v>
      </c>
      <c r="D890" s="6" t="s">
        <v>28</v>
      </c>
      <c r="E890" s="6" t="s">
        <v>388</v>
      </c>
      <c r="F890" s="6" t="s">
        <v>624</v>
      </c>
      <c r="G890" s="6" t="s">
        <v>634</v>
      </c>
      <c r="H890" s="49">
        <v>0</v>
      </c>
      <c r="I890" s="6">
        <v>0</v>
      </c>
      <c r="J890" s="6">
        <v>0</v>
      </c>
      <c r="K890" s="6">
        <v>0</v>
      </c>
      <c r="L890" s="6">
        <v>0</v>
      </c>
      <c r="M890" s="6">
        <v>3.5488679111363502E-3</v>
      </c>
      <c r="N890" s="6">
        <v>9.1671632213411597E-3</v>
      </c>
      <c r="O890" s="6">
        <v>0</v>
      </c>
      <c r="P890" s="6">
        <v>0</v>
      </c>
      <c r="Q890" s="6">
        <v>0</v>
      </c>
      <c r="R890" s="6">
        <v>0</v>
      </c>
      <c r="S890" s="6">
        <v>0</v>
      </c>
      <c r="T890" s="6">
        <v>0</v>
      </c>
      <c r="U890" s="6">
        <v>0</v>
      </c>
      <c r="V890" s="6">
        <v>0</v>
      </c>
      <c r="W890" s="6">
        <v>0</v>
      </c>
      <c r="X890" s="6">
        <v>0</v>
      </c>
      <c r="Y890" s="6">
        <v>0</v>
      </c>
      <c r="Z890" s="6">
        <v>0</v>
      </c>
      <c r="AA890" s="6">
        <v>0</v>
      </c>
      <c r="AB890" s="6">
        <v>0</v>
      </c>
      <c r="AC890" s="6">
        <v>0</v>
      </c>
      <c r="AD890" s="6">
        <v>6.2912865681031801E-3</v>
      </c>
      <c r="AE890" s="6">
        <v>3.4299434059338E-3</v>
      </c>
      <c r="AF890" s="6">
        <v>0</v>
      </c>
      <c r="AG890" s="6">
        <v>0</v>
      </c>
      <c r="AH890" s="6">
        <v>0</v>
      </c>
      <c r="AI890" s="6">
        <v>0</v>
      </c>
      <c r="AJ890" s="6">
        <v>0</v>
      </c>
      <c r="AK890" s="6">
        <v>0</v>
      </c>
      <c r="AL890" s="6">
        <v>0</v>
      </c>
      <c r="AM890" s="6">
        <v>0</v>
      </c>
    </row>
    <row r="891" spans="1:39" customFormat="1" hidden="1" x14ac:dyDescent="0.3">
      <c r="A891" t="s">
        <v>888</v>
      </c>
      <c r="B891" t="s">
        <v>30</v>
      </c>
      <c r="C891" t="s">
        <v>81</v>
      </c>
      <c r="D891" t="s">
        <v>85</v>
      </c>
      <c r="E891" t="s">
        <v>287</v>
      </c>
      <c r="F891" t="s">
        <v>817</v>
      </c>
      <c r="G891" t="s">
        <v>817</v>
      </c>
      <c r="H891" s="16">
        <v>0</v>
      </c>
      <c r="I891" s="11">
        <v>0</v>
      </c>
      <c r="J891" s="11">
        <v>4.3593879419329502E-3</v>
      </c>
      <c r="K891" s="11">
        <v>5.6589893045102101E-3</v>
      </c>
      <c r="L891" s="11">
        <v>0</v>
      </c>
      <c r="M891" s="11">
        <v>0</v>
      </c>
      <c r="N891" s="11">
        <v>0</v>
      </c>
      <c r="O891" s="11">
        <v>0</v>
      </c>
      <c r="P891" s="11">
        <v>0</v>
      </c>
      <c r="Q891" s="11">
        <v>0</v>
      </c>
      <c r="R891" s="11">
        <v>0</v>
      </c>
      <c r="S891" s="11">
        <v>0</v>
      </c>
      <c r="T891" s="11">
        <v>3.3464962184592698E-3</v>
      </c>
      <c r="U891">
        <v>0</v>
      </c>
      <c r="V891">
        <v>0</v>
      </c>
      <c r="W891">
        <v>0</v>
      </c>
      <c r="X891">
        <v>0</v>
      </c>
      <c r="Y891">
        <v>2.9264581077521898E-3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7.1689726862140604E-3</v>
      </c>
      <c r="AM891">
        <v>0</v>
      </c>
    </row>
    <row r="892" spans="1:39" customFormat="1" hidden="1" x14ac:dyDescent="0.3">
      <c r="A892" t="s">
        <v>886</v>
      </c>
      <c r="B892" t="s">
        <v>30</v>
      </c>
      <c r="C892" t="s">
        <v>81</v>
      </c>
      <c r="D892" t="s">
        <v>85</v>
      </c>
      <c r="E892" t="s">
        <v>287</v>
      </c>
      <c r="F892" t="s">
        <v>286</v>
      </c>
      <c r="G892" t="s">
        <v>286</v>
      </c>
      <c r="H892" s="16">
        <v>0</v>
      </c>
      <c r="I892" s="11">
        <v>0</v>
      </c>
      <c r="J892" s="11">
        <v>0</v>
      </c>
      <c r="K892" s="11">
        <v>0</v>
      </c>
      <c r="L892" s="11">
        <v>0</v>
      </c>
      <c r="M892" s="11">
        <v>0</v>
      </c>
      <c r="N892" s="11">
        <v>0</v>
      </c>
      <c r="O892" s="11">
        <v>3.75023438964935E-3</v>
      </c>
      <c r="P892" s="11">
        <v>0</v>
      </c>
      <c r="Q892" s="11">
        <v>0</v>
      </c>
      <c r="R892" s="11">
        <v>0</v>
      </c>
      <c r="S892" s="11">
        <v>0</v>
      </c>
      <c r="T892" s="11">
        <v>0</v>
      </c>
      <c r="U892">
        <v>0</v>
      </c>
      <c r="V892">
        <v>0</v>
      </c>
      <c r="W892">
        <v>0</v>
      </c>
      <c r="X892">
        <v>0</v>
      </c>
      <c r="Y892">
        <v>2.9264581077521898E-3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2.2984278753332699E-3</v>
      </c>
      <c r="AJ892">
        <v>0</v>
      </c>
      <c r="AK892">
        <v>0</v>
      </c>
      <c r="AL892">
        <v>3.5844863431070302E-3</v>
      </c>
      <c r="AM892">
        <v>0</v>
      </c>
    </row>
    <row r="893" spans="1:39" customFormat="1" hidden="1" x14ac:dyDescent="0.3">
      <c r="A893" t="s">
        <v>884</v>
      </c>
      <c r="B893" t="s">
        <v>30</v>
      </c>
      <c r="C893" t="s">
        <v>81</v>
      </c>
      <c r="D893" t="s">
        <v>85</v>
      </c>
      <c r="E893" t="s">
        <v>287</v>
      </c>
      <c r="F893" t="s">
        <v>817</v>
      </c>
      <c r="G893" t="s">
        <v>817</v>
      </c>
      <c r="H893" s="16">
        <v>0</v>
      </c>
      <c r="I893" s="11">
        <v>0</v>
      </c>
      <c r="J893" s="11">
        <v>0</v>
      </c>
      <c r="K893" s="11">
        <v>0</v>
      </c>
      <c r="L893" s="11">
        <v>0</v>
      </c>
      <c r="M893" s="11">
        <v>0</v>
      </c>
      <c r="N893" s="11">
        <v>0</v>
      </c>
      <c r="O893" s="11">
        <v>0</v>
      </c>
      <c r="P893" s="11">
        <v>0</v>
      </c>
      <c r="Q893" s="11">
        <v>2.7492920572952501E-3</v>
      </c>
      <c r="R893" s="11">
        <v>2.2441148089136199E-3</v>
      </c>
      <c r="S893" s="11">
        <v>0</v>
      </c>
      <c r="T893" s="11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5.03372596395852E-3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0</v>
      </c>
      <c r="AM893">
        <v>0</v>
      </c>
    </row>
    <row r="894" spans="1:39" customFormat="1" hidden="1" x14ac:dyDescent="0.3">
      <c r="A894" t="s">
        <v>883</v>
      </c>
      <c r="B894" t="s">
        <v>30</v>
      </c>
      <c r="C894" t="s">
        <v>81</v>
      </c>
      <c r="D894" t="s">
        <v>85</v>
      </c>
      <c r="E894" t="s">
        <v>287</v>
      </c>
      <c r="F894" t="s">
        <v>882</v>
      </c>
      <c r="G894" t="s">
        <v>881</v>
      </c>
      <c r="H894" s="16">
        <v>0</v>
      </c>
      <c r="I894" s="11">
        <v>0</v>
      </c>
      <c r="J894" s="11">
        <v>0</v>
      </c>
      <c r="K894" s="11">
        <v>0</v>
      </c>
      <c r="L894" s="11">
        <v>0</v>
      </c>
      <c r="M894" s="11">
        <v>0</v>
      </c>
      <c r="N894" s="11">
        <v>0</v>
      </c>
      <c r="O894" s="11">
        <v>0</v>
      </c>
      <c r="P894" s="11">
        <v>0</v>
      </c>
      <c r="Q894" s="11">
        <v>0</v>
      </c>
      <c r="R894" s="11">
        <v>2.2441148089136199E-3</v>
      </c>
      <c r="S894" s="11">
        <v>0</v>
      </c>
      <c r="T894" s="11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3.1774275546517499E-3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5.03372596395852E-3</v>
      </c>
      <c r="AG894">
        <v>0</v>
      </c>
      <c r="AH894">
        <v>0</v>
      </c>
      <c r="AI894">
        <v>0</v>
      </c>
      <c r="AJ894">
        <v>3.5915670006823998E-3</v>
      </c>
      <c r="AK894">
        <v>0</v>
      </c>
      <c r="AL894">
        <v>0</v>
      </c>
      <c r="AM894">
        <v>0</v>
      </c>
    </row>
    <row r="895" spans="1:39" customFormat="1" hidden="1" x14ac:dyDescent="0.3">
      <c r="A895" t="s">
        <v>880</v>
      </c>
      <c r="B895" t="s">
        <v>30</v>
      </c>
      <c r="C895" t="s">
        <v>81</v>
      </c>
      <c r="D895" t="s">
        <v>85</v>
      </c>
      <c r="E895" t="s">
        <v>287</v>
      </c>
      <c r="F895" t="s">
        <v>286</v>
      </c>
      <c r="G895" t="s">
        <v>286</v>
      </c>
      <c r="H895" s="16">
        <v>0</v>
      </c>
      <c r="I895" s="11">
        <v>0</v>
      </c>
      <c r="J895" s="11">
        <v>0</v>
      </c>
      <c r="K895" s="11">
        <v>0</v>
      </c>
      <c r="L895" s="11">
        <v>0</v>
      </c>
      <c r="M895" s="11">
        <v>0</v>
      </c>
      <c r="N895" s="11">
        <v>0</v>
      </c>
      <c r="O895" s="11">
        <v>0</v>
      </c>
      <c r="P895" s="11">
        <v>0</v>
      </c>
      <c r="Q895" s="11">
        <v>0</v>
      </c>
      <c r="R895" s="11">
        <v>0</v>
      </c>
      <c r="S895" s="11">
        <v>0</v>
      </c>
      <c r="T895" s="11">
        <v>0</v>
      </c>
      <c r="U895">
        <v>0</v>
      </c>
      <c r="V895">
        <v>0</v>
      </c>
      <c r="W895">
        <v>2.6668088964744798E-3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5.03372596395852E-3</v>
      </c>
      <c r="AG895">
        <v>0</v>
      </c>
      <c r="AH895">
        <v>0</v>
      </c>
      <c r="AI895">
        <v>0</v>
      </c>
      <c r="AJ895">
        <v>3.5915670006823998E-3</v>
      </c>
      <c r="AK895">
        <v>0</v>
      </c>
      <c r="AL895">
        <v>0</v>
      </c>
      <c r="AM895">
        <v>0</v>
      </c>
    </row>
    <row r="896" spans="1:39" customFormat="1" hidden="1" x14ac:dyDescent="0.3">
      <c r="A896" t="s">
        <v>879</v>
      </c>
      <c r="B896" t="s">
        <v>30</v>
      </c>
      <c r="C896" t="s">
        <v>81</v>
      </c>
      <c r="D896" t="s">
        <v>85</v>
      </c>
      <c r="E896" t="s">
        <v>287</v>
      </c>
      <c r="F896" t="s">
        <v>286</v>
      </c>
      <c r="G896" t="s">
        <v>286</v>
      </c>
      <c r="H896" s="16">
        <v>0</v>
      </c>
      <c r="I896" s="11">
        <v>0</v>
      </c>
      <c r="J896" s="11">
        <v>0</v>
      </c>
      <c r="K896" s="11">
        <v>0</v>
      </c>
      <c r="L896" s="11">
        <v>0</v>
      </c>
      <c r="M896" s="11">
        <v>0</v>
      </c>
      <c r="N896" s="11">
        <v>0</v>
      </c>
      <c r="O896" s="11">
        <v>0</v>
      </c>
      <c r="P896" s="11">
        <v>0</v>
      </c>
      <c r="Q896" s="11">
        <v>0</v>
      </c>
      <c r="R896" s="11">
        <v>0</v>
      </c>
      <c r="S896" s="11">
        <v>4.9766099333134299E-3</v>
      </c>
      <c r="T896" s="11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3.1774275546517499E-3</v>
      </c>
      <c r="AA896">
        <v>0</v>
      </c>
      <c r="AB896">
        <v>0</v>
      </c>
      <c r="AC896">
        <v>0</v>
      </c>
      <c r="AD896">
        <v>0</v>
      </c>
      <c r="AE896">
        <v>3.4299434059338E-3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0</v>
      </c>
      <c r="AL896">
        <v>0</v>
      </c>
      <c r="AM896">
        <v>0</v>
      </c>
    </row>
    <row r="897" spans="1:39" customFormat="1" hidden="1" x14ac:dyDescent="0.3">
      <c r="A897" t="s">
        <v>878</v>
      </c>
      <c r="B897" t="s">
        <v>30</v>
      </c>
      <c r="C897" t="s">
        <v>81</v>
      </c>
      <c r="D897" t="s">
        <v>85</v>
      </c>
      <c r="E897" t="s">
        <v>287</v>
      </c>
      <c r="F897" t="s">
        <v>817</v>
      </c>
      <c r="G897" t="s">
        <v>817</v>
      </c>
      <c r="H897" s="16">
        <v>0</v>
      </c>
      <c r="I897" s="11">
        <v>0</v>
      </c>
      <c r="J897" s="11">
        <v>0</v>
      </c>
      <c r="K897" s="11">
        <v>0</v>
      </c>
      <c r="L897" s="11">
        <v>0</v>
      </c>
      <c r="M897" s="11">
        <v>0</v>
      </c>
      <c r="N897" s="11">
        <v>0</v>
      </c>
      <c r="O897" s="11">
        <v>0</v>
      </c>
      <c r="P897" s="11">
        <v>0</v>
      </c>
      <c r="Q897" s="11">
        <v>0</v>
      </c>
      <c r="R897" s="11">
        <v>0</v>
      </c>
      <c r="S897" s="11">
        <v>0</v>
      </c>
      <c r="T897" s="11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4.6410173109945703E-3</v>
      </c>
      <c r="AI897">
        <v>0</v>
      </c>
      <c r="AJ897">
        <v>3.5915670006823998E-3</v>
      </c>
      <c r="AK897">
        <v>0</v>
      </c>
      <c r="AL897">
        <v>0</v>
      </c>
      <c r="AM897">
        <v>0</v>
      </c>
    </row>
    <row r="898" spans="1:39" customFormat="1" hidden="1" x14ac:dyDescent="0.3">
      <c r="A898" t="s">
        <v>877</v>
      </c>
      <c r="B898" t="s">
        <v>30</v>
      </c>
      <c r="C898" t="s">
        <v>81</v>
      </c>
      <c r="D898" t="s">
        <v>85</v>
      </c>
      <c r="E898" t="s">
        <v>287</v>
      </c>
      <c r="F898" t="s">
        <v>817</v>
      </c>
      <c r="G898" t="s">
        <v>817</v>
      </c>
      <c r="H898" s="16">
        <v>0</v>
      </c>
      <c r="I898" s="11">
        <v>0</v>
      </c>
      <c r="J898" s="11">
        <v>0</v>
      </c>
      <c r="K898" s="11">
        <v>0</v>
      </c>
      <c r="L898" s="11">
        <v>0</v>
      </c>
      <c r="M898" s="11">
        <v>0</v>
      </c>
      <c r="N898" s="11">
        <v>0</v>
      </c>
      <c r="O898" s="11">
        <v>0</v>
      </c>
      <c r="P898" s="11">
        <v>0</v>
      </c>
      <c r="Q898" s="11">
        <v>0</v>
      </c>
      <c r="R898" s="11">
        <v>0</v>
      </c>
      <c r="S898" s="11">
        <v>0</v>
      </c>
      <c r="T898" s="11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3.1774275546517499E-3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  <c r="AJ898">
        <v>3.5915670006823998E-3</v>
      </c>
      <c r="AK898">
        <v>0</v>
      </c>
      <c r="AL898">
        <v>0</v>
      </c>
      <c r="AM898">
        <v>0</v>
      </c>
    </row>
    <row r="899" spans="1:39" customFormat="1" hidden="1" x14ac:dyDescent="0.3">
      <c r="A899" t="s">
        <v>876</v>
      </c>
      <c r="B899" t="s">
        <v>30</v>
      </c>
      <c r="C899" t="s">
        <v>81</v>
      </c>
      <c r="D899" t="s">
        <v>85</v>
      </c>
      <c r="E899" t="s">
        <v>287</v>
      </c>
      <c r="F899" t="s">
        <v>817</v>
      </c>
      <c r="G899" t="s">
        <v>817</v>
      </c>
      <c r="H899" s="16">
        <v>0</v>
      </c>
      <c r="I899" s="11">
        <v>0</v>
      </c>
      <c r="J899" s="11">
        <v>0</v>
      </c>
      <c r="K899" s="11">
        <v>0</v>
      </c>
      <c r="L899" s="11">
        <v>0</v>
      </c>
      <c r="M899" s="11">
        <v>0</v>
      </c>
      <c r="N899" s="11">
        <v>0</v>
      </c>
      <c r="O899" s="11">
        <v>0</v>
      </c>
      <c r="P899" s="11">
        <v>0</v>
      </c>
      <c r="Q899" s="11">
        <v>0</v>
      </c>
      <c r="R899" s="11">
        <v>0</v>
      </c>
      <c r="S899" s="11">
        <v>0</v>
      </c>
      <c r="T899" s="11">
        <v>0</v>
      </c>
      <c r="U899">
        <v>0</v>
      </c>
      <c r="V899">
        <v>3.6144142841652502E-3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0</v>
      </c>
      <c r="AJ899">
        <v>0</v>
      </c>
      <c r="AK899">
        <v>0</v>
      </c>
      <c r="AL899">
        <v>0</v>
      </c>
      <c r="AM899">
        <v>0</v>
      </c>
    </row>
    <row r="900" spans="1:39" customFormat="1" hidden="1" x14ac:dyDescent="0.3">
      <c r="A900" t="s">
        <v>875</v>
      </c>
      <c r="B900" t="s">
        <v>30</v>
      </c>
      <c r="C900" t="s">
        <v>81</v>
      </c>
      <c r="D900" t="s">
        <v>85</v>
      </c>
      <c r="E900" t="s">
        <v>287</v>
      </c>
      <c r="F900" t="s">
        <v>286</v>
      </c>
      <c r="G900" t="s">
        <v>286</v>
      </c>
      <c r="H900" s="16">
        <v>0</v>
      </c>
      <c r="I900" s="11">
        <v>0</v>
      </c>
      <c r="J900" s="11">
        <v>0</v>
      </c>
      <c r="K900" s="11">
        <v>0</v>
      </c>
      <c r="L900" s="11">
        <v>0</v>
      </c>
      <c r="M900" s="11">
        <v>0</v>
      </c>
      <c r="N900" s="11">
        <v>0</v>
      </c>
      <c r="O900" s="11">
        <v>0</v>
      </c>
      <c r="P900" s="11">
        <v>0</v>
      </c>
      <c r="Q900" s="11">
        <v>0</v>
      </c>
      <c r="R900" s="11">
        <v>0</v>
      </c>
      <c r="S900" s="11">
        <v>0</v>
      </c>
      <c r="T900" s="11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3.4299434059338E-3</v>
      </c>
      <c r="AF900">
        <v>0</v>
      </c>
      <c r="AG900">
        <v>0</v>
      </c>
      <c r="AH900">
        <v>0</v>
      </c>
      <c r="AI900">
        <v>0</v>
      </c>
      <c r="AJ900">
        <v>3.5915670006823998E-3</v>
      </c>
      <c r="AK900">
        <v>0</v>
      </c>
      <c r="AL900">
        <v>0</v>
      </c>
      <c r="AM900">
        <v>0</v>
      </c>
    </row>
    <row r="901" spans="1:39" x14ac:dyDescent="0.3">
      <c r="A901" s="6" t="s">
        <v>874</v>
      </c>
      <c r="B901" s="6" t="s">
        <v>30</v>
      </c>
      <c r="C901" s="6" t="s">
        <v>29</v>
      </c>
      <c r="D901" s="6" t="s">
        <v>28</v>
      </c>
      <c r="E901" s="6" t="s">
        <v>388</v>
      </c>
      <c r="F901" s="6" t="s">
        <v>624</v>
      </c>
      <c r="G901" s="6" t="s">
        <v>634</v>
      </c>
      <c r="H901" s="49">
        <v>0</v>
      </c>
      <c r="I901" s="6">
        <v>0</v>
      </c>
      <c r="J901" s="6">
        <v>0</v>
      </c>
      <c r="K901" s="6">
        <v>1.1317978609020399E-2</v>
      </c>
      <c r="L901" s="6">
        <v>0</v>
      </c>
      <c r="M901" s="6">
        <v>0</v>
      </c>
      <c r="N901" s="6">
        <v>0</v>
      </c>
      <c r="O901" s="6">
        <v>0</v>
      </c>
      <c r="P901" s="6">
        <v>0</v>
      </c>
      <c r="Q901" s="6">
        <v>2.7492920572952501E-3</v>
      </c>
      <c r="R901" s="6">
        <v>0</v>
      </c>
      <c r="S901" s="6">
        <v>0</v>
      </c>
      <c r="T901" s="6">
        <v>0</v>
      </c>
      <c r="U901" s="6">
        <v>0</v>
      </c>
      <c r="V901" s="6">
        <v>0</v>
      </c>
      <c r="W901" s="6">
        <v>0</v>
      </c>
      <c r="X901" s="6">
        <v>0</v>
      </c>
      <c r="Y901" s="6">
        <v>0</v>
      </c>
      <c r="Z901" s="6">
        <v>0</v>
      </c>
      <c r="AA901" s="6">
        <v>0</v>
      </c>
      <c r="AB901" s="6">
        <v>4.5118209709438702E-3</v>
      </c>
      <c r="AC901" s="6">
        <v>0</v>
      </c>
      <c r="AD901" s="6">
        <v>3.14564328405159E-3</v>
      </c>
      <c r="AE901" s="6">
        <v>3.4299434059338E-3</v>
      </c>
      <c r="AF901" s="6">
        <v>0</v>
      </c>
      <c r="AG901" s="6">
        <v>0</v>
      </c>
      <c r="AH901" s="6">
        <v>0</v>
      </c>
      <c r="AI901" s="6">
        <v>0</v>
      </c>
      <c r="AJ901" s="6">
        <v>0</v>
      </c>
      <c r="AK901" s="6">
        <v>0</v>
      </c>
      <c r="AL901" s="6">
        <v>0</v>
      </c>
      <c r="AM901" s="6">
        <v>0</v>
      </c>
    </row>
    <row r="902" spans="1:39" customFormat="1" hidden="1" x14ac:dyDescent="0.3">
      <c r="A902" t="s">
        <v>873</v>
      </c>
      <c r="B902" t="s">
        <v>30</v>
      </c>
      <c r="C902" t="s">
        <v>81</v>
      </c>
      <c r="D902" t="s">
        <v>85</v>
      </c>
      <c r="E902" t="s">
        <v>287</v>
      </c>
      <c r="F902" t="s">
        <v>286</v>
      </c>
      <c r="G902" t="s">
        <v>286</v>
      </c>
      <c r="H902" s="16">
        <v>0</v>
      </c>
      <c r="I902" s="11">
        <v>0</v>
      </c>
      <c r="J902" s="11">
        <v>0</v>
      </c>
      <c r="K902" s="11">
        <v>0</v>
      </c>
      <c r="L902" s="11">
        <v>0</v>
      </c>
      <c r="M902" s="11">
        <v>0</v>
      </c>
      <c r="N902" s="11">
        <v>0</v>
      </c>
      <c r="O902" s="11">
        <v>0</v>
      </c>
      <c r="P902" s="11">
        <v>0</v>
      </c>
      <c r="Q902" s="11">
        <v>0</v>
      </c>
      <c r="R902" s="11">
        <v>0</v>
      </c>
      <c r="S902" s="11">
        <v>0</v>
      </c>
      <c r="T902" s="11">
        <v>0</v>
      </c>
      <c r="U902">
        <v>3.04201016031394E-3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0</v>
      </c>
      <c r="AL902">
        <v>0</v>
      </c>
      <c r="AM902">
        <v>0</v>
      </c>
    </row>
    <row r="903" spans="1:39" customFormat="1" hidden="1" x14ac:dyDescent="0.3">
      <c r="A903" t="s">
        <v>872</v>
      </c>
      <c r="B903" t="s">
        <v>30</v>
      </c>
      <c r="C903" t="s">
        <v>81</v>
      </c>
      <c r="D903" t="s">
        <v>85</v>
      </c>
      <c r="E903" t="s">
        <v>287</v>
      </c>
      <c r="F903" t="s">
        <v>817</v>
      </c>
      <c r="G903" t="s">
        <v>817</v>
      </c>
      <c r="H903" s="16">
        <v>4.1583499667332E-3</v>
      </c>
      <c r="I903" s="11">
        <v>0</v>
      </c>
      <c r="J903" s="11">
        <v>0</v>
      </c>
      <c r="K903" s="11">
        <v>0</v>
      </c>
      <c r="L903" s="11">
        <v>0</v>
      </c>
      <c r="M903" s="11">
        <v>0</v>
      </c>
      <c r="N903" s="11">
        <v>0</v>
      </c>
      <c r="O903" s="11">
        <v>0</v>
      </c>
      <c r="P903" s="11">
        <v>0</v>
      </c>
      <c r="Q903" s="11">
        <v>0</v>
      </c>
      <c r="R903" s="11">
        <v>0</v>
      </c>
      <c r="S903" s="11">
        <v>0</v>
      </c>
      <c r="T903" s="11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3.14564328405159E-3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0</v>
      </c>
      <c r="AL903">
        <v>3.5844863431070302E-3</v>
      </c>
      <c r="AM903">
        <v>0</v>
      </c>
    </row>
    <row r="904" spans="1:39" customFormat="1" hidden="1" x14ac:dyDescent="0.3">
      <c r="A904" t="s">
        <v>871</v>
      </c>
      <c r="B904" t="s">
        <v>30</v>
      </c>
      <c r="C904" t="s">
        <v>81</v>
      </c>
      <c r="D904" t="s">
        <v>85</v>
      </c>
      <c r="E904" t="s">
        <v>287</v>
      </c>
      <c r="F904" t="s">
        <v>286</v>
      </c>
      <c r="G904" t="s">
        <v>286</v>
      </c>
      <c r="H904" s="16">
        <v>0</v>
      </c>
      <c r="I904" s="11">
        <v>0</v>
      </c>
      <c r="J904" s="11">
        <v>0</v>
      </c>
      <c r="K904" s="11">
        <v>0</v>
      </c>
      <c r="L904" s="11">
        <v>0</v>
      </c>
      <c r="M904" s="11">
        <v>0</v>
      </c>
      <c r="N904" s="11">
        <v>0</v>
      </c>
      <c r="O904" s="11">
        <v>0</v>
      </c>
      <c r="P904" s="11">
        <v>0</v>
      </c>
      <c r="Q904" s="11">
        <v>0</v>
      </c>
      <c r="R904" s="11">
        <v>2.2441148089136199E-3</v>
      </c>
      <c r="S904" s="11">
        <v>0</v>
      </c>
      <c r="T904" s="11">
        <v>3.3464962184592698E-3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3.4299434059338E-3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0</v>
      </c>
      <c r="AL904">
        <v>0</v>
      </c>
      <c r="AM904">
        <v>0</v>
      </c>
    </row>
    <row r="905" spans="1:39" customFormat="1" hidden="1" x14ac:dyDescent="0.3">
      <c r="A905" t="s">
        <v>870</v>
      </c>
      <c r="B905" t="s">
        <v>30</v>
      </c>
      <c r="C905" t="s">
        <v>81</v>
      </c>
      <c r="D905" t="s">
        <v>85</v>
      </c>
      <c r="E905" t="s">
        <v>287</v>
      </c>
      <c r="F905" t="s">
        <v>286</v>
      </c>
      <c r="G905" t="s">
        <v>286</v>
      </c>
      <c r="H905" s="16">
        <v>0</v>
      </c>
      <c r="I905" s="11">
        <v>0</v>
      </c>
      <c r="J905" s="11">
        <v>0</v>
      </c>
      <c r="K905" s="11">
        <v>0</v>
      </c>
      <c r="L905" s="11">
        <v>0</v>
      </c>
      <c r="M905" s="11">
        <v>0</v>
      </c>
      <c r="N905" s="11">
        <v>0</v>
      </c>
      <c r="O905" s="11">
        <v>0</v>
      </c>
      <c r="P905" s="11">
        <v>0</v>
      </c>
      <c r="Q905" s="11">
        <v>0</v>
      </c>
      <c r="R905" s="11">
        <v>2.2441148089136199E-3</v>
      </c>
      <c r="S905" s="11">
        <v>0</v>
      </c>
      <c r="T905" s="11">
        <v>3.3464962184592698E-3</v>
      </c>
      <c r="U905">
        <v>3.04201016031394E-3</v>
      </c>
      <c r="V905">
        <v>3.6144142841652502E-3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0</v>
      </c>
      <c r="AJ905">
        <v>0</v>
      </c>
      <c r="AK905">
        <v>0</v>
      </c>
      <c r="AL905">
        <v>0</v>
      </c>
      <c r="AM905">
        <v>0</v>
      </c>
    </row>
    <row r="906" spans="1:39" customFormat="1" hidden="1" x14ac:dyDescent="0.3">
      <c r="A906" t="s">
        <v>869</v>
      </c>
      <c r="B906" t="s">
        <v>30</v>
      </c>
      <c r="C906" t="s">
        <v>81</v>
      </c>
      <c r="D906" t="s">
        <v>85</v>
      </c>
      <c r="E906" t="s">
        <v>287</v>
      </c>
      <c r="F906" t="s">
        <v>286</v>
      </c>
      <c r="G906" t="s">
        <v>286</v>
      </c>
      <c r="H906" s="16">
        <v>0</v>
      </c>
      <c r="I906" s="11">
        <v>0</v>
      </c>
      <c r="J906" s="11">
        <v>0</v>
      </c>
      <c r="K906" s="11">
        <v>0</v>
      </c>
      <c r="L906" s="11">
        <v>0</v>
      </c>
      <c r="M906" s="11">
        <v>0</v>
      </c>
      <c r="N906" s="11">
        <v>0</v>
      </c>
      <c r="O906" s="11">
        <v>0</v>
      </c>
      <c r="P906" s="11">
        <v>0</v>
      </c>
      <c r="Q906" s="11">
        <v>0</v>
      </c>
      <c r="R906" s="11">
        <v>0</v>
      </c>
      <c r="S906" s="11">
        <v>0</v>
      </c>
      <c r="T906" s="11">
        <v>3.3464962184592698E-3</v>
      </c>
      <c r="U906">
        <v>3.04201016031394E-3</v>
      </c>
      <c r="V906">
        <v>0</v>
      </c>
      <c r="W906">
        <v>0</v>
      </c>
      <c r="X906">
        <v>6.4242579982012101E-3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3.4299434059338E-3</v>
      </c>
      <c r="AF906">
        <v>0</v>
      </c>
      <c r="AG906">
        <v>0</v>
      </c>
      <c r="AH906">
        <v>0</v>
      </c>
      <c r="AI906">
        <v>0</v>
      </c>
      <c r="AJ906">
        <v>0</v>
      </c>
      <c r="AK906">
        <v>0</v>
      </c>
      <c r="AL906">
        <v>0</v>
      </c>
      <c r="AM906">
        <v>0</v>
      </c>
    </row>
    <row r="907" spans="1:39" customFormat="1" hidden="1" x14ac:dyDescent="0.3">
      <c r="A907" t="s">
        <v>868</v>
      </c>
      <c r="B907" t="s">
        <v>30</v>
      </c>
      <c r="C907" t="s">
        <v>81</v>
      </c>
      <c r="D907" t="s">
        <v>85</v>
      </c>
      <c r="E907" t="s">
        <v>287</v>
      </c>
      <c r="F907" t="s">
        <v>817</v>
      </c>
      <c r="G907" t="s">
        <v>817</v>
      </c>
      <c r="H907" s="16">
        <v>0</v>
      </c>
      <c r="I907" s="11">
        <v>7.3131490419774802E-3</v>
      </c>
      <c r="J907" s="11">
        <v>0</v>
      </c>
      <c r="K907" s="11">
        <v>0</v>
      </c>
      <c r="L907" s="11">
        <v>0</v>
      </c>
      <c r="M907" s="11">
        <v>0</v>
      </c>
      <c r="N907" s="11">
        <v>0</v>
      </c>
      <c r="O907" s="11">
        <v>0</v>
      </c>
      <c r="P907" s="11">
        <v>0</v>
      </c>
      <c r="Q907" s="11">
        <v>0</v>
      </c>
      <c r="R907" s="11">
        <v>0</v>
      </c>
      <c r="S907" s="11">
        <v>0</v>
      </c>
      <c r="T907" s="11">
        <v>0</v>
      </c>
      <c r="U907">
        <v>3.04201016031394E-3</v>
      </c>
      <c r="V907">
        <v>0</v>
      </c>
      <c r="W907">
        <v>2.6668088964744798E-3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  <c r="AJ907">
        <v>0</v>
      </c>
      <c r="AK907">
        <v>0</v>
      </c>
      <c r="AL907">
        <v>0</v>
      </c>
      <c r="AM907">
        <v>0</v>
      </c>
    </row>
    <row r="908" spans="1:39" customFormat="1" hidden="1" x14ac:dyDescent="0.3">
      <c r="A908" t="s">
        <v>867</v>
      </c>
      <c r="B908" t="s">
        <v>30</v>
      </c>
      <c r="C908" t="s">
        <v>81</v>
      </c>
      <c r="D908" t="s">
        <v>85</v>
      </c>
      <c r="E908" t="s">
        <v>287</v>
      </c>
      <c r="F908" t="s">
        <v>817</v>
      </c>
      <c r="G908" t="s">
        <v>817</v>
      </c>
      <c r="H908" s="16">
        <v>4.1583499667332E-3</v>
      </c>
      <c r="I908" s="11">
        <v>0</v>
      </c>
      <c r="J908" s="11">
        <v>0</v>
      </c>
      <c r="K908" s="11">
        <v>0</v>
      </c>
      <c r="L908" s="11">
        <v>0</v>
      </c>
      <c r="M908" s="11">
        <v>0</v>
      </c>
      <c r="N908" s="11">
        <v>0</v>
      </c>
      <c r="O908" s="11">
        <v>0</v>
      </c>
      <c r="P908" s="11">
        <v>0</v>
      </c>
      <c r="Q908" s="11">
        <v>0</v>
      </c>
      <c r="R908" s="11">
        <v>0</v>
      </c>
      <c r="S908" s="11">
        <v>0</v>
      </c>
      <c r="T908" s="11">
        <v>0</v>
      </c>
      <c r="U908">
        <v>0</v>
      </c>
      <c r="V908">
        <v>3.6144142841652502E-3</v>
      </c>
      <c r="W908">
        <v>0</v>
      </c>
      <c r="X908">
        <v>0</v>
      </c>
      <c r="Y908">
        <v>0</v>
      </c>
      <c r="Z908">
        <v>3.1774275546517499E-3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3.5915670006823998E-3</v>
      </c>
      <c r="AK908">
        <v>0</v>
      </c>
      <c r="AL908">
        <v>0</v>
      </c>
      <c r="AM908">
        <v>0</v>
      </c>
    </row>
    <row r="909" spans="1:39" customFormat="1" hidden="1" x14ac:dyDescent="0.3">
      <c r="A909" t="s">
        <v>866</v>
      </c>
      <c r="B909" t="s">
        <v>30</v>
      </c>
      <c r="C909" t="s">
        <v>81</v>
      </c>
      <c r="D909" t="s">
        <v>85</v>
      </c>
      <c r="E909" t="s">
        <v>287</v>
      </c>
      <c r="F909" t="s">
        <v>470</v>
      </c>
      <c r="G909" t="s">
        <v>469</v>
      </c>
      <c r="H909" s="16">
        <v>0</v>
      </c>
      <c r="I909" s="11">
        <v>0</v>
      </c>
      <c r="J909" s="11">
        <v>0</v>
      </c>
      <c r="K909" s="11">
        <v>0</v>
      </c>
      <c r="L909" s="11">
        <v>0</v>
      </c>
      <c r="M909" s="11">
        <v>0</v>
      </c>
      <c r="N909" s="11">
        <v>0</v>
      </c>
      <c r="O909" s="11">
        <v>3.75023438964935E-3</v>
      </c>
      <c r="P909" s="11">
        <v>0</v>
      </c>
      <c r="Q909" s="11">
        <v>0</v>
      </c>
      <c r="R909" s="11">
        <v>0</v>
      </c>
      <c r="S909" s="11">
        <v>0</v>
      </c>
      <c r="T909" s="11">
        <v>0</v>
      </c>
      <c r="U909">
        <v>0</v>
      </c>
      <c r="V909">
        <v>0</v>
      </c>
      <c r="W909">
        <v>2.6668088964744798E-3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5.03372596395852E-3</v>
      </c>
      <c r="AG909">
        <v>0</v>
      </c>
      <c r="AH909">
        <v>0</v>
      </c>
      <c r="AI909">
        <v>0</v>
      </c>
      <c r="AJ909">
        <v>3.5915670006823998E-3</v>
      </c>
      <c r="AK909">
        <v>0</v>
      </c>
      <c r="AL909">
        <v>0</v>
      </c>
      <c r="AM909">
        <v>0</v>
      </c>
    </row>
    <row r="910" spans="1:39" customFormat="1" hidden="1" x14ac:dyDescent="0.3">
      <c r="A910" t="s">
        <v>865</v>
      </c>
      <c r="B910" t="s">
        <v>30</v>
      </c>
      <c r="C910" t="s">
        <v>81</v>
      </c>
      <c r="D910" t="s">
        <v>85</v>
      </c>
      <c r="E910" t="s">
        <v>287</v>
      </c>
      <c r="F910" t="s">
        <v>817</v>
      </c>
      <c r="G910" t="s">
        <v>817</v>
      </c>
      <c r="H910" s="16">
        <v>0</v>
      </c>
      <c r="I910" s="11">
        <v>0</v>
      </c>
      <c r="J910" s="11">
        <v>0</v>
      </c>
      <c r="K910" s="11">
        <v>0</v>
      </c>
      <c r="L910" s="11">
        <v>0</v>
      </c>
      <c r="M910" s="11">
        <v>0</v>
      </c>
      <c r="N910" s="11">
        <v>0</v>
      </c>
      <c r="O910" s="11">
        <v>0</v>
      </c>
      <c r="P910" s="11">
        <v>0</v>
      </c>
      <c r="Q910" s="11">
        <v>0</v>
      </c>
      <c r="R910" s="11">
        <v>0</v>
      </c>
      <c r="S910" s="11">
        <v>0</v>
      </c>
      <c r="T910" s="11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</v>
      </c>
      <c r="AM910">
        <v>0</v>
      </c>
    </row>
    <row r="911" spans="1:39" customFormat="1" hidden="1" x14ac:dyDescent="0.3">
      <c r="A911" t="s">
        <v>864</v>
      </c>
      <c r="B911" t="s">
        <v>30</v>
      </c>
      <c r="C911" t="s">
        <v>81</v>
      </c>
      <c r="D911" t="s">
        <v>85</v>
      </c>
      <c r="E911" t="s">
        <v>287</v>
      </c>
      <c r="F911" t="s">
        <v>286</v>
      </c>
      <c r="G911" t="s">
        <v>286</v>
      </c>
      <c r="H911" s="16">
        <v>0</v>
      </c>
      <c r="I911" s="11">
        <v>0</v>
      </c>
      <c r="J911" s="11">
        <v>0</v>
      </c>
      <c r="K911" s="11">
        <v>0</v>
      </c>
      <c r="L911" s="11">
        <v>0</v>
      </c>
      <c r="M911" s="11">
        <v>0</v>
      </c>
      <c r="N911" s="11">
        <v>0</v>
      </c>
      <c r="O911" s="11">
        <v>0</v>
      </c>
      <c r="P911" s="11">
        <v>0</v>
      </c>
      <c r="Q911" s="11">
        <v>0</v>
      </c>
      <c r="R911" s="11">
        <v>0</v>
      </c>
      <c r="S911" s="11">
        <v>0</v>
      </c>
      <c r="T911" s="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4.6410173109945703E-3</v>
      </c>
      <c r="AI911">
        <v>0</v>
      </c>
      <c r="AJ911">
        <v>0</v>
      </c>
      <c r="AK911">
        <v>0</v>
      </c>
      <c r="AL911">
        <v>0</v>
      </c>
      <c r="AM911">
        <v>0</v>
      </c>
    </row>
    <row r="912" spans="1:39" customFormat="1" hidden="1" x14ac:dyDescent="0.3">
      <c r="A912" t="s">
        <v>863</v>
      </c>
      <c r="B912" t="s">
        <v>30</v>
      </c>
      <c r="C912" t="s">
        <v>111</v>
      </c>
      <c r="D912" t="s">
        <v>283</v>
      </c>
      <c r="E912" t="s">
        <v>283</v>
      </c>
      <c r="F912" t="s">
        <v>283</v>
      </c>
      <c r="G912" t="s">
        <v>283</v>
      </c>
      <c r="H912" s="16">
        <v>0</v>
      </c>
      <c r="I912" s="11">
        <v>3.6565745209887401E-3</v>
      </c>
      <c r="J912" s="11">
        <v>0</v>
      </c>
      <c r="K912" s="11">
        <v>0</v>
      </c>
      <c r="L912" s="11">
        <v>0</v>
      </c>
      <c r="M912" s="11">
        <v>0</v>
      </c>
      <c r="N912" s="11">
        <v>0</v>
      </c>
      <c r="O912" s="11">
        <v>0</v>
      </c>
      <c r="P912" s="11">
        <v>0</v>
      </c>
      <c r="Q912" s="11">
        <v>0</v>
      </c>
      <c r="R912" s="11">
        <v>0</v>
      </c>
      <c r="S912" s="11">
        <v>0</v>
      </c>
      <c r="T912" s="11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</v>
      </c>
      <c r="AM912">
        <v>0</v>
      </c>
    </row>
    <row r="913" spans="1:39" customFormat="1" hidden="1" x14ac:dyDescent="0.3">
      <c r="A913" t="s">
        <v>862</v>
      </c>
      <c r="B913" t="s">
        <v>30</v>
      </c>
      <c r="C913" t="s">
        <v>81</v>
      </c>
      <c r="D913" t="s">
        <v>80</v>
      </c>
      <c r="E913" t="s">
        <v>618</v>
      </c>
      <c r="F913" t="s">
        <v>629</v>
      </c>
      <c r="G913" t="s">
        <v>861</v>
      </c>
      <c r="H913" s="16">
        <v>0</v>
      </c>
      <c r="I913" s="11">
        <v>0</v>
      </c>
      <c r="J913" s="11">
        <v>0</v>
      </c>
      <c r="K913" s="11">
        <v>0</v>
      </c>
      <c r="L913" s="11">
        <v>0</v>
      </c>
      <c r="M913" s="11">
        <v>0</v>
      </c>
      <c r="N913" s="11">
        <v>0</v>
      </c>
      <c r="O913" s="11">
        <v>0</v>
      </c>
      <c r="P913" s="11">
        <v>0</v>
      </c>
      <c r="Q913" s="11">
        <v>0</v>
      </c>
      <c r="R913" s="11">
        <v>0</v>
      </c>
      <c r="S913" s="11">
        <v>0</v>
      </c>
      <c r="T913" s="11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</v>
      </c>
      <c r="AM913">
        <v>0</v>
      </c>
    </row>
    <row r="914" spans="1:39" customFormat="1" hidden="1" x14ac:dyDescent="0.3">
      <c r="A914" t="s">
        <v>858</v>
      </c>
      <c r="B914" t="s">
        <v>30</v>
      </c>
      <c r="C914" t="s">
        <v>81</v>
      </c>
      <c r="D914" t="s">
        <v>80</v>
      </c>
      <c r="E914" t="s">
        <v>618</v>
      </c>
      <c r="F914" t="s">
        <v>617</v>
      </c>
      <c r="G914" t="s">
        <v>616</v>
      </c>
      <c r="H914" s="16">
        <v>0</v>
      </c>
      <c r="I914" s="11">
        <v>0</v>
      </c>
      <c r="J914" s="11">
        <v>0</v>
      </c>
      <c r="K914" s="11">
        <v>0</v>
      </c>
      <c r="L914" s="11">
        <v>0</v>
      </c>
      <c r="M914" s="11">
        <v>0</v>
      </c>
      <c r="N914" s="11">
        <v>0</v>
      </c>
      <c r="O914" s="11">
        <v>0</v>
      </c>
      <c r="P914" s="11">
        <v>0</v>
      </c>
      <c r="Q914" s="11">
        <v>0</v>
      </c>
      <c r="R914" s="11">
        <v>0</v>
      </c>
      <c r="S914" s="11">
        <v>0</v>
      </c>
      <c r="T914" s="11">
        <v>0</v>
      </c>
      <c r="U914">
        <v>0</v>
      </c>
      <c r="V914">
        <v>3.6144142841652502E-3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3.14564328405159E-3</v>
      </c>
      <c r="AE914">
        <v>0</v>
      </c>
      <c r="AF914">
        <v>0</v>
      </c>
      <c r="AG914">
        <v>2.3469220117815501E-3</v>
      </c>
      <c r="AH914">
        <v>0</v>
      </c>
      <c r="AI914">
        <v>0</v>
      </c>
      <c r="AJ914">
        <v>0</v>
      </c>
      <c r="AK914">
        <v>0</v>
      </c>
      <c r="AL914">
        <v>0</v>
      </c>
      <c r="AM914">
        <v>0</v>
      </c>
    </row>
    <row r="915" spans="1:39" customFormat="1" hidden="1" x14ac:dyDescent="0.3">
      <c r="A915" t="s">
        <v>857</v>
      </c>
      <c r="B915" t="s">
        <v>30</v>
      </c>
      <c r="C915" t="s">
        <v>81</v>
      </c>
      <c r="D915" t="s">
        <v>80</v>
      </c>
      <c r="E915" t="s">
        <v>618</v>
      </c>
      <c r="F915" t="s">
        <v>629</v>
      </c>
      <c r="G915" t="s">
        <v>628</v>
      </c>
      <c r="H915" s="16">
        <v>0</v>
      </c>
      <c r="I915" s="11">
        <v>0</v>
      </c>
      <c r="J915" s="11">
        <v>0</v>
      </c>
      <c r="K915" s="11">
        <v>0</v>
      </c>
      <c r="L915" s="11">
        <v>0</v>
      </c>
      <c r="M915" s="11">
        <v>0</v>
      </c>
      <c r="N915" s="11">
        <v>0</v>
      </c>
      <c r="O915" s="11">
        <v>0</v>
      </c>
      <c r="P915" s="11">
        <v>0</v>
      </c>
      <c r="Q915" s="11">
        <v>0</v>
      </c>
      <c r="R915" s="11">
        <v>0</v>
      </c>
      <c r="S915" s="11">
        <v>0</v>
      </c>
      <c r="T915" s="11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</v>
      </c>
      <c r="AM915">
        <v>0</v>
      </c>
    </row>
    <row r="916" spans="1:39" customFormat="1" hidden="1" x14ac:dyDescent="0.3">
      <c r="A916" t="s">
        <v>856</v>
      </c>
      <c r="B916" t="s">
        <v>30</v>
      </c>
      <c r="C916" t="s">
        <v>81</v>
      </c>
      <c r="D916" t="s">
        <v>80</v>
      </c>
      <c r="E916" t="s">
        <v>618</v>
      </c>
      <c r="F916" t="s">
        <v>617</v>
      </c>
      <c r="G916" t="s">
        <v>616</v>
      </c>
      <c r="H916" s="16">
        <v>0</v>
      </c>
      <c r="I916" s="11">
        <v>0</v>
      </c>
      <c r="J916" s="11">
        <v>0</v>
      </c>
      <c r="K916" s="11">
        <v>0</v>
      </c>
      <c r="L916" s="11">
        <v>0</v>
      </c>
      <c r="M916" s="11">
        <v>0</v>
      </c>
      <c r="N916" s="11">
        <v>0</v>
      </c>
      <c r="O916" s="11">
        <v>0</v>
      </c>
      <c r="P916" s="11">
        <v>0</v>
      </c>
      <c r="Q916" s="11">
        <v>0</v>
      </c>
      <c r="R916" s="11">
        <v>0</v>
      </c>
      <c r="S916" s="11">
        <v>0</v>
      </c>
      <c r="T916" s="11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6.2912865681031801E-3</v>
      </c>
      <c r="AE916">
        <v>3.4299434059338E-3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</v>
      </c>
      <c r="AM916">
        <v>0</v>
      </c>
    </row>
    <row r="917" spans="1:39" customFormat="1" hidden="1" x14ac:dyDescent="0.3">
      <c r="A917" t="s">
        <v>855</v>
      </c>
      <c r="B917" t="s">
        <v>30</v>
      </c>
      <c r="C917" t="s">
        <v>81</v>
      </c>
      <c r="D917" t="s">
        <v>80</v>
      </c>
      <c r="E917" t="s">
        <v>618</v>
      </c>
      <c r="F917" t="s">
        <v>617</v>
      </c>
      <c r="G917" t="s">
        <v>854</v>
      </c>
      <c r="H917" s="16">
        <v>0</v>
      </c>
      <c r="I917" s="11">
        <v>0</v>
      </c>
      <c r="J917" s="11">
        <v>0</v>
      </c>
      <c r="K917" s="11">
        <v>0</v>
      </c>
      <c r="L917" s="11">
        <v>0</v>
      </c>
      <c r="M917" s="11">
        <v>0</v>
      </c>
      <c r="N917" s="11">
        <v>0</v>
      </c>
      <c r="O917" s="11">
        <v>0</v>
      </c>
      <c r="P917" s="11">
        <v>0</v>
      </c>
      <c r="Q917" s="11">
        <v>0</v>
      </c>
      <c r="R917" s="11">
        <v>0</v>
      </c>
      <c r="S917" s="11">
        <v>0</v>
      </c>
      <c r="T917" s="11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4.5118209709438702E-3</v>
      </c>
      <c r="AC917" s="3">
        <v>7.1911405148856597E-3</v>
      </c>
      <c r="AD917">
        <v>0</v>
      </c>
      <c r="AE917">
        <v>0</v>
      </c>
      <c r="AF917">
        <v>0</v>
      </c>
      <c r="AG917">
        <v>0</v>
      </c>
      <c r="AH917">
        <v>4.6410173109945703E-3</v>
      </c>
      <c r="AI917">
        <v>0</v>
      </c>
      <c r="AJ917">
        <v>0</v>
      </c>
      <c r="AK917">
        <v>0</v>
      </c>
      <c r="AL917">
        <v>0</v>
      </c>
      <c r="AM917">
        <v>0</v>
      </c>
    </row>
    <row r="918" spans="1:39" customFormat="1" hidden="1" x14ac:dyDescent="0.3">
      <c r="A918" t="s">
        <v>852</v>
      </c>
      <c r="B918" t="s">
        <v>30</v>
      </c>
      <c r="C918" t="s">
        <v>81</v>
      </c>
      <c r="D918" t="s">
        <v>85</v>
      </c>
      <c r="E918" t="s">
        <v>314</v>
      </c>
      <c r="F918" t="s">
        <v>313</v>
      </c>
      <c r="G918" t="s">
        <v>312</v>
      </c>
      <c r="H918" s="16">
        <v>0</v>
      </c>
      <c r="I918" s="11">
        <v>0</v>
      </c>
      <c r="J918" s="11">
        <v>0</v>
      </c>
      <c r="K918" s="11">
        <v>0</v>
      </c>
      <c r="L918" s="11">
        <v>0</v>
      </c>
      <c r="M918" s="11">
        <v>0</v>
      </c>
      <c r="N918" s="11">
        <v>0</v>
      </c>
      <c r="O918" s="11">
        <v>0</v>
      </c>
      <c r="P918" s="11">
        <v>0</v>
      </c>
      <c r="Q918" s="11">
        <v>0</v>
      </c>
      <c r="R918" s="11">
        <v>0</v>
      </c>
      <c r="S918" s="11">
        <v>0</v>
      </c>
      <c r="T918" s="11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3.4299434059338E-3</v>
      </c>
      <c r="AF918">
        <v>1.0067451927917E-2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</v>
      </c>
      <c r="AM918">
        <v>0</v>
      </c>
    </row>
    <row r="919" spans="1:39" customFormat="1" hidden="1" x14ac:dyDescent="0.3">
      <c r="A919" t="s">
        <v>851</v>
      </c>
      <c r="B919" t="s">
        <v>30</v>
      </c>
      <c r="C919" t="s">
        <v>81</v>
      </c>
      <c r="D919" t="s">
        <v>85</v>
      </c>
      <c r="E919" t="s">
        <v>314</v>
      </c>
      <c r="F919" t="s">
        <v>313</v>
      </c>
      <c r="G919" t="s">
        <v>312</v>
      </c>
      <c r="H919" s="16">
        <v>0</v>
      </c>
      <c r="I919" s="11">
        <v>0</v>
      </c>
      <c r="J919" s="11">
        <v>0</v>
      </c>
      <c r="K919" s="11">
        <v>0</v>
      </c>
      <c r="L919" s="11">
        <v>0</v>
      </c>
      <c r="M919" s="11">
        <v>0</v>
      </c>
      <c r="N919" s="11">
        <v>0</v>
      </c>
      <c r="O919" s="11">
        <v>3.75023438964935E-3</v>
      </c>
      <c r="P919" s="11">
        <v>0</v>
      </c>
      <c r="Q919" s="11">
        <v>0</v>
      </c>
      <c r="R919" s="11">
        <v>2.2441148089136199E-3</v>
      </c>
      <c r="S919" s="11">
        <v>0</v>
      </c>
      <c r="T919" s="11">
        <v>3.3464962184592698E-3</v>
      </c>
      <c r="U919">
        <v>0</v>
      </c>
      <c r="V919">
        <v>0</v>
      </c>
      <c r="W919">
        <v>2.6668088964744798E-3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6.2912865681031801E-3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</v>
      </c>
      <c r="AM919">
        <v>0</v>
      </c>
    </row>
    <row r="920" spans="1:39" customFormat="1" hidden="1" x14ac:dyDescent="0.3">
      <c r="A920" t="s">
        <v>850</v>
      </c>
      <c r="B920" t="s">
        <v>30</v>
      </c>
      <c r="C920" t="s">
        <v>81</v>
      </c>
      <c r="D920" t="s">
        <v>85</v>
      </c>
      <c r="E920" t="s">
        <v>314</v>
      </c>
      <c r="F920" t="s">
        <v>313</v>
      </c>
      <c r="G920" t="s">
        <v>849</v>
      </c>
      <c r="H920" s="16">
        <v>0</v>
      </c>
      <c r="I920" s="11">
        <v>0</v>
      </c>
      <c r="J920" s="11">
        <v>0</v>
      </c>
      <c r="K920" s="11">
        <v>0</v>
      </c>
      <c r="L920" s="11">
        <v>0</v>
      </c>
      <c r="M920" s="11">
        <v>0</v>
      </c>
      <c r="N920" s="11">
        <v>0</v>
      </c>
      <c r="O920" s="11">
        <v>0</v>
      </c>
      <c r="P920" s="11">
        <v>0</v>
      </c>
      <c r="Q920" s="11">
        <v>0</v>
      </c>
      <c r="R920" s="11">
        <v>0</v>
      </c>
      <c r="S920" s="11">
        <v>0</v>
      </c>
      <c r="T920" s="11">
        <v>0</v>
      </c>
      <c r="U920">
        <v>0</v>
      </c>
      <c r="V920">
        <v>3.6144142841652502E-3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0</v>
      </c>
      <c r="AL920">
        <v>0</v>
      </c>
      <c r="AM920">
        <v>0</v>
      </c>
    </row>
    <row r="921" spans="1:39" customFormat="1" hidden="1" x14ac:dyDescent="0.3">
      <c r="A921" t="s">
        <v>848</v>
      </c>
      <c r="B921" t="s">
        <v>30</v>
      </c>
      <c r="C921" t="s">
        <v>81</v>
      </c>
      <c r="D921" t="s">
        <v>85</v>
      </c>
      <c r="E921" t="s">
        <v>314</v>
      </c>
      <c r="F921" t="s">
        <v>313</v>
      </c>
      <c r="G921" t="s">
        <v>312</v>
      </c>
      <c r="H921" s="16">
        <v>0</v>
      </c>
      <c r="I921" s="11">
        <v>0</v>
      </c>
      <c r="J921" s="11">
        <v>0</v>
      </c>
      <c r="K921" s="11">
        <v>0</v>
      </c>
      <c r="L921" s="11">
        <v>0</v>
      </c>
      <c r="M921" s="11">
        <v>0</v>
      </c>
      <c r="N921" s="11">
        <v>4.5835816106705798E-3</v>
      </c>
      <c r="O921" s="11">
        <v>0</v>
      </c>
      <c r="P921" s="11">
        <v>0</v>
      </c>
      <c r="Q921" s="11">
        <v>0</v>
      </c>
      <c r="R921" s="11">
        <v>0</v>
      </c>
      <c r="S921" s="11">
        <v>2.4883049666567102E-3</v>
      </c>
      <c r="T921" s="1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4.6410173109945703E-3</v>
      </c>
      <c r="AI921">
        <v>0</v>
      </c>
      <c r="AJ921">
        <v>3.5915670006823998E-3</v>
      </c>
      <c r="AK921">
        <v>0</v>
      </c>
      <c r="AL921">
        <v>0</v>
      </c>
      <c r="AM921">
        <v>0</v>
      </c>
    </row>
    <row r="922" spans="1:39" customFormat="1" hidden="1" x14ac:dyDescent="0.3">
      <c r="A922" t="s">
        <v>847</v>
      </c>
      <c r="B922" t="s">
        <v>30</v>
      </c>
      <c r="C922" t="s">
        <v>81</v>
      </c>
      <c r="D922" t="s">
        <v>80</v>
      </c>
      <c r="E922" t="s">
        <v>618</v>
      </c>
      <c r="F922" t="s">
        <v>617</v>
      </c>
      <c r="G922" t="s">
        <v>616</v>
      </c>
      <c r="H922" s="16">
        <v>0</v>
      </c>
      <c r="I922" s="11">
        <v>0</v>
      </c>
      <c r="J922" s="11">
        <v>0</v>
      </c>
      <c r="K922" s="11">
        <v>0</v>
      </c>
      <c r="L922" s="11">
        <v>0</v>
      </c>
      <c r="M922" s="11">
        <v>0</v>
      </c>
      <c r="N922" s="11">
        <v>0</v>
      </c>
      <c r="O922" s="11">
        <v>0</v>
      </c>
      <c r="P922" s="11">
        <v>0</v>
      </c>
      <c r="Q922" s="11">
        <v>0</v>
      </c>
      <c r="R922" s="11">
        <v>0</v>
      </c>
      <c r="S922" s="11">
        <v>0</v>
      </c>
      <c r="T922" s="11">
        <v>3.3464962184592698E-3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4.5118209709438702E-3</v>
      </c>
      <c r="AC922">
        <v>0</v>
      </c>
      <c r="AD922">
        <v>6.2912865681031801E-3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0</v>
      </c>
      <c r="AL922">
        <v>0</v>
      </c>
      <c r="AM922">
        <v>0</v>
      </c>
    </row>
    <row r="923" spans="1:39" customFormat="1" hidden="1" x14ac:dyDescent="0.3">
      <c r="A923" t="s">
        <v>846</v>
      </c>
      <c r="B923" t="s">
        <v>30</v>
      </c>
      <c r="C923" t="s">
        <v>81</v>
      </c>
      <c r="D923" t="s">
        <v>80</v>
      </c>
      <c r="E923" t="s">
        <v>618</v>
      </c>
      <c r="F923" t="s">
        <v>629</v>
      </c>
      <c r="G923" t="s">
        <v>628</v>
      </c>
      <c r="H923" s="16">
        <v>0</v>
      </c>
      <c r="I923" s="11">
        <v>0</v>
      </c>
      <c r="J923" s="11">
        <v>0</v>
      </c>
      <c r="K923" s="11">
        <v>0</v>
      </c>
      <c r="L923" s="11">
        <v>0</v>
      </c>
      <c r="M923" s="11">
        <v>0</v>
      </c>
      <c r="N923" s="11">
        <v>4.5835816106705798E-3</v>
      </c>
      <c r="O923" s="11">
        <v>0</v>
      </c>
      <c r="P923" s="11">
        <v>0</v>
      </c>
      <c r="Q923" s="11">
        <v>0</v>
      </c>
      <c r="R923" s="11">
        <v>0</v>
      </c>
      <c r="S923" s="11">
        <v>0</v>
      </c>
      <c r="T923" s="11">
        <v>3.3464962184592698E-3</v>
      </c>
      <c r="U923">
        <v>0</v>
      </c>
      <c r="V923">
        <v>0</v>
      </c>
      <c r="W923">
        <v>2.6668088964744798E-3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0</v>
      </c>
      <c r="AL923">
        <v>0</v>
      </c>
      <c r="AM923">
        <v>0</v>
      </c>
    </row>
    <row r="924" spans="1:39" customFormat="1" hidden="1" x14ac:dyDescent="0.3">
      <c r="A924" t="s">
        <v>845</v>
      </c>
      <c r="B924" t="s">
        <v>30</v>
      </c>
      <c r="C924" t="s">
        <v>81</v>
      </c>
      <c r="D924" t="s">
        <v>80</v>
      </c>
      <c r="E924" t="s">
        <v>618</v>
      </c>
      <c r="F924" t="s">
        <v>629</v>
      </c>
      <c r="G924" t="s">
        <v>628</v>
      </c>
      <c r="H924" s="16">
        <v>0</v>
      </c>
      <c r="I924" s="11">
        <v>0</v>
      </c>
      <c r="J924" s="11">
        <v>0</v>
      </c>
      <c r="K924" s="11">
        <v>0</v>
      </c>
      <c r="L924" s="11">
        <v>0</v>
      </c>
      <c r="M924" s="11">
        <v>0</v>
      </c>
      <c r="N924" s="11">
        <v>0</v>
      </c>
      <c r="O924" s="11">
        <v>0</v>
      </c>
      <c r="P924" s="11">
        <v>0</v>
      </c>
      <c r="Q924" s="11">
        <v>0</v>
      </c>
      <c r="R924" s="11">
        <v>0</v>
      </c>
      <c r="S924" s="11">
        <v>2.4883049666567102E-3</v>
      </c>
      <c r="T924" s="11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2.3469220117815501E-3</v>
      </c>
      <c r="AH924">
        <v>0</v>
      </c>
      <c r="AI924">
        <v>0</v>
      </c>
      <c r="AJ924">
        <v>0</v>
      </c>
      <c r="AK924">
        <v>0</v>
      </c>
      <c r="AL924">
        <v>0</v>
      </c>
      <c r="AM924">
        <v>0</v>
      </c>
    </row>
    <row r="925" spans="1:39" customFormat="1" hidden="1" x14ac:dyDescent="0.3">
      <c r="A925" t="s">
        <v>844</v>
      </c>
      <c r="B925" t="s">
        <v>30</v>
      </c>
      <c r="C925" t="s">
        <v>81</v>
      </c>
      <c r="D925" t="s">
        <v>80</v>
      </c>
      <c r="E925" t="s">
        <v>618</v>
      </c>
      <c r="F925" t="s">
        <v>629</v>
      </c>
      <c r="G925" t="s">
        <v>628</v>
      </c>
      <c r="H925" s="16">
        <v>4.1583499667332E-3</v>
      </c>
      <c r="I925" s="11">
        <v>0</v>
      </c>
      <c r="J925" s="11">
        <v>4.3593879419329502E-3</v>
      </c>
      <c r="K925" s="11">
        <v>5.6589893045102101E-3</v>
      </c>
      <c r="L925" s="11">
        <v>0</v>
      </c>
      <c r="M925" s="11">
        <v>0</v>
      </c>
      <c r="N925" s="11">
        <v>0</v>
      </c>
      <c r="O925" s="11">
        <v>0</v>
      </c>
      <c r="P925" s="11">
        <v>0</v>
      </c>
      <c r="Q925" s="11">
        <v>0</v>
      </c>
      <c r="R925" s="11">
        <v>0</v>
      </c>
      <c r="S925" s="11">
        <v>0</v>
      </c>
      <c r="T925" s="11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0</v>
      </c>
      <c r="AL925">
        <v>0</v>
      </c>
      <c r="AM925">
        <v>0</v>
      </c>
    </row>
    <row r="926" spans="1:39" customFormat="1" hidden="1" x14ac:dyDescent="0.3">
      <c r="A926" t="s">
        <v>843</v>
      </c>
      <c r="B926" t="s">
        <v>30</v>
      </c>
      <c r="C926" t="s">
        <v>81</v>
      </c>
      <c r="D926" t="s">
        <v>80</v>
      </c>
      <c r="E926" t="s">
        <v>618</v>
      </c>
      <c r="F926" t="s">
        <v>617</v>
      </c>
      <c r="G926" t="s">
        <v>616</v>
      </c>
      <c r="H926" s="16">
        <v>0</v>
      </c>
      <c r="I926" s="11">
        <v>0</v>
      </c>
      <c r="J926" s="11">
        <v>0</v>
      </c>
      <c r="K926" s="11">
        <v>0</v>
      </c>
      <c r="L926" s="11">
        <v>0</v>
      </c>
      <c r="M926" s="11">
        <v>0</v>
      </c>
      <c r="N926" s="11">
        <v>0</v>
      </c>
      <c r="O926" s="11">
        <v>0</v>
      </c>
      <c r="P926" s="11">
        <v>0</v>
      </c>
      <c r="Q926" s="11">
        <v>0</v>
      </c>
      <c r="R926" s="11">
        <v>0</v>
      </c>
      <c r="S926" s="11">
        <v>0</v>
      </c>
      <c r="T926" s="11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4.5118209709438702E-3</v>
      </c>
      <c r="AC926">
        <v>0</v>
      </c>
      <c r="AD926">
        <v>6.2912865681031801E-3</v>
      </c>
      <c r="AE926">
        <v>0</v>
      </c>
      <c r="AF926">
        <v>0</v>
      </c>
      <c r="AG926">
        <v>0</v>
      </c>
      <c r="AH926">
        <v>0</v>
      </c>
      <c r="AI926">
        <v>0</v>
      </c>
      <c r="AJ926">
        <v>0</v>
      </c>
      <c r="AK926">
        <v>0</v>
      </c>
      <c r="AL926">
        <v>0</v>
      </c>
      <c r="AM926">
        <v>0</v>
      </c>
    </row>
    <row r="927" spans="1:39" customFormat="1" hidden="1" x14ac:dyDescent="0.3">
      <c r="A927" t="s">
        <v>842</v>
      </c>
      <c r="B927" t="s">
        <v>30</v>
      </c>
      <c r="C927" t="s">
        <v>81</v>
      </c>
      <c r="D927" t="s">
        <v>80</v>
      </c>
      <c r="E927" t="s">
        <v>618</v>
      </c>
      <c r="F927" t="s">
        <v>841</v>
      </c>
      <c r="G927" t="s">
        <v>840</v>
      </c>
      <c r="H927" s="16">
        <v>0</v>
      </c>
      <c r="I927" s="11">
        <v>7.3131490419774802E-3</v>
      </c>
      <c r="J927" s="11">
        <v>0</v>
      </c>
      <c r="K927" s="11">
        <v>0</v>
      </c>
      <c r="L927" s="11">
        <v>0</v>
      </c>
      <c r="M927" s="11">
        <v>0</v>
      </c>
      <c r="N927" s="11">
        <v>0</v>
      </c>
      <c r="O927" s="11">
        <v>0</v>
      </c>
      <c r="P927" s="11">
        <v>0</v>
      </c>
      <c r="Q927" s="11">
        <v>0</v>
      </c>
      <c r="R927" s="11">
        <v>0</v>
      </c>
      <c r="S927" s="11">
        <v>0</v>
      </c>
      <c r="T927" s="11">
        <v>0</v>
      </c>
      <c r="U927">
        <v>0</v>
      </c>
      <c r="V927">
        <v>0</v>
      </c>
      <c r="W927">
        <v>0</v>
      </c>
      <c r="X927">
        <v>0</v>
      </c>
      <c r="Y927">
        <v>2.9264581077521898E-3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2.3469220117815501E-3</v>
      </c>
      <c r="AH927">
        <v>0</v>
      </c>
      <c r="AI927">
        <v>2.2984278753332699E-3</v>
      </c>
      <c r="AJ927">
        <v>0</v>
      </c>
      <c r="AK927">
        <v>0</v>
      </c>
      <c r="AL927">
        <v>0</v>
      </c>
      <c r="AM927">
        <v>0</v>
      </c>
    </row>
    <row r="928" spans="1:39" customFormat="1" hidden="1" x14ac:dyDescent="0.3">
      <c r="A928" t="s">
        <v>839</v>
      </c>
      <c r="B928" t="s">
        <v>30</v>
      </c>
      <c r="C928" t="s">
        <v>81</v>
      </c>
      <c r="D928" t="s">
        <v>80</v>
      </c>
      <c r="E928" t="s">
        <v>618</v>
      </c>
      <c r="F928" t="s">
        <v>617</v>
      </c>
      <c r="G928" t="s">
        <v>616</v>
      </c>
      <c r="H928" s="16">
        <v>0</v>
      </c>
      <c r="I928" s="11">
        <v>0</v>
      </c>
      <c r="J928" s="11">
        <v>0</v>
      </c>
      <c r="K928" s="11">
        <v>0</v>
      </c>
      <c r="L928" s="11">
        <v>0</v>
      </c>
      <c r="M928" s="11">
        <v>0</v>
      </c>
      <c r="N928" s="11">
        <v>0</v>
      </c>
      <c r="O928" s="11">
        <v>0</v>
      </c>
      <c r="P928" s="11">
        <v>0</v>
      </c>
      <c r="Q928" s="11">
        <v>0</v>
      </c>
      <c r="R928" s="11">
        <v>2.2441148089136199E-3</v>
      </c>
      <c r="S928" s="11">
        <v>0</v>
      </c>
      <c r="T928" s="11">
        <v>0</v>
      </c>
      <c r="U928">
        <v>0</v>
      </c>
      <c r="V928">
        <v>0</v>
      </c>
      <c r="W928">
        <v>0</v>
      </c>
      <c r="X928">
        <v>0</v>
      </c>
      <c r="Y928">
        <v>2.9264581077521898E-3</v>
      </c>
      <c r="Z928">
        <v>0</v>
      </c>
      <c r="AA928">
        <v>0</v>
      </c>
      <c r="AB928">
        <v>4.5118209709438702E-3</v>
      </c>
      <c r="AC928">
        <v>0</v>
      </c>
      <c r="AD928">
        <v>0</v>
      </c>
      <c r="AE928">
        <v>0</v>
      </c>
      <c r="AF928">
        <v>0</v>
      </c>
      <c r="AG928">
        <v>2.3469220117815501E-3</v>
      </c>
      <c r="AH928">
        <v>0</v>
      </c>
      <c r="AI928">
        <v>0</v>
      </c>
      <c r="AJ928">
        <v>0</v>
      </c>
      <c r="AK928">
        <v>0</v>
      </c>
      <c r="AL928">
        <v>0</v>
      </c>
      <c r="AM928">
        <v>0</v>
      </c>
    </row>
    <row r="929" spans="1:39" customFormat="1" hidden="1" x14ac:dyDescent="0.3">
      <c r="A929" t="s">
        <v>838</v>
      </c>
      <c r="B929" t="s">
        <v>30</v>
      </c>
      <c r="C929" t="s">
        <v>81</v>
      </c>
      <c r="D929" t="s">
        <v>80</v>
      </c>
      <c r="E929" t="s">
        <v>618</v>
      </c>
      <c r="F929" t="s">
        <v>617</v>
      </c>
      <c r="G929" t="s">
        <v>616</v>
      </c>
      <c r="H929" s="16">
        <v>0</v>
      </c>
      <c r="I929" s="11">
        <v>0</v>
      </c>
      <c r="J929" s="11">
        <v>0</v>
      </c>
      <c r="K929" s="11">
        <v>0</v>
      </c>
      <c r="L929" s="11">
        <v>0</v>
      </c>
      <c r="M929" s="11">
        <v>0</v>
      </c>
      <c r="N929" s="11">
        <v>0</v>
      </c>
      <c r="O929" s="11">
        <v>0</v>
      </c>
      <c r="P929" s="11">
        <v>0</v>
      </c>
      <c r="Q929" s="11">
        <v>0</v>
      </c>
      <c r="R929" s="11">
        <v>0</v>
      </c>
      <c r="S929" s="11">
        <v>2.4883049666567102E-3</v>
      </c>
      <c r="T929" s="11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4.5118209709438702E-3</v>
      </c>
      <c r="AC929">
        <v>7.1911405148856597E-3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  <c r="AJ929">
        <v>0</v>
      </c>
      <c r="AK929">
        <v>0</v>
      </c>
      <c r="AL929">
        <v>0</v>
      </c>
      <c r="AM929">
        <v>0</v>
      </c>
    </row>
    <row r="930" spans="1:39" customFormat="1" hidden="1" x14ac:dyDescent="0.3">
      <c r="A930" t="s">
        <v>837</v>
      </c>
      <c r="B930" t="s">
        <v>30</v>
      </c>
      <c r="C930" t="s">
        <v>81</v>
      </c>
      <c r="D930" t="s">
        <v>80</v>
      </c>
      <c r="E930" t="s">
        <v>618</v>
      </c>
      <c r="F930" t="s">
        <v>629</v>
      </c>
      <c r="G930" t="s">
        <v>628</v>
      </c>
      <c r="H930" s="16">
        <v>0</v>
      </c>
      <c r="I930" s="11">
        <v>0</v>
      </c>
      <c r="J930" s="11">
        <v>0</v>
      </c>
      <c r="K930" s="11">
        <v>0</v>
      </c>
      <c r="L930" s="11">
        <v>0</v>
      </c>
      <c r="M930" s="11">
        <v>0</v>
      </c>
      <c r="N930" s="11">
        <v>0</v>
      </c>
      <c r="O930" s="11">
        <v>0</v>
      </c>
      <c r="P930" s="11">
        <v>0</v>
      </c>
      <c r="Q930" s="11">
        <v>0</v>
      </c>
      <c r="R930" s="11">
        <v>0</v>
      </c>
      <c r="S930" s="11">
        <v>4.9766099333134299E-3</v>
      </c>
      <c r="T930" s="11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0</v>
      </c>
      <c r="AJ930">
        <v>0</v>
      </c>
      <c r="AK930">
        <v>0</v>
      </c>
      <c r="AL930">
        <v>0</v>
      </c>
      <c r="AM930">
        <v>0</v>
      </c>
    </row>
    <row r="931" spans="1:39" customFormat="1" hidden="1" x14ac:dyDescent="0.3">
      <c r="A931" t="s">
        <v>836</v>
      </c>
      <c r="B931" t="s">
        <v>30</v>
      </c>
      <c r="C931" t="s">
        <v>81</v>
      </c>
      <c r="D931" t="s">
        <v>80</v>
      </c>
      <c r="E931" t="s">
        <v>618</v>
      </c>
      <c r="F931" t="s">
        <v>629</v>
      </c>
      <c r="G931" t="s">
        <v>628</v>
      </c>
      <c r="H931" s="16">
        <v>0</v>
      </c>
      <c r="I931" s="11">
        <v>0</v>
      </c>
      <c r="J931" s="11">
        <v>0</v>
      </c>
      <c r="K931" s="11">
        <v>0</v>
      </c>
      <c r="L931" s="11">
        <v>0</v>
      </c>
      <c r="M931" s="11">
        <v>0</v>
      </c>
      <c r="N931" s="11">
        <v>0</v>
      </c>
      <c r="O931" s="11">
        <v>0</v>
      </c>
      <c r="P931" s="11">
        <v>0</v>
      </c>
      <c r="Q931" s="11">
        <v>0</v>
      </c>
      <c r="R931" s="11">
        <v>0</v>
      </c>
      <c r="S931" s="11">
        <v>2.4883049666567102E-3</v>
      </c>
      <c r="T931" s="1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0</v>
      </c>
      <c r="AJ931">
        <v>0</v>
      </c>
      <c r="AK931">
        <v>0</v>
      </c>
      <c r="AL931">
        <v>0</v>
      </c>
      <c r="AM931">
        <v>0</v>
      </c>
    </row>
    <row r="932" spans="1:39" customFormat="1" hidden="1" x14ac:dyDescent="0.3">
      <c r="A932" t="s">
        <v>835</v>
      </c>
      <c r="B932" t="s">
        <v>30</v>
      </c>
      <c r="C932" t="s">
        <v>81</v>
      </c>
      <c r="D932" t="s">
        <v>80</v>
      </c>
      <c r="E932" t="s">
        <v>618</v>
      </c>
      <c r="F932" t="s">
        <v>617</v>
      </c>
      <c r="G932" t="s">
        <v>616</v>
      </c>
      <c r="H932" s="16">
        <v>0</v>
      </c>
      <c r="I932" s="11">
        <v>0</v>
      </c>
      <c r="J932" s="11">
        <v>0</v>
      </c>
      <c r="K932" s="11">
        <v>0</v>
      </c>
      <c r="L932" s="11">
        <v>0</v>
      </c>
      <c r="M932" s="11">
        <v>0</v>
      </c>
      <c r="N932" s="11">
        <v>0</v>
      </c>
      <c r="O932" s="11">
        <v>0</v>
      </c>
      <c r="P932" s="11">
        <v>0</v>
      </c>
      <c r="Q932" s="11">
        <v>0</v>
      </c>
      <c r="R932" s="11">
        <v>0</v>
      </c>
      <c r="S932" s="11">
        <v>0</v>
      </c>
      <c r="T932" s="11">
        <v>3.3464962184592698E-3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6.2912865681031801E-3</v>
      </c>
      <c r="AE932">
        <v>0</v>
      </c>
      <c r="AF932">
        <v>0</v>
      </c>
      <c r="AG932">
        <v>0</v>
      </c>
      <c r="AH932">
        <v>0</v>
      </c>
      <c r="AI932">
        <v>0</v>
      </c>
      <c r="AJ932">
        <v>0</v>
      </c>
      <c r="AK932">
        <v>0</v>
      </c>
      <c r="AL932">
        <v>0</v>
      </c>
      <c r="AM932">
        <v>0</v>
      </c>
    </row>
    <row r="933" spans="1:39" customFormat="1" hidden="1" x14ac:dyDescent="0.3">
      <c r="A933" t="s">
        <v>834</v>
      </c>
      <c r="B933" t="s">
        <v>30</v>
      </c>
      <c r="C933" t="s">
        <v>81</v>
      </c>
      <c r="D933" t="s">
        <v>80</v>
      </c>
      <c r="E933" t="s">
        <v>304</v>
      </c>
      <c r="F933" t="s">
        <v>304</v>
      </c>
      <c r="G933" t="s">
        <v>304</v>
      </c>
      <c r="H933" s="16">
        <v>0</v>
      </c>
      <c r="I933" s="11">
        <v>0</v>
      </c>
      <c r="J933" s="11">
        <v>0</v>
      </c>
      <c r="K933" s="11">
        <v>0</v>
      </c>
      <c r="L933" s="11">
        <v>0</v>
      </c>
      <c r="M933" s="11">
        <v>0</v>
      </c>
      <c r="N933" s="11">
        <v>0</v>
      </c>
      <c r="O933" s="11">
        <v>0</v>
      </c>
      <c r="P933" s="11">
        <v>0</v>
      </c>
      <c r="Q933" s="11">
        <v>5.4985841145904898E-3</v>
      </c>
      <c r="R933" s="11">
        <v>0</v>
      </c>
      <c r="S933" s="11">
        <v>0</v>
      </c>
      <c r="T933" s="11">
        <v>0</v>
      </c>
      <c r="U933">
        <v>3.04201016031394E-3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0</v>
      </c>
      <c r="AL933">
        <v>0</v>
      </c>
      <c r="AM933">
        <v>0</v>
      </c>
    </row>
    <row r="934" spans="1:39" customFormat="1" hidden="1" x14ac:dyDescent="0.3">
      <c r="A934" t="s">
        <v>833</v>
      </c>
      <c r="B934" t="s">
        <v>30</v>
      </c>
      <c r="C934" t="s">
        <v>29</v>
      </c>
      <c r="D934" t="s">
        <v>28</v>
      </c>
      <c r="E934" t="s">
        <v>388</v>
      </c>
      <c r="F934" t="s">
        <v>624</v>
      </c>
      <c r="G934" t="s">
        <v>832</v>
      </c>
      <c r="H934" s="16">
        <v>0</v>
      </c>
      <c r="I934" s="11">
        <v>0</v>
      </c>
      <c r="J934" s="11">
        <v>0</v>
      </c>
      <c r="K934" s="11">
        <v>0</v>
      </c>
      <c r="L934" s="11">
        <v>0</v>
      </c>
      <c r="M934" s="11">
        <v>7.0977358222727004E-3</v>
      </c>
      <c r="N934" s="11">
        <v>0</v>
      </c>
      <c r="O934" s="11">
        <v>0</v>
      </c>
      <c r="P934" s="11">
        <v>3.3947788301592198E-3</v>
      </c>
      <c r="Q934" s="11">
        <v>0</v>
      </c>
      <c r="R934" s="11">
        <v>0</v>
      </c>
      <c r="S934" s="11">
        <v>0</v>
      </c>
      <c r="T934" s="11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4.5968557506665397E-3</v>
      </c>
      <c r="AJ934">
        <v>0</v>
      </c>
      <c r="AK934">
        <v>0</v>
      </c>
      <c r="AL934">
        <v>0</v>
      </c>
      <c r="AM934">
        <v>0</v>
      </c>
    </row>
    <row r="935" spans="1:39" x14ac:dyDescent="0.3">
      <c r="A935" s="6" t="s">
        <v>831</v>
      </c>
      <c r="B935" s="6" t="s">
        <v>30</v>
      </c>
      <c r="C935" s="6" t="s">
        <v>29</v>
      </c>
      <c r="D935" s="6" t="s">
        <v>28</v>
      </c>
      <c r="E935" s="6" t="s">
        <v>388</v>
      </c>
      <c r="F935" s="6" t="s">
        <v>624</v>
      </c>
      <c r="G935" s="6" t="s">
        <v>634</v>
      </c>
      <c r="H935" s="49">
        <v>0</v>
      </c>
      <c r="I935" s="6">
        <v>0</v>
      </c>
      <c r="J935" s="6">
        <v>0</v>
      </c>
      <c r="K935" s="6">
        <v>0</v>
      </c>
      <c r="L935" s="6">
        <v>0</v>
      </c>
      <c r="M935" s="6">
        <v>0</v>
      </c>
      <c r="N935" s="6">
        <v>0</v>
      </c>
      <c r="O935" s="6">
        <v>0</v>
      </c>
      <c r="P935" s="6">
        <v>0</v>
      </c>
      <c r="Q935" s="6">
        <v>5.4985841145904898E-3</v>
      </c>
      <c r="R935" s="6">
        <v>2.2441148089136199E-3</v>
      </c>
      <c r="S935" s="6">
        <v>0</v>
      </c>
      <c r="T935" s="6">
        <v>0</v>
      </c>
      <c r="U935" s="6">
        <v>0</v>
      </c>
      <c r="V935" s="6">
        <v>0</v>
      </c>
      <c r="W935" s="6">
        <v>0</v>
      </c>
      <c r="X935" s="6">
        <v>0</v>
      </c>
      <c r="Y935" s="6">
        <v>0</v>
      </c>
      <c r="Z935" s="6">
        <v>0</v>
      </c>
      <c r="AA935" s="6">
        <v>0</v>
      </c>
      <c r="AB935" s="6">
        <v>0</v>
      </c>
      <c r="AC935" s="6">
        <v>0</v>
      </c>
      <c r="AD935" s="6">
        <v>9.4369298521547705E-3</v>
      </c>
      <c r="AE935" s="6">
        <v>0</v>
      </c>
      <c r="AF935" s="6">
        <v>0</v>
      </c>
      <c r="AG935" s="6">
        <v>0</v>
      </c>
      <c r="AH935" s="6">
        <v>0</v>
      </c>
      <c r="AI935" s="6">
        <v>0</v>
      </c>
      <c r="AJ935" s="6">
        <v>0</v>
      </c>
      <c r="AK935" s="6">
        <v>0</v>
      </c>
      <c r="AL935" s="6">
        <v>0</v>
      </c>
      <c r="AM935" s="6">
        <v>0</v>
      </c>
    </row>
    <row r="936" spans="1:39" customFormat="1" hidden="1" x14ac:dyDescent="0.3">
      <c r="A936" t="s">
        <v>830</v>
      </c>
      <c r="B936" t="s">
        <v>30</v>
      </c>
      <c r="C936" t="s">
        <v>29</v>
      </c>
      <c r="D936" t="s">
        <v>28</v>
      </c>
      <c r="E936" t="s">
        <v>388</v>
      </c>
      <c r="F936" t="s">
        <v>823</v>
      </c>
      <c r="G936" t="s">
        <v>829</v>
      </c>
      <c r="H936" s="16">
        <v>0</v>
      </c>
      <c r="I936" s="11">
        <v>0</v>
      </c>
      <c r="J936" s="11">
        <v>0</v>
      </c>
      <c r="K936" s="11">
        <v>0</v>
      </c>
      <c r="L936" s="11">
        <v>0</v>
      </c>
      <c r="M936" s="11">
        <v>0</v>
      </c>
      <c r="N936" s="11">
        <v>0</v>
      </c>
      <c r="O936" s="11">
        <v>0</v>
      </c>
      <c r="P936" s="11">
        <v>0</v>
      </c>
      <c r="Q936" s="11">
        <v>0</v>
      </c>
      <c r="R936" s="11">
        <v>0</v>
      </c>
      <c r="S936" s="11">
        <v>0</v>
      </c>
      <c r="T936" s="11">
        <v>0</v>
      </c>
      <c r="U936">
        <v>0</v>
      </c>
      <c r="V936">
        <v>0</v>
      </c>
      <c r="W936">
        <v>2.6668088964744798E-3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0</v>
      </c>
      <c r="AM936">
        <v>0</v>
      </c>
    </row>
    <row r="937" spans="1:39" customFormat="1" hidden="1" x14ac:dyDescent="0.3">
      <c r="A937" t="s">
        <v>828</v>
      </c>
      <c r="B937" t="s">
        <v>30</v>
      </c>
      <c r="C937" t="s">
        <v>29</v>
      </c>
      <c r="D937" t="s">
        <v>28</v>
      </c>
      <c r="E937" t="s">
        <v>388</v>
      </c>
      <c r="F937" t="s">
        <v>624</v>
      </c>
      <c r="G937" t="s">
        <v>623</v>
      </c>
      <c r="H937" s="16">
        <v>0</v>
      </c>
      <c r="I937" s="11">
        <v>0</v>
      </c>
      <c r="J937" s="11">
        <v>0</v>
      </c>
      <c r="K937" s="11">
        <v>0</v>
      </c>
      <c r="L937" s="11">
        <v>0</v>
      </c>
      <c r="M937" s="11">
        <v>0</v>
      </c>
      <c r="N937" s="11">
        <v>0</v>
      </c>
      <c r="O937" s="11">
        <v>0</v>
      </c>
      <c r="P937" s="11">
        <v>0</v>
      </c>
      <c r="Q937" s="11">
        <v>0</v>
      </c>
      <c r="R937" s="11">
        <v>0</v>
      </c>
      <c r="S937" s="11">
        <v>2.4883049666567102E-3</v>
      </c>
      <c r="T937" s="11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6.89528362599982E-3</v>
      </c>
      <c r="AJ937">
        <v>0</v>
      </c>
      <c r="AK937">
        <v>0</v>
      </c>
      <c r="AL937">
        <v>0</v>
      </c>
      <c r="AM937">
        <v>0</v>
      </c>
    </row>
    <row r="938" spans="1:39" x14ac:dyDescent="0.3">
      <c r="A938" s="6" t="s">
        <v>827</v>
      </c>
      <c r="B938" s="6" t="s">
        <v>30</v>
      </c>
      <c r="C938" s="6" t="s">
        <v>29</v>
      </c>
      <c r="D938" s="6" t="s">
        <v>28</v>
      </c>
      <c r="E938" s="6" t="s">
        <v>388</v>
      </c>
      <c r="F938" s="6" t="s">
        <v>624</v>
      </c>
      <c r="G938" s="6" t="s">
        <v>634</v>
      </c>
      <c r="H938" s="49">
        <v>0</v>
      </c>
      <c r="I938" s="6">
        <v>0</v>
      </c>
      <c r="J938" s="6">
        <v>0</v>
      </c>
      <c r="K938" s="6">
        <v>0</v>
      </c>
      <c r="L938" s="6">
        <v>0</v>
      </c>
      <c r="M938" s="6">
        <v>0</v>
      </c>
      <c r="N938" s="6">
        <v>0</v>
      </c>
      <c r="O938" s="6">
        <v>0</v>
      </c>
      <c r="P938" s="6">
        <v>6.78955766031843E-3</v>
      </c>
      <c r="Q938" s="6">
        <v>0</v>
      </c>
      <c r="R938" s="6">
        <v>2.2441148089136199E-3</v>
      </c>
      <c r="S938" s="6">
        <v>0</v>
      </c>
      <c r="T938" s="6">
        <v>0</v>
      </c>
      <c r="U938" s="6">
        <v>0</v>
      </c>
      <c r="V938" s="6">
        <v>0</v>
      </c>
      <c r="W938" s="6">
        <v>0</v>
      </c>
      <c r="X938" s="6">
        <v>0</v>
      </c>
      <c r="Y938" s="6">
        <v>0</v>
      </c>
      <c r="Z938" s="6">
        <v>0</v>
      </c>
      <c r="AA938" s="6">
        <v>0</v>
      </c>
      <c r="AB938" s="6">
        <v>0</v>
      </c>
      <c r="AC938" s="6">
        <v>0</v>
      </c>
      <c r="AD938" s="6">
        <v>6.2912865681031801E-3</v>
      </c>
      <c r="AE938" s="6">
        <v>3.4299434059338E-3</v>
      </c>
      <c r="AF938" s="6">
        <v>0</v>
      </c>
      <c r="AG938" s="6">
        <v>0</v>
      </c>
      <c r="AH938" s="6">
        <v>0</v>
      </c>
      <c r="AI938" s="6">
        <v>0</v>
      </c>
      <c r="AJ938" s="6">
        <v>0</v>
      </c>
      <c r="AK938" s="6">
        <v>0</v>
      </c>
      <c r="AL938" s="6">
        <v>0</v>
      </c>
      <c r="AM938" s="6">
        <v>0</v>
      </c>
    </row>
    <row r="939" spans="1:39" x14ac:dyDescent="0.3">
      <c r="A939" s="6" t="s">
        <v>826</v>
      </c>
      <c r="B939" s="6" t="s">
        <v>30</v>
      </c>
      <c r="C939" s="6" t="s">
        <v>29</v>
      </c>
      <c r="D939" s="6" t="s">
        <v>28</v>
      </c>
      <c r="E939" s="6" t="s">
        <v>388</v>
      </c>
      <c r="F939" s="6" t="s">
        <v>624</v>
      </c>
      <c r="G939" s="6" t="s">
        <v>634</v>
      </c>
      <c r="H939" s="49">
        <v>0</v>
      </c>
      <c r="I939" s="6">
        <v>0</v>
      </c>
      <c r="J939" s="6">
        <v>0</v>
      </c>
      <c r="K939" s="6">
        <v>0</v>
      </c>
      <c r="L939" s="6">
        <v>0</v>
      </c>
      <c r="M939" s="6">
        <v>0</v>
      </c>
      <c r="N939" s="6">
        <v>0</v>
      </c>
      <c r="O939" s="6">
        <v>0</v>
      </c>
      <c r="P939" s="6">
        <v>0</v>
      </c>
      <c r="Q939" s="6">
        <v>0</v>
      </c>
      <c r="R939" s="6">
        <v>0</v>
      </c>
      <c r="S939" s="6">
        <v>0</v>
      </c>
      <c r="T939" s="6">
        <v>0</v>
      </c>
      <c r="U939" s="6">
        <v>0</v>
      </c>
      <c r="V939" s="6">
        <v>0</v>
      </c>
      <c r="W939" s="6">
        <v>0</v>
      </c>
      <c r="X939" s="6">
        <v>0</v>
      </c>
      <c r="Y939" s="6">
        <v>2.9264581077521898E-3</v>
      </c>
      <c r="Z939" s="6">
        <v>0</v>
      </c>
      <c r="AA939" s="6">
        <v>0</v>
      </c>
      <c r="AB939" s="6">
        <v>0</v>
      </c>
      <c r="AC939" s="6">
        <v>0</v>
      </c>
      <c r="AD939" s="6">
        <v>6.2912865681031801E-3</v>
      </c>
      <c r="AE939" s="6">
        <v>0</v>
      </c>
      <c r="AF939" s="6">
        <v>0</v>
      </c>
      <c r="AG939" s="6">
        <v>0</v>
      </c>
      <c r="AH939" s="6">
        <v>0</v>
      </c>
      <c r="AI939" s="6">
        <v>0</v>
      </c>
      <c r="AJ939" s="6">
        <v>0</v>
      </c>
      <c r="AK939" s="6">
        <v>0</v>
      </c>
      <c r="AL939" s="6">
        <v>0</v>
      </c>
      <c r="AM939" s="6">
        <v>0</v>
      </c>
    </row>
    <row r="940" spans="1:39" x14ac:dyDescent="0.3">
      <c r="A940" s="6" t="s">
        <v>825</v>
      </c>
      <c r="B940" s="6" t="s">
        <v>30</v>
      </c>
      <c r="C940" s="6" t="s">
        <v>29</v>
      </c>
      <c r="D940" s="6" t="s">
        <v>28</v>
      </c>
      <c r="E940" s="6" t="s">
        <v>388</v>
      </c>
      <c r="F940" s="6" t="s">
        <v>624</v>
      </c>
      <c r="G940" s="6" t="s">
        <v>634</v>
      </c>
      <c r="H940" s="49">
        <v>0</v>
      </c>
      <c r="I940" s="6">
        <v>0</v>
      </c>
      <c r="J940" s="6">
        <v>0</v>
      </c>
      <c r="K940" s="6">
        <v>0</v>
      </c>
      <c r="L940" s="6">
        <v>0</v>
      </c>
      <c r="M940" s="6">
        <v>0</v>
      </c>
      <c r="N940" s="6">
        <v>0</v>
      </c>
      <c r="O940" s="6">
        <v>0</v>
      </c>
      <c r="P940" s="6">
        <v>0</v>
      </c>
      <c r="Q940" s="6">
        <v>2.7492920572952501E-3</v>
      </c>
      <c r="R940" s="6">
        <v>0</v>
      </c>
      <c r="S940" s="6">
        <v>0</v>
      </c>
      <c r="T940" s="6">
        <v>0</v>
      </c>
      <c r="U940" s="6">
        <v>0</v>
      </c>
      <c r="V940" s="6">
        <v>0</v>
      </c>
      <c r="W940" s="6">
        <v>0</v>
      </c>
      <c r="X940" s="6">
        <v>0</v>
      </c>
      <c r="Y940" s="6">
        <v>0</v>
      </c>
      <c r="Z940" s="6">
        <v>0</v>
      </c>
      <c r="AA940" s="6">
        <v>0</v>
      </c>
      <c r="AB940" s="6">
        <v>0</v>
      </c>
      <c r="AC940" s="6">
        <v>0</v>
      </c>
      <c r="AD940" s="6">
        <v>0</v>
      </c>
      <c r="AE940" s="6">
        <v>0</v>
      </c>
      <c r="AF940" s="6">
        <v>0</v>
      </c>
      <c r="AG940" s="6">
        <v>0</v>
      </c>
      <c r="AH940" s="6">
        <v>0</v>
      </c>
      <c r="AI940" s="6">
        <v>6.89528362599982E-3</v>
      </c>
      <c r="AJ940" s="6">
        <v>0</v>
      </c>
      <c r="AK940" s="6">
        <v>0</v>
      </c>
      <c r="AL940" s="6">
        <v>0</v>
      </c>
      <c r="AM940" s="6">
        <v>0</v>
      </c>
    </row>
    <row r="941" spans="1:39" customFormat="1" hidden="1" x14ac:dyDescent="0.3">
      <c r="A941" t="s">
        <v>824</v>
      </c>
      <c r="B941" t="s">
        <v>30</v>
      </c>
      <c r="C941" t="s">
        <v>29</v>
      </c>
      <c r="D941" t="s">
        <v>28</v>
      </c>
      <c r="E941" t="s">
        <v>388</v>
      </c>
      <c r="F941" t="s">
        <v>823</v>
      </c>
      <c r="G941" t="s">
        <v>822</v>
      </c>
      <c r="H941" s="16">
        <v>0</v>
      </c>
      <c r="I941" s="11">
        <v>0</v>
      </c>
      <c r="J941" s="11">
        <v>0</v>
      </c>
      <c r="K941" s="11">
        <v>0</v>
      </c>
      <c r="L941" s="11">
        <v>0</v>
      </c>
      <c r="M941" s="11">
        <v>0</v>
      </c>
      <c r="N941" s="11">
        <v>0</v>
      </c>
      <c r="O941" s="11">
        <v>0</v>
      </c>
      <c r="P941" s="11">
        <v>0</v>
      </c>
      <c r="Q941" s="11">
        <v>5.4985841145904898E-3</v>
      </c>
      <c r="R941" s="11">
        <v>2.2441148089136199E-3</v>
      </c>
      <c r="S941" s="11">
        <v>0</v>
      </c>
      <c r="T941" s="1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0</v>
      </c>
      <c r="AM941">
        <v>0</v>
      </c>
    </row>
    <row r="942" spans="1:39" x14ac:dyDescent="0.3">
      <c r="A942" s="6" t="s">
        <v>821</v>
      </c>
      <c r="B942" s="6" t="s">
        <v>30</v>
      </c>
      <c r="C942" s="6" t="s">
        <v>29</v>
      </c>
      <c r="D942" s="6" t="s">
        <v>28</v>
      </c>
      <c r="E942" s="6" t="s">
        <v>388</v>
      </c>
      <c r="F942" s="6" t="s">
        <v>624</v>
      </c>
      <c r="G942" s="6" t="s">
        <v>634</v>
      </c>
      <c r="H942" s="49">
        <v>0</v>
      </c>
      <c r="I942" s="6">
        <v>0</v>
      </c>
      <c r="J942" s="6">
        <v>0</v>
      </c>
      <c r="K942" s="6">
        <v>0</v>
      </c>
      <c r="L942" s="6">
        <v>0</v>
      </c>
      <c r="M942" s="6">
        <v>0</v>
      </c>
      <c r="N942" s="6">
        <v>0</v>
      </c>
      <c r="O942" s="6">
        <v>0</v>
      </c>
      <c r="P942" s="6">
        <v>0</v>
      </c>
      <c r="Q942" s="6">
        <v>2.7492920572952501E-3</v>
      </c>
      <c r="R942" s="6">
        <v>0</v>
      </c>
      <c r="S942" s="6">
        <v>0</v>
      </c>
      <c r="T942" s="6">
        <v>0</v>
      </c>
      <c r="U942" s="6">
        <v>0</v>
      </c>
      <c r="V942" s="6">
        <v>0</v>
      </c>
      <c r="W942" s="6">
        <v>0</v>
      </c>
      <c r="X942" s="6">
        <v>0</v>
      </c>
      <c r="Y942" s="6">
        <v>0</v>
      </c>
      <c r="Z942" s="6">
        <v>0</v>
      </c>
      <c r="AA942" s="6">
        <v>0</v>
      </c>
      <c r="AB942" s="6">
        <v>0</v>
      </c>
      <c r="AC942" s="6">
        <v>7.1911405148856597E-3</v>
      </c>
      <c r="AD942" s="6">
        <v>3.14564328405159E-3</v>
      </c>
      <c r="AE942" s="6">
        <v>3.4299434059338E-3</v>
      </c>
      <c r="AF942" s="6">
        <v>0</v>
      </c>
      <c r="AG942" s="6">
        <v>0</v>
      </c>
      <c r="AH942" s="6">
        <v>0</v>
      </c>
      <c r="AI942" s="6">
        <v>0</v>
      </c>
      <c r="AJ942" s="6">
        <v>0</v>
      </c>
      <c r="AK942" s="6">
        <v>0</v>
      </c>
      <c r="AL942" s="6">
        <v>0</v>
      </c>
      <c r="AM942" s="6">
        <v>0</v>
      </c>
    </row>
    <row r="943" spans="1:39" customFormat="1" hidden="1" x14ac:dyDescent="0.3">
      <c r="A943" t="s">
        <v>820</v>
      </c>
      <c r="B943" t="s">
        <v>30</v>
      </c>
      <c r="C943" t="s">
        <v>35</v>
      </c>
      <c r="D943" t="s">
        <v>35</v>
      </c>
      <c r="E943" t="s">
        <v>128</v>
      </c>
      <c r="F943" t="s">
        <v>127</v>
      </c>
      <c r="G943" t="s">
        <v>130</v>
      </c>
      <c r="H943" s="16">
        <v>0</v>
      </c>
      <c r="I943" s="11">
        <v>0</v>
      </c>
      <c r="J943" s="11">
        <v>0</v>
      </c>
      <c r="K943" s="11">
        <v>0</v>
      </c>
      <c r="L943" s="11">
        <v>0</v>
      </c>
      <c r="M943" s="11">
        <v>0</v>
      </c>
      <c r="N943" s="11">
        <v>0</v>
      </c>
      <c r="O943" s="11">
        <v>0</v>
      </c>
      <c r="P943" s="11">
        <v>0</v>
      </c>
      <c r="Q943" s="11">
        <v>0</v>
      </c>
      <c r="R943" s="11">
        <v>0</v>
      </c>
      <c r="S943" s="11">
        <v>0</v>
      </c>
      <c r="T943" s="11">
        <v>0</v>
      </c>
      <c r="U943">
        <v>0</v>
      </c>
      <c r="V943">
        <v>0</v>
      </c>
      <c r="W943">
        <v>2.6668088964744798E-3</v>
      </c>
      <c r="X943">
        <v>0</v>
      </c>
      <c r="Y943">
        <v>2.9264581077521898E-3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0</v>
      </c>
      <c r="AM943">
        <v>0</v>
      </c>
    </row>
    <row r="944" spans="1:39" customFormat="1" hidden="1" x14ac:dyDescent="0.3">
      <c r="A944" t="s">
        <v>819</v>
      </c>
      <c r="B944" t="s">
        <v>30</v>
      </c>
      <c r="C944" t="s">
        <v>81</v>
      </c>
      <c r="D944" t="s">
        <v>80</v>
      </c>
      <c r="E944" t="s">
        <v>304</v>
      </c>
      <c r="F944" t="s">
        <v>304</v>
      </c>
      <c r="G944" t="s">
        <v>304</v>
      </c>
      <c r="H944" s="16">
        <v>0</v>
      </c>
      <c r="I944" s="11">
        <v>0</v>
      </c>
      <c r="J944" s="11">
        <v>0</v>
      </c>
      <c r="K944" s="11">
        <v>0</v>
      </c>
      <c r="L944" s="11">
        <v>0</v>
      </c>
      <c r="M944" s="11">
        <v>0</v>
      </c>
      <c r="N944" s="11">
        <v>0</v>
      </c>
      <c r="O944" s="11">
        <v>0</v>
      </c>
      <c r="P944" s="11">
        <v>0</v>
      </c>
      <c r="Q944" s="11">
        <v>0</v>
      </c>
      <c r="R944" s="11">
        <v>0</v>
      </c>
      <c r="S944" s="11">
        <v>0</v>
      </c>
      <c r="T944" s="11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3.5915670006823998E-3</v>
      </c>
      <c r="AK944">
        <v>0</v>
      </c>
      <c r="AL944">
        <v>0</v>
      </c>
      <c r="AM944">
        <v>0</v>
      </c>
    </row>
    <row r="945" spans="1:39" customFormat="1" hidden="1" x14ac:dyDescent="0.3">
      <c r="A945" t="s">
        <v>818</v>
      </c>
      <c r="B945" t="s">
        <v>30</v>
      </c>
      <c r="C945" t="s">
        <v>81</v>
      </c>
      <c r="D945" t="s">
        <v>85</v>
      </c>
      <c r="E945" t="s">
        <v>287</v>
      </c>
      <c r="F945" t="s">
        <v>817</v>
      </c>
      <c r="G945" t="s">
        <v>817</v>
      </c>
      <c r="H945" s="16">
        <v>0</v>
      </c>
      <c r="I945" s="11">
        <v>0</v>
      </c>
      <c r="J945" s="11">
        <v>0</v>
      </c>
      <c r="K945" s="11">
        <v>0</v>
      </c>
      <c r="L945" s="11">
        <v>0</v>
      </c>
      <c r="M945" s="11">
        <v>0</v>
      </c>
      <c r="N945" s="11">
        <v>0</v>
      </c>
      <c r="O945" s="11">
        <v>0</v>
      </c>
      <c r="P945" s="11">
        <v>0</v>
      </c>
      <c r="Q945" s="11">
        <v>2.7492920572952501E-3</v>
      </c>
      <c r="R945" s="11">
        <v>0</v>
      </c>
      <c r="S945" s="11">
        <v>0</v>
      </c>
      <c r="T945" s="11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0</v>
      </c>
      <c r="AL945">
        <v>3.5844863431070302E-3</v>
      </c>
      <c r="AM945">
        <v>0</v>
      </c>
    </row>
    <row r="946" spans="1:39" customFormat="1" hidden="1" x14ac:dyDescent="0.3">
      <c r="A946" t="s">
        <v>816</v>
      </c>
      <c r="B946" t="s">
        <v>30</v>
      </c>
      <c r="C946" t="s">
        <v>81</v>
      </c>
      <c r="D946" t="s">
        <v>80</v>
      </c>
      <c r="E946" t="s">
        <v>122</v>
      </c>
      <c r="F946" t="s">
        <v>121</v>
      </c>
      <c r="G946" t="s">
        <v>815</v>
      </c>
      <c r="H946" s="16">
        <v>0</v>
      </c>
      <c r="I946" s="11">
        <v>0</v>
      </c>
      <c r="J946" s="11">
        <v>0</v>
      </c>
      <c r="K946" s="11">
        <v>0</v>
      </c>
      <c r="L946" s="11">
        <v>0</v>
      </c>
      <c r="M946" s="11">
        <v>0</v>
      </c>
      <c r="N946" s="11">
        <v>0</v>
      </c>
      <c r="O946" s="11">
        <v>0</v>
      </c>
      <c r="P946" s="11">
        <v>0</v>
      </c>
      <c r="Q946" s="11">
        <v>0</v>
      </c>
      <c r="R946" s="11">
        <v>0</v>
      </c>
      <c r="S946" s="11">
        <v>0</v>
      </c>
      <c r="T946" s="11">
        <v>0</v>
      </c>
      <c r="U946">
        <v>0</v>
      </c>
      <c r="V946">
        <v>3.6144142841652502E-3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5.03372596395852E-3</v>
      </c>
      <c r="AG946">
        <v>0</v>
      </c>
      <c r="AH946">
        <v>0</v>
      </c>
      <c r="AI946">
        <v>0</v>
      </c>
      <c r="AJ946">
        <v>0</v>
      </c>
      <c r="AK946">
        <v>0</v>
      </c>
      <c r="AL946">
        <v>0</v>
      </c>
      <c r="AM946">
        <v>0</v>
      </c>
    </row>
    <row r="947" spans="1:39" customFormat="1" hidden="1" x14ac:dyDescent="0.3">
      <c r="A947" t="s">
        <v>813</v>
      </c>
      <c r="B947" t="s">
        <v>30</v>
      </c>
      <c r="C947" t="s">
        <v>81</v>
      </c>
      <c r="D947" t="s">
        <v>80</v>
      </c>
      <c r="E947" t="s">
        <v>618</v>
      </c>
      <c r="F947" t="s">
        <v>629</v>
      </c>
      <c r="G947" t="s">
        <v>628</v>
      </c>
      <c r="H947" s="16">
        <v>0</v>
      </c>
      <c r="I947" s="11">
        <v>0</v>
      </c>
      <c r="J947" s="11">
        <v>0</v>
      </c>
      <c r="K947" s="11">
        <v>0</v>
      </c>
      <c r="L947" s="11">
        <v>0</v>
      </c>
      <c r="M947" s="11">
        <v>0</v>
      </c>
      <c r="N947" s="11">
        <v>0</v>
      </c>
      <c r="O947" s="11">
        <v>0</v>
      </c>
      <c r="P947" s="11">
        <v>0</v>
      </c>
      <c r="Q947" s="11">
        <v>0</v>
      </c>
      <c r="R947" s="11">
        <v>0</v>
      </c>
      <c r="S947" s="11">
        <v>0</v>
      </c>
      <c r="T947" s="11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3.4299434059338E-3</v>
      </c>
      <c r="AF947">
        <v>0</v>
      </c>
      <c r="AG947">
        <v>0</v>
      </c>
      <c r="AH947">
        <v>0</v>
      </c>
      <c r="AI947">
        <v>2.2984278753332699E-3</v>
      </c>
      <c r="AJ947">
        <v>0</v>
      </c>
      <c r="AK947">
        <v>0</v>
      </c>
      <c r="AL947">
        <v>0</v>
      </c>
      <c r="AM947">
        <v>0</v>
      </c>
    </row>
    <row r="948" spans="1:39" customFormat="1" hidden="1" x14ac:dyDescent="0.3">
      <c r="A948" t="s">
        <v>812</v>
      </c>
      <c r="B948" t="s">
        <v>30</v>
      </c>
      <c r="C948" t="s">
        <v>81</v>
      </c>
      <c r="D948" t="s">
        <v>80</v>
      </c>
      <c r="E948" t="s">
        <v>618</v>
      </c>
      <c r="F948" t="s">
        <v>617</v>
      </c>
      <c r="G948" t="s">
        <v>616</v>
      </c>
      <c r="H948" s="16">
        <v>0</v>
      </c>
      <c r="I948" s="11">
        <v>0</v>
      </c>
      <c r="J948" s="11">
        <v>0</v>
      </c>
      <c r="K948" s="11">
        <v>0</v>
      </c>
      <c r="L948" s="11">
        <v>0</v>
      </c>
      <c r="M948" s="11">
        <v>0</v>
      </c>
      <c r="N948" s="11">
        <v>0</v>
      </c>
      <c r="O948" s="11">
        <v>0</v>
      </c>
      <c r="P948" s="11">
        <v>0</v>
      </c>
      <c r="Q948" s="11">
        <v>0</v>
      </c>
      <c r="R948" s="11">
        <v>0</v>
      </c>
      <c r="S948" s="11">
        <v>0</v>
      </c>
      <c r="T948" s="11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6.2912865681031801E-3</v>
      </c>
      <c r="AE948">
        <v>0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0</v>
      </c>
      <c r="AL948">
        <v>0</v>
      </c>
      <c r="AM948">
        <v>0</v>
      </c>
    </row>
    <row r="949" spans="1:39" customFormat="1" hidden="1" x14ac:dyDescent="0.3">
      <c r="A949" t="s">
        <v>811</v>
      </c>
      <c r="B949" t="s">
        <v>30</v>
      </c>
      <c r="C949" t="s">
        <v>81</v>
      </c>
      <c r="D949" t="s">
        <v>80</v>
      </c>
      <c r="E949" t="s">
        <v>618</v>
      </c>
      <c r="F949" t="s">
        <v>617</v>
      </c>
      <c r="G949" t="s">
        <v>616</v>
      </c>
      <c r="H949" s="16">
        <v>0</v>
      </c>
      <c r="I949" s="11">
        <v>0</v>
      </c>
      <c r="J949" s="11">
        <v>0</v>
      </c>
      <c r="K949" s="11">
        <v>0</v>
      </c>
      <c r="L949" s="11">
        <v>0</v>
      </c>
      <c r="M949" s="11">
        <v>0</v>
      </c>
      <c r="N949" s="11">
        <v>0</v>
      </c>
      <c r="O949" s="11">
        <v>0</v>
      </c>
      <c r="P949" s="11">
        <v>0</v>
      </c>
      <c r="Q949" s="11">
        <v>0</v>
      </c>
      <c r="R949" s="11">
        <v>0</v>
      </c>
      <c r="S949" s="11">
        <v>4.9766099333134299E-3</v>
      </c>
      <c r="T949" s="11">
        <v>0</v>
      </c>
      <c r="U949">
        <v>0</v>
      </c>
      <c r="V949">
        <v>0</v>
      </c>
      <c r="W949">
        <v>2.6668088964744798E-3</v>
      </c>
      <c r="X949">
        <v>0</v>
      </c>
      <c r="Y949">
        <v>0</v>
      </c>
      <c r="Z949">
        <v>0</v>
      </c>
      <c r="AA949">
        <v>0</v>
      </c>
      <c r="AB949">
        <v>4.5118209709438702E-3</v>
      </c>
      <c r="AC949">
        <v>0</v>
      </c>
      <c r="AD949">
        <v>3.14564328405159E-3</v>
      </c>
      <c r="AE949">
        <v>0</v>
      </c>
      <c r="AF949">
        <v>0</v>
      </c>
      <c r="AG949">
        <v>0</v>
      </c>
      <c r="AH949">
        <v>0</v>
      </c>
      <c r="AI949">
        <v>0</v>
      </c>
      <c r="AJ949">
        <v>0</v>
      </c>
      <c r="AK949">
        <v>0</v>
      </c>
      <c r="AL949">
        <v>0</v>
      </c>
      <c r="AM949">
        <v>0</v>
      </c>
    </row>
    <row r="950" spans="1:39" customFormat="1" hidden="1" x14ac:dyDescent="0.3">
      <c r="A950" t="s">
        <v>810</v>
      </c>
      <c r="B950" t="s">
        <v>30</v>
      </c>
      <c r="C950" t="s">
        <v>81</v>
      </c>
      <c r="D950" t="s">
        <v>80</v>
      </c>
      <c r="E950" t="s">
        <v>618</v>
      </c>
      <c r="F950" t="s">
        <v>617</v>
      </c>
      <c r="G950" t="s">
        <v>616</v>
      </c>
      <c r="H950" s="16">
        <v>0</v>
      </c>
      <c r="I950" s="11">
        <v>0</v>
      </c>
      <c r="J950" s="11">
        <v>0</v>
      </c>
      <c r="K950" s="11">
        <v>0</v>
      </c>
      <c r="L950" s="11">
        <v>0</v>
      </c>
      <c r="M950" s="11">
        <v>0</v>
      </c>
      <c r="N950" s="11">
        <v>0</v>
      </c>
      <c r="O950" s="11">
        <v>0</v>
      </c>
      <c r="P950" s="11">
        <v>0</v>
      </c>
      <c r="Q950" s="11">
        <v>0</v>
      </c>
      <c r="R950" s="11">
        <v>0</v>
      </c>
      <c r="S950" s="11">
        <v>0</v>
      </c>
      <c r="T950" s="11">
        <v>0</v>
      </c>
      <c r="U950">
        <v>0</v>
      </c>
      <c r="V950">
        <v>0</v>
      </c>
      <c r="W950">
        <v>0</v>
      </c>
      <c r="X950">
        <v>0</v>
      </c>
      <c r="Y950">
        <v>2.9264581077521898E-3</v>
      </c>
      <c r="Z950">
        <v>0</v>
      </c>
      <c r="AA950">
        <v>0</v>
      </c>
      <c r="AB950">
        <v>9.0236419418877507E-3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  <c r="AJ950">
        <v>0</v>
      </c>
      <c r="AK950">
        <v>0</v>
      </c>
      <c r="AL950">
        <v>0</v>
      </c>
      <c r="AM950">
        <v>0</v>
      </c>
    </row>
    <row r="951" spans="1:39" customFormat="1" hidden="1" x14ac:dyDescent="0.3">
      <c r="A951" t="s">
        <v>809</v>
      </c>
      <c r="B951" t="s">
        <v>30</v>
      </c>
      <c r="C951" t="s">
        <v>81</v>
      </c>
      <c r="D951" t="s">
        <v>80</v>
      </c>
      <c r="E951" t="s">
        <v>618</v>
      </c>
      <c r="F951" t="s">
        <v>617</v>
      </c>
      <c r="G951" t="s">
        <v>616</v>
      </c>
      <c r="H951" s="16">
        <v>0</v>
      </c>
      <c r="I951" s="11">
        <v>0</v>
      </c>
      <c r="J951" s="11">
        <v>0</v>
      </c>
      <c r="K951" s="11">
        <v>0</v>
      </c>
      <c r="L951" s="11">
        <v>0</v>
      </c>
      <c r="M951" s="11">
        <v>0</v>
      </c>
      <c r="N951" s="11">
        <v>0</v>
      </c>
      <c r="O951" s="11">
        <v>0</v>
      </c>
      <c r="P951" s="11">
        <v>0</v>
      </c>
      <c r="Q951" s="11">
        <v>0</v>
      </c>
      <c r="R951" s="11">
        <v>0</v>
      </c>
      <c r="S951" s="11">
        <v>2.4883049666567102E-3</v>
      </c>
      <c r="T951" s="1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4.5118209709438702E-3</v>
      </c>
      <c r="AC951">
        <v>0</v>
      </c>
      <c r="AD951">
        <v>3.14564328405159E-3</v>
      </c>
      <c r="AE951">
        <v>0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0</v>
      </c>
      <c r="AL951">
        <v>0</v>
      </c>
      <c r="AM951">
        <v>0</v>
      </c>
    </row>
    <row r="952" spans="1:39" customFormat="1" hidden="1" x14ac:dyDescent="0.3">
      <c r="A952" t="s">
        <v>808</v>
      </c>
      <c r="B952" t="s">
        <v>30</v>
      </c>
      <c r="C952" t="s">
        <v>81</v>
      </c>
      <c r="D952" t="s">
        <v>80</v>
      </c>
      <c r="E952" t="s">
        <v>618</v>
      </c>
      <c r="F952" t="s">
        <v>617</v>
      </c>
      <c r="G952" t="s">
        <v>616</v>
      </c>
      <c r="H952" s="16">
        <v>0</v>
      </c>
      <c r="I952" s="11">
        <v>0</v>
      </c>
      <c r="J952" s="11">
        <v>0</v>
      </c>
      <c r="K952" s="11">
        <v>0</v>
      </c>
      <c r="L952" s="11">
        <v>0</v>
      </c>
      <c r="M952" s="11">
        <v>0</v>
      </c>
      <c r="N952" s="11">
        <v>0</v>
      </c>
      <c r="O952" s="11">
        <v>0</v>
      </c>
      <c r="P952" s="11">
        <v>0</v>
      </c>
      <c r="Q952" s="11">
        <v>0</v>
      </c>
      <c r="R952" s="11">
        <v>0</v>
      </c>
      <c r="S952" s="11">
        <v>0</v>
      </c>
      <c r="T952" s="11">
        <v>0</v>
      </c>
      <c r="U952">
        <v>0</v>
      </c>
      <c r="V952">
        <v>3.6144142841652502E-3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6.2912865681031801E-3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  <c r="AL952">
        <v>0</v>
      </c>
      <c r="AM952">
        <v>0</v>
      </c>
    </row>
    <row r="953" spans="1:39" customFormat="1" hidden="1" x14ac:dyDescent="0.3">
      <c r="A953" t="s">
        <v>807</v>
      </c>
      <c r="B953" t="s">
        <v>30</v>
      </c>
      <c r="C953" t="s">
        <v>81</v>
      </c>
      <c r="D953" t="s">
        <v>80</v>
      </c>
      <c r="E953" t="s">
        <v>618</v>
      </c>
      <c r="F953" t="s">
        <v>617</v>
      </c>
      <c r="G953" t="s">
        <v>806</v>
      </c>
      <c r="H953" s="16">
        <v>0</v>
      </c>
      <c r="I953" s="11">
        <v>0</v>
      </c>
      <c r="J953" s="11">
        <v>0</v>
      </c>
      <c r="K953" s="11">
        <v>0</v>
      </c>
      <c r="L953" s="11">
        <v>0</v>
      </c>
      <c r="M953" s="11">
        <v>3.5488679111363502E-3</v>
      </c>
      <c r="N953" s="11">
        <v>0</v>
      </c>
      <c r="O953" s="11">
        <v>0</v>
      </c>
      <c r="P953" s="11">
        <v>0</v>
      </c>
      <c r="Q953" s="11">
        <v>0</v>
      </c>
      <c r="R953" s="11">
        <v>0</v>
      </c>
      <c r="S953" s="11">
        <v>0</v>
      </c>
      <c r="T953" s="11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9.0236419418877507E-3</v>
      </c>
      <c r="AC953">
        <v>7.1911405148856597E-3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0</v>
      </c>
      <c r="AJ953">
        <v>0</v>
      </c>
      <c r="AK953">
        <v>0</v>
      </c>
      <c r="AL953">
        <v>0</v>
      </c>
      <c r="AM953">
        <v>0</v>
      </c>
    </row>
    <row r="954" spans="1:39" customFormat="1" hidden="1" x14ac:dyDescent="0.3">
      <c r="A954" t="s">
        <v>805</v>
      </c>
      <c r="B954" t="s">
        <v>30</v>
      </c>
      <c r="C954" t="s">
        <v>81</v>
      </c>
      <c r="D954" t="s">
        <v>80</v>
      </c>
      <c r="E954" t="s">
        <v>618</v>
      </c>
      <c r="F954" t="s">
        <v>617</v>
      </c>
      <c r="G954" t="s">
        <v>616</v>
      </c>
      <c r="H954" s="16">
        <v>0</v>
      </c>
      <c r="I954" s="11">
        <v>0</v>
      </c>
      <c r="J954" s="11">
        <v>0</v>
      </c>
      <c r="K954" s="11">
        <v>0</v>
      </c>
      <c r="L954" s="11">
        <v>0</v>
      </c>
      <c r="M954" s="11">
        <v>0</v>
      </c>
      <c r="N954" s="11">
        <v>0</v>
      </c>
      <c r="O954" s="11">
        <v>0</v>
      </c>
      <c r="P954" s="11">
        <v>0</v>
      </c>
      <c r="Q954" s="11">
        <v>0</v>
      </c>
      <c r="R954" s="11">
        <v>0</v>
      </c>
      <c r="S954" s="11">
        <v>2.4883049666567102E-3</v>
      </c>
      <c r="T954" s="11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4.5118209709438702E-3</v>
      </c>
      <c r="AC954">
        <v>0</v>
      </c>
      <c r="AD954">
        <v>3.14564328405159E-3</v>
      </c>
      <c r="AE954">
        <v>3.4299434059338E-3</v>
      </c>
      <c r="AF954">
        <v>0</v>
      </c>
      <c r="AG954">
        <v>0</v>
      </c>
      <c r="AH954">
        <v>0</v>
      </c>
      <c r="AI954">
        <v>0</v>
      </c>
      <c r="AJ954">
        <v>0</v>
      </c>
      <c r="AK954">
        <v>0</v>
      </c>
      <c r="AL954">
        <v>0</v>
      </c>
      <c r="AM954">
        <v>0</v>
      </c>
    </row>
    <row r="955" spans="1:39" customFormat="1" hidden="1" x14ac:dyDescent="0.3">
      <c r="A955" t="s">
        <v>804</v>
      </c>
      <c r="B955" t="s">
        <v>30</v>
      </c>
      <c r="C955" t="s">
        <v>81</v>
      </c>
      <c r="D955" t="s">
        <v>118</v>
      </c>
      <c r="E955" t="s">
        <v>803</v>
      </c>
      <c r="F955" t="s">
        <v>802</v>
      </c>
      <c r="G955" t="s">
        <v>801</v>
      </c>
      <c r="H955" s="16">
        <v>0</v>
      </c>
      <c r="I955" s="11">
        <v>0</v>
      </c>
      <c r="J955" s="11">
        <v>0</v>
      </c>
      <c r="K955" s="11">
        <v>0</v>
      </c>
      <c r="L955" s="11">
        <v>0</v>
      </c>
      <c r="M955" s="11">
        <v>0</v>
      </c>
      <c r="N955" s="11">
        <v>0</v>
      </c>
      <c r="O955" s="11">
        <v>0</v>
      </c>
      <c r="P955" s="11">
        <v>0</v>
      </c>
      <c r="Q955" s="11">
        <v>0</v>
      </c>
      <c r="R955" s="11">
        <v>0</v>
      </c>
      <c r="S955" s="11">
        <v>0</v>
      </c>
      <c r="T955" s="11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2.3469220117815501E-3</v>
      </c>
      <c r="AH955">
        <v>0</v>
      </c>
      <c r="AI955">
        <v>4.5968557506665397E-3</v>
      </c>
      <c r="AJ955">
        <v>0</v>
      </c>
      <c r="AK955">
        <v>0</v>
      </c>
      <c r="AL955">
        <v>0</v>
      </c>
      <c r="AM955">
        <v>0</v>
      </c>
    </row>
    <row r="956" spans="1:39" customFormat="1" hidden="1" x14ac:dyDescent="0.3">
      <c r="A956" t="s">
        <v>800</v>
      </c>
      <c r="B956" t="s">
        <v>30</v>
      </c>
      <c r="C956" t="s">
        <v>81</v>
      </c>
      <c r="D956" t="s">
        <v>85</v>
      </c>
      <c r="E956" t="s">
        <v>799</v>
      </c>
      <c r="F956" t="s">
        <v>798</v>
      </c>
      <c r="G956" t="s">
        <v>797</v>
      </c>
      <c r="H956" s="16">
        <v>0</v>
      </c>
      <c r="I956" s="11">
        <v>0</v>
      </c>
      <c r="J956" s="11">
        <v>0</v>
      </c>
      <c r="K956" s="11">
        <v>0</v>
      </c>
      <c r="L956" s="11">
        <v>0</v>
      </c>
      <c r="M956" s="11">
        <v>0</v>
      </c>
      <c r="N956" s="11">
        <v>0</v>
      </c>
      <c r="O956" s="11">
        <v>0</v>
      </c>
      <c r="P956" s="11">
        <v>0</v>
      </c>
      <c r="Q956" s="11">
        <v>0</v>
      </c>
      <c r="R956" s="11">
        <v>0</v>
      </c>
      <c r="S956" s="11">
        <v>0</v>
      </c>
      <c r="T956" s="11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7.1911405148856597E-3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2.2984278753332699E-3</v>
      </c>
      <c r="AJ956">
        <v>0</v>
      </c>
      <c r="AK956">
        <v>0</v>
      </c>
      <c r="AL956">
        <v>3.5844863431070302E-3</v>
      </c>
      <c r="AM956">
        <v>0</v>
      </c>
    </row>
    <row r="957" spans="1:39" customFormat="1" hidden="1" x14ac:dyDescent="0.3">
      <c r="A957" t="s">
        <v>796</v>
      </c>
      <c r="B957" t="s">
        <v>30</v>
      </c>
      <c r="C957" t="s">
        <v>81</v>
      </c>
      <c r="D957" t="s">
        <v>85</v>
      </c>
      <c r="E957" t="s">
        <v>84</v>
      </c>
      <c r="F957" t="s">
        <v>84</v>
      </c>
      <c r="G957" t="s">
        <v>84</v>
      </c>
      <c r="H957" s="16">
        <v>0</v>
      </c>
      <c r="I957" s="11">
        <v>0</v>
      </c>
      <c r="J957" s="11">
        <v>0</v>
      </c>
      <c r="K957" s="11">
        <v>0</v>
      </c>
      <c r="L957" s="11">
        <v>0</v>
      </c>
      <c r="M957" s="11">
        <v>0</v>
      </c>
      <c r="N957" s="11">
        <v>0</v>
      </c>
      <c r="O957" s="11">
        <v>3.75023438964935E-3</v>
      </c>
      <c r="P957" s="11">
        <v>0</v>
      </c>
      <c r="Q957" s="11">
        <v>0</v>
      </c>
      <c r="R957" s="11">
        <v>0</v>
      </c>
      <c r="S957" s="11">
        <v>0</v>
      </c>
      <c r="T957" s="11">
        <v>3.3464962184592698E-3</v>
      </c>
      <c r="U957">
        <v>0</v>
      </c>
      <c r="V957">
        <v>0</v>
      </c>
      <c r="W957">
        <v>0</v>
      </c>
      <c r="X957">
        <v>0</v>
      </c>
      <c r="Y957">
        <v>2.9264581077521898E-3</v>
      </c>
      <c r="Z957">
        <v>0</v>
      </c>
      <c r="AA957">
        <v>0</v>
      </c>
      <c r="AB957">
        <v>4.5118209709438702E-3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  <c r="AL957">
        <v>3.5844863431070302E-3</v>
      </c>
      <c r="AM957">
        <v>0</v>
      </c>
    </row>
    <row r="958" spans="1:39" customFormat="1" hidden="1" x14ac:dyDescent="0.3">
      <c r="A958" t="s">
        <v>795</v>
      </c>
      <c r="B958" t="s">
        <v>30</v>
      </c>
      <c r="C958" t="s">
        <v>81</v>
      </c>
      <c r="D958" t="s">
        <v>85</v>
      </c>
      <c r="E958" t="s">
        <v>84</v>
      </c>
      <c r="F958" t="s">
        <v>84</v>
      </c>
      <c r="G958" t="s">
        <v>84</v>
      </c>
      <c r="H958" s="16">
        <v>0</v>
      </c>
      <c r="I958" s="11">
        <v>0</v>
      </c>
      <c r="J958" s="11">
        <v>0</v>
      </c>
      <c r="K958" s="11">
        <v>0</v>
      </c>
      <c r="L958" s="11">
        <v>0</v>
      </c>
      <c r="M958" s="11">
        <v>0</v>
      </c>
      <c r="N958" s="11">
        <v>0</v>
      </c>
      <c r="O958" s="11">
        <v>0</v>
      </c>
      <c r="P958" s="11">
        <v>0</v>
      </c>
      <c r="Q958" s="11">
        <v>0</v>
      </c>
      <c r="R958" s="11">
        <v>0</v>
      </c>
      <c r="S958" s="11">
        <v>2.4883049666567102E-3</v>
      </c>
      <c r="T958" s="11">
        <v>3.3464962184592698E-3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0</v>
      </c>
      <c r="AM958">
        <v>0</v>
      </c>
    </row>
    <row r="959" spans="1:39" customFormat="1" hidden="1" x14ac:dyDescent="0.3">
      <c r="A959" t="s">
        <v>794</v>
      </c>
      <c r="B959" t="s">
        <v>30</v>
      </c>
      <c r="C959" t="s">
        <v>81</v>
      </c>
      <c r="D959" t="s">
        <v>85</v>
      </c>
      <c r="E959" t="s">
        <v>84</v>
      </c>
      <c r="F959" t="s">
        <v>84</v>
      </c>
      <c r="G959" t="s">
        <v>84</v>
      </c>
      <c r="H959" s="16">
        <v>0</v>
      </c>
      <c r="I959" s="11">
        <v>0</v>
      </c>
      <c r="J959" s="11">
        <v>0</v>
      </c>
      <c r="K959" s="11">
        <v>0</v>
      </c>
      <c r="L959" s="11">
        <v>0</v>
      </c>
      <c r="M959" s="11">
        <v>0</v>
      </c>
      <c r="N959" s="11">
        <v>0</v>
      </c>
      <c r="O959" s="11">
        <v>0</v>
      </c>
      <c r="P959" s="11">
        <v>0</v>
      </c>
      <c r="Q959" s="11">
        <v>0</v>
      </c>
      <c r="R959" s="11">
        <v>0</v>
      </c>
      <c r="S959" s="11">
        <v>0</v>
      </c>
      <c r="T959" s="11">
        <v>0</v>
      </c>
      <c r="U959">
        <v>0</v>
      </c>
      <c r="V959">
        <v>0</v>
      </c>
      <c r="W959">
        <v>0</v>
      </c>
      <c r="X959">
        <v>0</v>
      </c>
      <c r="Y959">
        <v>2.9264581077521898E-3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1.20540019286403E-2</v>
      </c>
      <c r="AL959">
        <v>0</v>
      </c>
      <c r="AM959">
        <v>0</v>
      </c>
    </row>
    <row r="960" spans="1:39" customFormat="1" hidden="1" x14ac:dyDescent="0.3">
      <c r="A960" t="s">
        <v>793</v>
      </c>
      <c r="B960" t="s">
        <v>30</v>
      </c>
      <c r="C960" t="s">
        <v>81</v>
      </c>
      <c r="D960" t="s">
        <v>85</v>
      </c>
      <c r="E960" t="s">
        <v>84</v>
      </c>
      <c r="F960" t="s">
        <v>84</v>
      </c>
      <c r="G960" t="s">
        <v>84</v>
      </c>
      <c r="H960" s="16">
        <v>0</v>
      </c>
      <c r="I960" s="11">
        <v>0</v>
      </c>
      <c r="J960" s="11">
        <v>0</v>
      </c>
      <c r="K960" s="11">
        <v>0</v>
      </c>
      <c r="L960" s="11">
        <v>0</v>
      </c>
      <c r="M960" s="11">
        <v>0</v>
      </c>
      <c r="N960" s="11">
        <v>0</v>
      </c>
      <c r="O960" s="11">
        <v>0</v>
      </c>
      <c r="P960" s="11">
        <v>0</v>
      </c>
      <c r="Q960" s="11">
        <v>0</v>
      </c>
      <c r="R960" s="11">
        <v>0</v>
      </c>
      <c r="S960" s="11">
        <v>0</v>
      </c>
      <c r="T960" s="11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3.1774275546517499E-3</v>
      </c>
      <c r="AA960">
        <v>0</v>
      </c>
      <c r="AB960">
        <v>0</v>
      </c>
      <c r="AC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0</v>
      </c>
      <c r="AM960">
        <v>0</v>
      </c>
    </row>
    <row r="961" spans="1:39" customFormat="1" hidden="1" x14ac:dyDescent="0.3">
      <c r="A961" t="s">
        <v>792</v>
      </c>
      <c r="B961" t="s">
        <v>30</v>
      </c>
      <c r="C961" t="s">
        <v>81</v>
      </c>
      <c r="D961" t="s">
        <v>85</v>
      </c>
      <c r="E961" t="s">
        <v>84</v>
      </c>
      <c r="F961" t="s">
        <v>84</v>
      </c>
      <c r="G961" t="s">
        <v>84</v>
      </c>
      <c r="H961" s="16">
        <v>0</v>
      </c>
      <c r="I961" s="11">
        <v>0</v>
      </c>
      <c r="J961" s="11">
        <v>0</v>
      </c>
      <c r="K961" s="11">
        <v>0</v>
      </c>
      <c r="L961" s="11">
        <v>0</v>
      </c>
      <c r="M961" s="11">
        <v>0</v>
      </c>
      <c r="N961" s="11">
        <v>0</v>
      </c>
      <c r="O961" s="11">
        <v>0</v>
      </c>
      <c r="P961" s="11">
        <v>0</v>
      </c>
      <c r="Q961" s="11">
        <v>0</v>
      </c>
      <c r="R961" s="11">
        <v>2.2441148089136199E-3</v>
      </c>
      <c r="S961" s="11">
        <v>0</v>
      </c>
      <c r="T961" s="1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5.03372596395852E-3</v>
      </c>
      <c r="AG961">
        <v>0</v>
      </c>
      <c r="AH961">
        <v>0</v>
      </c>
      <c r="AI961">
        <v>0</v>
      </c>
      <c r="AJ961">
        <v>3.5915670006823998E-3</v>
      </c>
      <c r="AK961">
        <v>0</v>
      </c>
      <c r="AL961">
        <v>0</v>
      </c>
      <c r="AM961">
        <v>0</v>
      </c>
    </row>
    <row r="962" spans="1:39" customFormat="1" hidden="1" x14ac:dyDescent="0.3">
      <c r="A962" t="s">
        <v>790</v>
      </c>
      <c r="B962" t="s">
        <v>30</v>
      </c>
      <c r="C962" t="s">
        <v>81</v>
      </c>
      <c r="D962" t="s">
        <v>85</v>
      </c>
      <c r="E962" t="s">
        <v>84</v>
      </c>
      <c r="F962" t="s">
        <v>84</v>
      </c>
      <c r="G962" t="s">
        <v>84</v>
      </c>
      <c r="H962" s="16">
        <v>0</v>
      </c>
      <c r="I962" s="11">
        <v>0</v>
      </c>
      <c r="J962" s="11">
        <v>4.3593879419329502E-3</v>
      </c>
      <c r="K962" s="11">
        <v>0</v>
      </c>
      <c r="L962" s="11">
        <v>0</v>
      </c>
      <c r="M962" s="11">
        <v>0</v>
      </c>
      <c r="N962" s="11">
        <v>0</v>
      </c>
      <c r="O962" s="11">
        <v>0</v>
      </c>
      <c r="P962" s="11">
        <v>0</v>
      </c>
      <c r="Q962" s="11">
        <v>0</v>
      </c>
      <c r="R962" s="11">
        <v>0</v>
      </c>
      <c r="S962" s="11">
        <v>0</v>
      </c>
      <c r="T962" s="11">
        <v>0</v>
      </c>
      <c r="U962">
        <v>0</v>
      </c>
      <c r="V962">
        <v>0</v>
      </c>
      <c r="W962">
        <v>5.3336177929489597E-3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0</v>
      </c>
      <c r="AM962">
        <v>0</v>
      </c>
    </row>
    <row r="963" spans="1:39" customFormat="1" hidden="1" x14ac:dyDescent="0.3">
      <c r="A963" t="s">
        <v>789</v>
      </c>
      <c r="B963" t="s">
        <v>30</v>
      </c>
      <c r="C963" t="s">
        <v>81</v>
      </c>
      <c r="D963" t="s">
        <v>80</v>
      </c>
      <c r="E963" t="s">
        <v>642</v>
      </c>
      <c r="F963" t="s">
        <v>641</v>
      </c>
      <c r="G963" t="s">
        <v>788</v>
      </c>
      <c r="H963" s="16">
        <v>0</v>
      </c>
      <c r="I963" s="11">
        <v>0</v>
      </c>
      <c r="J963" s="11">
        <v>0</v>
      </c>
      <c r="K963" s="11">
        <v>0</v>
      </c>
      <c r="L963" s="11">
        <v>0</v>
      </c>
      <c r="M963" s="11">
        <v>0</v>
      </c>
      <c r="N963" s="11">
        <v>0</v>
      </c>
      <c r="O963" s="11">
        <v>0</v>
      </c>
      <c r="P963" s="11">
        <v>0</v>
      </c>
      <c r="Q963" s="11">
        <v>0</v>
      </c>
      <c r="R963" s="11">
        <v>0</v>
      </c>
      <c r="S963" s="11">
        <v>0</v>
      </c>
      <c r="T963" s="11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0</v>
      </c>
      <c r="AM963">
        <v>0</v>
      </c>
    </row>
    <row r="964" spans="1:39" customFormat="1" hidden="1" x14ac:dyDescent="0.3">
      <c r="A964" t="s">
        <v>786</v>
      </c>
      <c r="B964" t="s">
        <v>30</v>
      </c>
      <c r="C964" t="s">
        <v>81</v>
      </c>
      <c r="D964" t="s">
        <v>80</v>
      </c>
      <c r="E964" t="s">
        <v>642</v>
      </c>
      <c r="F964" t="s">
        <v>645</v>
      </c>
      <c r="G964" t="s">
        <v>644</v>
      </c>
      <c r="H964" s="16">
        <v>0</v>
      </c>
      <c r="I964" s="11">
        <v>0</v>
      </c>
      <c r="J964" s="11">
        <v>0</v>
      </c>
      <c r="K964" s="11">
        <v>0</v>
      </c>
      <c r="L964" s="11">
        <v>0</v>
      </c>
      <c r="M964" s="11">
        <v>3.5488679111363502E-3</v>
      </c>
      <c r="N964" s="11">
        <v>0</v>
      </c>
      <c r="O964" s="11">
        <v>0</v>
      </c>
      <c r="P964" s="11">
        <v>0</v>
      </c>
      <c r="Q964" s="11">
        <v>0</v>
      </c>
      <c r="R964" s="11">
        <v>2.2441148089136199E-3</v>
      </c>
      <c r="S964" s="11">
        <v>0</v>
      </c>
      <c r="T964" s="11">
        <v>0</v>
      </c>
      <c r="U964">
        <v>0</v>
      </c>
      <c r="V964">
        <v>0</v>
      </c>
      <c r="W964">
        <v>2.6668088964744798E-3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0</v>
      </c>
      <c r="AM964">
        <v>0</v>
      </c>
    </row>
    <row r="965" spans="1:39" customFormat="1" hidden="1" x14ac:dyDescent="0.3">
      <c r="A965" t="s">
        <v>785</v>
      </c>
      <c r="B965" t="s">
        <v>30</v>
      </c>
      <c r="C965" t="s">
        <v>81</v>
      </c>
      <c r="D965" t="s">
        <v>118</v>
      </c>
      <c r="E965" t="s">
        <v>117</v>
      </c>
      <c r="F965" t="s">
        <v>116</v>
      </c>
      <c r="G965" t="s">
        <v>683</v>
      </c>
      <c r="H965" s="16">
        <v>0</v>
      </c>
      <c r="I965" s="11">
        <v>0</v>
      </c>
      <c r="J965" s="11">
        <v>0</v>
      </c>
      <c r="K965" s="11">
        <v>0</v>
      </c>
      <c r="L965" s="11">
        <v>0</v>
      </c>
      <c r="M965" s="11">
        <v>0</v>
      </c>
      <c r="N965" s="11">
        <v>0</v>
      </c>
      <c r="O965" s="11">
        <v>0</v>
      </c>
      <c r="P965" s="11">
        <v>0</v>
      </c>
      <c r="Q965" s="11">
        <v>0</v>
      </c>
      <c r="R965" s="11">
        <v>2.2441148089136199E-3</v>
      </c>
      <c r="S965" s="11">
        <v>0</v>
      </c>
      <c r="T965" s="11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4.5118209709438702E-3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2.2984278753332699E-3</v>
      </c>
      <c r="AJ965">
        <v>0</v>
      </c>
      <c r="AK965">
        <v>0</v>
      </c>
      <c r="AL965">
        <v>0</v>
      </c>
      <c r="AM965">
        <v>0</v>
      </c>
    </row>
    <row r="966" spans="1:39" customFormat="1" hidden="1" x14ac:dyDescent="0.3">
      <c r="A966" t="s">
        <v>784</v>
      </c>
      <c r="B966" t="s">
        <v>30</v>
      </c>
      <c r="C966" t="s">
        <v>41</v>
      </c>
      <c r="D966" t="s">
        <v>41</v>
      </c>
      <c r="E966" t="s">
        <v>41</v>
      </c>
      <c r="F966" t="s">
        <v>41</v>
      </c>
      <c r="G966" t="s">
        <v>41</v>
      </c>
      <c r="H966" s="16">
        <v>0</v>
      </c>
      <c r="I966" s="11">
        <v>0</v>
      </c>
      <c r="J966" s="11">
        <v>0</v>
      </c>
      <c r="K966" s="11">
        <v>0</v>
      </c>
      <c r="L966" s="11">
        <v>0</v>
      </c>
      <c r="M966" s="11">
        <v>0</v>
      </c>
      <c r="N966" s="11">
        <v>0</v>
      </c>
      <c r="O966" s="11">
        <v>0</v>
      </c>
      <c r="P966" s="11">
        <v>0</v>
      </c>
      <c r="Q966" s="11">
        <v>0</v>
      </c>
      <c r="R966" s="11">
        <v>0</v>
      </c>
      <c r="S966" s="11">
        <v>0</v>
      </c>
      <c r="T966" s="11">
        <v>0</v>
      </c>
      <c r="U966">
        <v>3.04201016031394E-3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4.6410173109945703E-3</v>
      </c>
      <c r="AI966">
        <v>0</v>
      </c>
      <c r="AJ966">
        <v>0</v>
      </c>
      <c r="AK966">
        <v>0</v>
      </c>
      <c r="AL966">
        <v>0</v>
      </c>
      <c r="AM966">
        <v>0</v>
      </c>
    </row>
    <row r="967" spans="1:39" customFormat="1" hidden="1" x14ac:dyDescent="0.3">
      <c r="A967" t="s">
        <v>783</v>
      </c>
      <c r="B967" t="s">
        <v>30</v>
      </c>
      <c r="C967" t="s">
        <v>41</v>
      </c>
      <c r="D967" t="s">
        <v>41</v>
      </c>
      <c r="E967" t="s">
        <v>41</v>
      </c>
      <c r="F967" t="s">
        <v>41</v>
      </c>
      <c r="G967" t="s">
        <v>41</v>
      </c>
      <c r="H967" s="16">
        <v>0</v>
      </c>
      <c r="I967" s="11">
        <v>0</v>
      </c>
      <c r="J967" s="11">
        <v>0</v>
      </c>
      <c r="K967" s="11">
        <v>0</v>
      </c>
      <c r="L967" s="11">
        <v>0</v>
      </c>
      <c r="M967" s="11">
        <v>0</v>
      </c>
      <c r="N967" s="11">
        <v>0</v>
      </c>
      <c r="O967" s="11">
        <v>0</v>
      </c>
      <c r="P967" s="11">
        <v>0</v>
      </c>
      <c r="Q967" s="11">
        <v>0</v>
      </c>
      <c r="R967" s="11">
        <v>0</v>
      </c>
      <c r="S967" s="11">
        <v>0</v>
      </c>
      <c r="T967" s="11">
        <v>0</v>
      </c>
      <c r="U967">
        <v>3.04201016031394E-3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0</v>
      </c>
      <c r="AM967">
        <v>0</v>
      </c>
    </row>
    <row r="968" spans="1:39" customFormat="1" hidden="1" x14ac:dyDescent="0.3">
      <c r="A968" t="s">
        <v>782</v>
      </c>
      <c r="B968" t="s">
        <v>30</v>
      </c>
      <c r="C968" t="s">
        <v>41</v>
      </c>
      <c r="D968" t="s">
        <v>41</v>
      </c>
      <c r="E968" t="s">
        <v>41</v>
      </c>
      <c r="F968" t="s">
        <v>41</v>
      </c>
      <c r="G968" t="s">
        <v>41</v>
      </c>
      <c r="H968" s="16">
        <v>0</v>
      </c>
      <c r="I968" s="11">
        <v>0</v>
      </c>
      <c r="J968" s="11">
        <v>0</v>
      </c>
      <c r="K968" s="11">
        <v>0</v>
      </c>
      <c r="L968" s="11">
        <v>0</v>
      </c>
      <c r="M968" s="11">
        <v>0</v>
      </c>
      <c r="N968" s="11">
        <v>0</v>
      </c>
      <c r="O968" s="11">
        <v>0</v>
      </c>
      <c r="P968" s="11">
        <v>0</v>
      </c>
      <c r="Q968" s="11">
        <v>0</v>
      </c>
      <c r="R968" s="11">
        <v>0</v>
      </c>
      <c r="S968" s="11">
        <v>0</v>
      </c>
      <c r="T968" s="11">
        <v>0</v>
      </c>
      <c r="U968">
        <v>6.0840203206278696E-3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0</v>
      </c>
      <c r="AM968">
        <v>0</v>
      </c>
    </row>
    <row r="969" spans="1:39" customFormat="1" hidden="1" x14ac:dyDescent="0.3">
      <c r="A969" t="s">
        <v>781</v>
      </c>
      <c r="B969" t="s">
        <v>30</v>
      </c>
      <c r="C969" t="s">
        <v>41</v>
      </c>
      <c r="D969" t="s">
        <v>41</v>
      </c>
      <c r="E969" t="s">
        <v>41</v>
      </c>
      <c r="F969" t="s">
        <v>41</v>
      </c>
      <c r="G969" t="s">
        <v>41</v>
      </c>
      <c r="H969" s="16">
        <v>0</v>
      </c>
      <c r="I969" s="11">
        <v>0</v>
      </c>
      <c r="J969" s="11">
        <v>0</v>
      </c>
      <c r="K969" s="11">
        <v>0</v>
      </c>
      <c r="L969" s="11">
        <v>0</v>
      </c>
      <c r="M969" s="11">
        <v>0</v>
      </c>
      <c r="N969" s="11">
        <v>0</v>
      </c>
      <c r="O969" s="11">
        <v>0</v>
      </c>
      <c r="P969" s="11">
        <v>0</v>
      </c>
      <c r="Q969" s="11">
        <v>0</v>
      </c>
      <c r="R969" s="11">
        <v>2.2441148089136199E-3</v>
      </c>
      <c r="S969" s="11">
        <v>0</v>
      </c>
      <c r="T969" s="11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6.02700096432015E-3</v>
      </c>
      <c r="AL969">
        <v>3.5844863431070302E-3</v>
      </c>
      <c r="AM969">
        <v>0</v>
      </c>
    </row>
    <row r="970" spans="1:39" customFormat="1" hidden="1" x14ac:dyDescent="0.3">
      <c r="A970" t="s">
        <v>779</v>
      </c>
      <c r="B970" t="s">
        <v>30</v>
      </c>
      <c r="C970" t="s">
        <v>251</v>
      </c>
      <c r="D970" t="s">
        <v>250</v>
      </c>
      <c r="E970" t="s">
        <v>249</v>
      </c>
      <c r="F970" t="s">
        <v>248</v>
      </c>
      <c r="G970" t="s">
        <v>247</v>
      </c>
      <c r="H970" s="16">
        <v>0</v>
      </c>
      <c r="I970" s="11">
        <v>0</v>
      </c>
      <c r="J970" s="11">
        <v>0</v>
      </c>
      <c r="K970" s="11">
        <v>0</v>
      </c>
      <c r="L970" s="11">
        <v>0</v>
      </c>
      <c r="M970" s="11">
        <v>0</v>
      </c>
      <c r="N970" s="11">
        <v>0</v>
      </c>
      <c r="O970" s="11">
        <v>0</v>
      </c>
      <c r="P970" s="11">
        <v>0</v>
      </c>
      <c r="Q970" s="11">
        <v>0</v>
      </c>
      <c r="R970" s="11">
        <v>0</v>
      </c>
      <c r="S970" s="11">
        <v>0</v>
      </c>
      <c r="T970" s="11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0</v>
      </c>
      <c r="AL970">
        <v>0</v>
      </c>
      <c r="AM970">
        <v>0</v>
      </c>
    </row>
    <row r="971" spans="1:39" customFormat="1" hidden="1" x14ac:dyDescent="0.3">
      <c r="A971" t="s">
        <v>778</v>
      </c>
      <c r="B971" t="s">
        <v>30</v>
      </c>
      <c r="C971" t="s">
        <v>41</v>
      </c>
      <c r="D971" t="s">
        <v>41</v>
      </c>
      <c r="E971" t="s">
        <v>41</v>
      </c>
      <c r="F971" t="s">
        <v>41</v>
      </c>
      <c r="G971" t="s">
        <v>41</v>
      </c>
      <c r="H971" s="16">
        <v>0</v>
      </c>
      <c r="I971" s="11">
        <v>0</v>
      </c>
      <c r="J971" s="11">
        <v>0</v>
      </c>
      <c r="K971" s="11">
        <v>0</v>
      </c>
      <c r="L971" s="11">
        <v>1.3207422571485199E-2</v>
      </c>
      <c r="M971" s="11">
        <v>0</v>
      </c>
      <c r="N971" s="11">
        <v>0</v>
      </c>
      <c r="O971" s="11">
        <v>0</v>
      </c>
      <c r="P971" s="11">
        <v>0</v>
      </c>
      <c r="Q971" s="11">
        <v>0</v>
      </c>
      <c r="R971" s="11">
        <v>0</v>
      </c>
      <c r="S971" s="11">
        <v>0</v>
      </c>
      <c r="T971" s="1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0</v>
      </c>
      <c r="AL971">
        <v>0</v>
      </c>
      <c r="AM971">
        <v>0</v>
      </c>
    </row>
    <row r="972" spans="1:39" customFormat="1" hidden="1" x14ac:dyDescent="0.3">
      <c r="A972" t="s">
        <v>777</v>
      </c>
      <c r="B972" t="s">
        <v>30</v>
      </c>
      <c r="C972" t="s">
        <v>41</v>
      </c>
      <c r="D972" t="s">
        <v>41</v>
      </c>
      <c r="E972" t="s">
        <v>41</v>
      </c>
      <c r="F972" t="s">
        <v>41</v>
      </c>
      <c r="G972" t="s">
        <v>41</v>
      </c>
      <c r="H972" s="16">
        <v>0</v>
      </c>
      <c r="I972" s="11">
        <v>0</v>
      </c>
      <c r="J972" s="11">
        <v>0</v>
      </c>
      <c r="K972" s="11">
        <v>0</v>
      </c>
      <c r="L972" s="11">
        <v>0</v>
      </c>
      <c r="M972" s="11">
        <v>0</v>
      </c>
      <c r="N972" s="11">
        <v>0</v>
      </c>
      <c r="O972" s="11">
        <v>0</v>
      </c>
      <c r="P972" s="11">
        <v>0</v>
      </c>
      <c r="Q972" s="11">
        <v>0</v>
      </c>
      <c r="R972" s="11">
        <v>0</v>
      </c>
      <c r="S972" s="11">
        <v>0</v>
      </c>
      <c r="T972" s="11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9.5322826639552601E-3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0</v>
      </c>
      <c r="AL972">
        <v>0</v>
      </c>
      <c r="AM972">
        <v>0</v>
      </c>
    </row>
    <row r="973" spans="1:39" customFormat="1" hidden="1" x14ac:dyDescent="0.3">
      <c r="A973" t="s">
        <v>776</v>
      </c>
      <c r="B973" t="s">
        <v>30</v>
      </c>
      <c r="C973" t="s">
        <v>35</v>
      </c>
      <c r="D973" t="s">
        <v>35</v>
      </c>
      <c r="E973" t="s">
        <v>240</v>
      </c>
      <c r="F973" t="s">
        <v>775</v>
      </c>
      <c r="G973" t="s">
        <v>774</v>
      </c>
      <c r="H973" s="16">
        <v>0</v>
      </c>
      <c r="I973" s="11">
        <v>0</v>
      </c>
      <c r="J973" s="11">
        <v>0</v>
      </c>
      <c r="K973" s="11">
        <v>0</v>
      </c>
      <c r="L973" s="11">
        <v>0</v>
      </c>
      <c r="M973" s="11">
        <v>0</v>
      </c>
      <c r="N973" s="11">
        <v>0</v>
      </c>
      <c r="O973" s="11">
        <v>0</v>
      </c>
      <c r="P973" s="11">
        <v>0</v>
      </c>
      <c r="Q973" s="11">
        <v>0</v>
      </c>
      <c r="R973" s="11">
        <v>0</v>
      </c>
      <c r="S973" s="11">
        <v>0</v>
      </c>
      <c r="T973" s="11">
        <v>0</v>
      </c>
      <c r="U973">
        <v>0</v>
      </c>
      <c r="V973">
        <v>0</v>
      </c>
      <c r="W973">
        <v>2.6668088964744798E-3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4.6410173109945703E-3</v>
      </c>
      <c r="AI973">
        <v>0</v>
      </c>
      <c r="AJ973">
        <v>0</v>
      </c>
      <c r="AK973">
        <v>0</v>
      </c>
      <c r="AL973">
        <v>0</v>
      </c>
      <c r="AM973">
        <v>0</v>
      </c>
    </row>
    <row r="974" spans="1:39" customFormat="1" hidden="1" x14ac:dyDescent="0.3">
      <c r="A974" t="s">
        <v>773</v>
      </c>
      <c r="B974" t="s">
        <v>30</v>
      </c>
      <c r="C974" t="s">
        <v>35</v>
      </c>
      <c r="D974" t="s">
        <v>35</v>
      </c>
      <c r="E974" t="s">
        <v>240</v>
      </c>
      <c r="F974" t="s">
        <v>772</v>
      </c>
      <c r="G974" t="s">
        <v>771</v>
      </c>
      <c r="H974" s="16">
        <v>0</v>
      </c>
      <c r="I974" s="11">
        <v>0</v>
      </c>
      <c r="J974" s="11">
        <v>0</v>
      </c>
      <c r="K974" s="11">
        <v>0</v>
      </c>
      <c r="L974" s="11">
        <v>0</v>
      </c>
      <c r="M974" s="11">
        <v>0</v>
      </c>
      <c r="N974" s="11">
        <v>0</v>
      </c>
      <c r="O974" s="11">
        <v>0</v>
      </c>
      <c r="P974" s="11">
        <v>0</v>
      </c>
      <c r="Q974" s="11">
        <v>0</v>
      </c>
      <c r="R974" s="11">
        <v>0</v>
      </c>
      <c r="S974" s="11">
        <v>0</v>
      </c>
      <c r="T974" s="11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 s="3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0</v>
      </c>
      <c r="AL974">
        <v>0</v>
      </c>
      <c r="AM974">
        <v>0</v>
      </c>
    </row>
    <row r="975" spans="1:39" customFormat="1" hidden="1" x14ac:dyDescent="0.3">
      <c r="A975" t="s">
        <v>770</v>
      </c>
      <c r="B975" t="s">
        <v>30</v>
      </c>
      <c r="C975" t="s">
        <v>41</v>
      </c>
      <c r="D975" t="s">
        <v>41</v>
      </c>
      <c r="E975" t="s">
        <v>41</v>
      </c>
      <c r="F975" t="s">
        <v>41</v>
      </c>
      <c r="G975" t="s">
        <v>41</v>
      </c>
      <c r="H975" s="16">
        <v>0</v>
      </c>
      <c r="I975" s="11">
        <v>0</v>
      </c>
      <c r="J975" s="11">
        <v>0</v>
      </c>
      <c r="K975" s="11">
        <v>0</v>
      </c>
      <c r="L975" s="11">
        <v>0</v>
      </c>
      <c r="M975" s="11">
        <v>0</v>
      </c>
      <c r="N975" s="11">
        <v>0</v>
      </c>
      <c r="O975" s="11">
        <v>0</v>
      </c>
      <c r="P975" s="11">
        <v>0</v>
      </c>
      <c r="Q975" s="11">
        <v>0</v>
      </c>
      <c r="R975" s="11">
        <v>0</v>
      </c>
      <c r="S975" s="11">
        <v>2.4883049666567102E-3</v>
      </c>
      <c r="T975" s="11">
        <v>0</v>
      </c>
      <c r="U975">
        <v>0</v>
      </c>
      <c r="V975">
        <v>0</v>
      </c>
      <c r="W975">
        <v>0</v>
      </c>
      <c r="X975">
        <v>6.4242579982012101E-3</v>
      </c>
      <c r="Y975">
        <v>0</v>
      </c>
      <c r="Z975">
        <v>6.3548551093035102E-3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  <c r="AL975">
        <v>0</v>
      </c>
      <c r="AM975">
        <v>0</v>
      </c>
    </row>
    <row r="976" spans="1:39" customFormat="1" hidden="1" x14ac:dyDescent="0.3">
      <c r="A976" t="s">
        <v>768</v>
      </c>
      <c r="B976" t="s">
        <v>30</v>
      </c>
      <c r="C976" t="s">
        <v>81</v>
      </c>
      <c r="D976" t="s">
        <v>85</v>
      </c>
      <c r="E976" t="s">
        <v>84</v>
      </c>
      <c r="F976" t="s">
        <v>84</v>
      </c>
      <c r="G976" t="s">
        <v>84</v>
      </c>
      <c r="H976" s="16">
        <v>0</v>
      </c>
      <c r="I976" s="11">
        <v>0</v>
      </c>
      <c r="J976" s="11">
        <v>0</v>
      </c>
      <c r="K976" s="11">
        <v>0</v>
      </c>
      <c r="L976" s="11">
        <v>0</v>
      </c>
      <c r="M976" s="11">
        <v>0</v>
      </c>
      <c r="N976" s="11">
        <v>0</v>
      </c>
      <c r="O976" s="11">
        <v>0</v>
      </c>
      <c r="P976" s="11">
        <v>0</v>
      </c>
      <c r="Q976" s="11">
        <v>0</v>
      </c>
      <c r="R976" s="11">
        <v>0</v>
      </c>
      <c r="S976" s="11">
        <v>0</v>
      </c>
      <c r="T976" s="11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</v>
      </c>
      <c r="AJ976">
        <v>0</v>
      </c>
      <c r="AK976">
        <v>0</v>
      </c>
      <c r="AL976">
        <v>0</v>
      </c>
      <c r="AM976">
        <v>0</v>
      </c>
    </row>
    <row r="977" spans="1:39" customFormat="1" hidden="1" x14ac:dyDescent="0.3">
      <c r="A977" t="s">
        <v>767</v>
      </c>
      <c r="B977" t="s">
        <v>30</v>
      </c>
      <c r="C977" t="s">
        <v>81</v>
      </c>
      <c r="D977" t="s">
        <v>85</v>
      </c>
      <c r="E977" t="s">
        <v>84</v>
      </c>
      <c r="F977" t="s">
        <v>84</v>
      </c>
      <c r="G977" t="s">
        <v>84</v>
      </c>
      <c r="H977" s="16">
        <v>0</v>
      </c>
      <c r="I977" s="11">
        <v>0</v>
      </c>
      <c r="J977" s="11">
        <v>0</v>
      </c>
      <c r="K977" s="11">
        <v>0</v>
      </c>
      <c r="L977" s="11">
        <v>0</v>
      </c>
      <c r="M977" s="11">
        <v>0</v>
      </c>
      <c r="N977" s="11">
        <v>0</v>
      </c>
      <c r="O977" s="11">
        <v>0</v>
      </c>
      <c r="P977" s="11">
        <v>0</v>
      </c>
      <c r="Q977" s="11">
        <v>0</v>
      </c>
      <c r="R977" s="11">
        <v>0</v>
      </c>
      <c r="S977" s="11">
        <v>0</v>
      </c>
      <c r="T977" s="11">
        <v>6.69299243691855E-3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3.1774275546517499E-3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6.02700096432015E-3</v>
      </c>
      <c r="AL977">
        <v>0</v>
      </c>
      <c r="AM977">
        <v>0</v>
      </c>
    </row>
    <row r="978" spans="1:39" customFormat="1" hidden="1" x14ac:dyDescent="0.3">
      <c r="A978" t="s">
        <v>766</v>
      </c>
      <c r="B978" t="s">
        <v>30</v>
      </c>
      <c r="C978" t="s">
        <v>81</v>
      </c>
      <c r="D978" t="s">
        <v>85</v>
      </c>
      <c r="E978" t="s">
        <v>84</v>
      </c>
      <c r="F978" t="s">
        <v>84</v>
      </c>
      <c r="G978" t="s">
        <v>84</v>
      </c>
      <c r="H978" s="16">
        <v>0</v>
      </c>
      <c r="I978" s="11">
        <v>0</v>
      </c>
      <c r="J978" s="11">
        <v>0</v>
      </c>
      <c r="K978" s="11">
        <v>0</v>
      </c>
      <c r="L978" s="11">
        <v>0</v>
      </c>
      <c r="M978" s="11">
        <v>0</v>
      </c>
      <c r="N978" s="11">
        <v>0</v>
      </c>
      <c r="O978" s="11">
        <v>0</v>
      </c>
      <c r="P978" s="11">
        <v>0</v>
      </c>
      <c r="Q978" s="11">
        <v>0</v>
      </c>
      <c r="R978" s="11">
        <v>0</v>
      </c>
      <c r="S978" s="11">
        <v>0</v>
      </c>
      <c r="T978" s="11">
        <v>0</v>
      </c>
      <c r="U978">
        <v>3.04201016031394E-3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2.2984278753332699E-3</v>
      </c>
      <c r="AJ978">
        <v>0</v>
      </c>
      <c r="AK978">
        <v>0</v>
      </c>
      <c r="AL978">
        <v>3.5844863431070302E-3</v>
      </c>
      <c r="AM978">
        <v>0</v>
      </c>
    </row>
    <row r="979" spans="1:39" customFormat="1" hidden="1" x14ac:dyDescent="0.3">
      <c r="A979" t="s">
        <v>765</v>
      </c>
      <c r="B979" t="s">
        <v>30</v>
      </c>
      <c r="C979" t="s">
        <v>81</v>
      </c>
      <c r="D979" t="s">
        <v>85</v>
      </c>
      <c r="E979" t="s">
        <v>84</v>
      </c>
      <c r="F979" t="s">
        <v>84</v>
      </c>
      <c r="G979" t="s">
        <v>84</v>
      </c>
      <c r="H979" s="16">
        <v>0</v>
      </c>
      <c r="I979" s="11">
        <v>0</v>
      </c>
      <c r="J979" s="11">
        <v>0</v>
      </c>
      <c r="K979" s="11">
        <v>0</v>
      </c>
      <c r="L979" s="11">
        <v>0</v>
      </c>
      <c r="M979" s="11">
        <v>0</v>
      </c>
      <c r="N979" s="11">
        <v>0</v>
      </c>
      <c r="O979" s="11">
        <v>0</v>
      </c>
      <c r="P979" s="11">
        <v>0</v>
      </c>
      <c r="Q979" s="11">
        <v>0</v>
      </c>
      <c r="R979" s="11">
        <v>0</v>
      </c>
      <c r="S979" s="11">
        <v>0</v>
      </c>
      <c r="T979" s="11">
        <v>3.3464962184592698E-3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4.6410173109945703E-3</v>
      </c>
      <c r="AI979">
        <v>0</v>
      </c>
      <c r="AJ979">
        <v>3.5915670006823998E-3</v>
      </c>
      <c r="AK979">
        <v>0</v>
      </c>
      <c r="AL979">
        <v>3.5844863431070302E-3</v>
      </c>
      <c r="AM979">
        <v>0</v>
      </c>
    </row>
    <row r="980" spans="1:39" customFormat="1" hidden="1" x14ac:dyDescent="0.3">
      <c r="A980" t="s">
        <v>763</v>
      </c>
      <c r="B980" t="s">
        <v>30</v>
      </c>
      <c r="C980" t="s">
        <v>81</v>
      </c>
      <c r="D980" t="s">
        <v>85</v>
      </c>
      <c r="E980" t="s">
        <v>84</v>
      </c>
      <c r="F980" t="s">
        <v>84</v>
      </c>
      <c r="G980" t="s">
        <v>84</v>
      </c>
      <c r="H980" s="16">
        <v>0</v>
      </c>
      <c r="I980" s="11">
        <v>0</v>
      </c>
      <c r="J980" s="11">
        <v>0</v>
      </c>
      <c r="K980" s="11">
        <v>0</v>
      </c>
      <c r="L980" s="11">
        <v>0</v>
      </c>
      <c r="M980" s="11">
        <v>0</v>
      </c>
      <c r="N980" s="11">
        <v>0</v>
      </c>
      <c r="O980" s="11">
        <v>0</v>
      </c>
      <c r="P980" s="11">
        <v>0</v>
      </c>
      <c r="Q980" s="11">
        <v>0</v>
      </c>
      <c r="R980" s="11">
        <v>0</v>
      </c>
      <c r="S980" s="11">
        <v>2.4883049666567102E-3</v>
      </c>
      <c r="T980" s="11">
        <v>0</v>
      </c>
      <c r="U980">
        <v>3.04201016031394E-3</v>
      </c>
      <c r="V980">
        <v>0</v>
      </c>
      <c r="W980">
        <v>0</v>
      </c>
      <c r="X980">
        <v>6.4242579982012101E-3</v>
      </c>
      <c r="Y980">
        <v>0</v>
      </c>
      <c r="Z980">
        <v>3.1774275546517499E-3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0</v>
      </c>
      <c r="AL980">
        <v>0</v>
      </c>
      <c r="AM980">
        <v>0</v>
      </c>
    </row>
    <row r="981" spans="1:39" customFormat="1" hidden="1" x14ac:dyDescent="0.3">
      <c r="A981" t="s">
        <v>762</v>
      </c>
      <c r="B981" t="s">
        <v>30</v>
      </c>
      <c r="C981" t="s">
        <v>81</v>
      </c>
      <c r="D981" t="s">
        <v>85</v>
      </c>
      <c r="E981" t="s">
        <v>84</v>
      </c>
      <c r="F981" t="s">
        <v>84</v>
      </c>
      <c r="G981" t="s">
        <v>84</v>
      </c>
      <c r="H981" s="16">
        <v>0</v>
      </c>
      <c r="I981" s="11">
        <v>0</v>
      </c>
      <c r="J981" s="11">
        <v>0</v>
      </c>
      <c r="K981" s="11">
        <v>0</v>
      </c>
      <c r="L981" s="11">
        <v>0</v>
      </c>
      <c r="M981" s="11">
        <v>0</v>
      </c>
      <c r="N981" s="11">
        <v>0</v>
      </c>
      <c r="O981" s="11">
        <v>0</v>
      </c>
      <c r="P981" s="11">
        <v>0</v>
      </c>
      <c r="Q981" s="11">
        <v>0</v>
      </c>
      <c r="R981" s="11">
        <v>0</v>
      </c>
      <c r="S981" s="11">
        <v>0</v>
      </c>
      <c r="T981" s="11">
        <v>0</v>
      </c>
      <c r="U981">
        <v>3.04201016031394E-3</v>
      </c>
      <c r="V981">
        <v>0</v>
      </c>
      <c r="W981">
        <v>0</v>
      </c>
      <c r="X981">
        <v>6.4242579982012101E-3</v>
      </c>
      <c r="Y981">
        <v>0</v>
      </c>
      <c r="Z981">
        <v>0</v>
      </c>
      <c r="AA981">
        <v>0</v>
      </c>
      <c r="AB981">
        <v>4.5118209709438702E-3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  <c r="AL981">
        <v>0</v>
      </c>
      <c r="AM981">
        <v>0</v>
      </c>
    </row>
    <row r="982" spans="1:39" customFormat="1" hidden="1" x14ac:dyDescent="0.3">
      <c r="A982" t="s">
        <v>761</v>
      </c>
      <c r="B982" t="s">
        <v>30</v>
      </c>
      <c r="C982" t="s">
        <v>81</v>
      </c>
      <c r="D982" t="s">
        <v>118</v>
      </c>
      <c r="E982" t="s">
        <v>760</v>
      </c>
      <c r="F982" t="s">
        <v>759</v>
      </c>
      <c r="G982" t="s">
        <v>758</v>
      </c>
      <c r="H982" s="16">
        <v>0</v>
      </c>
      <c r="I982" s="11">
        <v>0</v>
      </c>
      <c r="J982" s="11">
        <v>0</v>
      </c>
      <c r="K982" s="11">
        <v>0</v>
      </c>
      <c r="L982" s="11">
        <v>0</v>
      </c>
      <c r="M982" s="11">
        <v>0</v>
      </c>
      <c r="N982" s="11">
        <v>0</v>
      </c>
      <c r="O982" s="11">
        <v>0</v>
      </c>
      <c r="P982" s="11">
        <v>0</v>
      </c>
      <c r="Q982" s="11">
        <v>0</v>
      </c>
      <c r="R982" s="11">
        <v>0</v>
      </c>
      <c r="S982" s="11">
        <v>0</v>
      </c>
      <c r="T982" s="11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7.0407660353446503E-3</v>
      </c>
      <c r="AH982">
        <v>0</v>
      </c>
      <c r="AI982">
        <v>0</v>
      </c>
      <c r="AJ982">
        <v>0</v>
      </c>
      <c r="AK982">
        <v>0</v>
      </c>
      <c r="AL982">
        <v>0</v>
      </c>
      <c r="AM982">
        <v>0</v>
      </c>
    </row>
    <row r="983" spans="1:39" customFormat="1" hidden="1" x14ac:dyDescent="0.3">
      <c r="A983" t="s">
        <v>757</v>
      </c>
      <c r="B983" t="s">
        <v>30</v>
      </c>
      <c r="C983" t="s">
        <v>81</v>
      </c>
      <c r="D983" t="s">
        <v>85</v>
      </c>
      <c r="E983" t="s">
        <v>84</v>
      </c>
      <c r="F983" t="s">
        <v>84</v>
      </c>
      <c r="G983" t="s">
        <v>84</v>
      </c>
      <c r="H983" s="16">
        <v>0</v>
      </c>
      <c r="I983" s="11">
        <v>0</v>
      </c>
      <c r="J983" s="11">
        <v>0</v>
      </c>
      <c r="K983" s="11">
        <v>0</v>
      </c>
      <c r="L983" s="11">
        <v>0</v>
      </c>
      <c r="M983" s="11">
        <v>0</v>
      </c>
      <c r="N983" s="11">
        <v>4.5835816106705798E-3</v>
      </c>
      <c r="O983" s="11">
        <v>0</v>
      </c>
      <c r="P983" s="11">
        <v>0</v>
      </c>
      <c r="Q983" s="11">
        <v>0</v>
      </c>
      <c r="R983" s="11">
        <v>0</v>
      </c>
      <c r="S983" s="11">
        <v>0</v>
      </c>
      <c r="T983" s="11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7.1911405148856597E-3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0</v>
      </c>
      <c r="AM983">
        <v>0</v>
      </c>
    </row>
    <row r="984" spans="1:39" customFormat="1" hidden="1" x14ac:dyDescent="0.3">
      <c r="A984" t="s">
        <v>756</v>
      </c>
      <c r="B984" t="s">
        <v>30</v>
      </c>
      <c r="C984" t="s">
        <v>81</v>
      </c>
      <c r="D984" t="s">
        <v>85</v>
      </c>
      <c r="E984" t="s">
        <v>84</v>
      </c>
      <c r="F984" t="s">
        <v>84</v>
      </c>
      <c r="G984" t="s">
        <v>84</v>
      </c>
      <c r="H984" s="16">
        <v>0</v>
      </c>
      <c r="I984" s="11">
        <v>0</v>
      </c>
      <c r="J984" s="11">
        <v>0</v>
      </c>
      <c r="K984" s="11">
        <v>0</v>
      </c>
      <c r="L984" s="11">
        <v>0</v>
      </c>
      <c r="M984" s="11">
        <v>0</v>
      </c>
      <c r="N984" s="11">
        <v>0</v>
      </c>
      <c r="O984" s="11">
        <v>0</v>
      </c>
      <c r="P984" s="11">
        <v>0</v>
      </c>
      <c r="Q984" s="11">
        <v>0</v>
      </c>
      <c r="R984" s="11">
        <v>2.2441148089136199E-3</v>
      </c>
      <c r="S984" s="11">
        <v>0</v>
      </c>
      <c r="T984" s="11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9.5322826639552601E-3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0</v>
      </c>
      <c r="AM984">
        <v>0</v>
      </c>
    </row>
    <row r="985" spans="1:39" customFormat="1" hidden="1" x14ac:dyDescent="0.3">
      <c r="A985" t="s">
        <v>755</v>
      </c>
      <c r="B985" t="s">
        <v>30</v>
      </c>
      <c r="C985" t="s">
        <v>81</v>
      </c>
      <c r="D985" t="s">
        <v>85</v>
      </c>
      <c r="E985" t="s">
        <v>84</v>
      </c>
      <c r="F985" t="s">
        <v>84</v>
      </c>
      <c r="G985" t="s">
        <v>84</v>
      </c>
      <c r="H985" s="16">
        <v>0</v>
      </c>
      <c r="I985" s="11">
        <v>0</v>
      </c>
      <c r="J985" s="11">
        <v>0</v>
      </c>
      <c r="K985" s="11">
        <v>0</v>
      </c>
      <c r="L985" s="11">
        <v>0</v>
      </c>
      <c r="M985" s="11">
        <v>0</v>
      </c>
      <c r="N985" s="11">
        <v>0</v>
      </c>
      <c r="O985" s="11">
        <v>3.75023438964935E-3</v>
      </c>
      <c r="P985" s="11">
        <v>0</v>
      </c>
      <c r="Q985" s="11">
        <v>0</v>
      </c>
      <c r="R985" s="11">
        <v>0</v>
      </c>
      <c r="S985" s="11">
        <v>0</v>
      </c>
      <c r="T985" s="11">
        <v>0</v>
      </c>
      <c r="U985">
        <v>3.04201016031394E-3</v>
      </c>
      <c r="V985">
        <v>0</v>
      </c>
      <c r="W985">
        <v>0</v>
      </c>
      <c r="X985">
        <v>6.4242579982012101E-3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0</v>
      </c>
      <c r="AM985">
        <v>0</v>
      </c>
    </row>
    <row r="986" spans="1:39" customFormat="1" hidden="1" x14ac:dyDescent="0.3">
      <c r="A986" t="s">
        <v>754</v>
      </c>
      <c r="B986" t="s">
        <v>30</v>
      </c>
      <c r="C986" t="s">
        <v>81</v>
      </c>
      <c r="D986" t="s">
        <v>85</v>
      </c>
      <c r="E986" t="s">
        <v>84</v>
      </c>
      <c r="F986" t="s">
        <v>84</v>
      </c>
      <c r="G986" t="s">
        <v>84</v>
      </c>
      <c r="H986" s="16">
        <v>0</v>
      </c>
      <c r="I986" s="11">
        <v>0</v>
      </c>
      <c r="J986" s="11">
        <v>0</v>
      </c>
      <c r="K986" s="11">
        <v>0</v>
      </c>
      <c r="L986" s="11">
        <v>0</v>
      </c>
      <c r="M986" s="11">
        <v>0</v>
      </c>
      <c r="N986" s="11">
        <v>0</v>
      </c>
      <c r="O986" s="11">
        <v>0</v>
      </c>
      <c r="P986" s="11">
        <v>0</v>
      </c>
      <c r="Q986" s="11">
        <v>0</v>
      </c>
      <c r="R986" s="11">
        <v>2.2441148089136199E-3</v>
      </c>
      <c r="S986" s="11">
        <v>0</v>
      </c>
      <c r="T986" s="11">
        <v>0</v>
      </c>
      <c r="U986">
        <v>3.04201016031394E-3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3.5915670006823998E-3</v>
      </c>
      <c r="AK986">
        <v>0</v>
      </c>
      <c r="AL986">
        <v>3.5844863431070302E-3</v>
      </c>
      <c r="AM986">
        <v>0</v>
      </c>
    </row>
    <row r="987" spans="1:39" customFormat="1" hidden="1" x14ac:dyDescent="0.3">
      <c r="A987" t="s">
        <v>753</v>
      </c>
      <c r="B987" t="s">
        <v>30</v>
      </c>
      <c r="C987" t="s">
        <v>81</v>
      </c>
      <c r="D987" t="s">
        <v>85</v>
      </c>
      <c r="E987" t="s">
        <v>84</v>
      </c>
      <c r="F987" t="s">
        <v>84</v>
      </c>
      <c r="G987" t="s">
        <v>84</v>
      </c>
      <c r="H987" s="16">
        <v>0</v>
      </c>
      <c r="I987" s="11">
        <v>0</v>
      </c>
      <c r="J987" s="11">
        <v>0</v>
      </c>
      <c r="K987" s="11">
        <v>0</v>
      </c>
      <c r="L987" s="11">
        <v>0</v>
      </c>
      <c r="M987" s="11">
        <v>0</v>
      </c>
      <c r="N987" s="11">
        <v>4.5835816106705798E-3</v>
      </c>
      <c r="O987" s="11">
        <v>0</v>
      </c>
      <c r="P987" s="11">
        <v>0</v>
      </c>
      <c r="Q987" s="11">
        <v>0</v>
      </c>
      <c r="R987" s="11">
        <v>0</v>
      </c>
      <c r="S987" s="11">
        <v>0</v>
      </c>
      <c r="T987" s="11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3.1774275546517499E-3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3.5844863431070302E-3</v>
      </c>
      <c r="AM987">
        <v>0</v>
      </c>
    </row>
    <row r="988" spans="1:39" customFormat="1" hidden="1" x14ac:dyDescent="0.3">
      <c r="A988" t="s">
        <v>752</v>
      </c>
      <c r="B988" t="s">
        <v>30</v>
      </c>
      <c r="C988" t="s">
        <v>81</v>
      </c>
      <c r="D988" t="s">
        <v>85</v>
      </c>
      <c r="E988" t="s">
        <v>84</v>
      </c>
      <c r="F988" t="s">
        <v>84</v>
      </c>
      <c r="G988" t="s">
        <v>84</v>
      </c>
      <c r="H988" s="16">
        <v>0</v>
      </c>
      <c r="I988" s="11">
        <v>0</v>
      </c>
      <c r="J988" s="11">
        <v>0</v>
      </c>
      <c r="K988" s="11">
        <v>0</v>
      </c>
      <c r="L988" s="11">
        <v>0</v>
      </c>
      <c r="M988" s="11">
        <v>0</v>
      </c>
      <c r="N988" s="11">
        <v>0</v>
      </c>
      <c r="O988" s="11">
        <v>0</v>
      </c>
      <c r="P988" s="11">
        <v>0</v>
      </c>
      <c r="Q988" s="11">
        <v>0</v>
      </c>
      <c r="R988" s="11">
        <v>0</v>
      </c>
      <c r="S988" s="11">
        <v>0</v>
      </c>
      <c r="T988" s="11">
        <v>0</v>
      </c>
      <c r="U988">
        <v>3.04201016031394E-3</v>
      </c>
      <c r="V988">
        <v>0</v>
      </c>
      <c r="W988">
        <v>0</v>
      </c>
      <c r="X988">
        <v>0</v>
      </c>
      <c r="Y988">
        <v>2.9264581077521898E-3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0</v>
      </c>
      <c r="AM988">
        <v>0</v>
      </c>
    </row>
    <row r="989" spans="1:39" customFormat="1" hidden="1" x14ac:dyDescent="0.3">
      <c r="A989" t="s">
        <v>751</v>
      </c>
      <c r="B989" t="s">
        <v>30</v>
      </c>
      <c r="C989" t="s">
        <v>81</v>
      </c>
      <c r="D989" t="s">
        <v>85</v>
      </c>
      <c r="E989" t="s">
        <v>84</v>
      </c>
      <c r="F989" t="s">
        <v>84</v>
      </c>
      <c r="G989" t="s">
        <v>84</v>
      </c>
      <c r="H989" s="16">
        <v>0</v>
      </c>
      <c r="I989" s="11">
        <v>0</v>
      </c>
      <c r="J989" s="11">
        <v>0</v>
      </c>
      <c r="K989" s="11">
        <v>0</v>
      </c>
      <c r="L989" s="11">
        <v>0</v>
      </c>
      <c r="M989" s="11">
        <v>0</v>
      </c>
      <c r="N989" s="11">
        <v>0</v>
      </c>
      <c r="O989" s="11">
        <v>0</v>
      </c>
      <c r="P989" s="11">
        <v>0</v>
      </c>
      <c r="Q989" s="11">
        <v>0</v>
      </c>
      <c r="R989" s="11">
        <v>0</v>
      </c>
      <c r="S989" s="11">
        <v>0</v>
      </c>
      <c r="T989" s="11">
        <v>0</v>
      </c>
      <c r="U989">
        <v>0</v>
      </c>
      <c r="V989">
        <v>0</v>
      </c>
      <c r="W989">
        <v>0</v>
      </c>
      <c r="X989">
        <v>0</v>
      </c>
      <c r="Y989">
        <v>5.8529162155043701E-3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3.5915670006823998E-3</v>
      </c>
      <c r="AK989">
        <v>0</v>
      </c>
      <c r="AL989">
        <v>0</v>
      </c>
      <c r="AM989">
        <v>0</v>
      </c>
    </row>
    <row r="990" spans="1:39" customFormat="1" hidden="1" x14ac:dyDescent="0.3">
      <c r="A990" t="s">
        <v>750</v>
      </c>
      <c r="B990" t="s">
        <v>30</v>
      </c>
      <c r="C990" t="s">
        <v>81</v>
      </c>
      <c r="D990" t="s">
        <v>85</v>
      </c>
      <c r="E990" t="s">
        <v>84</v>
      </c>
      <c r="F990" t="s">
        <v>84</v>
      </c>
      <c r="G990" t="s">
        <v>84</v>
      </c>
      <c r="H990" s="16">
        <v>0</v>
      </c>
      <c r="I990" s="11">
        <v>0</v>
      </c>
      <c r="J990" s="11">
        <v>0</v>
      </c>
      <c r="K990" s="11">
        <v>0</v>
      </c>
      <c r="L990" s="11">
        <v>0</v>
      </c>
      <c r="M990" s="11">
        <v>0</v>
      </c>
      <c r="N990" s="11">
        <v>0</v>
      </c>
      <c r="O990" s="11">
        <v>0</v>
      </c>
      <c r="P990" s="11">
        <v>0</v>
      </c>
      <c r="Q990" s="11">
        <v>0</v>
      </c>
      <c r="R990" s="11">
        <v>2.2441148089136199E-3</v>
      </c>
      <c r="S990" s="11">
        <v>0</v>
      </c>
      <c r="T990" s="11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1.0753459029321099E-2</v>
      </c>
      <c r="AM990">
        <v>0</v>
      </c>
    </row>
    <row r="991" spans="1:39" customFormat="1" hidden="1" x14ac:dyDescent="0.3">
      <c r="A991" t="s">
        <v>749</v>
      </c>
      <c r="B991" t="s">
        <v>30</v>
      </c>
      <c r="C991" t="s">
        <v>81</v>
      </c>
      <c r="D991" t="s">
        <v>85</v>
      </c>
      <c r="E991" t="s">
        <v>84</v>
      </c>
      <c r="F991" t="s">
        <v>84</v>
      </c>
      <c r="G991" t="s">
        <v>84</v>
      </c>
      <c r="H991" s="16">
        <v>0</v>
      </c>
      <c r="I991" s="11">
        <v>0</v>
      </c>
      <c r="J991" s="11">
        <v>0</v>
      </c>
      <c r="K991" s="11">
        <v>0</v>
      </c>
      <c r="L991" s="11">
        <v>0</v>
      </c>
      <c r="M991" s="11">
        <v>0</v>
      </c>
      <c r="N991" s="11">
        <v>0</v>
      </c>
      <c r="O991" s="11">
        <v>0</v>
      </c>
      <c r="P991" s="11">
        <v>0</v>
      </c>
      <c r="Q991" s="11">
        <v>0</v>
      </c>
      <c r="R991" s="11">
        <v>0</v>
      </c>
      <c r="S991" s="11">
        <v>0</v>
      </c>
      <c r="T991" s="1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3.4299434059338E-3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</v>
      </c>
      <c r="AM991">
        <v>0</v>
      </c>
    </row>
    <row r="992" spans="1:39" customFormat="1" hidden="1" x14ac:dyDescent="0.3">
      <c r="A992" t="s">
        <v>748</v>
      </c>
      <c r="B992" t="s">
        <v>30</v>
      </c>
      <c r="C992" t="s">
        <v>81</v>
      </c>
      <c r="D992" t="s">
        <v>85</v>
      </c>
      <c r="E992" t="s">
        <v>84</v>
      </c>
      <c r="F992" t="s">
        <v>84</v>
      </c>
      <c r="G992" t="s">
        <v>84</v>
      </c>
      <c r="H992" s="16">
        <v>0</v>
      </c>
      <c r="I992" s="11">
        <v>0</v>
      </c>
      <c r="J992" s="11">
        <v>0</v>
      </c>
      <c r="K992" s="11">
        <v>0</v>
      </c>
      <c r="L992" s="11">
        <v>0</v>
      </c>
      <c r="M992" s="11">
        <v>0</v>
      </c>
      <c r="N992" s="11">
        <v>0</v>
      </c>
      <c r="O992" s="11">
        <v>0</v>
      </c>
      <c r="P992" s="11">
        <v>0</v>
      </c>
      <c r="Q992" s="11">
        <v>2.7492920572952501E-3</v>
      </c>
      <c r="R992" s="11">
        <v>0</v>
      </c>
      <c r="S992" s="11">
        <v>0</v>
      </c>
      <c r="T992" s="11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E992">
        <v>0</v>
      </c>
      <c r="AF992">
        <v>0</v>
      </c>
      <c r="AG992">
        <v>0</v>
      </c>
      <c r="AH992">
        <v>4.6410173109945703E-3</v>
      </c>
      <c r="AI992">
        <v>0</v>
      </c>
      <c r="AJ992">
        <v>0</v>
      </c>
      <c r="AK992">
        <v>0</v>
      </c>
      <c r="AL992">
        <v>0</v>
      </c>
      <c r="AM992">
        <v>0</v>
      </c>
    </row>
    <row r="993" spans="1:39" customFormat="1" hidden="1" x14ac:dyDescent="0.3">
      <c r="A993" t="s">
        <v>747</v>
      </c>
      <c r="B993" t="s">
        <v>30</v>
      </c>
      <c r="C993" t="s">
        <v>81</v>
      </c>
      <c r="D993" t="s">
        <v>85</v>
      </c>
      <c r="E993" t="s">
        <v>84</v>
      </c>
      <c r="F993" t="s">
        <v>84</v>
      </c>
      <c r="G993" t="s">
        <v>84</v>
      </c>
      <c r="H993" s="16">
        <v>0</v>
      </c>
      <c r="I993" s="11">
        <v>0</v>
      </c>
      <c r="J993" s="11">
        <v>0</v>
      </c>
      <c r="K993" s="11">
        <v>0</v>
      </c>
      <c r="L993" s="11">
        <v>0</v>
      </c>
      <c r="M993" s="11">
        <v>0</v>
      </c>
      <c r="N993" s="11">
        <v>0</v>
      </c>
      <c r="O993" s="11">
        <v>0</v>
      </c>
      <c r="P993" s="11">
        <v>0</v>
      </c>
      <c r="Q993" s="11">
        <v>0</v>
      </c>
      <c r="R993" s="11">
        <v>0</v>
      </c>
      <c r="S993" s="11">
        <v>2.4883049666567102E-3</v>
      </c>
      <c r="T993" s="11">
        <v>3.3464962184592698E-3</v>
      </c>
      <c r="U993">
        <v>0</v>
      </c>
      <c r="V993">
        <v>0</v>
      </c>
      <c r="W993">
        <v>2.6668088964744798E-3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0</v>
      </c>
      <c r="AH993">
        <v>9.2820346219891405E-3</v>
      </c>
      <c r="AI993">
        <v>0</v>
      </c>
      <c r="AJ993">
        <v>0</v>
      </c>
      <c r="AK993">
        <v>0</v>
      </c>
      <c r="AL993">
        <v>0</v>
      </c>
      <c r="AM993">
        <v>0</v>
      </c>
    </row>
    <row r="994" spans="1:39" customFormat="1" hidden="1" x14ac:dyDescent="0.3">
      <c r="A994" t="s">
        <v>746</v>
      </c>
      <c r="B994" t="s">
        <v>30</v>
      </c>
      <c r="C994" t="s">
        <v>81</v>
      </c>
      <c r="D994" t="s">
        <v>351</v>
      </c>
      <c r="E994" t="s">
        <v>351</v>
      </c>
      <c r="F994" t="s">
        <v>351</v>
      </c>
      <c r="G994" t="s">
        <v>351</v>
      </c>
      <c r="H994" s="16">
        <v>0</v>
      </c>
      <c r="I994" s="11">
        <v>0</v>
      </c>
      <c r="J994" s="11">
        <v>0</v>
      </c>
      <c r="K994" s="11">
        <v>0</v>
      </c>
      <c r="L994" s="11">
        <v>0</v>
      </c>
      <c r="M994" s="11">
        <v>0</v>
      </c>
      <c r="N994" s="11">
        <v>0</v>
      </c>
      <c r="O994" s="11">
        <v>0</v>
      </c>
      <c r="P994" s="11">
        <v>0</v>
      </c>
      <c r="Q994" s="11">
        <v>0</v>
      </c>
      <c r="R994" s="11">
        <v>0</v>
      </c>
      <c r="S994" s="11">
        <v>0</v>
      </c>
      <c r="T994" s="11">
        <v>0</v>
      </c>
      <c r="U994">
        <v>0</v>
      </c>
      <c r="V994">
        <v>0</v>
      </c>
      <c r="W994">
        <v>0</v>
      </c>
      <c r="X994">
        <v>0</v>
      </c>
      <c r="Y994">
        <v>2.9264581077521898E-3</v>
      </c>
      <c r="Z994">
        <v>0</v>
      </c>
      <c r="AA994">
        <v>0</v>
      </c>
      <c r="AB994">
        <v>0</v>
      </c>
      <c r="AC994">
        <v>7.1911405148856597E-3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6.02700096432015E-3</v>
      </c>
      <c r="AL994">
        <v>0</v>
      </c>
      <c r="AM994">
        <v>0</v>
      </c>
    </row>
    <row r="995" spans="1:39" customFormat="1" hidden="1" x14ac:dyDescent="0.3">
      <c r="A995" t="s">
        <v>745</v>
      </c>
      <c r="B995" t="s">
        <v>30</v>
      </c>
      <c r="C995" t="s">
        <v>81</v>
      </c>
      <c r="D995" t="s">
        <v>85</v>
      </c>
      <c r="E995" t="s">
        <v>84</v>
      </c>
      <c r="F995" t="s">
        <v>84</v>
      </c>
      <c r="G995" t="s">
        <v>84</v>
      </c>
      <c r="H995" s="16">
        <v>0</v>
      </c>
      <c r="I995" s="11">
        <v>0</v>
      </c>
      <c r="J995" s="11">
        <v>8.7187758838659108E-3</v>
      </c>
      <c r="K995" s="11">
        <v>0</v>
      </c>
      <c r="L995" s="11">
        <v>0</v>
      </c>
      <c r="M995" s="11">
        <v>0</v>
      </c>
      <c r="N995" s="11">
        <v>0</v>
      </c>
      <c r="O995" s="11">
        <v>0</v>
      </c>
      <c r="P995" s="11">
        <v>0</v>
      </c>
      <c r="Q995" s="11">
        <v>0</v>
      </c>
      <c r="R995" s="11">
        <v>0</v>
      </c>
      <c r="S995" s="11">
        <v>0</v>
      </c>
      <c r="T995" s="11">
        <v>0</v>
      </c>
      <c r="U995">
        <v>0</v>
      </c>
      <c r="V995">
        <v>0</v>
      </c>
      <c r="W995">
        <v>0</v>
      </c>
      <c r="X995">
        <v>0</v>
      </c>
      <c r="Y995">
        <v>2.9264581077521898E-3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0</v>
      </c>
      <c r="AJ995">
        <v>0</v>
      </c>
      <c r="AK995">
        <v>0</v>
      </c>
      <c r="AL995">
        <v>0</v>
      </c>
      <c r="AM995">
        <v>0</v>
      </c>
    </row>
    <row r="996" spans="1:39" customFormat="1" hidden="1" x14ac:dyDescent="0.3">
      <c r="A996" t="s">
        <v>744</v>
      </c>
      <c r="B996" t="s">
        <v>30</v>
      </c>
      <c r="C996" t="s">
        <v>111</v>
      </c>
      <c r="D996" t="s">
        <v>141</v>
      </c>
      <c r="E996" t="s">
        <v>140</v>
      </c>
      <c r="F996" t="s">
        <v>592</v>
      </c>
      <c r="G996" t="s">
        <v>743</v>
      </c>
      <c r="H996" s="16">
        <v>0</v>
      </c>
      <c r="I996" s="11">
        <v>0</v>
      </c>
      <c r="J996" s="11">
        <v>0</v>
      </c>
      <c r="K996" s="11">
        <v>0</v>
      </c>
      <c r="L996" s="11">
        <v>0</v>
      </c>
      <c r="M996" s="11">
        <v>0</v>
      </c>
      <c r="N996" s="11">
        <v>0</v>
      </c>
      <c r="O996" s="11">
        <v>0</v>
      </c>
      <c r="P996" s="11">
        <v>0</v>
      </c>
      <c r="Q996" s="11">
        <v>0</v>
      </c>
      <c r="R996" s="11">
        <v>0</v>
      </c>
      <c r="S996" s="11">
        <v>0</v>
      </c>
      <c r="T996" s="11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3.14564328405159E-3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0</v>
      </c>
      <c r="AL996">
        <v>0</v>
      </c>
      <c r="AM996">
        <v>0</v>
      </c>
    </row>
    <row r="997" spans="1:39" x14ac:dyDescent="0.3">
      <c r="A997" s="6" t="s">
        <v>742</v>
      </c>
      <c r="B997" s="6" t="s">
        <v>30</v>
      </c>
      <c r="C997" s="6" t="s">
        <v>29</v>
      </c>
      <c r="D997" s="6" t="s">
        <v>28</v>
      </c>
      <c r="E997" s="6" t="s">
        <v>388</v>
      </c>
      <c r="F997" s="6" t="s">
        <v>624</v>
      </c>
      <c r="G997" s="6" t="s">
        <v>634</v>
      </c>
      <c r="H997" s="49">
        <v>0</v>
      </c>
      <c r="I997" s="6">
        <v>0</v>
      </c>
      <c r="J997" s="6">
        <v>0</v>
      </c>
      <c r="K997" s="6">
        <v>0</v>
      </c>
      <c r="L997" s="6">
        <v>0</v>
      </c>
      <c r="M997" s="6">
        <v>0</v>
      </c>
      <c r="N997" s="6">
        <v>0</v>
      </c>
      <c r="O997" s="6">
        <v>0</v>
      </c>
      <c r="P997" s="6">
        <v>0</v>
      </c>
      <c r="Q997" s="6">
        <v>2.7492920572952501E-3</v>
      </c>
      <c r="R997" s="6">
        <v>0</v>
      </c>
      <c r="S997" s="6">
        <v>0</v>
      </c>
      <c r="T997" s="6">
        <v>0</v>
      </c>
      <c r="U997" s="6">
        <v>0</v>
      </c>
      <c r="V997" s="6">
        <v>0</v>
      </c>
      <c r="W997" s="6">
        <v>0</v>
      </c>
      <c r="X997" s="6">
        <v>0</v>
      </c>
      <c r="Y997" s="6">
        <v>0</v>
      </c>
      <c r="Z997" s="6">
        <v>0</v>
      </c>
      <c r="AA997" s="6">
        <v>0</v>
      </c>
      <c r="AB997" s="6">
        <v>0</v>
      </c>
      <c r="AC997" s="6">
        <v>0</v>
      </c>
      <c r="AD997" s="6">
        <v>6.2912865681031801E-3</v>
      </c>
      <c r="AE997" s="6">
        <v>0</v>
      </c>
      <c r="AF997" s="6">
        <v>0</v>
      </c>
      <c r="AG997" s="6">
        <v>0</v>
      </c>
      <c r="AH997" s="6">
        <v>0</v>
      </c>
      <c r="AI997" s="6">
        <v>0</v>
      </c>
      <c r="AJ997" s="6">
        <v>0</v>
      </c>
      <c r="AK997" s="6">
        <v>0</v>
      </c>
      <c r="AL997" s="6">
        <v>0</v>
      </c>
      <c r="AM997" s="6">
        <v>0</v>
      </c>
    </row>
    <row r="998" spans="1:39" customFormat="1" hidden="1" x14ac:dyDescent="0.3">
      <c r="A998" t="s">
        <v>741</v>
      </c>
      <c r="B998" t="s">
        <v>30</v>
      </c>
      <c r="C998" t="s">
        <v>81</v>
      </c>
      <c r="D998" t="s">
        <v>80</v>
      </c>
      <c r="E998" t="s">
        <v>618</v>
      </c>
      <c r="F998" t="s">
        <v>629</v>
      </c>
      <c r="G998" t="s">
        <v>628</v>
      </c>
      <c r="H998" s="16">
        <v>0</v>
      </c>
      <c r="I998" s="11">
        <v>0</v>
      </c>
      <c r="J998" s="11">
        <v>0</v>
      </c>
      <c r="K998" s="11">
        <v>0</v>
      </c>
      <c r="L998" s="11">
        <v>0</v>
      </c>
      <c r="M998" s="11">
        <v>0</v>
      </c>
      <c r="N998" s="11">
        <v>0</v>
      </c>
      <c r="O998" s="11">
        <v>0</v>
      </c>
      <c r="P998" s="11">
        <v>0</v>
      </c>
      <c r="Q998" s="11">
        <v>0</v>
      </c>
      <c r="R998" s="11">
        <v>0</v>
      </c>
      <c r="S998" s="11">
        <v>0</v>
      </c>
      <c r="T998" s="11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  <c r="AJ998">
        <v>0</v>
      </c>
      <c r="AK998">
        <v>0</v>
      </c>
      <c r="AL998">
        <v>0</v>
      </c>
      <c r="AM998">
        <v>0</v>
      </c>
    </row>
    <row r="999" spans="1:39" customFormat="1" hidden="1" x14ac:dyDescent="0.3">
      <c r="A999" t="s">
        <v>740</v>
      </c>
      <c r="B999" t="s">
        <v>30</v>
      </c>
      <c r="C999" t="s">
        <v>29</v>
      </c>
      <c r="D999" t="s">
        <v>28</v>
      </c>
      <c r="E999" t="s">
        <v>388</v>
      </c>
      <c r="F999" t="s">
        <v>624</v>
      </c>
      <c r="G999" t="s">
        <v>623</v>
      </c>
      <c r="H999" s="16">
        <v>0</v>
      </c>
      <c r="I999" s="11">
        <v>3.6565745209887401E-3</v>
      </c>
      <c r="J999" s="11">
        <v>0</v>
      </c>
      <c r="K999" s="11">
        <v>0</v>
      </c>
      <c r="L999" s="11">
        <v>0</v>
      </c>
      <c r="M999" s="11">
        <v>3.5488679111363502E-3</v>
      </c>
      <c r="N999" s="11">
        <v>0</v>
      </c>
      <c r="O999" s="11">
        <v>0</v>
      </c>
      <c r="P999" s="11">
        <v>0</v>
      </c>
      <c r="Q999" s="11">
        <v>0</v>
      </c>
      <c r="R999" s="11">
        <v>0</v>
      </c>
      <c r="S999" s="11">
        <v>0</v>
      </c>
      <c r="T999" s="11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2.3469220117815501E-3</v>
      </c>
      <c r="AH999">
        <v>0</v>
      </c>
      <c r="AI999">
        <v>0</v>
      </c>
      <c r="AJ999">
        <v>0</v>
      </c>
      <c r="AK999">
        <v>0</v>
      </c>
      <c r="AL999">
        <v>0</v>
      </c>
      <c r="AM999">
        <v>0</v>
      </c>
    </row>
    <row r="1000" spans="1:39" x14ac:dyDescent="0.3">
      <c r="A1000" s="6" t="s">
        <v>739</v>
      </c>
      <c r="B1000" s="6" t="s">
        <v>30</v>
      </c>
      <c r="C1000" s="6" t="s">
        <v>29</v>
      </c>
      <c r="D1000" s="6" t="s">
        <v>28</v>
      </c>
      <c r="E1000" s="6" t="s">
        <v>388</v>
      </c>
      <c r="F1000" s="6" t="s">
        <v>624</v>
      </c>
      <c r="G1000" s="6" t="s">
        <v>634</v>
      </c>
      <c r="H1000" s="49">
        <v>0</v>
      </c>
      <c r="I1000" s="6">
        <v>0</v>
      </c>
      <c r="J1000" s="6">
        <v>0</v>
      </c>
      <c r="K1000" s="6">
        <v>0</v>
      </c>
      <c r="L1000" s="6">
        <v>0</v>
      </c>
      <c r="M1000" s="6">
        <v>3.5488679111363502E-3</v>
      </c>
      <c r="N1000" s="6">
        <v>0</v>
      </c>
      <c r="O1000" s="6">
        <v>0</v>
      </c>
      <c r="P1000" s="6">
        <v>0</v>
      </c>
      <c r="Q1000" s="6">
        <v>0</v>
      </c>
      <c r="R1000" s="6">
        <v>0</v>
      </c>
      <c r="S1000" s="6">
        <v>0</v>
      </c>
      <c r="T1000" s="6">
        <v>0</v>
      </c>
      <c r="U1000" s="6">
        <v>0</v>
      </c>
      <c r="V1000" s="6">
        <v>0</v>
      </c>
      <c r="W1000" s="6">
        <v>0</v>
      </c>
      <c r="X1000" s="6">
        <v>0</v>
      </c>
      <c r="Y1000" s="6">
        <v>2.9264581077521898E-3</v>
      </c>
      <c r="Z1000" s="6">
        <v>0</v>
      </c>
      <c r="AA1000" s="6">
        <v>0</v>
      </c>
      <c r="AB1000" s="6">
        <v>0</v>
      </c>
      <c r="AC1000" s="6">
        <v>0</v>
      </c>
      <c r="AD1000" s="6">
        <v>0</v>
      </c>
      <c r="AE1000" s="6">
        <v>0</v>
      </c>
      <c r="AF1000" s="6">
        <v>0</v>
      </c>
      <c r="AG1000" s="6">
        <v>0</v>
      </c>
      <c r="AH1000" s="6">
        <v>0</v>
      </c>
      <c r="AI1000" s="6">
        <v>2.2984278753332699E-3</v>
      </c>
      <c r="AJ1000" s="6">
        <v>0</v>
      </c>
      <c r="AK1000" s="6">
        <v>0</v>
      </c>
      <c r="AL1000" s="6">
        <v>0</v>
      </c>
      <c r="AM1000" s="6">
        <v>0</v>
      </c>
    </row>
    <row r="1001" spans="1:39" x14ac:dyDescent="0.3">
      <c r="A1001" s="6" t="s">
        <v>738</v>
      </c>
      <c r="B1001" s="6" t="s">
        <v>30</v>
      </c>
      <c r="C1001" s="6" t="s">
        <v>29</v>
      </c>
      <c r="D1001" s="6" t="s">
        <v>28</v>
      </c>
      <c r="E1001" s="6" t="s">
        <v>388</v>
      </c>
      <c r="F1001" s="6" t="s">
        <v>624</v>
      </c>
      <c r="G1001" s="6" t="s">
        <v>634</v>
      </c>
      <c r="H1001" s="49">
        <v>0</v>
      </c>
      <c r="I1001" s="6">
        <v>0</v>
      </c>
      <c r="J1001" s="6">
        <v>0</v>
      </c>
      <c r="K1001" s="6">
        <v>0</v>
      </c>
      <c r="L1001" s="6">
        <v>0</v>
      </c>
      <c r="M1001" s="6">
        <v>0</v>
      </c>
      <c r="N1001" s="6">
        <v>0</v>
      </c>
      <c r="O1001" s="6">
        <v>0</v>
      </c>
      <c r="P1001" s="6">
        <v>0</v>
      </c>
      <c r="Q1001" s="6">
        <v>0</v>
      </c>
      <c r="R1001" s="6">
        <v>0</v>
      </c>
      <c r="S1001" s="6">
        <v>0</v>
      </c>
      <c r="T1001" s="6">
        <v>0</v>
      </c>
      <c r="U1001" s="6">
        <v>0</v>
      </c>
      <c r="V1001" s="6">
        <v>0</v>
      </c>
      <c r="W1001" s="6">
        <v>2.6668088964744798E-3</v>
      </c>
      <c r="X1001" s="6">
        <v>0</v>
      </c>
      <c r="Y1001" s="6">
        <v>0</v>
      </c>
      <c r="Z1001" s="6">
        <v>3.1774275546517499E-3</v>
      </c>
      <c r="AA1001" s="6">
        <v>0</v>
      </c>
      <c r="AB1001" s="6">
        <v>0</v>
      </c>
      <c r="AC1001" s="6">
        <v>0</v>
      </c>
      <c r="AD1001" s="6">
        <v>0</v>
      </c>
      <c r="AE1001" s="6">
        <v>0</v>
      </c>
      <c r="AF1001" s="6">
        <v>0</v>
      </c>
      <c r="AG1001" s="6">
        <v>0</v>
      </c>
      <c r="AH1001" s="6">
        <v>0</v>
      </c>
      <c r="AI1001" s="6">
        <v>0</v>
      </c>
      <c r="AJ1001" s="6">
        <v>0</v>
      </c>
      <c r="AK1001" s="6">
        <v>0</v>
      </c>
      <c r="AL1001" s="6">
        <v>0</v>
      </c>
      <c r="AM1001" s="6">
        <v>0</v>
      </c>
    </row>
    <row r="1002" spans="1:39" customFormat="1" hidden="1" x14ac:dyDescent="0.3">
      <c r="A1002" t="s">
        <v>737</v>
      </c>
      <c r="B1002" t="s">
        <v>30</v>
      </c>
      <c r="C1002" t="s">
        <v>29</v>
      </c>
      <c r="D1002" t="s">
        <v>28</v>
      </c>
      <c r="E1002" t="s">
        <v>388</v>
      </c>
      <c r="F1002" t="s">
        <v>736</v>
      </c>
      <c r="G1002" t="s">
        <v>735</v>
      </c>
      <c r="H1002" s="16">
        <v>0</v>
      </c>
      <c r="I1002" s="11">
        <v>0</v>
      </c>
      <c r="J1002" s="11">
        <v>0</v>
      </c>
      <c r="K1002" s="11">
        <v>0</v>
      </c>
      <c r="L1002" s="11">
        <v>0</v>
      </c>
      <c r="M1002" s="11">
        <v>0</v>
      </c>
      <c r="N1002" s="11">
        <v>0</v>
      </c>
      <c r="O1002" s="11">
        <v>0</v>
      </c>
      <c r="P1002" s="11">
        <v>0</v>
      </c>
      <c r="Q1002" s="11">
        <v>0</v>
      </c>
      <c r="R1002" s="11">
        <v>0</v>
      </c>
      <c r="S1002" s="11">
        <v>0</v>
      </c>
      <c r="T1002" s="11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6.2912865681031801E-3</v>
      </c>
      <c r="AE1002">
        <v>0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  <c r="AL1002">
        <v>0</v>
      </c>
      <c r="AM1002">
        <v>0</v>
      </c>
    </row>
    <row r="1003" spans="1:39" customFormat="1" hidden="1" x14ac:dyDescent="0.3">
      <c r="A1003" t="s">
        <v>734</v>
      </c>
      <c r="B1003" t="s">
        <v>30</v>
      </c>
      <c r="C1003" t="s">
        <v>29</v>
      </c>
      <c r="D1003" t="s">
        <v>28</v>
      </c>
      <c r="E1003" t="s">
        <v>388</v>
      </c>
      <c r="F1003" t="s">
        <v>624</v>
      </c>
      <c r="G1003" t="s">
        <v>623</v>
      </c>
      <c r="H1003" s="16">
        <v>0</v>
      </c>
      <c r="I1003" s="11">
        <v>0</v>
      </c>
      <c r="J1003" s="11">
        <v>0</v>
      </c>
      <c r="K1003" s="11">
        <v>0</v>
      </c>
      <c r="L1003" s="11">
        <v>0</v>
      </c>
      <c r="M1003" s="11">
        <v>0</v>
      </c>
      <c r="N1003" s="11">
        <v>0</v>
      </c>
      <c r="O1003" s="11">
        <v>0</v>
      </c>
      <c r="P1003" s="11">
        <v>0</v>
      </c>
      <c r="Q1003" s="11">
        <v>2.7492920572952501E-3</v>
      </c>
      <c r="R1003" s="11">
        <v>0</v>
      </c>
      <c r="S1003" s="11">
        <v>0</v>
      </c>
      <c r="T1003" s="11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2.2984278753332699E-3</v>
      </c>
      <c r="AJ1003">
        <v>0</v>
      </c>
      <c r="AK1003">
        <v>0</v>
      </c>
      <c r="AL1003">
        <v>0</v>
      </c>
      <c r="AM1003">
        <v>0</v>
      </c>
    </row>
    <row r="1004" spans="1:39" customFormat="1" hidden="1" x14ac:dyDescent="0.3">
      <c r="A1004" t="s">
        <v>733</v>
      </c>
      <c r="B1004" t="s">
        <v>30</v>
      </c>
      <c r="C1004" t="s">
        <v>29</v>
      </c>
      <c r="D1004" t="s">
        <v>28</v>
      </c>
      <c r="E1004" t="s">
        <v>388</v>
      </c>
      <c r="F1004" t="s">
        <v>624</v>
      </c>
      <c r="G1004" t="s">
        <v>623</v>
      </c>
      <c r="H1004" s="16">
        <v>0</v>
      </c>
      <c r="I1004" s="11">
        <v>0</v>
      </c>
      <c r="J1004" s="11">
        <v>0</v>
      </c>
      <c r="K1004" s="11">
        <v>0</v>
      </c>
      <c r="L1004" s="11">
        <v>0</v>
      </c>
      <c r="M1004" s="11">
        <v>0</v>
      </c>
      <c r="N1004" s="11">
        <v>0</v>
      </c>
      <c r="O1004" s="11">
        <v>0</v>
      </c>
      <c r="P1004" s="11">
        <v>0</v>
      </c>
      <c r="Q1004" s="11">
        <v>0</v>
      </c>
      <c r="R1004" s="11">
        <v>0</v>
      </c>
      <c r="S1004" s="11">
        <v>0</v>
      </c>
      <c r="T1004" s="11">
        <v>0</v>
      </c>
      <c r="U1004">
        <v>0</v>
      </c>
      <c r="V1004">
        <v>3.6144142841652502E-3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3.4299434059338E-3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0</v>
      </c>
      <c r="AL1004">
        <v>0</v>
      </c>
      <c r="AM1004">
        <v>0</v>
      </c>
    </row>
    <row r="1005" spans="1:39" customFormat="1" hidden="1" x14ac:dyDescent="0.3">
      <c r="A1005" t="s">
        <v>732</v>
      </c>
      <c r="B1005" t="s">
        <v>30</v>
      </c>
      <c r="C1005" t="s">
        <v>81</v>
      </c>
      <c r="D1005" t="s">
        <v>80</v>
      </c>
      <c r="E1005" t="s">
        <v>618</v>
      </c>
      <c r="F1005" t="s">
        <v>629</v>
      </c>
      <c r="G1005" t="s">
        <v>628</v>
      </c>
      <c r="H1005" s="16">
        <v>0</v>
      </c>
      <c r="I1005" s="11">
        <v>0</v>
      </c>
      <c r="J1005" s="11">
        <v>0</v>
      </c>
      <c r="K1005" s="11">
        <v>0</v>
      </c>
      <c r="L1005" s="11">
        <v>0</v>
      </c>
      <c r="M1005" s="11">
        <v>0</v>
      </c>
      <c r="N1005" s="11">
        <v>0</v>
      </c>
      <c r="O1005" s="11">
        <v>0</v>
      </c>
      <c r="P1005" s="11">
        <v>0</v>
      </c>
      <c r="Q1005" s="11">
        <v>0</v>
      </c>
      <c r="R1005" s="11">
        <v>0</v>
      </c>
      <c r="S1005" s="11">
        <v>0</v>
      </c>
      <c r="T1005" s="11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L1005">
        <v>0</v>
      </c>
      <c r="AM1005">
        <v>0</v>
      </c>
    </row>
    <row r="1006" spans="1:39" customFormat="1" hidden="1" x14ac:dyDescent="0.3">
      <c r="A1006" t="s">
        <v>731</v>
      </c>
      <c r="B1006" t="s">
        <v>30</v>
      </c>
      <c r="C1006" t="s">
        <v>81</v>
      </c>
      <c r="D1006" t="s">
        <v>80</v>
      </c>
      <c r="E1006" t="s">
        <v>618</v>
      </c>
      <c r="F1006" t="s">
        <v>617</v>
      </c>
      <c r="G1006" t="s">
        <v>616</v>
      </c>
      <c r="H1006" s="16">
        <v>0</v>
      </c>
      <c r="I1006" s="11">
        <v>3.6565745209887401E-3</v>
      </c>
      <c r="J1006" s="11">
        <v>0</v>
      </c>
      <c r="K1006" s="11">
        <v>0</v>
      </c>
      <c r="L1006" s="11">
        <v>6.6037112857425901E-3</v>
      </c>
      <c r="M1006" s="11">
        <v>0</v>
      </c>
      <c r="N1006" s="11">
        <v>0</v>
      </c>
      <c r="O1006" s="11">
        <v>0</v>
      </c>
      <c r="P1006" s="11">
        <v>0</v>
      </c>
      <c r="Q1006" s="11">
        <v>0</v>
      </c>
      <c r="R1006" s="11">
        <v>0</v>
      </c>
      <c r="S1006" s="11">
        <v>0</v>
      </c>
      <c r="T1006" s="11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3.14564328405159E-3</v>
      </c>
      <c r="AE1006">
        <v>3.4299434059338E-3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</v>
      </c>
      <c r="AM1006">
        <v>0</v>
      </c>
    </row>
    <row r="1007" spans="1:39" customFormat="1" hidden="1" x14ac:dyDescent="0.3">
      <c r="A1007" t="s">
        <v>730</v>
      </c>
      <c r="B1007" t="s">
        <v>30</v>
      </c>
      <c r="C1007" t="s">
        <v>81</v>
      </c>
      <c r="D1007" t="s">
        <v>80</v>
      </c>
      <c r="E1007" t="s">
        <v>618</v>
      </c>
      <c r="F1007" t="s">
        <v>617</v>
      </c>
      <c r="G1007" t="s">
        <v>616</v>
      </c>
      <c r="H1007" s="16">
        <v>0</v>
      </c>
      <c r="I1007" s="11">
        <v>0</v>
      </c>
      <c r="J1007" s="11">
        <v>0</v>
      </c>
      <c r="K1007" s="11">
        <v>0</v>
      </c>
      <c r="L1007" s="11">
        <v>0</v>
      </c>
      <c r="M1007" s="11">
        <v>0</v>
      </c>
      <c r="N1007" s="11">
        <v>0</v>
      </c>
      <c r="O1007" s="11">
        <v>0</v>
      </c>
      <c r="P1007" s="11">
        <v>0</v>
      </c>
      <c r="Q1007" s="11">
        <v>0</v>
      </c>
      <c r="R1007" s="11">
        <v>0</v>
      </c>
      <c r="S1007" s="11">
        <v>0</v>
      </c>
      <c r="T1007" s="11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6.2912865681031801E-3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0</v>
      </c>
      <c r="AM1007">
        <v>0</v>
      </c>
    </row>
    <row r="1008" spans="1:39" customFormat="1" hidden="1" x14ac:dyDescent="0.3">
      <c r="A1008" t="s">
        <v>729</v>
      </c>
      <c r="B1008" t="s">
        <v>30</v>
      </c>
      <c r="C1008" t="s">
        <v>81</v>
      </c>
      <c r="D1008" t="s">
        <v>80</v>
      </c>
      <c r="E1008" t="s">
        <v>618</v>
      </c>
      <c r="F1008" t="s">
        <v>617</v>
      </c>
      <c r="G1008" t="s">
        <v>616</v>
      </c>
      <c r="H1008" s="16">
        <v>0</v>
      </c>
      <c r="I1008" s="11">
        <v>0</v>
      </c>
      <c r="J1008" s="11">
        <v>0</v>
      </c>
      <c r="K1008" s="11">
        <v>0</v>
      </c>
      <c r="L1008" s="11">
        <v>0</v>
      </c>
      <c r="M1008" s="11">
        <v>0</v>
      </c>
      <c r="N1008" s="11">
        <v>0</v>
      </c>
      <c r="O1008" s="11">
        <v>0</v>
      </c>
      <c r="P1008" s="11">
        <v>0</v>
      </c>
      <c r="Q1008" s="11">
        <v>0</v>
      </c>
      <c r="R1008" s="11">
        <v>0</v>
      </c>
      <c r="S1008" s="11">
        <v>0</v>
      </c>
      <c r="T1008" s="11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3.14564328405159E-3</v>
      </c>
      <c r="AE1008">
        <v>3.4299434059338E-3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0</v>
      </c>
      <c r="AM1008">
        <v>0</v>
      </c>
    </row>
    <row r="1009" spans="1:39" customFormat="1" hidden="1" x14ac:dyDescent="0.3">
      <c r="A1009" t="s">
        <v>728</v>
      </c>
      <c r="B1009" t="s">
        <v>30</v>
      </c>
      <c r="C1009" t="s">
        <v>81</v>
      </c>
      <c r="D1009" t="s">
        <v>80</v>
      </c>
      <c r="E1009" t="s">
        <v>618</v>
      </c>
      <c r="F1009" t="s">
        <v>617</v>
      </c>
      <c r="G1009" t="s">
        <v>620</v>
      </c>
      <c r="H1009" s="16">
        <v>8.3166999334664E-3</v>
      </c>
      <c r="I1009" s="11">
        <v>0</v>
      </c>
      <c r="J1009" s="11">
        <v>0</v>
      </c>
      <c r="K1009" s="11">
        <v>0</v>
      </c>
      <c r="L1009" s="11">
        <v>0</v>
      </c>
      <c r="M1009" s="11">
        <v>0</v>
      </c>
      <c r="N1009" s="11">
        <v>0</v>
      </c>
      <c r="O1009" s="11">
        <v>0</v>
      </c>
      <c r="P1009" s="11">
        <v>0</v>
      </c>
      <c r="Q1009" s="11">
        <v>0</v>
      </c>
      <c r="R1009" s="11">
        <v>0</v>
      </c>
      <c r="S1009" s="11">
        <v>0</v>
      </c>
      <c r="T1009" s="11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 s="6">
        <v>0</v>
      </c>
      <c r="AD1009">
        <v>0</v>
      </c>
      <c r="AE1009">
        <v>0</v>
      </c>
      <c r="AF1009">
        <v>0</v>
      </c>
      <c r="AG1009">
        <v>0</v>
      </c>
      <c r="AH1009">
        <v>4.6410173109945703E-3</v>
      </c>
      <c r="AI1009">
        <v>0</v>
      </c>
      <c r="AJ1009">
        <v>0</v>
      </c>
      <c r="AK1009">
        <v>0</v>
      </c>
      <c r="AL1009">
        <v>0</v>
      </c>
      <c r="AM1009">
        <v>0</v>
      </c>
    </row>
    <row r="1010" spans="1:39" customFormat="1" hidden="1" x14ac:dyDescent="0.3">
      <c r="A1010" t="s">
        <v>727</v>
      </c>
      <c r="B1010" t="s">
        <v>30</v>
      </c>
      <c r="C1010" t="s">
        <v>81</v>
      </c>
      <c r="D1010" t="s">
        <v>80</v>
      </c>
      <c r="E1010" t="s">
        <v>618</v>
      </c>
      <c r="F1010" t="s">
        <v>617</v>
      </c>
      <c r="G1010" t="s">
        <v>616</v>
      </c>
      <c r="H1010" s="16">
        <v>4.1583499667332E-3</v>
      </c>
      <c r="I1010" s="11">
        <v>0</v>
      </c>
      <c r="J1010" s="11">
        <v>0</v>
      </c>
      <c r="K1010" s="11">
        <v>5.6589893045102101E-3</v>
      </c>
      <c r="L1010" s="11">
        <v>0</v>
      </c>
      <c r="M1010" s="11">
        <v>0</v>
      </c>
      <c r="N1010" s="11">
        <v>0</v>
      </c>
      <c r="O1010" s="11">
        <v>0</v>
      </c>
      <c r="P1010" s="11">
        <v>0</v>
      </c>
      <c r="Q1010" s="11">
        <v>0</v>
      </c>
      <c r="R1010" s="11">
        <v>0</v>
      </c>
      <c r="S1010" s="11">
        <v>0</v>
      </c>
      <c r="T1010" s="11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6.2912865681031801E-3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L1010">
        <v>0</v>
      </c>
      <c r="AM1010">
        <v>0</v>
      </c>
    </row>
    <row r="1011" spans="1:39" customFormat="1" hidden="1" x14ac:dyDescent="0.3">
      <c r="A1011" t="s">
        <v>726</v>
      </c>
      <c r="B1011" t="s">
        <v>30</v>
      </c>
      <c r="C1011" t="s">
        <v>81</v>
      </c>
      <c r="D1011" t="s">
        <v>80</v>
      </c>
      <c r="E1011" t="s">
        <v>618</v>
      </c>
      <c r="F1011" t="s">
        <v>629</v>
      </c>
      <c r="G1011" t="s">
        <v>628</v>
      </c>
      <c r="H1011" s="16">
        <v>0</v>
      </c>
      <c r="I1011" s="11">
        <v>0</v>
      </c>
      <c r="J1011" s="11">
        <v>4.3593879419329502E-3</v>
      </c>
      <c r="K1011" s="11">
        <v>0</v>
      </c>
      <c r="L1011" s="11">
        <v>6.6037112857425901E-3</v>
      </c>
      <c r="M1011" s="11">
        <v>0</v>
      </c>
      <c r="N1011" s="11">
        <v>0</v>
      </c>
      <c r="O1011" s="11">
        <v>0</v>
      </c>
      <c r="P1011" s="11">
        <v>0</v>
      </c>
      <c r="Q1011" s="11">
        <v>0</v>
      </c>
      <c r="R1011" s="11">
        <v>0</v>
      </c>
      <c r="S1011" s="11">
        <v>0</v>
      </c>
      <c r="T1011" s="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0</v>
      </c>
      <c r="AM1011">
        <v>0</v>
      </c>
    </row>
    <row r="1012" spans="1:39" customFormat="1" hidden="1" x14ac:dyDescent="0.3">
      <c r="A1012" t="s">
        <v>725</v>
      </c>
      <c r="B1012" t="s">
        <v>30</v>
      </c>
      <c r="C1012" t="s">
        <v>81</v>
      </c>
      <c r="D1012" t="s">
        <v>80</v>
      </c>
      <c r="E1012" t="s">
        <v>618</v>
      </c>
      <c r="F1012" t="s">
        <v>617</v>
      </c>
      <c r="G1012" t="s">
        <v>616</v>
      </c>
      <c r="H1012" s="16">
        <v>0</v>
      </c>
      <c r="I1012" s="11">
        <v>7.3131490419774802E-3</v>
      </c>
      <c r="J1012" s="11">
        <v>0</v>
      </c>
      <c r="K1012" s="11">
        <v>0</v>
      </c>
      <c r="L1012" s="11">
        <v>0</v>
      </c>
      <c r="M1012" s="11">
        <v>0</v>
      </c>
      <c r="N1012" s="11">
        <v>0</v>
      </c>
      <c r="O1012" s="11">
        <v>0</v>
      </c>
      <c r="P1012" s="11">
        <v>0</v>
      </c>
      <c r="Q1012" s="11">
        <v>0</v>
      </c>
      <c r="R1012" s="11">
        <v>0</v>
      </c>
      <c r="S1012" s="11">
        <v>0</v>
      </c>
      <c r="T1012" s="11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5.03372596395852E-3</v>
      </c>
      <c r="AG1012">
        <v>2.3469220117815501E-3</v>
      </c>
      <c r="AH1012">
        <v>0</v>
      </c>
      <c r="AI1012">
        <v>0</v>
      </c>
      <c r="AJ1012">
        <v>0</v>
      </c>
      <c r="AK1012">
        <v>0</v>
      </c>
      <c r="AL1012">
        <v>0</v>
      </c>
      <c r="AM1012">
        <v>0</v>
      </c>
    </row>
    <row r="1013" spans="1:39" customFormat="1" hidden="1" x14ac:dyDescent="0.3">
      <c r="A1013" t="s">
        <v>723</v>
      </c>
      <c r="B1013" t="s">
        <v>30</v>
      </c>
      <c r="C1013" t="s">
        <v>81</v>
      </c>
      <c r="D1013" t="s">
        <v>85</v>
      </c>
      <c r="E1013" t="s">
        <v>287</v>
      </c>
      <c r="F1013" t="s">
        <v>286</v>
      </c>
      <c r="G1013" t="s">
        <v>286</v>
      </c>
      <c r="H1013" s="16">
        <v>0</v>
      </c>
      <c r="I1013" s="11">
        <v>0</v>
      </c>
      <c r="J1013" s="11">
        <v>4.3593879419329502E-3</v>
      </c>
      <c r="K1013" s="11">
        <v>0</v>
      </c>
      <c r="L1013" s="11">
        <v>0</v>
      </c>
      <c r="M1013" s="11">
        <v>0</v>
      </c>
      <c r="N1013" s="11">
        <v>0</v>
      </c>
      <c r="O1013" s="11">
        <v>0</v>
      </c>
      <c r="P1013" s="11">
        <v>0</v>
      </c>
      <c r="Q1013" s="11">
        <v>0</v>
      </c>
      <c r="R1013" s="11">
        <v>0</v>
      </c>
      <c r="S1013" s="11">
        <v>0</v>
      </c>
      <c r="T1013" s="11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0</v>
      </c>
      <c r="AH1013">
        <v>4.6410173109945703E-3</v>
      </c>
      <c r="AI1013">
        <v>0</v>
      </c>
      <c r="AJ1013">
        <v>0</v>
      </c>
      <c r="AK1013">
        <v>0</v>
      </c>
      <c r="AL1013">
        <v>0</v>
      </c>
      <c r="AM1013">
        <v>0</v>
      </c>
    </row>
    <row r="1014" spans="1:39" customFormat="1" hidden="1" x14ac:dyDescent="0.3">
      <c r="A1014" t="s">
        <v>722</v>
      </c>
      <c r="B1014" t="s">
        <v>30</v>
      </c>
      <c r="C1014" t="s">
        <v>81</v>
      </c>
      <c r="D1014" t="s">
        <v>85</v>
      </c>
      <c r="E1014" t="s">
        <v>287</v>
      </c>
      <c r="F1014" t="s">
        <v>286</v>
      </c>
      <c r="G1014" t="s">
        <v>286</v>
      </c>
      <c r="H1014" s="16">
        <v>0</v>
      </c>
      <c r="I1014" s="11">
        <v>0</v>
      </c>
      <c r="J1014" s="11">
        <v>0</v>
      </c>
      <c r="K1014" s="11">
        <v>5.6589893045102101E-3</v>
      </c>
      <c r="L1014" s="11">
        <v>0</v>
      </c>
      <c r="M1014" s="11">
        <v>3.5488679111363502E-3</v>
      </c>
      <c r="N1014" s="11">
        <v>0</v>
      </c>
      <c r="O1014" s="11">
        <v>0</v>
      </c>
      <c r="P1014" s="11">
        <v>0</v>
      </c>
      <c r="Q1014" s="11">
        <v>0</v>
      </c>
      <c r="R1014" s="11">
        <v>0</v>
      </c>
      <c r="S1014" s="11">
        <v>0</v>
      </c>
      <c r="T1014" s="11">
        <v>0</v>
      </c>
      <c r="U1014">
        <v>3.04201016031394E-3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3.14564328405159E-3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0</v>
      </c>
      <c r="AL1014">
        <v>0</v>
      </c>
      <c r="AM1014">
        <v>0</v>
      </c>
    </row>
    <row r="1015" spans="1:39" customFormat="1" hidden="1" x14ac:dyDescent="0.3">
      <c r="A1015" t="s">
        <v>720</v>
      </c>
      <c r="B1015" t="s">
        <v>30</v>
      </c>
      <c r="C1015" t="s">
        <v>81</v>
      </c>
      <c r="D1015" t="s">
        <v>85</v>
      </c>
      <c r="E1015" t="s">
        <v>287</v>
      </c>
      <c r="F1015" t="s">
        <v>286</v>
      </c>
      <c r="G1015" t="s">
        <v>286</v>
      </c>
      <c r="H1015" s="16">
        <v>0</v>
      </c>
      <c r="I1015" s="11">
        <v>0</v>
      </c>
      <c r="J1015" s="11">
        <v>0</v>
      </c>
      <c r="K1015" s="11">
        <v>0</v>
      </c>
      <c r="L1015" s="11">
        <v>0</v>
      </c>
      <c r="M1015" s="11">
        <v>0</v>
      </c>
      <c r="N1015" s="11">
        <v>0</v>
      </c>
      <c r="O1015" s="11">
        <v>0</v>
      </c>
      <c r="P1015" s="11">
        <v>0</v>
      </c>
      <c r="Q1015" s="11">
        <v>0</v>
      </c>
      <c r="R1015" s="11">
        <v>0</v>
      </c>
      <c r="S1015" s="11">
        <v>2.4883049666567102E-3</v>
      </c>
      <c r="T1015" s="11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2.2984278753332699E-3</v>
      </c>
      <c r="AJ1015">
        <v>0</v>
      </c>
      <c r="AK1015">
        <v>0</v>
      </c>
      <c r="AL1015">
        <v>0</v>
      </c>
      <c r="AM1015">
        <v>0</v>
      </c>
    </row>
    <row r="1016" spans="1:39" customFormat="1" hidden="1" x14ac:dyDescent="0.3">
      <c r="A1016" t="s">
        <v>719</v>
      </c>
      <c r="B1016" t="s">
        <v>30</v>
      </c>
      <c r="C1016" t="s">
        <v>81</v>
      </c>
      <c r="D1016" t="s">
        <v>85</v>
      </c>
      <c r="E1016" t="s">
        <v>287</v>
      </c>
      <c r="F1016" t="s">
        <v>286</v>
      </c>
      <c r="G1016" t="s">
        <v>286</v>
      </c>
      <c r="H1016" s="16">
        <v>0</v>
      </c>
      <c r="I1016" s="11">
        <v>0</v>
      </c>
      <c r="J1016" s="11">
        <v>0</v>
      </c>
      <c r="K1016" s="11">
        <v>0</v>
      </c>
      <c r="L1016" s="11">
        <v>0</v>
      </c>
      <c r="M1016" s="11">
        <v>0</v>
      </c>
      <c r="N1016" s="11">
        <v>0</v>
      </c>
      <c r="O1016" s="11">
        <v>0</v>
      </c>
      <c r="P1016" s="11">
        <v>0</v>
      </c>
      <c r="Q1016" s="11">
        <v>0</v>
      </c>
      <c r="R1016" s="11">
        <v>0</v>
      </c>
      <c r="S1016" s="11">
        <v>2.4883049666567102E-3</v>
      </c>
      <c r="T1016" s="11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>
        <v>0</v>
      </c>
      <c r="AH1016">
        <v>4.6410173109945703E-3</v>
      </c>
      <c r="AI1016">
        <v>0</v>
      </c>
      <c r="AJ1016">
        <v>0</v>
      </c>
      <c r="AK1016">
        <v>0</v>
      </c>
      <c r="AL1016">
        <v>0</v>
      </c>
      <c r="AM1016">
        <v>0</v>
      </c>
    </row>
    <row r="1017" spans="1:39" customFormat="1" hidden="1" x14ac:dyDescent="0.3">
      <c r="A1017" t="s">
        <v>718</v>
      </c>
      <c r="B1017" t="s">
        <v>30</v>
      </c>
      <c r="C1017" t="s">
        <v>81</v>
      </c>
      <c r="D1017" t="s">
        <v>85</v>
      </c>
      <c r="E1017" t="s">
        <v>287</v>
      </c>
      <c r="F1017" t="s">
        <v>286</v>
      </c>
      <c r="G1017" t="s">
        <v>286</v>
      </c>
      <c r="H1017" s="16">
        <v>0</v>
      </c>
      <c r="I1017" s="11">
        <v>0</v>
      </c>
      <c r="J1017" s="11">
        <v>0</v>
      </c>
      <c r="K1017" s="11">
        <v>0</v>
      </c>
      <c r="L1017" s="11">
        <v>0</v>
      </c>
      <c r="M1017" s="11">
        <v>0</v>
      </c>
      <c r="N1017" s="11">
        <v>0</v>
      </c>
      <c r="O1017" s="11">
        <v>0</v>
      </c>
      <c r="P1017" s="11">
        <v>0</v>
      </c>
      <c r="Q1017" s="11">
        <v>0</v>
      </c>
      <c r="R1017" s="11">
        <v>0</v>
      </c>
      <c r="S1017" s="11">
        <v>0</v>
      </c>
      <c r="T1017" s="11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4.6410173109945703E-3</v>
      </c>
      <c r="AI1017">
        <v>0</v>
      </c>
      <c r="AJ1017">
        <v>0</v>
      </c>
      <c r="AK1017">
        <v>0</v>
      </c>
      <c r="AL1017">
        <v>0</v>
      </c>
      <c r="AM1017">
        <v>0</v>
      </c>
    </row>
    <row r="1018" spans="1:39" customFormat="1" hidden="1" x14ac:dyDescent="0.3">
      <c r="A1018" t="s">
        <v>717</v>
      </c>
      <c r="B1018" t="s">
        <v>30</v>
      </c>
      <c r="C1018" t="s">
        <v>81</v>
      </c>
      <c r="D1018" t="s">
        <v>85</v>
      </c>
      <c r="E1018" t="s">
        <v>287</v>
      </c>
      <c r="F1018" t="s">
        <v>286</v>
      </c>
      <c r="G1018" t="s">
        <v>286</v>
      </c>
      <c r="H1018" s="16">
        <v>0</v>
      </c>
      <c r="I1018" s="11">
        <v>0</v>
      </c>
      <c r="J1018" s="11">
        <v>0</v>
      </c>
      <c r="K1018" s="11">
        <v>0</v>
      </c>
      <c r="L1018" s="11">
        <v>6.6037112857425901E-3</v>
      </c>
      <c r="M1018" s="11">
        <v>0</v>
      </c>
      <c r="N1018" s="11">
        <v>0</v>
      </c>
      <c r="O1018" s="11">
        <v>3.75023438964935E-3</v>
      </c>
      <c r="P1018" s="11">
        <v>0</v>
      </c>
      <c r="Q1018" s="11">
        <v>0</v>
      </c>
      <c r="R1018" s="11">
        <v>0</v>
      </c>
      <c r="S1018" s="11">
        <v>0</v>
      </c>
      <c r="T1018" s="11">
        <v>0</v>
      </c>
      <c r="U1018">
        <v>0</v>
      </c>
      <c r="V1018">
        <v>0</v>
      </c>
      <c r="W1018">
        <v>0</v>
      </c>
      <c r="X1018">
        <v>0</v>
      </c>
      <c r="Y1018">
        <v>2.9264581077521898E-3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0</v>
      </c>
      <c r="AJ1018">
        <v>0</v>
      </c>
      <c r="AK1018">
        <v>0</v>
      </c>
      <c r="AL1018">
        <v>0</v>
      </c>
      <c r="AM1018">
        <v>0</v>
      </c>
    </row>
    <row r="1019" spans="1:39" customFormat="1" hidden="1" x14ac:dyDescent="0.3">
      <c r="A1019" t="s">
        <v>716</v>
      </c>
      <c r="B1019" t="s">
        <v>30</v>
      </c>
      <c r="C1019" t="s">
        <v>81</v>
      </c>
      <c r="D1019" t="s">
        <v>85</v>
      </c>
      <c r="E1019" t="s">
        <v>287</v>
      </c>
      <c r="F1019" t="s">
        <v>286</v>
      </c>
      <c r="G1019" t="s">
        <v>286</v>
      </c>
      <c r="H1019" s="16">
        <v>0</v>
      </c>
      <c r="I1019" s="11">
        <v>0</v>
      </c>
      <c r="J1019" s="11">
        <v>0</v>
      </c>
      <c r="K1019" s="11">
        <v>0</v>
      </c>
      <c r="L1019" s="11">
        <v>0</v>
      </c>
      <c r="M1019" s="11">
        <v>0</v>
      </c>
      <c r="N1019" s="11">
        <v>0</v>
      </c>
      <c r="O1019" s="11">
        <v>0</v>
      </c>
      <c r="P1019" s="11">
        <v>0</v>
      </c>
      <c r="Q1019" s="11">
        <v>2.7492920572952501E-3</v>
      </c>
      <c r="R1019" s="11">
        <v>2.2441148089136199E-3</v>
      </c>
      <c r="S1019" s="11">
        <v>0</v>
      </c>
      <c r="T1019" s="11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3.1774275546517499E-3</v>
      </c>
      <c r="AA1019">
        <v>0</v>
      </c>
      <c r="AB1019">
        <v>0</v>
      </c>
      <c r="AC1019">
        <v>0</v>
      </c>
      <c r="AD1019">
        <v>0</v>
      </c>
      <c r="AE1019">
        <v>0</v>
      </c>
      <c r="AF1019">
        <v>0</v>
      </c>
      <c r="AG1019">
        <v>0</v>
      </c>
      <c r="AH1019">
        <v>0</v>
      </c>
      <c r="AI1019">
        <v>0</v>
      </c>
      <c r="AJ1019">
        <v>0</v>
      </c>
      <c r="AK1019">
        <v>0</v>
      </c>
      <c r="AL1019">
        <v>0</v>
      </c>
      <c r="AM1019">
        <v>0</v>
      </c>
    </row>
    <row r="1020" spans="1:39" customFormat="1" hidden="1" x14ac:dyDescent="0.3">
      <c r="A1020" t="s">
        <v>715</v>
      </c>
      <c r="B1020" t="s">
        <v>30</v>
      </c>
      <c r="C1020" t="s">
        <v>81</v>
      </c>
      <c r="D1020" t="s">
        <v>85</v>
      </c>
      <c r="E1020" t="s">
        <v>287</v>
      </c>
      <c r="F1020" t="s">
        <v>286</v>
      </c>
      <c r="G1020" t="s">
        <v>286</v>
      </c>
      <c r="H1020" s="16">
        <v>0</v>
      </c>
      <c r="I1020" s="11">
        <v>0</v>
      </c>
      <c r="J1020" s="11">
        <v>0</v>
      </c>
      <c r="K1020" s="11">
        <v>0</v>
      </c>
      <c r="L1020" s="11">
        <v>0</v>
      </c>
      <c r="M1020" s="11">
        <v>0</v>
      </c>
      <c r="N1020" s="11">
        <v>0</v>
      </c>
      <c r="O1020" s="11">
        <v>0</v>
      </c>
      <c r="P1020" s="11">
        <v>0</v>
      </c>
      <c r="Q1020" s="11">
        <v>0</v>
      </c>
      <c r="R1020" s="11">
        <v>0</v>
      </c>
      <c r="S1020" s="11">
        <v>0</v>
      </c>
      <c r="T1020" s="11">
        <v>0</v>
      </c>
      <c r="U1020">
        <v>0</v>
      </c>
      <c r="V1020">
        <v>0</v>
      </c>
      <c r="W1020">
        <v>0</v>
      </c>
      <c r="X1020">
        <v>0</v>
      </c>
      <c r="Y1020">
        <v>5.8529162155043701E-3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0</v>
      </c>
      <c r="AL1020">
        <v>0</v>
      </c>
      <c r="AM1020">
        <v>0</v>
      </c>
    </row>
    <row r="1021" spans="1:39" customFormat="1" hidden="1" x14ac:dyDescent="0.3">
      <c r="A1021" t="s">
        <v>714</v>
      </c>
      <c r="B1021" t="s">
        <v>30</v>
      </c>
      <c r="C1021" t="s">
        <v>81</v>
      </c>
      <c r="D1021" t="s">
        <v>85</v>
      </c>
      <c r="E1021" t="s">
        <v>287</v>
      </c>
      <c r="F1021" t="s">
        <v>470</v>
      </c>
      <c r="G1021" t="s">
        <v>469</v>
      </c>
      <c r="H1021" s="16">
        <v>0</v>
      </c>
      <c r="I1021" s="11">
        <v>0</v>
      </c>
      <c r="J1021" s="11">
        <v>0</v>
      </c>
      <c r="K1021" s="11">
        <v>0</v>
      </c>
      <c r="L1021" s="11">
        <v>0</v>
      </c>
      <c r="M1021" s="11">
        <v>0</v>
      </c>
      <c r="N1021" s="11">
        <v>0</v>
      </c>
      <c r="O1021" s="11">
        <v>0</v>
      </c>
      <c r="P1021" s="11">
        <v>0</v>
      </c>
      <c r="Q1021" s="11">
        <v>0</v>
      </c>
      <c r="R1021" s="11">
        <v>0</v>
      </c>
      <c r="S1021" s="11">
        <v>0</v>
      </c>
      <c r="T1021" s="11">
        <v>0</v>
      </c>
      <c r="U1021">
        <v>0</v>
      </c>
      <c r="V1021">
        <v>3.6144142841652502E-3</v>
      </c>
      <c r="W1021">
        <v>2.6668088964744798E-3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0</v>
      </c>
      <c r="AL1021">
        <v>0</v>
      </c>
      <c r="AM1021">
        <v>0</v>
      </c>
    </row>
    <row r="1022" spans="1:39" customFormat="1" hidden="1" x14ac:dyDescent="0.3">
      <c r="A1022" t="s">
        <v>713</v>
      </c>
      <c r="B1022" t="s">
        <v>30</v>
      </c>
      <c r="C1022" t="s">
        <v>81</v>
      </c>
      <c r="D1022" t="s">
        <v>85</v>
      </c>
      <c r="E1022" t="s">
        <v>287</v>
      </c>
      <c r="F1022" t="s">
        <v>286</v>
      </c>
      <c r="G1022" t="s">
        <v>286</v>
      </c>
      <c r="H1022" s="16">
        <v>0</v>
      </c>
      <c r="I1022" s="11">
        <v>0</v>
      </c>
      <c r="J1022" s="11">
        <v>0</v>
      </c>
      <c r="K1022" s="11">
        <v>0</v>
      </c>
      <c r="L1022" s="11">
        <v>0</v>
      </c>
      <c r="M1022" s="11">
        <v>0</v>
      </c>
      <c r="N1022" s="11">
        <v>0</v>
      </c>
      <c r="O1022" s="11">
        <v>0</v>
      </c>
      <c r="P1022" s="11">
        <v>0</v>
      </c>
      <c r="Q1022" s="11">
        <v>0</v>
      </c>
      <c r="R1022" s="11">
        <v>0</v>
      </c>
      <c r="S1022" s="11">
        <v>0</v>
      </c>
      <c r="T1022" s="11">
        <v>0</v>
      </c>
      <c r="U1022">
        <v>0</v>
      </c>
      <c r="V1022">
        <v>0</v>
      </c>
      <c r="W1022">
        <v>0</v>
      </c>
      <c r="X1022">
        <v>0</v>
      </c>
      <c r="Y1022">
        <v>2.9264581077521898E-3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0</v>
      </c>
      <c r="AL1022">
        <v>0</v>
      </c>
      <c r="AM1022">
        <v>0</v>
      </c>
    </row>
    <row r="1023" spans="1:39" customFormat="1" hidden="1" x14ac:dyDescent="0.3">
      <c r="A1023" t="s">
        <v>712</v>
      </c>
      <c r="B1023" t="s">
        <v>30</v>
      </c>
      <c r="C1023" t="s">
        <v>81</v>
      </c>
      <c r="D1023" t="s">
        <v>85</v>
      </c>
      <c r="E1023" t="s">
        <v>287</v>
      </c>
      <c r="F1023" t="s">
        <v>286</v>
      </c>
      <c r="G1023" t="s">
        <v>286</v>
      </c>
      <c r="H1023" s="16">
        <v>0</v>
      </c>
      <c r="I1023" s="11">
        <v>0</v>
      </c>
      <c r="J1023" s="11">
        <v>0</v>
      </c>
      <c r="K1023" s="11">
        <v>0</v>
      </c>
      <c r="L1023" s="11">
        <v>0</v>
      </c>
      <c r="M1023" s="11">
        <v>0</v>
      </c>
      <c r="N1023" s="11">
        <v>0</v>
      </c>
      <c r="O1023" s="11">
        <v>0</v>
      </c>
      <c r="P1023" s="11">
        <v>0</v>
      </c>
      <c r="Q1023" s="11">
        <v>0</v>
      </c>
      <c r="R1023" s="11">
        <v>0</v>
      </c>
      <c r="S1023" s="11">
        <v>0</v>
      </c>
      <c r="T1023" s="11">
        <v>0</v>
      </c>
      <c r="U1023">
        <v>3.04201016031394E-3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0</v>
      </c>
      <c r="AJ1023">
        <v>3.5915670006823998E-3</v>
      </c>
      <c r="AK1023">
        <v>0</v>
      </c>
      <c r="AL1023">
        <v>0</v>
      </c>
      <c r="AM1023">
        <v>0</v>
      </c>
    </row>
    <row r="1024" spans="1:39" customFormat="1" hidden="1" x14ac:dyDescent="0.3">
      <c r="A1024" t="s">
        <v>711</v>
      </c>
      <c r="B1024" t="s">
        <v>30</v>
      </c>
      <c r="C1024" t="s">
        <v>81</v>
      </c>
      <c r="D1024" t="s">
        <v>85</v>
      </c>
      <c r="E1024" t="s">
        <v>287</v>
      </c>
      <c r="F1024" t="s">
        <v>470</v>
      </c>
      <c r="G1024" t="s">
        <v>469</v>
      </c>
      <c r="H1024" s="16">
        <v>0</v>
      </c>
      <c r="I1024" s="11">
        <v>0</v>
      </c>
      <c r="J1024" s="11">
        <v>0</v>
      </c>
      <c r="K1024" s="11">
        <v>0</v>
      </c>
      <c r="L1024" s="11">
        <v>0</v>
      </c>
      <c r="M1024" s="11">
        <v>0</v>
      </c>
      <c r="N1024" s="11">
        <v>0</v>
      </c>
      <c r="O1024" s="11">
        <v>3.75023438964935E-3</v>
      </c>
      <c r="P1024" s="11">
        <v>0</v>
      </c>
      <c r="Q1024" s="11">
        <v>0</v>
      </c>
      <c r="R1024" s="11">
        <v>0</v>
      </c>
      <c r="S1024" s="11">
        <v>0</v>
      </c>
      <c r="T1024" s="11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  <c r="AJ1024">
        <v>0</v>
      </c>
      <c r="AK1024">
        <v>6.02700096432015E-3</v>
      </c>
      <c r="AL1024">
        <v>0</v>
      </c>
      <c r="AM1024">
        <v>0</v>
      </c>
    </row>
    <row r="1025" spans="1:39" customFormat="1" hidden="1" x14ac:dyDescent="0.3">
      <c r="A1025" t="s">
        <v>710</v>
      </c>
      <c r="B1025" t="s">
        <v>30</v>
      </c>
      <c r="C1025" t="s">
        <v>81</v>
      </c>
      <c r="D1025" t="s">
        <v>85</v>
      </c>
      <c r="E1025" t="s">
        <v>287</v>
      </c>
      <c r="F1025" t="s">
        <v>286</v>
      </c>
      <c r="G1025" t="s">
        <v>286</v>
      </c>
      <c r="H1025" s="16">
        <v>0</v>
      </c>
      <c r="I1025" s="11">
        <v>3.6565745209887401E-3</v>
      </c>
      <c r="J1025" s="11">
        <v>0</v>
      </c>
      <c r="K1025" s="11">
        <v>0</v>
      </c>
      <c r="L1025" s="11">
        <v>0</v>
      </c>
      <c r="M1025" s="11">
        <v>3.5488679111363502E-3</v>
      </c>
      <c r="N1025" s="11">
        <v>0</v>
      </c>
      <c r="O1025" s="11">
        <v>0</v>
      </c>
      <c r="P1025" s="11">
        <v>0</v>
      </c>
      <c r="Q1025" s="11">
        <v>0</v>
      </c>
      <c r="R1025" s="11">
        <v>0</v>
      </c>
      <c r="S1025" s="11">
        <v>0</v>
      </c>
      <c r="T1025" s="11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0</v>
      </c>
      <c r="AJ1025">
        <v>0</v>
      </c>
      <c r="AK1025">
        <v>0</v>
      </c>
      <c r="AL1025">
        <v>0</v>
      </c>
      <c r="AM1025">
        <v>0</v>
      </c>
    </row>
    <row r="1026" spans="1:39" customFormat="1" hidden="1" x14ac:dyDescent="0.3">
      <c r="A1026" t="s">
        <v>709</v>
      </c>
      <c r="B1026" t="s">
        <v>30</v>
      </c>
      <c r="C1026" t="s">
        <v>81</v>
      </c>
      <c r="D1026" t="s">
        <v>85</v>
      </c>
      <c r="E1026" t="s">
        <v>287</v>
      </c>
      <c r="F1026" t="s">
        <v>286</v>
      </c>
      <c r="G1026" t="s">
        <v>286</v>
      </c>
      <c r="H1026" s="16">
        <v>0</v>
      </c>
      <c r="I1026" s="11">
        <v>0</v>
      </c>
      <c r="J1026" s="11">
        <v>0</v>
      </c>
      <c r="K1026" s="11">
        <v>0</v>
      </c>
      <c r="L1026" s="11">
        <v>0</v>
      </c>
      <c r="M1026" s="11">
        <v>0</v>
      </c>
      <c r="N1026" s="11">
        <v>0</v>
      </c>
      <c r="O1026" s="11">
        <v>0</v>
      </c>
      <c r="P1026" s="11">
        <v>0</v>
      </c>
      <c r="Q1026" s="11">
        <v>2.7492920572952501E-3</v>
      </c>
      <c r="R1026" s="11">
        <v>0</v>
      </c>
      <c r="S1026" s="11">
        <v>0</v>
      </c>
      <c r="T1026" s="11">
        <v>0</v>
      </c>
      <c r="U1026">
        <v>0</v>
      </c>
      <c r="V1026">
        <v>0</v>
      </c>
      <c r="W1026">
        <v>0</v>
      </c>
      <c r="X1026">
        <v>0</v>
      </c>
      <c r="Y1026">
        <v>5.8529162155043701E-3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0</v>
      </c>
      <c r="AJ1026">
        <v>0</v>
      </c>
      <c r="AK1026">
        <v>0</v>
      </c>
      <c r="AL1026">
        <v>0</v>
      </c>
      <c r="AM1026">
        <v>0</v>
      </c>
    </row>
    <row r="1027" spans="1:39" customFormat="1" hidden="1" x14ac:dyDescent="0.3">
      <c r="A1027" t="s">
        <v>708</v>
      </c>
      <c r="B1027" t="s">
        <v>30</v>
      </c>
      <c r="C1027" t="s">
        <v>111</v>
      </c>
      <c r="D1027" t="s">
        <v>141</v>
      </c>
      <c r="E1027" t="s">
        <v>140</v>
      </c>
      <c r="F1027" t="s">
        <v>592</v>
      </c>
      <c r="G1027" t="s">
        <v>612</v>
      </c>
      <c r="H1027" s="16">
        <v>0</v>
      </c>
      <c r="I1027" s="11">
        <v>0</v>
      </c>
      <c r="J1027" s="11">
        <v>0</v>
      </c>
      <c r="K1027" s="11">
        <v>0</v>
      </c>
      <c r="L1027" s="11">
        <v>0</v>
      </c>
      <c r="M1027" s="11">
        <v>0</v>
      </c>
      <c r="N1027" s="11">
        <v>0</v>
      </c>
      <c r="O1027" s="11">
        <v>0</v>
      </c>
      <c r="P1027" s="11">
        <v>0</v>
      </c>
      <c r="Q1027" s="11">
        <v>0</v>
      </c>
      <c r="R1027" s="11">
        <v>0</v>
      </c>
      <c r="S1027" s="11">
        <v>0</v>
      </c>
      <c r="T1027" s="11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>
        <v>0</v>
      </c>
      <c r="AL1027">
        <v>0</v>
      </c>
      <c r="AM1027">
        <v>0</v>
      </c>
    </row>
    <row r="1028" spans="1:39" customFormat="1" hidden="1" x14ac:dyDescent="0.3">
      <c r="A1028" t="s">
        <v>705</v>
      </c>
      <c r="B1028" t="s">
        <v>30</v>
      </c>
      <c r="C1028" t="s">
        <v>81</v>
      </c>
      <c r="D1028" t="s">
        <v>85</v>
      </c>
      <c r="E1028" t="s">
        <v>287</v>
      </c>
      <c r="F1028" t="s">
        <v>286</v>
      </c>
      <c r="G1028" t="s">
        <v>286</v>
      </c>
      <c r="H1028" s="16">
        <v>0</v>
      </c>
      <c r="I1028" s="11">
        <v>0</v>
      </c>
      <c r="J1028" s="11">
        <v>0</v>
      </c>
      <c r="K1028" s="11">
        <v>0</v>
      </c>
      <c r="L1028" s="11">
        <v>0</v>
      </c>
      <c r="M1028" s="11">
        <v>0</v>
      </c>
      <c r="N1028" s="11">
        <v>0</v>
      </c>
      <c r="O1028" s="11">
        <v>0</v>
      </c>
      <c r="P1028" s="11">
        <v>0</v>
      </c>
      <c r="Q1028" s="11">
        <v>0</v>
      </c>
      <c r="R1028" s="11">
        <v>4.4882296178272501E-3</v>
      </c>
      <c r="S1028" s="11">
        <v>0</v>
      </c>
      <c r="T1028" s="11">
        <v>0</v>
      </c>
      <c r="U1028">
        <v>3.04201016031394E-3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0</v>
      </c>
      <c r="AJ1028">
        <v>0</v>
      </c>
      <c r="AK1028">
        <v>0</v>
      </c>
      <c r="AL1028">
        <v>0</v>
      </c>
      <c r="AM1028">
        <v>0</v>
      </c>
    </row>
    <row r="1029" spans="1:39" customFormat="1" hidden="1" x14ac:dyDescent="0.3">
      <c r="A1029" t="s">
        <v>704</v>
      </c>
      <c r="B1029" t="s">
        <v>30</v>
      </c>
      <c r="C1029" t="s">
        <v>81</v>
      </c>
      <c r="D1029" t="s">
        <v>80</v>
      </c>
      <c r="E1029" t="s">
        <v>618</v>
      </c>
      <c r="F1029" t="s">
        <v>617</v>
      </c>
      <c r="G1029" t="s">
        <v>616</v>
      </c>
      <c r="H1029" s="16">
        <v>0</v>
      </c>
      <c r="I1029" s="11">
        <v>0</v>
      </c>
      <c r="J1029" s="11">
        <v>0</v>
      </c>
      <c r="K1029" s="11">
        <v>0</v>
      </c>
      <c r="L1029" s="11">
        <v>0</v>
      </c>
      <c r="M1029" s="11">
        <v>0</v>
      </c>
      <c r="N1029" s="11">
        <v>0</v>
      </c>
      <c r="O1029" s="11">
        <v>0</v>
      </c>
      <c r="P1029" s="11">
        <v>0</v>
      </c>
      <c r="Q1029" s="11">
        <v>0</v>
      </c>
      <c r="R1029" s="11">
        <v>0</v>
      </c>
      <c r="S1029" s="11">
        <v>0</v>
      </c>
      <c r="T1029" s="11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4.5118209709438702E-3</v>
      </c>
      <c r="AC1029">
        <v>0</v>
      </c>
      <c r="AD1029">
        <v>3.14564328405159E-3</v>
      </c>
      <c r="AE1029">
        <v>0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0</v>
      </c>
      <c r="AL1029">
        <v>0</v>
      </c>
      <c r="AM1029">
        <v>0</v>
      </c>
    </row>
    <row r="1030" spans="1:39" customFormat="1" hidden="1" x14ac:dyDescent="0.3">
      <c r="A1030" t="s">
        <v>703</v>
      </c>
      <c r="B1030" t="s">
        <v>30</v>
      </c>
      <c r="C1030" t="s">
        <v>81</v>
      </c>
      <c r="D1030" t="s">
        <v>80</v>
      </c>
      <c r="E1030" t="s">
        <v>618</v>
      </c>
      <c r="F1030" t="s">
        <v>629</v>
      </c>
      <c r="G1030" t="s">
        <v>628</v>
      </c>
      <c r="H1030" s="16">
        <v>0</v>
      </c>
      <c r="I1030" s="11">
        <v>0</v>
      </c>
      <c r="J1030" s="11">
        <v>0</v>
      </c>
      <c r="K1030" s="11">
        <v>0</v>
      </c>
      <c r="L1030" s="11">
        <v>0</v>
      </c>
      <c r="M1030" s="11">
        <v>0</v>
      </c>
      <c r="N1030" s="11">
        <v>0</v>
      </c>
      <c r="O1030" s="11">
        <v>0</v>
      </c>
      <c r="P1030" s="11">
        <v>0</v>
      </c>
      <c r="Q1030" s="11">
        <v>0</v>
      </c>
      <c r="R1030" s="11">
        <v>0</v>
      </c>
      <c r="S1030" s="11">
        <v>0</v>
      </c>
      <c r="T1030" s="11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0</v>
      </c>
      <c r="AM1030">
        <v>0</v>
      </c>
    </row>
    <row r="1031" spans="1:39" customFormat="1" hidden="1" x14ac:dyDescent="0.3">
      <c r="A1031" t="s">
        <v>702</v>
      </c>
      <c r="B1031" t="s">
        <v>30</v>
      </c>
      <c r="C1031" t="s">
        <v>81</v>
      </c>
      <c r="D1031" t="s">
        <v>80</v>
      </c>
      <c r="E1031" t="s">
        <v>618</v>
      </c>
      <c r="F1031" t="s">
        <v>629</v>
      </c>
      <c r="G1031" t="s">
        <v>628</v>
      </c>
      <c r="H1031" s="16">
        <v>0</v>
      </c>
      <c r="I1031" s="11">
        <v>0</v>
      </c>
      <c r="J1031" s="11">
        <v>0</v>
      </c>
      <c r="K1031" s="11">
        <v>0</v>
      </c>
      <c r="L1031" s="11">
        <v>0</v>
      </c>
      <c r="M1031" s="11">
        <v>0</v>
      </c>
      <c r="N1031" s="11">
        <v>0</v>
      </c>
      <c r="O1031" s="11">
        <v>0</v>
      </c>
      <c r="P1031" s="11">
        <v>0</v>
      </c>
      <c r="Q1031" s="11">
        <v>0</v>
      </c>
      <c r="R1031" s="11">
        <v>0</v>
      </c>
      <c r="S1031" s="11">
        <v>2.4883049666567102E-3</v>
      </c>
      <c r="T1031" s="1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5.03372596395852E-3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</v>
      </c>
      <c r="AM1031">
        <v>0</v>
      </c>
    </row>
    <row r="1032" spans="1:39" customFormat="1" hidden="1" x14ac:dyDescent="0.3">
      <c r="A1032" t="s">
        <v>701</v>
      </c>
      <c r="B1032" t="s">
        <v>30</v>
      </c>
      <c r="C1032" t="s">
        <v>81</v>
      </c>
      <c r="D1032" t="s">
        <v>80</v>
      </c>
      <c r="E1032" t="s">
        <v>618</v>
      </c>
      <c r="F1032" t="s">
        <v>617</v>
      </c>
      <c r="G1032" t="s">
        <v>616</v>
      </c>
      <c r="H1032" s="16">
        <v>0</v>
      </c>
      <c r="I1032" s="11">
        <v>3.6565745209887401E-3</v>
      </c>
      <c r="J1032" s="11">
        <v>0</v>
      </c>
      <c r="K1032" s="11">
        <v>0</v>
      </c>
      <c r="L1032" s="11">
        <v>0</v>
      </c>
      <c r="M1032" s="11">
        <v>0</v>
      </c>
      <c r="N1032" s="11">
        <v>0</v>
      </c>
      <c r="O1032" s="11">
        <v>0</v>
      </c>
      <c r="P1032" s="11">
        <v>0</v>
      </c>
      <c r="Q1032" s="11">
        <v>0</v>
      </c>
      <c r="R1032" s="11">
        <v>0</v>
      </c>
      <c r="S1032" s="11">
        <v>0</v>
      </c>
      <c r="T1032" s="11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3.14564328405159E-3</v>
      </c>
      <c r="AE1032">
        <v>3.4299434059338E-3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0</v>
      </c>
      <c r="AM1032">
        <v>0</v>
      </c>
    </row>
    <row r="1033" spans="1:39" customFormat="1" hidden="1" x14ac:dyDescent="0.3">
      <c r="A1033" t="s">
        <v>700</v>
      </c>
      <c r="B1033" t="s">
        <v>30</v>
      </c>
      <c r="C1033" t="s">
        <v>81</v>
      </c>
      <c r="D1033" t="s">
        <v>80</v>
      </c>
      <c r="E1033" t="s">
        <v>618</v>
      </c>
      <c r="F1033" t="s">
        <v>617</v>
      </c>
      <c r="G1033" t="s">
        <v>616</v>
      </c>
      <c r="H1033" s="16">
        <v>0</v>
      </c>
      <c r="I1033" s="11">
        <v>0</v>
      </c>
      <c r="J1033" s="11">
        <v>0</v>
      </c>
      <c r="K1033" s="11">
        <v>0</v>
      </c>
      <c r="L1033" s="11">
        <v>6.6037112857425901E-3</v>
      </c>
      <c r="M1033" s="11">
        <v>0</v>
      </c>
      <c r="N1033" s="11">
        <v>0</v>
      </c>
      <c r="O1033" s="11">
        <v>0</v>
      </c>
      <c r="P1033" s="11">
        <v>0</v>
      </c>
      <c r="Q1033" s="11">
        <v>0</v>
      </c>
      <c r="R1033" s="11">
        <v>0</v>
      </c>
      <c r="S1033" s="11">
        <v>0</v>
      </c>
      <c r="T1033" s="11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6.2912865681031801E-3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0</v>
      </c>
      <c r="AM1033">
        <v>0</v>
      </c>
    </row>
    <row r="1034" spans="1:39" customFormat="1" hidden="1" x14ac:dyDescent="0.3">
      <c r="A1034" t="s">
        <v>699</v>
      </c>
      <c r="B1034" t="s">
        <v>30</v>
      </c>
      <c r="C1034" t="s">
        <v>81</v>
      </c>
      <c r="D1034" t="s">
        <v>118</v>
      </c>
      <c r="E1034" t="s">
        <v>117</v>
      </c>
      <c r="F1034" t="s">
        <v>116</v>
      </c>
      <c r="G1034" t="s">
        <v>683</v>
      </c>
      <c r="H1034" s="16">
        <v>0</v>
      </c>
      <c r="I1034" s="11">
        <v>0</v>
      </c>
      <c r="J1034" s="11">
        <v>0</v>
      </c>
      <c r="K1034" s="11">
        <v>0</v>
      </c>
      <c r="L1034" s="11">
        <v>0</v>
      </c>
      <c r="M1034" s="11">
        <v>0</v>
      </c>
      <c r="N1034" s="11">
        <v>0</v>
      </c>
      <c r="O1034" s="11">
        <v>0</v>
      </c>
      <c r="P1034" s="11">
        <v>0</v>
      </c>
      <c r="Q1034" s="11">
        <v>0</v>
      </c>
      <c r="R1034" s="11">
        <v>0</v>
      </c>
      <c r="S1034" s="11">
        <v>0</v>
      </c>
      <c r="T1034" s="11">
        <v>0</v>
      </c>
      <c r="U1034">
        <v>0</v>
      </c>
      <c r="V1034">
        <v>0</v>
      </c>
      <c r="W1034">
        <v>0</v>
      </c>
      <c r="X1034">
        <v>0</v>
      </c>
      <c r="Y1034">
        <v>2.9264581077521898E-3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0</v>
      </c>
      <c r="AM1034">
        <v>0</v>
      </c>
    </row>
    <row r="1035" spans="1:39" customFormat="1" hidden="1" x14ac:dyDescent="0.3">
      <c r="A1035" t="s">
        <v>698</v>
      </c>
      <c r="B1035" t="s">
        <v>30</v>
      </c>
      <c r="C1035" t="s">
        <v>81</v>
      </c>
      <c r="D1035" t="s">
        <v>80</v>
      </c>
      <c r="E1035" t="s">
        <v>618</v>
      </c>
      <c r="F1035" t="s">
        <v>617</v>
      </c>
      <c r="G1035" t="s">
        <v>616</v>
      </c>
      <c r="H1035" s="16">
        <v>0</v>
      </c>
      <c r="I1035" s="11">
        <v>0</v>
      </c>
      <c r="J1035" s="11">
        <v>0</v>
      </c>
      <c r="K1035" s="11">
        <v>0</v>
      </c>
      <c r="L1035" s="11">
        <v>0</v>
      </c>
      <c r="M1035" s="11">
        <v>0</v>
      </c>
      <c r="N1035" s="11">
        <v>0</v>
      </c>
      <c r="O1035" s="11">
        <v>0</v>
      </c>
      <c r="P1035" s="11">
        <v>0</v>
      </c>
      <c r="Q1035" s="11">
        <v>0</v>
      </c>
      <c r="R1035" s="11">
        <v>0</v>
      </c>
      <c r="S1035" s="11">
        <v>0</v>
      </c>
      <c r="T1035" s="11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4.5118209709438702E-3</v>
      </c>
      <c r="AC1035">
        <v>0</v>
      </c>
      <c r="AD1035">
        <v>0</v>
      </c>
      <c r="AE1035">
        <v>3.4299434059338E-3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</v>
      </c>
      <c r="AM1035">
        <v>0</v>
      </c>
    </row>
    <row r="1036" spans="1:39" customFormat="1" hidden="1" x14ac:dyDescent="0.3">
      <c r="A1036" t="s">
        <v>697</v>
      </c>
      <c r="B1036" t="s">
        <v>30</v>
      </c>
      <c r="C1036" t="s">
        <v>81</v>
      </c>
      <c r="D1036" t="s">
        <v>80</v>
      </c>
      <c r="E1036" t="s">
        <v>618</v>
      </c>
      <c r="F1036" t="s">
        <v>617</v>
      </c>
      <c r="G1036" t="s">
        <v>616</v>
      </c>
      <c r="H1036" s="16">
        <v>0</v>
      </c>
      <c r="I1036" s="11">
        <v>0</v>
      </c>
      <c r="J1036" s="11">
        <v>0</v>
      </c>
      <c r="K1036" s="11">
        <v>0</v>
      </c>
      <c r="L1036" s="11">
        <v>0</v>
      </c>
      <c r="M1036" s="11">
        <v>0</v>
      </c>
      <c r="N1036" s="11">
        <v>0</v>
      </c>
      <c r="O1036" s="11">
        <v>0</v>
      </c>
      <c r="P1036" s="11">
        <v>0</v>
      </c>
      <c r="Q1036" s="11">
        <v>0</v>
      </c>
      <c r="R1036" s="11">
        <v>0</v>
      </c>
      <c r="S1036" s="11">
        <v>0</v>
      </c>
      <c r="T1036" s="11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6.2912865681031801E-3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0</v>
      </c>
      <c r="AM1036">
        <v>0</v>
      </c>
    </row>
    <row r="1037" spans="1:39" customFormat="1" hidden="1" x14ac:dyDescent="0.3">
      <c r="A1037" t="s">
        <v>696</v>
      </c>
      <c r="B1037" t="s">
        <v>30</v>
      </c>
      <c r="C1037" t="s">
        <v>81</v>
      </c>
      <c r="D1037" t="s">
        <v>80</v>
      </c>
      <c r="E1037" t="s">
        <v>618</v>
      </c>
      <c r="F1037" t="s">
        <v>629</v>
      </c>
      <c r="G1037" t="s">
        <v>628</v>
      </c>
      <c r="H1037" s="16">
        <v>4.1583499667332E-3</v>
      </c>
      <c r="I1037" s="11">
        <v>0</v>
      </c>
      <c r="J1037" s="11">
        <v>4.3593879419329502E-3</v>
      </c>
      <c r="K1037" s="11">
        <v>0</v>
      </c>
      <c r="L1037" s="11">
        <v>0</v>
      </c>
      <c r="M1037" s="11">
        <v>0</v>
      </c>
      <c r="N1037" s="11">
        <v>0</v>
      </c>
      <c r="O1037" s="11">
        <v>0</v>
      </c>
      <c r="P1037" s="11">
        <v>0</v>
      </c>
      <c r="Q1037" s="11">
        <v>0</v>
      </c>
      <c r="R1037" s="11">
        <v>0</v>
      </c>
      <c r="S1037" s="11">
        <v>0</v>
      </c>
      <c r="T1037" s="11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0</v>
      </c>
      <c r="AL1037">
        <v>0</v>
      </c>
      <c r="AM1037">
        <v>0</v>
      </c>
    </row>
    <row r="1038" spans="1:39" customFormat="1" hidden="1" x14ac:dyDescent="0.3">
      <c r="A1038" t="s">
        <v>695</v>
      </c>
      <c r="B1038" t="s">
        <v>30</v>
      </c>
      <c r="C1038" t="s">
        <v>29</v>
      </c>
      <c r="D1038" t="s">
        <v>28</v>
      </c>
      <c r="E1038" t="s">
        <v>388</v>
      </c>
      <c r="F1038" t="s">
        <v>624</v>
      </c>
      <c r="G1038" t="s">
        <v>623</v>
      </c>
      <c r="H1038" s="16">
        <v>0</v>
      </c>
      <c r="I1038" s="11">
        <v>0</v>
      </c>
      <c r="J1038" s="11">
        <v>0</v>
      </c>
      <c r="K1038" s="11">
        <v>0</v>
      </c>
      <c r="L1038" s="11">
        <v>0</v>
      </c>
      <c r="M1038" s="11">
        <v>0</v>
      </c>
      <c r="N1038" s="11">
        <v>0</v>
      </c>
      <c r="O1038" s="11">
        <v>0</v>
      </c>
      <c r="P1038" s="11">
        <v>0</v>
      </c>
      <c r="Q1038" s="11">
        <v>0</v>
      </c>
      <c r="R1038" s="11">
        <v>0</v>
      </c>
      <c r="S1038" s="11">
        <v>0</v>
      </c>
      <c r="T1038" s="11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4.5968557506665397E-3</v>
      </c>
      <c r="AJ1038">
        <v>0</v>
      </c>
      <c r="AK1038">
        <v>0</v>
      </c>
      <c r="AL1038">
        <v>0</v>
      </c>
      <c r="AM1038">
        <v>0</v>
      </c>
    </row>
    <row r="1039" spans="1:39" customFormat="1" hidden="1" x14ac:dyDescent="0.3">
      <c r="A1039" t="s">
        <v>694</v>
      </c>
      <c r="B1039" t="s">
        <v>30</v>
      </c>
      <c r="C1039" t="s">
        <v>81</v>
      </c>
      <c r="D1039" t="s">
        <v>80</v>
      </c>
      <c r="E1039" t="s">
        <v>618</v>
      </c>
      <c r="F1039" t="s">
        <v>617</v>
      </c>
      <c r="G1039" t="s">
        <v>616</v>
      </c>
      <c r="H1039" s="16">
        <v>0</v>
      </c>
      <c r="I1039" s="11">
        <v>0</v>
      </c>
      <c r="J1039" s="11">
        <v>0</v>
      </c>
      <c r="K1039" s="11">
        <v>0</v>
      </c>
      <c r="L1039" s="11">
        <v>0</v>
      </c>
      <c r="M1039" s="11">
        <v>0</v>
      </c>
      <c r="N1039" s="11">
        <v>0</v>
      </c>
      <c r="O1039" s="11">
        <v>0</v>
      </c>
      <c r="P1039" s="11">
        <v>0</v>
      </c>
      <c r="Q1039" s="11">
        <v>0</v>
      </c>
      <c r="R1039" s="11">
        <v>0</v>
      </c>
      <c r="S1039" s="11">
        <v>0</v>
      </c>
      <c r="T1039" s="11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9.0236419418877507E-3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0</v>
      </c>
      <c r="AM1039">
        <v>0</v>
      </c>
    </row>
    <row r="1040" spans="1:39" customFormat="1" hidden="1" x14ac:dyDescent="0.3">
      <c r="A1040" t="s">
        <v>693</v>
      </c>
      <c r="B1040" t="s">
        <v>30</v>
      </c>
      <c r="C1040" t="s">
        <v>81</v>
      </c>
      <c r="D1040" t="s">
        <v>80</v>
      </c>
      <c r="E1040" t="s">
        <v>642</v>
      </c>
      <c r="F1040" t="s">
        <v>641</v>
      </c>
      <c r="G1040" t="s">
        <v>692</v>
      </c>
      <c r="H1040" s="16">
        <v>0</v>
      </c>
      <c r="I1040" s="11">
        <v>0</v>
      </c>
      <c r="J1040" s="11">
        <v>0</v>
      </c>
      <c r="K1040" s="11">
        <v>0</v>
      </c>
      <c r="L1040" s="11">
        <v>0</v>
      </c>
      <c r="M1040" s="11">
        <v>0</v>
      </c>
      <c r="N1040" s="11">
        <v>0</v>
      </c>
      <c r="O1040" s="11">
        <v>0</v>
      </c>
      <c r="P1040" s="11">
        <v>0</v>
      </c>
      <c r="Q1040" s="11">
        <v>0</v>
      </c>
      <c r="R1040" s="11">
        <v>0</v>
      </c>
      <c r="S1040" s="11">
        <v>0</v>
      </c>
      <c r="T1040" s="11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0</v>
      </c>
      <c r="AM1040">
        <v>0</v>
      </c>
    </row>
    <row r="1041" spans="1:39" customFormat="1" hidden="1" x14ac:dyDescent="0.3">
      <c r="A1041" t="s">
        <v>691</v>
      </c>
      <c r="B1041" t="s">
        <v>30</v>
      </c>
      <c r="C1041" t="s">
        <v>81</v>
      </c>
      <c r="D1041" t="s">
        <v>80</v>
      </c>
      <c r="E1041" t="s">
        <v>642</v>
      </c>
      <c r="F1041" t="s">
        <v>641</v>
      </c>
      <c r="G1041" t="s">
        <v>640</v>
      </c>
      <c r="H1041" s="16">
        <v>0</v>
      </c>
      <c r="I1041" s="11">
        <v>0</v>
      </c>
      <c r="J1041" s="11">
        <v>0</v>
      </c>
      <c r="K1041" s="11">
        <v>0</v>
      </c>
      <c r="L1041" s="11">
        <v>0</v>
      </c>
      <c r="M1041" s="11">
        <v>0</v>
      </c>
      <c r="N1041" s="11">
        <v>0</v>
      </c>
      <c r="O1041" s="11">
        <v>0</v>
      </c>
      <c r="P1041" s="11">
        <v>0</v>
      </c>
      <c r="Q1041" s="11">
        <v>0</v>
      </c>
      <c r="R1041" s="11">
        <v>0</v>
      </c>
      <c r="S1041" s="11">
        <v>2.4883049666567102E-3</v>
      </c>
      <c r="T1041" s="1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0</v>
      </c>
      <c r="AJ1041">
        <v>0</v>
      </c>
      <c r="AK1041">
        <v>0</v>
      </c>
      <c r="AL1041">
        <v>0</v>
      </c>
      <c r="AM1041">
        <v>0</v>
      </c>
    </row>
    <row r="1042" spans="1:39" customFormat="1" hidden="1" x14ac:dyDescent="0.3">
      <c r="A1042" t="s">
        <v>690</v>
      </c>
      <c r="B1042" t="s">
        <v>30</v>
      </c>
      <c r="C1042" t="s">
        <v>81</v>
      </c>
      <c r="D1042" t="s">
        <v>80</v>
      </c>
      <c r="E1042" t="s">
        <v>642</v>
      </c>
      <c r="F1042" t="s">
        <v>645</v>
      </c>
      <c r="G1042" t="s">
        <v>644</v>
      </c>
      <c r="H1042" s="16">
        <v>0</v>
      </c>
      <c r="I1042" s="11">
        <v>0</v>
      </c>
      <c r="J1042" s="11">
        <v>0</v>
      </c>
      <c r="K1042" s="11">
        <v>0</v>
      </c>
      <c r="L1042" s="11">
        <v>0</v>
      </c>
      <c r="M1042" s="11">
        <v>0</v>
      </c>
      <c r="N1042" s="11">
        <v>0</v>
      </c>
      <c r="O1042" s="11">
        <v>0</v>
      </c>
      <c r="P1042" s="11">
        <v>0</v>
      </c>
      <c r="Q1042" s="11">
        <v>0</v>
      </c>
      <c r="R1042" s="11">
        <v>0</v>
      </c>
      <c r="S1042" s="11">
        <v>0</v>
      </c>
      <c r="T1042" s="11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  <c r="AJ1042">
        <v>0</v>
      </c>
      <c r="AK1042">
        <v>0</v>
      </c>
      <c r="AL1042">
        <v>0</v>
      </c>
      <c r="AM1042">
        <v>0</v>
      </c>
    </row>
    <row r="1043" spans="1:39" customFormat="1" hidden="1" x14ac:dyDescent="0.3">
      <c r="A1043" t="s">
        <v>689</v>
      </c>
      <c r="B1043" t="s">
        <v>30</v>
      </c>
      <c r="C1043" t="s">
        <v>81</v>
      </c>
      <c r="D1043" t="s">
        <v>80</v>
      </c>
      <c r="E1043" t="s">
        <v>642</v>
      </c>
      <c r="F1043" t="s">
        <v>645</v>
      </c>
      <c r="G1043" t="s">
        <v>644</v>
      </c>
      <c r="H1043" s="16">
        <v>0</v>
      </c>
      <c r="I1043" s="11">
        <v>3.6565745209887401E-3</v>
      </c>
      <c r="J1043" s="11">
        <v>0</v>
      </c>
      <c r="K1043" s="11">
        <v>0</v>
      </c>
      <c r="L1043" s="11">
        <v>0</v>
      </c>
      <c r="M1043" s="11">
        <v>0</v>
      </c>
      <c r="N1043" s="11">
        <v>0</v>
      </c>
      <c r="O1043" s="11">
        <v>0</v>
      </c>
      <c r="P1043" s="11">
        <v>0</v>
      </c>
      <c r="Q1043" s="11">
        <v>0</v>
      </c>
      <c r="R1043" s="11">
        <v>0</v>
      </c>
      <c r="S1043" s="11">
        <v>0</v>
      </c>
      <c r="T1043" s="11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0</v>
      </c>
      <c r="AJ1043">
        <v>0</v>
      </c>
      <c r="AK1043">
        <v>0</v>
      </c>
      <c r="AL1043">
        <v>0</v>
      </c>
      <c r="AM1043">
        <v>0</v>
      </c>
    </row>
    <row r="1044" spans="1:39" customFormat="1" hidden="1" x14ac:dyDescent="0.3">
      <c r="A1044" t="s">
        <v>688</v>
      </c>
      <c r="B1044" t="s">
        <v>30</v>
      </c>
      <c r="C1044" t="s">
        <v>81</v>
      </c>
      <c r="D1044" t="s">
        <v>80</v>
      </c>
      <c r="E1044" t="s">
        <v>642</v>
      </c>
      <c r="F1044" t="s">
        <v>645</v>
      </c>
      <c r="G1044" t="s">
        <v>644</v>
      </c>
      <c r="H1044" s="16">
        <v>0</v>
      </c>
      <c r="I1044" s="11">
        <v>0</v>
      </c>
      <c r="J1044" s="11">
        <v>0</v>
      </c>
      <c r="K1044" s="11">
        <v>0</v>
      </c>
      <c r="L1044" s="11">
        <v>0</v>
      </c>
      <c r="M1044" s="11">
        <v>0</v>
      </c>
      <c r="N1044" s="11">
        <v>0</v>
      </c>
      <c r="O1044" s="11">
        <v>0</v>
      </c>
      <c r="P1044" s="11">
        <v>0</v>
      </c>
      <c r="Q1044" s="11">
        <v>0</v>
      </c>
      <c r="R1044" s="11">
        <v>0</v>
      </c>
      <c r="S1044" s="11">
        <v>0</v>
      </c>
      <c r="T1044" s="11">
        <v>0</v>
      </c>
      <c r="U1044">
        <v>3.04201016031394E-3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E1044">
        <v>0</v>
      </c>
      <c r="AF1044">
        <v>0</v>
      </c>
      <c r="AG1044">
        <v>0</v>
      </c>
      <c r="AH1044">
        <v>0</v>
      </c>
      <c r="AI1044">
        <v>0</v>
      </c>
      <c r="AJ1044">
        <v>0</v>
      </c>
      <c r="AK1044">
        <v>0</v>
      </c>
      <c r="AL1044">
        <v>0</v>
      </c>
      <c r="AM1044">
        <v>0</v>
      </c>
    </row>
    <row r="1045" spans="1:39" customFormat="1" hidden="1" x14ac:dyDescent="0.3">
      <c r="A1045" t="s">
        <v>687</v>
      </c>
      <c r="B1045" t="s">
        <v>30</v>
      </c>
      <c r="C1045" t="s">
        <v>81</v>
      </c>
      <c r="D1045" t="s">
        <v>80</v>
      </c>
      <c r="E1045" t="s">
        <v>642</v>
      </c>
      <c r="F1045" t="s">
        <v>645</v>
      </c>
      <c r="G1045" t="s">
        <v>644</v>
      </c>
      <c r="H1045" s="16">
        <v>0</v>
      </c>
      <c r="I1045" s="11">
        <v>0</v>
      </c>
      <c r="J1045" s="11">
        <v>0</v>
      </c>
      <c r="K1045" s="11">
        <v>0</v>
      </c>
      <c r="L1045" s="11">
        <v>0</v>
      </c>
      <c r="M1045" s="11">
        <v>0</v>
      </c>
      <c r="N1045" s="11">
        <v>0</v>
      </c>
      <c r="O1045" s="11">
        <v>0</v>
      </c>
      <c r="P1045" s="11">
        <v>0</v>
      </c>
      <c r="Q1045" s="11">
        <v>0</v>
      </c>
      <c r="R1045" s="11">
        <v>0</v>
      </c>
      <c r="S1045" s="11">
        <v>0</v>
      </c>
      <c r="T1045" s="11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0</v>
      </c>
      <c r="AL1045">
        <v>0</v>
      </c>
      <c r="AM1045">
        <v>0</v>
      </c>
    </row>
    <row r="1046" spans="1:39" customFormat="1" hidden="1" x14ac:dyDescent="0.3">
      <c r="A1046" t="s">
        <v>685</v>
      </c>
      <c r="B1046" t="s">
        <v>30</v>
      </c>
      <c r="C1046" t="s">
        <v>41</v>
      </c>
      <c r="D1046" t="s">
        <v>41</v>
      </c>
      <c r="E1046" t="s">
        <v>41</v>
      </c>
      <c r="F1046" t="s">
        <v>41</v>
      </c>
      <c r="G1046" t="s">
        <v>41</v>
      </c>
      <c r="H1046" s="16">
        <v>0</v>
      </c>
      <c r="I1046" s="11">
        <v>0</v>
      </c>
      <c r="J1046" s="11">
        <v>0</v>
      </c>
      <c r="K1046" s="11">
        <v>0</v>
      </c>
      <c r="L1046" s="11">
        <v>0</v>
      </c>
      <c r="M1046" s="11">
        <v>0</v>
      </c>
      <c r="N1046" s="11">
        <v>4.5835816106705798E-3</v>
      </c>
      <c r="O1046" s="11">
        <v>0</v>
      </c>
      <c r="P1046" s="11">
        <v>0</v>
      </c>
      <c r="Q1046" s="11">
        <v>0</v>
      </c>
      <c r="R1046" s="11">
        <v>0</v>
      </c>
      <c r="S1046" s="11">
        <v>0</v>
      </c>
      <c r="T1046" s="11">
        <v>0</v>
      </c>
      <c r="U1046">
        <v>3.04201016031394E-3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0</v>
      </c>
      <c r="AJ1046">
        <v>0</v>
      </c>
      <c r="AK1046">
        <v>0</v>
      </c>
      <c r="AL1046">
        <v>0</v>
      </c>
      <c r="AM1046">
        <v>0</v>
      </c>
    </row>
    <row r="1047" spans="1:39" customFormat="1" hidden="1" x14ac:dyDescent="0.3">
      <c r="A1047" t="s">
        <v>684</v>
      </c>
      <c r="B1047" t="s">
        <v>30</v>
      </c>
      <c r="C1047" t="s">
        <v>81</v>
      </c>
      <c r="D1047" t="s">
        <v>118</v>
      </c>
      <c r="E1047" t="s">
        <v>117</v>
      </c>
      <c r="F1047" t="s">
        <v>116</v>
      </c>
      <c r="G1047" t="s">
        <v>683</v>
      </c>
      <c r="H1047" s="16">
        <v>0</v>
      </c>
      <c r="I1047" s="11">
        <v>0</v>
      </c>
      <c r="J1047" s="11">
        <v>0</v>
      </c>
      <c r="K1047" s="11">
        <v>0</v>
      </c>
      <c r="L1047" s="11">
        <v>0</v>
      </c>
      <c r="M1047" s="11">
        <v>0</v>
      </c>
      <c r="N1047" s="11">
        <v>0</v>
      </c>
      <c r="O1047" s="11">
        <v>0</v>
      </c>
      <c r="P1047" s="11">
        <v>0</v>
      </c>
      <c r="Q1047" s="11">
        <v>0</v>
      </c>
      <c r="R1047" s="11">
        <v>0</v>
      </c>
      <c r="S1047" s="11">
        <v>0</v>
      </c>
      <c r="T1047" s="11">
        <v>0</v>
      </c>
      <c r="U1047">
        <v>0</v>
      </c>
      <c r="V1047">
        <v>0</v>
      </c>
      <c r="W1047">
        <v>0</v>
      </c>
      <c r="X1047">
        <v>0</v>
      </c>
      <c r="Y1047">
        <v>2.9264581077521898E-3</v>
      </c>
      <c r="Z1047">
        <v>0</v>
      </c>
      <c r="AA1047">
        <v>0</v>
      </c>
      <c r="AB1047">
        <v>4.5118209709438702E-3</v>
      </c>
      <c r="AC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  <c r="AJ1047">
        <v>0</v>
      </c>
      <c r="AK1047">
        <v>0</v>
      </c>
      <c r="AL1047">
        <v>0</v>
      </c>
      <c r="AM1047">
        <v>0</v>
      </c>
    </row>
    <row r="1048" spans="1:39" customFormat="1" hidden="1" x14ac:dyDescent="0.3">
      <c r="A1048" t="s">
        <v>682</v>
      </c>
      <c r="B1048" t="s">
        <v>30</v>
      </c>
      <c r="C1048" t="s">
        <v>111</v>
      </c>
      <c r="D1048" t="s">
        <v>141</v>
      </c>
      <c r="E1048" t="s">
        <v>140</v>
      </c>
      <c r="F1048" t="s">
        <v>276</v>
      </c>
      <c r="G1048" t="s">
        <v>275</v>
      </c>
      <c r="H1048" s="16">
        <v>0</v>
      </c>
      <c r="I1048" s="11">
        <v>0</v>
      </c>
      <c r="J1048" s="11">
        <v>0</v>
      </c>
      <c r="K1048" s="11">
        <v>0</v>
      </c>
      <c r="L1048" s="11">
        <v>0</v>
      </c>
      <c r="M1048" s="11">
        <v>0</v>
      </c>
      <c r="N1048" s="11">
        <v>0</v>
      </c>
      <c r="O1048" s="11">
        <v>0</v>
      </c>
      <c r="P1048" s="11">
        <v>0</v>
      </c>
      <c r="Q1048" s="11">
        <v>0</v>
      </c>
      <c r="R1048" s="11">
        <v>0</v>
      </c>
      <c r="S1048" s="11">
        <v>0</v>
      </c>
      <c r="T1048" s="11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0</v>
      </c>
      <c r="AL1048">
        <v>0</v>
      </c>
      <c r="AM1048">
        <v>0</v>
      </c>
    </row>
    <row r="1049" spans="1:39" customFormat="1" hidden="1" x14ac:dyDescent="0.3">
      <c r="A1049" t="s">
        <v>681</v>
      </c>
      <c r="B1049" t="s">
        <v>30</v>
      </c>
      <c r="C1049" t="s">
        <v>41</v>
      </c>
      <c r="D1049" t="s">
        <v>41</v>
      </c>
      <c r="E1049" t="s">
        <v>41</v>
      </c>
      <c r="F1049" t="s">
        <v>41</v>
      </c>
      <c r="G1049" t="s">
        <v>41</v>
      </c>
      <c r="H1049" s="16">
        <v>0</v>
      </c>
      <c r="I1049" s="11">
        <v>0</v>
      </c>
      <c r="J1049" s="11">
        <v>0</v>
      </c>
      <c r="K1049" s="11">
        <v>5.6589893045102101E-3</v>
      </c>
      <c r="L1049" s="11">
        <v>0</v>
      </c>
      <c r="M1049" s="11">
        <v>0</v>
      </c>
      <c r="N1049" s="11">
        <v>0</v>
      </c>
      <c r="O1049" s="11">
        <v>0</v>
      </c>
      <c r="P1049" s="11">
        <v>3.3947788301592198E-3</v>
      </c>
      <c r="Q1049" s="11">
        <v>0</v>
      </c>
      <c r="R1049" s="11">
        <v>0</v>
      </c>
      <c r="S1049" s="11">
        <v>0</v>
      </c>
      <c r="T1049" s="11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  <c r="AJ1049">
        <v>0</v>
      </c>
      <c r="AK1049">
        <v>0</v>
      </c>
      <c r="AL1049">
        <v>0</v>
      </c>
      <c r="AM1049">
        <v>0</v>
      </c>
    </row>
    <row r="1050" spans="1:39" customFormat="1" hidden="1" x14ac:dyDescent="0.3">
      <c r="A1050" t="s">
        <v>680</v>
      </c>
      <c r="B1050" t="s">
        <v>30</v>
      </c>
      <c r="C1050" t="s">
        <v>41</v>
      </c>
      <c r="D1050" t="s">
        <v>41</v>
      </c>
      <c r="E1050" t="s">
        <v>41</v>
      </c>
      <c r="F1050" t="s">
        <v>41</v>
      </c>
      <c r="G1050" t="s">
        <v>41</v>
      </c>
      <c r="H1050" s="16">
        <v>4.1583499667332E-3</v>
      </c>
      <c r="I1050" s="11">
        <v>0</v>
      </c>
      <c r="J1050" s="11">
        <v>0</v>
      </c>
      <c r="K1050" s="11">
        <v>0</v>
      </c>
      <c r="L1050" s="11">
        <v>6.6037112857425901E-3</v>
      </c>
      <c r="M1050" s="11">
        <v>0</v>
      </c>
      <c r="N1050" s="11">
        <v>0</v>
      </c>
      <c r="O1050" s="11">
        <v>0</v>
      </c>
      <c r="P1050" s="11">
        <v>0</v>
      </c>
      <c r="Q1050" s="11">
        <v>0</v>
      </c>
      <c r="R1050" s="11">
        <v>0</v>
      </c>
      <c r="S1050" s="11">
        <v>0</v>
      </c>
      <c r="T1050" s="11">
        <v>0</v>
      </c>
      <c r="U1050">
        <v>3.04201016031394E-3</v>
      </c>
      <c r="V1050">
        <v>0</v>
      </c>
      <c r="W1050">
        <v>0</v>
      </c>
      <c r="X1050">
        <v>6.4242579982012101E-3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0</v>
      </c>
      <c r="AJ1050">
        <v>0</v>
      </c>
      <c r="AK1050">
        <v>0</v>
      </c>
      <c r="AL1050">
        <v>0</v>
      </c>
      <c r="AM1050">
        <v>0</v>
      </c>
    </row>
    <row r="1051" spans="1:39" customFormat="1" hidden="1" x14ac:dyDescent="0.3">
      <c r="A1051" t="s">
        <v>679</v>
      </c>
      <c r="B1051" t="s">
        <v>30</v>
      </c>
      <c r="C1051" t="s">
        <v>41</v>
      </c>
      <c r="D1051" t="s">
        <v>41</v>
      </c>
      <c r="E1051" t="s">
        <v>41</v>
      </c>
      <c r="F1051" t="s">
        <v>41</v>
      </c>
      <c r="G1051" t="s">
        <v>41</v>
      </c>
      <c r="H1051" s="16">
        <v>0</v>
      </c>
      <c r="I1051" s="11">
        <v>0</v>
      </c>
      <c r="J1051" s="11">
        <v>0</v>
      </c>
      <c r="K1051" s="11">
        <v>0</v>
      </c>
      <c r="L1051" s="11">
        <v>0</v>
      </c>
      <c r="M1051" s="11">
        <v>0</v>
      </c>
      <c r="N1051" s="11">
        <v>0</v>
      </c>
      <c r="O1051" s="11">
        <v>0</v>
      </c>
      <c r="P1051" s="11">
        <v>0</v>
      </c>
      <c r="Q1051" s="11">
        <v>0</v>
      </c>
      <c r="R1051" s="11">
        <v>0</v>
      </c>
      <c r="S1051" s="11">
        <v>0</v>
      </c>
      <c r="T1051" s="11">
        <v>0</v>
      </c>
      <c r="U1051">
        <v>6.0840203206278696E-3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>
        <v>0</v>
      </c>
      <c r="AK1051">
        <v>0</v>
      </c>
      <c r="AL1051">
        <v>0</v>
      </c>
      <c r="AM1051">
        <v>0</v>
      </c>
    </row>
    <row r="1052" spans="1:39" customFormat="1" hidden="1" x14ac:dyDescent="0.3">
      <c r="A1052" t="s">
        <v>678</v>
      </c>
      <c r="B1052" t="s">
        <v>30</v>
      </c>
      <c r="C1052" t="s">
        <v>41</v>
      </c>
      <c r="D1052" t="s">
        <v>41</v>
      </c>
      <c r="E1052" t="s">
        <v>41</v>
      </c>
      <c r="F1052" t="s">
        <v>41</v>
      </c>
      <c r="G1052" t="s">
        <v>41</v>
      </c>
      <c r="H1052" s="16">
        <v>0</v>
      </c>
      <c r="I1052" s="11">
        <v>0</v>
      </c>
      <c r="J1052" s="11">
        <v>0</v>
      </c>
      <c r="K1052" s="11">
        <v>0</v>
      </c>
      <c r="L1052" s="11">
        <v>0</v>
      </c>
      <c r="M1052" s="11">
        <v>0</v>
      </c>
      <c r="N1052" s="11">
        <v>0</v>
      </c>
      <c r="O1052" s="11">
        <v>0</v>
      </c>
      <c r="P1052" s="11">
        <v>0</v>
      </c>
      <c r="Q1052" s="11">
        <v>0</v>
      </c>
      <c r="R1052" s="11">
        <v>0</v>
      </c>
      <c r="S1052" s="11">
        <v>4.9766099333134299E-3</v>
      </c>
      <c r="T1052" s="11">
        <v>0</v>
      </c>
      <c r="U1052">
        <v>0</v>
      </c>
      <c r="V1052">
        <v>0</v>
      </c>
      <c r="W1052">
        <v>0</v>
      </c>
      <c r="X1052">
        <v>0</v>
      </c>
      <c r="Y1052">
        <v>2.9264581077521898E-3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4.6410173109945703E-3</v>
      </c>
      <c r="AI1052">
        <v>0</v>
      </c>
      <c r="AJ1052">
        <v>0</v>
      </c>
      <c r="AK1052">
        <v>0</v>
      </c>
      <c r="AL1052">
        <v>0</v>
      </c>
      <c r="AM1052">
        <v>0</v>
      </c>
    </row>
    <row r="1053" spans="1:39" customFormat="1" hidden="1" x14ac:dyDescent="0.3">
      <c r="A1053" t="s">
        <v>677</v>
      </c>
      <c r="B1053" t="s">
        <v>30</v>
      </c>
      <c r="C1053" t="s">
        <v>41</v>
      </c>
      <c r="D1053" t="s">
        <v>41</v>
      </c>
      <c r="E1053" t="s">
        <v>41</v>
      </c>
      <c r="F1053" t="s">
        <v>41</v>
      </c>
      <c r="G1053" t="s">
        <v>41</v>
      </c>
      <c r="H1053" s="16">
        <v>0</v>
      </c>
      <c r="I1053" s="11">
        <v>3.6565745209887401E-3</v>
      </c>
      <c r="J1053" s="11">
        <v>0</v>
      </c>
      <c r="K1053" s="11">
        <v>5.6589893045102101E-3</v>
      </c>
      <c r="L1053" s="11">
        <v>0</v>
      </c>
      <c r="M1053" s="11">
        <v>0</v>
      </c>
      <c r="N1053" s="11">
        <v>0</v>
      </c>
      <c r="O1053" s="11">
        <v>0</v>
      </c>
      <c r="P1053" s="11">
        <v>0</v>
      </c>
      <c r="Q1053" s="11">
        <v>0</v>
      </c>
      <c r="R1053" s="11">
        <v>0</v>
      </c>
      <c r="S1053" s="11">
        <v>0</v>
      </c>
      <c r="T1053" s="11">
        <v>0</v>
      </c>
      <c r="U1053">
        <v>0</v>
      </c>
      <c r="V1053">
        <v>0</v>
      </c>
      <c r="W1053">
        <v>0</v>
      </c>
      <c r="X1053">
        <v>6.4242579982012101E-3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  <c r="AJ1053">
        <v>0</v>
      </c>
      <c r="AK1053">
        <v>6.02700096432015E-3</v>
      </c>
      <c r="AL1053">
        <v>0</v>
      </c>
      <c r="AM1053">
        <v>0</v>
      </c>
    </row>
    <row r="1054" spans="1:39" customFormat="1" hidden="1" x14ac:dyDescent="0.3">
      <c r="A1054" t="s">
        <v>676</v>
      </c>
      <c r="B1054" t="s">
        <v>30</v>
      </c>
      <c r="C1054" t="s">
        <v>41</v>
      </c>
      <c r="D1054" t="s">
        <v>41</v>
      </c>
      <c r="E1054" t="s">
        <v>41</v>
      </c>
      <c r="F1054" t="s">
        <v>41</v>
      </c>
      <c r="G1054" t="s">
        <v>41</v>
      </c>
      <c r="H1054" s="16">
        <v>0</v>
      </c>
      <c r="I1054" s="11">
        <v>0</v>
      </c>
      <c r="J1054" s="11">
        <v>0</v>
      </c>
      <c r="K1054" s="11">
        <v>0</v>
      </c>
      <c r="L1054" s="11">
        <v>0</v>
      </c>
      <c r="M1054" s="11">
        <v>0</v>
      </c>
      <c r="N1054" s="11">
        <v>0</v>
      </c>
      <c r="O1054" s="11">
        <v>0</v>
      </c>
      <c r="P1054" s="11">
        <v>0</v>
      </c>
      <c r="Q1054" s="11">
        <v>0</v>
      </c>
      <c r="R1054" s="11">
        <v>0</v>
      </c>
      <c r="S1054" s="11">
        <v>0</v>
      </c>
      <c r="T1054" s="11">
        <v>0</v>
      </c>
      <c r="U1054">
        <v>0</v>
      </c>
      <c r="V1054">
        <v>0</v>
      </c>
      <c r="W1054">
        <v>2.6668088964744798E-3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</v>
      </c>
      <c r="AM1054">
        <v>0</v>
      </c>
    </row>
    <row r="1055" spans="1:39" customFormat="1" hidden="1" x14ac:dyDescent="0.3">
      <c r="A1055" t="s">
        <v>675</v>
      </c>
      <c r="B1055" t="s">
        <v>30</v>
      </c>
      <c r="C1055" t="s">
        <v>81</v>
      </c>
      <c r="D1055" t="s">
        <v>80</v>
      </c>
      <c r="E1055" t="s">
        <v>642</v>
      </c>
      <c r="F1055" t="s">
        <v>645</v>
      </c>
      <c r="G1055" t="s">
        <v>644</v>
      </c>
      <c r="H1055" s="16">
        <v>0</v>
      </c>
      <c r="I1055" s="11">
        <v>0</v>
      </c>
      <c r="J1055" s="11">
        <v>0</v>
      </c>
      <c r="K1055" s="11">
        <v>0</v>
      </c>
      <c r="L1055" s="11">
        <v>6.6037112857425901E-3</v>
      </c>
      <c r="M1055" s="11">
        <v>0</v>
      </c>
      <c r="N1055" s="11">
        <v>0</v>
      </c>
      <c r="O1055" s="11">
        <v>0</v>
      </c>
      <c r="P1055" s="11">
        <v>0</v>
      </c>
      <c r="Q1055" s="11">
        <v>0</v>
      </c>
      <c r="R1055" s="11">
        <v>0</v>
      </c>
      <c r="S1055" s="11">
        <v>0</v>
      </c>
      <c r="T1055" s="11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</v>
      </c>
      <c r="AM1055">
        <v>0</v>
      </c>
    </row>
    <row r="1056" spans="1:39" customFormat="1" hidden="1" x14ac:dyDescent="0.3">
      <c r="A1056" t="s">
        <v>674</v>
      </c>
      <c r="B1056" t="s">
        <v>30</v>
      </c>
      <c r="C1056" t="s">
        <v>41</v>
      </c>
      <c r="D1056" t="s">
        <v>41</v>
      </c>
      <c r="E1056" t="s">
        <v>41</v>
      </c>
      <c r="F1056" t="s">
        <v>41</v>
      </c>
      <c r="G1056" t="s">
        <v>41</v>
      </c>
      <c r="H1056" s="16">
        <v>0</v>
      </c>
      <c r="I1056" s="11">
        <v>0</v>
      </c>
      <c r="J1056" s="11">
        <v>0</v>
      </c>
      <c r="K1056" s="11">
        <v>0</v>
      </c>
      <c r="L1056" s="11">
        <v>0</v>
      </c>
      <c r="M1056" s="11">
        <v>0</v>
      </c>
      <c r="N1056" s="11">
        <v>0</v>
      </c>
      <c r="O1056" s="11">
        <v>0</v>
      </c>
      <c r="P1056" s="11">
        <v>0</v>
      </c>
      <c r="Q1056" s="11">
        <v>0</v>
      </c>
      <c r="R1056" s="11">
        <v>0</v>
      </c>
      <c r="S1056" s="11">
        <v>0</v>
      </c>
      <c r="T1056" s="11">
        <v>0</v>
      </c>
      <c r="U1056">
        <v>0</v>
      </c>
      <c r="V1056">
        <v>0</v>
      </c>
      <c r="W1056">
        <v>2.6668088964744798E-3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0</v>
      </c>
      <c r="AM1056">
        <v>0</v>
      </c>
    </row>
    <row r="1057" spans="1:39" customFormat="1" hidden="1" x14ac:dyDescent="0.3">
      <c r="A1057" t="s">
        <v>673</v>
      </c>
      <c r="B1057" t="s">
        <v>30</v>
      </c>
      <c r="C1057" t="s">
        <v>41</v>
      </c>
      <c r="D1057" t="s">
        <v>41</v>
      </c>
      <c r="E1057" t="s">
        <v>41</v>
      </c>
      <c r="F1057" t="s">
        <v>41</v>
      </c>
      <c r="G1057" t="s">
        <v>41</v>
      </c>
      <c r="H1057" s="16">
        <v>0</v>
      </c>
      <c r="I1057" s="11">
        <v>0</v>
      </c>
      <c r="J1057" s="11">
        <v>0</v>
      </c>
      <c r="K1057" s="11">
        <v>0</v>
      </c>
      <c r="L1057" s="11">
        <v>0</v>
      </c>
      <c r="M1057" s="11">
        <v>0</v>
      </c>
      <c r="N1057" s="11">
        <v>0</v>
      </c>
      <c r="O1057" s="11">
        <v>0</v>
      </c>
      <c r="P1057" s="11">
        <v>0</v>
      </c>
      <c r="Q1057" s="11">
        <v>0</v>
      </c>
      <c r="R1057" s="11">
        <v>0</v>
      </c>
      <c r="S1057" s="11">
        <v>0</v>
      </c>
      <c r="T1057" s="11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1.20540019286403E-2</v>
      </c>
      <c r="AL1057">
        <v>0</v>
      </c>
      <c r="AM1057">
        <v>0</v>
      </c>
    </row>
    <row r="1058" spans="1:39" customFormat="1" hidden="1" x14ac:dyDescent="0.3">
      <c r="A1058" t="s">
        <v>672</v>
      </c>
      <c r="B1058" t="s">
        <v>30</v>
      </c>
      <c r="C1058" t="s">
        <v>111</v>
      </c>
      <c r="D1058" t="s">
        <v>141</v>
      </c>
      <c r="E1058" t="s">
        <v>140</v>
      </c>
      <c r="F1058" t="s">
        <v>592</v>
      </c>
      <c r="G1058" t="s">
        <v>671</v>
      </c>
      <c r="H1058" s="16">
        <v>0</v>
      </c>
      <c r="I1058" s="11">
        <v>0</v>
      </c>
      <c r="J1058" s="11">
        <v>0</v>
      </c>
      <c r="K1058" s="11">
        <v>0</v>
      </c>
      <c r="L1058" s="11">
        <v>0</v>
      </c>
      <c r="M1058" s="11">
        <v>0</v>
      </c>
      <c r="N1058" s="11">
        <v>0</v>
      </c>
      <c r="O1058" s="11">
        <v>0</v>
      </c>
      <c r="P1058" s="11">
        <v>0</v>
      </c>
      <c r="Q1058" s="11">
        <v>0</v>
      </c>
      <c r="R1058" s="11">
        <v>0</v>
      </c>
      <c r="S1058" s="11">
        <v>0</v>
      </c>
      <c r="T1058" s="11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0</v>
      </c>
      <c r="AM1058">
        <v>0</v>
      </c>
    </row>
    <row r="1059" spans="1:39" x14ac:dyDescent="0.3">
      <c r="A1059" s="6" t="s">
        <v>670</v>
      </c>
      <c r="B1059" s="6" t="s">
        <v>30</v>
      </c>
      <c r="C1059" s="6" t="s">
        <v>29</v>
      </c>
      <c r="D1059" s="6" t="s">
        <v>28</v>
      </c>
      <c r="E1059" s="6" t="s">
        <v>388</v>
      </c>
      <c r="F1059" s="6" t="s">
        <v>624</v>
      </c>
      <c r="G1059" s="6" t="s">
        <v>634</v>
      </c>
      <c r="H1059" s="49">
        <v>0</v>
      </c>
      <c r="I1059" s="6">
        <v>0</v>
      </c>
      <c r="J1059" s="6">
        <v>0</v>
      </c>
      <c r="K1059" s="6">
        <v>0</v>
      </c>
      <c r="L1059" s="6">
        <v>0</v>
      </c>
      <c r="M1059" s="6">
        <v>0</v>
      </c>
      <c r="N1059" s="6">
        <v>0</v>
      </c>
      <c r="O1059" s="6">
        <v>0</v>
      </c>
      <c r="P1059" s="6">
        <v>0</v>
      </c>
      <c r="Q1059" s="6">
        <v>0</v>
      </c>
      <c r="R1059" s="6">
        <v>0</v>
      </c>
      <c r="S1059" s="6">
        <v>0</v>
      </c>
      <c r="T1059" s="6">
        <v>3.3464962184592698E-3</v>
      </c>
      <c r="U1059" s="6">
        <v>0</v>
      </c>
      <c r="V1059" s="6">
        <v>0</v>
      </c>
      <c r="W1059" s="6">
        <v>0</v>
      </c>
      <c r="X1059" s="6">
        <v>0</v>
      </c>
      <c r="Y1059" s="6">
        <v>2.9264581077521898E-3</v>
      </c>
      <c r="Z1059" s="6">
        <v>0</v>
      </c>
      <c r="AA1059" s="6">
        <v>0</v>
      </c>
      <c r="AB1059" s="6">
        <v>0</v>
      </c>
      <c r="AC1059" s="6">
        <v>0</v>
      </c>
      <c r="AD1059" s="6">
        <v>0</v>
      </c>
      <c r="AE1059" s="6">
        <v>3.4299434059338E-3</v>
      </c>
      <c r="AF1059" s="6">
        <v>0</v>
      </c>
      <c r="AG1059" s="6">
        <v>0</v>
      </c>
      <c r="AH1059" s="6">
        <v>0</v>
      </c>
      <c r="AI1059" s="6">
        <v>0</v>
      </c>
      <c r="AJ1059" s="6">
        <v>0</v>
      </c>
      <c r="AK1059" s="6">
        <v>0</v>
      </c>
      <c r="AL1059" s="6">
        <v>0</v>
      </c>
      <c r="AM1059" s="6">
        <v>0</v>
      </c>
    </row>
    <row r="1060" spans="1:39" customFormat="1" hidden="1" x14ac:dyDescent="0.3">
      <c r="A1060" t="s">
        <v>669</v>
      </c>
      <c r="B1060" t="s">
        <v>30</v>
      </c>
      <c r="C1060" t="s">
        <v>29</v>
      </c>
      <c r="D1060" t="s">
        <v>28</v>
      </c>
      <c r="E1060" t="s">
        <v>388</v>
      </c>
      <c r="F1060" t="s">
        <v>624</v>
      </c>
      <c r="G1060" t="s">
        <v>623</v>
      </c>
      <c r="H1060" s="16">
        <v>0</v>
      </c>
      <c r="I1060" s="11">
        <v>0</v>
      </c>
      <c r="J1060" s="11">
        <v>0</v>
      </c>
      <c r="K1060" s="11">
        <v>0</v>
      </c>
      <c r="L1060" s="11">
        <v>0</v>
      </c>
      <c r="M1060" s="11">
        <v>0</v>
      </c>
      <c r="N1060" s="11">
        <v>0</v>
      </c>
      <c r="O1060" s="11">
        <v>0</v>
      </c>
      <c r="P1060" s="11">
        <v>0</v>
      </c>
      <c r="Q1060" s="11">
        <v>0</v>
      </c>
      <c r="R1060" s="11">
        <v>0</v>
      </c>
      <c r="S1060" s="11">
        <v>0</v>
      </c>
      <c r="T1060" s="11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4.5968557506665397E-3</v>
      </c>
      <c r="AJ1060">
        <v>0</v>
      </c>
      <c r="AK1060">
        <v>0</v>
      </c>
      <c r="AL1060">
        <v>0</v>
      </c>
      <c r="AM1060">
        <v>0</v>
      </c>
    </row>
    <row r="1061" spans="1:39" customFormat="1" hidden="1" x14ac:dyDescent="0.3">
      <c r="A1061" t="s">
        <v>668</v>
      </c>
      <c r="B1061" t="s">
        <v>30</v>
      </c>
      <c r="C1061" t="s">
        <v>111</v>
      </c>
      <c r="D1061" t="s">
        <v>141</v>
      </c>
      <c r="E1061" t="s">
        <v>140</v>
      </c>
      <c r="F1061" t="s">
        <v>604</v>
      </c>
      <c r="G1061" t="s">
        <v>604</v>
      </c>
      <c r="H1061" s="16">
        <v>0</v>
      </c>
      <c r="I1061" s="11">
        <v>0</v>
      </c>
      <c r="J1061" s="11">
        <v>0</v>
      </c>
      <c r="K1061" s="11">
        <v>0</v>
      </c>
      <c r="L1061" s="11">
        <v>0</v>
      </c>
      <c r="M1061" s="11">
        <v>0</v>
      </c>
      <c r="N1061" s="11">
        <v>0</v>
      </c>
      <c r="O1061" s="11">
        <v>0</v>
      </c>
      <c r="P1061" s="11">
        <v>0</v>
      </c>
      <c r="Q1061" s="11">
        <v>0</v>
      </c>
      <c r="R1061" s="11">
        <v>0</v>
      </c>
      <c r="S1061" s="11">
        <v>0</v>
      </c>
      <c r="T1061" s="11">
        <v>0</v>
      </c>
      <c r="U1061">
        <v>3.04201016031394E-3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0</v>
      </c>
      <c r="AM1061">
        <v>0</v>
      </c>
    </row>
    <row r="1062" spans="1:39" customFormat="1" hidden="1" x14ac:dyDescent="0.3">
      <c r="A1062" t="s">
        <v>667</v>
      </c>
      <c r="B1062" t="s">
        <v>30</v>
      </c>
      <c r="C1062" t="s">
        <v>81</v>
      </c>
      <c r="D1062" t="s">
        <v>80</v>
      </c>
      <c r="E1062" t="s">
        <v>618</v>
      </c>
      <c r="F1062" t="s">
        <v>626</v>
      </c>
      <c r="G1062" t="s">
        <v>626</v>
      </c>
      <c r="H1062" s="16">
        <v>0</v>
      </c>
      <c r="I1062" s="11">
        <v>3.6565745209887401E-3</v>
      </c>
      <c r="J1062" s="11">
        <v>0</v>
      </c>
      <c r="K1062" s="11">
        <v>0</v>
      </c>
      <c r="L1062" s="11">
        <v>0</v>
      </c>
      <c r="M1062" s="11">
        <v>0</v>
      </c>
      <c r="N1062" s="11">
        <v>0</v>
      </c>
      <c r="O1062" s="11">
        <v>0</v>
      </c>
      <c r="P1062" s="11">
        <v>0</v>
      </c>
      <c r="Q1062" s="11">
        <v>2.7492920572952501E-3</v>
      </c>
      <c r="R1062" s="11">
        <v>0</v>
      </c>
      <c r="S1062" s="11">
        <v>0</v>
      </c>
      <c r="T1062" s="11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7.1911405148856597E-3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</v>
      </c>
      <c r="AM1062">
        <v>0</v>
      </c>
    </row>
    <row r="1063" spans="1:39" customFormat="1" hidden="1" x14ac:dyDescent="0.3">
      <c r="A1063" t="s">
        <v>666</v>
      </c>
      <c r="B1063" t="s">
        <v>30</v>
      </c>
      <c r="C1063" t="s">
        <v>81</v>
      </c>
      <c r="D1063" t="s">
        <v>80</v>
      </c>
      <c r="E1063" t="s">
        <v>618</v>
      </c>
      <c r="F1063" t="s">
        <v>617</v>
      </c>
      <c r="G1063" t="s">
        <v>616</v>
      </c>
      <c r="H1063" s="16">
        <v>0</v>
      </c>
      <c r="I1063" s="11">
        <v>0</v>
      </c>
      <c r="J1063" s="11">
        <v>0</v>
      </c>
      <c r="K1063" s="11">
        <v>0</v>
      </c>
      <c r="L1063" s="11">
        <v>0</v>
      </c>
      <c r="M1063" s="11">
        <v>0</v>
      </c>
      <c r="N1063" s="11">
        <v>0</v>
      </c>
      <c r="O1063" s="11">
        <v>0</v>
      </c>
      <c r="P1063" s="11">
        <v>0</v>
      </c>
      <c r="Q1063" s="11">
        <v>0</v>
      </c>
      <c r="R1063" s="11">
        <v>0</v>
      </c>
      <c r="S1063" s="11">
        <v>0</v>
      </c>
      <c r="T1063" s="11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3.14564328405159E-3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0</v>
      </c>
      <c r="AM1063">
        <v>0</v>
      </c>
    </row>
    <row r="1064" spans="1:39" customFormat="1" hidden="1" x14ac:dyDescent="0.3">
      <c r="A1064" t="s">
        <v>665</v>
      </c>
      <c r="B1064" t="s">
        <v>30</v>
      </c>
      <c r="C1064" t="s">
        <v>81</v>
      </c>
      <c r="D1064" t="s">
        <v>80</v>
      </c>
      <c r="E1064" t="s">
        <v>618</v>
      </c>
      <c r="F1064" t="s">
        <v>617</v>
      </c>
      <c r="G1064" t="s">
        <v>616</v>
      </c>
      <c r="H1064" s="16">
        <v>0</v>
      </c>
      <c r="I1064" s="11">
        <v>0</v>
      </c>
      <c r="J1064" s="11">
        <v>0</v>
      </c>
      <c r="K1064" s="11">
        <v>0</v>
      </c>
      <c r="L1064" s="11">
        <v>0</v>
      </c>
      <c r="M1064" s="11">
        <v>0</v>
      </c>
      <c r="N1064" s="11">
        <v>0</v>
      </c>
      <c r="O1064" s="11">
        <v>0</v>
      </c>
      <c r="P1064" s="11">
        <v>0</v>
      </c>
      <c r="Q1064" s="11">
        <v>0</v>
      </c>
      <c r="R1064" s="11">
        <v>0</v>
      </c>
      <c r="S1064" s="11">
        <v>0</v>
      </c>
      <c r="T1064" s="11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6.2912865681031801E-3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0</v>
      </c>
      <c r="AM1064">
        <v>0</v>
      </c>
    </row>
    <row r="1065" spans="1:39" customFormat="1" hidden="1" x14ac:dyDescent="0.3">
      <c r="A1065" t="s">
        <v>664</v>
      </c>
      <c r="B1065" t="s">
        <v>30</v>
      </c>
      <c r="C1065" t="s">
        <v>81</v>
      </c>
      <c r="D1065" t="s">
        <v>80</v>
      </c>
      <c r="E1065" t="s">
        <v>618</v>
      </c>
      <c r="F1065" t="s">
        <v>617</v>
      </c>
      <c r="G1065" t="s">
        <v>616</v>
      </c>
      <c r="H1065" s="16">
        <v>0</v>
      </c>
      <c r="I1065" s="11">
        <v>0</v>
      </c>
      <c r="J1065" s="11">
        <v>0</v>
      </c>
      <c r="K1065" s="11">
        <v>0</v>
      </c>
      <c r="L1065" s="11">
        <v>0</v>
      </c>
      <c r="M1065" s="11">
        <v>0</v>
      </c>
      <c r="N1065" s="11">
        <v>0</v>
      </c>
      <c r="O1065" s="11">
        <v>0</v>
      </c>
      <c r="P1065" s="11">
        <v>0</v>
      </c>
      <c r="Q1065" s="11">
        <v>0</v>
      </c>
      <c r="R1065" s="11">
        <v>0</v>
      </c>
      <c r="S1065" s="11">
        <v>0</v>
      </c>
      <c r="T1065" s="11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4.5118209709438702E-3</v>
      </c>
      <c r="AC1065">
        <v>0</v>
      </c>
      <c r="AD1065">
        <v>0</v>
      </c>
      <c r="AE1065">
        <v>0</v>
      </c>
      <c r="AF1065">
        <v>0</v>
      </c>
      <c r="AG1065">
        <v>2.3469220117815501E-3</v>
      </c>
      <c r="AH1065">
        <v>0</v>
      </c>
      <c r="AI1065">
        <v>0</v>
      </c>
      <c r="AJ1065">
        <v>0</v>
      </c>
      <c r="AK1065">
        <v>0</v>
      </c>
      <c r="AL1065">
        <v>0</v>
      </c>
      <c r="AM1065">
        <v>0</v>
      </c>
    </row>
    <row r="1066" spans="1:39" customFormat="1" hidden="1" x14ac:dyDescent="0.3">
      <c r="A1066" t="s">
        <v>663</v>
      </c>
      <c r="B1066" t="s">
        <v>30</v>
      </c>
      <c r="C1066" t="s">
        <v>81</v>
      </c>
      <c r="D1066" t="s">
        <v>80</v>
      </c>
      <c r="E1066" t="s">
        <v>618</v>
      </c>
      <c r="F1066" t="s">
        <v>617</v>
      </c>
      <c r="G1066" t="s">
        <v>620</v>
      </c>
      <c r="H1066" s="16">
        <v>0</v>
      </c>
      <c r="I1066" s="11">
        <v>0</v>
      </c>
      <c r="J1066" s="11">
        <v>0</v>
      </c>
      <c r="K1066" s="11">
        <v>0</v>
      </c>
      <c r="L1066" s="11">
        <v>0</v>
      </c>
      <c r="M1066" s="11">
        <v>0</v>
      </c>
      <c r="N1066" s="11">
        <v>0</v>
      </c>
      <c r="O1066" s="11">
        <v>0</v>
      </c>
      <c r="P1066" s="11">
        <v>3.3947788301592198E-3</v>
      </c>
      <c r="Q1066" s="11">
        <v>0</v>
      </c>
      <c r="R1066" s="11">
        <v>0</v>
      </c>
      <c r="S1066" s="11">
        <v>2.4883049666567102E-3</v>
      </c>
      <c r="T1066" s="11">
        <v>0</v>
      </c>
      <c r="U1066">
        <v>0</v>
      </c>
      <c r="V1066">
        <v>3.6144142841652502E-3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 s="3">
        <v>7.1911405148856597E-3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  <c r="AJ1066">
        <v>0</v>
      </c>
      <c r="AK1066">
        <v>0</v>
      </c>
      <c r="AL1066">
        <v>0</v>
      </c>
      <c r="AM1066">
        <v>0</v>
      </c>
    </row>
    <row r="1067" spans="1:39" customFormat="1" hidden="1" x14ac:dyDescent="0.3">
      <c r="A1067" t="s">
        <v>662</v>
      </c>
      <c r="B1067" t="s">
        <v>30</v>
      </c>
      <c r="C1067" t="s">
        <v>81</v>
      </c>
      <c r="D1067" t="s">
        <v>80</v>
      </c>
      <c r="E1067" t="s">
        <v>618</v>
      </c>
      <c r="F1067" t="s">
        <v>629</v>
      </c>
      <c r="G1067" t="s">
        <v>628</v>
      </c>
      <c r="H1067" s="16">
        <v>0</v>
      </c>
      <c r="I1067" s="11">
        <v>0</v>
      </c>
      <c r="J1067" s="11">
        <v>0</v>
      </c>
      <c r="K1067" s="11">
        <v>0</v>
      </c>
      <c r="L1067" s="11">
        <v>0</v>
      </c>
      <c r="M1067" s="11">
        <v>0</v>
      </c>
      <c r="N1067" s="11">
        <v>0</v>
      </c>
      <c r="O1067" s="11">
        <v>0</v>
      </c>
      <c r="P1067" s="11">
        <v>0</v>
      </c>
      <c r="Q1067" s="11">
        <v>0</v>
      </c>
      <c r="R1067" s="11">
        <v>0</v>
      </c>
      <c r="S1067" s="11">
        <v>0</v>
      </c>
      <c r="T1067" s="11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0</v>
      </c>
      <c r="AJ1067">
        <v>0</v>
      </c>
      <c r="AK1067">
        <v>0</v>
      </c>
      <c r="AL1067">
        <v>0</v>
      </c>
      <c r="AM1067">
        <v>0</v>
      </c>
    </row>
    <row r="1068" spans="1:39" customFormat="1" hidden="1" x14ac:dyDescent="0.3">
      <c r="A1068" t="s">
        <v>661</v>
      </c>
      <c r="B1068" t="s">
        <v>30</v>
      </c>
      <c r="C1068" t="s">
        <v>81</v>
      </c>
      <c r="D1068" t="s">
        <v>80</v>
      </c>
      <c r="E1068" t="s">
        <v>618</v>
      </c>
      <c r="F1068" t="s">
        <v>617</v>
      </c>
      <c r="G1068" t="s">
        <v>616</v>
      </c>
      <c r="H1068" s="16">
        <v>0</v>
      </c>
      <c r="I1068" s="11">
        <v>0</v>
      </c>
      <c r="J1068" s="11">
        <v>0</v>
      </c>
      <c r="K1068" s="11">
        <v>0</v>
      </c>
      <c r="L1068" s="11">
        <v>0</v>
      </c>
      <c r="M1068" s="11">
        <v>0</v>
      </c>
      <c r="N1068" s="11">
        <v>0</v>
      </c>
      <c r="O1068" s="11">
        <v>0</v>
      </c>
      <c r="P1068" s="11">
        <v>0</v>
      </c>
      <c r="Q1068" s="11">
        <v>0</v>
      </c>
      <c r="R1068" s="11">
        <v>0</v>
      </c>
      <c r="S1068" s="11">
        <v>0</v>
      </c>
      <c r="T1068" s="11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6.8598868118676E-3</v>
      </c>
      <c r="AF1068">
        <v>0</v>
      </c>
      <c r="AG1068">
        <v>0</v>
      </c>
      <c r="AH1068">
        <v>0</v>
      </c>
      <c r="AI1068">
        <v>0</v>
      </c>
      <c r="AJ1068">
        <v>0</v>
      </c>
      <c r="AK1068">
        <v>0</v>
      </c>
      <c r="AL1068">
        <v>0</v>
      </c>
      <c r="AM1068">
        <v>0</v>
      </c>
    </row>
    <row r="1069" spans="1:39" customFormat="1" hidden="1" x14ac:dyDescent="0.3">
      <c r="A1069" t="s">
        <v>660</v>
      </c>
      <c r="B1069" t="s">
        <v>30</v>
      </c>
      <c r="C1069" t="s">
        <v>81</v>
      </c>
      <c r="D1069" t="s">
        <v>80</v>
      </c>
      <c r="E1069" t="s">
        <v>618</v>
      </c>
      <c r="F1069" t="s">
        <v>617</v>
      </c>
      <c r="G1069" t="s">
        <v>616</v>
      </c>
      <c r="H1069" s="16">
        <v>0</v>
      </c>
      <c r="I1069" s="11">
        <v>0</v>
      </c>
      <c r="J1069" s="11">
        <v>0</v>
      </c>
      <c r="K1069" s="11">
        <v>0</v>
      </c>
      <c r="L1069" s="11">
        <v>0</v>
      </c>
      <c r="M1069" s="11">
        <v>0</v>
      </c>
      <c r="N1069" s="11">
        <v>0</v>
      </c>
      <c r="O1069" s="11">
        <v>0</v>
      </c>
      <c r="P1069" s="11">
        <v>0</v>
      </c>
      <c r="Q1069" s="11">
        <v>0</v>
      </c>
      <c r="R1069" s="11">
        <v>0</v>
      </c>
      <c r="S1069" s="11">
        <v>0</v>
      </c>
      <c r="T1069" s="11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4.5118209709438702E-3</v>
      </c>
      <c r="AC1069">
        <v>0</v>
      </c>
      <c r="AD1069">
        <v>0</v>
      </c>
      <c r="AE1069">
        <v>0</v>
      </c>
      <c r="AF1069">
        <v>0</v>
      </c>
      <c r="AG1069">
        <v>2.3469220117815501E-3</v>
      </c>
      <c r="AH1069">
        <v>0</v>
      </c>
      <c r="AI1069">
        <v>0</v>
      </c>
      <c r="AJ1069">
        <v>0</v>
      </c>
      <c r="AK1069">
        <v>0</v>
      </c>
      <c r="AL1069">
        <v>0</v>
      </c>
      <c r="AM1069">
        <v>0</v>
      </c>
    </row>
    <row r="1070" spans="1:39" customFormat="1" hidden="1" x14ac:dyDescent="0.3">
      <c r="A1070" t="s">
        <v>659</v>
      </c>
      <c r="B1070" t="s">
        <v>30</v>
      </c>
      <c r="C1070" t="s">
        <v>81</v>
      </c>
      <c r="D1070" t="s">
        <v>80</v>
      </c>
      <c r="E1070" t="s">
        <v>618</v>
      </c>
      <c r="F1070" t="s">
        <v>626</v>
      </c>
      <c r="G1070" t="s">
        <v>626</v>
      </c>
      <c r="H1070" s="16">
        <v>0</v>
      </c>
      <c r="I1070" s="11">
        <v>0</v>
      </c>
      <c r="J1070" s="11">
        <v>0</v>
      </c>
      <c r="K1070" s="11">
        <v>0</v>
      </c>
      <c r="L1070" s="11">
        <v>0</v>
      </c>
      <c r="M1070" s="11">
        <v>0</v>
      </c>
      <c r="N1070" s="11">
        <v>0</v>
      </c>
      <c r="O1070" s="11">
        <v>0</v>
      </c>
      <c r="P1070" s="11">
        <v>0</v>
      </c>
      <c r="Q1070" s="11">
        <v>0</v>
      </c>
      <c r="R1070" s="11">
        <v>0</v>
      </c>
      <c r="S1070" s="11">
        <v>0</v>
      </c>
      <c r="T1070" s="11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4.5118209709438702E-3</v>
      </c>
      <c r="AC1070">
        <v>0</v>
      </c>
      <c r="AD1070">
        <v>3.14564328405159E-3</v>
      </c>
      <c r="AE1070">
        <v>0</v>
      </c>
      <c r="AF1070">
        <v>0</v>
      </c>
      <c r="AG1070">
        <v>0</v>
      </c>
      <c r="AH1070">
        <v>0</v>
      </c>
      <c r="AI1070">
        <v>0</v>
      </c>
      <c r="AJ1070">
        <v>0</v>
      </c>
      <c r="AK1070">
        <v>0</v>
      </c>
      <c r="AL1070">
        <v>0</v>
      </c>
      <c r="AM1070">
        <v>0</v>
      </c>
    </row>
    <row r="1071" spans="1:39" customFormat="1" hidden="1" x14ac:dyDescent="0.3">
      <c r="A1071" t="s">
        <v>658</v>
      </c>
      <c r="B1071" t="s">
        <v>30</v>
      </c>
      <c r="C1071" t="s">
        <v>81</v>
      </c>
      <c r="D1071" t="s">
        <v>80</v>
      </c>
      <c r="E1071" t="s">
        <v>618</v>
      </c>
      <c r="F1071" t="s">
        <v>629</v>
      </c>
      <c r="G1071" t="s">
        <v>657</v>
      </c>
      <c r="H1071" s="16">
        <v>0</v>
      </c>
      <c r="I1071" s="11">
        <v>0</v>
      </c>
      <c r="J1071" s="11">
        <v>0</v>
      </c>
      <c r="K1071" s="11">
        <v>0</v>
      </c>
      <c r="L1071" s="11">
        <v>6.6037112857425901E-3</v>
      </c>
      <c r="M1071" s="11">
        <v>0</v>
      </c>
      <c r="N1071" s="11">
        <v>0</v>
      </c>
      <c r="O1071" s="11">
        <v>3.75023438964935E-3</v>
      </c>
      <c r="P1071" s="11">
        <v>0</v>
      </c>
      <c r="Q1071" s="11">
        <v>0</v>
      </c>
      <c r="R1071" s="11">
        <v>0</v>
      </c>
      <c r="S1071" s="11">
        <v>0</v>
      </c>
      <c r="T1071" s="1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2.3469220117815501E-3</v>
      </c>
      <c r="AH1071">
        <v>0</v>
      </c>
      <c r="AI1071">
        <v>0</v>
      </c>
      <c r="AJ1071">
        <v>0</v>
      </c>
      <c r="AK1071">
        <v>0</v>
      </c>
      <c r="AL1071">
        <v>0</v>
      </c>
      <c r="AM1071">
        <v>0</v>
      </c>
    </row>
    <row r="1072" spans="1:39" customFormat="1" hidden="1" x14ac:dyDescent="0.3">
      <c r="A1072" t="s">
        <v>656</v>
      </c>
      <c r="B1072" t="s">
        <v>30</v>
      </c>
      <c r="C1072" t="s">
        <v>81</v>
      </c>
      <c r="D1072" t="s">
        <v>80</v>
      </c>
      <c r="E1072" t="s">
        <v>618</v>
      </c>
      <c r="F1072" t="s">
        <v>626</v>
      </c>
      <c r="G1072" t="s">
        <v>626</v>
      </c>
      <c r="H1072" s="16">
        <v>0</v>
      </c>
      <c r="I1072" s="11">
        <v>0</v>
      </c>
      <c r="J1072" s="11">
        <v>0</v>
      </c>
      <c r="K1072" s="11">
        <v>0</v>
      </c>
      <c r="L1072" s="11">
        <v>0</v>
      </c>
      <c r="M1072" s="11">
        <v>0</v>
      </c>
      <c r="N1072" s="11">
        <v>0</v>
      </c>
      <c r="O1072" s="11">
        <v>3.75023438964935E-3</v>
      </c>
      <c r="P1072" s="11">
        <v>0</v>
      </c>
      <c r="Q1072" s="11">
        <v>0</v>
      </c>
      <c r="R1072" s="11">
        <v>0</v>
      </c>
      <c r="S1072" s="11">
        <v>0</v>
      </c>
      <c r="T1072" s="11">
        <v>0</v>
      </c>
      <c r="U1072">
        <v>0</v>
      </c>
      <c r="V1072">
        <v>0</v>
      </c>
      <c r="W1072">
        <v>0</v>
      </c>
      <c r="X1072">
        <v>1.2848515996402399E-2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  <c r="AJ1072">
        <v>0</v>
      </c>
      <c r="AK1072">
        <v>0</v>
      </c>
      <c r="AL1072">
        <v>0</v>
      </c>
      <c r="AM1072">
        <v>0</v>
      </c>
    </row>
    <row r="1073" spans="1:39" customFormat="1" hidden="1" x14ac:dyDescent="0.3">
      <c r="A1073" t="s">
        <v>655</v>
      </c>
      <c r="B1073" t="s">
        <v>30</v>
      </c>
      <c r="C1073" t="s">
        <v>81</v>
      </c>
      <c r="D1073" t="s">
        <v>80</v>
      </c>
      <c r="E1073" t="s">
        <v>618</v>
      </c>
      <c r="F1073" t="s">
        <v>629</v>
      </c>
      <c r="G1073" t="s">
        <v>628</v>
      </c>
      <c r="H1073" s="16">
        <v>0</v>
      </c>
      <c r="I1073" s="11">
        <v>0</v>
      </c>
      <c r="J1073" s="11">
        <v>0</v>
      </c>
      <c r="K1073" s="11">
        <v>0</v>
      </c>
      <c r="L1073" s="11">
        <v>0</v>
      </c>
      <c r="M1073" s="11">
        <v>0</v>
      </c>
      <c r="N1073" s="11">
        <v>0</v>
      </c>
      <c r="O1073" s="11">
        <v>0</v>
      </c>
      <c r="P1073" s="11">
        <v>0</v>
      </c>
      <c r="Q1073" s="11">
        <v>0</v>
      </c>
      <c r="R1073" s="11">
        <v>0</v>
      </c>
      <c r="S1073" s="11">
        <v>0</v>
      </c>
      <c r="T1073" s="11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3.1774275546517499E-3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  <c r="AJ1073">
        <v>0</v>
      </c>
      <c r="AK1073">
        <v>0</v>
      </c>
      <c r="AL1073">
        <v>0</v>
      </c>
      <c r="AM1073">
        <v>0</v>
      </c>
    </row>
    <row r="1074" spans="1:39" customFormat="1" hidden="1" x14ac:dyDescent="0.3">
      <c r="A1074" t="s">
        <v>654</v>
      </c>
      <c r="B1074" t="s">
        <v>30</v>
      </c>
      <c r="C1074" t="s">
        <v>81</v>
      </c>
      <c r="D1074" t="s">
        <v>80</v>
      </c>
      <c r="E1074" t="s">
        <v>618</v>
      </c>
      <c r="F1074" t="s">
        <v>617</v>
      </c>
      <c r="G1074" t="s">
        <v>616</v>
      </c>
      <c r="H1074" s="16">
        <v>0</v>
      </c>
      <c r="I1074" s="11">
        <v>0</v>
      </c>
      <c r="J1074" s="11">
        <v>0</v>
      </c>
      <c r="K1074" s="11">
        <v>0</v>
      </c>
      <c r="L1074" s="11">
        <v>0</v>
      </c>
      <c r="M1074" s="11">
        <v>0</v>
      </c>
      <c r="N1074" s="11">
        <v>0</v>
      </c>
      <c r="O1074" s="11">
        <v>0</v>
      </c>
      <c r="P1074" s="11">
        <v>3.3947788301592198E-3</v>
      </c>
      <c r="Q1074" s="11">
        <v>0</v>
      </c>
      <c r="R1074" s="11">
        <v>0</v>
      </c>
      <c r="S1074" s="11">
        <v>0</v>
      </c>
      <c r="T1074" s="11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6.2912865681031801E-3</v>
      </c>
      <c r="AE1074">
        <v>0</v>
      </c>
      <c r="AF1074">
        <v>0</v>
      </c>
      <c r="AG1074">
        <v>0</v>
      </c>
      <c r="AH1074">
        <v>0</v>
      </c>
      <c r="AI1074">
        <v>0</v>
      </c>
      <c r="AJ1074">
        <v>0</v>
      </c>
      <c r="AK1074">
        <v>0</v>
      </c>
      <c r="AL1074">
        <v>0</v>
      </c>
      <c r="AM1074">
        <v>0</v>
      </c>
    </row>
    <row r="1075" spans="1:39" customFormat="1" hidden="1" x14ac:dyDescent="0.3">
      <c r="A1075" t="s">
        <v>653</v>
      </c>
      <c r="B1075" t="s">
        <v>30</v>
      </c>
      <c r="C1075" t="s">
        <v>81</v>
      </c>
      <c r="D1075" t="s">
        <v>80</v>
      </c>
      <c r="E1075" t="s">
        <v>618</v>
      </c>
      <c r="F1075" t="s">
        <v>617</v>
      </c>
      <c r="G1075" t="s">
        <v>616</v>
      </c>
      <c r="H1075" s="16">
        <v>0</v>
      </c>
      <c r="I1075" s="11">
        <v>0</v>
      </c>
      <c r="J1075" s="11">
        <v>0</v>
      </c>
      <c r="K1075" s="11">
        <v>0</v>
      </c>
      <c r="L1075" s="11">
        <v>6.6037112857425901E-3</v>
      </c>
      <c r="M1075" s="11">
        <v>0</v>
      </c>
      <c r="N1075" s="11">
        <v>0</v>
      </c>
      <c r="O1075" s="11">
        <v>3.75023438964935E-3</v>
      </c>
      <c r="P1075" s="11">
        <v>0</v>
      </c>
      <c r="Q1075" s="11">
        <v>0</v>
      </c>
      <c r="R1075" s="11">
        <v>0</v>
      </c>
      <c r="S1075" s="11">
        <v>0</v>
      </c>
      <c r="T1075" s="11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3.14564328405159E-3</v>
      </c>
      <c r="AE1075">
        <v>0</v>
      </c>
      <c r="AF1075">
        <v>0</v>
      </c>
      <c r="AG1075">
        <v>2.3469220117815501E-3</v>
      </c>
      <c r="AH1075">
        <v>0</v>
      </c>
      <c r="AI1075">
        <v>0</v>
      </c>
      <c r="AJ1075">
        <v>0</v>
      </c>
      <c r="AK1075">
        <v>0</v>
      </c>
      <c r="AL1075">
        <v>0</v>
      </c>
      <c r="AM1075">
        <v>0</v>
      </c>
    </row>
    <row r="1076" spans="1:39" customFormat="1" hidden="1" x14ac:dyDescent="0.3">
      <c r="A1076" t="s">
        <v>652</v>
      </c>
      <c r="B1076" t="s">
        <v>30</v>
      </c>
      <c r="C1076" t="s">
        <v>81</v>
      </c>
      <c r="D1076" t="s">
        <v>80</v>
      </c>
      <c r="E1076" t="s">
        <v>618</v>
      </c>
      <c r="F1076" t="s">
        <v>617</v>
      </c>
      <c r="G1076" t="s">
        <v>616</v>
      </c>
      <c r="H1076" s="16">
        <v>0</v>
      </c>
      <c r="I1076" s="11">
        <v>0</v>
      </c>
      <c r="J1076" s="11">
        <v>0</v>
      </c>
      <c r="K1076" s="11">
        <v>0</v>
      </c>
      <c r="L1076" s="11">
        <v>0</v>
      </c>
      <c r="M1076" s="11">
        <v>0</v>
      </c>
      <c r="N1076" s="11">
        <v>0</v>
      </c>
      <c r="O1076" s="11">
        <v>0</v>
      </c>
      <c r="P1076" s="11">
        <v>0</v>
      </c>
      <c r="Q1076" s="11">
        <v>0</v>
      </c>
      <c r="R1076" s="11">
        <v>2.2441148089136199E-3</v>
      </c>
      <c r="S1076" s="11">
        <v>0</v>
      </c>
      <c r="T1076" s="11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4.5118209709438702E-3</v>
      </c>
      <c r="AC1076">
        <v>0</v>
      </c>
      <c r="AD1076">
        <v>0</v>
      </c>
      <c r="AE1076">
        <v>0</v>
      </c>
      <c r="AF1076">
        <v>0</v>
      </c>
      <c r="AG1076">
        <v>0</v>
      </c>
      <c r="AH1076">
        <v>0</v>
      </c>
      <c r="AI1076">
        <v>0</v>
      </c>
      <c r="AJ1076">
        <v>0</v>
      </c>
      <c r="AK1076">
        <v>0</v>
      </c>
      <c r="AL1076">
        <v>0</v>
      </c>
      <c r="AM1076">
        <v>0</v>
      </c>
    </row>
    <row r="1077" spans="1:39" customFormat="1" hidden="1" x14ac:dyDescent="0.3">
      <c r="A1077" t="s">
        <v>651</v>
      </c>
      <c r="B1077" t="s">
        <v>30</v>
      </c>
      <c r="C1077" t="s">
        <v>81</v>
      </c>
      <c r="D1077" t="s">
        <v>80</v>
      </c>
      <c r="E1077" t="s">
        <v>618</v>
      </c>
      <c r="F1077" t="s">
        <v>617</v>
      </c>
      <c r="G1077" t="s">
        <v>620</v>
      </c>
      <c r="H1077" s="16">
        <v>0</v>
      </c>
      <c r="I1077" s="11">
        <v>0</v>
      </c>
      <c r="J1077" s="11">
        <v>0</v>
      </c>
      <c r="K1077" s="11">
        <v>0</v>
      </c>
      <c r="L1077" s="11">
        <v>0</v>
      </c>
      <c r="M1077" s="11">
        <v>0</v>
      </c>
      <c r="N1077" s="11">
        <v>0</v>
      </c>
      <c r="O1077" s="11">
        <v>0</v>
      </c>
      <c r="P1077" s="11">
        <v>0</v>
      </c>
      <c r="Q1077" s="11">
        <v>0</v>
      </c>
      <c r="R1077" s="11">
        <v>0</v>
      </c>
      <c r="S1077" s="11">
        <v>0</v>
      </c>
      <c r="T1077" s="11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9.0236419418877507E-3</v>
      </c>
      <c r="AC1077" s="6">
        <v>0</v>
      </c>
      <c r="AD1077">
        <v>0</v>
      </c>
      <c r="AE1077">
        <v>0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0</v>
      </c>
      <c r="AL1077">
        <v>0</v>
      </c>
      <c r="AM1077">
        <v>0</v>
      </c>
    </row>
    <row r="1078" spans="1:39" customFormat="1" hidden="1" x14ac:dyDescent="0.3">
      <c r="A1078" t="s">
        <v>650</v>
      </c>
      <c r="B1078" t="s">
        <v>30</v>
      </c>
      <c r="C1078" t="s">
        <v>81</v>
      </c>
      <c r="D1078" t="s">
        <v>80</v>
      </c>
      <c r="E1078" t="s">
        <v>618</v>
      </c>
      <c r="F1078" t="s">
        <v>617</v>
      </c>
      <c r="G1078" t="s">
        <v>616</v>
      </c>
      <c r="H1078" s="16">
        <v>0</v>
      </c>
      <c r="I1078" s="11">
        <v>0</v>
      </c>
      <c r="J1078" s="11">
        <v>0</v>
      </c>
      <c r="K1078" s="11">
        <v>0</v>
      </c>
      <c r="L1078" s="11">
        <v>0</v>
      </c>
      <c r="M1078" s="11">
        <v>0</v>
      </c>
      <c r="N1078" s="11">
        <v>0</v>
      </c>
      <c r="O1078" s="11">
        <v>7.5004687792987104E-3</v>
      </c>
      <c r="P1078" s="11">
        <v>0</v>
      </c>
      <c r="Q1078" s="11">
        <v>0</v>
      </c>
      <c r="R1078" s="11">
        <v>0</v>
      </c>
      <c r="S1078" s="11">
        <v>0</v>
      </c>
      <c r="T1078" s="11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9.0236419418877507E-3</v>
      </c>
      <c r="AC1078">
        <v>0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0</v>
      </c>
      <c r="AM1078">
        <v>0</v>
      </c>
    </row>
    <row r="1079" spans="1:39" customFormat="1" hidden="1" x14ac:dyDescent="0.3">
      <c r="A1079" t="s">
        <v>649</v>
      </c>
      <c r="B1079" t="s">
        <v>30</v>
      </c>
      <c r="C1079" t="s">
        <v>81</v>
      </c>
      <c r="D1079" t="s">
        <v>80</v>
      </c>
      <c r="E1079" t="s">
        <v>618</v>
      </c>
      <c r="F1079" t="s">
        <v>629</v>
      </c>
      <c r="G1079" t="s">
        <v>628</v>
      </c>
      <c r="H1079" s="16">
        <v>0</v>
      </c>
      <c r="I1079" s="11">
        <v>3.6565745209887401E-3</v>
      </c>
      <c r="J1079" s="11">
        <v>0</v>
      </c>
      <c r="K1079" s="11">
        <v>0</v>
      </c>
      <c r="L1079" s="11">
        <v>0</v>
      </c>
      <c r="M1079" s="11">
        <v>0</v>
      </c>
      <c r="N1079" s="11">
        <v>0</v>
      </c>
      <c r="O1079" s="11">
        <v>0</v>
      </c>
      <c r="P1079" s="11">
        <v>0</v>
      </c>
      <c r="Q1079" s="11">
        <v>0</v>
      </c>
      <c r="R1079" s="11">
        <v>0</v>
      </c>
      <c r="S1079" s="11">
        <v>0</v>
      </c>
      <c r="T1079" s="11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0</v>
      </c>
      <c r="AM1079">
        <v>0</v>
      </c>
    </row>
    <row r="1080" spans="1:39" customFormat="1" hidden="1" x14ac:dyDescent="0.3">
      <c r="A1080" t="s">
        <v>648</v>
      </c>
      <c r="B1080" t="s">
        <v>30</v>
      </c>
      <c r="C1080" t="s">
        <v>81</v>
      </c>
      <c r="D1080" t="s">
        <v>80</v>
      </c>
      <c r="E1080" t="s">
        <v>618</v>
      </c>
      <c r="F1080" t="s">
        <v>629</v>
      </c>
      <c r="G1080" t="s">
        <v>628</v>
      </c>
      <c r="H1080" s="16">
        <v>0</v>
      </c>
      <c r="I1080" s="11">
        <v>0</v>
      </c>
      <c r="J1080" s="11">
        <v>0</v>
      </c>
      <c r="K1080" s="11">
        <v>0</v>
      </c>
      <c r="L1080" s="11">
        <v>0</v>
      </c>
      <c r="M1080" s="11">
        <v>0</v>
      </c>
      <c r="N1080" s="11">
        <v>0</v>
      </c>
      <c r="O1080" s="11">
        <v>0</v>
      </c>
      <c r="P1080" s="11">
        <v>0</v>
      </c>
      <c r="Q1080" s="11">
        <v>0</v>
      </c>
      <c r="R1080" s="11">
        <v>0</v>
      </c>
      <c r="S1080" s="11">
        <v>0</v>
      </c>
      <c r="T1080" s="11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0</v>
      </c>
      <c r="AM1080">
        <v>0</v>
      </c>
    </row>
    <row r="1081" spans="1:39" customFormat="1" hidden="1" x14ac:dyDescent="0.3">
      <c r="A1081" t="s">
        <v>647</v>
      </c>
      <c r="B1081" t="s">
        <v>30</v>
      </c>
      <c r="C1081" t="s">
        <v>29</v>
      </c>
      <c r="D1081" t="s">
        <v>28</v>
      </c>
      <c r="E1081" t="s">
        <v>388</v>
      </c>
      <c r="F1081" t="s">
        <v>624</v>
      </c>
      <c r="G1081" t="s">
        <v>623</v>
      </c>
      <c r="H1081" s="16">
        <v>0</v>
      </c>
      <c r="I1081" s="11">
        <v>0</v>
      </c>
      <c r="J1081" s="11">
        <v>0</v>
      </c>
      <c r="K1081" s="11">
        <v>0</v>
      </c>
      <c r="L1081" s="11">
        <v>0</v>
      </c>
      <c r="M1081" s="11">
        <v>0</v>
      </c>
      <c r="N1081" s="11">
        <v>0</v>
      </c>
      <c r="O1081" s="11">
        <v>0</v>
      </c>
      <c r="P1081" s="11">
        <v>0</v>
      </c>
      <c r="Q1081" s="11">
        <v>0</v>
      </c>
      <c r="R1081" s="11">
        <v>0</v>
      </c>
      <c r="S1081" s="11">
        <v>0</v>
      </c>
      <c r="T1081" s="11">
        <v>3.3464962184592698E-3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4.5968557506665397E-3</v>
      </c>
      <c r="AJ1081">
        <v>0</v>
      </c>
      <c r="AK1081">
        <v>0</v>
      </c>
      <c r="AL1081">
        <v>0</v>
      </c>
      <c r="AM1081">
        <v>0</v>
      </c>
    </row>
    <row r="1082" spans="1:39" customFormat="1" hidden="1" x14ac:dyDescent="0.3">
      <c r="A1082" t="s">
        <v>646</v>
      </c>
      <c r="B1082" t="s">
        <v>30</v>
      </c>
      <c r="C1082" t="s">
        <v>81</v>
      </c>
      <c r="D1082" t="s">
        <v>80</v>
      </c>
      <c r="E1082" t="s">
        <v>642</v>
      </c>
      <c r="F1082" t="s">
        <v>645</v>
      </c>
      <c r="G1082" t="s">
        <v>644</v>
      </c>
      <c r="H1082" s="16">
        <v>0</v>
      </c>
      <c r="I1082" s="11">
        <v>0</v>
      </c>
      <c r="J1082" s="11">
        <v>0</v>
      </c>
      <c r="K1082" s="11">
        <v>0</v>
      </c>
      <c r="L1082" s="11">
        <v>0</v>
      </c>
      <c r="M1082" s="11">
        <v>0</v>
      </c>
      <c r="N1082" s="11">
        <v>0</v>
      </c>
      <c r="O1082" s="11">
        <v>0</v>
      </c>
      <c r="P1082" s="11">
        <v>0</v>
      </c>
      <c r="Q1082" s="11">
        <v>0</v>
      </c>
      <c r="R1082" s="11">
        <v>0</v>
      </c>
      <c r="S1082" s="11">
        <v>0</v>
      </c>
      <c r="T1082" s="11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0</v>
      </c>
      <c r="AL1082">
        <v>0</v>
      </c>
      <c r="AM1082">
        <v>0</v>
      </c>
    </row>
    <row r="1083" spans="1:39" customFormat="1" hidden="1" x14ac:dyDescent="0.3">
      <c r="A1083" t="s">
        <v>643</v>
      </c>
      <c r="B1083" t="s">
        <v>30</v>
      </c>
      <c r="C1083" t="s">
        <v>81</v>
      </c>
      <c r="D1083" t="s">
        <v>80</v>
      </c>
      <c r="E1083" t="s">
        <v>642</v>
      </c>
      <c r="F1083" t="s">
        <v>641</v>
      </c>
      <c r="G1083" t="s">
        <v>640</v>
      </c>
      <c r="H1083" s="16">
        <v>0</v>
      </c>
      <c r="I1083" s="11">
        <v>0</v>
      </c>
      <c r="J1083" s="11">
        <v>0</v>
      </c>
      <c r="K1083" s="11">
        <v>0</v>
      </c>
      <c r="L1083" s="11">
        <v>0</v>
      </c>
      <c r="M1083" s="11">
        <v>0</v>
      </c>
      <c r="N1083" s="11">
        <v>4.5835816106705798E-3</v>
      </c>
      <c r="O1083" s="11">
        <v>0</v>
      </c>
      <c r="P1083" s="11">
        <v>0</v>
      </c>
      <c r="Q1083" s="11">
        <v>0</v>
      </c>
      <c r="R1083" s="11">
        <v>2.2441148089136199E-3</v>
      </c>
      <c r="S1083" s="11">
        <v>0</v>
      </c>
      <c r="T1083" s="11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>
        <v>0</v>
      </c>
      <c r="AM1083">
        <v>0</v>
      </c>
    </row>
    <row r="1084" spans="1:39" customFormat="1" hidden="1" x14ac:dyDescent="0.3">
      <c r="A1084" t="s">
        <v>639</v>
      </c>
      <c r="B1084" t="s">
        <v>30</v>
      </c>
      <c r="C1084" t="s">
        <v>81</v>
      </c>
      <c r="D1084" t="s">
        <v>80</v>
      </c>
      <c r="E1084" t="s">
        <v>618</v>
      </c>
      <c r="F1084" t="s">
        <v>617</v>
      </c>
      <c r="G1084" t="s">
        <v>616</v>
      </c>
      <c r="H1084" s="16">
        <v>0</v>
      </c>
      <c r="I1084" s="11">
        <v>0</v>
      </c>
      <c r="J1084" s="11">
        <v>0</v>
      </c>
      <c r="K1084" s="11">
        <v>0</v>
      </c>
      <c r="L1084" s="11">
        <v>0</v>
      </c>
      <c r="M1084" s="11">
        <v>0</v>
      </c>
      <c r="N1084" s="11">
        <v>0</v>
      </c>
      <c r="O1084" s="11">
        <v>0</v>
      </c>
      <c r="P1084" s="11">
        <v>0</v>
      </c>
      <c r="Q1084" s="11">
        <v>0</v>
      </c>
      <c r="R1084" s="11">
        <v>0</v>
      </c>
      <c r="S1084" s="11">
        <v>2.4883049666567102E-3</v>
      </c>
      <c r="T1084" s="11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7.1911405148856597E-3</v>
      </c>
      <c r="AD1084">
        <v>3.14564328405159E-3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0</v>
      </c>
      <c r="AM1084">
        <v>0</v>
      </c>
    </row>
    <row r="1085" spans="1:39" customFormat="1" hidden="1" x14ac:dyDescent="0.3">
      <c r="A1085" t="s">
        <v>638</v>
      </c>
      <c r="B1085" t="s">
        <v>30</v>
      </c>
      <c r="C1085" t="s">
        <v>81</v>
      </c>
      <c r="D1085" t="s">
        <v>80</v>
      </c>
      <c r="E1085" t="s">
        <v>618</v>
      </c>
      <c r="F1085" t="s">
        <v>629</v>
      </c>
      <c r="G1085" t="s">
        <v>628</v>
      </c>
      <c r="H1085" s="16">
        <v>0</v>
      </c>
      <c r="I1085" s="11">
        <v>0</v>
      </c>
      <c r="J1085" s="11">
        <v>0</v>
      </c>
      <c r="K1085" s="11">
        <v>0</v>
      </c>
      <c r="L1085" s="11">
        <v>0</v>
      </c>
      <c r="M1085" s="11">
        <v>0</v>
      </c>
      <c r="N1085" s="11">
        <v>0</v>
      </c>
      <c r="O1085" s="11">
        <v>0</v>
      </c>
      <c r="P1085" s="11">
        <v>0</v>
      </c>
      <c r="Q1085" s="11">
        <v>0</v>
      </c>
      <c r="R1085" s="11">
        <v>0</v>
      </c>
      <c r="S1085" s="11">
        <v>0</v>
      </c>
      <c r="T1085" s="11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>
        <v>2.3469220117815501E-3</v>
      </c>
      <c r="AH1085">
        <v>0</v>
      </c>
      <c r="AI1085">
        <v>0</v>
      </c>
      <c r="AJ1085">
        <v>0</v>
      </c>
      <c r="AK1085">
        <v>0</v>
      </c>
      <c r="AL1085">
        <v>0</v>
      </c>
      <c r="AM1085">
        <v>0</v>
      </c>
    </row>
    <row r="1086" spans="1:39" customFormat="1" hidden="1" x14ac:dyDescent="0.3">
      <c r="A1086" t="s">
        <v>636</v>
      </c>
      <c r="B1086" t="s">
        <v>30</v>
      </c>
      <c r="C1086" t="s">
        <v>81</v>
      </c>
      <c r="D1086" t="s">
        <v>80</v>
      </c>
      <c r="E1086" t="s">
        <v>618</v>
      </c>
      <c r="F1086" t="s">
        <v>617</v>
      </c>
      <c r="G1086" t="s">
        <v>620</v>
      </c>
      <c r="H1086" s="16">
        <v>0</v>
      </c>
      <c r="I1086" s="11">
        <v>0</v>
      </c>
      <c r="J1086" s="11">
        <v>0</v>
      </c>
      <c r="K1086" s="11">
        <v>0</v>
      </c>
      <c r="L1086" s="11">
        <v>0</v>
      </c>
      <c r="M1086" s="11">
        <v>0</v>
      </c>
      <c r="N1086" s="11">
        <v>0</v>
      </c>
      <c r="O1086" s="11">
        <v>3.75023438964935E-3</v>
      </c>
      <c r="P1086" s="11">
        <v>0</v>
      </c>
      <c r="Q1086" s="11">
        <v>0</v>
      </c>
      <c r="R1086" s="11">
        <v>0</v>
      </c>
      <c r="S1086" s="11">
        <v>0</v>
      </c>
      <c r="T1086" s="11">
        <v>3.3464962184592698E-3</v>
      </c>
      <c r="U1086">
        <v>0</v>
      </c>
      <c r="V1086">
        <v>0</v>
      </c>
      <c r="W1086">
        <v>0</v>
      </c>
      <c r="X1086">
        <v>0</v>
      </c>
      <c r="Y1086">
        <v>2.9264581077521898E-3</v>
      </c>
      <c r="Z1086">
        <v>0</v>
      </c>
      <c r="AA1086">
        <v>0</v>
      </c>
      <c r="AB1086">
        <v>0</v>
      </c>
      <c r="AC1086" s="3">
        <v>7.1911405148856597E-3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  <c r="AL1086">
        <v>0</v>
      </c>
      <c r="AM1086">
        <v>0</v>
      </c>
    </row>
    <row r="1087" spans="1:39" x14ac:dyDescent="0.3">
      <c r="A1087" s="6" t="s">
        <v>635</v>
      </c>
      <c r="B1087" s="6" t="s">
        <v>30</v>
      </c>
      <c r="C1087" s="6" t="s">
        <v>29</v>
      </c>
      <c r="D1087" s="6" t="s">
        <v>28</v>
      </c>
      <c r="E1087" s="6" t="s">
        <v>388</v>
      </c>
      <c r="F1087" s="6" t="s">
        <v>624</v>
      </c>
      <c r="G1087" s="6" t="s">
        <v>634</v>
      </c>
      <c r="H1087" s="49">
        <v>0</v>
      </c>
      <c r="I1087" s="6">
        <v>0</v>
      </c>
      <c r="J1087" s="6">
        <v>0</v>
      </c>
      <c r="K1087" s="6">
        <v>0</v>
      </c>
      <c r="L1087" s="6">
        <v>0</v>
      </c>
      <c r="M1087" s="6">
        <v>0</v>
      </c>
      <c r="N1087" s="6">
        <v>0</v>
      </c>
      <c r="O1087" s="6">
        <v>0</v>
      </c>
      <c r="P1087" s="6">
        <v>0</v>
      </c>
      <c r="Q1087" s="6">
        <v>0</v>
      </c>
      <c r="R1087" s="6">
        <v>4.4882296178272501E-3</v>
      </c>
      <c r="S1087" s="6">
        <v>0</v>
      </c>
      <c r="T1087" s="6">
        <v>0</v>
      </c>
      <c r="U1087" s="6">
        <v>0</v>
      </c>
      <c r="V1087" s="6">
        <v>0</v>
      </c>
      <c r="W1087" s="6">
        <v>2.6668088964744798E-3</v>
      </c>
      <c r="X1087" s="6">
        <v>0</v>
      </c>
      <c r="Y1087" s="6">
        <v>0</v>
      </c>
      <c r="Z1087" s="6">
        <v>0</v>
      </c>
      <c r="AA1087" s="6">
        <v>0</v>
      </c>
      <c r="AB1087" s="6">
        <v>0</v>
      </c>
      <c r="AC1087" s="6">
        <v>0</v>
      </c>
      <c r="AD1087" s="6">
        <v>0</v>
      </c>
      <c r="AE1087" s="6">
        <v>0</v>
      </c>
      <c r="AF1087" s="6">
        <v>0</v>
      </c>
      <c r="AG1087" s="6">
        <v>0</v>
      </c>
      <c r="AH1087" s="6">
        <v>0</v>
      </c>
      <c r="AI1087" s="6">
        <v>2.2984278753332699E-3</v>
      </c>
      <c r="AJ1087" s="6">
        <v>0</v>
      </c>
      <c r="AK1087" s="6">
        <v>0</v>
      </c>
      <c r="AL1087" s="6">
        <v>0</v>
      </c>
      <c r="AM1087" s="6">
        <v>0</v>
      </c>
    </row>
    <row r="1088" spans="1:39" customFormat="1" hidden="1" x14ac:dyDescent="0.3">
      <c r="A1088" t="s">
        <v>633</v>
      </c>
      <c r="B1088" t="s">
        <v>30</v>
      </c>
      <c r="C1088" t="s">
        <v>81</v>
      </c>
      <c r="D1088" t="s">
        <v>80</v>
      </c>
      <c r="E1088" t="s">
        <v>618</v>
      </c>
      <c r="F1088" t="s">
        <v>629</v>
      </c>
      <c r="G1088" t="s">
        <v>628</v>
      </c>
      <c r="H1088" s="16">
        <v>0</v>
      </c>
      <c r="I1088" s="11">
        <v>0</v>
      </c>
      <c r="J1088" s="11">
        <v>0</v>
      </c>
      <c r="K1088" s="11">
        <v>0</v>
      </c>
      <c r="L1088" s="11">
        <v>0</v>
      </c>
      <c r="M1088" s="11">
        <v>0</v>
      </c>
      <c r="N1088" s="11">
        <v>0</v>
      </c>
      <c r="O1088" s="11">
        <v>0</v>
      </c>
      <c r="P1088" s="11">
        <v>0</v>
      </c>
      <c r="Q1088" s="11">
        <v>0</v>
      </c>
      <c r="R1088" s="11">
        <v>0</v>
      </c>
      <c r="S1088" s="11">
        <v>0</v>
      </c>
      <c r="T1088" s="11">
        <v>0</v>
      </c>
      <c r="U1088">
        <v>0</v>
      </c>
      <c r="V1088">
        <v>0</v>
      </c>
      <c r="W1088">
        <v>0</v>
      </c>
      <c r="X1088">
        <v>6.4242579982012101E-3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L1088">
        <v>0</v>
      </c>
      <c r="AM1088">
        <v>0</v>
      </c>
    </row>
    <row r="1089" spans="1:39" customFormat="1" hidden="1" x14ac:dyDescent="0.3">
      <c r="A1089" t="s">
        <v>632</v>
      </c>
      <c r="B1089" t="s">
        <v>30</v>
      </c>
      <c r="C1089" t="s">
        <v>81</v>
      </c>
      <c r="D1089" t="s">
        <v>80</v>
      </c>
      <c r="E1089" t="s">
        <v>618</v>
      </c>
      <c r="F1089" t="s">
        <v>626</v>
      </c>
      <c r="G1089" t="s">
        <v>626</v>
      </c>
      <c r="H1089" s="16">
        <v>0</v>
      </c>
      <c r="I1089" s="11">
        <v>0</v>
      </c>
      <c r="J1089" s="11">
        <v>0</v>
      </c>
      <c r="K1089" s="11">
        <v>0</v>
      </c>
      <c r="L1089" s="11">
        <v>0</v>
      </c>
      <c r="M1089" s="11">
        <v>0</v>
      </c>
      <c r="N1089" s="11">
        <v>0</v>
      </c>
      <c r="O1089" s="11">
        <v>0</v>
      </c>
      <c r="P1089" s="11">
        <v>0</v>
      </c>
      <c r="Q1089" s="11">
        <v>0</v>
      </c>
      <c r="R1089" s="11">
        <v>0</v>
      </c>
      <c r="S1089" s="11">
        <v>0</v>
      </c>
      <c r="T1089" s="11">
        <v>3.3464962184592698E-3</v>
      </c>
      <c r="U1089">
        <v>0</v>
      </c>
      <c r="V1089">
        <v>0</v>
      </c>
      <c r="W1089">
        <v>2.6668088964744798E-3</v>
      </c>
      <c r="X1089">
        <v>0</v>
      </c>
      <c r="Y1089">
        <v>0</v>
      </c>
      <c r="Z1089">
        <v>3.1774275546517499E-3</v>
      </c>
      <c r="AA1089">
        <v>0</v>
      </c>
      <c r="AB1089">
        <v>0</v>
      </c>
      <c r="AC1089">
        <v>0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  <c r="AJ1089">
        <v>0</v>
      </c>
      <c r="AK1089">
        <v>0</v>
      </c>
      <c r="AL1089">
        <v>0</v>
      </c>
      <c r="AM1089">
        <v>0</v>
      </c>
    </row>
    <row r="1090" spans="1:39" customFormat="1" hidden="1" x14ac:dyDescent="0.3">
      <c r="A1090" t="s">
        <v>631</v>
      </c>
      <c r="B1090" t="s">
        <v>30</v>
      </c>
      <c r="C1090" t="s">
        <v>81</v>
      </c>
      <c r="D1090" t="s">
        <v>80</v>
      </c>
      <c r="E1090" t="s">
        <v>618</v>
      </c>
      <c r="F1090" t="s">
        <v>617</v>
      </c>
      <c r="G1090" t="s">
        <v>616</v>
      </c>
      <c r="H1090" s="16">
        <v>0</v>
      </c>
      <c r="I1090" s="11">
        <v>0</v>
      </c>
      <c r="J1090" s="11">
        <v>0</v>
      </c>
      <c r="K1090" s="11">
        <v>0</v>
      </c>
      <c r="L1090" s="11">
        <v>0</v>
      </c>
      <c r="M1090" s="11">
        <v>0</v>
      </c>
      <c r="N1090" s="11">
        <v>0</v>
      </c>
      <c r="O1090" s="11">
        <v>0</v>
      </c>
      <c r="P1090" s="11">
        <v>0</v>
      </c>
      <c r="Q1090" s="11">
        <v>0</v>
      </c>
      <c r="R1090" s="11">
        <v>0</v>
      </c>
      <c r="S1090" s="11">
        <v>0</v>
      </c>
      <c r="T1090" s="11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3.14564328405159E-3</v>
      </c>
      <c r="AE1090">
        <v>3.4299434059338E-3</v>
      </c>
      <c r="AF1090">
        <v>0</v>
      </c>
      <c r="AG1090">
        <v>0</v>
      </c>
      <c r="AH1090">
        <v>0</v>
      </c>
      <c r="AI1090">
        <v>0</v>
      </c>
      <c r="AJ1090">
        <v>0</v>
      </c>
      <c r="AK1090">
        <v>0</v>
      </c>
      <c r="AL1090">
        <v>0</v>
      </c>
      <c r="AM1090">
        <v>0</v>
      </c>
    </row>
    <row r="1091" spans="1:39" customFormat="1" hidden="1" x14ac:dyDescent="0.3">
      <c r="A1091" t="s">
        <v>630</v>
      </c>
      <c r="B1091" t="s">
        <v>30</v>
      </c>
      <c r="C1091" t="s">
        <v>81</v>
      </c>
      <c r="D1091" t="s">
        <v>80</v>
      </c>
      <c r="E1091" t="s">
        <v>618</v>
      </c>
      <c r="F1091" t="s">
        <v>629</v>
      </c>
      <c r="G1091" t="s">
        <v>628</v>
      </c>
      <c r="H1091" s="16">
        <v>0</v>
      </c>
      <c r="I1091" s="11">
        <v>0</v>
      </c>
      <c r="J1091" s="11">
        <v>0</v>
      </c>
      <c r="K1091" s="11">
        <v>0</v>
      </c>
      <c r="L1091" s="11">
        <v>0</v>
      </c>
      <c r="M1091" s="11">
        <v>0</v>
      </c>
      <c r="N1091" s="11">
        <v>0</v>
      </c>
      <c r="O1091" s="11">
        <v>0</v>
      </c>
      <c r="P1091" s="11">
        <v>0</v>
      </c>
      <c r="Q1091" s="11">
        <v>2.7492920572952501E-3</v>
      </c>
      <c r="R1091" s="11">
        <v>0</v>
      </c>
      <c r="S1091" s="11">
        <v>0</v>
      </c>
      <c r="T1091" s="1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v>0</v>
      </c>
      <c r="AH1091">
        <v>0</v>
      </c>
      <c r="AI1091">
        <v>0</v>
      </c>
      <c r="AJ1091">
        <v>0</v>
      </c>
      <c r="AK1091">
        <v>0</v>
      </c>
      <c r="AL1091">
        <v>0</v>
      </c>
      <c r="AM1091">
        <v>0</v>
      </c>
    </row>
    <row r="1092" spans="1:39" customFormat="1" hidden="1" x14ac:dyDescent="0.3">
      <c r="A1092" t="s">
        <v>627</v>
      </c>
      <c r="B1092" t="s">
        <v>30</v>
      </c>
      <c r="C1092" t="s">
        <v>81</v>
      </c>
      <c r="D1092" t="s">
        <v>80</v>
      </c>
      <c r="E1092" t="s">
        <v>618</v>
      </c>
      <c r="F1092" t="s">
        <v>626</v>
      </c>
      <c r="G1092" t="s">
        <v>626</v>
      </c>
      <c r="H1092" s="16">
        <v>0</v>
      </c>
      <c r="I1092" s="11">
        <v>0</v>
      </c>
      <c r="J1092" s="11">
        <v>0</v>
      </c>
      <c r="K1092" s="11">
        <v>0</v>
      </c>
      <c r="L1092" s="11">
        <v>0</v>
      </c>
      <c r="M1092" s="11">
        <v>0</v>
      </c>
      <c r="N1092" s="11">
        <v>0</v>
      </c>
      <c r="O1092" s="11">
        <v>3.75023438964935E-3</v>
      </c>
      <c r="P1092" s="11">
        <v>0</v>
      </c>
      <c r="Q1092" s="11">
        <v>0</v>
      </c>
      <c r="R1092" s="11">
        <v>0</v>
      </c>
      <c r="S1092" s="11">
        <v>0</v>
      </c>
      <c r="T1092" s="11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9.0236419418877507E-3</v>
      </c>
      <c r="AC1092">
        <v>0</v>
      </c>
      <c r="AD1092">
        <v>0</v>
      </c>
      <c r="AE1092">
        <v>0</v>
      </c>
      <c r="AF1092">
        <v>0</v>
      </c>
      <c r="AG1092">
        <v>0</v>
      </c>
      <c r="AH1092">
        <v>0</v>
      </c>
      <c r="AI1092">
        <v>0</v>
      </c>
      <c r="AJ1092">
        <v>0</v>
      </c>
      <c r="AK1092">
        <v>0</v>
      </c>
      <c r="AL1092">
        <v>0</v>
      </c>
      <c r="AM1092">
        <v>0</v>
      </c>
    </row>
    <row r="1093" spans="1:39" customFormat="1" hidden="1" x14ac:dyDescent="0.3">
      <c r="A1093" t="s">
        <v>625</v>
      </c>
      <c r="B1093" t="s">
        <v>30</v>
      </c>
      <c r="C1093" t="s">
        <v>29</v>
      </c>
      <c r="D1093" t="s">
        <v>28</v>
      </c>
      <c r="E1093" t="s">
        <v>388</v>
      </c>
      <c r="F1093" t="s">
        <v>624</v>
      </c>
      <c r="G1093" t="s">
        <v>623</v>
      </c>
      <c r="H1093" s="16">
        <v>0</v>
      </c>
      <c r="I1093" s="11">
        <v>0</v>
      </c>
      <c r="J1093" s="11">
        <v>0</v>
      </c>
      <c r="K1093" s="11">
        <v>0</v>
      </c>
      <c r="L1093" s="11">
        <v>0</v>
      </c>
      <c r="M1093" s="11">
        <v>0</v>
      </c>
      <c r="N1093" s="11">
        <v>0</v>
      </c>
      <c r="O1093" s="11">
        <v>0</v>
      </c>
      <c r="P1093" s="11">
        <v>0</v>
      </c>
      <c r="Q1093" s="11">
        <v>0</v>
      </c>
      <c r="R1093" s="11">
        <v>0</v>
      </c>
      <c r="S1093" s="11">
        <v>0</v>
      </c>
      <c r="T1093" s="11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>
        <v>4.5968557506665397E-3</v>
      </c>
      <c r="AJ1093">
        <v>0</v>
      </c>
      <c r="AK1093">
        <v>0</v>
      </c>
      <c r="AL1093">
        <v>0</v>
      </c>
      <c r="AM1093">
        <v>0</v>
      </c>
    </row>
    <row r="1094" spans="1:39" customFormat="1" hidden="1" x14ac:dyDescent="0.3">
      <c r="A1094" t="s">
        <v>622</v>
      </c>
      <c r="B1094" t="s">
        <v>30</v>
      </c>
      <c r="C1094" t="s">
        <v>81</v>
      </c>
      <c r="D1094" t="s">
        <v>80</v>
      </c>
      <c r="E1094" t="s">
        <v>618</v>
      </c>
      <c r="F1094" t="s">
        <v>617</v>
      </c>
      <c r="G1094" t="s">
        <v>616</v>
      </c>
      <c r="H1094" s="16">
        <v>0</v>
      </c>
      <c r="I1094" s="11">
        <v>0</v>
      </c>
      <c r="J1094" s="11">
        <v>0</v>
      </c>
      <c r="K1094" s="11">
        <v>0</v>
      </c>
      <c r="L1094" s="11">
        <v>0</v>
      </c>
      <c r="M1094" s="11">
        <v>0</v>
      </c>
      <c r="N1094" s="11">
        <v>0</v>
      </c>
      <c r="O1094" s="11">
        <v>0</v>
      </c>
      <c r="P1094" s="11">
        <v>0</v>
      </c>
      <c r="Q1094" s="11">
        <v>0</v>
      </c>
      <c r="R1094" s="11">
        <v>0</v>
      </c>
      <c r="S1094" s="11">
        <v>0</v>
      </c>
      <c r="T1094" s="11">
        <v>0</v>
      </c>
      <c r="U1094">
        <v>0</v>
      </c>
      <c r="V1094">
        <v>0</v>
      </c>
      <c r="W1094">
        <v>0</v>
      </c>
      <c r="X1094">
        <v>0</v>
      </c>
      <c r="Y1094">
        <v>2.9264581077521898E-3</v>
      </c>
      <c r="Z1094">
        <v>0</v>
      </c>
      <c r="AA1094">
        <v>0</v>
      </c>
      <c r="AB1094">
        <v>0</v>
      </c>
      <c r="AC1094">
        <v>0</v>
      </c>
      <c r="AD1094">
        <v>3.14564328405159E-3</v>
      </c>
      <c r="AE1094">
        <v>0</v>
      </c>
      <c r="AF1094">
        <v>0</v>
      </c>
      <c r="AG1094">
        <v>0</v>
      </c>
      <c r="AH1094">
        <v>0</v>
      </c>
      <c r="AI1094">
        <v>0</v>
      </c>
      <c r="AJ1094">
        <v>0</v>
      </c>
      <c r="AK1094">
        <v>0</v>
      </c>
      <c r="AL1094">
        <v>0</v>
      </c>
      <c r="AM1094">
        <v>0</v>
      </c>
    </row>
    <row r="1095" spans="1:39" customFormat="1" hidden="1" x14ac:dyDescent="0.3">
      <c r="A1095" t="s">
        <v>621</v>
      </c>
      <c r="B1095" t="s">
        <v>30</v>
      </c>
      <c r="C1095" t="s">
        <v>81</v>
      </c>
      <c r="D1095" t="s">
        <v>80</v>
      </c>
      <c r="E1095" t="s">
        <v>618</v>
      </c>
      <c r="F1095" t="s">
        <v>617</v>
      </c>
      <c r="G1095" t="s">
        <v>620</v>
      </c>
      <c r="H1095" s="16">
        <v>0</v>
      </c>
      <c r="I1095" s="11">
        <v>0</v>
      </c>
      <c r="J1095" s="11">
        <v>0</v>
      </c>
      <c r="K1095" s="11">
        <v>0</v>
      </c>
      <c r="L1095" s="11">
        <v>0</v>
      </c>
      <c r="M1095" s="11">
        <v>0</v>
      </c>
      <c r="N1095" s="11">
        <v>0</v>
      </c>
      <c r="O1095" s="11">
        <v>0</v>
      </c>
      <c r="P1095" s="11">
        <v>0</v>
      </c>
      <c r="Q1095" s="11">
        <v>0</v>
      </c>
      <c r="R1095" s="11">
        <v>0</v>
      </c>
      <c r="S1095" s="11">
        <v>0</v>
      </c>
      <c r="T1095" s="11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0</v>
      </c>
      <c r="AJ1095">
        <v>0</v>
      </c>
      <c r="AK1095">
        <v>0</v>
      </c>
      <c r="AL1095">
        <v>0</v>
      </c>
      <c r="AM1095">
        <v>0</v>
      </c>
    </row>
    <row r="1096" spans="1:39" customFormat="1" hidden="1" x14ac:dyDescent="0.3">
      <c r="A1096" t="s">
        <v>619</v>
      </c>
      <c r="B1096" t="s">
        <v>30</v>
      </c>
      <c r="C1096" t="s">
        <v>81</v>
      </c>
      <c r="D1096" t="s">
        <v>80</v>
      </c>
      <c r="E1096" t="s">
        <v>618</v>
      </c>
      <c r="F1096" t="s">
        <v>617</v>
      </c>
      <c r="G1096" t="s">
        <v>616</v>
      </c>
      <c r="H1096" s="16">
        <v>0</v>
      </c>
      <c r="I1096" s="11">
        <v>0</v>
      </c>
      <c r="J1096" s="11">
        <v>0</v>
      </c>
      <c r="K1096" s="11">
        <v>0</v>
      </c>
      <c r="L1096" s="11">
        <v>0</v>
      </c>
      <c r="M1096" s="11">
        <v>0</v>
      </c>
      <c r="N1096" s="11">
        <v>0</v>
      </c>
      <c r="O1096" s="11">
        <v>0</v>
      </c>
      <c r="P1096" s="11">
        <v>0</v>
      </c>
      <c r="Q1096" s="11">
        <v>0</v>
      </c>
      <c r="R1096" s="11">
        <v>0</v>
      </c>
      <c r="S1096" s="11">
        <v>0</v>
      </c>
      <c r="T1096" s="11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3.14564328405159E-3</v>
      </c>
      <c r="AE1096">
        <v>0</v>
      </c>
      <c r="AF1096">
        <v>0</v>
      </c>
      <c r="AG1096">
        <v>2.3469220117815501E-3</v>
      </c>
      <c r="AH1096">
        <v>0</v>
      </c>
      <c r="AI1096">
        <v>0</v>
      </c>
      <c r="AJ1096">
        <v>0</v>
      </c>
      <c r="AK1096">
        <v>0</v>
      </c>
      <c r="AL1096">
        <v>0</v>
      </c>
      <c r="AM1096">
        <v>0</v>
      </c>
    </row>
    <row r="1097" spans="1:39" customFormat="1" hidden="1" x14ac:dyDescent="0.3">
      <c r="A1097" t="s">
        <v>615</v>
      </c>
      <c r="B1097" t="s">
        <v>30</v>
      </c>
      <c r="C1097" t="s">
        <v>111</v>
      </c>
      <c r="D1097" t="s">
        <v>141</v>
      </c>
      <c r="E1097" t="s">
        <v>140</v>
      </c>
      <c r="F1097" t="s">
        <v>276</v>
      </c>
      <c r="G1097" t="s">
        <v>275</v>
      </c>
      <c r="H1097" s="16">
        <v>0</v>
      </c>
      <c r="I1097" s="11">
        <v>0</v>
      </c>
      <c r="J1097" s="11">
        <v>0</v>
      </c>
      <c r="K1097" s="11">
        <v>0</v>
      </c>
      <c r="L1097" s="11">
        <v>0</v>
      </c>
      <c r="M1097" s="11">
        <v>0</v>
      </c>
      <c r="N1097" s="11">
        <v>0</v>
      </c>
      <c r="O1097" s="11">
        <v>0</v>
      </c>
      <c r="P1097" s="11">
        <v>0</v>
      </c>
      <c r="Q1097" s="11">
        <v>0</v>
      </c>
      <c r="R1097" s="11">
        <v>2.2441148089136199E-3</v>
      </c>
      <c r="S1097" s="11">
        <v>0</v>
      </c>
      <c r="T1097" s="11">
        <v>0</v>
      </c>
      <c r="U1097">
        <v>0</v>
      </c>
      <c r="V1097">
        <v>0</v>
      </c>
      <c r="W1097">
        <v>0</v>
      </c>
      <c r="X1097">
        <v>6.4242579982012101E-3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  <c r="AJ1097">
        <v>3.5915670006823998E-3</v>
      </c>
      <c r="AK1097">
        <v>0</v>
      </c>
      <c r="AL1097">
        <v>0</v>
      </c>
      <c r="AM1097">
        <v>0</v>
      </c>
    </row>
    <row r="1098" spans="1:39" customFormat="1" hidden="1" x14ac:dyDescent="0.3">
      <c r="A1098" t="s">
        <v>614</v>
      </c>
      <c r="B1098" t="s">
        <v>30</v>
      </c>
      <c r="C1098" t="s">
        <v>111</v>
      </c>
      <c r="D1098" t="s">
        <v>141</v>
      </c>
      <c r="E1098" t="s">
        <v>140</v>
      </c>
      <c r="F1098" t="s">
        <v>607</v>
      </c>
      <c r="G1098" t="s">
        <v>606</v>
      </c>
      <c r="H1098" s="16">
        <v>0</v>
      </c>
      <c r="I1098" s="11">
        <v>0</v>
      </c>
      <c r="J1098" s="11">
        <v>0</v>
      </c>
      <c r="K1098" s="11">
        <v>0</v>
      </c>
      <c r="L1098" s="11">
        <v>0</v>
      </c>
      <c r="M1098" s="11">
        <v>0</v>
      </c>
      <c r="N1098" s="11">
        <v>0</v>
      </c>
      <c r="O1098" s="11">
        <v>0</v>
      </c>
      <c r="P1098" s="11">
        <v>0</v>
      </c>
      <c r="Q1098" s="11">
        <v>0</v>
      </c>
      <c r="R1098" s="11">
        <v>0</v>
      </c>
      <c r="S1098" s="11">
        <v>2.4883049666567102E-3</v>
      </c>
      <c r="T1098" s="11">
        <v>0</v>
      </c>
      <c r="U1098">
        <v>6.0840203206278696E-3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0</v>
      </c>
      <c r="AJ1098">
        <v>0</v>
      </c>
      <c r="AK1098">
        <v>0</v>
      </c>
      <c r="AL1098">
        <v>0</v>
      </c>
      <c r="AM1098">
        <v>0</v>
      </c>
    </row>
    <row r="1099" spans="1:39" customFormat="1" hidden="1" x14ac:dyDescent="0.3">
      <c r="A1099" t="s">
        <v>613</v>
      </c>
      <c r="B1099" t="s">
        <v>30</v>
      </c>
      <c r="C1099" t="s">
        <v>111</v>
      </c>
      <c r="D1099" t="s">
        <v>141</v>
      </c>
      <c r="E1099" t="s">
        <v>140</v>
      </c>
      <c r="F1099" t="s">
        <v>592</v>
      </c>
      <c r="G1099" t="s">
        <v>612</v>
      </c>
      <c r="H1099" s="16">
        <v>0</v>
      </c>
      <c r="I1099" s="11">
        <v>0</v>
      </c>
      <c r="J1099" s="11">
        <v>0</v>
      </c>
      <c r="K1099" s="11">
        <v>0</v>
      </c>
      <c r="L1099" s="11">
        <v>0</v>
      </c>
      <c r="M1099" s="11">
        <v>0</v>
      </c>
      <c r="N1099" s="11">
        <v>0</v>
      </c>
      <c r="O1099" s="11">
        <v>0</v>
      </c>
      <c r="P1099" s="11">
        <v>0</v>
      </c>
      <c r="Q1099" s="11">
        <v>2.7492920572952501E-3</v>
      </c>
      <c r="R1099" s="11">
        <v>0</v>
      </c>
      <c r="S1099" s="11">
        <v>0</v>
      </c>
      <c r="T1099" s="11">
        <v>0</v>
      </c>
      <c r="U1099">
        <v>0</v>
      </c>
      <c r="V1099">
        <v>0</v>
      </c>
      <c r="W1099">
        <v>0</v>
      </c>
      <c r="X1099">
        <v>0</v>
      </c>
      <c r="Y1099">
        <v>2.9264581077521898E-3</v>
      </c>
      <c r="Z1099">
        <v>0</v>
      </c>
      <c r="AA1099">
        <v>0</v>
      </c>
      <c r="AB1099">
        <v>0</v>
      </c>
      <c r="AC1099">
        <v>0</v>
      </c>
      <c r="AD1099">
        <v>0</v>
      </c>
      <c r="AE1099">
        <v>3.4299434059338E-3</v>
      </c>
      <c r="AF1099">
        <v>0</v>
      </c>
      <c r="AG1099">
        <v>0</v>
      </c>
      <c r="AH1099">
        <v>0</v>
      </c>
      <c r="AI1099">
        <v>0</v>
      </c>
      <c r="AJ1099">
        <v>0</v>
      </c>
      <c r="AK1099">
        <v>0</v>
      </c>
      <c r="AL1099">
        <v>0</v>
      </c>
      <c r="AM1099">
        <v>0</v>
      </c>
    </row>
    <row r="1100" spans="1:39" customFormat="1" hidden="1" x14ac:dyDescent="0.3">
      <c r="A1100" t="s">
        <v>611</v>
      </c>
      <c r="B1100" t="s">
        <v>30</v>
      </c>
      <c r="C1100" t="s">
        <v>111</v>
      </c>
      <c r="D1100" t="s">
        <v>141</v>
      </c>
      <c r="E1100" t="s">
        <v>140</v>
      </c>
      <c r="F1100" t="s">
        <v>199</v>
      </c>
      <c r="G1100" t="s">
        <v>198</v>
      </c>
      <c r="H1100" s="16">
        <v>0</v>
      </c>
      <c r="I1100" s="11">
        <v>0</v>
      </c>
      <c r="J1100" s="11">
        <v>0</v>
      </c>
      <c r="K1100" s="11">
        <v>0</v>
      </c>
      <c r="L1100" s="11">
        <v>0</v>
      </c>
      <c r="M1100" s="11">
        <v>0</v>
      </c>
      <c r="N1100" s="11">
        <v>0</v>
      </c>
      <c r="O1100" s="11">
        <v>0</v>
      </c>
      <c r="P1100" s="11">
        <v>0</v>
      </c>
      <c r="Q1100" s="11">
        <v>0</v>
      </c>
      <c r="R1100" s="11">
        <v>0</v>
      </c>
      <c r="S1100" s="11">
        <v>0</v>
      </c>
      <c r="T1100" s="11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>
        <v>0</v>
      </c>
      <c r="AJ1100">
        <v>0</v>
      </c>
      <c r="AK1100">
        <v>0</v>
      </c>
      <c r="AL1100">
        <v>0</v>
      </c>
      <c r="AM1100">
        <v>0</v>
      </c>
    </row>
    <row r="1101" spans="1:39" customFormat="1" hidden="1" x14ac:dyDescent="0.3">
      <c r="A1101" t="s">
        <v>608</v>
      </c>
      <c r="B1101" t="s">
        <v>30</v>
      </c>
      <c r="C1101" t="s">
        <v>111</v>
      </c>
      <c r="D1101" t="s">
        <v>141</v>
      </c>
      <c r="E1101" t="s">
        <v>140</v>
      </c>
      <c r="F1101" t="s">
        <v>607</v>
      </c>
      <c r="G1101" t="s">
        <v>606</v>
      </c>
      <c r="H1101" s="16">
        <v>0</v>
      </c>
      <c r="I1101" s="11">
        <v>0</v>
      </c>
      <c r="J1101" s="11">
        <v>0</v>
      </c>
      <c r="K1101" s="11">
        <v>0</v>
      </c>
      <c r="L1101" s="11">
        <v>0</v>
      </c>
      <c r="M1101" s="11">
        <v>0</v>
      </c>
      <c r="N1101" s="11">
        <v>0</v>
      </c>
      <c r="O1101" s="11">
        <v>0</v>
      </c>
      <c r="P1101" s="11">
        <v>0</v>
      </c>
      <c r="Q1101" s="11">
        <v>0</v>
      </c>
      <c r="R1101" s="11">
        <v>0</v>
      </c>
      <c r="S1101" s="11">
        <v>0</v>
      </c>
      <c r="T1101" s="11">
        <v>3.3464962184592698E-3</v>
      </c>
      <c r="U1101">
        <v>6.0840203206278696E-3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0</v>
      </c>
      <c r="AM1101">
        <v>0</v>
      </c>
    </row>
    <row r="1102" spans="1:39" customFormat="1" hidden="1" x14ac:dyDescent="0.3">
      <c r="A1102" t="s">
        <v>605</v>
      </c>
      <c r="B1102" t="s">
        <v>30</v>
      </c>
      <c r="C1102" t="s">
        <v>111</v>
      </c>
      <c r="D1102" t="s">
        <v>141</v>
      </c>
      <c r="E1102" t="s">
        <v>140</v>
      </c>
      <c r="F1102" t="s">
        <v>604</v>
      </c>
      <c r="G1102" t="s">
        <v>604</v>
      </c>
      <c r="H1102" s="16">
        <v>0</v>
      </c>
      <c r="I1102" s="11">
        <v>0</v>
      </c>
      <c r="J1102" s="11">
        <v>0</v>
      </c>
      <c r="K1102" s="11">
        <v>0</v>
      </c>
      <c r="L1102" s="11">
        <v>0</v>
      </c>
      <c r="M1102" s="11">
        <v>0</v>
      </c>
      <c r="N1102" s="11">
        <v>0</v>
      </c>
      <c r="O1102" s="11">
        <v>0</v>
      </c>
      <c r="P1102" s="11">
        <v>0</v>
      </c>
      <c r="Q1102" s="11">
        <v>0</v>
      </c>
      <c r="R1102" s="11">
        <v>0</v>
      </c>
      <c r="S1102" s="11">
        <v>0</v>
      </c>
      <c r="T1102" s="11">
        <v>0</v>
      </c>
      <c r="U1102">
        <v>0</v>
      </c>
      <c r="V1102">
        <v>3.6144142841652502E-3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0</v>
      </c>
      <c r="AM1102">
        <v>0</v>
      </c>
    </row>
    <row r="1103" spans="1:39" customFormat="1" hidden="1" x14ac:dyDescent="0.3">
      <c r="A1103" t="s">
        <v>603</v>
      </c>
      <c r="B1103" t="s">
        <v>30</v>
      </c>
      <c r="C1103" t="s">
        <v>111</v>
      </c>
      <c r="D1103" t="s">
        <v>141</v>
      </c>
      <c r="E1103" t="s">
        <v>140</v>
      </c>
      <c r="F1103" t="s">
        <v>602</v>
      </c>
      <c r="G1103" t="s">
        <v>601</v>
      </c>
      <c r="H1103" s="16">
        <v>0</v>
      </c>
      <c r="I1103" s="11">
        <v>0</v>
      </c>
      <c r="J1103" s="11">
        <v>0</v>
      </c>
      <c r="K1103" s="11">
        <v>0</v>
      </c>
      <c r="L1103" s="11">
        <v>0</v>
      </c>
      <c r="M1103" s="11">
        <v>0</v>
      </c>
      <c r="N1103" s="11">
        <v>0</v>
      </c>
      <c r="O1103" s="11">
        <v>0</v>
      </c>
      <c r="P1103" s="11">
        <v>0</v>
      </c>
      <c r="Q1103" s="11">
        <v>0</v>
      </c>
      <c r="R1103" s="11">
        <v>0</v>
      </c>
      <c r="S1103" s="11">
        <v>0</v>
      </c>
      <c r="T1103" s="11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0</v>
      </c>
      <c r="AL1103">
        <v>0</v>
      </c>
      <c r="AM1103">
        <v>0</v>
      </c>
    </row>
    <row r="1104" spans="1:39" customFormat="1" hidden="1" x14ac:dyDescent="0.3">
      <c r="A1104" t="s">
        <v>600</v>
      </c>
      <c r="B1104" t="s">
        <v>30</v>
      </c>
      <c r="C1104" t="s">
        <v>111</v>
      </c>
      <c r="D1104" t="s">
        <v>141</v>
      </c>
      <c r="E1104" t="s">
        <v>140</v>
      </c>
      <c r="F1104" t="s">
        <v>599</v>
      </c>
      <c r="G1104" t="s">
        <v>598</v>
      </c>
      <c r="H1104" s="16">
        <v>0</v>
      </c>
      <c r="I1104" s="11">
        <v>0</v>
      </c>
      <c r="J1104" s="11">
        <v>0</v>
      </c>
      <c r="K1104" s="11">
        <v>0</v>
      </c>
      <c r="L1104" s="11">
        <v>0</v>
      </c>
      <c r="M1104" s="11">
        <v>0</v>
      </c>
      <c r="N1104" s="11">
        <v>0</v>
      </c>
      <c r="O1104" s="11">
        <v>0</v>
      </c>
      <c r="P1104" s="11">
        <v>0</v>
      </c>
      <c r="Q1104" s="11">
        <v>0</v>
      </c>
      <c r="R1104" s="11">
        <v>4.4882296178272501E-3</v>
      </c>
      <c r="S1104" s="11">
        <v>0</v>
      </c>
      <c r="T1104" s="11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3.4299434059338E-3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0</v>
      </c>
      <c r="AM1104">
        <v>0</v>
      </c>
    </row>
    <row r="1105" spans="1:39" customFormat="1" hidden="1" x14ac:dyDescent="0.3">
      <c r="A1105" t="s">
        <v>597</v>
      </c>
      <c r="B1105" t="s">
        <v>30</v>
      </c>
      <c r="C1105" t="s">
        <v>81</v>
      </c>
      <c r="D1105" t="s">
        <v>85</v>
      </c>
      <c r="E1105" t="s">
        <v>287</v>
      </c>
      <c r="F1105" t="s">
        <v>470</v>
      </c>
      <c r="G1105" t="s">
        <v>469</v>
      </c>
      <c r="H1105" s="16">
        <v>0</v>
      </c>
      <c r="I1105" s="11">
        <v>3.6565745209887401E-3</v>
      </c>
      <c r="J1105" s="11">
        <v>0</v>
      </c>
      <c r="K1105" s="11">
        <v>0</v>
      </c>
      <c r="L1105" s="11">
        <v>0</v>
      </c>
      <c r="M1105" s="11">
        <v>0</v>
      </c>
      <c r="N1105" s="11">
        <v>0</v>
      </c>
      <c r="O1105" s="11">
        <v>0</v>
      </c>
      <c r="P1105" s="11">
        <v>0</v>
      </c>
      <c r="Q1105" s="11">
        <v>0</v>
      </c>
      <c r="R1105" s="11">
        <v>0</v>
      </c>
      <c r="S1105" s="11">
        <v>0</v>
      </c>
      <c r="T1105" s="11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3.1774275546517499E-3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3.5915670006823998E-3</v>
      </c>
      <c r="AK1105">
        <v>0</v>
      </c>
      <c r="AL1105">
        <v>0</v>
      </c>
      <c r="AM1105">
        <v>0</v>
      </c>
    </row>
    <row r="1106" spans="1:39" customFormat="1" hidden="1" x14ac:dyDescent="0.3">
      <c r="A1106" t="s">
        <v>596</v>
      </c>
      <c r="B1106" t="s">
        <v>30</v>
      </c>
      <c r="C1106" t="s">
        <v>111</v>
      </c>
      <c r="D1106" t="s">
        <v>141</v>
      </c>
      <c r="E1106" t="s">
        <v>140</v>
      </c>
      <c r="F1106" t="s">
        <v>595</v>
      </c>
      <c r="G1106" t="s">
        <v>594</v>
      </c>
      <c r="H1106" s="16">
        <v>0</v>
      </c>
      <c r="I1106" s="11">
        <v>0</v>
      </c>
      <c r="J1106" s="11">
        <v>0</v>
      </c>
      <c r="K1106" s="11">
        <v>0</v>
      </c>
      <c r="L1106" s="11">
        <v>0</v>
      </c>
      <c r="M1106" s="11">
        <v>0</v>
      </c>
      <c r="N1106" s="11">
        <v>0</v>
      </c>
      <c r="O1106" s="11">
        <v>0</v>
      </c>
      <c r="P1106" s="11">
        <v>0</v>
      </c>
      <c r="Q1106" s="11">
        <v>2.7492920572952501E-3</v>
      </c>
      <c r="R1106" s="11">
        <v>0</v>
      </c>
      <c r="S1106" s="11">
        <v>0</v>
      </c>
      <c r="T1106" s="11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0</v>
      </c>
      <c r="AM1106">
        <v>0</v>
      </c>
    </row>
    <row r="1107" spans="1:39" customFormat="1" hidden="1" x14ac:dyDescent="0.3">
      <c r="A1107" t="s">
        <v>593</v>
      </c>
      <c r="B1107" t="s">
        <v>30</v>
      </c>
      <c r="C1107" t="s">
        <v>111</v>
      </c>
      <c r="D1107" t="s">
        <v>141</v>
      </c>
      <c r="E1107" t="s">
        <v>140</v>
      </c>
      <c r="F1107" t="s">
        <v>592</v>
      </c>
      <c r="G1107" t="s">
        <v>591</v>
      </c>
      <c r="H1107" s="16">
        <v>0</v>
      </c>
      <c r="I1107" s="11">
        <v>0</v>
      </c>
      <c r="J1107" s="11">
        <v>0</v>
      </c>
      <c r="K1107" s="11">
        <v>0</v>
      </c>
      <c r="L1107" s="11">
        <v>0</v>
      </c>
      <c r="M1107" s="11">
        <v>0</v>
      </c>
      <c r="N1107" s="11">
        <v>0</v>
      </c>
      <c r="O1107" s="11">
        <v>0</v>
      </c>
      <c r="P1107" s="11">
        <v>0</v>
      </c>
      <c r="Q1107" s="11">
        <v>0</v>
      </c>
      <c r="R1107" s="11">
        <v>0</v>
      </c>
      <c r="S1107" s="11">
        <v>0</v>
      </c>
      <c r="T1107" s="11">
        <v>0</v>
      </c>
      <c r="U1107">
        <v>0</v>
      </c>
      <c r="V1107">
        <v>0</v>
      </c>
      <c r="W1107">
        <v>2.6668088964744798E-3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0</v>
      </c>
      <c r="AM1107">
        <v>0</v>
      </c>
    </row>
    <row r="1108" spans="1:39" customFormat="1" hidden="1" x14ac:dyDescent="0.3">
      <c r="A1108" t="s">
        <v>590</v>
      </c>
      <c r="B1108" t="s">
        <v>30</v>
      </c>
      <c r="C1108" t="s">
        <v>111</v>
      </c>
      <c r="D1108" t="s">
        <v>141</v>
      </c>
      <c r="E1108" t="s">
        <v>140</v>
      </c>
      <c r="F1108" t="s">
        <v>139</v>
      </c>
      <c r="G1108" t="s">
        <v>138</v>
      </c>
      <c r="H1108" s="16">
        <v>0</v>
      </c>
      <c r="I1108" s="11">
        <v>0</v>
      </c>
      <c r="J1108" s="11">
        <v>0</v>
      </c>
      <c r="K1108" s="11">
        <v>0</v>
      </c>
      <c r="L1108" s="11">
        <v>0</v>
      </c>
      <c r="M1108" s="11">
        <v>0</v>
      </c>
      <c r="N1108" s="11">
        <v>0</v>
      </c>
      <c r="O1108" s="11">
        <v>0</v>
      </c>
      <c r="P1108" s="11">
        <v>0</v>
      </c>
      <c r="Q1108" s="11">
        <v>0</v>
      </c>
      <c r="R1108" s="11">
        <v>0</v>
      </c>
      <c r="S1108" s="11">
        <v>0</v>
      </c>
      <c r="T1108" s="11">
        <v>0</v>
      </c>
      <c r="U1108">
        <v>3.04201016031394E-3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6.02700096432015E-3</v>
      </c>
      <c r="AL1108">
        <v>0</v>
      </c>
      <c r="AM1108">
        <v>0</v>
      </c>
    </row>
    <row r="1109" spans="1:39" customFormat="1" hidden="1" x14ac:dyDescent="0.3">
      <c r="A1109" t="s">
        <v>589</v>
      </c>
      <c r="B1109" t="s">
        <v>30</v>
      </c>
      <c r="C1109" t="s">
        <v>526</v>
      </c>
      <c r="D1109" t="s">
        <v>525</v>
      </c>
      <c r="E1109" t="s">
        <v>524</v>
      </c>
      <c r="F1109" t="s">
        <v>523</v>
      </c>
      <c r="G1109" t="s">
        <v>522</v>
      </c>
      <c r="H1109" s="16">
        <v>0</v>
      </c>
      <c r="I1109" s="11">
        <v>0</v>
      </c>
      <c r="J1109" s="11">
        <v>0</v>
      </c>
      <c r="K1109" s="11">
        <v>0</v>
      </c>
      <c r="L1109" s="11">
        <v>0</v>
      </c>
      <c r="M1109" s="11">
        <v>0</v>
      </c>
      <c r="N1109" s="11">
        <v>0</v>
      </c>
      <c r="O1109" s="11">
        <v>0</v>
      </c>
      <c r="P1109" s="11">
        <v>0</v>
      </c>
      <c r="Q1109" s="11">
        <v>2.7492920572952501E-3</v>
      </c>
      <c r="R1109" s="11">
        <v>2.2441148089136199E-3</v>
      </c>
      <c r="S1109" s="11">
        <v>0</v>
      </c>
      <c r="T1109" s="11">
        <v>0</v>
      </c>
      <c r="U1109">
        <v>0</v>
      </c>
      <c r="V1109">
        <v>0</v>
      </c>
      <c r="W1109">
        <v>0</v>
      </c>
      <c r="X1109">
        <v>6.4242579982012101E-3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  <c r="AL1109">
        <v>0</v>
      </c>
      <c r="AM1109">
        <v>0</v>
      </c>
    </row>
    <row r="1110" spans="1:39" customFormat="1" hidden="1" x14ac:dyDescent="0.3">
      <c r="A1110" t="s">
        <v>588</v>
      </c>
      <c r="B1110" t="s">
        <v>30</v>
      </c>
      <c r="C1110" t="s">
        <v>526</v>
      </c>
      <c r="D1110" t="s">
        <v>525</v>
      </c>
      <c r="E1110" t="s">
        <v>524</v>
      </c>
      <c r="F1110" t="s">
        <v>523</v>
      </c>
      <c r="G1110" t="s">
        <v>522</v>
      </c>
      <c r="H1110" s="16">
        <v>0</v>
      </c>
      <c r="I1110" s="11">
        <v>0</v>
      </c>
      <c r="J1110" s="11">
        <v>0</v>
      </c>
      <c r="K1110" s="11">
        <v>0</v>
      </c>
      <c r="L1110" s="11">
        <v>0</v>
      </c>
      <c r="M1110" s="11">
        <v>0</v>
      </c>
      <c r="N1110" s="11">
        <v>0</v>
      </c>
      <c r="O1110" s="11">
        <v>0</v>
      </c>
      <c r="P1110" s="11">
        <v>0</v>
      </c>
      <c r="Q1110" s="11">
        <v>0</v>
      </c>
      <c r="R1110" s="11">
        <v>0</v>
      </c>
      <c r="S1110" s="11">
        <v>0</v>
      </c>
      <c r="T1110" s="11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4.5118209709438702E-3</v>
      </c>
      <c r="AC1110">
        <v>7.1911405148856597E-3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L1110">
        <v>0</v>
      </c>
      <c r="AM1110">
        <v>0</v>
      </c>
    </row>
    <row r="1111" spans="1:39" customFormat="1" hidden="1" x14ac:dyDescent="0.3">
      <c r="A1111" t="s">
        <v>587</v>
      </c>
      <c r="B1111" t="s">
        <v>30</v>
      </c>
      <c r="C1111" t="s">
        <v>526</v>
      </c>
      <c r="D1111" t="s">
        <v>525</v>
      </c>
      <c r="E1111" t="s">
        <v>524</v>
      </c>
      <c r="F1111" t="s">
        <v>523</v>
      </c>
      <c r="G1111" t="s">
        <v>25</v>
      </c>
      <c r="H1111" s="16">
        <v>0</v>
      </c>
      <c r="I1111" s="11">
        <v>0</v>
      </c>
      <c r="J1111" s="11">
        <v>0</v>
      </c>
      <c r="K1111" s="11">
        <v>0</v>
      </c>
      <c r="L1111" s="11">
        <v>0</v>
      </c>
      <c r="M1111" s="11">
        <v>0</v>
      </c>
      <c r="N1111" s="11">
        <v>0</v>
      </c>
      <c r="O1111" s="11">
        <v>0</v>
      </c>
      <c r="P1111" s="11">
        <v>0</v>
      </c>
      <c r="Q1111" s="11">
        <v>0</v>
      </c>
      <c r="R1111" s="11">
        <v>0</v>
      </c>
      <c r="S1111" s="11">
        <v>0</v>
      </c>
      <c r="T1111" s="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0</v>
      </c>
      <c r="AM1111">
        <v>0</v>
      </c>
    </row>
    <row r="1112" spans="1:39" customFormat="1" hidden="1" x14ac:dyDescent="0.3">
      <c r="A1112" t="s">
        <v>586</v>
      </c>
      <c r="B1112" t="s">
        <v>30</v>
      </c>
      <c r="C1112" t="s">
        <v>526</v>
      </c>
      <c r="D1112" t="s">
        <v>525</v>
      </c>
      <c r="E1112" t="s">
        <v>524</v>
      </c>
      <c r="F1112" t="s">
        <v>523</v>
      </c>
      <c r="G1112" t="s">
        <v>522</v>
      </c>
      <c r="H1112" s="16">
        <v>0</v>
      </c>
      <c r="I1112" s="11">
        <v>0</v>
      </c>
      <c r="J1112" s="11">
        <v>0</v>
      </c>
      <c r="K1112" s="11">
        <v>0</v>
      </c>
      <c r="L1112" s="11">
        <v>6.6037112857425901E-3</v>
      </c>
      <c r="M1112" s="11">
        <v>0</v>
      </c>
      <c r="N1112" s="11">
        <v>0</v>
      </c>
      <c r="O1112" s="11">
        <v>0</v>
      </c>
      <c r="P1112" s="11">
        <v>0</v>
      </c>
      <c r="Q1112" s="11">
        <v>0</v>
      </c>
      <c r="R1112" s="11">
        <v>0</v>
      </c>
      <c r="S1112" s="11">
        <v>0</v>
      </c>
      <c r="T1112" s="11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6.02700096432015E-3</v>
      </c>
      <c r="AL1112">
        <v>0</v>
      </c>
      <c r="AM1112">
        <v>0</v>
      </c>
    </row>
    <row r="1113" spans="1:39" customFormat="1" hidden="1" x14ac:dyDescent="0.3">
      <c r="A1113" t="s">
        <v>585</v>
      </c>
      <c r="B1113" t="s">
        <v>30</v>
      </c>
      <c r="C1113" t="s">
        <v>526</v>
      </c>
      <c r="D1113" t="s">
        <v>525</v>
      </c>
      <c r="E1113" t="s">
        <v>524</v>
      </c>
      <c r="F1113" t="s">
        <v>523</v>
      </c>
      <c r="G1113" t="s">
        <v>25</v>
      </c>
      <c r="H1113" s="16">
        <v>0</v>
      </c>
      <c r="I1113" s="11">
        <v>0</v>
      </c>
      <c r="J1113" s="11">
        <v>0</v>
      </c>
      <c r="K1113" s="11">
        <v>0</v>
      </c>
      <c r="L1113" s="11">
        <v>0</v>
      </c>
      <c r="M1113" s="11">
        <v>0</v>
      </c>
      <c r="N1113" s="11">
        <v>0</v>
      </c>
      <c r="O1113" s="11">
        <v>0</v>
      </c>
      <c r="P1113" s="11">
        <v>0</v>
      </c>
      <c r="Q1113" s="11">
        <v>0</v>
      </c>
      <c r="R1113" s="11">
        <v>0</v>
      </c>
      <c r="S1113" s="11">
        <v>0</v>
      </c>
      <c r="T1113" s="11">
        <v>0</v>
      </c>
      <c r="U1113">
        <v>0</v>
      </c>
      <c r="V1113">
        <v>0</v>
      </c>
      <c r="W1113">
        <v>0</v>
      </c>
      <c r="X1113">
        <v>0</v>
      </c>
      <c r="Y1113">
        <v>2.9264581077521898E-3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>
        <v>0</v>
      </c>
      <c r="AH1113">
        <v>4.6410173109945703E-3</v>
      </c>
      <c r="AI1113">
        <v>0</v>
      </c>
      <c r="AJ1113">
        <v>0</v>
      </c>
      <c r="AK1113">
        <v>0</v>
      </c>
      <c r="AL1113">
        <v>0</v>
      </c>
      <c r="AM1113">
        <v>0</v>
      </c>
    </row>
    <row r="1114" spans="1:39" customFormat="1" hidden="1" x14ac:dyDescent="0.3">
      <c r="A1114" t="s">
        <v>584</v>
      </c>
      <c r="B1114" t="s">
        <v>30</v>
      </c>
      <c r="C1114" t="s">
        <v>81</v>
      </c>
      <c r="D1114" t="s">
        <v>85</v>
      </c>
      <c r="E1114" t="s">
        <v>287</v>
      </c>
      <c r="F1114" t="s">
        <v>286</v>
      </c>
      <c r="G1114" t="s">
        <v>286</v>
      </c>
      <c r="H1114" s="16">
        <v>0</v>
      </c>
      <c r="I1114" s="11">
        <v>0</v>
      </c>
      <c r="J1114" s="11">
        <v>0</v>
      </c>
      <c r="K1114" s="11">
        <v>0</v>
      </c>
      <c r="L1114" s="11">
        <v>0</v>
      </c>
      <c r="M1114" s="11">
        <v>0</v>
      </c>
      <c r="N1114" s="11">
        <v>0</v>
      </c>
      <c r="O1114" s="11">
        <v>3.75023438964935E-3</v>
      </c>
      <c r="P1114" s="11">
        <v>0</v>
      </c>
      <c r="Q1114" s="11">
        <v>0</v>
      </c>
      <c r="R1114" s="11">
        <v>0</v>
      </c>
      <c r="S1114" s="11">
        <v>0</v>
      </c>
      <c r="T1114" s="11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>
        <v>0</v>
      </c>
      <c r="AJ1114">
        <v>0</v>
      </c>
      <c r="AK1114">
        <v>0</v>
      </c>
      <c r="AL1114">
        <v>0</v>
      </c>
      <c r="AM1114">
        <v>0</v>
      </c>
    </row>
    <row r="1115" spans="1:39" customFormat="1" hidden="1" x14ac:dyDescent="0.3">
      <c r="A1115" t="s">
        <v>583</v>
      </c>
      <c r="B1115" t="s">
        <v>30</v>
      </c>
      <c r="C1115" t="s">
        <v>81</v>
      </c>
      <c r="D1115" t="s">
        <v>85</v>
      </c>
      <c r="E1115" t="s">
        <v>287</v>
      </c>
      <c r="F1115" t="s">
        <v>286</v>
      </c>
      <c r="G1115" t="s">
        <v>286</v>
      </c>
      <c r="H1115" s="16">
        <v>0</v>
      </c>
      <c r="I1115" s="11">
        <v>0</v>
      </c>
      <c r="J1115" s="11">
        <v>0</v>
      </c>
      <c r="K1115" s="11">
        <v>0</v>
      </c>
      <c r="L1115" s="11">
        <v>0</v>
      </c>
      <c r="M1115" s="11">
        <v>0</v>
      </c>
      <c r="N1115" s="11">
        <v>0</v>
      </c>
      <c r="O1115" s="11">
        <v>0</v>
      </c>
      <c r="P1115" s="11">
        <v>0</v>
      </c>
      <c r="Q1115" s="11">
        <v>0</v>
      </c>
      <c r="R1115" s="11">
        <v>0</v>
      </c>
      <c r="S1115" s="11">
        <v>2.4883049666567102E-3</v>
      </c>
      <c r="T1115" s="11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0</v>
      </c>
      <c r="AJ1115">
        <v>0</v>
      </c>
      <c r="AK1115">
        <v>0</v>
      </c>
      <c r="AL1115">
        <v>0</v>
      </c>
      <c r="AM1115">
        <v>0</v>
      </c>
    </row>
    <row r="1116" spans="1:39" customFormat="1" hidden="1" x14ac:dyDescent="0.3">
      <c r="A1116" t="s">
        <v>582</v>
      </c>
      <c r="B1116" t="s">
        <v>30</v>
      </c>
      <c r="C1116" t="s">
        <v>81</v>
      </c>
      <c r="D1116" t="s">
        <v>85</v>
      </c>
      <c r="E1116" t="s">
        <v>287</v>
      </c>
      <c r="F1116" t="s">
        <v>286</v>
      </c>
      <c r="G1116" t="s">
        <v>286</v>
      </c>
      <c r="H1116" s="16">
        <v>0</v>
      </c>
      <c r="I1116" s="11">
        <v>0</v>
      </c>
      <c r="J1116" s="11">
        <v>0</v>
      </c>
      <c r="K1116" s="11">
        <v>0</v>
      </c>
      <c r="L1116" s="11">
        <v>0</v>
      </c>
      <c r="M1116" s="11">
        <v>0</v>
      </c>
      <c r="N1116" s="11">
        <v>0</v>
      </c>
      <c r="O1116" s="11">
        <v>0</v>
      </c>
      <c r="P1116" s="11">
        <v>0</v>
      </c>
      <c r="Q1116" s="11">
        <v>0</v>
      </c>
      <c r="R1116" s="11">
        <v>0</v>
      </c>
      <c r="S1116" s="11">
        <v>0</v>
      </c>
      <c r="T1116" s="11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4.5118209709438702E-3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  <c r="AJ1116">
        <v>3.5915670006823998E-3</v>
      </c>
      <c r="AK1116">
        <v>0</v>
      </c>
      <c r="AL1116">
        <v>0</v>
      </c>
      <c r="AM1116">
        <v>0</v>
      </c>
    </row>
    <row r="1117" spans="1:39" customFormat="1" hidden="1" x14ac:dyDescent="0.3">
      <c r="A1117" t="s">
        <v>581</v>
      </c>
      <c r="B1117" t="s">
        <v>30</v>
      </c>
      <c r="C1117" t="s">
        <v>81</v>
      </c>
      <c r="D1117" t="s">
        <v>85</v>
      </c>
      <c r="E1117" t="s">
        <v>287</v>
      </c>
      <c r="F1117" t="s">
        <v>286</v>
      </c>
      <c r="G1117" t="s">
        <v>286</v>
      </c>
      <c r="H1117" s="16">
        <v>0</v>
      </c>
      <c r="I1117" s="11">
        <v>0</v>
      </c>
      <c r="J1117" s="11">
        <v>0</v>
      </c>
      <c r="K1117" s="11">
        <v>0</v>
      </c>
      <c r="L1117" s="11">
        <v>0</v>
      </c>
      <c r="M1117" s="11">
        <v>0</v>
      </c>
      <c r="N1117" s="11">
        <v>0</v>
      </c>
      <c r="O1117" s="11">
        <v>0</v>
      </c>
      <c r="P1117" s="11">
        <v>0</v>
      </c>
      <c r="Q1117" s="11">
        <v>0</v>
      </c>
      <c r="R1117" s="11">
        <v>0</v>
      </c>
      <c r="S1117" s="11">
        <v>0</v>
      </c>
      <c r="T1117" s="11">
        <v>0</v>
      </c>
      <c r="U1117">
        <v>3.04201016031394E-3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0</v>
      </c>
      <c r="AJ1117">
        <v>0</v>
      </c>
      <c r="AK1117">
        <v>0</v>
      </c>
      <c r="AL1117">
        <v>0</v>
      </c>
      <c r="AM1117">
        <v>0</v>
      </c>
    </row>
    <row r="1118" spans="1:39" customFormat="1" hidden="1" x14ac:dyDescent="0.3">
      <c r="A1118" t="s">
        <v>580</v>
      </c>
      <c r="B1118" t="s">
        <v>30</v>
      </c>
      <c r="C1118" t="s">
        <v>81</v>
      </c>
      <c r="D1118" t="s">
        <v>85</v>
      </c>
      <c r="E1118" t="s">
        <v>287</v>
      </c>
      <c r="F1118" t="s">
        <v>286</v>
      </c>
      <c r="G1118" t="s">
        <v>286</v>
      </c>
      <c r="H1118" s="16">
        <v>0</v>
      </c>
      <c r="I1118" s="11">
        <v>0</v>
      </c>
      <c r="J1118" s="11">
        <v>0</v>
      </c>
      <c r="K1118" s="11">
        <v>0</v>
      </c>
      <c r="L1118" s="11">
        <v>0</v>
      </c>
      <c r="M1118" s="11">
        <v>0</v>
      </c>
      <c r="N1118" s="11">
        <v>0</v>
      </c>
      <c r="O1118" s="11">
        <v>0</v>
      </c>
      <c r="P1118" s="11">
        <v>0</v>
      </c>
      <c r="Q1118" s="11">
        <v>0</v>
      </c>
      <c r="R1118" s="11">
        <v>0</v>
      </c>
      <c r="S1118" s="11">
        <v>0</v>
      </c>
      <c r="T1118" s="11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4.5118209709438702E-3</v>
      </c>
      <c r="AC1118">
        <v>0</v>
      </c>
      <c r="AD1118">
        <v>0</v>
      </c>
      <c r="AE1118">
        <v>0</v>
      </c>
      <c r="AF1118">
        <v>5.03372596395852E-3</v>
      </c>
      <c r="AG1118">
        <v>0</v>
      </c>
      <c r="AH1118">
        <v>0</v>
      </c>
      <c r="AI1118">
        <v>0</v>
      </c>
      <c r="AJ1118">
        <v>0</v>
      </c>
      <c r="AK1118">
        <v>0</v>
      </c>
      <c r="AL1118">
        <v>0</v>
      </c>
      <c r="AM1118">
        <v>0</v>
      </c>
    </row>
    <row r="1119" spans="1:39" customFormat="1" hidden="1" x14ac:dyDescent="0.3">
      <c r="A1119" t="s">
        <v>579</v>
      </c>
      <c r="B1119" t="s">
        <v>30</v>
      </c>
      <c r="C1119" t="s">
        <v>81</v>
      </c>
      <c r="D1119" t="s">
        <v>85</v>
      </c>
      <c r="E1119" t="s">
        <v>287</v>
      </c>
      <c r="F1119" t="s">
        <v>286</v>
      </c>
      <c r="G1119" t="s">
        <v>286</v>
      </c>
      <c r="H1119" s="16">
        <v>4.1583499667332E-3</v>
      </c>
      <c r="I1119" s="11">
        <v>0</v>
      </c>
      <c r="J1119" s="11">
        <v>0</v>
      </c>
      <c r="K1119" s="11">
        <v>0</v>
      </c>
      <c r="L1119" s="11">
        <v>0</v>
      </c>
      <c r="M1119" s="11">
        <v>0</v>
      </c>
      <c r="N1119" s="11">
        <v>0</v>
      </c>
      <c r="O1119" s="11">
        <v>0</v>
      </c>
      <c r="P1119" s="11">
        <v>0</v>
      </c>
      <c r="Q1119" s="11">
        <v>0</v>
      </c>
      <c r="R1119" s="11">
        <v>0</v>
      </c>
      <c r="S1119" s="11">
        <v>2.4883049666567102E-3</v>
      </c>
      <c r="T1119" s="11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0</v>
      </c>
      <c r="AH1119">
        <v>4.6410173109945703E-3</v>
      </c>
      <c r="AI1119">
        <v>0</v>
      </c>
      <c r="AJ1119">
        <v>0</v>
      </c>
      <c r="AK1119">
        <v>0</v>
      </c>
      <c r="AL1119">
        <v>0</v>
      </c>
      <c r="AM1119">
        <v>0</v>
      </c>
    </row>
    <row r="1120" spans="1:39" customFormat="1" hidden="1" x14ac:dyDescent="0.3">
      <c r="A1120" t="s">
        <v>578</v>
      </c>
      <c r="B1120" t="s">
        <v>30</v>
      </c>
      <c r="C1120" t="s">
        <v>81</v>
      </c>
      <c r="D1120" t="s">
        <v>85</v>
      </c>
      <c r="E1120" t="s">
        <v>287</v>
      </c>
      <c r="F1120" t="s">
        <v>286</v>
      </c>
      <c r="G1120" t="s">
        <v>286</v>
      </c>
      <c r="H1120" s="16">
        <v>0</v>
      </c>
      <c r="I1120" s="11">
        <v>0</v>
      </c>
      <c r="J1120" s="11">
        <v>0</v>
      </c>
      <c r="K1120" s="11">
        <v>0</v>
      </c>
      <c r="L1120" s="11">
        <v>0</v>
      </c>
      <c r="M1120" s="11">
        <v>0</v>
      </c>
      <c r="N1120" s="11">
        <v>0</v>
      </c>
      <c r="O1120" s="11">
        <v>0</v>
      </c>
      <c r="P1120" s="11">
        <v>0</v>
      </c>
      <c r="Q1120" s="11">
        <v>0</v>
      </c>
      <c r="R1120" s="11">
        <v>0</v>
      </c>
      <c r="S1120" s="11">
        <v>0</v>
      </c>
      <c r="T1120" s="11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  <c r="AE1120">
        <v>3.4299434059338E-3</v>
      </c>
      <c r="AF1120">
        <v>0</v>
      </c>
      <c r="AG1120">
        <v>0</v>
      </c>
      <c r="AH1120">
        <v>0</v>
      </c>
      <c r="AI1120">
        <v>0</v>
      </c>
      <c r="AJ1120">
        <v>0</v>
      </c>
      <c r="AK1120">
        <v>0</v>
      </c>
      <c r="AL1120">
        <v>0</v>
      </c>
      <c r="AM1120">
        <v>0</v>
      </c>
    </row>
    <row r="1121" spans="1:39" customFormat="1" hidden="1" x14ac:dyDescent="0.3">
      <c r="A1121" t="s">
        <v>577</v>
      </c>
      <c r="B1121" t="s">
        <v>30</v>
      </c>
      <c r="C1121" t="s">
        <v>81</v>
      </c>
      <c r="D1121" t="s">
        <v>85</v>
      </c>
      <c r="E1121" t="s">
        <v>287</v>
      </c>
      <c r="F1121" t="s">
        <v>286</v>
      </c>
      <c r="G1121" t="s">
        <v>286</v>
      </c>
      <c r="H1121" s="16">
        <v>0</v>
      </c>
      <c r="I1121" s="11">
        <v>0</v>
      </c>
      <c r="J1121" s="11">
        <v>0</v>
      </c>
      <c r="K1121" s="11">
        <v>0</v>
      </c>
      <c r="L1121" s="11">
        <v>0</v>
      </c>
      <c r="M1121" s="11">
        <v>0</v>
      </c>
      <c r="N1121" s="11">
        <v>0</v>
      </c>
      <c r="O1121" s="11">
        <v>0</v>
      </c>
      <c r="P1121" s="11">
        <v>0</v>
      </c>
      <c r="Q1121" s="11">
        <v>0</v>
      </c>
      <c r="R1121" s="11">
        <v>0</v>
      </c>
      <c r="S1121" s="11">
        <v>0</v>
      </c>
      <c r="T1121" s="11">
        <v>0</v>
      </c>
      <c r="U1121">
        <v>3.04201016031394E-3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>
        <v>0</v>
      </c>
      <c r="AG1121">
        <v>0</v>
      </c>
      <c r="AH1121">
        <v>0</v>
      </c>
      <c r="AI1121">
        <v>0</v>
      </c>
      <c r="AJ1121">
        <v>0</v>
      </c>
      <c r="AK1121">
        <v>6.02700096432015E-3</v>
      </c>
      <c r="AL1121">
        <v>0</v>
      </c>
      <c r="AM1121">
        <v>0</v>
      </c>
    </row>
    <row r="1122" spans="1:39" customFormat="1" hidden="1" x14ac:dyDescent="0.3">
      <c r="A1122" t="s">
        <v>576</v>
      </c>
      <c r="B1122" t="s">
        <v>30</v>
      </c>
      <c r="C1122" t="s">
        <v>81</v>
      </c>
      <c r="D1122" t="s">
        <v>85</v>
      </c>
      <c r="E1122" t="s">
        <v>287</v>
      </c>
      <c r="F1122" t="s">
        <v>286</v>
      </c>
      <c r="G1122" t="s">
        <v>286</v>
      </c>
      <c r="H1122" s="16">
        <v>0</v>
      </c>
      <c r="I1122" s="11">
        <v>0</v>
      </c>
      <c r="J1122" s="11">
        <v>0</v>
      </c>
      <c r="K1122" s="11">
        <v>0</v>
      </c>
      <c r="L1122" s="11">
        <v>0</v>
      </c>
      <c r="M1122" s="11">
        <v>0</v>
      </c>
      <c r="N1122" s="11">
        <v>0</v>
      </c>
      <c r="O1122" s="11">
        <v>0</v>
      </c>
      <c r="P1122" s="11">
        <v>0</v>
      </c>
      <c r="Q1122" s="11">
        <v>0</v>
      </c>
      <c r="R1122" s="11">
        <v>0</v>
      </c>
      <c r="S1122" s="11">
        <v>0</v>
      </c>
      <c r="T1122" s="11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3.1774275546517499E-3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  <c r="AJ1122">
        <v>0</v>
      </c>
      <c r="AK1122">
        <v>0</v>
      </c>
      <c r="AL1122">
        <v>3.5844863431070302E-3</v>
      </c>
      <c r="AM1122">
        <v>0</v>
      </c>
    </row>
    <row r="1123" spans="1:39" customFormat="1" hidden="1" x14ac:dyDescent="0.3">
      <c r="A1123" t="s">
        <v>575</v>
      </c>
      <c r="B1123" t="s">
        <v>30</v>
      </c>
      <c r="C1123" t="s">
        <v>526</v>
      </c>
      <c r="D1123" t="s">
        <v>525</v>
      </c>
      <c r="E1123" t="s">
        <v>524</v>
      </c>
      <c r="F1123" t="s">
        <v>523</v>
      </c>
      <c r="G1123" t="s">
        <v>522</v>
      </c>
      <c r="H1123" s="16">
        <v>0</v>
      </c>
      <c r="I1123" s="11">
        <v>0</v>
      </c>
      <c r="J1123" s="11">
        <v>0</v>
      </c>
      <c r="K1123" s="11">
        <v>0</v>
      </c>
      <c r="L1123" s="11">
        <v>0</v>
      </c>
      <c r="M1123" s="11">
        <v>0</v>
      </c>
      <c r="N1123" s="11">
        <v>0</v>
      </c>
      <c r="O1123" s="11">
        <v>0</v>
      </c>
      <c r="P1123" s="11">
        <v>3.3947788301592198E-3</v>
      </c>
      <c r="Q1123" s="11">
        <v>0</v>
      </c>
      <c r="R1123" s="11">
        <v>0</v>
      </c>
      <c r="S1123" s="11">
        <v>0</v>
      </c>
      <c r="T1123" s="11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4.6410173109945703E-3</v>
      </c>
      <c r="AI1123">
        <v>0</v>
      </c>
      <c r="AJ1123">
        <v>0</v>
      </c>
      <c r="AK1123">
        <v>6.02700096432015E-3</v>
      </c>
      <c r="AL1123">
        <v>0</v>
      </c>
      <c r="AM1123">
        <v>0</v>
      </c>
    </row>
    <row r="1124" spans="1:39" customFormat="1" hidden="1" x14ac:dyDescent="0.3">
      <c r="A1124" t="s">
        <v>574</v>
      </c>
      <c r="B1124" t="s">
        <v>30</v>
      </c>
      <c r="C1124" t="s">
        <v>81</v>
      </c>
      <c r="D1124" t="s">
        <v>85</v>
      </c>
      <c r="E1124" t="s">
        <v>287</v>
      </c>
      <c r="F1124" t="s">
        <v>286</v>
      </c>
      <c r="G1124" t="s">
        <v>286</v>
      </c>
      <c r="H1124" s="16">
        <v>0</v>
      </c>
      <c r="I1124" s="11">
        <v>0</v>
      </c>
      <c r="J1124" s="11">
        <v>0</v>
      </c>
      <c r="K1124" s="11">
        <v>0</v>
      </c>
      <c r="L1124" s="11">
        <v>0</v>
      </c>
      <c r="M1124" s="11">
        <v>0</v>
      </c>
      <c r="N1124" s="11">
        <v>0</v>
      </c>
      <c r="O1124" s="11">
        <v>0</v>
      </c>
      <c r="P1124" s="11">
        <v>0</v>
      </c>
      <c r="Q1124" s="11">
        <v>0</v>
      </c>
      <c r="R1124" s="11">
        <v>0</v>
      </c>
      <c r="S1124" s="11">
        <v>0</v>
      </c>
      <c r="T1124" s="11">
        <v>0</v>
      </c>
      <c r="U1124">
        <v>0</v>
      </c>
      <c r="V1124">
        <v>0</v>
      </c>
      <c r="W1124">
        <v>0</v>
      </c>
      <c r="X1124">
        <v>0</v>
      </c>
      <c r="Y1124">
        <v>2.9264581077521898E-3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  <c r="AJ1124">
        <v>3.5915670006823998E-3</v>
      </c>
      <c r="AK1124">
        <v>0</v>
      </c>
      <c r="AL1124">
        <v>0</v>
      </c>
      <c r="AM1124">
        <v>0</v>
      </c>
    </row>
    <row r="1125" spans="1:39" customFormat="1" hidden="1" x14ac:dyDescent="0.3">
      <c r="A1125" t="s">
        <v>573</v>
      </c>
      <c r="B1125" t="s">
        <v>30</v>
      </c>
      <c r="C1125" t="s">
        <v>81</v>
      </c>
      <c r="D1125" t="s">
        <v>85</v>
      </c>
      <c r="E1125" t="s">
        <v>287</v>
      </c>
      <c r="F1125" t="s">
        <v>286</v>
      </c>
      <c r="G1125" t="s">
        <v>286</v>
      </c>
      <c r="H1125" s="16">
        <v>0</v>
      </c>
      <c r="I1125" s="11">
        <v>0</v>
      </c>
      <c r="J1125" s="11">
        <v>0</v>
      </c>
      <c r="K1125" s="11">
        <v>0</v>
      </c>
      <c r="L1125" s="11">
        <v>0</v>
      </c>
      <c r="M1125" s="11">
        <v>0</v>
      </c>
      <c r="N1125" s="11">
        <v>0</v>
      </c>
      <c r="O1125" s="11">
        <v>0</v>
      </c>
      <c r="P1125" s="11">
        <v>0</v>
      </c>
      <c r="Q1125" s="11">
        <v>0</v>
      </c>
      <c r="R1125" s="11">
        <v>0</v>
      </c>
      <c r="S1125" s="11">
        <v>0</v>
      </c>
      <c r="T1125" s="11">
        <v>0</v>
      </c>
      <c r="U1125">
        <v>0</v>
      </c>
      <c r="V1125">
        <v>3.6144142841652502E-3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0</v>
      </c>
      <c r="AL1125">
        <v>0</v>
      </c>
      <c r="AM1125">
        <v>0</v>
      </c>
    </row>
    <row r="1126" spans="1:39" customFormat="1" hidden="1" x14ac:dyDescent="0.3">
      <c r="A1126" t="s">
        <v>572</v>
      </c>
      <c r="B1126" t="s">
        <v>30</v>
      </c>
      <c r="C1126" t="s">
        <v>81</v>
      </c>
      <c r="D1126" t="s">
        <v>85</v>
      </c>
      <c r="E1126" t="s">
        <v>287</v>
      </c>
      <c r="F1126" t="s">
        <v>286</v>
      </c>
      <c r="G1126" t="s">
        <v>286</v>
      </c>
      <c r="H1126" s="16">
        <v>0</v>
      </c>
      <c r="I1126" s="11">
        <v>0</v>
      </c>
      <c r="J1126" s="11">
        <v>0</v>
      </c>
      <c r="K1126" s="11">
        <v>0</v>
      </c>
      <c r="L1126" s="11">
        <v>0</v>
      </c>
      <c r="M1126" s="11">
        <v>0</v>
      </c>
      <c r="N1126" s="11">
        <v>0</v>
      </c>
      <c r="O1126" s="11">
        <v>0</v>
      </c>
      <c r="P1126" s="11">
        <v>0</v>
      </c>
      <c r="Q1126" s="11">
        <v>0</v>
      </c>
      <c r="R1126" s="11">
        <v>0</v>
      </c>
      <c r="S1126" s="11">
        <v>0</v>
      </c>
      <c r="T1126" s="11">
        <v>3.3464962184592698E-3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3.5915670006823998E-3</v>
      </c>
      <c r="AK1126">
        <v>0</v>
      </c>
      <c r="AL1126">
        <v>0</v>
      </c>
      <c r="AM1126">
        <v>0</v>
      </c>
    </row>
    <row r="1127" spans="1:39" customFormat="1" hidden="1" x14ac:dyDescent="0.3">
      <c r="A1127" t="s">
        <v>571</v>
      </c>
      <c r="B1127" t="s">
        <v>30</v>
      </c>
      <c r="C1127" t="s">
        <v>81</v>
      </c>
      <c r="D1127" t="s">
        <v>85</v>
      </c>
      <c r="E1127" t="s">
        <v>287</v>
      </c>
      <c r="F1127" t="s">
        <v>470</v>
      </c>
      <c r="G1127" t="s">
        <v>469</v>
      </c>
      <c r="H1127" s="16">
        <v>0</v>
      </c>
      <c r="I1127" s="11">
        <v>0</v>
      </c>
      <c r="J1127" s="11">
        <v>0</v>
      </c>
      <c r="K1127" s="11">
        <v>0</v>
      </c>
      <c r="L1127" s="11">
        <v>0</v>
      </c>
      <c r="M1127" s="11">
        <v>0</v>
      </c>
      <c r="N1127" s="11">
        <v>0</v>
      </c>
      <c r="O1127" s="11">
        <v>0</v>
      </c>
      <c r="P1127" s="11">
        <v>0</v>
      </c>
      <c r="Q1127" s="11">
        <v>0</v>
      </c>
      <c r="R1127" s="11">
        <v>0</v>
      </c>
      <c r="S1127" s="11">
        <v>0</v>
      </c>
      <c r="T1127" s="11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0</v>
      </c>
      <c r="AL1127">
        <v>3.5844863431070302E-3</v>
      </c>
      <c r="AM1127">
        <v>0</v>
      </c>
    </row>
    <row r="1128" spans="1:39" customFormat="1" hidden="1" x14ac:dyDescent="0.3">
      <c r="A1128" t="s">
        <v>570</v>
      </c>
      <c r="B1128" t="s">
        <v>30</v>
      </c>
      <c r="C1128" t="s">
        <v>81</v>
      </c>
      <c r="D1128" t="s">
        <v>85</v>
      </c>
      <c r="E1128" t="s">
        <v>287</v>
      </c>
      <c r="F1128" t="s">
        <v>286</v>
      </c>
      <c r="G1128" t="s">
        <v>286</v>
      </c>
      <c r="H1128" s="16">
        <v>0</v>
      </c>
      <c r="I1128" s="11">
        <v>0</v>
      </c>
      <c r="J1128" s="11">
        <v>0</v>
      </c>
      <c r="K1128" s="11">
        <v>0</v>
      </c>
      <c r="L1128" s="11">
        <v>0</v>
      </c>
      <c r="M1128" s="11">
        <v>0</v>
      </c>
      <c r="N1128" s="11">
        <v>0</v>
      </c>
      <c r="O1128" s="11">
        <v>0</v>
      </c>
      <c r="P1128" s="11">
        <v>0</v>
      </c>
      <c r="Q1128" s="11">
        <v>0</v>
      </c>
      <c r="R1128" s="11">
        <v>0</v>
      </c>
      <c r="S1128" s="11">
        <v>0</v>
      </c>
      <c r="T1128" s="11">
        <v>0</v>
      </c>
      <c r="U1128">
        <v>0</v>
      </c>
      <c r="V1128">
        <v>3.6144142841652502E-3</v>
      </c>
      <c r="W1128">
        <v>2.6668088964744798E-3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0</v>
      </c>
      <c r="AL1128">
        <v>0</v>
      </c>
      <c r="AM1128">
        <v>0</v>
      </c>
    </row>
    <row r="1129" spans="1:39" customFormat="1" hidden="1" x14ac:dyDescent="0.3">
      <c r="A1129" t="s">
        <v>569</v>
      </c>
      <c r="B1129" t="s">
        <v>30</v>
      </c>
      <c r="C1129" t="s">
        <v>81</v>
      </c>
      <c r="D1129" t="s">
        <v>85</v>
      </c>
      <c r="E1129" t="s">
        <v>287</v>
      </c>
      <c r="F1129" t="s">
        <v>286</v>
      </c>
      <c r="G1129" t="s">
        <v>286</v>
      </c>
      <c r="H1129" s="16">
        <v>0</v>
      </c>
      <c r="I1129" s="11">
        <v>0</v>
      </c>
      <c r="J1129" s="11">
        <v>0</v>
      </c>
      <c r="K1129" s="11">
        <v>0</v>
      </c>
      <c r="L1129" s="11">
        <v>0</v>
      </c>
      <c r="M1129" s="11">
        <v>0</v>
      </c>
      <c r="N1129" s="11">
        <v>0</v>
      </c>
      <c r="O1129" s="11">
        <v>0</v>
      </c>
      <c r="P1129" s="11">
        <v>0</v>
      </c>
      <c r="Q1129" s="11">
        <v>0</v>
      </c>
      <c r="R1129" s="11">
        <v>0</v>
      </c>
      <c r="S1129" s="11">
        <v>0</v>
      </c>
      <c r="T1129" s="11">
        <v>3.3464962184592698E-3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7.1911405148856597E-3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0</v>
      </c>
      <c r="AM1129">
        <v>0</v>
      </c>
    </row>
    <row r="1130" spans="1:39" customFormat="1" hidden="1" x14ac:dyDescent="0.3">
      <c r="A1130" t="s">
        <v>568</v>
      </c>
      <c r="B1130" t="s">
        <v>30</v>
      </c>
      <c r="C1130" t="s">
        <v>81</v>
      </c>
      <c r="D1130" t="s">
        <v>85</v>
      </c>
      <c r="E1130" t="s">
        <v>287</v>
      </c>
      <c r="F1130" t="s">
        <v>286</v>
      </c>
      <c r="G1130" t="s">
        <v>286</v>
      </c>
      <c r="H1130" s="16">
        <v>0</v>
      </c>
      <c r="I1130" s="11">
        <v>0</v>
      </c>
      <c r="J1130" s="11">
        <v>0</v>
      </c>
      <c r="K1130" s="11">
        <v>0</v>
      </c>
      <c r="L1130" s="11">
        <v>0</v>
      </c>
      <c r="M1130" s="11">
        <v>0</v>
      </c>
      <c r="N1130" s="11">
        <v>0</v>
      </c>
      <c r="O1130" s="11">
        <v>0</v>
      </c>
      <c r="P1130" s="11">
        <v>0</v>
      </c>
      <c r="Q1130" s="11">
        <v>0</v>
      </c>
      <c r="R1130" s="11">
        <v>0</v>
      </c>
      <c r="S1130" s="11">
        <v>0</v>
      </c>
      <c r="T1130" s="11">
        <v>0</v>
      </c>
      <c r="U1130">
        <v>0</v>
      </c>
      <c r="V1130">
        <v>3.6144142841652502E-3</v>
      </c>
      <c r="W1130">
        <v>0</v>
      </c>
      <c r="X1130">
        <v>0</v>
      </c>
      <c r="Y1130">
        <v>2.9264581077521898E-3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>
        <v>0</v>
      </c>
      <c r="AM1130">
        <v>0</v>
      </c>
    </row>
    <row r="1131" spans="1:39" customFormat="1" hidden="1" x14ac:dyDescent="0.3">
      <c r="A1131" t="s">
        <v>567</v>
      </c>
      <c r="B1131" t="s">
        <v>30</v>
      </c>
      <c r="C1131" t="s">
        <v>81</v>
      </c>
      <c r="D1131" t="s">
        <v>85</v>
      </c>
      <c r="E1131" t="s">
        <v>287</v>
      </c>
      <c r="F1131" t="s">
        <v>286</v>
      </c>
      <c r="G1131" t="s">
        <v>286</v>
      </c>
      <c r="H1131" s="16">
        <v>0</v>
      </c>
      <c r="I1131" s="11">
        <v>0</v>
      </c>
      <c r="J1131" s="11">
        <v>0</v>
      </c>
      <c r="K1131" s="11">
        <v>0</v>
      </c>
      <c r="L1131" s="11">
        <v>0</v>
      </c>
      <c r="M1131" s="11">
        <v>0</v>
      </c>
      <c r="N1131" s="11">
        <v>0</v>
      </c>
      <c r="O1131" s="11">
        <v>0</v>
      </c>
      <c r="P1131" s="11">
        <v>0</v>
      </c>
      <c r="Q1131" s="11">
        <v>2.7492920572952501E-3</v>
      </c>
      <c r="R1131" s="11">
        <v>0</v>
      </c>
      <c r="S1131" s="11">
        <v>0</v>
      </c>
      <c r="T1131" s="11">
        <v>3.3464962184592698E-3</v>
      </c>
      <c r="U1131">
        <v>3.04201016031394E-3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>
        <v>3.5844863431070302E-3</v>
      </c>
      <c r="AM1131">
        <v>0</v>
      </c>
    </row>
    <row r="1132" spans="1:39" customFormat="1" hidden="1" x14ac:dyDescent="0.3">
      <c r="A1132" t="s">
        <v>566</v>
      </c>
      <c r="B1132" t="s">
        <v>30</v>
      </c>
      <c r="C1132" t="s">
        <v>526</v>
      </c>
      <c r="D1132" t="s">
        <v>525</v>
      </c>
      <c r="E1132" t="s">
        <v>524</v>
      </c>
      <c r="F1132" t="s">
        <v>523</v>
      </c>
      <c r="G1132" t="s">
        <v>565</v>
      </c>
      <c r="H1132" s="16">
        <v>0</v>
      </c>
      <c r="I1132" s="11">
        <v>0</v>
      </c>
      <c r="J1132" s="11">
        <v>0</v>
      </c>
      <c r="K1132" s="11">
        <v>0</v>
      </c>
      <c r="L1132" s="11">
        <v>0</v>
      </c>
      <c r="M1132" s="11">
        <v>0</v>
      </c>
      <c r="N1132" s="11">
        <v>0</v>
      </c>
      <c r="O1132" s="11">
        <v>0</v>
      </c>
      <c r="P1132" s="11">
        <v>0</v>
      </c>
      <c r="Q1132" s="11">
        <v>0</v>
      </c>
      <c r="R1132" s="11">
        <v>0</v>
      </c>
      <c r="S1132" s="11">
        <v>0</v>
      </c>
      <c r="T1132" s="11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0</v>
      </c>
      <c r="AM1132">
        <v>0</v>
      </c>
    </row>
    <row r="1133" spans="1:39" customFormat="1" hidden="1" x14ac:dyDescent="0.3">
      <c r="A1133" t="s">
        <v>562</v>
      </c>
      <c r="B1133" t="s">
        <v>30</v>
      </c>
      <c r="C1133" t="s">
        <v>526</v>
      </c>
      <c r="D1133" t="s">
        <v>525</v>
      </c>
      <c r="E1133" t="s">
        <v>524</v>
      </c>
      <c r="F1133" t="s">
        <v>523</v>
      </c>
      <c r="G1133" t="s">
        <v>25</v>
      </c>
      <c r="H1133" s="16">
        <v>0</v>
      </c>
      <c r="I1133" s="11">
        <v>0</v>
      </c>
      <c r="J1133" s="11">
        <v>0</v>
      </c>
      <c r="K1133" s="11">
        <v>0</v>
      </c>
      <c r="L1133" s="11">
        <v>0</v>
      </c>
      <c r="M1133" s="11">
        <v>0</v>
      </c>
      <c r="N1133" s="11">
        <v>0</v>
      </c>
      <c r="O1133" s="11">
        <v>0</v>
      </c>
      <c r="P1133" s="11">
        <v>0</v>
      </c>
      <c r="Q1133" s="11">
        <v>0</v>
      </c>
      <c r="R1133" s="11">
        <v>0</v>
      </c>
      <c r="S1133" s="11">
        <v>0</v>
      </c>
      <c r="T1133" s="11">
        <v>0</v>
      </c>
      <c r="U1133">
        <v>0</v>
      </c>
      <c r="V1133">
        <v>0</v>
      </c>
      <c r="W1133">
        <v>2.6668088964744798E-3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>
        <v>0</v>
      </c>
      <c r="AH1133">
        <v>4.6410173109945703E-3</v>
      </c>
      <c r="AI1133">
        <v>0</v>
      </c>
      <c r="AJ1133">
        <v>0</v>
      </c>
      <c r="AK1133">
        <v>0</v>
      </c>
      <c r="AL1133">
        <v>0</v>
      </c>
      <c r="AM1133">
        <v>0</v>
      </c>
    </row>
    <row r="1134" spans="1:39" customFormat="1" hidden="1" x14ac:dyDescent="0.3">
      <c r="A1134" t="s">
        <v>561</v>
      </c>
      <c r="B1134" t="s">
        <v>30</v>
      </c>
      <c r="C1134" t="s">
        <v>526</v>
      </c>
      <c r="D1134" t="s">
        <v>525</v>
      </c>
      <c r="E1134" t="s">
        <v>524</v>
      </c>
      <c r="F1134" t="s">
        <v>523</v>
      </c>
      <c r="G1134" t="s">
        <v>522</v>
      </c>
      <c r="H1134" s="16">
        <v>0</v>
      </c>
      <c r="I1134" s="11">
        <v>0</v>
      </c>
      <c r="J1134" s="11">
        <v>0</v>
      </c>
      <c r="K1134" s="11">
        <v>0</v>
      </c>
      <c r="L1134" s="11">
        <v>0</v>
      </c>
      <c r="M1134" s="11">
        <v>0</v>
      </c>
      <c r="N1134" s="11">
        <v>0</v>
      </c>
      <c r="O1134" s="11">
        <v>0</v>
      </c>
      <c r="P1134" s="11">
        <v>0</v>
      </c>
      <c r="Q1134" s="11">
        <v>0</v>
      </c>
      <c r="R1134" s="11">
        <v>2.2441148089136199E-3</v>
      </c>
      <c r="S1134" s="11">
        <v>0</v>
      </c>
      <c r="T1134" s="11">
        <v>0</v>
      </c>
      <c r="U1134">
        <v>0</v>
      </c>
      <c r="V1134">
        <v>3.6144142841652502E-3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7.1911405148856597E-3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0</v>
      </c>
      <c r="AL1134">
        <v>0</v>
      </c>
      <c r="AM1134">
        <v>0</v>
      </c>
    </row>
    <row r="1135" spans="1:39" customFormat="1" hidden="1" x14ac:dyDescent="0.3">
      <c r="A1135" t="s">
        <v>560</v>
      </c>
      <c r="B1135" t="s">
        <v>30</v>
      </c>
      <c r="C1135" t="s">
        <v>526</v>
      </c>
      <c r="D1135" t="s">
        <v>525</v>
      </c>
      <c r="E1135" t="s">
        <v>524</v>
      </c>
      <c r="F1135" t="s">
        <v>523</v>
      </c>
      <c r="G1135" t="s">
        <v>559</v>
      </c>
      <c r="H1135" s="16">
        <v>0</v>
      </c>
      <c r="I1135" s="11">
        <v>0</v>
      </c>
      <c r="J1135" s="11">
        <v>0</v>
      </c>
      <c r="K1135" s="11">
        <v>0</v>
      </c>
      <c r="L1135" s="11">
        <v>0</v>
      </c>
      <c r="M1135" s="11">
        <v>0</v>
      </c>
      <c r="N1135" s="11">
        <v>0</v>
      </c>
      <c r="O1135" s="11">
        <v>0</v>
      </c>
      <c r="P1135" s="11">
        <v>0</v>
      </c>
      <c r="Q1135" s="11">
        <v>0</v>
      </c>
      <c r="R1135" s="11">
        <v>0</v>
      </c>
      <c r="S1135" s="11">
        <v>0</v>
      </c>
      <c r="T1135" s="11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0</v>
      </c>
      <c r="AM1135">
        <v>0</v>
      </c>
    </row>
    <row r="1136" spans="1:39" customFormat="1" hidden="1" x14ac:dyDescent="0.3">
      <c r="A1136" t="s">
        <v>558</v>
      </c>
      <c r="B1136" t="s">
        <v>30</v>
      </c>
      <c r="C1136" t="s">
        <v>526</v>
      </c>
      <c r="D1136" t="s">
        <v>525</v>
      </c>
      <c r="E1136" t="s">
        <v>524</v>
      </c>
      <c r="F1136" t="s">
        <v>523</v>
      </c>
      <c r="G1136" t="s">
        <v>522</v>
      </c>
      <c r="H1136" s="16">
        <v>0</v>
      </c>
      <c r="I1136" s="11">
        <v>0</v>
      </c>
      <c r="J1136" s="11">
        <v>0</v>
      </c>
      <c r="K1136" s="11">
        <v>0</v>
      </c>
      <c r="L1136" s="11">
        <v>0</v>
      </c>
      <c r="M1136" s="11">
        <v>0</v>
      </c>
      <c r="N1136" s="11">
        <v>0</v>
      </c>
      <c r="O1136" s="11">
        <v>0</v>
      </c>
      <c r="P1136" s="11">
        <v>0</v>
      </c>
      <c r="Q1136" s="11">
        <v>0</v>
      </c>
      <c r="R1136" s="11">
        <v>0</v>
      </c>
      <c r="S1136" s="11">
        <v>0</v>
      </c>
      <c r="T1136" s="11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2.2984278753332699E-3</v>
      </c>
      <c r="AJ1136">
        <v>3.5915670006823998E-3</v>
      </c>
      <c r="AK1136">
        <v>0</v>
      </c>
      <c r="AL1136">
        <v>0</v>
      </c>
      <c r="AM1136">
        <v>0</v>
      </c>
    </row>
    <row r="1137" spans="1:39" customFormat="1" hidden="1" x14ac:dyDescent="0.3">
      <c r="A1137" t="s">
        <v>557</v>
      </c>
      <c r="B1137" t="s">
        <v>30</v>
      </c>
      <c r="C1137" t="s">
        <v>526</v>
      </c>
      <c r="D1137" t="s">
        <v>525</v>
      </c>
      <c r="E1137" t="s">
        <v>524</v>
      </c>
      <c r="F1137" t="s">
        <v>523</v>
      </c>
      <c r="G1137" t="s">
        <v>522</v>
      </c>
      <c r="H1137" s="16">
        <v>0</v>
      </c>
      <c r="I1137" s="11">
        <v>0</v>
      </c>
      <c r="J1137" s="11">
        <v>0</v>
      </c>
      <c r="K1137" s="11">
        <v>0</v>
      </c>
      <c r="L1137" s="11">
        <v>0</v>
      </c>
      <c r="M1137" s="11">
        <v>0</v>
      </c>
      <c r="N1137" s="11">
        <v>0</v>
      </c>
      <c r="O1137" s="11">
        <v>0</v>
      </c>
      <c r="P1137" s="11">
        <v>0</v>
      </c>
      <c r="Q1137" s="11">
        <v>0</v>
      </c>
      <c r="R1137" s="11">
        <v>0</v>
      </c>
      <c r="S1137" s="11">
        <v>0</v>
      </c>
      <c r="T1137" s="11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6.2912865681031801E-3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>
        <v>0</v>
      </c>
      <c r="AM1137">
        <v>0</v>
      </c>
    </row>
    <row r="1138" spans="1:39" customFormat="1" hidden="1" x14ac:dyDescent="0.3">
      <c r="A1138" t="s">
        <v>556</v>
      </c>
      <c r="B1138" t="s">
        <v>30</v>
      </c>
      <c r="C1138" t="s">
        <v>526</v>
      </c>
      <c r="D1138" t="s">
        <v>525</v>
      </c>
      <c r="E1138" t="s">
        <v>524</v>
      </c>
      <c r="F1138" t="s">
        <v>523</v>
      </c>
      <c r="G1138" t="s">
        <v>522</v>
      </c>
      <c r="H1138" s="16">
        <v>0</v>
      </c>
      <c r="I1138" s="11">
        <v>0</v>
      </c>
      <c r="J1138" s="11">
        <v>0</v>
      </c>
      <c r="K1138" s="11">
        <v>0</v>
      </c>
      <c r="L1138" s="11">
        <v>0</v>
      </c>
      <c r="M1138" s="11">
        <v>0</v>
      </c>
      <c r="N1138" s="11">
        <v>0</v>
      </c>
      <c r="O1138" s="11">
        <v>0</v>
      </c>
      <c r="P1138" s="11">
        <v>0</v>
      </c>
      <c r="Q1138" s="11">
        <v>0</v>
      </c>
      <c r="R1138" s="11">
        <v>0</v>
      </c>
      <c r="S1138" s="11">
        <v>0</v>
      </c>
      <c r="T1138" s="11">
        <v>0</v>
      </c>
      <c r="U1138">
        <v>0</v>
      </c>
      <c r="V1138">
        <v>3.6144142841652502E-3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>
        <v>0</v>
      </c>
      <c r="AH1138">
        <v>0</v>
      </c>
      <c r="AI1138">
        <v>0</v>
      </c>
      <c r="AJ1138">
        <v>0</v>
      </c>
      <c r="AK1138">
        <v>0</v>
      </c>
      <c r="AL1138">
        <v>0</v>
      </c>
      <c r="AM1138">
        <v>0</v>
      </c>
    </row>
    <row r="1139" spans="1:39" customFormat="1" hidden="1" x14ac:dyDescent="0.3">
      <c r="A1139" t="s">
        <v>555</v>
      </c>
      <c r="B1139" t="s">
        <v>30</v>
      </c>
      <c r="C1139" t="s">
        <v>526</v>
      </c>
      <c r="D1139" t="s">
        <v>525</v>
      </c>
      <c r="E1139" t="s">
        <v>524</v>
      </c>
      <c r="F1139" t="s">
        <v>523</v>
      </c>
      <c r="G1139" t="s">
        <v>522</v>
      </c>
      <c r="H1139" s="16">
        <v>0</v>
      </c>
      <c r="I1139" s="11">
        <v>0</v>
      </c>
      <c r="J1139" s="11">
        <v>0</v>
      </c>
      <c r="K1139" s="11">
        <v>0</v>
      </c>
      <c r="L1139" s="11">
        <v>0</v>
      </c>
      <c r="M1139" s="11">
        <v>0</v>
      </c>
      <c r="N1139" s="11">
        <v>0</v>
      </c>
      <c r="O1139" s="11">
        <v>0</v>
      </c>
      <c r="P1139" s="11">
        <v>0</v>
      </c>
      <c r="Q1139" s="11">
        <v>0</v>
      </c>
      <c r="R1139" s="11">
        <v>2.2441148089136199E-3</v>
      </c>
      <c r="S1139" s="11">
        <v>0</v>
      </c>
      <c r="T1139" s="11">
        <v>0</v>
      </c>
      <c r="U1139">
        <v>0</v>
      </c>
      <c r="V1139">
        <v>3.6144142841652502E-3</v>
      </c>
      <c r="W1139">
        <v>0</v>
      </c>
      <c r="X1139">
        <v>6.4242579982012101E-3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>
        <v>0</v>
      </c>
      <c r="AH1139">
        <v>0</v>
      </c>
      <c r="AI1139">
        <v>0</v>
      </c>
      <c r="AJ1139">
        <v>0</v>
      </c>
      <c r="AK1139">
        <v>0</v>
      </c>
      <c r="AL1139">
        <v>0</v>
      </c>
      <c r="AM1139">
        <v>0</v>
      </c>
    </row>
    <row r="1140" spans="1:39" customFormat="1" hidden="1" x14ac:dyDescent="0.3">
      <c r="A1140" t="s">
        <v>554</v>
      </c>
      <c r="B1140" t="s">
        <v>30</v>
      </c>
      <c r="C1140" t="s">
        <v>526</v>
      </c>
      <c r="D1140" t="s">
        <v>525</v>
      </c>
      <c r="E1140" t="s">
        <v>524</v>
      </c>
      <c r="F1140" t="s">
        <v>523</v>
      </c>
      <c r="G1140" t="s">
        <v>25</v>
      </c>
      <c r="H1140" s="16">
        <v>0</v>
      </c>
      <c r="I1140" s="11">
        <v>0</v>
      </c>
      <c r="J1140" s="11">
        <v>0</v>
      </c>
      <c r="K1140" s="11">
        <v>0</v>
      </c>
      <c r="L1140" s="11">
        <v>0</v>
      </c>
      <c r="M1140" s="11">
        <v>0</v>
      </c>
      <c r="N1140" s="11">
        <v>0</v>
      </c>
      <c r="O1140" s="11">
        <v>0</v>
      </c>
      <c r="P1140" s="11">
        <v>0</v>
      </c>
      <c r="Q1140" s="11">
        <v>0</v>
      </c>
      <c r="R1140" s="11">
        <v>0</v>
      </c>
      <c r="S1140" s="11">
        <v>0</v>
      </c>
      <c r="T1140" s="11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0</v>
      </c>
      <c r="AH1140">
        <v>0</v>
      </c>
      <c r="AI1140">
        <v>0</v>
      </c>
      <c r="AJ1140">
        <v>0</v>
      </c>
      <c r="AK1140">
        <v>0</v>
      </c>
      <c r="AL1140">
        <v>3.5844863431070302E-3</v>
      </c>
      <c r="AM1140">
        <v>0</v>
      </c>
    </row>
    <row r="1141" spans="1:39" customFormat="1" hidden="1" x14ac:dyDescent="0.3">
      <c r="A1141" t="s">
        <v>553</v>
      </c>
      <c r="B1141" t="s">
        <v>30</v>
      </c>
      <c r="C1141" t="s">
        <v>526</v>
      </c>
      <c r="D1141" t="s">
        <v>525</v>
      </c>
      <c r="E1141" t="s">
        <v>524</v>
      </c>
      <c r="F1141" t="s">
        <v>523</v>
      </c>
      <c r="G1141" t="s">
        <v>522</v>
      </c>
      <c r="H1141" s="16">
        <v>0</v>
      </c>
      <c r="I1141" s="11">
        <v>0</v>
      </c>
      <c r="J1141" s="11">
        <v>0</v>
      </c>
      <c r="K1141" s="11">
        <v>0</v>
      </c>
      <c r="L1141" s="11">
        <v>0</v>
      </c>
      <c r="M1141" s="11">
        <v>0</v>
      </c>
      <c r="N1141" s="11">
        <v>0</v>
      </c>
      <c r="O1141" s="11">
        <v>0</v>
      </c>
      <c r="P1141" s="11">
        <v>0</v>
      </c>
      <c r="Q1141" s="11">
        <v>0</v>
      </c>
      <c r="R1141" s="11">
        <v>2.2441148089136199E-3</v>
      </c>
      <c r="S1141" s="11">
        <v>0</v>
      </c>
      <c r="T1141" s="1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>
        <v>0</v>
      </c>
      <c r="AH1141">
        <v>0</v>
      </c>
      <c r="AI1141">
        <v>2.2984278753332699E-3</v>
      </c>
      <c r="AJ1141">
        <v>0</v>
      </c>
      <c r="AK1141">
        <v>0</v>
      </c>
      <c r="AL1141">
        <v>0</v>
      </c>
      <c r="AM1141">
        <v>0</v>
      </c>
    </row>
    <row r="1142" spans="1:39" customFormat="1" hidden="1" x14ac:dyDescent="0.3">
      <c r="A1142" t="s">
        <v>552</v>
      </c>
      <c r="B1142" t="s">
        <v>30</v>
      </c>
      <c r="C1142" t="s">
        <v>526</v>
      </c>
      <c r="D1142" t="s">
        <v>525</v>
      </c>
      <c r="E1142" t="s">
        <v>524</v>
      </c>
      <c r="F1142" t="s">
        <v>523</v>
      </c>
      <c r="G1142" t="s">
        <v>522</v>
      </c>
      <c r="H1142" s="16">
        <v>0</v>
      </c>
      <c r="I1142" s="11">
        <v>0</v>
      </c>
      <c r="J1142" s="11">
        <v>0</v>
      </c>
      <c r="K1142" s="11">
        <v>0</v>
      </c>
      <c r="L1142" s="11">
        <v>0</v>
      </c>
      <c r="M1142" s="11">
        <v>0</v>
      </c>
      <c r="N1142" s="11">
        <v>0</v>
      </c>
      <c r="O1142" s="11">
        <v>3.75023438964935E-3</v>
      </c>
      <c r="P1142" s="11">
        <v>3.3947788301592198E-3</v>
      </c>
      <c r="Q1142" s="11">
        <v>0</v>
      </c>
      <c r="R1142" s="11">
        <v>0</v>
      </c>
      <c r="S1142" s="11">
        <v>0</v>
      </c>
      <c r="T1142" s="11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3.14564328405159E-3</v>
      </c>
      <c r="AE1142">
        <v>0</v>
      </c>
      <c r="AF1142">
        <v>0</v>
      </c>
      <c r="AG1142">
        <v>0</v>
      </c>
      <c r="AH1142">
        <v>0</v>
      </c>
      <c r="AI1142">
        <v>2.2984278753332699E-3</v>
      </c>
      <c r="AJ1142">
        <v>0</v>
      </c>
      <c r="AK1142">
        <v>0</v>
      </c>
      <c r="AL1142">
        <v>0</v>
      </c>
      <c r="AM1142">
        <v>0</v>
      </c>
    </row>
    <row r="1143" spans="1:39" customFormat="1" hidden="1" x14ac:dyDescent="0.3">
      <c r="A1143" t="s">
        <v>551</v>
      </c>
      <c r="B1143" t="s">
        <v>30</v>
      </c>
      <c r="C1143" t="s">
        <v>526</v>
      </c>
      <c r="D1143" t="s">
        <v>525</v>
      </c>
      <c r="E1143" t="s">
        <v>524</v>
      </c>
      <c r="F1143" t="s">
        <v>523</v>
      </c>
      <c r="G1143" t="s">
        <v>522</v>
      </c>
      <c r="H1143" s="16">
        <v>0</v>
      </c>
      <c r="I1143" s="11">
        <v>0</v>
      </c>
      <c r="J1143" s="11">
        <v>0</v>
      </c>
      <c r="K1143" s="11">
        <v>0</v>
      </c>
      <c r="L1143" s="11">
        <v>0</v>
      </c>
      <c r="M1143" s="11">
        <v>0</v>
      </c>
      <c r="N1143" s="11">
        <v>0</v>
      </c>
      <c r="O1143" s="11">
        <v>0</v>
      </c>
      <c r="P1143" s="11">
        <v>0</v>
      </c>
      <c r="Q1143" s="11">
        <v>0</v>
      </c>
      <c r="R1143" s="11">
        <v>0</v>
      </c>
      <c r="S1143" s="11">
        <v>0</v>
      </c>
      <c r="T1143" s="11">
        <v>0</v>
      </c>
      <c r="U1143">
        <v>0</v>
      </c>
      <c r="V1143">
        <v>7.2288285683305004E-3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0</v>
      </c>
      <c r="AH1143">
        <v>0</v>
      </c>
      <c r="AI1143">
        <v>0</v>
      </c>
      <c r="AJ1143">
        <v>0</v>
      </c>
      <c r="AK1143">
        <v>0</v>
      </c>
      <c r="AL1143">
        <v>0</v>
      </c>
      <c r="AM1143">
        <v>0</v>
      </c>
    </row>
    <row r="1144" spans="1:39" customFormat="1" hidden="1" x14ac:dyDescent="0.3">
      <c r="A1144" t="s">
        <v>549</v>
      </c>
      <c r="B1144" t="s">
        <v>30</v>
      </c>
      <c r="C1144" t="s">
        <v>526</v>
      </c>
      <c r="D1144" t="s">
        <v>525</v>
      </c>
      <c r="E1144" t="s">
        <v>524</v>
      </c>
      <c r="F1144" t="s">
        <v>523</v>
      </c>
      <c r="G1144" t="s">
        <v>522</v>
      </c>
      <c r="H1144" s="16">
        <v>0</v>
      </c>
      <c r="I1144" s="11">
        <v>0</v>
      </c>
      <c r="J1144" s="11">
        <v>0</v>
      </c>
      <c r="K1144" s="11">
        <v>0</v>
      </c>
      <c r="L1144" s="11">
        <v>0</v>
      </c>
      <c r="M1144" s="11">
        <v>0</v>
      </c>
      <c r="N1144" s="11">
        <v>0</v>
      </c>
      <c r="O1144" s="11">
        <v>3.75023438964935E-3</v>
      </c>
      <c r="P1144" s="11">
        <v>0</v>
      </c>
      <c r="Q1144" s="11">
        <v>0</v>
      </c>
      <c r="R1144" s="11">
        <v>0</v>
      </c>
      <c r="S1144" s="11">
        <v>0</v>
      </c>
      <c r="T1144" s="11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>
        <v>0</v>
      </c>
      <c r="AH1144">
        <v>0</v>
      </c>
      <c r="AI1144">
        <v>0</v>
      </c>
      <c r="AJ1144">
        <v>0</v>
      </c>
      <c r="AK1144">
        <v>0</v>
      </c>
      <c r="AL1144">
        <v>0</v>
      </c>
      <c r="AM1144">
        <v>0</v>
      </c>
    </row>
    <row r="1145" spans="1:39" customFormat="1" hidden="1" x14ac:dyDescent="0.3">
      <c r="A1145" t="s">
        <v>548</v>
      </c>
      <c r="B1145" t="s">
        <v>30</v>
      </c>
      <c r="C1145" t="s">
        <v>526</v>
      </c>
      <c r="D1145" t="s">
        <v>525</v>
      </c>
      <c r="E1145" t="s">
        <v>524</v>
      </c>
      <c r="F1145" t="s">
        <v>523</v>
      </c>
      <c r="G1145" t="s">
        <v>522</v>
      </c>
      <c r="H1145" s="16">
        <v>0</v>
      </c>
      <c r="I1145" s="11">
        <v>0</v>
      </c>
      <c r="J1145" s="11">
        <v>0</v>
      </c>
      <c r="K1145" s="11">
        <v>0</v>
      </c>
      <c r="L1145" s="11">
        <v>0</v>
      </c>
      <c r="M1145" s="11">
        <v>0</v>
      </c>
      <c r="N1145" s="11">
        <v>0</v>
      </c>
      <c r="O1145" s="11">
        <v>0</v>
      </c>
      <c r="P1145" s="11">
        <v>0</v>
      </c>
      <c r="Q1145" s="11">
        <v>0</v>
      </c>
      <c r="R1145" s="11">
        <v>0</v>
      </c>
      <c r="S1145" s="11">
        <v>0</v>
      </c>
      <c r="T1145" s="11">
        <v>3.3464962184592698E-3</v>
      </c>
      <c r="U1145">
        <v>3.04201016031394E-3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0</v>
      </c>
      <c r="AH1145">
        <v>0</v>
      </c>
      <c r="AI1145">
        <v>0</v>
      </c>
      <c r="AJ1145">
        <v>3.5915670006823998E-3</v>
      </c>
      <c r="AK1145">
        <v>0</v>
      </c>
      <c r="AL1145">
        <v>0</v>
      </c>
      <c r="AM1145">
        <v>0</v>
      </c>
    </row>
    <row r="1146" spans="1:39" customFormat="1" hidden="1" x14ac:dyDescent="0.3">
      <c r="A1146" t="s">
        <v>546</v>
      </c>
      <c r="B1146" t="s">
        <v>30</v>
      </c>
      <c r="C1146" t="s">
        <v>526</v>
      </c>
      <c r="D1146" t="s">
        <v>525</v>
      </c>
      <c r="E1146" t="s">
        <v>524</v>
      </c>
      <c r="F1146" t="s">
        <v>523</v>
      </c>
      <c r="G1146" t="s">
        <v>25</v>
      </c>
      <c r="H1146" s="16">
        <v>0</v>
      </c>
      <c r="I1146" s="11">
        <v>0</v>
      </c>
      <c r="J1146" s="11">
        <v>0</v>
      </c>
      <c r="K1146" s="11">
        <v>0</v>
      </c>
      <c r="L1146" s="11">
        <v>0</v>
      </c>
      <c r="M1146" s="11">
        <v>0</v>
      </c>
      <c r="N1146" s="11">
        <v>0</v>
      </c>
      <c r="O1146" s="11">
        <v>0</v>
      </c>
      <c r="P1146" s="11">
        <v>0</v>
      </c>
      <c r="Q1146" s="11">
        <v>0</v>
      </c>
      <c r="R1146" s="11">
        <v>0</v>
      </c>
      <c r="S1146" s="11">
        <v>0</v>
      </c>
      <c r="T1146" s="11">
        <v>0</v>
      </c>
      <c r="U1146">
        <v>0</v>
      </c>
      <c r="V1146">
        <v>0</v>
      </c>
      <c r="W1146">
        <v>2.6668088964744798E-3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</v>
      </c>
      <c r="AE1146">
        <v>0</v>
      </c>
      <c r="AF1146">
        <v>0</v>
      </c>
      <c r="AG1146">
        <v>0</v>
      </c>
      <c r="AH1146">
        <v>0</v>
      </c>
      <c r="AI1146">
        <v>0</v>
      </c>
      <c r="AJ1146">
        <v>0</v>
      </c>
      <c r="AK1146">
        <v>0</v>
      </c>
      <c r="AL1146">
        <v>3.5844863431070302E-3</v>
      </c>
      <c r="AM1146">
        <v>0</v>
      </c>
    </row>
    <row r="1147" spans="1:39" customFormat="1" hidden="1" x14ac:dyDescent="0.3">
      <c r="A1147" t="s">
        <v>545</v>
      </c>
      <c r="B1147" t="s">
        <v>30</v>
      </c>
      <c r="C1147" t="s">
        <v>526</v>
      </c>
      <c r="D1147" t="s">
        <v>525</v>
      </c>
      <c r="E1147" t="s">
        <v>524</v>
      </c>
      <c r="F1147" t="s">
        <v>523</v>
      </c>
      <c r="G1147" t="s">
        <v>522</v>
      </c>
      <c r="H1147" s="16">
        <v>0</v>
      </c>
      <c r="I1147" s="11">
        <v>0</v>
      </c>
      <c r="J1147" s="11">
        <v>0</v>
      </c>
      <c r="K1147" s="11">
        <v>0</v>
      </c>
      <c r="L1147" s="11">
        <v>0</v>
      </c>
      <c r="M1147" s="11">
        <v>0</v>
      </c>
      <c r="N1147" s="11">
        <v>0</v>
      </c>
      <c r="O1147" s="11">
        <v>0</v>
      </c>
      <c r="P1147" s="11">
        <v>0</v>
      </c>
      <c r="Q1147" s="11">
        <v>0</v>
      </c>
      <c r="R1147" s="11">
        <v>0</v>
      </c>
      <c r="S1147" s="11">
        <v>0</v>
      </c>
      <c r="T1147" s="11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>
        <v>0</v>
      </c>
      <c r="AJ1147">
        <v>3.5915670006823998E-3</v>
      </c>
      <c r="AK1147">
        <v>0</v>
      </c>
      <c r="AL1147">
        <v>0</v>
      </c>
      <c r="AM1147">
        <v>0</v>
      </c>
    </row>
    <row r="1148" spans="1:39" customFormat="1" hidden="1" x14ac:dyDescent="0.3">
      <c r="A1148" t="s">
        <v>544</v>
      </c>
      <c r="B1148" t="s">
        <v>30</v>
      </c>
      <c r="C1148" t="s">
        <v>526</v>
      </c>
      <c r="D1148" t="s">
        <v>525</v>
      </c>
      <c r="E1148" t="s">
        <v>524</v>
      </c>
      <c r="F1148" t="s">
        <v>523</v>
      </c>
      <c r="G1148" t="s">
        <v>522</v>
      </c>
      <c r="H1148" s="16">
        <v>0</v>
      </c>
      <c r="I1148" s="11">
        <v>0</v>
      </c>
      <c r="J1148" s="11">
        <v>0</v>
      </c>
      <c r="K1148" s="11">
        <v>0</v>
      </c>
      <c r="L1148" s="11">
        <v>0</v>
      </c>
      <c r="M1148" s="11">
        <v>0</v>
      </c>
      <c r="N1148" s="11">
        <v>0</v>
      </c>
      <c r="O1148" s="11">
        <v>0</v>
      </c>
      <c r="P1148" s="11">
        <v>0</v>
      </c>
      <c r="Q1148" s="11">
        <v>0</v>
      </c>
      <c r="R1148" s="11">
        <v>0</v>
      </c>
      <c r="S1148" s="11">
        <v>0</v>
      </c>
      <c r="T1148" s="11">
        <v>0</v>
      </c>
      <c r="U1148">
        <v>0</v>
      </c>
      <c r="V1148">
        <v>3.6144142841652502E-3</v>
      </c>
      <c r="W1148">
        <v>0</v>
      </c>
      <c r="X1148">
        <v>0</v>
      </c>
      <c r="Y1148">
        <v>2.9264581077521898E-3</v>
      </c>
      <c r="Z1148">
        <v>0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0</v>
      </c>
      <c r="AH1148">
        <v>0</v>
      </c>
      <c r="AI1148">
        <v>0</v>
      </c>
      <c r="AJ1148">
        <v>0</v>
      </c>
      <c r="AK1148">
        <v>0</v>
      </c>
      <c r="AL1148">
        <v>0</v>
      </c>
      <c r="AM1148">
        <v>0</v>
      </c>
    </row>
    <row r="1149" spans="1:39" customFormat="1" hidden="1" x14ac:dyDescent="0.3">
      <c r="A1149" t="s">
        <v>542</v>
      </c>
      <c r="B1149" t="s">
        <v>30</v>
      </c>
      <c r="C1149" t="s">
        <v>526</v>
      </c>
      <c r="D1149" t="s">
        <v>525</v>
      </c>
      <c r="E1149" t="s">
        <v>524</v>
      </c>
      <c r="F1149" t="s">
        <v>523</v>
      </c>
      <c r="G1149" t="s">
        <v>532</v>
      </c>
      <c r="H1149" s="16">
        <v>0</v>
      </c>
      <c r="I1149" s="11">
        <v>0</v>
      </c>
      <c r="J1149" s="11">
        <v>0</v>
      </c>
      <c r="K1149" s="11">
        <v>0</v>
      </c>
      <c r="L1149" s="11">
        <v>0</v>
      </c>
      <c r="M1149" s="11">
        <v>0</v>
      </c>
      <c r="N1149" s="11">
        <v>0</v>
      </c>
      <c r="O1149" s="11">
        <v>0</v>
      </c>
      <c r="P1149" s="11">
        <v>0</v>
      </c>
      <c r="Q1149" s="11">
        <v>0</v>
      </c>
      <c r="R1149" s="11">
        <v>2.2441148089136199E-3</v>
      </c>
      <c r="S1149" s="11">
        <v>0</v>
      </c>
      <c r="T1149" s="11">
        <v>0</v>
      </c>
      <c r="U1149">
        <v>0</v>
      </c>
      <c r="V1149">
        <v>0</v>
      </c>
      <c r="W1149">
        <v>0</v>
      </c>
      <c r="X1149">
        <v>6.4242579982012101E-3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0</v>
      </c>
      <c r="AM1149">
        <v>0</v>
      </c>
    </row>
    <row r="1150" spans="1:39" customFormat="1" hidden="1" x14ac:dyDescent="0.3">
      <c r="A1150" t="s">
        <v>541</v>
      </c>
      <c r="B1150" t="s">
        <v>30</v>
      </c>
      <c r="C1150" t="s">
        <v>526</v>
      </c>
      <c r="D1150" t="s">
        <v>525</v>
      </c>
      <c r="E1150" t="s">
        <v>524</v>
      </c>
      <c r="F1150" t="s">
        <v>523</v>
      </c>
      <c r="G1150" t="s">
        <v>522</v>
      </c>
      <c r="H1150" s="16">
        <v>0</v>
      </c>
      <c r="I1150" s="11">
        <v>0</v>
      </c>
      <c r="J1150" s="11">
        <v>0</v>
      </c>
      <c r="K1150" s="11">
        <v>0</v>
      </c>
      <c r="L1150" s="11">
        <v>0</v>
      </c>
      <c r="M1150" s="11">
        <v>0</v>
      </c>
      <c r="N1150" s="11">
        <v>0</v>
      </c>
      <c r="O1150" s="11">
        <v>0</v>
      </c>
      <c r="P1150" s="11">
        <v>0</v>
      </c>
      <c r="Q1150" s="11">
        <v>0</v>
      </c>
      <c r="R1150" s="11">
        <v>0</v>
      </c>
      <c r="S1150" s="11">
        <v>0</v>
      </c>
      <c r="T1150" s="11">
        <v>0</v>
      </c>
      <c r="U1150">
        <v>0</v>
      </c>
      <c r="V1150">
        <v>3.6144142841652502E-3</v>
      </c>
      <c r="W1150">
        <v>0</v>
      </c>
      <c r="X1150">
        <v>6.4242579982012101E-3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0</v>
      </c>
      <c r="AM1150">
        <v>0</v>
      </c>
    </row>
    <row r="1151" spans="1:39" customFormat="1" hidden="1" x14ac:dyDescent="0.3">
      <c r="A1151" t="s">
        <v>540</v>
      </c>
      <c r="B1151" t="s">
        <v>30</v>
      </c>
      <c r="C1151" t="s">
        <v>526</v>
      </c>
      <c r="D1151" t="s">
        <v>525</v>
      </c>
      <c r="E1151" t="s">
        <v>524</v>
      </c>
      <c r="F1151" t="s">
        <v>523</v>
      </c>
      <c r="G1151" t="s">
        <v>522</v>
      </c>
      <c r="H1151" s="16">
        <v>0</v>
      </c>
      <c r="I1151" s="11">
        <v>0</v>
      </c>
      <c r="J1151" s="11">
        <v>0</v>
      </c>
      <c r="K1151" s="11">
        <v>0</v>
      </c>
      <c r="L1151" s="11">
        <v>0</v>
      </c>
      <c r="M1151" s="11">
        <v>0</v>
      </c>
      <c r="N1151" s="11">
        <v>0</v>
      </c>
      <c r="O1151" s="11">
        <v>0</v>
      </c>
      <c r="P1151" s="11">
        <v>0</v>
      </c>
      <c r="Q1151" s="11">
        <v>0</v>
      </c>
      <c r="R1151" s="11">
        <v>0</v>
      </c>
      <c r="S1151" s="11">
        <v>0</v>
      </c>
      <c r="T1151" s="11">
        <v>0</v>
      </c>
      <c r="U1151">
        <v>0</v>
      </c>
      <c r="V1151">
        <v>0</v>
      </c>
      <c r="W1151">
        <v>0</v>
      </c>
      <c r="X1151">
        <v>0</v>
      </c>
      <c r="Y1151">
        <v>5.8529162155043701E-3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>
        <v>0</v>
      </c>
      <c r="AM1151">
        <v>0</v>
      </c>
    </row>
    <row r="1152" spans="1:39" customFormat="1" hidden="1" x14ac:dyDescent="0.3">
      <c r="A1152" t="s">
        <v>539</v>
      </c>
      <c r="B1152" t="s">
        <v>30</v>
      </c>
      <c r="C1152" t="s">
        <v>526</v>
      </c>
      <c r="D1152" t="s">
        <v>525</v>
      </c>
      <c r="E1152" t="s">
        <v>524</v>
      </c>
      <c r="F1152" t="s">
        <v>523</v>
      </c>
      <c r="G1152" t="s">
        <v>522</v>
      </c>
      <c r="H1152" s="16">
        <v>0</v>
      </c>
      <c r="I1152" s="11">
        <v>0</v>
      </c>
      <c r="J1152" s="11">
        <v>0</v>
      </c>
      <c r="K1152" s="11">
        <v>0</v>
      </c>
      <c r="L1152" s="11">
        <v>0</v>
      </c>
      <c r="M1152" s="11">
        <v>0</v>
      </c>
      <c r="N1152" s="11">
        <v>0</v>
      </c>
      <c r="O1152" s="11">
        <v>0</v>
      </c>
      <c r="P1152" s="11">
        <v>0</v>
      </c>
      <c r="Q1152" s="11">
        <v>0</v>
      </c>
      <c r="R1152" s="11">
        <v>2.2441148089136199E-3</v>
      </c>
      <c r="S1152" s="11">
        <v>0</v>
      </c>
      <c r="T1152" s="11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2.2984278753332699E-3</v>
      </c>
      <c r="AJ1152">
        <v>0</v>
      </c>
      <c r="AK1152">
        <v>0</v>
      </c>
      <c r="AL1152">
        <v>0</v>
      </c>
      <c r="AM1152">
        <v>0</v>
      </c>
    </row>
    <row r="1153" spans="1:39" customFormat="1" hidden="1" x14ac:dyDescent="0.3">
      <c r="A1153" t="s">
        <v>537</v>
      </c>
      <c r="B1153" t="s">
        <v>30</v>
      </c>
      <c r="C1153" t="s">
        <v>81</v>
      </c>
      <c r="D1153" t="s">
        <v>85</v>
      </c>
      <c r="E1153" t="s">
        <v>287</v>
      </c>
      <c r="F1153" t="s">
        <v>286</v>
      </c>
      <c r="G1153" t="s">
        <v>286</v>
      </c>
      <c r="H1153" s="16">
        <v>0</v>
      </c>
      <c r="I1153" s="11">
        <v>0</v>
      </c>
      <c r="J1153" s="11">
        <v>0</v>
      </c>
      <c r="K1153" s="11">
        <v>0</v>
      </c>
      <c r="L1153" s="11">
        <v>0</v>
      </c>
      <c r="M1153" s="11">
        <v>0</v>
      </c>
      <c r="N1153" s="11">
        <v>0</v>
      </c>
      <c r="O1153" s="11">
        <v>0</v>
      </c>
      <c r="P1153" s="11">
        <v>3.3947788301592198E-3</v>
      </c>
      <c r="Q1153" s="11">
        <v>0</v>
      </c>
      <c r="R1153" s="11">
        <v>0</v>
      </c>
      <c r="S1153" s="11">
        <v>0</v>
      </c>
      <c r="T1153" s="11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>
        <v>0</v>
      </c>
      <c r="AM1153">
        <v>0</v>
      </c>
    </row>
    <row r="1154" spans="1:39" customFormat="1" hidden="1" x14ac:dyDescent="0.3">
      <c r="A1154" t="s">
        <v>531</v>
      </c>
      <c r="B1154" t="s">
        <v>30</v>
      </c>
      <c r="C1154" t="s">
        <v>526</v>
      </c>
      <c r="D1154" t="s">
        <v>525</v>
      </c>
      <c r="E1154" t="s">
        <v>524</v>
      </c>
      <c r="F1154" t="s">
        <v>523</v>
      </c>
      <c r="G1154" t="s">
        <v>530</v>
      </c>
      <c r="H1154" s="16">
        <v>0</v>
      </c>
      <c r="I1154" s="11">
        <v>0</v>
      </c>
      <c r="J1154" s="11">
        <v>0</v>
      </c>
      <c r="K1154" s="11">
        <v>0</v>
      </c>
      <c r="L1154" s="11">
        <v>0</v>
      </c>
      <c r="M1154" s="11">
        <v>0</v>
      </c>
      <c r="N1154" s="11">
        <v>0</v>
      </c>
      <c r="O1154" s="11">
        <v>0</v>
      </c>
      <c r="P1154" s="11">
        <v>0</v>
      </c>
      <c r="Q1154" s="11">
        <v>0</v>
      </c>
      <c r="R1154" s="11">
        <v>2.2441148089136199E-3</v>
      </c>
      <c r="S1154" s="11">
        <v>0</v>
      </c>
      <c r="T1154" s="11">
        <v>0</v>
      </c>
      <c r="U1154">
        <v>0</v>
      </c>
      <c r="V1154">
        <v>0</v>
      </c>
      <c r="W1154">
        <v>0</v>
      </c>
      <c r="X1154">
        <v>6.4242579982012101E-3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  <c r="AJ1154">
        <v>3.5915670006823998E-3</v>
      </c>
      <c r="AK1154">
        <v>0</v>
      </c>
      <c r="AL1154">
        <v>0</v>
      </c>
      <c r="AM1154">
        <v>0</v>
      </c>
    </row>
    <row r="1155" spans="1:39" customFormat="1" hidden="1" x14ac:dyDescent="0.3">
      <c r="A1155" t="s">
        <v>529</v>
      </c>
      <c r="B1155" t="s">
        <v>30</v>
      </c>
      <c r="C1155" t="s">
        <v>526</v>
      </c>
      <c r="D1155" t="s">
        <v>525</v>
      </c>
      <c r="E1155" t="s">
        <v>524</v>
      </c>
      <c r="F1155" t="s">
        <v>523</v>
      </c>
      <c r="G1155" t="s">
        <v>25</v>
      </c>
      <c r="H1155" s="16">
        <v>0</v>
      </c>
      <c r="I1155" s="11">
        <v>0</v>
      </c>
      <c r="J1155" s="11">
        <v>0</v>
      </c>
      <c r="K1155" s="11">
        <v>0</v>
      </c>
      <c r="L1155" s="11">
        <v>0</v>
      </c>
      <c r="M1155" s="11">
        <v>0</v>
      </c>
      <c r="N1155" s="11">
        <v>0</v>
      </c>
      <c r="O1155" s="11">
        <v>0</v>
      </c>
      <c r="P1155" s="11">
        <v>0</v>
      </c>
      <c r="Q1155" s="11">
        <v>0</v>
      </c>
      <c r="R1155" s="11">
        <v>0</v>
      </c>
      <c r="S1155" s="11">
        <v>0</v>
      </c>
      <c r="T1155" s="11">
        <v>0</v>
      </c>
      <c r="U1155">
        <v>0</v>
      </c>
      <c r="V1155">
        <v>3.6144142841652502E-3</v>
      </c>
      <c r="W1155">
        <v>2.6668088964744798E-3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0</v>
      </c>
      <c r="AL1155">
        <v>0</v>
      </c>
      <c r="AM1155">
        <v>0</v>
      </c>
    </row>
    <row r="1156" spans="1:39" customFormat="1" hidden="1" x14ac:dyDescent="0.3">
      <c r="A1156" t="s">
        <v>528</v>
      </c>
      <c r="B1156" t="s">
        <v>30</v>
      </c>
      <c r="C1156" t="s">
        <v>526</v>
      </c>
      <c r="D1156" t="s">
        <v>525</v>
      </c>
      <c r="E1156" t="s">
        <v>524</v>
      </c>
      <c r="F1156" t="s">
        <v>523</v>
      </c>
      <c r="G1156" t="s">
        <v>522</v>
      </c>
      <c r="H1156" s="16">
        <v>0</v>
      </c>
      <c r="I1156" s="11">
        <v>0</v>
      </c>
      <c r="J1156" s="11">
        <v>0</v>
      </c>
      <c r="K1156" s="11">
        <v>0</v>
      </c>
      <c r="L1156" s="11">
        <v>0</v>
      </c>
      <c r="M1156" s="11">
        <v>0</v>
      </c>
      <c r="N1156" s="11">
        <v>0</v>
      </c>
      <c r="O1156" s="11">
        <v>0</v>
      </c>
      <c r="P1156" s="11">
        <v>0</v>
      </c>
      <c r="Q1156" s="11">
        <v>2.7492920572952501E-3</v>
      </c>
      <c r="R1156" s="11">
        <v>0</v>
      </c>
      <c r="S1156" s="11">
        <v>0</v>
      </c>
      <c r="T1156" s="11">
        <v>0</v>
      </c>
      <c r="U1156">
        <v>0</v>
      </c>
      <c r="V1156">
        <v>0</v>
      </c>
      <c r="W1156">
        <v>0</v>
      </c>
      <c r="X1156">
        <v>0</v>
      </c>
      <c r="Y1156">
        <v>2.9264581077521898E-3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6.02700096432015E-3</v>
      </c>
      <c r="AL1156">
        <v>0</v>
      </c>
      <c r="AM1156">
        <v>0</v>
      </c>
    </row>
    <row r="1157" spans="1:39" customFormat="1" hidden="1" x14ac:dyDescent="0.3">
      <c r="A1157" t="s">
        <v>527</v>
      </c>
      <c r="B1157" t="s">
        <v>30</v>
      </c>
      <c r="C1157" t="s">
        <v>526</v>
      </c>
      <c r="D1157" t="s">
        <v>525</v>
      </c>
      <c r="E1157" t="s">
        <v>524</v>
      </c>
      <c r="F1157" t="s">
        <v>523</v>
      </c>
      <c r="G1157" t="s">
        <v>522</v>
      </c>
      <c r="H1157" s="16">
        <v>0</v>
      </c>
      <c r="I1157" s="11">
        <v>0</v>
      </c>
      <c r="J1157" s="11">
        <v>0</v>
      </c>
      <c r="K1157" s="11">
        <v>0</v>
      </c>
      <c r="L1157" s="11">
        <v>0</v>
      </c>
      <c r="M1157" s="11">
        <v>0</v>
      </c>
      <c r="N1157" s="11">
        <v>0</v>
      </c>
      <c r="O1157" s="11">
        <v>0</v>
      </c>
      <c r="P1157" s="11">
        <v>0</v>
      </c>
      <c r="Q1157" s="11">
        <v>0</v>
      </c>
      <c r="R1157" s="11">
        <v>2.2441148089136199E-3</v>
      </c>
      <c r="S1157" s="11">
        <v>0</v>
      </c>
      <c r="T1157" s="11">
        <v>3.3464962184592698E-3</v>
      </c>
      <c r="U1157">
        <v>0</v>
      </c>
      <c r="V1157">
        <v>3.6144142841652502E-3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0</v>
      </c>
      <c r="AL1157">
        <v>0</v>
      </c>
      <c r="AM1157">
        <v>0</v>
      </c>
    </row>
    <row r="1158" spans="1:39" customFormat="1" hidden="1" x14ac:dyDescent="0.3">
      <c r="A1158" t="s">
        <v>521</v>
      </c>
      <c r="B1158" t="s">
        <v>30</v>
      </c>
      <c r="C1158" t="s">
        <v>81</v>
      </c>
      <c r="D1158" t="s">
        <v>85</v>
      </c>
      <c r="E1158" t="s">
        <v>287</v>
      </c>
      <c r="F1158" t="s">
        <v>286</v>
      </c>
      <c r="G1158" t="s">
        <v>286</v>
      </c>
      <c r="H1158" s="16">
        <v>0</v>
      </c>
      <c r="I1158" s="11">
        <v>0</v>
      </c>
      <c r="J1158" s="11">
        <v>0</v>
      </c>
      <c r="K1158" s="11">
        <v>0</v>
      </c>
      <c r="L1158" s="11">
        <v>0</v>
      </c>
      <c r="M1158" s="11">
        <v>0</v>
      </c>
      <c r="N1158" s="11">
        <v>0</v>
      </c>
      <c r="O1158" s="11">
        <v>7.5004687792987104E-3</v>
      </c>
      <c r="P1158" s="11">
        <v>0</v>
      </c>
      <c r="Q1158" s="11">
        <v>0</v>
      </c>
      <c r="R1158" s="11">
        <v>0</v>
      </c>
      <c r="S1158" s="11">
        <v>0</v>
      </c>
      <c r="T1158" s="11">
        <v>0</v>
      </c>
      <c r="U1158">
        <v>0</v>
      </c>
      <c r="V1158">
        <v>0</v>
      </c>
      <c r="W1158">
        <v>0</v>
      </c>
      <c r="X1158">
        <v>0</v>
      </c>
      <c r="Y1158">
        <v>2.9264581077521898E-3</v>
      </c>
      <c r="Z1158">
        <v>0</v>
      </c>
      <c r="AA1158">
        <v>0</v>
      </c>
      <c r="AB1158">
        <v>0</v>
      </c>
      <c r="AC1158">
        <v>0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0</v>
      </c>
      <c r="AL1158">
        <v>3.5844863431070302E-3</v>
      </c>
      <c r="AM1158">
        <v>0</v>
      </c>
    </row>
    <row r="1159" spans="1:39" customFormat="1" hidden="1" x14ac:dyDescent="0.3">
      <c r="A1159" t="s">
        <v>520</v>
      </c>
      <c r="B1159" t="s">
        <v>30</v>
      </c>
      <c r="C1159" t="s">
        <v>81</v>
      </c>
      <c r="D1159" t="s">
        <v>85</v>
      </c>
      <c r="E1159" t="s">
        <v>287</v>
      </c>
      <c r="F1159" t="s">
        <v>286</v>
      </c>
      <c r="G1159" t="s">
        <v>286</v>
      </c>
      <c r="H1159" s="16">
        <v>0</v>
      </c>
      <c r="I1159" s="11">
        <v>0</v>
      </c>
      <c r="J1159" s="11">
        <v>0</v>
      </c>
      <c r="K1159" s="11">
        <v>0</v>
      </c>
      <c r="L1159" s="11">
        <v>0</v>
      </c>
      <c r="M1159" s="11">
        <v>0</v>
      </c>
      <c r="N1159" s="11">
        <v>0</v>
      </c>
      <c r="O1159" s="11">
        <v>0</v>
      </c>
      <c r="P1159" s="11">
        <v>0</v>
      </c>
      <c r="Q1159" s="11">
        <v>0</v>
      </c>
      <c r="R1159" s="11">
        <v>0</v>
      </c>
      <c r="S1159" s="11">
        <v>0</v>
      </c>
      <c r="T1159" s="11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7.1911405148856597E-3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0</v>
      </c>
      <c r="AL1159">
        <v>0</v>
      </c>
      <c r="AM1159">
        <v>0</v>
      </c>
    </row>
    <row r="1160" spans="1:39" customFormat="1" hidden="1" x14ac:dyDescent="0.3">
      <c r="A1160" t="s">
        <v>519</v>
      </c>
      <c r="B1160" t="s">
        <v>30</v>
      </c>
      <c r="C1160" t="s">
        <v>81</v>
      </c>
      <c r="D1160" t="s">
        <v>85</v>
      </c>
      <c r="E1160" t="s">
        <v>287</v>
      </c>
      <c r="F1160" t="s">
        <v>470</v>
      </c>
      <c r="G1160" t="s">
        <v>469</v>
      </c>
      <c r="H1160" s="16">
        <v>0</v>
      </c>
      <c r="I1160" s="11">
        <v>0</v>
      </c>
      <c r="J1160" s="11">
        <v>0</v>
      </c>
      <c r="K1160" s="11">
        <v>0</v>
      </c>
      <c r="L1160" s="11">
        <v>0</v>
      </c>
      <c r="M1160" s="11">
        <v>0</v>
      </c>
      <c r="N1160" s="11">
        <v>0</v>
      </c>
      <c r="O1160" s="11">
        <v>0</v>
      </c>
      <c r="P1160" s="11">
        <v>0</v>
      </c>
      <c r="Q1160" s="11">
        <v>0</v>
      </c>
      <c r="R1160" s="11">
        <v>2.2441148089136199E-3</v>
      </c>
      <c r="S1160" s="11">
        <v>0</v>
      </c>
      <c r="T1160" s="11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0</v>
      </c>
      <c r="AL1160">
        <v>0</v>
      </c>
      <c r="AM1160">
        <v>0</v>
      </c>
    </row>
    <row r="1161" spans="1:39" customFormat="1" hidden="1" x14ac:dyDescent="0.3">
      <c r="A1161" t="s">
        <v>518</v>
      </c>
      <c r="B1161" t="s">
        <v>30</v>
      </c>
      <c r="C1161" t="s">
        <v>81</v>
      </c>
      <c r="D1161" t="s">
        <v>85</v>
      </c>
      <c r="E1161" t="s">
        <v>287</v>
      </c>
      <c r="F1161" t="s">
        <v>286</v>
      </c>
      <c r="G1161" t="s">
        <v>286</v>
      </c>
      <c r="H1161" s="16">
        <v>0</v>
      </c>
      <c r="I1161" s="11">
        <v>0</v>
      </c>
      <c r="J1161" s="11">
        <v>0</v>
      </c>
      <c r="K1161" s="11">
        <v>0</v>
      </c>
      <c r="L1161" s="11">
        <v>0</v>
      </c>
      <c r="M1161" s="11">
        <v>0</v>
      </c>
      <c r="N1161" s="11">
        <v>0</v>
      </c>
      <c r="O1161" s="11">
        <v>0</v>
      </c>
      <c r="P1161" s="11">
        <v>0</v>
      </c>
      <c r="Q1161" s="11">
        <v>0</v>
      </c>
      <c r="R1161" s="11">
        <v>0</v>
      </c>
      <c r="S1161" s="11">
        <v>2.4883049666567102E-3</v>
      </c>
      <c r="T1161" s="11">
        <v>0</v>
      </c>
      <c r="U1161">
        <v>3.04201016031394E-3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0</v>
      </c>
      <c r="AF1161">
        <v>5.03372596395852E-3</v>
      </c>
      <c r="AG1161">
        <v>0</v>
      </c>
      <c r="AH1161">
        <v>0</v>
      </c>
      <c r="AI1161">
        <v>0</v>
      </c>
      <c r="AJ1161">
        <v>0</v>
      </c>
      <c r="AK1161">
        <v>0</v>
      </c>
      <c r="AL1161">
        <v>0</v>
      </c>
      <c r="AM1161">
        <v>0</v>
      </c>
    </row>
    <row r="1162" spans="1:39" customFormat="1" hidden="1" x14ac:dyDescent="0.3">
      <c r="A1162" t="s">
        <v>517</v>
      </c>
      <c r="B1162" t="s">
        <v>30</v>
      </c>
      <c r="C1162" t="s">
        <v>81</v>
      </c>
      <c r="D1162" t="s">
        <v>85</v>
      </c>
      <c r="E1162" t="s">
        <v>287</v>
      </c>
      <c r="F1162" t="s">
        <v>286</v>
      </c>
      <c r="G1162" t="s">
        <v>286</v>
      </c>
      <c r="H1162" s="16">
        <v>0</v>
      </c>
      <c r="I1162" s="11">
        <v>0</v>
      </c>
      <c r="J1162" s="11">
        <v>0</v>
      </c>
      <c r="K1162" s="11">
        <v>0</v>
      </c>
      <c r="L1162" s="11">
        <v>0</v>
      </c>
      <c r="M1162" s="11">
        <v>0</v>
      </c>
      <c r="N1162" s="11">
        <v>0</v>
      </c>
      <c r="O1162" s="11">
        <v>0</v>
      </c>
      <c r="P1162" s="11">
        <v>0</v>
      </c>
      <c r="Q1162" s="11">
        <v>2.7492920572952501E-3</v>
      </c>
      <c r="R1162" s="11">
        <v>0</v>
      </c>
      <c r="S1162" s="11">
        <v>0</v>
      </c>
      <c r="T1162" s="11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</v>
      </c>
      <c r="AE1162">
        <v>0</v>
      </c>
      <c r="AF1162">
        <v>0</v>
      </c>
      <c r="AG1162">
        <v>0</v>
      </c>
      <c r="AH1162">
        <v>0</v>
      </c>
      <c r="AI1162">
        <v>0</v>
      </c>
      <c r="AJ1162">
        <v>0</v>
      </c>
      <c r="AK1162">
        <v>0</v>
      </c>
      <c r="AL1162">
        <v>3.5844863431070302E-3</v>
      </c>
      <c r="AM1162">
        <v>0</v>
      </c>
    </row>
    <row r="1163" spans="1:39" customFormat="1" hidden="1" x14ac:dyDescent="0.3">
      <c r="A1163" t="s">
        <v>516</v>
      </c>
      <c r="B1163" t="s">
        <v>30</v>
      </c>
      <c r="C1163" t="s">
        <v>81</v>
      </c>
      <c r="D1163" t="s">
        <v>85</v>
      </c>
      <c r="E1163" t="s">
        <v>287</v>
      </c>
      <c r="F1163" t="s">
        <v>286</v>
      </c>
      <c r="G1163" t="s">
        <v>286</v>
      </c>
      <c r="H1163" s="16">
        <v>0</v>
      </c>
      <c r="I1163" s="11">
        <v>0</v>
      </c>
      <c r="J1163" s="11">
        <v>0</v>
      </c>
      <c r="K1163" s="11">
        <v>0</v>
      </c>
      <c r="L1163" s="11">
        <v>0</v>
      </c>
      <c r="M1163" s="11">
        <v>0</v>
      </c>
      <c r="N1163" s="11">
        <v>0</v>
      </c>
      <c r="O1163" s="11">
        <v>0</v>
      </c>
      <c r="P1163" s="11">
        <v>0</v>
      </c>
      <c r="Q1163" s="11">
        <v>0</v>
      </c>
      <c r="R1163" s="11">
        <v>0</v>
      </c>
      <c r="S1163" s="11">
        <v>0</v>
      </c>
      <c r="T1163" s="11">
        <v>0</v>
      </c>
      <c r="U1163">
        <v>0</v>
      </c>
      <c r="V1163">
        <v>0</v>
      </c>
      <c r="W1163">
        <v>0</v>
      </c>
      <c r="X1163">
        <v>6.4242579982012101E-3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>
        <v>0</v>
      </c>
      <c r="AJ1163">
        <v>0</v>
      </c>
      <c r="AK1163">
        <v>0</v>
      </c>
      <c r="AL1163">
        <v>0</v>
      </c>
      <c r="AM1163">
        <v>0</v>
      </c>
    </row>
    <row r="1164" spans="1:39" customFormat="1" hidden="1" x14ac:dyDescent="0.3">
      <c r="A1164" t="s">
        <v>515</v>
      </c>
      <c r="B1164" t="s">
        <v>30</v>
      </c>
      <c r="C1164" t="s">
        <v>81</v>
      </c>
      <c r="D1164" t="s">
        <v>85</v>
      </c>
      <c r="E1164" t="s">
        <v>287</v>
      </c>
      <c r="F1164" t="s">
        <v>286</v>
      </c>
      <c r="G1164" t="s">
        <v>286</v>
      </c>
      <c r="H1164" s="16">
        <v>0</v>
      </c>
      <c r="I1164" s="11">
        <v>0</v>
      </c>
      <c r="J1164" s="11">
        <v>0</v>
      </c>
      <c r="K1164" s="11">
        <v>0</v>
      </c>
      <c r="L1164" s="11">
        <v>0</v>
      </c>
      <c r="M1164" s="11">
        <v>0</v>
      </c>
      <c r="N1164" s="11">
        <v>0</v>
      </c>
      <c r="O1164" s="11">
        <v>0</v>
      </c>
      <c r="P1164" s="11">
        <v>0</v>
      </c>
      <c r="Q1164" s="11">
        <v>0</v>
      </c>
      <c r="R1164" s="11">
        <v>0</v>
      </c>
      <c r="S1164" s="11">
        <v>2.4883049666567102E-3</v>
      </c>
      <c r="T1164" s="11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0</v>
      </c>
      <c r="AE1164">
        <v>0</v>
      </c>
      <c r="AF1164">
        <v>0</v>
      </c>
      <c r="AG1164">
        <v>0</v>
      </c>
      <c r="AH1164">
        <v>0</v>
      </c>
      <c r="AI1164">
        <v>0</v>
      </c>
      <c r="AJ1164">
        <v>0</v>
      </c>
      <c r="AK1164">
        <v>0</v>
      </c>
      <c r="AL1164">
        <v>7.1689726862140604E-3</v>
      </c>
      <c r="AM1164">
        <v>0</v>
      </c>
    </row>
    <row r="1165" spans="1:39" customFormat="1" hidden="1" x14ac:dyDescent="0.3">
      <c r="A1165" t="s">
        <v>514</v>
      </c>
      <c r="B1165" t="s">
        <v>30</v>
      </c>
      <c r="C1165" t="s">
        <v>81</v>
      </c>
      <c r="D1165" t="s">
        <v>85</v>
      </c>
      <c r="E1165" t="s">
        <v>287</v>
      </c>
      <c r="F1165" t="s">
        <v>286</v>
      </c>
      <c r="G1165" t="s">
        <v>286</v>
      </c>
      <c r="H1165" s="16">
        <v>0</v>
      </c>
      <c r="I1165" s="11">
        <v>0</v>
      </c>
      <c r="J1165" s="11">
        <v>0</v>
      </c>
      <c r="K1165" s="11">
        <v>0</v>
      </c>
      <c r="L1165" s="11">
        <v>0</v>
      </c>
      <c r="M1165" s="11">
        <v>0</v>
      </c>
      <c r="N1165" s="11">
        <v>0</v>
      </c>
      <c r="O1165" s="11">
        <v>0</v>
      </c>
      <c r="P1165" s="11">
        <v>0</v>
      </c>
      <c r="Q1165" s="11">
        <v>0</v>
      </c>
      <c r="R1165" s="11">
        <v>2.2441148089136199E-3</v>
      </c>
      <c r="S1165" s="11">
        <v>0</v>
      </c>
      <c r="T1165" s="11">
        <v>0</v>
      </c>
      <c r="U1165">
        <v>3.04201016031394E-3</v>
      </c>
      <c r="V1165">
        <v>0</v>
      </c>
      <c r="W1165">
        <v>2.6668088964744798E-3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0</v>
      </c>
      <c r="AJ1165">
        <v>0</v>
      </c>
      <c r="AK1165">
        <v>0</v>
      </c>
      <c r="AL1165">
        <v>0</v>
      </c>
      <c r="AM1165">
        <v>0</v>
      </c>
    </row>
    <row r="1166" spans="1:39" customFormat="1" hidden="1" x14ac:dyDescent="0.3">
      <c r="A1166" t="s">
        <v>513</v>
      </c>
      <c r="B1166" t="s">
        <v>30</v>
      </c>
      <c r="C1166" t="s">
        <v>81</v>
      </c>
      <c r="D1166" t="s">
        <v>85</v>
      </c>
      <c r="E1166" t="s">
        <v>287</v>
      </c>
      <c r="F1166" t="s">
        <v>286</v>
      </c>
      <c r="G1166" t="s">
        <v>286</v>
      </c>
      <c r="H1166" s="16">
        <v>0</v>
      </c>
      <c r="I1166" s="11">
        <v>0</v>
      </c>
      <c r="J1166" s="11">
        <v>0</v>
      </c>
      <c r="K1166" s="11">
        <v>0</v>
      </c>
      <c r="L1166" s="11">
        <v>0</v>
      </c>
      <c r="M1166" s="11">
        <v>0</v>
      </c>
      <c r="N1166" s="11">
        <v>0</v>
      </c>
      <c r="O1166" s="11">
        <v>0</v>
      </c>
      <c r="P1166" s="11">
        <v>0</v>
      </c>
      <c r="Q1166" s="11">
        <v>0</v>
      </c>
      <c r="R1166" s="11">
        <v>2.2441148089136199E-3</v>
      </c>
      <c r="S1166" s="11">
        <v>0</v>
      </c>
      <c r="T1166" s="11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</v>
      </c>
      <c r="AE1166">
        <v>0</v>
      </c>
      <c r="AF1166">
        <v>0</v>
      </c>
      <c r="AG1166">
        <v>0</v>
      </c>
      <c r="AH1166">
        <v>0</v>
      </c>
      <c r="AI1166">
        <v>0</v>
      </c>
      <c r="AJ1166">
        <v>0</v>
      </c>
      <c r="AK1166">
        <v>6.02700096432015E-3</v>
      </c>
      <c r="AL1166">
        <v>3.5844863431070302E-3</v>
      </c>
      <c r="AM1166">
        <v>0</v>
      </c>
    </row>
    <row r="1167" spans="1:39" customFormat="1" hidden="1" x14ac:dyDescent="0.3">
      <c r="A1167" t="s">
        <v>512</v>
      </c>
      <c r="B1167" t="s">
        <v>30</v>
      </c>
      <c r="C1167" t="s">
        <v>81</v>
      </c>
      <c r="D1167" t="s">
        <v>85</v>
      </c>
      <c r="E1167" t="s">
        <v>287</v>
      </c>
      <c r="F1167" t="s">
        <v>286</v>
      </c>
      <c r="G1167" t="s">
        <v>286</v>
      </c>
      <c r="H1167" s="16">
        <v>0</v>
      </c>
      <c r="I1167" s="11">
        <v>0</v>
      </c>
      <c r="J1167" s="11">
        <v>0</v>
      </c>
      <c r="K1167" s="11">
        <v>0</v>
      </c>
      <c r="L1167" s="11">
        <v>0</v>
      </c>
      <c r="M1167" s="11">
        <v>0</v>
      </c>
      <c r="N1167" s="11">
        <v>0</v>
      </c>
      <c r="O1167" s="11">
        <v>0</v>
      </c>
      <c r="P1167" s="11">
        <v>0</v>
      </c>
      <c r="Q1167" s="11">
        <v>0</v>
      </c>
      <c r="R1167" s="11">
        <v>0</v>
      </c>
      <c r="S1167" s="11">
        <v>2.4883049666567102E-3</v>
      </c>
      <c r="T1167" s="11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0</v>
      </c>
      <c r="AF1167">
        <v>5.03372596395852E-3</v>
      </c>
      <c r="AG1167">
        <v>0</v>
      </c>
      <c r="AH1167">
        <v>0</v>
      </c>
      <c r="AI1167">
        <v>0</v>
      </c>
      <c r="AJ1167">
        <v>0</v>
      </c>
      <c r="AK1167">
        <v>0</v>
      </c>
      <c r="AL1167">
        <v>0</v>
      </c>
      <c r="AM1167">
        <v>0</v>
      </c>
    </row>
    <row r="1168" spans="1:39" customFormat="1" hidden="1" x14ac:dyDescent="0.3">
      <c r="A1168" t="s">
        <v>511</v>
      </c>
      <c r="B1168" t="s">
        <v>30</v>
      </c>
      <c r="C1168" t="s">
        <v>81</v>
      </c>
      <c r="D1168" t="s">
        <v>85</v>
      </c>
      <c r="E1168" t="s">
        <v>287</v>
      </c>
      <c r="F1168" t="s">
        <v>286</v>
      </c>
      <c r="G1168" t="s">
        <v>286</v>
      </c>
      <c r="H1168" s="16">
        <v>0</v>
      </c>
      <c r="I1168" s="11">
        <v>0</v>
      </c>
      <c r="J1168" s="11">
        <v>0</v>
      </c>
      <c r="K1168" s="11">
        <v>0</v>
      </c>
      <c r="L1168" s="11">
        <v>0</v>
      </c>
      <c r="M1168" s="11">
        <v>0</v>
      </c>
      <c r="N1168" s="11">
        <v>0</v>
      </c>
      <c r="O1168" s="11">
        <v>0</v>
      </c>
      <c r="P1168" s="11">
        <v>0</v>
      </c>
      <c r="Q1168" s="11">
        <v>0</v>
      </c>
      <c r="R1168" s="11">
        <v>0</v>
      </c>
      <c r="S1168" s="11">
        <v>2.4883049666567102E-3</v>
      </c>
      <c r="T1168" s="11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</v>
      </c>
      <c r="AE1168">
        <v>0</v>
      </c>
      <c r="AF1168">
        <v>0</v>
      </c>
      <c r="AG1168">
        <v>0</v>
      </c>
      <c r="AH1168">
        <v>4.6410173109945703E-3</v>
      </c>
      <c r="AI1168">
        <v>0</v>
      </c>
      <c r="AJ1168">
        <v>0</v>
      </c>
      <c r="AK1168">
        <v>0</v>
      </c>
      <c r="AL1168">
        <v>3.5844863431070302E-3</v>
      </c>
      <c r="AM1168">
        <v>0</v>
      </c>
    </row>
    <row r="1169" spans="1:39" customFormat="1" hidden="1" x14ac:dyDescent="0.3">
      <c r="A1169" t="s">
        <v>510</v>
      </c>
      <c r="B1169" t="s">
        <v>30</v>
      </c>
      <c r="C1169" t="s">
        <v>81</v>
      </c>
      <c r="D1169" t="s">
        <v>85</v>
      </c>
      <c r="E1169" t="s">
        <v>287</v>
      </c>
      <c r="F1169" t="s">
        <v>286</v>
      </c>
      <c r="G1169" t="s">
        <v>286</v>
      </c>
      <c r="H1169" s="16">
        <v>0</v>
      </c>
      <c r="I1169" s="11">
        <v>0</v>
      </c>
      <c r="J1169" s="11">
        <v>0</v>
      </c>
      <c r="K1169" s="11">
        <v>0</v>
      </c>
      <c r="L1169" s="11">
        <v>0</v>
      </c>
      <c r="M1169" s="11">
        <v>0</v>
      </c>
      <c r="N1169" s="11">
        <v>0</v>
      </c>
      <c r="O1169" s="11">
        <v>3.75023438964935E-3</v>
      </c>
      <c r="P1169" s="11">
        <v>0</v>
      </c>
      <c r="Q1169" s="11">
        <v>0</v>
      </c>
      <c r="R1169" s="11">
        <v>0</v>
      </c>
      <c r="S1169" s="11">
        <v>0</v>
      </c>
      <c r="T1169" s="11">
        <v>0</v>
      </c>
      <c r="U1169">
        <v>0</v>
      </c>
      <c r="V1169">
        <v>0</v>
      </c>
      <c r="W1169">
        <v>2.6668088964744798E-3</v>
      </c>
      <c r="X1169">
        <v>0</v>
      </c>
      <c r="Y1169">
        <v>0</v>
      </c>
      <c r="Z1169">
        <v>3.1774275546517499E-3</v>
      </c>
      <c r="AA1169">
        <v>0</v>
      </c>
      <c r="AB1169">
        <v>0</v>
      </c>
      <c r="AC1169">
        <v>0</v>
      </c>
      <c r="AD1169">
        <v>0</v>
      </c>
      <c r="AE1169">
        <v>0</v>
      </c>
      <c r="AF1169">
        <v>0</v>
      </c>
      <c r="AG1169">
        <v>0</v>
      </c>
      <c r="AH1169">
        <v>0</v>
      </c>
      <c r="AI1169">
        <v>0</v>
      </c>
      <c r="AJ1169">
        <v>0</v>
      </c>
      <c r="AK1169">
        <v>0</v>
      </c>
      <c r="AL1169">
        <v>0</v>
      </c>
      <c r="AM1169">
        <v>0</v>
      </c>
    </row>
    <row r="1170" spans="1:39" customFormat="1" hidden="1" x14ac:dyDescent="0.3">
      <c r="A1170" t="s">
        <v>509</v>
      </c>
      <c r="B1170" t="s">
        <v>30</v>
      </c>
      <c r="C1170" t="s">
        <v>81</v>
      </c>
      <c r="D1170" t="s">
        <v>85</v>
      </c>
      <c r="E1170" t="s">
        <v>287</v>
      </c>
      <c r="F1170" t="s">
        <v>286</v>
      </c>
      <c r="G1170" t="s">
        <v>286</v>
      </c>
      <c r="H1170" s="16">
        <v>0</v>
      </c>
      <c r="I1170" s="11">
        <v>0</v>
      </c>
      <c r="J1170" s="11">
        <v>0</v>
      </c>
      <c r="K1170" s="11">
        <v>0</v>
      </c>
      <c r="L1170" s="11">
        <v>0</v>
      </c>
      <c r="M1170" s="11">
        <v>0</v>
      </c>
      <c r="N1170" s="11">
        <v>0</v>
      </c>
      <c r="O1170" s="11">
        <v>0</v>
      </c>
      <c r="P1170" s="11">
        <v>0</v>
      </c>
      <c r="Q1170" s="11">
        <v>0</v>
      </c>
      <c r="R1170" s="11">
        <v>0</v>
      </c>
      <c r="S1170" s="11">
        <v>0</v>
      </c>
      <c r="T1170" s="11">
        <v>0</v>
      </c>
      <c r="U1170">
        <v>3.04201016031394E-3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</v>
      </c>
      <c r="AE1170">
        <v>0</v>
      </c>
      <c r="AF1170">
        <v>0</v>
      </c>
      <c r="AG1170">
        <v>0</v>
      </c>
      <c r="AH1170">
        <v>0</v>
      </c>
      <c r="AI1170">
        <v>0</v>
      </c>
      <c r="AJ1170">
        <v>0</v>
      </c>
      <c r="AK1170">
        <v>0</v>
      </c>
      <c r="AL1170">
        <v>0</v>
      </c>
      <c r="AM1170">
        <v>0</v>
      </c>
    </row>
    <row r="1171" spans="1:39" customFormat="1" hidden="1" x14ac:dyDescent="0.3">
      <c r="A1171" t="s">
        <v>508</v>
      </c>
      <c r="B1171" t="s">
        <v>30</v>
      </c>
      <c r="C1171" t="s">
        <v>81</v>
      </c>
      <c r="D1171" t="s">
        <v>85</v>
      </c>
      <c r="E1171" t="s">
        <v>287</v>
      </c>
      <c r="F1171" t="s">
        <v>286</v>
      </c>
      <c r="G1171" t="s">
        <v>286</v>
      </c>
      <c r="H1171" s="16">
        <v>0</v>
      </c>
      <c r="I1171" s="11">
        <v>0</v>
      </c>
      <c r="J1171" s="11">
        <v>0</v>
      </c>
      <c r="K1171" s="11">
        <v>0</v>
      </c>
      <c r="L1171" s="11">
        <v>0</v>
      </c>
      <c r="M1171" s="11">
        <v>0</v>
      </c>
      <c r="N1171" s="11">
        <v>0</v>
      </c>
      <c r="O1171" s="11">
        <v>0</v>
      </c>
      <c r="P1171" s="11">
        <v>0</v>
      </c>
      <c r="Q1171" s="11">
        <v>0</v>
      </c>
      <c r="R1171" s="11">
        <v>0</v>
      </c>
      <c r="S1171" s="11">
        <v>0</v>
      </c>
      <c r="T1171" s="11">
        <v>0</v>
      </c>
      <c r="U1171">
        <v>3.04201016031394E-3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</v>
      </c>
      <c r="AE1171">
        <v>0</v>
      </c>
      <c r="AF1171">
        <v>0</v>
      </c>
      <c r="AG1171">
        <v>0</v>
      </c>
      <c r="AH1171">
        <v>0</v>
      </c>
      <c r="AI1171">
        <v>0</v>
      </c>
      <c r="AJ1171">
        <v>0</v>
      </c>
      <c r="AK1171">
        <v>0</v>
      </c>
      <c r="AL1171">
        <v>0</v>
      </c>
      <c r="AM1171">
        <v>0</v>
      </c>
    </row>
    <row r="1172" spans="1:39" customFormat="1" hidden="1" x14ac:dyDescent="0.3">
      <c r="A1172" t="s">
        <v>507</v>
      </c>
      <c r="B1172" t="s">
        <v>30</v>
      </c>
      <c r="C1172" t="s">
        <v>81</v>
      </c>
      <c r="D1172" t="s">
        <v>85</v>
      </c>
      <c r="E1172" t="s">
        <v>287</v>
      </c>
      <c r="F1172" t="s">
        <v>286</v>
      </c>
      <c r="G1172" t="s">
        <v>286</v>
      </c>
      <c r="H1172" s="16">
        <v>0</v>
      </c>
      <c r="I1172" s="11">
        <v>0</v>
      </c>
      <c r="J1172" s="11">
        <v>0</v>
      </c>
      <c r="K1172" s="11">
        <v>0</v>
      </c>
      <c r="L1172" s="11">
        <v>0</v>
      </c>
      <c r="M1172" s="11">
        <v>0</v>
      </c>
      <c r="N1172" s="11">
        <v>0</v>
      </c>
      <c r="O1172" s="11">
        <v>0</v>
      </c>
      <c r="P1172" s="11">
        <v>0</v>
      </c>
      <c r="Q1172" s="11">
        <v>0</v>
      </c>
      <c r="R1172" s="11">
        <v>0</v>
      </c>
      <c r="S1172" s="11">
        <v>0</v>
      </c>
      <c r="T1172" s="11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0</v>
      </c>
      <c r="AJ1172">
        <v>3.5915670006823998E-3</v>
      </c>
      <c r="AK1172">
        <v>0</v>
      </c>
      <c r="AL1172">
        <v>0</v>
      </c>
      <c r="AM1172">
        <v>0</v>
      </c>
    </row>
    <row r="1173" spans="1:39" customFormat="1" hidden="1" x14ac:dyDescent="0.3">
      <c r="A1173" t="s">
        <v>505</v>
      </c>
      <c r="B1173" t="s">
        <v>30</v>
      </c>
      <c r="C1173" t="s">
        <v>81</v>
      </c>
      <c r="D1173" t="s">
        <v>85</v>
      </c>
      <c r="E1173" t="s">
        <v>287</v>
      </c>
      <c r="F1173" t="s">
        <v>286</v>
      </c>
      <c r="G1173" t="s">
        <v>286</v>
      </c>
      <c r="H1173" s="16">
        <v>0</v>
      </c>
      <c r="I1173" s="11">
        <v>0</v>
      </c>
      <c r="J1173" s="11">
        <v>0</v>
      </c>
      <c r="K1173" s="11">
        <v>0</v>
      </c>
      <c r="L1173" s="11">
        <v>0</v>
      </c>
      <c r="M1173" s="11">
        <v>0</v>
      </c>
      <c r="N1173" s="11">
        <v>0</v>
      </c>
      <c r="O1173" s="11">
        <v>0</v>
      </c>
      <c r="P1173" s="11">
        <v>0</v>
      </c>
      <c r="Q1173" s="11">
        <v>0</v>
      </c>
      <c r="R1173" s="11">
        <v>0</v>
      </c>
      <c r="S1173" s="11">
        <v>0</v>
      </c>
      <c r="T1173" s="11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3.1774275546517499E-3</v>
      </c>
      <c r="AA1173">
        <v>0</v>
      </c>
      <c r="AB1173">
        <v>0</v>
      </c>
      <c r="AC1173">
        <v>0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  <c r="AL1173">
        <v>0</v>
      </c>
      <c r="AM1173">
        <v>0</v>
      </c>
    </row>
    <row r="1174" spans="1:39" customFormat="1" hidden="1" x14ac:dyDescent="0.3">
      <c r="A1174" t="s">
        <v>504</v>
      </c>
      <c r="B1174" t="s">
        <v>30</v>
      </c>
      <c r="C1174" t="s">
        <v>81</v>
      </c>
      <c r="D1174" t="s">
        <v>85</v>
      </c>
      <c r="E1174" t="s">
        <v>287</v>
      </c>
      <c r="F1174" t="s">
        <v>286</v>
      </c>
      <c r="G1174" t="s">
        <v>286</v>
      </c>
      <c r="H1174" s="16">
        <v>0</v>
      </c>
      <c r="I1174" s="11">
        <v>0</v>
      </c>
      <c r="J1174" s="11">
        <v>0</v>
      </c>
      <c r="K1174" s="11">
        <v>0</v>
      </c>
      <c r="L1174" s="11">
        <v>0</v>
      </c>
      <c r="M1174" s="11">
        <v>0</v>
      </c>
      <c r="N1174" s="11">
        <v>0</v>
      </c>
      <c r="O1174" s="11">
        <v>0</v>
      </c>
      <c r="P1174" s="11">
        <v>0</v>
      </c>
      <c r="Q1174" s="11">
        <v>2.7492920572952501E-3</v>
      </c>
      <c r="R1174" s="11">
        <v>0</v>
      </c>
      <c r="S1174" s="11">
        <v>0</v>
      </c>
      <c r="T1174" s="11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0</v>
      </c>
      <c r="AM1174">
        <v>0</v>
      </c>
    </row>
    <row r="1175" spans="1:39" customFormat="1" hidden="1" x14ac:dyDescent="0.3">
      <c r="A1175" t="s">
        <v>503</v>
      </c>
      <c r="B1175" t="s">
        <v>30</v>
      </c>
      <c r="C1175" t="s">
        <v>81</v>
      </c>
      <c r="D1175" t="s">
        <v>85</v>
      </c>
      <c r="E1175" t="s">
        <v>287</v>
      </c>
      <c r="F1175" t="s">
        <v>286</v>
      </c>
      <c r="G1175" t="s">
        <v>286</v>
      </c>
      <c r="H1175" s="16">
        <v>0</v>
      </c>
      <c r="I1175" s="11">
        <v>0</v>
      </c>
      <c r="J1175" s="11">
        <v>0</v>
      </c>
      <c r="K1175" s="11">
        <v>0</v>
      </c>
      <c r="L1175" s="11">
        <v>0</v>
      </c>
      <c r="M1175" s="11">
        <v>0</v>
      </c>
      <c r="N1175" s="11">
        <v>0</v>
      </c>
      <c r="O1175" s="11">
        <v>0</v>
      </c>
      <c r="P1175" s="11">
        <v>3.3947788301592198E-3</v>
      </c>
      <c r="Q1175" s="11">
        <v>0</v>
      </c>
      <c r="R1175" s="11">
        <v>0</v>
      </c>
      <c r="S1175" s="11">
        <v>0</v>
      </c>
      <c r="T1175" s="11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</v>
      </c>
      <c r="AL1175">
        <v>0</v>
      </c>
      <c r="AM1175">
        <v>0</v>
      </c>
    </row>
    <row r="1176" spans="1:39" customFormat="1" hidden="1" x14ac:dyDescent="0.3">
      <c r="A1176" t="s">
        <v>502</v>
      </c>
      <c r="B1176" t="s">
        <v>30</v>
      </c>
      <c r="C1176" t="s">
        <v>81</v>
      </c>
      <c r="D1176" t="s">
        <v>85</v>
      </c>
      <c r="E1176" t="s">
        <v>287</v>
      </c>
      <c r="F1176" t="s">
        <v>470</v>
      </c>
      <c r="G1176" t="s">
        <v>469</v>
      </c>
      <c r="H1176" s="16">
        <v>0</v>
      </c>
      <c r="I1176" s="11">
        <v>0</v>
      </c>
      <c r="J1176" s="11">
        <v>0</v>
      </c>
      <c r="K1176" s="11">
        <v>0</v>
      </c>
      <c r="L1176" s="11">
        <v>0</v>
      </c>
      <c r="M1176" s="11">
        <v>0</v>
      </c>
      <c r="N1176" s="11">
        <v>0</v>
      </c>
      <c r="O1176" s="11">
        <v>0</v>
      </c>
      <c r="P1176" s="11">
        <v>0</v>
      </c>
      <c r="Q1176" s="11">
        <v>0</v>
      </c>
      <c r="R1176" s="11">
        <v>2.2441148089136199E-3</v>
      </c>
      <c r="S1176" s="11">
        <v>2.4883049666567102E-3</v>
      </c>
      <c r="T1176" s="11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7.1911405148856597E-3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L1176">
        <v>3.5844863431070302E-3</v>
      </c>
      <c r="AM1176">
        <v>0</v>
      </c>
    </row>
    <row r="1177" spans="1:39" customFormat="1" hidden="1" x14ac:dyDescent="0.3">
      <c r="A1177" t="s">
        <v>501</v>
      </c>
      <c r="B1177" t="s">
        <v>30</v>
      </c>
      <c r="C1177" t="s">
        <v>81</v>
      </c>
      <c r="D1177" t="s">
        <v>85</v>
      </c>
      <c r="E1177" t="s">
        <v>287</v>
      </c>
      <c r="F1177" t="s">
        <v>286</v>
      </c>
      <c r="G1177" t="s">
        <v>286</v>
      </c>
      <c r="H1177" s="16">
        <v>0</v>
      </c>
      <c r="I1177" s="11">
        <v>0</v>
      </c>
      <c r="J1177" s="11">
        <v>0</v>
      </c>
      <c r="K1177" s="11">
        <v>0</v>
      </c>
      <c r="L1177" s="11">
        <v>0</v>
      </c>
      <c r="M1177" s="11">
        <v>0</v>
      </c>
      <c r="N1177" s="11">
        <v>0</v>
      </c>
      <c r="O1177" s="11">
        <v>0</v>
      </c>
      <c r="P1177" s="11">
        <v>0</v>
      </c>
      <c r="Q1177" s="11">
        <v>0</v>
      </c>
      <c r="R1177" s="11">
        <v>0</v>
      </c>
      <c r="S1177" s="11">
        <v>0</v>
      </c>
      <c r="T1177" s="11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3.5915670006823998E-3</v>
      </c>
      <c r="AK1177">
        <v>0</v>
      </c>
      <c r="AL1177">
        <v>0</v>
      </c>
      <c r="AM1177">
        <v>0</v>
      </c>
    </row>
    <row r="1178" spans="1:39" customFormat="1" hidden="1" x14ac:dyDescent="0.3">
      <c r="A1178" t="s">
        <v>499</v>
      </c>
      <c r="B1178" t="s">
        <v>30</v>
      </c>
      <c r="C1178" t="s">
        <v>81</v>
      </c>
      <c r="D1178" t="s">
        <v>85</v>
      </c>
      <c r="E1178" t="s">
        <v>287</v>
      </c>
      <c r="F1178" t="s">
        <v>286</v>
      </c>
      <c r="G1178" t="s">
        <v>286</v>
      </c>
      <c r="H1178" s="16">
        <v>0</v>
      </c>
      <c r="I1178" s="11">
        <v>0</v>
      </c>
      <c r="J1178" s="11">
        <v>0</v>
      </c>
      <c r="K1178" s="11">
        <v>0</v>
      </c>
      <c r="L1178" s="11">
        <v>0</v>
      </c>
      <c r="M1178" s="11">
        <v>0</v>
      </c>
      <c r="N1178" s="11">
        <v>0</v>
      </c>
      <c r="O1178" s="11">
        <v>0</v>
      </c>
      <c r="P1178" s="11">
        <v>0</v>
      </c>
      <c r="Q1178" s="11">
        <v>0</v>
      </c>
      <c r="R1178" s="11">
        <v>0</v>
      </c>
      <c r="S1178" s="11">
        <v>0</v>
      </c>
      <c r="T1178" s="11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6.02700096432015E-3</v>
      </c>
      <c r="AL1178">
        <v>0</v>
      </c>
      <c r="AM1178">
        <v>0</v>
      </c>
    </row>
    <row r="1179" spans="1:39" customFormat="1" hidden="1" x14ac:dyDescent="0.3">
      <c r="A1179" t="s">
        <v>498</v>
      </c>
      <c r="B1179" t="s">
        <v>30</v>
      </c>
      <c r="C1179" t="s">
        <v>81</v>
      </c>
      <c r="D1179" t="s">
        <v>85</v>
      </c>
      <c r="E1179" t="s">
        <v>287</v>
      </c>
      <c r="F1179" t="s">
        <v>286</v>
      </c>
      <c r="G1179" t="s">
        <v>286</v>
      </c>
      <c r="H1179" s="16">
        <v>0</v>
      </c>
      <c r="I1179" s="11">
        <v>0</v>
      </c>
      <c r="J1179" s="11">
        <v>0</v>
      </c>
      <c r="K1179" s="11">
        <v>0</v>
      </c>
      <c r="L1179" s="11">
        <v>0</v>
      </c>
      <c r="M1179" s="11">
        <v>0</v>
      </c>
      <c r="N1179" s="11">
        <v>0</v>
      </c>
      <c r="O1179" s="11">
        <v>0</v>
      </c>
      <c r="P1179" s="11">
        <v>0</v>
      </c>
      <c r="Q1179" s="11">
        <v>0</v>
      </c>
      <c r="R1179" s="11">
        <v>0</v>
      </c>
      <c r="S1179" s="11">
        <v>2.4883049666567102E-3</v>
      </c>
      <c r="T1179" s="11">
        <v>0</v>
      </c>
      <c r="U1179">
        <v>3.04201016031394E-3</v>
      </c>
      <c r="V1179">
        <v>0</v>
      </c>
      <c r="W1179">
        <v>0</v>
      </c>
      <c r="X1179">
        <v>6.4242579982012101E-3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0</v>
      </c>
      <c r="AM1179">
        <v>0</v>
      </c>
    </row>
    <row r="1180" spans="1:39" customFormat="1" hidden="1" x14ac:dyDescent="0.3">
      <c r="A1180" t="s">
        <v>497</v>
      </c>
      <c r="B1180" t="s">
        <v>30</v>
      </c>
      <c r="C1180" t="s">
        <v>81</v>
      </c>
      <c r="D1180" t="s">
        <v>85</v>
      </c>
      <c r="E1180" t="s">
        <v>287</v>
      </c>
      <c r="F1180" t="s">
        <v>286</v>
      </c>
      <c r="G1180" t="s">
        <v>286</v>
      </c>
      <c r="H1180" s="16">
        <v>0</v>
      </c>
      <c r="I1180" s="11">
        <v>0</v>
      </c>
      <c r="J1180" s="11">
        <v>0</v>
      </c>
      <c r="K1180" s="11">
        <v>0</v>
      </c>
      <c r="L1180" s="11">
        <v>0</v>
      </c>
      <c r="M1180" s="11">
        <v>0</v>
      </c>
      <c r="N1180" s="11">
        <v>0</v>
      </c>
      <c r="O1180" s="11">
        <v>0</v>
      </c>
      <c r="P1180" s="11">
        <v>0</v>
      </c>
      <c r="Q1180" s="11">
        <v>2.7492920572952501E-3</v>
      </c>
      <c r="R1180" s="11">
        <v>0</v>
      </c>
      <c r="S1180" s="11">
        <v>0</v>
      </c>
      <c r="T1180" s="11">
        <v>0</v>
      </c>
      <c r="U1180">
        <v>0</v>
      </c>
      <c r="V1180">
        <v>0</v>
      </c>
      <c r="W1180">
        <v>2.6668088964744798E-3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0</v>
      </c>
      <c r="AM1180">
        <v>0</v>
      </c>
    </row>
    <row r="1181" spans="1:39" customFormat="1" hidden="1" x14ac:dyDescent="0.3">
      <c r="A1181" t="s">
        <v>496</v>
      </c>
      <c r="B1181" t="s">
        <v>30</v>
      </c>
      <c r="C1181" t="s">
        <v>81</v>
      </c>
      <c r="D1181" t="s">
        <v>85</v>
      </c>
      <c r="E1181" t="s">
        <v>287</v>
      </c>
      <c r="F1181" t="s">
        <v>286</v>
      </c>
      <c r="G1181" t="s">
        <v>286</v>
      </c>
      <c r="H1181" s="16">
        <v>0</v>
      </c>
      <c r="I1181" s="11">
        <v>0</v>
      </c>
      <c r="J1181" s="11">
        <v>0</v>
      </c>
      <c r="K1181" s="11">
        <v>0</v>
      </c>
      <c r="L1181" s="11">
        <v>0</v>
      </c>
      <c r="M1181" s="11">
        <v>0</v>
      </c>
      <c r="N1181" s="11">
        <v>0</v>
      </c>
      <c r="O1181" s="11">
        <v>0</v>
      </c>
      <c r="P1181" s="11">
        <v>0</v>
      </c>
      <c r="Q1181" s="11">
        <v>0</v>
      </c>
      <c r="R1181" s="11">
        <v>2.2441148089136199E-3</v>
      </c>
      <c r="S1181" s="11">
        <v>0</v>
      </c>
      <c r="T1181" s="1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>
        <v>3.5915670006823998E-3</v>
      </c>
      <c r="AK1181">
        <v>0</v>
      </c>
      <c r="AL1181">
        <v>0</v>
      </c>
      <c r="AM1181">
        <v>0</v>
      </c>
    </row>
    <row r="1182" spans="1:39" customFormat="1" hidden="1" x14ac:dyDescent="0.3">
      <c r="A1182" t="s">
        <v>495</v>
      </c>
      <c r="B1182" t="s">
        <v>30</v>
      </c>
      <c r="C1182" t="s">
        <v>81</v>
      </c>
      <c r="D1182" t="s">
        <v>85</v>
      </c>
      <c r="E1182" t="s">
        <v>287</v>
      </c>
      <c r="F1182" t="s">
        <v>470</v>
      </c>
      <c r="G1182" t="s">
        <v>469</v>
      </c>
      <c r="H1182" s="16">
        <v>0</v>
      </c>
      <c r="I1182" s="11">
        <v>0</v>
      </c>
      <c r="J1182" s="11">
        <v>0</v>
      </c>
      <c r="K1182" s="11">
        <v>0</v>
      </c>
      <c r="L1182" s="11">
        <v>0</v>
      </c>
      <c r="M1182" s="11">
        <v>0</v>
      </c>
      <c r="N1182" s="11">
        <v>0</v>
      </c>
      <c r="O1182" s="11">
        <v>0</v>
      </c>
      <c r="P1182" s="11">
        <v>0</v>
      </c>
      <c r="Q1182" s="11">
        <v>0</v>
      </c>
      <c r="R1182" s="11">
        <v>0</v>
      </c>
      <c r="S1182" s="11">
        <v>0</v>
      </c>
      <c r="T1182" s="11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6.02700096432015E-3</v>
      </c>
      <c r="AL1182">
        <v>0</v>
      </c>
      <c r="AM1182">
        <v>0</v>
      </c>
    </row>
    <row r="1183" spans="1:39" customFormat="1" hidden="1" x14ac:dyDescent="0.3">
      <c r="A1183" t="s">
        <v>494</v>
      </c>
      <c r="B1183" t="s">
        <v>30</v>
      </c>
      <c r="C1183" t="s">
        <v>81</v>
      </c>
      <c r="D1183" t="s">
        <v>85</v>
      </c>
      <c r="E1183" t="s">
        <v>287</v>
      </c>
      <c r="F1183" t="s">
        <v>286</v>
      </c>
      <c r="G1183" t="s">
        <v>286</v>
      </c>
      <c r="H1183" s="16">
        <v>0</v>
      </c>
      <c r="I1183" s="11">
        <v>0</v>
      </c>
      <c r="J1183" s="11">
        <v>0</v>
      </c>
      <c r="K1183" s="11">
        <v>0</v>
      </c>
      <c r="L1183" s="11">
        <v>0</v>
      </c>
      <c r="M1183" s="11">
        <v>0</v>
      </c>
      <c r="N1183" s="11">
        <v>0</v>
      </c>
      <c r="O1183" s="11">
        <v>0</v>
      </c>
      <c r="P1183" s="11">
        <v>0</v>
      </c>
      <c r="Q1183" s="11">
        <v>0</v>
      </c>
      <c r="R1183" s="11">
        <v>0</v>
      </c>
      <c r="S1183" s="11">
        <v>0</v>
      </c>
      <c r="T1183" s="11">
        <v>0</v>
      </c>
      <c r="U1183">
        <v>0</v>
      </c>
      <c r="V1183">
        <v>3.6144142841652502E-3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0</v>
      </c>
      <c r="AL1183">
        <v>0</v>
      </c>
      <c r="AM1183">
        <v>0</v>
      </c>
    </row>
    <row r="1184" spans="1:39" customFormat="1" hidden="1" x14ac:dyDescent="0.3">
      <c r="A1184" t="s">
        <v>493</v>
      </c>
      <c r="B1184" t="s">
        <v>30</v>
      </c>
      <c r="C1184" t="s">
        <v>81</v>
      </c>
      <c r="D1184" t="s">
        <v>85</v>
      </c>
      <c r="E1184" t="s">
        <v>287</v>
      </c>
      <c r="F1184" t="s">
        <v>286</v>
      </c>
      <c r="G1184" t="s">
        <v>286</v>
      </c>
      <c r="H1184" s="16">
        <v>0</v>
      </c>
      <c r="I1184" s="11">
        <v>0</v>
      </c>
      <c r="J1184" s="11">
        <v>0</v>
      </c>
      <c r="K1184" s="11">
        <v>0</v>
      </c>
      <c r="L1184" s="11">
        <v>0</v>
      </c>
      <c r="M1184" s="11">
        <v>0</v>
      </c>
      <c r="N1184" s="11">
        <v>0</v>
      </c>
      <c r="O1184" s="11">
        <v>0</v>
      </c>
      <c r="P1184" s="11">
        <v>0</v>
      </c>
      <c r="Q1184" s="11">
        <v>0</v>
      </c>
      <c r="R1184" s="11">
        <v>0</v>
      </c>
      <c r="S1184" s="11">
        <v>0</v>
      </c>
      <c r="T1184" s="11">
        <v>0</v>
      </c>
      <c r="U1184">
        <v>3.04201016031394E-3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0</v>
      </c>
      <c r="AL1184">
        <v>0</v>
      </c>
      <c r="AM1184">
        <v>0</v>
      </c>
    </row>
    <row r="1185" spans="1:39" customFormat="1" hidden="1" x14ac:dyDescent="0.3">
      <c r="A1185" t="s">
        <v>492</v>
      </c>
      <c r="B1185" t="s">
        <v>30</v>
      </c>
      <c r="C1185" t="s">
        <v>81</v>
      </c>
      <c r="D1185" t="s">
        <v>85</v>
      </c>
      <c r="E1185" t="s">
        <v>287</v>
      </c>
      <c r="F1185" t="s">
        <v>470</v>
      </c>
      <c r="G1185" t="s">
        <v>469</v>
      </c>
      <c r="H1185" s="16">
        <v>0</v>
      </c>
      <c r="I1185" s="11">
        <v>0</v>
      </c>
      <c r="J1185" s="11">
        <v>0</v>
      </c>
      <c r="K1185" s="11">
        <v>0</v>
      </c>
      <c r="L1185" s="11">
        <v>0</v>
      </c>
      <c r="M1185" s="11">
        <v>0</v>
      </c>
      <c r="N1185" s="11">
        <v>0</v>
      </c>
      <c r="O1185" s="11">
        <v>0</v>
      </c>
      <c r="P1185" s="11">
        <v>0</v>
      </c>
      <c r="Q1185" s="11">
        <v>0</v>
      </c>
      <c r="R1185" s="11">
        <v>2.2441148089136199E-3</v>
      </c>
      <c r="S1185" s="11">
        <v>0</v>
      </c>
      <c r="T1185" s="11">
        <v>0</v>
      </c>
      <c r="U1185">
        <v>0</v>
      </c>
      <c r="V1185">
        <v>0</v>
      </c>
      <c r="W1185">
        <v>0</v>
      </c>
      <c r="X1185">
        <v>0</v>
      </c>
      <c r="Y1185">
        <v>2.9264581077521898E-3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  <c r="AL1185">
        <v>0</v>
      </c>
      <c r="AM1185">
        <v>0</v>
      </c>
    </row>
    <row r="1186" spans="1:39" customFormat="1" hidden="1" x14ac:dyDescent="0.3">
      <c r="A1186" t="s">
        <v>491</v>
      </c>
      <c r="B1186" t="s">
        <v>30</v>
      </c>
      <c r="C1186" t="s">
        <v>81</v>
      </c>
      <c r="D1186" t="s">
        <v>85</v>
      </c>
      <c r="E1186" t="s">
        <v>287</v>
      </c>
      <c r="F1186" t="s">
        <v>286</v>
      </c>
      <c r="G1186" t="s">
        <v>286</v>
      </c>
      <c r="H1186" s="16">
        <v>0</v>
      </c>
      <c r="I1186" s="11">
        <v>0</v>
      </c>
      <c r="J1186" s="11">
        <v>0</v>
      </c>
      <c r="K1186" s="11">
        <v>0</v>
      </c>
      <c r="L1186" s="11">
        <v>0</v>
      </c>
      <c r="M1186" s="11">
        <v>0</v>
      </c>
      <c r="N1186" s="11">
        <v>0</v>
      </c>
      <c r="O1186" s="11">
        <v>0</v>
      </c>
      <c r="P1186" s="11">
        <v>0</v>
      </c>
      <c r="Q1186" s="11">
        <v>2.7492920572952501E-3</v>
      </c>
      <c r="R1186" s="11">
        <v>2.2441148089136199E-3</v>
      </c>
      <c r="S1186" s="11">
        <v>0</v>
      </c>
      <c r="T1186" s="11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3.1774275546517499E-3</v>
      </c>
      <c r="AA1186">
        <v>0</v>
      </c>
      <c r="AB1186">
        <v>0</v>
      </c>
      <c r="AC1186">
        <v>0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0</v>
      </c>
      <c r="AJ1186">
        <v>3.5915670006823998E-3</v>
      </c>
      <c r="AK1186">
        <v>0</v>
      </c>
      <c r="AL1186">
        <v>0</v>
      </c>
      <c r="AM1186">
        <v>0</v>
      </c>
    </row>
    <row r="1187" spans="1:39" customFormat="1" hidden="1" x14ac:dyDescent="0.3">
      <c r="A1187" t="s">
        <v>490</v>
      </c>
      <c r="B1187" t="s">
        <v>30</v>
      </c>
      <c r="C1187" t="s">
        <v>81</v>
      </c>
      <c r="D1187" t="s">
        <v>85</v>
      </c>
      <c r="E1187" t="s">
        <v>287</v>
      </c>
      <c r="F1187" t="s">
        <v>286</v>
      </c>
      <c r="G1187" t="s">
        <v>286</v>
      </c>
      <c r="H1187" s="16">
        <v>0</v>
      </c>
      <c r="I1187" s="11">
        <v>0</v>
      </c>
      <c r="J1187" s="11">
        <v>0</v>
      </c>
      <c r="K1187" s="11">
        <v>0</v>
      </c>
      <c r="L1187" s="11">
        <v>0</v>
      </c>
      <c r="M1187" s="11">
        <v>0</v>
      </c>
      <c r="N1187" s="11">
        <v>0</v>
      </c>
      <c r="O1187" s="11">
        <v>0</v>
      </c>
      <c r="P1187" s="11">
        <v>0</v>
      </c>
      <c r="Q1187" s="11">
        <v>2.7492920572952501E-3</v>
      </c>
      <c r="R1187" s="11">
        <v>0</v>
      </c>
      <c r="S1187" s="11">
        <v>0</v>
      </c>
      <c r="T1187" s="11">
        <v>0</v>
      </c>
      <c r="U1187">
        <v>0</v>
      </c>
      <c r="V1187">
        <v>3.6144142841652502E-3</v>
      </c>
      <c r="W1187">
        <v>0</v>
      </c>
      <c r="X1187">
        <v>0</v>
      </c>
      <c r="Y1187">
        <v>2.9264581077521898E-3</v>
      </c>
      <c r="Z1187">
        <v>0</v>
      </c>
      <c r="AA1187">
        <v>0</v>
      </c>
      <c r="AB1187">
        <v>0</v>
      </c>
      <c r="AC1187">
        <v>0</v>
      </c>
      <c r="AD1187">
        <v>0</v>
      </c>
      <c r="AE1187">
        <v>0</v>
      </c>
      <c r="AF1187">
        <v>0</v>
      </c>
      <c r="AG1187">
        <v>0</v>
      </c>
      <c r="AH1187">
        <v>0</v>
      </c>
      <c r="AI1187">
        <v>0</v>
      </c>
      <c r="AJ1187">
        <v>0</v>
      </c>
      <c r="AK1187">
        <v>0</v>
      </c>
      <c r="AL1187">
        <v>0</v>
      </c>
      <c r="AM1187">
        <v>0</v>
      </c>
    </row>
    <row r="1188" spans="1:39" customFormat="1" hidden="1" x14ac:dyDescent="0.3">
      <c r="A1188" t="s">
        <v>489</v>
      </c>
      <c r="B1188" t="s">
        <v>30</v>
      </c>
      <c r="C1188" t="s">
        <v>81</v>
      </c>
      <c r="D1188" t="s">
        <v>85</v>
      </c>
      <c r="E1188" t="s">
        <v>287</v>
      </c>
      <c r="F1188" t="s">
        <v>286</v>
      </c>
      <c r="G1188" t="s">
        <v>286</v>
      </c>
      <c r="H1188" s="16">
        <v>0</v>
      </c>
      <c r="I1188" s="11">
        <v>0</v>
      </c>
      <c r="J1188" s="11">
        <v>0</v>
      </c>
      <c r="K1188" s="11">
        <v>0</v>
      </c>
      <c r="L1188" s="11">
        <v>0</v>
      </c>
      <c r="M1188" s="11">
        <v>0</v>
      </c>
      <c r="N1188" s="11">
        <v>0</v>
      </c>
      <c r="O1188" s="11">
        <v>0</v>
      </c>
      <c r="P1188" s="11">
        <v>0</v>
      </c>
      <c r="Q1188" s="11">
        <v>0</v>
      </c>
      <c r="R1188" s="11">
        <v>0</v>
      </c>
      <c r="S1188" s="11">
        <v>0</v>
      </c>
      <c r="T1188" s="11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0</v>
      </c>
      <c r="AE1188">
        <v>0</v>
      </c>
      <c r="AF1188">
        <v>0</v>
      </c>
      <c r="AG1188">
        <v>0</v>
      </c>
      <c r="AH1188">
        <v>9.2820346219891405E-3</v>
      </c>
      <c r="AI1188">
        <v>0</v>
      </c>
      <c r="AJ1188">
        <v>0</v>
      </c>
      <c r="AK1188">
        <v>0</v>
      </c>
      <c r="AL1188">
        <v>0</v>
      </c>
      <c r="AM1188">
        <v>0</v>
      </c>
    </row>
    <row r="1189" spans="1:39" customFormat="1" hidden="1" x14ac:dyDescent="0.3">
      <c r="A1189" t="s">
        <v>488</v>
      </c>
      <c r="B1189" t="s">
        <v>30</v>
      </c>
      <c r="C1189" t="s">
        <v>81</v>
      </c>
      <c r="D1189" t="s">
        <v>85</v>
      </c>
      <c r="E1189" t="s">
        <v>287</v>
      </c>
      <c r="F1189" t="s">
        <v>470</v>
      </c>
      <c r="G1189" t="s">
        <v>469</v>
      </c>
      <c r="H1189" s="16">
        <v>0</v>
      </c>
      <c r="I1189" s="11">
        <v>0</v>
      </c>
      <c r="J1189" s="11">
        <v>0</v>
      </c>
      <c r="K1189" s="11">
        <v>0</v>
      </c>
      <c r="L1189" s="11">
        <v>0</v>
      </c>
      <c r="M1189" s="11">
        <v>0</v>
      </c>
      <c r="N1189" s="11">
        <v>0</v>
      </c>
      <c r="O1189" s="11">
        <v>0</v>
      </c>
      <c r="P1189" s="11">
        <v>0</v>
      </c>
      <c r="Q1189" s="11">
        <v>0</v>
      </c>
      <c r="R1189" s="11">
        <v>0</v>
      </c>
      <c r="S1189" s="11">
        <v>0</v>
      </c>
      <c r="T1189" s="11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3.1774275546517499E-3</v>
      </c>
      <c r="AA1189">
        <v>0</v>
      </c>
      <c r="AB1189">
        <v>0</v>
      </c>
      <c r="AC1189">
        <v>0</v>
      </c>
      <c r="AD1189">
        <v>0</v>
      </c>
      <c r="AE1189">
        <v>0</v>
      </c>
      <c r="AF1189">
        <v>0</v>
      </c>
      <c r="AG1189">
        <v>2.3469220117815501E-3</v>
      </c>
      <c r="AH1189">
        <v>0</v>
      </c>
      <c r="AI1189">
        <v>0</v>
      </c>
      <c r="AJ1189">
        <v>0</v>
      </c>
      <c r="AK1189">
        <v>0</v>
      </c>
      <c r="AL1189">
        <v>0</v>
      </c>
      <c r="AM1189">
        <v>0</v>
      </c>
    </row>
    <row r="1190" spans="1:39" customFormat="1" hidden="1" x14ac:dyDescent="0.3">
      <c r="A1190" t="s">
        <v>486</v>
      </c>
      <c r="B1190" t="s">
        <v>30</v>
      </c>
      <c r="C1190" t="s">
        <v>81</v>
      </c>
      <c r="D1190" t="s">
        <v>85</v>
      </c>
      <c r="E1190" t="s">
        <v>287</v>
      </c>
      <c r="F1190" t="s">
        <v>286</v>
      </c>
      <c r="G1190" t="s">
        <v>286</v>
      </c>
      <c r="H1190" s="16">
        <v>0</v>
      </c>
      <c r="I1190" s="11">
        <v>0</v>
      </c>
      <c r="J1190" s="11">
        <v>0</v>
      </c>
      <c r="K1190" s="11">
        <v>0</v>
      </c>
      <c r="L1190" s="11">
        <v>0</v>
      </c>
      <c r="M1190" s="11">
        <v>0</v>
      </c>
      <c r="N1190" s="11">
        <v>0</v>
      </c>
      <c r="O1190" s="11">
        <v>0</v>
      </c>
      <c r="P1190" s="11">
        <v>0</v>
      </c>
      <c r="Q1190" s="11">
        <v>0</v>
      </c>
      <c r="R1190" s="11">
        <v>0</v>
      </c>
      <c r="S1190" s="11">
        <v>0</v>
      </c>
      <c r="T1190" s="11">
        <v>0</v>
      </c>
      <c r="U1190">
        <v>0</v>
      </c>
      <c r="V1190">
        <v>0</v>
      </c>
      <c r="W1190">
        <v>0</v>
      </c>
      <c r="X1190">
        <v>0</v>
      </c>
      <c r="Y1190">
        <v>2.9264581077521898E-3</v>
      </c>
      <c r="Z1190">
        <v>0</v>
      </c>
      <c r="AA1190">
        <v>0</v>
      </c>
      <c r="AB1190">
        <v>0</v>
      </c>
      <c r="AC1190">
        <v>0</v>
      </c>
      <c r="AD1190">
        <v>0</v>
      </c>
      <c r="AE1190">
        <v>0</v>
      </c>
      <c r="AF1190">
        <v>0</v>
      </c>
      <c r="AG1190">
        <v>0</v>
      </c>
      <c r="AH1190">
        <v>0</v>
      </c>
      <c r="AI1190">
        <v>0</v>
      </c>
      <c r="AJ1190">
        <v>0</v>
      </c>
      <c r="AK1190">
        <v>0</v>
      </c>
      <c r="AL1190">
        <v>0</v>
      </c>
      <c r="AM1190">
        <v>0</v>
      </c>
    </row>
    <row r="1191" spans="1:39" customFormat="1" hidden="1" x14ac:dyDescent="0.3">
      <c r="A1191" t="s">
        <v>485</v>
      </c>
      <c r="B1191" t="s">
        <v>30</v>
      </c>
      <c r="C1191" t="s">
        <v>81</v>
      </c>
      <c r="D1191" t="s">
        <v>85</v>
      </c>
      <c r="E1191" t="s">
        <v>287</v>
      </c>
      <c r="F1191" t="s">
        <v>286</v>
      </c>
      <c r="G1191" t="s">
        <v>286</v>
      </c>
      <c r="H1191" s="16">
        <v>0</v>
      </c>
      <c r="I1191" s="11">
        <v>0</v>
      </c>
      <c r="J1191" s="11">
        <v>0</v>
      </c>
      <c r="K1191" s="11">
        <v>0</v>
      </c>
      <c r="L1191" s="11">
        <v>0</v>
      </c>
      <c r="M1191" s="11">
        <v>0</v>
      </c>
      <c r="N1191" s="11">
        <v>0</v>
      </c>
      <c r="O1191" s="11">
        <v>0</v>
      </c>
      <c r="P1191" s="11">
        <v>0</v>
      </c>
      <c r="Q1191" s="11">
        <v>2.7492920572952501E-3</v>
      </c>
      <c r="R1191" s="11">
        <v>0</v>
      </c>
      <c r="S1191" s="11">
        <v>0</v>
      </c>
      <c r="T1191" s="1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0</v>
      </c>
      <c r="AJ1191">
        <v>0</v>
      </c>
      <c r="AK1191">
        <v>0</v>
      </c>
      <c r="AL1191">
        <v>0</v>
      </c>
      <c r="AM1191">
        <v>0</v>
      </c>
    </row>
    <row r="1192" spans="1:39" customFormat="1" hidden="1" x14ac:dyDescent="0.3">
      <c r="A1192" t="s">
        <v>484</v>
      </c>
      <c r="B1192" t="s">
        <v>30</v>
      </c>
      <c r="C1192" t="s">
        <v>81</v>
      </c>
      <c r="D1192" t="s">
        <v>85</v>
      </c>
      <c r="E1192" t="s">
        <v>287</v>
      </c>
      <c r="F1192" t="s">
        <v>286</v>
      </c>
      <c r="G1192" t="s">
        <v>286</v>
      </c>
      <c r="H1192" s="16">
        <v>0</v>
      </c>
      <c r="I1192" s="11">
        <v>0</v>
      </c>
      <c r="J1192" s="11">
        <v>0</v>
      </c>
      <c r="K1192" s="11">
        <v>0</v>
      </c>
      <c r="L1192" s="11">
        <v>0</v>
      </c>
      <c r="M1192" s="11">
        <v>0</v>
      </c>
      <c r="N1192" s="11">
        <v>0</v>
      </c>
      <c r="O1192" s="11">
        <v>0</v>
      </c>
      <c r="P1192" s="11">
        <v>0</v>
      </c>
      <c r="Q1192" s="11">
        <v>0</v>
      </c>
      <c r="R1192" s="11">
        <v>2.2441148089136199E-3</v>
      </c>
      <c r="S1192" s="11">
        <v>0</v>
      </c>
      <c r="T1192" s="11">
        <v>0</v>
      </c>
      <c r="U1192">
        <v>0</v>
      </c>
      <c r="V1192">
        <v>3.6144142841652502E-3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>
        <v>5.03372596395852E-3</v>
      </c>
      <c r="AG1192">
        <v>0</v>
      </c>
      <c r="AH1192">
        <v>0</v>
      </c>
      <c r="AI1192">
        <v>0</v>
      </c>
      <c r="AJ1192">
        <v>0</v>
      </c>
      <c r="AK1192">
        <v>0</v>
      </c>
      <c r="AL1192">
        <v>0</v>
      </c>
      <c r="AM1192">
        <v>0</v>
      </c>
    </row>
    <row r="1193" spans="1:39" customFormat="1" hidden="1" x14ac:dyDescent="0.3">
      <c r="A1193" t="s">
        <v>483</v>
      </c>
      <c r="B1193" t="s">
        <v>30</v>
      </c>
      <c r="C1193" t="s">
        <v>81</v>
      </c>
      <c r="D1193" t="s">
        <v>85</v>
      </c>
      <c r="E1193" t="s">
        <v>287</v>
      </c>
      <c r="F1193" t="s">
        <v>286</v>
      </c>
      <c r="G1193" t="s">
        <v>286</v>
      </c>
      <c r="H1193" s="16">
        <v>0</v>
      </c>
      <c r="I1193" s="11">
        <v>0</v>
      </c>
      <c r="J1193" s="11">
        <v>0</v>
      </c>
      <c r="K1193" s="11">
        <v>0</v>
      </c>
      <c r="L1193" s="11">
        <v>0</v>
      </c>
      <c r="M1193" s="11">
        <v>0</v>
      </c>
      <c r="N1193" s="11">
        <v>0</v>
      </c>
      <c r="O1193" s="11">
        <v>0</v>
      </c>
      <c r="P1193" s="11">
        <v>0</v>
      </c>
      <c r="Q1193" s="11">
        <v>0</v>
      </c>
      <c r="R1193" s="11">
        <v>0</v>
      </c>
      <c r="S1193" s="11">
        <v>0</v>
      </c>
      <c r="T1193" s="11">
        <v>0</v>
      </c>
      <c r="U1193">
        <v>3.04201016031394E-3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</v>
      </c>
      <c r="AE1193">
        <v>0</v>
      </c>
      <c r="AF1193">
        <v>0</v>
      </c>
      <c r="AG1193">
        <v>0</v>
      </c>
      <c r="AH1193">
        <v>4.6410173109945703E-3</v>
      </c>
      <c r="AI1193">
        <v>0</v>
      </c>
      <c r="AJ1193">
        <v>0</v>
      </c>
      <c r="AK1193">
        <v>0</v>
      </c>
      <c r="AL1193">
        <v>0</v>
      </c>
      <c r="AM1193">
        <v>0</v>
      </c>
    </row>
    <row r="1194" spans="1:39" customFormat="1" hidden="1" x14ac:dyDescent="0.3">
      <c r="A1194" t="s">
        <v>482</v>
      </c>
      <c r="B1194" t="s">
        <v>30</v>
      </c>
      <c r="C1194" t="s">
        <v>81</v>
      </c>
      <c r="D1194" t="s">
        <v>85</v>
      </c>
      <c r="E1194" t="s">
        <v>287</v>
      </c>
      <c r="F1194" t="s">
        <v>286</v>
      </c>
      <c r="G1194" t="s">
        <v>286</v>
      </c>
      <c r="H1194" s="16">
        <v>0</v>
      </c>
      <c r="I1194" s="11">
        <v>0</v>
      </c>
      <c r="J1194" s="11">
        <v>0</v>
      </c>
      <c r="K1194" s="11">
        <v>0</v>
      </c>
      <c r="L1194" s="11">
        <v>0</v>
      </c>
      <c r="M1194" s="11">
        <v>0</v>
      </c>
      <c r="N1194" s="11">
        <v>0</v>
      </c>
      <c r="O1194" s="11">
        <v>3.75023438964935E-3</v>
      </c>
      <c r="P1194" s="11">
        <v>0</v>
      </c>
      <c r="Q1194" s="11">
        <v>0</v>
      </c>
      <c r="R1194" s="11">
        <v>0</v>
      </c>
      <c r="S1194" s="11">
        <v>0</v>
      </c>
      <c r="T1194" s="11">
        <v>0</v>
      </c>
      <c r="U1194">
        <v>0</v>
      </c>
      <c r="V1194">
        <v>0</v>
      </c>
      <c r="W1194">
        <v>2.6668088964744798E-3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>
        <v>0</v>
      </c>
      <c r="AH1194">
        <v>0</v>
      </c>
      <c r="AI1194">
        <v>0</v>
      </c>
      <c r="AJ1194">
        <v>0</v>
      </c>
      <c r="AK1194">
        <v>0</v>
      </c>
      <c r="AL1194">
        <v>0</v>
      </c>
      <c r="AM1194">
        <v>0</v>
      </c>
    </row>
    <row r="1195" spans="1:39" customFormat="1" hidden="1" x14ac:dyDescent="0.3">
      <c r="A1195" t="s">
        <v>481</v>
      </c>
      <c r="B1195" t="s">
        <v>30</v>
      </c>
      <c r="C1195" t="s">
        <v>81</v>
      </c>
      <c r="D1195" t="s">
        <v>85</v>
      </c>
      <c r="E1195" t="s">
        <v>287</v>
      </c>
      <c r="F1195" t="s">
        <v>470</v>
      </c>
      <c r="G1195" t="s">
        <v>469</v>
      </c>
      <c r="H1195" s="16">
        <v>0</v>
      </c>
      <c r="I1195" s="11">
        <v>0</v>
      </c>
      <c r="J1195" s="11">
        <v>0</v>
      </c>
      <c r="K1195" s="11">
        <v>0</v>
      </c>
      <c r="L1195" s="11">
        <v>0</v>
      </c>
      <c r="M1195" s="11">
        <v>0</v>
      </c>
      <c r="N1195" s="11">
        <v>0</v>
      </c>
      <c r="O1195" s="11">
        <v>0</v>
      </c>
      <c r="P1195" s="11">
        <v>0</v>
      </c>
      <c r="Q1195" s="11">
        <v>0</v>
      </c>
      <c r="R1195" s="11">
        <v>0</v>
      </c>
      <c r="S1195" s="11">
        <v>0</v>
      </c>
      <c r="T1195" s="11">
        <v>3.3464962184592698E-3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0</v>
      </c>
      <c r="AJ1195">
        <v>0</v>
      </c>
      <c r="AK1195">
        <v>0</v>
      </c>
      <c r="AL1195">
        <v>3.5844863431070302E-3</v>
      </c>
      <c r="AM1195">
        <v>0</v>
      </c>
    </row>
    <row r="1196" spans="1:39" customFormat="1" hidden="1" x14ac:dyDescent="0.3">
      <c r="A1196" t="s">
        <v>480</v>
      </c>
      <c r="B1196" t="s">
        <v>30</v>
      </c>
      <c r="C1196" t="s">
        <v>81</v>
      </c>
      <c r="D1196" t="s">
        <v>85</v>
      </c>
      <c r="E1196" t="s">
        <v>287</v>
      </c>
      <c r="F1196" t="s">
        <v>286</v>
      </c>
      <c r="G1196" t="s">
        <v>286</v>
      </c>
      <c r="H1196" s="16">
        <v>0</v>
      </c>
      <c r="I1196" s="11">
        <v>0</v>
      </c>
      <c r="J1196" s="11">
        <v>0</v>
      </c>
      <c r="K1196" s="11">
        <v>0</v>
      </c>
      <c r="L1196" s="11">
        <v>0</v>
      </c>
      <c r="M1196" s="11">
        <v>0</v>
      </c>
      <c r="N1196" s="11">
        <v>0</v>
      </c>
      <c r="O1196" s="11">
        <v>3.75023438964935E-3</v>
      </c>
      <c r="P1196" s="11">
        <v>0</v>
      </c>
      <c r="Q1196" s="11">
        <v>2.7492920572952501E-3</v>
      </c>
      <c r="R1196" s="11">
        <v>0</v>
      </c>
      <c r="S1196" s="11">
        <v>0</v>
      </c>
      <c r="T1196" s="11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</v>
      </c>
      <c r="AE1196">
        <v>0</v>
      </c>
      <c r="AF1196">
        <v>0</v>
      </c>
      <c r="AG1196">
        <v>2.3469220117815501E-3</v>
      </c>
      <c r="AH1196">
        <v>0</v>
      </c>
      <c r="AI1196">
        <v>0</v>
      </c>
      <c r="AJ1196">
        <v>0</v>
      </c>
      <c r="AK1196">
        <v>0</v>
      </c>
      <c r="AL1196">
        <v>0</v>
      </c>
      <c r="AM1196">
        <v>0</v>
      </c>
    </row>
    <row r="1197" spans="1:39" customFormat="1" hidden="1" x14ac:dyDescent="0.3">
      <c r="A1197" t="s">
        <v>479</v>
      </c>
      <c r="B1197" t="s">
        <v>30</v>
      </c>
      <c r="C1197" t="s">
        <v>81</v>
      </c>
      <c r="D1197" t="s">
        <v>85</v>
      </c>
      <c r="E1197" t="s">
        <v>287</v>
      </c>
      <c r="F1197" t="s">
        <v>286</v>
      </c>
      <c r="G1197" t="s">
        <v>286</v>
      </c>
      <c r="H1197" s="16">
        <v>0</v>
      </c>
      <c r="I1197" s="11">
        <v>0</v>
      </c>
      <c r="J1197" s="11">
        <v>0</v>
      </c>
      <c r="K1197" s="11">
        <v>0</v>
      </c>
      <c r="L1197" s="11">
        <v>0</v>
      </c>
      <c r="M1197" s="11">
        <v>0</v>
      </c>
      <c r="N1197" s="11">
        <v>0</v>
      </c>
      <c r="O1197" s="11">
        <v>0</v>
      </c>
      <c r="P1197" s="11">
        <v>0</v>
      </c>
      <c r="Q1197" s="11">
        <v>0</v>
      </c>
      <c r="R1197" s="11">
        <v>0</v>
      </c>
      <c r="S1197" s="11">
        <v>0</v>
      </c>
      <c r="T1197" s="11">
        <v>3.3464962184592698E-3</v>
      </c>
      <c r="U1197">
        <v>0</v>
      </c>
      <c r="V1197">
        <v>0</v>
      </c>
      <c r="W1197">
        <v>0</v>
      </c>
      <c r="X1197">
        <v>0</v>
      </c>
      <c r="Y1197">
        <v>2.9264581077521898E-3</v>
      </c>
      <c r="Z1197">
        <v>0</v>
      </c>
      <c r="AA1197">
        <v>0</v>
      </c>
      <c r="AB1197">
        <v>0</v>
      </c>
      <c r="AC1197">
        <v>0</v>
      </c>
      <c r="AD1197">
        <v>0</v>
      </c>
      <c r="AE1197">
        <v>3.4299434059338E-3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  <c r="AL1197">
        <v>0</v>
      </c>
      <c r="AM1197">
        <v>0</v>
      </c>
    </row>
    <row r="1198" spans="1:39" customFormat="1" hidden="1" x14ac:dyDescent="0.3">
      <c r="A1198" t="s">
        <v>478</v>
      </c>
      <c r="B1198" t="s">
        <v>30</v>
      </c>
      <c r="C1198" t="s">
        <v>81</v>
      </c>
      <c r="D1198" t="s">
        <v>85</v>
      </c>
      <c r="E1198" t="s">
        <v>287</v>
      </c>
      <c r="F1198" t="s">
        <v>286</v>
      </c>
      <c r="G1198" t="s">
        <v>286</v>
      </c>
      <c r="H1198" s="16">
        <v>0</v>
      </c>
      <c r="I1198" s="11">
        <v>0</v>
      </c>
      <c r="J1198" s="11">
        <v>0</v>
      </c>
      <c r="K1198" s="11">
        <v>0</v>
      </c>
      <c r="L1198" s="11">
        <v>0</v>
      </c>
      <c r="M1198" s="11">
        <v>0</v>
      </c>
      <c r="N1198" s="11">
        <v>0</v>
      </c>
      <c r="O1198" s="11">
        <v>0</v>
      </c>
      <c r="P1198" s="11">
        <v>0</v>
      </c>
      <c r="Q1198" s="11">
        <v>0</v>
      </c>
      <c r="R1198" s="11">
        <v>0</v>
      </c>
      <c r="S1198" s="11">
        <v>2.4883049666567102E-3</v>
      </c>
      <c r="T1198" s="11">
        <v>0</v>
      </c>
      <c r="U1198">
        <v>3.04201016031394E-3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2.2984278753332699E-3</v>
      </c>
      <c r="AJ1198">
        <v>0</v>
      </c>
      <c r="AK1198">
        <v>0</v>
      </c>
      <c r="AL1198">
        <v>0</v>
      </c>
      <c r="AM1198">
        <v>0</v>
      </c>
    </row>
    <row r="1199" spans="1:39" customFormat="1" hidden="1" x14ac:dyDescent="0.3">
      <c r="A1199" t="s">
        <v>477</v>
      </c>
      <c r="B1199" t="s">
        <v>30</v>
      </c>
      <c r="C1199" t="s">
        <v>81</v>
      </c>
      <c r="D1199" t="s">
        <v>85</v>
      </c>
      <c r="E1199" t="s">
        <v>287</v>
      </c>
      <c r="F1199" t="s">
        <v>286</v>
      </c>
      <c r="G1199" t="s">
        <v>286</v>
      </c>
      <c r="H1199" s="16">
        <v>0</v>
      </c>
      <c r="I1199" s="11">
        <v>0</v>
      </c>
      <c r="J1199" s="11">
        <v>0</v>
      </c>
      <c r="K1199" s="11">
        <v>0</v>
      </c>
      <c r="L1199" s="11">
        <v>0</v>
      </c>
      <c r="M1199" s="11">
        <v>0</v>
      </c>
      <c r="N1199" s="11">
        <v>0</v>
      </c>
      <c r="O1199" s="11">
        <v>0</v>
      </c>
      <c r="P1199" s="11">
        <v>0</v>
      </c>
      <c r="Q1199" s="11">
        <v>0</v>
      </c>
      <c r="R1199" s="11">
        <v>0</v>
      </c>
      <c r="S1199" s="11">
        <v>0</v>
      </c>
      <c r="T1199" s="11">
        <v>3.3464962184592698E-3</v>
      </c>
      <c r="U1199">
        <v>0</v>
      </c>
      <c r="V1199">
        <v>3.6144142841652502E-3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</v>
      </c>
      <c r="AL1199">
        <v>3.5844863431070302E-3</v>
      </c>
      <c r="AM1199">
        <v>0</v>
      </c>
    </row>
    <row r="1200" spans="1:39" customFormat="1" hidden="1" x14ac:dyDescent="0.3">
      <c r="A1200" t="s">
        <v>476</v>
      </c>
      <c r="B1200" t="s">
        <v>30</v>
      </c>
      <c r="C1200" t="s">
        <v>81</v>
      </c>
      <c r="D1200" t="s">
        <v>85</v>
      </c>
      <c r="E1200" t="s">
        <v>287</v>
      </c>
      <c r="F1200" t="s">
        <v>286</v>
      </c>
      <c r="G1200" t="s">
        <v>286</v>
      </c>
      <c r="H1200" s="16">
        <v>0</v>
      </c>
      <c r="I1200" s="11">
        <v>0</v>
      </c>
      <c r="J1200" s="11">
        <v>0</v>
      </c>
      <c r="K1200" s="11">
        <v>0</v>
      </c>
      <c r="L1200" s="11">
        <v>0</v>
      </c>
      <c r="M1200" s="11">
        <v>0</v>
      </c>
      <c r="N1200" s="11">
        <v>0</v>
      </c>
      <c r="O1200" s="11">
        <v>0</v>
      </c>
      <c r="P1200" s="11">
        <v>0</v>
      </c>
      <c r="Q1200" s="11">
        <v>0</v>
      </c>
      <c r="R1200" s="11">
        <v>0</v>
      </c>
      <c r="S1200" s="11">
        <v>0</v>
      </c>
      <c r="T1200" s="11">
        <v>3.3464962184592698E-3</v>
      </c>
      <c r="U1200">
        <v>3.04201016031394E-3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0</v>
      </c>
      <c r="AL1200">
        <v>0</v>
      </c>
      <c r="AM1200">
        <v>0</v>
      </c>
    </row>
    <row r="1201" spans="1:39" customFormat="1" hidden="1" x14ac:dyDescent="0.3">
      <c r="A1201" t="s">
        <v>475</v>
      </c>
      <c r="B1201" t="s">
        <v>30</v>
      </c>
      <c r="C1201" t="s">
        <v>81</v>
      </c>
      <c r="D1201" t="s">
        <v>85</v>
      </c>
      <c r="E1201" t="s">
        <v>287</v>
      </c>
      <c r="F1201" t="s">
        <v>286</v>
      </c>
      <c r="G1201" t="s">
        <v>286</v>
      </c>
      <c r="H1201" s="16">
        <v>0</v>
      </c>
      <c r="I1201" s="11">
        <v>0</v>
      </c>
      <c r="J1201" s="11">
        <v>0</v>
      </c>
      <c r="K1201" s="11">
        <v>0</v>
      </c>
      <c r="L1201" s="11">
        <v>0</v>
      </c>
      <c r="M1201" s="11">
        <v>0</v>
      </c>
      <c r="N1201" s="11">
        <v>0</v>
      </c>
      <c r="O1201" s="11">
        <v>0</v>
      </c>
      <c r="P1201" s="11">
        <v>0</v>
      </c>
      <c r="Q1201" s="11">
        <v>0</v>
      </c>
      <c r="R1201" s="11">
        <v>0</v>
      </c>
      <c r="S1201" s="11">
        <v>0</v>
      </c>
      <c r="T1201" s="11">
        <v>3.3464962184592698E-3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</v>
      </c>
      <c r="AL1201">
        <v>0</v>
      </c>
      <c r="AM1201">
        <v>0</v>
      </c>
    </row>
    <row r="1202" spans="1:39" customFormat="1" hidden="1" x14ac:dyDescent="0.3">
      <c r="A1202" t="s">
        <v>474</v>
      </c>
      <c r="B1202" t="s">
        <v>30</v>
      </c>
      <c r="C1202" t="s">
        <v>81</v>
      </c>
      <c r="D1202" t="s">
        <v>85</v>
      </c>
      <c r="E1202" t="s">
        <v>287</v>
      </c>
      <c r="F1202" t="s">
        <v>286</v>
      </c>
      <c r="G1202" t="s">
        <v>286</v>
      </c>
      <c r="H1202" s="16">
        <v>0</v>
      </c>
      <c r="I1202" s="11">
        <v>0</v>
      </c>
      <c r="J1202" s="11">
        <v>0</v>
      </c>
      <c r="K1202" s="11">
        <v>0</v>
      </c>
      <c r="L1202" s="11">
        <v>0</v>
      </c>
      <c r="M1202" s="11">
        <v>0</v>
      </c>
      <c r="N1202" s="11">
        <v>0</v>
      </c>
      <c r="O1202" s="11">
        <v>0</v>
      </c>
      <c r="P1202" s="11">
        <v>0</v>
      </c>
      <c r="Q1202" s="11">
        <v>2.7492920572952501E-3</v>
      </c>
      <c r="R1202" s="11">
        <v>0</v>
      </c>
      <c r="S1202" s="11">
        <v>0</v>
      </c>
      <c r="T1202" s="11">
        <v>3.3464962184592698E-3</v>
      </c>
      <c r="U1202">
        <v>0</v>
      </c>
      <c r="V1202">
        <v>3.6144142841652502E-3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  <c r="AL1202">
        <v>0</v>
      </c>
      <c r="AM1202">
        <v>0</v>
      </c>
    </row>
    <row r="1203" spans="1:39" customFormat="1" hidden="1" x14ac:dyDescent="0.3">
      <c r="A1203" t="s">
        <v>473</v>
      </c>
      <c r="B1203" t="s">
        <v>30</v>
      </c>
      <c r="C1203" t="s">
        <v>81</v>
      </c>
      <c r="D1203" t="s">
        <v>85</v>
      </c>
      <c r="E1203" t="s">
        <v>287</v>
      </c>
      <c r="F1203" t="s">
        <v>470</v>
      </c>
      <c r="G1203" t="s">
        <v>469</v>
      </c>
      <c r="H1203" s="16">
        <v>0</v>
      </c>
      <c r="I1203" s="11">
        <v>0</v>
      </c>
      <c r="J1203" s="11">
        <v>0</v>
      </c>
      <c r="K1203" s="11">
        <v>0</v>
      </c>
      <c r="L1203" s="11">
        <v>0</v>
      </c>
      <c r="M1203" s="11">
        <v>0</v>
      </c>
      <c r="N1203" s="11">
        <v>0</v>
      </c>
      <c r="O1203" s="11">
        <v>0</v>
      </c>
      <c r="P1203" s="11">
        <v>0</v>
      </c>
      <c r="Q1203" s="11">
        <v>0</v>
      </c>
      <c r="R1203" s="11">
        <v>0</v>
      </c>
      <c r="S1203" s="11">
        <v>0</v>
      </c>
      <c r="T1203" s="11">
        <v>3.3464962184592698E-3</v>
      </c>
      <c r="U1203">
        <v>3.04201016031394E-3</v>
      </c>
      <c r="V1203">
        <v>0</v>
      </c>
      <c r="W1203">
        <v>0</v>
      </c>
      <c r="X1203">
        <v>6.4242579982012101E-3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L1203">
        <v>0</v>
      </c>
      <c r="AM1203">
        <v>0</v>
      </c>
    </row>
    <row r="1204" spans="1:39" customFormat="1" hidden="1" x14ac:dyDescent="0.3">
      <c r="A1204" t="s">
        <v>472</v>
      </c>
      <c r="B1204" t="s">
        <v>30</v>
      </c>
      <c r="C1204" t="s">
        <v>81</v>
      </c>
      <c r="D1204" t="s">
        <v>85</v>
      </c>
      <c r="E1204" t="s">
        <v>287</v>
      </c>
      <c r="F1204" t="s">
        <v>286</v>
      </c>
      <c r="G1204" t="s">
        <v>286</v>
      </c>
      <c r="H1204" s="16">
        <v>0</v>
      </c>
      <c r="I1204" s="11">
        <v>0</v>
      </c>
      <c r="J1204" s="11">
        <v>0</v>
      </c>
      <c r="K1204" s="11">
        <v>0</v>
      </c>
      <c r="L1204" s="11">
        <v>0</v>
      </c>
      <c r="M1204" s="11">
        <v>0</v>
      </c>
      <c r="N1204" s="11">
        <v>0</v>
      </c>
      <c r="O1204" s="11">
        <v>0</v>
      </c>
      <c r="P1204" s="11">
        <v>0</v>
      </c>
      <c r="Q1204" s="11">
        <v>0</v>
      </c>
      <c r="R1204" s="11">
        <v>0</v>
      </c>
      <c r="S1204" s="11">
        <v>0</v>
      </c>
      <c r="T1204" s="11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  <c r="AJ1204">
        <v>7.1831340013647996E-3</v>
      </c>
      <c r="AK1204">
        <v>0</v>
      </c>
      <c r="AL1204">
        <v>0</v>
      </c>
      <c r="AM1204">
        <v>0</v>
      </c>
    </row>
    <row r="1205" spans="1:39" customFormat="1" hidden="1" x14ac:dyDescent="0.3">
      <c r="A1205" t="s">
        <v>471</v>
      </c>
      <c r="B1205" t="s">
        <v>30</v>
      </c>
      <c r="C1205" t="s">
        <v>81</v>
      </c>
      <c r="D1205" t="s">
        <v>85</v>
      </c>
      <c r="E1205" t="s">
        <v>287</v>
      </c>
      <c r="F1205" t="s">
        <v>470</v>
      </c>
      <c r="G1205" t="s">
        <v>469</v>
      </c>
      <c r="H1205" s="16">
        <v>0</v>
      </c>
      <c r="I1205" s="11">
        <v>0</v>
      </c>
      <c r="J1205" s="11">
        <v>0</v>
      </c>
      <c r="K1205" s="11">
        <v>0</v>
      </c>
      <c r="L1205" s="11">
        <v>0</v>
      </c>
      <c r="M1205" s="11">
        <v>0</v>
      </c>
      <c r="N1205" s="11">
        <v>0</v>
      </c>
      <c r="O1205" s="11">
        <v>0</v>
      </c>
      <c r="P1205" s="11">
        <v>3.3947788301592198E-3</v>
      </c>
      <c r="Q1205" s="11">
        <v>0</v>
      </c>
      <c r="R1205" s="11">
        <v>0</v>
      </c>
      <c r="S1205" s="11">
        <v>0</v>
      </c>
      <c r="T1205" s="11">
        <v>0</v>
      </c>
      <c r="U1205">
        <v>0</v>
      </c>
      <c r="V1205">
        <v>0</v>
      </c>
      <c r="W1205">
        <v>0</v>
      </c>
      <c r="X1205">
        <v>6.4242579982012101E-3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>
        <v>5.03372596395852E-3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>
        <v>0</v>
      </c>
      <c r="AM1205">
        <v>0</v>
      </c>
    </row>
    <row r="1206" spans="1:39" customFormat="1" hidden="1" x14ac:dyDescent="0.3">
      <c r="A1206" t="s">
        <v>468</v>
      </c>
      <c r="B1206" t="s">
        <v>30</v>
      </c>
      <c r="C1206" t="s">
        <v>81</v>
      </c>
      <c r="D1206" t="s">
        <v>85</v>
      </c>
      <c r="E1206" t="s">
        <v>287</v>
      </c>
      <c r="F1206" t="s">
        <v>286</v>
      </c>
      <c r="G1206" t="s">
        <v>286</v>
      </c>
      <c r="H1206" s="16">
        <v>0</v>
      </c>
      <c r="I1206" s="11">
        <v>0</v>
      </c>
      <c r="J1206" s="11">
        <v>0</v>
      </c>
      <c r="K1206" s="11">
        <v>0</v>
      </c>
      <c r="L1206" s="11">
        <v>0</v>
      </c>
      <c r="M1206" s="11">
        <v>0</v>
      </c>
      <c r="N1206" s="11">
        <v>0</v>
      </c>
      <c r="O1206" s="11">
        <v>0</v>
      </c>
      <c r="P1206" s="11">
        <v>0</v>
      </c>
      <c r="Q1206" s="11">
        <v>0</v>
      </c>
      <c r="R1206" s="11">
        <v>0</v>
      </c>
      <c r="S1206" s="11">
        <v>0</v>
      </c>
      <c r="T1206" s="11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6.02700096432015E-3</v>
      </c>
      <c r="AL1206">
        <v>0</v>
      </c>
      <c r="AM1206">
        <v>0</v>
      </c>
    </row>
    <row r="1207" spans="1:39" customFormat="1" hidden="1" x14ac:dyDescent="0.3">
      <c r="A1207" t="s">
        <v>467</v>
      </c>
      <c r="B1207" t="s">
        <v>30</v>
      </c>
      <c r="C1207" t="s">
        <v>81</v>
      </c>
      <c r="D1207" t="s">
        <v>85</v>
      </c>
      <c r="E1207" t="s">
        <v>287</v>
      </c>
      <c r="F1207" t="s">
        <v>286</v>
      </c>
      <c r="G1207" t="s">
        <v>286</v>
      </c>
      <c r="H1207" s="16">
        <v>0</v>
      </c>
      <c r="I1207" s="11">
        <v>0</v>
      </c>
      <c r="J1207" s="11">
        <v>0</v>
      </c>
      <c r="K1207" s="11">
        <v>0</v>
      </c>
      <c r="L1207" s="11">
        <v>0</v>
      </c>
      <c r="M1207" s="11">
        <v>0</v>
      </c>
      <c r="N1207" s="11">
        <v>0</v>
      </c>
      <c r="O1207" s="11">
        <v>0</v>
      </c>
      <c r="P1207" s="11">
        <v>0</v>
      </c>
      <c r="Q1207" s="11">
        <v>0</v>
      </c>
      <c r="R1207" s="11">
        <v>0</v>
      </c>
      <c r="S1207" s="11">
        <v>0</v>
      </c>
      <c r="T1207" s="11">
        <v>3.3464962184592698E-3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7.1911405148856597E-3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  <c r="AL1207">
        <v>0</v>
      </c>
      <c r="AM1207">
        <v>0</v>
      </c>
    </row>
    <row r="1208" spans="1:39" customFormat="1" hidden="1" x14ac:dyDescent="0.3">
      <c r="A1208" t="s">
        <v>466</v>
      </c>
      <c r="B1208" t="s">
        <v>30</v>
      </c>
      <c r="C1208" t="s">
        <v>81</v>
      </c>
      <c r="D1208" t="s">
        <v>85</v>
      </c>
      <c r="E1208" t="s">
        <v>287</v>
      </c>
      <c r="F1208" t="s">
        <v>286</v>
      </c>
      <c r="G1208" t="s">
        <v>286</v>
      </c>
      <c r="H1208" s="16">
        <v>0</v>
      </c>
      <c r="I1208" s="11">
        <v>0</v>
      </c>
      <c r="J1208" s="11">
        <v>0</v>
      </c>
      <c r="K1208" s="11">
        <v>0</v>
      </c>
      <c r="L1208" s="11">
        <v>0</v>
      </c>
      <c r="M1208" s="11">
        <v>0</v>
      </c>
      <c r="N1208" s="11">
        <v>0</v>
      </c>
      <c r="O1208" s="11">
        <v>3.75023438964935E-3</v>
      </c>
      <c r="P1208" s="11">
        <v>3.3947788301592198E-3</v>
      </c>
      <c r="Q1208" s="11">
        <v>0</v>
      </c>
      <c r="R1208" s="11">
        <v>0</v>
      </c>
      <c r="S1208" s="11">
        <v>0</v>
      </c>
      <c r="T1208" s="11">
        <v>0</v>
      </c>
      <c r="U1208">
        <v>0</v>
      </c>
      <c r="V1208">
        <v>0</v>
      </c>
      <c r="W1208">
        <v>2.6668088964744798E-3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2.2984278753332699E-3</v>
      </c>
      <c r="AJ1208">
        <v>0</v>
      </c>
      <c r="AK1208">
        <v>0</v>
      </c>
      <c r="AL1208">
        <v>0</v>
      </c>
      <c r="AM1208">
        <v>0</v>
      </c>
    </row>
    <row r="1209" spans="1:39" customFormat="1" hidden="1" x14ac:dyDescent="0.3">
      <c r="A1209" t="s">
        <v>465</v>
      </c>
      <c r="B1209" t="s">
        <v>30</v>
      </c>
      <c r="C1209" t="s">
        <v>81</v>
      </c>
      <c r="D1209" t="s">
        <v>85</v>
      </c>
      <c r="E1209" t="s">
        <v>287</v>
      </c>
      <c r="F1209" t="s">
        <v>286</v>
      </c>
      <c r="G1209" t="s">
        <v>286</v>
      </c>
      <c r="H1209" s="16">
        <v>0</v>
      </c>
      <c r="I1209" s="11">
        <v>0</v>
      </c>
      <c r="J1209" s="11">
        <v>0</v>
      </c>
      <c r="K1209" s="11">
        <v>0</v>
      </c>
      <c r="L1209" s="11">
        <v>0</v>
      </c>
      <c r="M1209" s="11">
        <v>0</v>
      </c>
      <c r="N1209" s="11">
        <v>0</v>
      </c>
      <c r="O1209" s="11">
        <v>0</v>
      </c>
      <c r="P1209" s="11">
        <v>0</v>
      </c>
      <c r="Q1209" s="11">
        <v>0</v>
      </c>
      <c r="R1209" s="11">
        <v>0</v>
      </c>
      <c r="S1209" s="11">
        <v>0</v>
      </c>
      <c r="T1209" s="11">
        <v>0</v>
      </c>
      <c r="U1209">
        <v>0</v>
      </c>
      <c r="V1209">
        <v>0</v>
      </c>
      <c r="W1209">
        <v>2.6668088964744798E-3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0</v>
      </c>
      <c r="AK1209">
        <v>0</v>
      </c>
      <c r="AL1209">
        <v>0</v>
      </c>
      <c r="AM1209">
        <v>0</v>
      </c>
    </row>
    <row r="1210" spans="1:39" customFormat="1" hidden="1" x14ac:dyDescent="0.3">
      <c r="A1210" t="s">
        <v>464</v>
      </c>
      <c r="B1210" t="s">
        <v>30</v>
      </c>
      <c r="C1210" t="s">
        <v>81</v>
      </c>
      <c r="D1210" t="s">
        <v>85</v>
      </c>
      <c r="E1210" t="s">
        <v>287</v>
      </c>
      <c r="F1210" t="s">
        <v>286</v>
      </c>
      <c r="G1210" t="s">
        <v>286</v>
      </c>
      <c r="H1210" s="16">
        <v>0</v>
      </c>
      <c r="I1210" s="11">
        <v>0</v>
      </c>
      <c r="J1210" s="11">
        <v>0</v>
      </c>
      <c r="K1210" s="11">
        <v>0</v>
      </c>
      <c r="L1210" s="11">
        <v>0</v>
      </c>
      <c r="M1210" s="11">
        <v>0</v>
      </c>
      <c r="N1210" s="11">
        <v>0</v>
      </c>
      <c r="O1210" s="11">
        <v>0</v>
      </c>
      <c r="P1210" s="11">
        <v>0</v>
      </c>
      <c r="Q1210" s="11">
        <v>0</v>
      </c>
      <c r="R1210" s="11">
        <v>0</v>
      </c>
      <c r="S1210" s="11">
        <v>0</v>
      </c>
      <c r="T1210" s="11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7.1911405148856597E-3</v>
      </c>
      <c r="AD1210">
        <v>0</v>
      </c>
      <c r="AE1210">
        <v>0</v>
      </c>
      <c r="AF1210">
        <v>0</v>
      </c>
      <c r="AG1210">
        <v>0</v>
      </c>
      <c r="AH1210">
        <v>0</v>
      </c>
      <c r="AI1210">
        <v>0</v>
      </c>
      <c r="AJ1210">
        <v>0</v>
      </c>
      <c r="AK1210">
        <v>0</v>
      </c>
      <c r="AL1210">
        <v>0</v>
      </c>
      <c r="AM1210">
        <v>0</v>
      </c>
    </row>
    <row r="1211" spans="1:39" customFormat="1" hidden="1" x14ac:dyDescent="0.3">
      <c r="A1211" t="s">
        <v>463</v>
      </c>
      <c r="B1211" t="s">
        <v>30</v>
      </c>
      <c r="C1211" t="s">
        <v>81</v>
      </c>
      <c r="D1211" t="s">
        <v>85</v>
      </c>
      <c r="E1211" t="s">
        <v>287</v>
      </c>
      <c r="F1211" t="s">
        <v>286</v>
      </c>
      <c r="G1211" t="s">
        <v>286</v>
      </c>
      <c r="H1211" s="16">
        <v>0</v>
      </c>
      <c r="I1211" s="11">
        <v>0</v>
      </c>
      <c r="J1211" s="11">
        <v>0</v>
      </c>
      <c r="K1211" s="11">
        <v>0</v>
      </c>
      <c r="L1211" s="11">
        <v>0</v>
      </c>
      <c r="M1211" s="11">
        <v>0</v>
      </c>
      <c r="N1211" s="11">
        <v>0</v>
      </c>
      <c r="O1211" s="11">
        <v>3.75023438964935E-3</v>
      </c>
      <c r="P1211" s="11">
        <v>0</v>
      </c>
      <c r="Q1211" s="11">
        <v>0</v>
      </c>
      <c r="R1211" s="11">
        <v>0</v>
      </c>
      <c r="S1211" s="11">
        <v>0</v>
      </c>
      <c r="T1211" s="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0</v>
      </c>
      <c r="AJ1211">
        <v>0</v>
      </c>
      <c r="AK1211">
        <v>0</v>
      </c>
      <c r="AL1211">
        <v>0</v>
      </c>
      <c r="AM1211">
        <v>0</v>
      </c>
    </row>
    <row r="1212" spans="1:39" customFormat="1" hidden="1" x14ac:dyDescent="0.3">
      <c r="A1212" t="s">
        <v>462</v>
      </c>
      <c r="B1212" t="s">
        <v>30</v>
      </c>
      <c r="C1212" t="s">
        <v>81</v>
      </c>
      <c r="D1212" t="s">
        <v>85</v>
      </c>
      <c r="E1212" t="s">
        <v>287</v>
      </c>
      <c r="F1212" t="s">
        <v>286</v>
      </c>
      <c r="G1212" t="s">
        <v>286</v>
      </c>
      <c r="H1212" s="16">
        <v>0</v>
      </c>
      <c r="I1212" s="11">
        <v>0</v>
      </c>
      <c r="J1212" s="11">
        <v>0</v>
      </c>
      <c r="K1212" s="11">
        <v>0</v>
      </c>
      <c r="L1212" s="11">
        <v>0</v>
      </c>
      <c r="M1212" s="11">
        <v>3.5488679111363502E-3</v>
      </c>
      <c r="N1212" s="11">
        <v>0</v>
      </c>
      <c r="O1212" s="11">
        <v>0</v>
      </c>
      <c r="P1212" s="11">
        <v>0</v>
      </c>
      <c r="Q1212" s="11">
        <v>0</v>
      </c>
      <c r="R1212" s="11">
        <v>0</v>
      </c>
      <c r="S1212" s="11">
        <v>0</v>
      </c>
      <c r="T1212" s="11">
        <v>0</v>
      </c>
      <c r="U1212">
        <v>3.04201016031394E-3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>
        <v>0</v>
      </c>
      <c r="AJ1212">
        <v>0</v>
      </c>
      <c r="AK1212">
        <v>0</v>
      </c>
      <c r="AL1212">
        <v>0</v>
      </c>
      <c r="AM1212">
        <v>0</v>
      </c>
    </row>
    <row r="1213" spans="1:39" customFormat="1" hidden="1" x14ac:dyDescent="0.3">
      <c r="A1213" t="s">
        <v>461</v>
      </c>
      <c r="B1213" t="s">
        <v>30</v>
      </c>
      <c r="C1213" t="s">
        <v>81</v>
      </c>
      <c r="D1213" t="s">
        <v>85</v>
      </c>
      <c r="E1213" t="s">
        <v>287</v>
      </c>
      <c r="F1213" t="s">
        <v>286</v>
      </c>
      <c r="G1213" t="s">
        <v>286</v>
      </c>
      <c r="H1213" s="16">
        <v>0</v>
      </c>
      <c r="I1213" s="11">
        <v>0</v>
      </c>
      <c r="J1213" s="11">
        <v>0</v>
      </c>
      <c r="K1213" s="11">
        <v>0</v>
      </c>
      <c r="L1213" s="11">
        <v>0</v>
      </c>
      <c r="M1213" s="11">
        <v>0</v>
      </c>
      <c r="N1213" s="11">
        <v>0</v>
      </c>
      <c r="O1213" s="11">
        <v>0</v>
      </c>
      <c r="P1213" s="11">
        <v>0</v>
      </c>
      <c r="Q1213" s="11">
        <v>0</v>
      </c>
      <c r="R1213" s="11">
        <v>0</v>
      </c>
      <c r="S1213" s="11">
        <v>0</v>
      </c>
      <c r="T1213" s="11">
        <v>0</v>
      </c>
      <c r="U1213">
        <v>3.04201016031394E-3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>
        <v>0</v>
      </c>
      <c r="AJ1213">
        <v>0</v>
      </c>
      <c r="AK1213">
        <v>0</v>
      </c>
      <c r="AL1213">
        <v>0</v>
      </c>
      <c r="AM1213">
        <v>0</v>
      </c>
    </row>
    <row r="1214" spans="1:39" customFormat="1" hidden="1" x14ac:dyDescent="0.3">
      <c r="A1214" t="s">
        <v>460</v>
      </c>
      <c r="B1214" t="s">
        <v>30</v>
      </c>
      <c r="C1214" t="s">
        <v>81</v>
      </c>
      <c r="D1214" t="s">
        <v>85</v>
      </c>
      <c r="E1214" t="s">
        <v>287</v>
      </c>
      <c r="F1214" t="s">
        <v>286</v>
      </c>
      <c r="G1214" t="s">
        <v>286</v>
      </c>
      <c r="H1214" s="16">
        <v>0</v>
      </c>
      <c r="I1214" s="11">
        <v>0</v>
      </c>
      <c r="J1214" s="11">
        <v>0</v>
      </c>
      <c r="K1214" s="11">
        <v>0</v>
      </c>
      <c r="L1214" s="11">
        <v>0</v>
      </c>
      <c r="M1214" s="11">
        <v>0</v>
      </c>
      <c r="N1214" s="11">
        <v>0</v>
      </c>
      <c r="O1214" s="11">
        <v>0</v>
      </c>
      <c r="P1214" s="11">
        <v>0</v>
      </c>
      <c r="Q1214" s="11">
        <v>0</v>
      </c>
      <c r="R1214" s="11">
        <v>0</v>
      </c>
      <c r="S1214" s="11">
        <v>0</v>
      </c>
      <c r="T1214" s="11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3.1774275546517499E-3</v>
      </c>
      <c r="AA1214">
        <v>0</v>
      </c>
      <c r="AB1214">
        <v>0</v>
      </c>
      <c r="AC1214">
        <v>0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>
        <v>0</v>
      </c>
      <c r="AJ1214">
        <v>0</v>
      </c>
      <c r="AK1214">
        <v>0</v>
      </c>
      <c r="AL1214">
        <v>0</v>
      </c>
      <c r="AM1214">
        <v>0</v>
      </c>
    </row>
    <row r="1215" spans="1:39" customFormat="1" hidden="1" x14ac:dyDescent="0.3">
      <c r="A1215" t="s">
        <v>459</v>
      </c>
      <c r="B1215" t="s">
        <v>30</v>
      </c>
      <c r="C1215" t="s">
        <v>81</v>
      </c>
      <c r="D1215" t="s">
        <v>85</v>
      </c>
      <c r="E1215" t="s">
        <v>287</v>
      </c>
      <c r="F1215" t="s">
        <v>286</v>
      </c>
      <c r="G1215" t="s">
        <v>286</v>
      </c>
      <c r="H1215" s="16">
        <v>0</v>
      </c>
      <c r="I1215" s="11">
        <v>0</v>
      </c>
      <c r="J1215" s="11">
        <v>0</v>
      </c>
      <c r="K1215" s="11">
        <v>1.1317978609020399E-2</v>
      </c>
      <c r="L1215" s="11">
        <v>0</v>
      </c>
      <c r="M1215" s="11">
        <v>0</v>
      </c>
      <c r="N1215" s="11">
        <v>0</v>
      </c>
      <c r="O1215" s="11">
        <v>0</v>
      </c>
      <c r="P1215" s="11">
        <v>0</v>
      </c>
      <c r="Q1215" s="11">
        <v>0</v>
      </c>
      <c r="R1215" s="11">
        <v>0</v>
      </c>
      <c r="S1215" s="11">
        <v>0</v>
      </c>
      <c r="T1215" s="11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0</v>
      </c>
      <c r="AJ1215">
        <v>3.5915670006823998E-3</v>
      </c>
      <c r="AK1215">
        <v>0</v>
      </c>
      <c r="AL1215">
        <v>0</v>
      </c>
      <c r="AM1215">
        <v>0</v>
      </c>
    </row>
    <row r="1216" spans="1:39" customFormat="1" hidden="1" x14ac:dyDescent="0.3">
      <c r="A1216" t="s">
        <v>458</v>
      </c>
      <c r="B1216" t="s">
        <v>30</v>
      </c>
      <c r="C1216" t="s">
        <v>81</v>
      </c>
      <c r="D1216" t="s">
        <v>85</v>
      </c>
      <c r="E1216" t="s">
        <v>287</v>
      </c>
      <c r="F1216" t="s">
        <v>286</v>
      </c>
      <c r="G1216" t="s">
        <v>286</v>
      </c>
      <c r="H1216" s="16">
        <v>0</v>
      </c>
      <c r="I1216" s="11">
        <v>0</v>
      </c>
      <c r="J1216" s="11">
        <v>0</v>
      </c>
      <c r="K1216" s="11">
        <v>0</v>
      </c>
      <c r="L1216" s="11">
        <v>0</v>
      </c>
      <c r="M1216" s="11">
        <v>0</v>
      </c>
      <c r="N1216" s="11">
        <v>0</v>
      </c>
      <c r="O1216" s="11">
        <v>0</v>
      </c>
      <c r="P1216" s="11">
        <v>0</v>
      </c>
      <c r="Q1216" s="11">
        <v>0</v>
      </c>
      <c r="R1216" s="11">
        <v>0</v>
      </c>
      <c r="S1216" s="11">
        <v>0</v>
      </c>
      <c r="T1216" s="11">
        <v>0</v>
      </c>
      <c r="U1216">
        <v>0</v>
      </c>
      <c r="V1216">
        <v>0</v>
      </c>
      <c r="W1216">
        <v>0</v>
      </c>
      <c r="X1216">
        <v>0</v>
      </c>
      <c r="Y1216">
        <v>2.9264581077521898E-3</v>
      </c>
      <c r="Z1216">
        <v>0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>
        <v>0</v>
      </c>
      <c r="AJ1216">
        <v>0</v>
      </c>
      <c r="AK1216">
        <v>0</v>
      </c>
      <c r="AL1216">
        <v>0</v>
      </c>
      <c r="AM1216">
        <v>0</v>
      </c>
    </row>
    <row r="1217" spans="1:39" customFormat="1" hidden="1" x14ac:dyDescent="0.3">
      <c r="A1217" t="s">
        <v>457</v>
      </c>
      <c r="B1217" t="s">
        <v>30</v>
      </c>
      <c r="C1217" t="s">
        <v>81</v>
      </c>
      <c r="D1217" t="s">
        <v>85</v>
      </c>
      <c r="E1217" t="s">
        <v>287</v>
      </c>
      <c r="F1217" t="s">
        <v>286</v>
      </c>
      <c r="G1217" t="s">
        <v>286</v>
      </c>
      <c r="H1217" s="16">
        <v>0</v>
      </c>
      <c r="I1217" s="11">
        <v>0</v>
      </c>
      <c r="J1217" s="11">
        <v>0</v>
      </c>
      <c r="K1217" s="11">
        <v>0</v>
      </c>
      <c r="L1217" s="11">
        <v>0</v>
      </c>
      <c r="M1217" s="11">
        <v>0</v>
      </c>
      <c r="N1217" s="11">
        <v>0</v>
      </c>
      <c r="O1217" s="11">
        <v>0</v>
      </c>
      <c r="P1217" s="11">
        <v>0</v>
      </c>
      <c r="Q1217" s="11">
        <v>0</v>
      </c>
      <c r="R1217" s="11">
        <v>0</v>
      </c>
      <c r="S1217" s="11">
        <v>0</v>
      </c>
      <c r="T1217" s="11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</v>
      </c>
      <c r="AE1217">
        <v>0</v>
      </c>
      <c r="AF1217">
        <v>0</v>
      </c>
      <c r="AG1217">
        <v>0</v>
      </c>
      <c r="AH1217">
        <v>0</v>
      </c>
      <c r="AI1217">
        <v>0</v>
      </c>
      <c r="AJ1217">
        <v>0</v>
      </c>
      <c r="AK1217">
        <v>0</v>
      </c>
      <c r="AL1217">
        <v>0</v>
      </c>
      <c r="AM1217">
        <v>0</v>
      </c>
    </row>
    <row r="1218" spans="1:39" customFormat="1" hidden="1" x14ac:dyDescent="0.3">
      <c r="A1218" t="s">
        <v>456</v>
      </c>
      <c r="B1218" t="s">
        <v>30</v>
      </c>
      <c r="C1218" t="s">
        <v>81</v>
      </c>
      <c r="D1218" t="s">
        <v>85</v>
      </c>
      <c r="E1218" t="s">
        <v>287</v>
      </c>
      <c r="F1218" t="s">
        <v>286</v>
      </c>
      <c r="G1218" t="s">
        <v>286</v>
      </c>
      <c r="H1218" s="16">
        <v>0</v>
      </c>
      <c r="I1218" s="11">
        <v>0</v>
      </c>
      <c r="J1218" s="11">
        <v>0</v>
      </c>
      <c r="K1218" s="11">
        <v>0</v>
      </c>
      <c r="L1218" s="11">
        <v>0</v>
      </c>
      <c r="M1218" s="11">
        <v>0</v>
      </c>
      <c r="N1218" s="11">
        <v>0</v>
      </c>
      <c r="O1218" s="11">
        <v>0</v>
      </c>
      <c r="P1218" s="11">
        <v>0</v>
      </c>
      <c r="Q1218" s="11">
        <v>0</v>
      </c>
      <c r="R1218" s="11">
        <v>0</v>
      </c>
      <c r="S1218" s="11">
        <v>0</v>
      </c>
      <c r="T1218" s="11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</v>
      </c>
      <c r="AE1218">
        <v>0</v>
      </c>
      <c r="AF1218">
        <v>0</v>
      </c>
      <c r="AG1218">
        <v>0</v>
      </c>
      <c r="AH1218">
        <v>0</v>
      </c>
      <c r="AI1218">
        <v>0</v>
      </c>
      <c r="AJ1218">
        <v>0</v>
      </c>
      <c r="AK1218">
        <v>0</v>
      </c>
      <c r="AL1218">
        <v>3.5844863431070302E-3</v>
      </c>
      <c r="AM1218">
        <v>0</v>
      </c>
    </row>
    <row r="1219" spans="1:39" customFormat="1" hidden="1" x14ac:dyDescent="0.3">
      <c r="A1219" t="s">
        <v>455</v>
      </c>
      <c r="B1219" t="s">
        <v>30</v>
      </c>
      <c r="C1219" t="s">
        <v>81</v>
      </c>
      <c r="D1219" t="s">
        <v>85</v>
      </c>
      <c r="E1219" t="s">
        <v>287</v>
      </c>
      <c r="F1219" t="s">
        <v>286</v>
      </c>
      <c r="G1219" t="s">
        <v>286</v>
      </c>
      <c r="H1219" s="16">
        <v>0</v>
      </c>
      <c r="I1219" s="11">
        <v>0</v>
      </c>
      <c r="J1219" s="11">
        <v>0</v>
      </c>
      <c r="K1219" s="11">
        <v>0</v>
      </c>
      <c r="L1219" s="11">
        <v>0</v>
      </c>
      <c r="M1219" s="11">
        <v>0</v>
      </c>
      <c r="N1219" s="11">
        <v>0</v>
      </c>
      <c r="O1219" s="11">
        <v>0</v>
      </c>
      <c r="P1219" s="11">
        <v>0</v>
      </c>
      <c r="Q1219" s="11">
        <v>0</v>
      </c>
      <c r="R1219" s="11">
        <v>0</v>
      </c>
      <c r="S1219" s="11">
        <v>0</v>
      </c>
      <c r="T1219" s="11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3.1774275546517499E-3</v>
      </c>
      <c r="AA1219">
        <v>0</v>
      </c>
      <c r="AB1219">
        <v>0</v>
      </c>
      <c r="AC1219">
        <v>0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  <c r="AJ1219">
        <v>3.5915670006823998E-3</v>
      </c>
      <c r="AK1219">
        <v>0</v>
      </c>
      <c r="AL1219">
        <v>0</v>
      </c>
      <c r="AM1219">
        <v>0</v>
      </c>
    </row>
    <row r="1220" spans="1:39" customFormat="1" hidden="1" x14ac:dyDescent="0.3">
      <c r="A1220" t="s">
        <v>453</v>
      </c>
      <c r="B1220" t="s">
        <v>30</v>
      </c>
      <c r="C1220" t="s">
        <v>81</v>
      </c>
      <c r="D1220" t="s">
        <v>85</v>
      </c>
      <c r="E1220" t="s">
        <v>287</v>
      </c>
      <c r="F1220" t="s">
        <v>286</v>
      </c>
      <c r="G1220" t="s">
        <v>286</v>
      </c>
      <c r="H1220" s="16">
        <v>0</v>
      </c>
      <c r="I1220" s="11">
        <v>0</v>
      </c>
      <c r="J1220" s="11">
        <v>0</v>
      </c>
      <c r="K1220" s="11">
        <v>0</v>
      </c>
      <c r="L1220" s="11">
        <v>0</v>
      </c>
      <c r="M1220" s="11">
        <v>0</v>
      </c>
      <c r="N1220" s="11">
        <v>0</v>
      </c>
      <c r="O1220" s="11">
        <v>0</v>
      </c>
      <c r="P1220" s="11">
        <v>0</v>
      </c>
      <c r="Q1220" s="11">
        <v>0</v>
      </c>
      <c r="R1220" s="11">
        <v>0</v>
      </c>
      <c r="S1220" s="11">
        <v>0</v>
      </c>
      <c r="T1220" s="11">
        <v>0</v>
      </c>
      <c r="U1220">
        <v>0</v>
      </c>
      <c r="V1220">
        <v>0</v>
      </c>
      <c r="W1220">
        <v>2.6668088964744798E-3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6.02700096432015E-3</v>
      </c>
      <c r="AL1220">
        <v>0</v>
      </c>
      <c r="AM1220">
        <v>0</v>
      </c>
    </row>
    <row r="1221" spans="1:39" customFormat="1" hidden="1" x14ac:dyDescent="0.3">
      <c r="A1221" t="s">
        <v>452</v>
      </c>
      <c r="B1221" t="s">
        <v>30</v>
      </c>
      <c r="C1221" t="s">
        <v>81</v>
      </c>
      <c r="D1221" t="s">
        <v>85</v>
      </c>
      <c r="E1221" t="s">
        <v>287</v>
      </c>
      <c r="F1221" t="s">
        <v>286</v>
      </c>
      <c r="G1221" t="s">
        <v>286</v>
      </c>
      <c r="H1221" s="16">
        <v>0</v>
      </c>
      <c r="I1221" s="11">
        <v>0</v>
      </c>
      <c r="J1221" s="11">
        <v>0</v>
      </c>
      <c r="K1221" s="11">
        <v>0</v>
      </c>
      <c r="L1221" s="11">
        <v>0</v>
      </c>
      <c r="M1221" s="11">
        <v>3.5488679111363502E-3</v>
      </c>
      <c r="N1221" s="11">
        <v>4.5835816106705798E-3</v>
      </c>
      <c r="O1221" s="11">
        <v>0</v>
      </c>
      <c r="P1221" s="11">
        <v>0</v>
      </c>
      <c r="Q1221" s="11">
        <v>0</v>
      </c>
      <c r="R1221" s="11">
        <v>0</v>
      </c>
      <c r="S1221" s="11">
        <v>0</v>
      </c>
      <c r="T1221" s="11">
        <v>0</v>
      </c>
      <c r="U1221">
        <v>0</v>
      </c>
      <c r="V1221">
        <v>3.6144142841652502E-3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0</v>
      </c>
      <c r="AM1221">
        <v>0</v>
      </c>
    </row>
    <row r="1222" spans="1:39" customFormat="1" hidden="1" x14ac:dyDescent="0.3">
      <c r="A1222" t="s">
        <v>451</v>
      </c>
      <c r="B1222" t="s">
        <v>30</v>
      </c>
      <c r="C1222" t="s">
        <v>81</v>
      </c>
      <c r="D1222" t="s">
        <v>85</v>
      </c>
      <c r="E1222" t="s">
        <v>287</v>
      </c>
      <c r="F1222" t="s">
        <v>286</v>
      </c>
      <c r="G1222" t="s">
        <v>286</v>
      </c>
      <c r="H1222" s="16">
        <v>0</v>
      </c>
      <c r="I1222" s="11">
        <v>0</v>
      </c>
      <c r="J1222" s="11">
        <v>0</v>
      </c>
      <c r="K1222" s="11">
        <v>0</v>
      </c>
      <c r="L1222" s="11">
        <v>0</v>
      </c>
      <c r="M1222" s="11">
        <v>0</v>
      </c>
      <c r="N1222" s="11">
        <v>0</v>
      </c>
      <c r="O1222" s="11">
        <v>0</v>
      </c>
      <c r="P1222" s="11">
        <v>0</v>
      </c>
      <c r="Q1222" s="11">
        <v>0</v>
      </c>
      <c r="R1222" s="11">
        <v>0</v>
      </c>
      <c r="S1222" s="11">
        <v>0</v>
      </c>
      <c r="T1222" s="11">
        <v>6.69299243691855E-3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L1222">
        <v>0</v>
      </c>
      <c r="AM1222">
        <v>0</v>
      </c>
    </row>
    <row r="1223" spans="1:39" customFormat="1" hidden="1" x14ac:dyDescent="0.3">
      <c r="A1223" t="s">
        <v>450</v>
      </c>
      <c r="B1223" t="s">
        <v>30</v>
      </c>
      <c r="C1223" t="s">
        <v>81</v>
      </c>
      <c r="D1223" t="s">
        <v>85</v>
      </c>
      <c r="E1223" t="s">
        <v>287</v>
      </c>
      <c r="F1223" t="s">
        <v>286</v>
      </c>
      <c r="G1223" t="s">
        <v>286</v>
      </c>
      <c r="H1223" s="16">
        <v>0</v>
      </c>
      <c r="I1223" s="11">
        <v>0</v>
      </c>
      <c r="J1223" s="11">
        <v>0</v>
      </c>
      <c r="K1223" s="11">
        <v>0</v>
      </c>
      <c r="L1223" s="11">
        <v>0</v>
      </c>
      <c r="M1223" s="11">
        <v>0</v>
      </c>
      <c r="N1223" s="11">
        <v>0</v>
      </c>
      <c r="O1223" s="11">
        <v>0</v>
      </c>
      <c r="P1223" s="11">
        <v>0</v>
      </c>
      <c r="Q1223" s="11">
        <v>0</v>
      </c>
      <c r="R1223" s="11">
        <v>0</v>
      </c>
      <c r="S1223" s="11">
        <v>0</v>
      </c>
      <c r="T1223" s="11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2.2984278753332699E-3</v>
      </c>
      <c r="AJ1223">
        <v>0</v>
      </c>
      <c r="AK1223">
        <v>0</v>
      </c>
      <c r="AL1223">
        <v>3.5844863431070302E-3</v>
      </c>
      <c r="AM1223">
        <v>0</v>
      </c>
    </row>
    <row r="1224" spans="1:39" customFormat="1" hidden="1" x14ac:dyDescent="0.3">
      <c r="A1224" t="s">
        <v>449</v>
      </c>
      <c r="B1224" t="s">
        <v>30</v>
      </c>
      <c r="C1224" t="s">
        <v>81</v>
      </c>
      <c r="D1224" t="s">
        <v>85</v>
      </c>
      <c r="E1224" t="s">
        <v>287</v>
      </c>
      <c r="F1224" t="s">
        <v>286</v>
      </c>
      <c r="G1224" t="s">
        <v>286</v>
      </c>
      <c r="H1224" s="16">
        <v>0</v>
      </c>
      <c r="I1224" s="11">
        <v>0</v>
      </c>
      <c r="J1224" s="11">
        <v>0</v>
      </c>
      <c r="K1224" s="11">
        <v>0</v>
      </c>
      <c r="L1224" s="11">
        <v>0</v>
      </c>
      <c r="M1224" s="11">
        <v>7.0977358222727004E-3</v>
      </c>
      <c r="N1224" s="11">
        <v>0</v>
      </c>
      <c r="O1224" s="11">
        <v>0</v>
      </c>
      <c r="P1224" s="11">
        <v>0</v>
      </c>
      <c r="Q1224" s="11">
        <v>0</v>
      </c>
      <c r="R1224" s="11">
        <v>0</v>
      </c>
      <c r="S1224" s="11">
        <v>0</v>
      </c>
      <c r="T1224" s="11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3.1774275546517499E-3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5.03372596395852E-3</v>
      </c>
      <c r="AG1224">
        <v>0</v>
      </c>
      <c r="AH1224">
        <v>0</v>
      </c>
      <c r="AI1224">
        <v>0</v>
      </c>
      <c r="AJ1224">
        <v>0</v>
      </c>
      <c r="AK1224">
        <v>0</v>
      </c>
      <c r="AL1224">
        <v>0</v>
      </c>
      <c r="AM1224">
        <v>0</v>
      </c>
    </row>
    <row r="1225" spans="1:39" customFormat="1" hidden="1" x14ac:dyDescent="0.3">
      <c r="A1225" t="s">
        <v>448</v>
      </c>
      <c r="B1225" t="s">
        <v>30</v>
      </c>
      <c r="C1225" t="s">
        <v>81</v>
      </c>
      <c r="D1225" t="s">
        <v>85</v>
      </c>
      <c r="E1225" t="s">
        <v>287</v>
      </c>
      <c r="F1225" t="s">
        <v>286</v>
      </c>
      <c r="G1225" t="s">
        <v>286</v>
      </c>
      <c r="H1225" s="16">
        <v>0</v>
      </c>
      <c r="I1225" s="11">
        <v>0</v>
      </c>
      <c r="J1225" s="11">
        <v>0</v>
      </c>
      <c r="K1225" s="11">
        <v>0</v>
      </c>
      <c r="L1225" s="11">
        <v>0</v>
      </c>
      <c r="M1225" s="11">
        <v>0</v>
      </c>
      <c r="N1225" s="11">
        <v>0</v>
      </c>
      <c r="O1225" s="11">
        <v>0</v>
      </c>
      <c r="P1225" s="11">
        <v>0</v>
      </c>
      <c r="Q1225" s="11">
        <v>0</v>
      </c>
      <c r="R1225" s="11">
        <v>0</v>
      </c>
      <c r="S1225" s="11">
        <v>0</v>
      </c>
      <c r="T1225" s="11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7.1911405148856597E-3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>
        <v>0</v>
      </c>
      <c r="AM1225">
        <v>0</v>
      </c>
    </row>
    <row r="1226" spans="1:39" customFormat="1" hidden="1" x14ac:dyDescent="0.3">
      <c r="A1226" t="s">
        <v>447</v>
      </c>
      <c r="B1226" t="s">
        <v>30</v>
      </c>
      <c r="C1226" t="s">
        <v>81</v>
      </c>
      <c r="D1226" t="s">
        <v>118</v>
      </c>
      <c r="E1226" t="s">
        <v>371</v>
      </c>
      <c r="F1226" t="s">
        <v>429</v>
      </c>
      <c r="G1226" t="s">
        <v>428</v>
      </c>
      <c r="H1226" s="16">
        <v>0</v>
      </c>
      <c r="I1226" s="11">
        <v>0</v>
      </c>
      <c r="J1226" s="11">
        <v>0</v>
      </c>
      <c r="K1226" s="11">
        <v>0</v>
      </c>
      <c r="L1226" s="11">
        <v>0</v>
      </c>
      <c r="M1226" s="11">
        <v>0</v>
      </c>
      <c r="N1226" s="11">
        <v>0</v>
      </c>
      <c r="O1226" s="11">
        <v>0</v>
      </c>
      <c r="P1226" s="11">
        <v>0</v>
      </c>
      <c r="Q1226" s="11">
        <v>0</v>
      </c>
      <c r="R1226" s="11">
        <v>0</v>
      </c>
      <c r="S1226" s="11">
        <v>0</v>
      </c>
      <c r="T1226" s="11">
        <v>0</v>
      </c>
      <c r="U1226">
        <v>0</v>
      </c>
      <c r="V1226">
        <v>0</v>
      </c>
      <c r="W1226">
        <v>0</v>
      </c>
      <c r="X1226">
        <v>6.4242579982012101E-3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0</v>
      </c>
      <c r="AL1226">
        <v>0</v>
      </c>
      <c r="AM1226">
        <v>0</v>
      </c>
    </row>
    <row r="1227" spans="1:39" customFormat="1" hidden="1" x14ac:dyDescent="0.3">
      <c r="A1227" t="s">
        <v>446</v>
      </c>
      <c r="B1227" t="s">
        <v>30</v>
      </c>
      <c r="C1227" t="s">
        <v>81</v>
      </c>
      <c r="D1227" t="s">
        <v>118</v>
      </c>
      <c r="E1227" t="s">
        <v>371</v>
      </c>
      <c r="F1227" t="s">
        <v>424</v>
      </c>
      <c r="G1227" t="s">
        <v>423</v>
      </c>
      <c r="H1227" s="16">
        <v>0</v>
      </c>
      <c r="I1227" s="11">
        <v>0</v>
      </c>
      <c r="J1227" s="11">
        <v>0</v>
      </c>
      <c r="K1227" s="11">
        <v>0</v>
      </c>
      <c r="L1227" s="11">
        <v>0</v>
      </c>
      <c r="M1227" s="11">
        <v>0</v>
      </c>
      <c r="N1227" s="11">
        <v>0</v>
      </c>
      <c r="O1227" s="11">
        <v>0</v>
      </c>
      <c r="P1227" s="11">
        <v>0</v>
      </c>
      <c r="Q1227" s="11">
        <v>0</v>
      </c>
      <c r="R1227" s="11">
        <v>0</v>
      </c>
      <c r="S1227" s="11">
        <v>0</v>
      </c>
      <c r="T1227" s="11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4.6938440235631002E-3</v>
      </c>
      <c r="AH1227">
        <v>0</v>
      </c>
      <c r="AI1227">
        <v>0</v>
      </c>
      <c r="AJ1227">
        <v>0</v>
      </c>
      <c r="AK1227">
        <v>0</v>
      </c>
      <c r="AL1227">
        <v>0</v>
      </c>
      <c r="AM1227">
        <v>0</v>
      </c>
    </row>
    <row r="1228" spans="1:39" customFormat="1" hidden="1" x14ac:dyDescent="0.3">
      <c r="A1228" t="s">
        <v>445</v>
      </c>
      <c r="B1228" t="s">
        <v>30</v>
      </c>
      <c r="C1228" t="s">
        <v>81</v>
      </c>
      <c r="D1228" t="s">
        <v>118</v>
      </c>
      <c r="E1228" t="s">
        <v>371</v>
      </c>
      <c r="F1228" t="s">
        <v>424</v>
      </c>
      <c r="G1228" t="s">
        <v>444</v>
      </c>
      <c r="H1228" s="16">
        <v>0</v>
      </c>
      <c r="I1228" s="11">
        <v>0</v>
      </c>
      <c r="J1228" s="11">
        <v>0</v>
      </c>
      <c r="K1228" s="11">
        <v>5.6589893045102101E-3</v>
      </c>
      <c r="L1228" s="11">
        <v>0</v>
      </c>
      <c r="M1228" s="11">
        <v>0</v>
      </c>
      <c r="N1228" s="11">
        <v>0</v>
      </c>
      <c r="O1228" s="11">
        <v>0</v>
      </c>
      <c r="P1228" s="11">
        <v>0</v>
      </c>
      <c r="Q1228" s="11">
        <v>0</v>
      </c>
      <c r="R1228" s="11">
        <v>0</v>
      </c>
      <c r="S1228" s="11">
        <v>0</v>
      </c>
      <c r="T1228" s="11">
        <v>0</v>
      </c>
      <c r="U1228">
        <v>0</v>
      </c>
      <c r="V1228">
        <v>0</v>
      </c>
      <c r="W1228">
        <v>2.6668088964744798E-3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</v>
      </c>
      <c r="AE1228">
        <v>0</v>
      </c>
      <c r="AF1228">
        <v>0</v>
      </c>
      <c r="AG1228">
        <v>2.3469220117815501E-3</v>
      </c>
      <c r="AH1228">
        <v>0</v>
      </c>
      <c r="AI1228">
        <v>0</v>
      </c>
      <c r="AJ1228">
        <v>0</v>
      </c>
      <c r="AK1228">
        <v>0</v>
      </c>
      <c r="AL1228">
        <v>0</v>
      </c>
      <c r="AM1228">
        <v>0</v>
      </c>
    </row>
    <row r="1229" spans="1:39" customFormat="1" hidden="1" x14ac:dyDescent="0.3">
      <c r="A1229" t="s">
        <v>443</v>
      </c>
      <c r="B1229" t="s">
        <v>30</v>
      </c>
      <c r="C1229" t="s">
        <v>29</v>
      </c>
      <c r="D1229" t="s">
        <v>28</v>
      </c>
      <c r="E1229" t="s">
        <v>105</v>
      </c>
      <c r="F1229" t="s">
        <v>105</v>
      </c>
      <c r="G1229" t="s">
        <v>105</v>
      </c>
      <c r="H1229" s="16">
        <v>0</v>
      </c>
      <c r="I1229" s="11">
        <v>0</v>
      </c>
      <c r="J1229" s="11">
        <v>0</v>
      </c>
      <c r="K1229" s="11">
        <v>0</v>
      </c>
      <c r="L1229" s="11">
        <v>0</v>
      </c>
      <c r="M1229" s="11">
        <v>0</v>
      </c>
      <c r="N1229" s="11">
        <v>0</v>
      </c>
      <c r="O1229" s="11">
        <v>0</v>
      </c>
      <c r="P1229" s="11">
        <v>0</v>
      </c>
      <c r="Q1229" s="11">
        <v>0</v>
      </c>
      <c r="R1229" s="11">
        <v>0</v>
      </c>
      <c r="S1229" s="11">
        <v>0</v>
      </c>
      <c r="T1229" s="11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0</v>
      </c>
      <c r="AL1229">
        <v>0</v>
      </c>
      <c r="AM1229">
        <v>0</v>
      </c>
    </row>
    <row r="1230" spans="1:39" customFormat="1" hidden="1" x14ac:dyDescent="0.3">
      <c r="A1230" t="s">
        <v>442</v>
      </c>
      <c r="B1230" t="s">
        <v>30</v>
      </c>
      <c r="C1230" t="s">
        <v>81</v>
      </c>
      <c r="D1230" t="s">
        <v>118</v>
      </c>
      <c r="E1230" t="s">
        <v>371</v>
      </c>
      <c r="F1230" t="s">
        <v>441</v>
      </c>
      <c r="G1230" t="s">
        <v>440</v>
      </c>
      <c r="H1230" s="16">
        <v>0</v>
      </c>
      <c r="I1230" s="11">
        <v>0</v>
      </c>
      <c r="J1230" s="11">
        <v>0</v>
      </c>
      <c r="K1230" s="11">
        <v>0</v>
      </c>
      <c r="L1230" s="11">
        <v>0</v>
      </c>
      <c r="M1230" s="11">
        <v>0</v>
      </c>
      <c r="N1230" s="11">
        <v>0</v>
      </c>
      <c r="O1230" s="11">
        <v>0</v>
      </c>
      <c r="P1230" s="11">
        <v>0</v>
      </c>
      <c r="Q1230" s="11">
        <v>0</v>
      </c>
      <c r="R1230" s="11">
        <v>2.2441148089136199E-3</v>
      </c>
      <c r="S1230" s="11">
        <v>0</v>
      </c>
      <c r="T1230" s="11">
        <v>0</v>
      </c>
      <c r="U1230">
        <v>0</v>
      </c>
      <c r="V1230">
        <v>0</v>
      </c>
      <c r="W1230">
        <v>2.6668088964744798E-3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</v>
      </c>
      <c r="AE1230">
        <v>0</v>
      </c>
      <c r="AF1230">
        <v>5.03372596395852E-3</v>
      </c>
      <c r="AG1230">
        <v>0</v>
      </c>
      <c r="AH1230">
        <v>0</v>
      </c>
      <c r="AI1230">
        <v>0</v>
      </c>
      <c r="AJ1230">
        <v>0</v>
      </c>
      <c r="AK1230">
        <v>0</v>
      </c>
      <c r="AL1230">
        <v>0</v>
      </c>
      <c r="AM1230">
        <v>0</v>
      </c>
    </row>
    <row r="1231" spans="1:39" customFormat="1" hidden="1" x14ac:dyDescent="0.3">
      <c r="A1231" t="s">
        <v>439</v>
      </c>
      <c r="B1231" t="s">
        <v>30</v>
      </c>
      <c r="C1231" t="s">
        <v>81</v>
      </c>
      <c r="D1231" t="s">
        <v>118</v>
      </c>
      <c r="E1231" t="s">
        <v>371</v>
      </c>
      <c r="F1231" t="s">
        <v>370</v>
      </c>
      <c r="G1231" t="s">
        <v>370</v>
      </c>
      <c r="H1231" s="16">
        <v>0</v>
      </c>
      <c r="I1231" s="11">
        <v>0</v>
      </c>
      <c r="J1231" s="11">
        <v>0</v>
      </c>
      <c r="K1231" s="11">
        <v>0</v>
      </c>
      <c r="L1231" s="11">
        <v>0</v>
      </c>
      <c r="M1231" s="11">
        <v>0</v>
      </c>
      <c r="N1231" s="11">
        <v>0</v>
      </c>
      <c r="O1231" s="11">
        <v>0</v>
      </c>
      <c r="P1231" s="11">
        <v>0</v>
      </c>
      <c r="Q1231" s="11">
        <v>0</v>
      </c>
      <c r="R1231" s="11">
        <v>4.4882296178272501E-3</v>
      </c>
      <c r="S1231" s="11">
        <v>0</v>
      </c>
      <c r="T1231" s="11">
        <v>0</v>
      </c>
      <c r="U1231">
        <v>0</v>
      </c>
      <c r="V1231">
        <v>0</v>
      </c>
      <c r="W1231">
        <v>2.6668088964744798E-3</v>
      </c>
      <c r="X1231">
        <v>0</v>
      </c>
      <c r="Y1231">
        <v>2.9264581077521898E-3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  <c r="AL1231">
        <v>0</v>
      </c>
      <c r="AM1231">
        <v>0</v>
      </c>
    </row>
    <row r="1232" spans="1:39" customFormat="1" hidden="1" x14ac:dyDescent="0.3">
      <c r="A1232" t="s">
        <v>438</v>
      </c>
      <c r="B1232" t="s">
        <v>30</v>
      </c>
      <c r="C1232" t="s">
        <v>81</v>
      </c>
      <c r="D1232" t="s">
        <v>118</v>
      </c>
      <c r="E1232" t="s">
        <v>371</v>
      </c>
      <c r="F1232" t="s">
        <v>424</v>
      </c>
      <c r="G1232" t="s">
        <v>423</v>
      </c>
      <c r="H1232" s="16">
        <v>0</v>
      </c>
      <c r="I1232" s="11">
        <v>0</v>
      </c>
      <c r="J1232" s="11">
        <v>0</v>
      </c>
      <c r="K1232" s="11">
        <v>0</v>
      </c>
      <c r="L1232" s="11">
        <v>0</v>
      </c>
      <c r="M1232" s="11">
        <v>0</v>
      </c>
      <c r="N1232" s="11">
        <v>0</v>
      </c>
      <c r="O1232" s="11">
        <v>0</v>
      </c>
      <c r="P1232" s="11">
        <v>0</v>
      </c>
      <c r="Q1232" s="11">
        <v>0</v>
      </c>
      <c r="R1232" s="11">
        <v>0</v>
      </c>
      <c r="S1232" s="11">
        <v>0</v>
      </c>
      <c r="T1232" s="11">
        <v>0</v>
      </c>
      <c r="U1232">
        <v>0</v>
      </c>
      <c r="V1232">
        <v>0</v>
      </c>
      <c r="W1232">
        <v>2.6668088964744798E-3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2.2984278753332699E-3</v>
      </c>
      <c r="AJ1232">
        <v>0</v>
      </c>
      <c r="AK1232">
        <v>0</v>
      </c>
      <c r="AL1232">
        <v>0</v>
      </c>
      <c r="AM1232">
        <v>0</v>
      </c>
    </row>
    <row r="1233" spans="1:39" customFormat="1" hidden="1" x14ac:dyDescent="0.3">
      <c r="A1233" t="s">
        <v>437</v>
      </c>
      <c r="B1233" t="s">
        <v>30</v>
      </c>
      <c r="C1233" t="s">
        <v>81</v>
      </c>
      <c r="D1233" t="s">
        <v>118</v>
      </c>
      <c r="E1233" t="s">
        <v>371</v>
      </c>
      <c r="F1233" t="s">
        <v>424</v>
      </c>
      <c r="G1233" t="s">
        <v>423</v>
      </c>
      <c r="H1233" s="16">
        <v>0</v>
      </c>
      <c r="I1233" s="11">
        <v>0</v>
      </c>
      <c r="J1233" s="11">
        <v>0</v>
      </c>
      <c r="K1233" s="11">
        <v>0</v>
      </c>
      <c r="L1233" s="11">
        <v>0</v>
      </c>
      <c r="M1233" s="11">
        <v>0</v>
      </c>
      <c r="N1233" s="11">
        <v>0</v>
      </c>
      <c r="O1233" s="11">
        <v>0</v>
      </c>
      <c r="P1233" s="11">
        <v>0</v>
      </c>
      <c r="Q1233" s="11">
        <v>0</v>
      </c>
      <c r="R1233" s="11">
        <v>2.2441148089136199E-3</v>
      </c>
      <c r="S1233" s="11">
        <v>0</v>
      </c>
      <c r="T1233" s="11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4.5968557506665397E-3</v>
      </c>
      <c r="AJ1233">
        <v>0</v>
      </c>
      <c r="AK1233">
        <v>0</v>
      </c>
      <c r="AL1233">
        <v>0</v>
      </c>
      <c r="AM1233">
        <v>0</v>
      </c>
    </row>
    <row r="1234" spans="1:39" customFormat="1" hidden="1" x14ac:dyDescent="0.3">
      <c r="A1234" t="s">
        <v>436</v>
      </c>
      <c r="B1234" t="s">
        <v>30</v>
      </c>
      <c r="C1234" t="s">
        <v>81</v>
      </c>
      <c r="D1234" t="s">
        <v>118</v>
      </c>
      <c r="E1234" t="s">
        <v>371</v>
      </c>
      <c r="F1234" t="s">
        <v>435</v>
      </c>
      <c r="G1234" t="s">
        <v>434</v>
      </c>
      <c r="H1234" s="16">
        <v>0</v>
      </c>
      <c r="I1234" s="11">
        <v>0</v>
      </c>
      <c r="J1234" s="11">
        <v>0</v>
      </c>
      <c r="K1234" s="11">
        <v>0</v>
      </c>
      <c r="L1234" s="11">
        <v>0</v>
      </c>
      <c r="M1234" s="11">
        <v>0</v>
      </c>
      <c r="N1234" s="11">
        <v>0</v>
      </c>
      <c r="O1234" s="11">
        <v>0</v>
      </c>
      <c r="P1234" s="11">
        <v>0</v>
      </c>
      <c r="Q1234" s="11">
        <v>0</v>
      </c>
      <c r="R1234" s="11">
        <v>0</v>
      </c>
      <c r="S1234" s="11">
        <v>0</v>
      </c>
      <c r="T1234" s="11">
        <v>0</v>
      </c>
      <c r="U1234">
        <v>0</v>
      </c>
      <c r="V1234">
        <v>0</v>
      </c>
      <c r="W1234">
        <v>0</v>
      </c>
      <c r="X1234">
        <v>0</v>
      </c>
      <c r="Y1234">
        <v>2.9264581077521898E-3</v>
      </c>
      <c r="Z1234">
        <v>0</v>
      </c>
      <c r="AA1234">
        <v>0</v>
      </c>
      <c r="AB1234">
        <v>0</v>
      </c>
      <c r="AC1234">
        <v>0</v>
      </c>
      <c r="AD1234">
        <v>0</v>
      </c>
      <c r="AE1234">
        <v>0</v>
      </c>
      <c r="AF1234">
        <v>0</v>
      </c>
      <c r="AG1234">
        <v>2.3469220117815501E-3</v>
      </c>
      <c r="AH1234">
        <v>0</v>
      </c>
      <c r="AI1234">
        <v>0</v>
      </c>
      <c r="AJ1234">
        <v>0</v>
      </c>
      <c r="AK1234">
        <v>0</v>
      </c>
      <c r="AL1234">
        <v>0</v>
      </c>
      <c r="AM1234">
        <v>0</v>
      </c>
    </row>
    <row r="1235" spans="1:39" customFormat="1" hidden="1" x14ac:dyDescent="0.3">
      <c r="A1235" t="s">
        <v>433</v>
      </c>
      <c r="B1235" t="s">
        <v>30</v>
      </c>
      <c r="C1235" t="s">
        <v>81</v>
      </c>
      <c r="D1235" t="s">
        <v>118</v>
      </c>
      <c r="E1235" t="s">
        <v>371</v>
      </c>
      <c r="F1235" t="s">
        <v>424</v>
      </c>
      <c r="G1235" t="s">
        <v>423</v>
      </c>
      <c r="H1235" s="16">
        <v>0</v>
      </c>
      <c r="I1235" s="11">
        <v>0</v>
      </c>
      <c r="J1235" s="11">
        <v>0</v>
      </c>
      <c r="K1235" s="11">
        <v>0</v>
      </c>
      <c r="L1235" s="11">
        <v>0</v>
      </c>
      <c r="M1235" s="11">
        <v>0</v>
      </c>
      <c r="N1235" s="11">
        <v>0</v>
      </c>
      <c r="O1235" s="11">
        <v>0</v>
      </c>
      <c r="P1235" s="11">
        <v>0</v>
      </c>
      <c r="Q1235" s="11">
        <v>0</v>
      </c>
      <c r="R1235" s="11">
        <v>0</v>
      </c>
      <c r="S1235" s="11">
        <v>0</v>
      </c>
      <c r="T1235" s="11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0</v>
      </c>
      <c r="AE1235">
        <v>0</v>
      </c>
      <c r="AF1235">
        <v>0</v>
      </c>
      <c r="AG1235">
        <v>0</v>
      </c>
      <c r="AH1235">
        <v>0</v>
      </c>
      <c r="AI1235">
        <v>0</v>
      </c>
      <c r="AJ1235">
        <v>0</v>
      </c>
      <c r="AK1235">
        <v>0</v>
      </c>
      <c r="AL1235">
        <v>0</v>
      </c>
      <c r="AM1235">
        <v>0</v>
      </c>
    </row>
    <row r="1236" spans="1:39" customFormat="1" hidden="1" x14ac:dyDescent="0.3">
      <c r="A1236" t="s">
        <v>432</v>
      </c>
      <c r="B1236" t="s">
        <v>30</v>
      </c>
      <c r="C1236" t="s">
        <v>81</v>
      </c>
      <c r="D1236" t="s">
        <v>118</v>
      </c>
      <c r="E1236" t="s">
        <v>371</v>
      </c>
      <c r="F1236" t="s">
        <v>424</v>
      </c>
      <c r="G1236" t="s">
        <v>423</v>
      </c>
      <c r="H1236" s="16">
        <v>0</v>
      </c>
      <c r="I1236" s="11">
        <v>0</v>
      </c>
      <c r="J1236" s="11">
        <v>0</v>
      </c>
      <c r="K1236" s="11">
        <v>0</v>
      </c>
      <c r="L1236" s="11">
        <v>0</v>
      </c>
      <c r="M1236" s="11">
        <v>0</v>
      </c>
      <c r="N1236" s="11">
        <v>0</v>
      </c>
      <c r="O1236" s="11">
        <v>0</v>
      </c>
      <c r="P1236" s="11">
        <v>0</v>
      </c>
      <c r="Q1236" s="11">
        <v>0</v>
      </c>
      <c r="R1236" s="11">
        <v>0</v>
      </c>
      <c r="S1236" s="11">
        <v>0</v>
      </c>
      <c r="T1236" s="11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0</v>
      </c>
      <c r="AE1236">
        <v>0</v>
      </c>
      <c r="AF1236">
        <v>0</v>
      </c>
      <c r="AG1236">
        <v>0</v>
      </c>
      <c r="AH1236">
        <v>0</v>
      </c>
      <c r="AI1236">
        <v>0</v>
      </c>
      <c r="AJ1236">
        <v>0</v>
      </c>
      <c r="AK1236">
        <v>0</v>
      </c>
      <c r="AL1236">
        <v>0</v>
      </c>
      <c r="AM1236">
        <v>0</v>
      </c>
    </row>
    <row r="1237" spans="1:39" customFormat="1" hidden="1" x14ac:dyDescent="0.3">
      <c r="A1237" t="s">
        <v>431</v>
      </c>
      <c r="B1237" t="s">
        <v>30</v>
      </c>
      <c r="C1237" t="s">
        <v>29</v>
      </c>
      <c r="D1237" t="s">
        <v>28</v>
      </c>
      <c r="E1237" t="s">
        <v>105</v>
      </c>
      <c r="F1237" t="s">
        <v>105</v>
      </c>
      <c r="G1237" t="s">
        <v>105</v>
      </c>
      <c r="H1237" s="16">
        <v>0</v>
      </c>
      <c r="I1237" s="11">
        <v>0</v>
      </c>
      <c r="J1237" s="11">
        <v>0</v>
      </c>
      <c r="K1237" s="11">
        <v>0</v>
      </c>
      <c r="L1237" s="11">
        <v>0</v>
      </c>
      <c r="M1237" s="11">
        <v>0</v>
      </c>
      <c r="N1237" s="11">
        <v>0</v>
      </c>
      <c r="O1237" s="11">
        <v>0</v>
      </c>
      <c r="P1237" s="11">
        <v>0</v>
      </c>
      <c r="Q1237" s="11">
        <v>0</v>
      </c>
      <c r="R1237" s="11">
        <v>0</v>
      </c>
      <c r="S1237" s="11">
        <v>0</v>
      </c>
      <c r="T1237" s="11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3.14564328405159E-3</v>
      </c>
      <c r="AE1237">
        <v>0</v>
      </c>
      <c r="AF1237">
        <v>0</v>
      </c>
      <c r="AG1237">
        <v>2.3469220117815501E-3</v>
      </c>
      <c r="AH1237">
        <v>0</v>
      </c>
      <c r="AI1237">
        <v>0</v>
      </c>
      <c r="AJ1237">
        <v>0</v>
      </c>
      <c r="AK1237">
        <v>0</v>
      </c>
      <c r="AL1237">
        <v>0</v>
      </c>
      <c r="AM1237">
        <v>0</v>
      </c>
    </row>
    <row r="1238" spans="1:39" customFormat="1" hidden="1" x14ac:dyDescent="0.3">
      <c r="A1238" t="s">
        <v>430</v>
      </c>
      <c r="B1238" t="s">
        <v>30</v>
      </c>
      <c r="C1238" t="s">
        <v>81</v>
      </c>
      <c r="D1238" t="s">
        <v>118</v>
      </c>
      <c r="E1238" t="s">
        <v>371</v>
      </c>
      <c r="F1238" t="s">
        <v>429</v>
      </c>
      <c r="G1238" t="s">
        <v>428</v>
      </c>
      <c r="H1238" s="16">
        <v>0</v>
      </c>
      <c r="I1238" s="11">
        <v>0</v>
      </c>
      <c r="J1238" s="11">
        <v>0</v>
      </c>
      <c r="K1238" s="11">
        <v>0</v>
      </c>
      <c r="L1238" s="11">
        <v>0</v>
      </c>
      <c r="M1238" s="11">
        <v>0</v>
      </c>
      <c r="N1238" s="11">
        <v>0</v>
      </c>
      <c r="O1238" s="11">
        <v>0</v>
      </c>
      <c r="P1238" s="11">
        <v>0</v>
      </c>
      <c r="Q1238" s="11">
        <v>0</v>
      </c>
      <c r="R1238" s="11">
        <v>0</v>
      </c>
      <c r="S1238" s="11">
        <v>0</v>
      </c>
      <c r="T1238" s="11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0</v>
      </c>
      <c r="AJ1238">
        <v>0</v>
      </c>
      <c r="AK1238">
        <v>0</v>
      </c>
      <c r="AL1238">
        <v>0</v>
      </c>
      <c r="AM1238">
        <v>0</v>
      </c>
    </row>
    <row r="1239" spans="1:39" customFormat="1" hidden="1" x14ac:dyDescent="0.3">
      <c r="A1239" t="s">
        <v>427</v>
      </c>
      <c r="B1239" t="s">
        <v>30</v>
      </c>
      <c r="C1239" t="s">
        <v>81</v>
      </c>
      <c r="D1239" t="s">
        <v>118</v>
      </c>
      <c r="E1239" t="s">
        <v>371</v>
      </c>
      <c r="F1239" t="s">
        <v>370</v>
      </c>
      <c r="G1239" t="s">
        <v>370</v>
      </c>
      <c r="H1239" s="16">
        <v>0</v>
      </c>
      <c r="I1239" s="11">
        <v>0</v>
      </c>
      <c r="J1239" s="11">
        <v>0</v>
      </c>
      <c r="K1239" s="11">
        <v>0</v>
      </c>
      <c r="L1239" s="11">
        <v>0</v>
      </c>
      <c r="M1239" s="11">
        <v>0</v>
      </c>
      <c r="N1239" s="11">
        <v>0</v>
      </c>
      <c r="O1239" s="11">
        <v>0</v>
      </c>
      <c r="P1239" s="11">
        <v>0</v>
      </c>
      <c r="Q1239" s="11">
        <v>0</v>
      </c>
      <c r="R1239" s="11">
        <v>0</v>
      </c>
      <c r="S1239" s="11">
        <v>0</v>
      </c>
      <c r="T1239" s="11">
        <v>0</v>
      </c>
      <c r="U1239">
        <v>0</v>
      </c>
      <c r="V1239">
        <v>0</v>
      </c>
      <c r="W1239">
        <v>2.6668088964744798E-3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</v>
      </c>
      <c r="AE1239">
        <v>0</v>
      </c>
      <c r="AF1239">
        <v>0</v>
      </c>
      <c r="AG1239">
        <v>0</v>
      </c>
      <c r="AH1239">
        <v>4.6410173109945703E-3</v>
      </c>
      <c r="AI1239">
        <v>0</v>
      </c>
      <c r="AJ1239">
        <v>0</v>
      </c>
      <c r="AK1239">
        <v>0</v>
      </c>
      <c r="AL1239">
        <v>0</v>
      </c>
      <c r="AM1239">
        <v>0</v>
      </c>
    </row>
    <row r="1240" spans="1:39" customFormat="1" hidden="1" x14ac:dyDescent="0.3">
      <c r="A1240" t="s">
        <v>426</v>
      </c>
      <c r="B1240" t="s">
        <v>30</v>
      </c>
      <c r="C1240" t="s">
        <v>81</v>
      </c>
      <c r="D1240" t="s">
        <v>118</v>
      </c>
      <c r="E1240" t="s">
        <v>371</v>
      </c>
      <c r="F1240" t="s">
        <v>424</v>
      </c>
      <c r="G1240" t="s">
        <v>423</v>
      </c>
      <c r="H1240" s="16">
        <v>0</v>
      </c>
      <c r="I1240" s="11">
        <v>0</v>
      </c>
      <c r="J1240" s="11">
        <v>0</v>
      </c>
      <c r="K1240" s="11">
        <v>0</v>
      </c>
      <c r="L1240" s="11">
        <v>0</v>
      </c>
      <c r="M1240" s="11">
        <v>0</v>
      </c>
      <c r="N1240" s="11">
        <v>0</v>
      </c>
      <c r="O1240" s="11">
        <v>0</v>
      </c>
      <c r="P1240" s="11">
        <v>0</v>
      </c>
      <c r="Q1240" s="11">
        <v>2.7492920572952501E-3</v>
      </c>
      <c r="R1240" s="11">
        <v>0</v>
      </c>
      <c r="S1240" s="11">
        <v>0</v>
      </c>
      <c r="T1240" s="11">
        <v>3.3464962184592698E-3</v>
      </c>
      <c r="U1240">
        <v>0</v>
      </c>
      <c r="V1240">
        <v>0</v>
      </c>
      <c r="W1240">
        <v>2.6668088964744798E-3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</v>
      </c>
      <c r="AE1240">
        <v>0</v>
      </c>
      <c r="AF1240">
        <v>0</v>
      </c>
      <c r="AG1240">
        <v>0</v>
      </c>
      <c r="AH1240">
        <v>4.6410173109945703E-3</v>
      </c>
      <c r="AI1240">
        <v>0</v>
      </c>
      <c r="AJ1240">
        <v>0</v>
      </c>
      <c r="AK1240">
        <v>0</v>
      </c>
      <c r="AL1240">
        <v>0</v>
      </c>
      <c r="AM1240">
        <v>0</v>
      </c>
    </row>
    <row r="1241" spans="1:39" customFormat="1" hidden="1" x14ac:dyDescent="0.3">
      <c r="A1241" t="s">
        <v>425</v>
      </c>
      <c r="B1241" t="s">
        <v>30</v>
      </c>
      <c r="C1241" t="s">
        <v>81</v>
      </c>
      <c r="D1241" t="s">
        <v>118</v>
      </c>
      <c r="E1241" t="s">
        <v>371</v>
      </c>
      <c r="F1241" t="s">
        <v>424</v>
      </c>
      <c r="G1241" t="s">
        <v>423</v>
      </c>
      <c r="H1241" s="16">
        <v>0</v>
      </c>
      <c r="I1241" s="11">
        <v>0</v>
      </c>
      <c r="J1241" s="11">
        <v>0</v>
      </c>
      <c r="K1241" s="11">
        <v>0</v>
      </c>
      <c r="L1241" s="11">
        <v>0</v>
      </c>
      <c r="M1241" s="11">
        <v>0</v>
      </c>
      <c r="N1241" s="11">
        <v>0</v>
      </c>
      <c r="O1241" s="11">
        <v>0</v>
      </c>
      <c r="P1241" s="11">
        <v>0</v>
      </c>
      <c r="Q1241" s="11">
        <v>0</v>
      </c>
      <c r="R1241" s="11">
        <v>0</v>
      </c>
      <c r="S1241" s="11">
        <v>0</v>
      </c>
      <c r="T1241" s="1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3.1774275546517499E-3</v>
      </c>
      <c r="AA1241">
        <v>0</v>
      </c>
      <c r="AB1241">
        <v>0</v>
      </c>
      <c r="AC1241">
        <v>0</v>
      </c>
      <c r="AD1241">
        <v>0</v>
      </c>
      <c r="AE1241">
        <v>0</v>
      </c>
      <c r="AF1241">
        <v>0</v>
      </c>
      <c r="AG1241">
        <v>0</v>
      </c>
      <c r="AH1241">
        <v>4.6410173109945703E-3</v>
      </c>
      <c r="AI1241">
        <v>0</v>
      </c>
      <c r="AJ1241">
        <v>0</v>
      </c>
      <c r="AK1241">
        <v>0</v>
      </c>
      <c r="AL1241">
        <v>0</v>
      </c>
      <c r="AM1241">
        <v>0</v>
      </c>
    </row>
    <row r="1242" spans="1:39" customFormat="1" hidden="1" x14ac:dyDescent="0.3">
      <c r="A1242" t="s">
        <v>422</v>
      </c>
      <c r="B1242" t="s">
        <v>30</v>
      </c>
      <c r="C1242" t="s">
        <v>81</v>
      </c>
      <c r="D1242" t="s">
        <v>118</v>
      </c>
      <c r="E1242" t="s">
        <v>371</v>
      </c>
      <c r="F1242" t="s">
        <v>374</v>
      </c>
      <c r="G1242" t="s">
        <v>373</v>
      </c>
      <c r="H1242" s="16">
        <v>0</v>
      </c>
      <c r="I1242" s="11">
        <v>0</v>
      </c>
      <c r="J1242" s="11">
        <v>0</v>
      </c>
      <c r="K1242" s="11">
        <v>0</v>
      </c>
      <c r="L1242" s="11">
        <v>0</v>
      </c>
      <c r="M1242" s="11">
        <v>0</v>
      </c>
      <c r="N1242" s="11">
        <v>0</v>
      </c>
      <c r="O1242" s="11">
        <v>0</v>
      </c>
      <c r="P1242" s="11">
        <v>0</v>
      </c>
      <c r="Q1242" s="11">
        <v>0</v>
      </c>
      <c r="R1242" s="11">
        <v>0</v>
      </c>
      <c r="S1242" s="11">
        <v>0</v>
      </c>
      <c r="T1242" s="11">
        <v>0</v>
      </c>
      <c r="U1242">
        <v>3.04201016031394E-3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0</v>
      </c>
      <c r="AE1242">
        <v>0</v>
      </c>
      <c r="AF1242">
        <v>0</v>
      </c>
      <c r="AG1242">
        <v>0</v>
      </c>
      <c r="AH1242">
        <v>0</v>
      </c>
      <c r="AI1242">
        <v>0</v>
      </c>
      <c r="AJ1242">
        <v>0</v>
      </c>
      <c r="AK1242">
        <v>0</v>
      </c>
      <c r="AL1242">
        <v>0</v>
      </c>
      <c r="AM1242">
        <v>0</v>
      </c>
    </row>
    <row r="1243" spans="1:39" customFormat="1" hidden="1" x14ac:dyDescent="0.3">
      <c r="A1243" t="s">
        <v>421</v>
      </c>
      <c r="B1243" t="s">
        <v>30</v>
      </c>
      <c r="C1243" t="s">
        <v>410</v>
      </c>
      <c r="D1243" t="s">
        <v>410</v>
      </c>
      <c r="E1243" t="s">
        <v>409</v>
      </c>
      <c r="F1243" t="s">
        <v>408</v>
      </c>
      <c r="G1243" t="s">
        <v>407</v>
      </c>
      <c r="H1243" s="16">
        <v>0</v>
      </c>
      <c r="I1243" s="11">
        <v>0</v>
      </c>
      <c r="J1243" s="11">
        <v>0</v>
      </c>
      <c r="K1243" s="11">
        <v>0</v>
      </c>
      <c r="L1243" s="11">
        <v>0</v>
      </c>
      <c r="M1243" s="11">
        <v>0</v>
      </c>
      <c r="N1243" s="11">
        <v>0</v>
      </c>
      <c r="O1243" s="11">
        <v>0</v>
      </c>
      <c r="P1243" s="11">
        <v>0</v>
      </c>
      <c r="Q1243" s="11">
        <v>0</v>
      </c>
      <c r="R1243" s="11">
        <v>0</v>
      </c>
      <c r="S1243" s="11">
        <v>0</v>
      </c>
      <c r="T1243" s="11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7.1911405148856597E-3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2.2984278753332699E-3</v>
      </c>
      <c r="AJ1243">
        <v>0</v>
      </c>
      <c r="AK1243">
        <v>0</v>
      </c>
      <c r="AL1243">
        <v>0</v>
      </c>
      <c r="AM1243">
        <v>0</v>
      </c>
    </row>
    <row r="1244" spans="1:39" customFormat="1" hidden="1" x14ac:dyDescent="0.3">
      <c r="A1244" t="s">
        <v>420</v>
      </c>
      <c r="B1244" t="s">
        <v>30</v>
      </c>
      <c r="C1244" t="s">
        <v>410</v>
      </c>
      <c r="D1244" t="s">
        <v>410</v>
      </c>
      <c r="E1244" t="s">
        <v>409</v>
      </c>
      <c r="F1244" t="s">
        <v>408</v>
      </c>
      <c r="G1244" t="s">
        <v>407</v>
      </c>
      <c r="H1244" s="16">
        <v>0</v>
      </c>
      <c r="I1244" s="11">
        <v>0</v>
      </c>
      <c r="J1244" s="11">
        <v>0</v>
      </c>
      <c r="K1244" s="11">
        <v>0</v>
      </c>
      <c r="L1244" s="11">
        <v>0</v>
      </c>
      <c r="M1244" s="11">
        <v>0</v>
      </c>
      <c r="N1244" s="11">
        <v>0</v>
      </c>
      <c r="O1244" s="11">
        <v>0</v>
      </c>
      <c r="P1244" s="11">
        <v>0</v>
      </c>
      <c r="Q1244" s="11">
        <v>0</v>
      </c>
      <c r="R1244" s="11">
        <v>0</v>
      </c>
      <c r="S1244" s="11">
        <v>0</v>
      </c>
      <c r="T1244" s="11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4.5118209709438702E-3</v>
      </c>
      <c r="AC1244">
        <v>0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0</v>
      </c>
      <c r="AL1244">
        <v>0</v>
      </c>
      <c r="AM1244">
        <v>0</v>
      </c>
    </row>
    <row r="1245" spans="1:39" customFormat="1" hidden="1" x14ac:dyDescent="0.3">
      <c r="A1245" t="s">
        <v>419</v>
      </c>
      <c r="B1245" t="s">
        <v>30</v>
      </c>
      <c r="C1245" t="s">
        <v>81</v>
      </c>
      <c r="D1245" t="s">
        <v>85</v>
      </c>
      <c r="E1245" t="s">
        <v>84</v>
      </c>
      <c r="F1245" t="s">
        <v>84</v>
      </c>
      <c r="G1245" t="s">
        <v>84</v>
      </c>
      <c r="H1245" s="16">
        <v>0</v>
      </c>
      <c r="I1245" s="11">
        <v>0</v>
      </c>
      <c r="J1245" s="11">
        <v>0</v>
      </c>
      <c r="K1245" s="11">
        <v>0</v>
      </c>
      <c r="L1245" s="11">
        <v>0</v>
      </c>
      <c r="M1245" s="11">
        <v>0</v>
      </c>
      <c r="N1245" s="11">
        <v>0</v>
      </c>
      <c r="O1245" s="11">
        <v>0</v>
      </c>
      <c r="P1245" s="11">
        <v>0</v>
      </c>
      <c r="Q1245" s="11">
        <v>0</v>
      </c>
      <c r="R1245" s="11">
        <v>0</v>
      </c>
      <c r="S1245" s="11">
        <v>0</v>
      </c>
      <c r="T1245" s="11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  <c r="AL1245">
        <v>0</v>
      </c>
      <c r="AM1245">
        <v>0</v>
      </c>
    </row>
    <row r="1246" spans="1:39" customFormat="1" hidden="1" x14ac:dyDescent="0.3">
      <c r="A1246" t="s">
        <v>418</v>
      </c>
      <c r="B1246" t="s">
        <v>30</v>
      </c>
      <c r="C1246" t="s">
        <v>410</v>
      </c>
      <c r="D1246" t="s">
        <v>410</v>
      </c>
      <c r="E1246" t="s">
        <v>409</v>
      </c>
      <c r="F1246" t="s">
        <v>408</v>
      </c>
      <c r="G1246" t="s">
        <v>407</v>
      </c>
      <c r="H1246" s="16">
        <v>0</v>
      </c>
      <c r="I1246" s="11">
        <v>0</v>
      </c>
      <c r="J1246" s="11">
        <v>0</v>
      </c>
      <c r="K1246" s="11">
        <v>0</v>
      </c>
      <c r="L1246" s="11">
        <v>0</v>
      </c>
      <c r="M1246" s="11">
        <v>0</v>
      </c>
      <c r="N1246" s="11">
        <v>0</v>
      </c>
      <c r="O1246" s="11">
        <v>0</v>
      </c>
      <c r="P1246" s="11">
        <v>0</v>
      </c>
      <c r="Q1246" s="11">
        <v>2.7492920572952501E-3</v>
      </c>
      <c r="R1246" s="11">
        <v>0</v>
      </c>
      <c r="S1246" s="11">
        <v>0</v>
      </c>
      <c r="T1246" s="11">
        <v>3.3464962184592698E-3</v>
      </c>
      <c r="U1246">
        <v>0</v>
      </c>
      <c r="V1246">
        <v>0</v>
      </c>
      <c r="W1246">
        <v>0</v>
      </c>
      <c r="X1246">
        <v>0</v>
      </c>
      <c r="Y1246">
        <v>2.9264581077521898E-3</v>
      </c>
      <c r="Z1246">
        <v>0</v>
      </c>
      <c r="AA1246">
        <v>0</v>
      </c>
      <c r="AB1246">
        <v>0</v>
      </c>
      <c r="AC1246">
        <v>0</v>
      </c>
      <c r="AD1246">
        <v>0</v>
      </c>
      <c r="AE1246">
        <v>0</v>
      </c>
      <c r="AF1246">
        <v>0</v>
      </c>
      <c r="AG1246">
        <v>2.3469220117815501E-3</v>
      </c>
      <c r="AH1246">
        <v>0</v>
      </c>
      <c r="AI1246">
        <v>0</v>
      </c>
      <c r="AJ1246">
        <v>0</v>
      </c>
      <c r="AK1246">
        <v>0</v>
      </c>
      <c r="AL1246">
        <v>0</v>
      </c>
      <c r="AM1246">
        <v>0</v>
      </c>
    </row>
    <row r="1247" spans="1:39" customFormat="1" hidden="1" x14ac:dyDescent="0.3">
      <c r="A1247" t="s">
        <v>417</v>
      </c>
      <c r="B1247" t="s">
        <v>30</v>
      </c>
      <c r="C1247" t="s">
        <v>410</v>
      </c>
      <c r="D1247" t="s">
        <v>410</v>
      </c>
      <c r="E1247" t="s">
        <v>409</v>
      </c>
      <c r="F1247" t="s">
        <v>408</v>
      </c>
      <c r="G1247" t="s">
        <v>407</v>
      </c>
      <c r="H1247" s="16">
        <v>0</v>
      </c>
      <c r="I1247" s="11">
        <v>0</v>
      </c>
      <c r="J1247" s="11">
        <v>0</v>
      </c>
      <c r="K1247" s="11">
        <v>0</v>
      </c>
      <c r="L1247" s="11">
        <v>0</v>
      </c>
      <c r="M1247" s="11">
        <v>0</v>
      </c>
      <c r="N1247" s="11">
        <v>0</v>
      </c>
      <c r="O1247" s="11">
        <v>0</v>
      </c>
      <c r="P1247" s="11">
        <v>0</v>
      </c>
      <c r="Q1247" s="11">
        <v>2.7492920572952501E-3</v>
      </c>
      <c r="R1247" s="11">
        <v>0</v>
      </c>
      <c r="S1247" s="11">
        <v>0</v>
      </c>
      <c r="T1247" s="11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3.14564328405159E-3</v>
      </c>
      <c r="AE1247">
        <v>0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0</v>
      </c>
      <c r="AL1247">
        <v>0</v>
      </c>
      <c r="AM1247">
        <v>0</v>
      </c>
    </row>
    <row r="1248" spans="1:39" customFormat="1" hidden="1" x14ac:dyDescent="0.3">
      <c r="A1248" t="s">
        <v>416</v>
      </c>
      <c r="B1248" t="s">
        <v>30</v>
      </c>
      <c r="C1248" t="s">
        <v>410</v>
      </c>
      <c r="D1248" t="s">
        <v>410</v>
      </c>
      <c r="E1248" t="s">
        <v>409</v>
      </c>
      <c r="F1248" t="s">
        <v>408</v>
      </c>
      <c r="G1248" t="s">
        <v>407</v>
      </c>
      <c r="H1248" s="16">
        <v>0</v>
      </c>
      <c r="I1248" s="11">
        <v>0</v>
      </c>
      <c r="J1248" s="11">
        <v>0</v>
      </c>
      <c r="K1248" s="11">
        <v>0</v>
      </c>
      <c r="L1248" s="11">
        <v>0</v>
      </c>
      <c r="M1248" s="11">
        <v>0</v>
      </c>
      <c r="N1248" s="11">
        <v>0</v>
      </c>
      <c r="O1248" s="11">
        <v>0</v>
      </c>
      <c r="P1248" s="11">
        <v>0</v>
      </c>
      <c r="Q1248" s="11">
        <v>0</v>
      </c>
      <c r="R1248" s="11">
        <v>2.2441148089136199E-3</v>
      </c>
      <c r="S1248" s="11">
        <v>0</v>
      </c>
      <c r="T1248" s="11">
        <v>0</v>
      </c>
      <c r="U1248">
        <v>0</v>
      </c>
      <c r="V1248">
        <v>0</v>
      </c>
      <c r="W1248">
        <v>0</v>
      </c>
      <c r="X1248">
        <v>0</v>
      </c>
      <c r="Y1248">
        <v>2.9264581077521898E-3</v>
      </c>
      <c r="Z1248">
        <v>0</v>
      </c>
      <c r="AA1248">
        <v>0</v>
      </c>
      <c r="AB1248">
        <v>4.5118209709438702E-3</v>
      </c>
      <c r="AC1248">
        <v>0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0</v>
      </c>
      <c r="AL1248">
        <v>0</v>
      </c>
      <c r="AM1248">
        <v>0</v>
      </c>
    </row>
    <row r="1249" spans="1:39" customFormat="1" hidden="1" x14ac:dyDescent="0.3">
      <c r="A1249" t="s">
        <v>415</v>
      </c>
      <c r="B1249" t="s">
        <v>30</v>
      </c>
      <c r="C1249" t="s">
        <v>410</v>
      </c>
      <c r="D1249" t="s">
        <v>410</v>
      </c>
      <c r="E1249" t="s">
        <v>409</v>
      </c>
      <c r="F1249" t="s">
        <v>408</v>
      </c>
      <c r="G1249" t="s">
        <v>407</v>
      </c>
      <c r="H1249" s="16">
        <v>0</v>
      </c>
      <c r="I1249" s="11">
        <v>0</v>
      </c>
      <c r="J1249" s="11">
        <v>0</v>
      </c>
      <c r="K1249" s="11">
        <v>0</v>
      </c>
      <c r="L1249" s="11">
        <v>0</v>
      </c>
      <c r="M1249" s="11">
        <v>0</v>
      </c>
      <c r="N1249" s="11">
        <v>0</v>
      </c>
      <c r="O1249" s="11">
        <v>0</v>
      </c>
      <c r="P1249" s="11">
        <v>0</v>
      </c>
      <c r="Q1249" s="11">
        <v>2.7492920572952501E-3</v>
      </c>
      <c r="R1249" s="11">
        <v>2.2441148089136199E-3</v>
      </c>
      <c r="S1249" s="11">
        <v>0</v>
      </c>
      <c r="T1249" s="11">
        <v>0</v>
      </c>
      <c r="U1249">
        <v>0</v>
      </c>
      <c r="V1249">
        <v>0</v>
      </c>
      <c r="W1249">
        <v>0</v>
      </c>
      <c r="X1249">
        <v>0</v>
      </c>
      <c r="Y1249">
        <v>2.9264581077521898E-3</v>
      </c>
      <c r="Z1249">
        <v>0</v>
      </c>
      <c r="AA1249">
        <v>0</v>
      </c>
      <c r="AB1249">
        <v>0</v>
      </c>
      <c r="AC1249">
        <v>0</v>
      </c>
      <c r="AD1249">
        <v>3.14564328405159E-3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0</v>
      </c>
      <c r="AL1249">
        <v>0</v>
      </c>
      <c r="AM1249">
        <v>0</v>
      </c>
    </row>
    <row r="1250" spans="1:39" customFormat="1" hidden="1" x14ac:dyDescent="0.3">
      <c r="A1250" t="s">
        <v>414</v>
      </c>
      <c r="B1250" t="s">
        <v>30</v>
      </c>
      <c r="C1250" t="s">
        <v>410</v>
      </c>
      <c r="D1250" t="s">
        <v>410</v>
      </c>
      <c r="E1250" t="s">
        <v>409</v>
      </c>
      <c r="F1250" t="s">
        <v>408</v>
      </c>
      <c r="G1250" t="s">
        <v>407</v>
      </c>
      <c r="H1250" s="16">
        <v>0</v>
      </c>
      <c r="I1250" s="11">
        <v>0</v>
      </c>
      <c r="J1250" s="11">
        <v>0</v>
      </c>
      <c r="K1250" s="11">
        <v>0</v>
      </c>
      <c r="L1250" s="11">
        <v>0</v>
      </c>
      <c r="M1250" s="11">
        <v>0</v>
      </c>
      <c r="N1250" s="11">
        <v>0</v>
      </c>
      <c r="O1250" s="11">
        <v>3.75023438964935E-3</v>
      </c>
      <c r="P1250" s="11">
        <v>0</v>
      </c>
      <c r="Q1250" s="11">
        <v>0</v>
      </c>
      <c r="R1250" s="11">
        <v>0</v>
      </c>
      <c r="S1250" s="11">
        <v>0</v>
      </c>
      <c r="T1250" s="11">
        <v>0</v>
      </c>
      <c r="U1250">
        <v>0</v>
      </c>
      <c r="V1250">
        <v>0</v>
      </c>
      <c r="W1250">
        <v>0</v>
      </c>
      <c r="X1250">
        <v>0</v>
      </c>
      <c r="Y1250">
        <v>2.9264581077521898E-3</v>
      </c>
      <c r="Z1250">
        <v>0</v>
      </c>
      <c r="AA1250">
        <v>0</v>
      </c>
      <c r="AB1250">
        <v>4.5118209709438702E-3</v>
      </c>
      <c r="AC1250">
        <v>0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0</v>
      </c>
      <c r="AL1250">
        <v>0</v>
      </c>
      <c r="AM1250">
        <v>0</v>
      </c>
    </row>
    <row r="1251" spans="1:39" customFormat="1" hidden="1" x14ac:dyDescent="0.3">
      <c r="A1251" t="s">
        <v>413</v>
      </c>
      <c r="B1251" t="s">
        <v>30</v>
      </c>
      <c r="C1251" t="s">
        <v>410</v>
      </c>
      <c r="D1251" t="s">
        <v>410</v>
      </c>
      <c r="E1251" t="s">
        <v>409</v>
      </c>
      <c r="F1251" t="s">
        <v>408</v>
      </c>
      <c r="G1251" t="s">
        <v>407</v>
      </c>
      <c r="H1251" s="16">
        <v>0</v>
      </c>
      <c r="I1251" s="11">
        <v>0</v>
      </c>
      <c r="J1251" s="11">
        <v>0</v>
      </c>
      <c r="K1251" s="11">
        <v>0</v>
      </c>
      <c r="L1251" s="11">
        <v>0</v>
      </c>
      <c r="M1251" s="11">
        <v>0</v>
      </c>
      <c r="N1251" s="11">
        <v>0</v>
      </c>
      <c r="O1251" s="11">
        <v>0</v>
      </c>
      <c r="P1251" s="11">
        <v>0</v>
      </c>
      <c r="Q1251" s="11">
        <v>0</v>
      </c>
      <c r="R1251" s="11">
        <v>2.2441148089136199E-3</v>
      </c>
      <c r="S1251" s="11">
        <v>0</v>
      </c>
      <c r="T1251" s="1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9.0236419418877507E-3</v>
      </c>
      <c r="AC1251">
        <v>0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  <c r="AL1251">
        <v>0</v>
      </c>
      <c r="AM1251">
        <v>0</v>
      </c>
    </row>
    <row r="1252" spans="1:39" customFormat="1" hidden="1" x14ac:dyDescent="0.3">
      <c r="A1252" t="s">
        <v>412</v>
      </c>
      <c r="B1252" t="s">
        <v>30</v>
      </c>
      <c r="C1252" t="s">
        <v>410</v>
      </c>
      <c r="D1252" t="s">
        <v>410</v>
      </c>
      <c r="E1252" t="s">
        <v>409</v>
      </c>
      <c r="F1252" t="s">
        <v>408</v>
      </c>
      <c r="G1252" t="s">
        <v>407</v>
      </c>
      <c r="H1252" s="16">
        <v>0</v>
      </c>
      <c r="I1252" s="11">
        <v>0</v>
      </c>
      <c r="J1252" s="11">
        <v>0</v>
      </c>
      <c r="K1252" s="11">
        <v>0</v>
      </c>
      <c r="L1252" s="11">
        <v>0</v>
      </c>
      <c r="M1252" s="11">
        <v>0</v>
      </c>
      <c r="N1252" s="11">
        <v>0</v>
      </c>
      <c r="O1252" s="11">
        <v>0</v>
      </c>
      <c r="P1252" s="11">
        <v>0</v>
      </c>
      <c r="Q1252" s="11">
        <v>0</v>
      </c>
      <c r="R1252" s="11">
        <v>0</v>
      </c>
      <c r="S1252" s="11">
        <v>2.4883049666567102E-3</v>
      </c>
      <c r="T1252" s="11">
        <v>0</v>
      </c>
      <c r="U1252">
        <v>0</v>
      </c>
      <c r="V1252">
        <v>0</v>
      </c>
      <c r="W1252">
        <v>0</v>
      </c>
      <c r="X1252">
        <v>0</v>
      </c>
      <c r="Y1252">
        <v>2.9264581077521898E-3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2.2984278753332699E-3</v>
      </c>
      <c r="AJ1252">
        <v>0</v>
      </c>
      <c r="AK1252">
        <v>0</v>
      </c>
      <c r="AL1252">
        <v>0</v>
      </c>
      <c r="AM1252">
        <v>0</v>
      </c>
    </row>
    <row r="1253" spans="1:39" customFormat="1" hidden="1" x14ac:dyDescent="0.3">
      <c r="A1253" t="s">
        <v>411</v>
      </c>
      <c r="B1253" t="s">
        <v>30</v>
      </c>
      <c r="C1253" t="s">
        <v>410</v>
      </c>
      <c r="D1253" t="s">
        <v>410</v>
      </c>
      <c r="E1253" t="s">
        <v>409</v>
      </c>
      <c r="F1253" t="s">
        <v>408</v>
      </c>
      <c r="G1253" t="s">
        <v>407</v>
      </c>
      <c r="H1253" s="16">
        <v>0</v>
      </c>
      <c r="I1253" s="11">
        <v>0</v>
      </c>
      <c r="J1253" s="11">
        <v>0</v>
      </c>
      <c r="K1253" s="11">
        <v>0</v>
      </c>
      <c r="L1253" s="11">
        <v>0</v>
      </c>
      <c r="M1253" s="11">
        <v>0</v>
      </c>
      <c r="N1253" s="11">
        <v>0</v>
      </c>
      <c r="O1253" s="11">
        <v>0</v>
      </c>
      <c r="P1253" s="11">
        <v>0</v>
      </c>
      <c r="Q1253" s="11">
        <v>0</v>
      </c>
      <c r="R1253" s="11">
        <v>0</v>
      </c>
      <c r="S1253" s="11">
        <v>2.4883049666567102E-3</v>
      </c>
      <c r="T1253" s="11">
        <v>3.3464962184592698E-3</v>
      </c>
      <c r="U1253">
        <v>0</v>
      </c>
      <c r="V1253">
        <v>0</v>
      </c>
      <c r="W1253">
        <v>0</v>
      </c>
      <c r="X1253">
        <v>0</v>
      </c>
      <c r="Y1253">
        <v>5.8529162155043701E-3</v>
      </c>
      <c r="Z1253">
        <v>0</v>
      </c>
      <c r="AA1253">
        <v>0</v>
      </c>
      <c r="AB1253">
        <v>0</v>
      </c>
      <c r="AC1253">
        <v>0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0</v>
      </c>
      <c r="AL1253">
        <v>0</v>
      </c>
      <c r="AM1253">
        <v>0</v>
      </c>
    </row>
    <row r="1254" spans="1:39" customFormat="1" hidden="1" x14ac:dyDescent="0.3">
      <c r="A1254" t="s">
        <v>406</v>
      </c>
      <c r="B1254" t="s">
        <v>30</v>
      </c>
      <c r="C1254" t="s">
        <v>81</v>
      </c>
      <c r="D1254" t="s">
        <v>118</v>
      </c>
      <c r="E1254" t="s">
        <v>371</v>
      </c>
      <c r="F1254" t="s">
        <v>374</v>
      </c>
      <c r="G1254" t="s">
        <v>373</v>
      </c>
      <c r="H1254" s="16">
        <v>0</v>
      </c>
      <c r="I1254" s="11">
        <v>0</v>
      </c>
      <c r="J1254" s="11">
        <v>0</v>
      </c>
      <c r="K1254" s="11">
        <v>0</v>
      </c>
      <c r="L1254" s="11">
        <v>0</v>
      </c>
      <c r="M1254" s="11">
        <v>0</v>
      </c>
      <c r="N1254" s="11">
        <v>0</v>
      </c>
      <c r="O1254" s="11">
        <v>0</v>
      </c>
      <c r="P1254" s="11">
        <v>0</v>
      </c>
      <c r="Q1254" s="11">
        <v>0</v>
      </c>
      <c r="R1254" s="11">
        <v>2.2441148089136199E-3</v>
      </c>
      <c r="S1254" s="11">
        <v>0</v>
      </c>
      <c r="T1254" s="11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0</v>
      </c>
      <c r="AL1254">
        <v>0</v>
      </c>
      <c r="AM1254">
        <v>0</v>
      </c>
    </row>
    <row r="1255" spans="1:39" customFormat="1" hidden="1" x14ac:dyDescent="0.3">
      <c r="A1255" t="s">
        <v>405</v>
      </c>
      <c r="B1255" t="s">
        <v>30</v>
      </c>
      <c r="C1255" t="s">
        <v>29</v>
      </c>
      <c r="D1255" t="s">
        <v>28</v>
      </c>
      <c r="E1255" t="s">
        <v>105</v>
      </c>
      <c r="F1255" t="s">
        <v>105</v>
      </c>
      <c r="G1255" t="s">
        <v>105</v>
      </c>
      <c r="H1255" s="16">
        <v>0</v>
      </c>
      <c r="I1255" s="11">
        <v>0</v>
      </c>
      <c r="J1255" s="11">
        <v>0</v>
      </c>
      <c r="K1255" s="11">
        <v>0</v>
      </c>
      <c r="L1255" s="11">
        <v>0</v>
      </c>
      <c r="M1255" s="11">
        <v>0</v>
      </c>
      <c r="N1255" s="11">
        <v>0</v>
      </c>
      <c r="O1255" s="11">
        <v>0</v>
      </c>
      <c r="P1255" s="11">
        <v>0</v>
      </c>
      <c r="Q1255" s="11">
        <v>0</v>
      </c>
      <c r="R1255" s="11">
        <v>0</v>
      </c>
      <c r="S1255" s="11">
        <v>0</v>
      </c>
      <c r="T1255" s="11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6.2912865681031801E-3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  <c r="AL1255">
        <v>0</v>
      </c>
      <c r="AM1255">
        <v>0</v>
      </c>
    </row>
    <row r="1256" spans="1:39" customFormat="1" hidden="1" x14ac:dyDescent="0.3">
      <c r="A1256" t="s">
        <v>404</v>
      </c>
      <c r="B1256" t="s">
        <v>30</v>
      </c>
      <c r="C1256" t="s">
        <v>81</v>
      </c>
      <c r="D1256" t="s">
        <v>85</v>
      </c>
      <c r="E1256" t="s">
        <v>84</v>
      </c>
      <c r="F1256" t="s">
        <v>84</v>
      </c>
      <c r="G1256" t="s">
        <v>84</v>
      </c>
      <c r="H1256" s="16">
        <v>0</v>
      </c>
      <c r="I1256" s="11">
        <v>0</v>
      </c>
      <c r="J1256" s="11">
        <v>0</v>
      </c>
      <c r="K1256" s="11">
        <v>0</v>
      </c>
      <c r="L1256" s="11">
        <v>0</v>
      </c>
      <c r="M1256" s="11">
        <v>0</v>
      </c>
      <c r="N1256" s="11">
        <v>0</v>
      </c>
      <c r="O1256" s="11">
        <v>0</v>
      </c>
      <c r="P1256" s="11">
        <v>0</v>
      </c>
      <c r="Q1256" s="11">
        <v>0</v>
      </c>
      <c r="R1256" s="11">
        <v>0</v>
      </c>
      <c r="S1256" s="11">
        <v>0</v>
      </c>
      <c r="T1256" s="11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2.2984278753332699E-3</v>
      </c>
      <c r="AJ1256">
        <v>0</v>
      </c>
      <c r="AK1256">
        <v>0</v>
      </c>
      <c r="AL1256">
        <v>3.5844863431070302E-3</v>
      </c>
      <c r="AM1256">
        <v>0</v>
      </c>
    </row>
    <row r="1257" spans="1:39" customFormat="1" hidden="1" x14ac:dyDescent="0.3">
      <c r="A1257" t="s">
        <v>403</v>
      </c>
      <c r="B1257" t="s">
        <v>30</v>
      </c>
      <c r="C1257" t="s">
        <v>81</v>
      </c>
      <c r="D1257" t="s">
        <v>85</v>
      </c>
      <c r="E1257" t="s">
        <v>84</v>
      </c>
      <c r="F1257" t="s">
        <v>84</v>
      </c>
      <c r="G1257" t="s">
        <v>84</v>
      </c>
      <c r="H1257" s="16">
        <v>0</v>
      </c>
      <c r="I1257" s="11">
        <v>0</v>
      </c>
      <c r="J1257" s="11">
        <v>0</v>
      </c>
      <c r="K1257" s="11">
        <v>0</v>
      </c>
      <c r="L1257" s="11">
        <v>0</v>
      </c>
      <c r="M1257" s="11">
        <v>0</v>
      </c>
      <c r="N1257" s="11">
        <v>0</v>
      </c>
      <c r="O1257" s="11">
        <v>0</v>
      </c>
      <c r="P1257" s="11">
        <v>0</v>
      </c>
      <c r="Q1257" s="11">
        <v>0</v>
      </c>
      <c r="R1257" s="11">
        <v>0</v>
      </c>
      <c r="S1257" s="11">
        <v>0</v>
      </c>
      <c r="T1257" s="11">
        <v>0</v>
      </c>
      <c r="U1257">
        <v>3.04201016031394E-3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0</v>
      </c>
      <c r="AJ1257">
        <v>0</v>
      </c>
      <c r="AK1257">
        <v>6.02700096432015E-3</v>
      </c>
      <c r="AL1257">
        <v>0</v>
      </c>
      <c r="AM1257">
        <v>0</v>
      </c>
    </row>
    <row r="1258" spans="1:39" customFormat="1" hidden="1" x14ac:dyDescent="0.3">
      <c r="A1258" t="s">
        <v>402</v>
      </c>
      <c r="B1258" t="s">
        <v>30</v>
      </c>
      <c r="C1258" t="s">
        <v>81</v>
      </c>
      <c r="D1258" t="s">
        <v>85</v>
      </c>
      <c r="E1258" t="s">
        <v>84</v>
      </c>
      <c r="F1258" t="s">
        <v>84</v>
      </c>
      <c r="G1258" t="s">
        <v>84</v>
      </c>
      <c r="H1258" s="16">
        <v>0</v>
      </c>
      <c r="I1258" s="11">
        <v>0</v>
      </c>
      <c r="J1258" s="11">
        <v>0</v>
      </c>
      <c r="K1258" s="11">
        <v>0</v>
      </c>
      <c r="L1258" s="11">
        <v>0</v>
      </c>
      <c r="M1258" s="11">
        <v>0</v>
      </c>
      <c r="N1258" s="11">
        <v>0</v>
      </c>
      <c r="O1258" s="11">
        <v>0</v>
      </c>
      <c r="P1258" s="11">
        <v>0</v>
      </c>
      <c r="Q1258" s="11">
        <v>0</v>
      </c>
      <c r="R1258" s="11">
        <v>0</v>
      </c>
      <c r="S1258" s="11">
        <v>0</v>
      </c>
      <c r="T1258" s="11">
        <v>0</v>
      </c>
      <c r="U1258">
        <v>0</v>
      </c>
      <c r="V1258">
        <v>0</v>
      </c>
      <c r="W1258">
        <v>0</v>
      </c>
      <c r="X1258">
        <v>6.4242579982012101E-3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</v>
      </c>
      <c r="AE1258">
        <v>0</v>
      </c>
      <c r="AF1258">
        <v>0</v>
      </c>
      <c r="AG1258">
        <v>0</v>
      </c>
      <c r="AH1258">
        <v>4.6410173109945703E-3</v>
      </c>
      <c r="AI1258">
        <v>0</v>
      </c>
      <c r="AJ1258">
        <v>0</v>
      </c>
      <c r="AK1258">
        <v>0</v>
      </c>
      <c r="AL1258">
        <v>0</v>
      </c>
      <c r="AM1258">
        <v>0</v>
      </c>
    </row>
    <row r="1259" spans="1:39" customFormat="1" hidden="1" x14ac:dyDescent="0.3">
      <c r="A1259" t="s">
        <v>401</v>
      </c>
      <c r="B1259" t="s">
        <v>30</v>
      </c>
      <c r="C1259" t="s">
        <v>81</v>
      </c>
      <c r="D1259" t="s">
        <v>85</v>
      </c>
      <c r="E1259" t="s">
        <v>84</v>
      </c>
      <c r="F1259" t="s">
        <v>84</v>
      </c>
      <c r="G1259" t="s">
        <v>84</v>
      </c>
      <c r="H1259" s="16">
        <v>0</v>
      </c>
      <c r="I1259" s="11">
        <v>0</v>
      </c>
      <c r="J1259" s="11">
        <v>0</v>
      </c>
      <c r="K1259" s="11">
        <v>0</v>
      </c>
      <c r="L1259" s="11">
        <v>0</v>
      </c>
      <c r="M1259" s="11">
        <v>0</v>
      </c>
      <c r="N1259" s="11">
        <v>0</v>
      </c>
      <c r="O1259" s="11">
        <v>0</v>
      </c>
      <c r="P1259" s="11">
        <v>0</v>
      </c>
      <c r="Q1259" s="11">
        <v>0</v>
      </c>
      <c r="R1259" s="11">
        <v>2.2441148089136199E-3</v>
      </c>
      <c r="S1259" s="11">
        <v>0</v>
      </c>
      <c r="T1259" s="11">
        <v>0</v>
      </c>
      <c r="U1259">
        <v>0</v>
      </c>
      <c r="V1259">
        <v>0</v>
      </c>
      <c r="W1259">
        <v>0</v>
      </c>
      <c r="X1259">
        <v>0</v>
      </c>
      <c r="Y1259">
        <v>2.9264581077521898E-3</v>
      </c>
      <c r="Z1259">
        <v>0</v>
      </c>
      <c r="AA1259">
        <v>0</v>
      </c>
      <c r="AB1259">
        <v>0</v>
      </c>
      <c r="AC1259">
        <v>0</v>
      </c>
      <c r="AD1259">
        <v>0</v>
      </c>
      <c r="AE1259">
        <v>0</v>
      </c>
      <c r="AF1259">
        <v>0</v>
      </c>
      <c r="AG1259">
        <v>0</v>
      </c>
      <c r="AH1259">
        <v>0</v>
      </c>
      <c r="AI1259">
        <v>0</v>
      </c>
      <c r="AJ1259">
        <v>0</v>
      </c>
      <c r="AK1259">
        <v>0</v>
      </c>
      <c r="AL1259">
        <v>3.5844863431070302E-3</v>
      </c>
      <c r="AM1259">
        <v>0</v>
      </c>
    </row>
    <row r="1260" spans="1:39" customFormat="1" hidden="1" x14ac:dyDescent="0.3">
      <c r="A1260" t="s">
        <v>400</v>
      </c>
      <c r="B1260" t="s">
        <v>30</v>
      </c>
      <c r="C1260" t="s">
        <v>81</v>
      </c>
      <c r="D1260" t="s">
        <v>85</v>
      </c>
      <c r="E1260" t="s">
        <v>84</v>
      </c>
      <c r="F1260" t="s">
        <v>84</v>
      </c>
      <c r="G1260" t="s">
        <v>84</v>
      </c>
      <c r="H1260" s="16">
        <v>0</v>
      </c>
      <c r="I1260" s="11">
        <v>0</v>
      </c>
      <c r="J1260" s="11">
        <v>0</v>
      </c>
      <c r="K1260" s="11">
        <v>0</v>
      </c>
      <c r="L1260" s="11">
        <v>0</v>
      </c>
      <c r="M1260" s="11">
        <v>0</v>
      </c>
      <c r="N1260" s="11">
        <v>0</v>
      </c>
      <c r="O1260" s="11">
        <v>7.5004687792987104E-3</v>
      </c>
      <c r="P1260" s="11">
        <v>0</v>
      </c>
      <c r="Q1260" s="11">
        <v>0</v>
      </c>
      <c r="R1260" s="11">
        <v>0</v>
      </c>
      <c r="S1260" s="11">
        <v>0</v>
      </c>
      <c r="T1260" s="11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>
        <v>0</v>
      </c>
      <c r="AJ1260">
        <v>0</v>
      </c>
      <c r="AK1260">
        <v>0</v>
      </c>
      <c r="AL1260">
        <v>0</v>
      </c>
      <c r="AM1260">
        <v>0</v>
      </c>
    </row>
    <row r="1261" spans="1:39" customFormat="1" hidden="1" x14ac:dyDescent="0.3">
      <c r="A1261" t="s">
        <v>399</v>
      </c>
      <c r="B1261" t="s">
        <v>30</v>
      </c>
      <c r="C1261" t="s">
        <v>81</v>
      </c>
      <c r="D1261" t="s">
        <v>85</v>
      </c>
      <c r="E1261" t="s">
        <v>84</v>
      </c>
      <c r="F1261" t="s">
        <v>84</v>
      </c>
      <c r="G1261" t="s">
        <v>84</v>
      </c>
      <c r="H1261" s="16">
        <v>0</v>
      </c>
      <c r="I1261" s="11">
        <v>0</v>
      </c>
      <c r="J1261" s="11">
        <v>0</v>
      </c>
      <c r="K1261" s="11">
        <v>0</v>
      </c>
      <c r="L1261" s="11">
        <v>0</v>
      </c>
      <c r="M1261" s="11">
        <v>0</v>
      </c>
      <c r="N1261" s="11">
        <v>0</v>
      </c>
      <c r="O1261" s="11">
        <v>0</v>
      </c>
      <c r="P1261" s="11">
        <v>0</v>
      </c>
      <c r="Q1261" s="11">
        <v>2.7492920572952501E-3</v>
      </c>
      <c r="R1261" s="11">
        <v>0</v>
      </c>
      <c r="S1261" s="11">
        <v>0</v>
      </c>
      <c r="T1261" s="11">
        <v>3.3464962184592698E-3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0</v>
      </c>
      <c r="AE1261">
        <v>0</v>
      </c>
      <c r="AF1261">
        <v>0</v>
      </c>
      <c r="AG1261">
        <v>0</v>
      </c>
      <c r="AH1261">
        <v>0</v>
      </c>
      <c r="AI1261">
        <v>2.2984278753332699E-3</v>
      </c>
      <c r="AJ1261">
        <v>0</v>
      </c>
      <c r="AK1261">
        <v>0</v>
      </c>
      <c r="AL1261">
        <v>0</v>
      </c>
      <c r="AM1261">
        <v>0</v>
      </c>
    </row>
    <row r="1262" spans="1:39" customFormat="1" hidden="1" x14ac:dyDescent="0.3">
      <c r="A1262" t="s">
        <v>398</v>
      </c>
      <c r="B1262" t="s">
        <v>30</v>
      </c>
      <c r="C1262" t="s">
        <v>81</v>
      </c>
      <c r="D1262" t="s">
        <v>85</v>
      </c>
      <c r="E1262" t="s">
        <v>84</v>
      </c>
      <c r="F1262" t="s">
        <v>84</v>
      </c>
      <c r="G1262" t="s">
        <v>84</v>
      </c>
      <c r="H1262" s="16">
        <v>0</v>
      </c>
      <c r="I1262" s="11">
        <v>0</v>
      </c>
      <c r="J1262" s="11">
        <v>0</v>
      </c>
      <c r="K1262" s="11">
        <v>0</v>
      </c>
      <c r="L1262" s="11">
        <v>0</v>
      </c>
      <c r="M1262" s="11">
        <v>0</v>
      </c>
      <c r="N1262" s="11">
        <v>0</v>
      </c>
      <c r="O1262" s="11">
        <v>0</v>
      </c>
      <c r="P1262" s="11">
        <v>0</v>
      </c>
      <c r="Q1262" s="11">
        <v>0</v>
      </c>
      <c r="R1262" s="11">
        <v>0</v>
      </c>
      <c r="S1262" s="11">
        <v>0</v>
      </c>
      <c r="T1262" s="11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>
        <v>0</v>
      </c>
      <c r="AJ1262">
        <v>0</v>
      </c>
      <c r="AK1262">
        <v>6.02700096432015E-3</v>
      </c>
      <c r="AL1262">
        <v>0</v>
      </c>
      <c r="AM1262">
        <v>0</v>
      </c>
    </row>
    <row r="1263" spans="1:39" customFormat="1" hidden="1" x14ac:dyDescent="0.3">
      <c r="A1263" t="s">
        <v>397</v>
      </c>
      <c r="B1263" t="s">
        <v>30</v>
      </c>
      <c r="C1263" t="s">
        <v>81</v>
      </c>
      <c r="D1263" t="s">
        <v>85</v>
      </c>
      <c r="E1263" t="s">
        <v>84</v>
      </c>
      <c r="F1263" t="s">
        <v>84</v>
      </c>
      <c r="G1263" t="s">
        <v>84</v>
      </c>
      <c r="H1263" s="16">
        <v>0</v>
      </c>
      <c r="I1263" s="11">
        <v>0</v>
      </c>
      <c r="J1263" s="11">
        <v>0</v>
      </c>
      <c r="K1263" s="11">
        <v>0</v>
      </c>
      <c r="L1263" s="11">
        <v>0</v>
      </c>
      <c r="M1263" s="11">
        <v>0</v>
      </c>
      <c r="N1263" s="11">
        <v>0</v>
      </c>
      <c r="O1263" s="11">
        <v>0</v>
      </c>
      <c r="P1263" s="11">
        <v>0</v>
      </c>
      <c r="Q1263" s="11">
        <v>2.7492920572952501E-3</v>
      </c>
      <c r="R1263" s="11">
        <v>0</v>
      </c>
      <c r="S1263" s="11">
        <v>0</v>
      </c>
      <c r="T1263" s="11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0</v>
      </c>
      <c r="AE1263">
        <v>0</v>
      </c>
      <c r="AF1263">
        <v>0</v>
      </c>
      <c r="AG1263">
        <v>0</v>
      </c>
      <c r="AH1263">
        <v>0</v>
      </c>
      <c r="AI1263">
        <v>0</v>
      </c>
      <c r="AJ1263">
        <v>0</v>
      </c>
      <c r="AK1263">
        <v>0</v>
      </c>
      <c r="AL1263">
        <v>0</v>
      </c>
      <c r="AM1263">
        <v>0</v>
      </c>
    </row>
    <row r="1264" spans="1:39" customFormat="1" hidden="1" x14ac:dyDescent="0.3">
      <c r="A1264" t="s">
        <v>396</v>
      </c>
      <c r="B1264" t="s">
        <v>30</v>
      </c>
      <c r="C1264" t="s">
        <v>81</v>
      </c>
      <c r="D1264" t="s">
        <v>85</v>
      </c>
      <c r="E1264" t="s">
        <v>84</v>
      </c>
      <c r="F1264" t="s">
        <v>84</v>
      </c>
      <c r="G1264" t="s">
        <v>84</v>
      </c>
      <c r="H1264" s="16">
        <v>0</v>
      </c>
      <c r="I1264" s="11">
        <v>0</v>
      </c>
      <c r="J1264" s="11">
        <v>0</v>
      </c>
      <c r="K1264" s="11">
        <v>0</v>
      </c>
      <c r="L1264" s="11">
        <v>0</v>
      </c>
      <c r="M1264" s="11">
        <v>0</v>
      </c>
      <c r="N1264" s="11">
        <v>0</v>
      </c>
      <c r="O1264" s="11">
        <v>3.75023438964935E-3</v>
      </c>
      <c r="P1264" s="11">
        <v>0</v>
      </c>
      <c r="Q1264" s="11">
        <v>0</v>
      </c>
      <c r="R1264" s="11">
        <v>0</v>
      </c>
      <c r="S1264" s="11">
        <v>0</v>
      </c>
      <c r="T1264" s="11">
        <v>3.3464962184592698E-3</v>
      </c>
      <c r="U1264">
        <v>0</v>
      </c>
      <c r="V1264">
        <v>0</v>
      </c>
      <c r="W1264">
        <v>0</v>
      </c>
      <c r="X1264">
        <v>6.4242579982012101E-3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0</v>
      </c>
      <c r="AE1264">
        <v>0</v>
      </c>
      <c r="AF1264">
        <v>0</v>
      </c>
      <c r="AG1264">
        <v>0</v>
      </c>
      <c r="AH1264">
        <v>0</v>
      </c>
      <c r="AI1264">
        <v>0</v>
      </c>
      <c r="AJ1264">
        <v>0</v>
      </c>
      <c r="AK1264">
        <v>0</v>
      </c>
      <c r="AL1264">
        <v>0</v>
      </c>
      <c r="AM1264">
        <v>0</v>
      </c>
    </row>
    <row r="1265" spans="1:39" customFormat="1" hidden="1" x14ac:dyDescent="0.3">
      <c r="A1265" t="s">
        <v>395</v>
      </c>
      <c r="B1265" t="s">
        <v>30</v>
      </c>
      <c r="C1265" t="s">
        <v>81</v>
      </c>
      <c r="D1265" t="s">
        <v>85</v>
      </c>
      <c r="E1265" t="s">
        <v>84</v>
      </c>
      <c r="F1265" t="s">
        <v>84</v>
      </c>
      <c r="G1265" t="s">
        <v>84</v>
      </c>
      <c r="H1265" s="16">
        <v>0</v>
      </c>
      <c r="I1265" s="11">
        <v>0</v>
      </c>
      <c r="J1265" s="11">
        <v>0</v>
      </c>
      <c r="K1265" s="11">
        <v>0</v>
      </c>
      <c r="L1265" s="11">
        <v>0</v>
      </c>
      <c r="M1265" s="11">
        <v>3.5488679111363502E-3</v>
      </c>
      <c r="N1265" s="11">
        <v>0</v>
      </c>
      <c r="O1265" s="11">
        <v>0</v>
      </c>
      <c r="P1265" s="11">
        <v>0</v>
      </c>
      <c r="Q1265" s="11">
        <v>0</v>
      </c>
      <c r="R1265" s="11">
        <v>0</v>
      </c>
      <c r="S1265" s="11">
        <v>0</v>
      </c>
      <c r="T1265" s="11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>
        <v>0</v>
      </c>
      <c r="AJ1265">
        <v>0</v>
      </c>
      <c r="AK1265">
        <v>0</v>
      </c>
      <c r="AL1265">
        <v>3.5844863431070302E-3</v>
      </c>
      <c r="AM1265">
        <v>0</v>
      </c>
    </row>
    <row r="1266" spans="1:39" customFormat="1" hidden="1" x14ac:dyDescent="0.3">
      <c r="A1266" t="s">
        <v>393</v>
      </c>
      <c r="B1266" t="s">
        <v>30</v>
      </c>
      <c r="C1266" t="s">
        <v>81</v>
      </c>
      <c r="D1266" t="s">
        <v>85</v>
      </c>
      <c r="E1266" t="s">
        <v>84</v>
      </c>
      <c r="F1266" t="s">
        <v>84</v>
      </c>
      <c r="G1266" t="s">
        <v>84</v>
      </c>
      <c r="H1266" s="16">
        <v>0</v>
      </c>
      <c r="I1266" s="11">
        <v>0</v>
      </c>
      <c r="J1266" s="11">
        <v>0</v>
      </c>
      <c r="K1266" s="11">
        <v>0</v>
      </c>
      <c r="L1266" s="11">
        <v>0</v>
      </c>
      <c r="M1266" s="11">
        <v>0</v>
      </c>
      <c r="N1266" s="11">
        <v>0</v>
      </c>
      <c r="O1266" s="11">
        <v>0</v>
      </c>
      <c r="P1266" s="11">
        <v>0</v>
      </c>
      <c r="Q1266" s="11">
        <v>0</v>
      </c>
      <c r="R1266" s="11">
        <v>2.2441148089136199E-3</v>
      </c>
      <c r="S1266" s="11">
        <v>0</v>
      </c>
      <c r="T1266" s="11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0</v>
      </c>
      <c r="AE1266">
        <v>0</v>
      </c>
      <c r="AF1266">
        <v>0</v>
      </c>
      <c r="AG1266">
        <v>0</v>
      </c>
      <c r="AH1266">
        <v>0</v>
      </c>
      <c r="AI1266">
        <v>0</v>
      </c>
      <c r="AJ1266">
        <v>0</v>
      </c>
      <c r="AK1266">
        <v>0</v>
      </c>
      <c r="AL1266">
        <v>0</v>
      </c>
      <c r="AM1266">
        <v>0</v>
      </c>
    </row>
    <row r="1267" spans="1:39" customFormat="1" hidden="1" x14ac:dyDescent="0.3">
      <c r="A1267" t="s">
        <v>392</v>
      </c>
      <c r="B1267" t="s">
        <v>30</v>
      </c>
      <c r="C1267" t="s">
        <v>81</v>
      </c>
      <c r="D1267" t="s">
        <v>85</v>
      </c>
      <c r="E1267" t="s">
        <v>84</v>
      </c>
      <c r="F1267" t="s">
        <v>84</v>
      </c>
      <c r="G1267" t="s">
        <v>84</v>
      </c>
      <c r="H1267" s="16">
        <v>0</v>
      </c>
      <c r="I1267" s="11">
        <v>0</v>
      </c>
      <c r="J1267" s="11">
        <v>0</v>
      </c>
      <c r="K1267" s="11">
        <v>0</v>
      </c>
      <c r="L1267" s="11">
        <v>0</v>
      </c>
      <c r="M1267" s="11">
        <v>0</v>
      </c>
      <c r="N1267" s="11">
        <v>0</v>
      </c>
      <c r="O1267" s="11">
        <v>0</v>
      </c>
      <c r="P1267" s="11">
        <v>0</v>
      </c>
      <c r="Q1267" s="11">
        <v>0</v>
      </c>
      <c r="R1267" s="11">
        <v>0</v>
      </c>
      <c r="S1267" s="11">
        <v>0</v>
      </c>
      <c r="T1267" s="11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0</v>
      </c>
      <c r="AJ1267">
        <v>0</v>
      </c>
      <c r="AK1267">
        <v>0</v>
      </c>
      <c r="AL1267">
        <v>3.5844863431070302E-3</v>
      </c>
      <c r="AM1267">
        <v>0</v>
      </c>
    </row>
    <row r="1268" spans="1:39" customFormat="1" hidden="1" x14ac:dyDescent="0.3">
      <c r="A1268" t="s">
        <v>391</v>
      </c>
      <c r="B1268" t="s">
        <v>30</v>
      </c>
      <c r="C1268" t="s">
        <v>81</v>
      </c>
      <c r="D1268" t="s">
        <v>85</v>
      </c>
      <c r="E1268" t="s">
        <v>84</v>
      </c>
      <c r="F1268" t="s">
        <v>84</v>
      </c>
      <c r="G1268" t="s">
        <v>84</v>
      </c>
      <c r="H1268" s="16">
        <v>0</v>
      </c>
      <c r="I1268" s="11">
        <v>0</v>
      </c>
      <c r="J1268" s="11">
        <v>0</v>
      </c>
      <c r="K1268" s="11">
        <v>0</v>
      </c>
      <c r="L1268" s="11">
        <v>0</v>
      </c>
      <c r="M1268" s="11">
        <v>0</v>
      </c>
      <c r="N1268" s="11">
        <v>0</v>
      </c>
      <c r="O1268" s="11">
        <v>0</v>
      </c>
      <c r="P1268" s="11">
        <v>0</v>
      </c>
      <c r="Q1268" s="11">
        <v>0</v>
      </c>
      <c r="R1268" s="11">
        <v>0</v>
      </c>
      <c r="S1268" s="11">
        <v>0</v>
      </c>
      <c r="T1268" s="11">
        <v>0</v>
      </c>
      <c r="U1268">
        <v>3.04201016031394E-3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0</v>
      </c>
      <c r="AE1268">
        <v>3.4299434059338E-3</v>
      </c>
      <c r="AF1268">
        <v>0</v>
      </c>
      <c r="AG1268">
        <v>0</v>
      </c>
      <c r="AH1268">
        <v>0</v>
      </c>
      <c r="AI1268">
        <v>0</v>
      </c>
      <c r="AJ1268">
        <v>0</v>
      </c>
      <c r="AK1268">
        <v>0</v>
      </c>
      <c r="AL1268">
        <v>0</v>
      </c>
      <c r="AM1268">
        <v>0</v>
      </c>
    </row>
    <row r="1269" spans="1:39" customFormat="1" hidden="1" x14ac:dyDescent="0.3">
      <c r="A1269" t="s">
        <v>390</v>
      </c>
      <c r="B1269" t="s">
        <v>30</v>
      </c>
      <c r="C1269" t="s">
        <v>81</v>
      </c>
      <c r="D1269" t="s">
        <v>85</v>
      </c>
      <c r="E1269" t="s">
        <v>84</v>
      </c>
      <c r="F1269" t="s">
        <v>84</v>
      </c>
      <c r="G1269" t="s">
        <v>84</v>
      </c>
      <c r="H1269" s="16">
        <v>0</v>
      </c>
      <c r="I1269" s="11">
        <v>0</v>
      </c>
      <c r="J1269" s="11">
        <v>0</v>
      </c>
      <c r="K1269" s="11">
        <v>0</v>
      </c>
      <c r="L1269" s="11">
        <v>0</v>
      </c>
      <c r="M1269" s="11">
        <v>0</v>
      </c>
      <c r="N1269" s="11">
        <v>0</v>
      </c>
      <c r="O1269" s="11">
        <v>0</v>
      </c>
      <c r="P1269" s="11">
        <v>0</v>
      </c>
      <c r="Q1269" s="11">
        <v>0</v>
      </c>
      <c r="R1269" s="11">
        <v>2.2441148089136199E-3</v>
      </c>
      <c r="S1269" s="11">
        <v>0</v>
      </c>
      <c r="T1269" s="11">
        <v>3.3464962184592698E-3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0</v>
      </c>
      <c r="AE1269">
        <v>0</v>
      </c>
      <c r="AF1269">
        <v>0</v>
      </c>
      <c r="AG1269">
        <v>2.3469220117815501E-3</v>
      </c>
      <c r="AH1269">
        <v>0</v>
      </c>
      <c r="AI1269">
        <v>0</v>
      </c>
      <c r="AJ1269">
        <v>3.5915670006823998E-3</v>
      </c>
      <c r="AK1269">
        <v>0</v>
      </c>
      <c r="AL1269">
        <v>0</v>
      </c>
      <c r="AM1269">
        <v>0</v>
      </c>
    </row>
    <row r="1270" spans="1:39" customFormat="1" hidden="1" x14ac:dyDescent="0.3">
      <c r="A1270" t="s">
        <v>389</v>
      </c>
      <c r="B1270" t="s">
        <v>30</v>
      </c>
      <c r="C1270" t="s">
        <v>29</v>
      </c>
      <c r="D1270" t="s">
        <v>28</v>
      </c>
      <c r="E1270" t="s">
        <v>388</v>
      </c>
      <c r="F1270" t="s">
        <v>387</v>
      </c>
      <c r="G1270" t="s">
        <v>387</v>
      </c>
      <c r="H1270" s="16">
        <v>0</v>
      </c>
      <c r="I1270" s="11">
        <v>0</v>
      </c>
      <c r="J1270" s="11">
        <v>0</v>
      </c>
      <c r="K1270" s="11">
        <v>0</v>
      </c>
      <c r="L1270" s="11">
        <v>0</v>
      </c>
      <c r="M1270" s="11">
        <v>0</v>
      </c>
      <c r="N1270" s="11">
        <v>0</v>
      </c>
      <c r="O1270" s="11">
        <v>0</v>
      </c>
      <c r="P1270" s="11">
        <v>0</v>
      </c>
      <c r="Q1270" s="11">
        <v>0</v>
      </c>
      <c r="R1270" s="11">
        <v>0</v>
      </c>
      <c r="S1270" s="11">
        <v>0</v>
      </c>
      <c r="T1270" s="11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4.5118209709438702E-3</v>
      </c>
      <c r="AC1270">
        <v>0</v>
      </c>
      <c r="AD1270">
        <v>3.14564328405159E-3</v>
      </c>
      <c r="AE1270">
        <v>0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0</v>
      </c>
      <c r="AL1270">
        <v>0</v>
      </c>
      <c r="AM1270">
        <v>0</v>
      </c>
    </row>
    <row r="1271" spans="1:39" customFormat="1" hidden="1" x14ac:dyDescent="0.3">
      <c r="A1271" t="s">
        <v>386</v>
      </c>
      <c r="B1271" t="s">
        <v>30</v>
      </c>
      <c r="C1271" t="s">
        <v>81</v>
      </c>
      <c r="D1271" t="s">
        <v>85</v>
      </c>
      <c r="E1271" t="s">
        <v>84</v>
      </c>
      <c r="F1271" t="s">
        <v>84</v>
      </c>
      <c r="G1271" t="s">
        <v>84</v>
      </c>
      <c r="H1271" s="16">
        <v>0</v>
      </c>
      <c r="I1271" s="11">
        <v>0</v>
      </c>
      <c r="J1271" s="11">
        <v>0</v>
      </c>
      <c r="K1271" s="11">
        <v>0</v>
      </c>
      <c r="L1271" s="11">
        <v>0</v>
      </c>
      <c r="M1271" s="11">
        <v>0</v>
      </c>
      <c r="N1271" s="11">
        <v>0</v>
      </c>
      <c r="O1271" s="11">
        <v>0</v>
      </c>
      <c r="P1271" s="11">
        <v>0</v>
      </c>
      <c r="Q1271" s="11">
        <v>0</v>
      </c>
      <c r="R1271" s="11">
        <v>0</v>
      </c>
      <c r="S1271" s="11">
        <v>0</v>
      </c>
      <c r="T1271" s="11">
        <v>3.3464962184592698E-3</v>
      </c>
      <c r="U1271">
        <v>3.04201016031394E-3</v>
      </c>
      <c r="V1271">
        <v>0</v>
      </c>
      <c r="W1271">
        <v>0</v>
      </c>
      <c r="X1271">
        <v>0</v>
      </c>
      <c r="Y1271">
        <v>0</v>
      </c>
      <c r="Z1271">
        <v>3.1774275546517499E-3</v>
      </c>
      <c r="AA1271">
        <v>0</v>
      </c>
      <c r="AB1271">
        <v>0</v>
      </c>
      <c r="AC1271">
        <v>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0</v>
      </c>
      <c r="AL1271">
        <v>0</v>
      </c>
      <c r="AM1271">
        <v>0</v>
      </c>
    </row>
    <row r="1272" spans="1:39" customFormat="1" hidden="1" x14ac:dyDescent="0.3">
      <c r="A1272" t="s">
        <v>385</v>
      </c>
      <c r="B1272" t="s">
        <v>30</v>
      </c>
      <c r="C1272" t="s">
        <v>81</v>
      </c>
      <c r="D1272" t="s">
        <v>85</v>
      </c>
      <c r="E1272" t="s">
        <v>84</v>
      </c>
      <c r="F1272" t="s">
        <v>84</v>
      </c>
      <c r="G1272" t="s">
        <v>84</v>
      </c>
      <c r="H1272" s="16">
        <v>0</v>
      </c>
      <c r="I1272" s="11">
        <v>0</v>
      </c>
      <c r="J1272" s="11">
        <v>0</v>
      </c>
      <c r="K1272" s="11">
        <v>0</v>
      </c>
      <c r="L1272" s="11">
        <v>0</v>
      </c>
      <c r="M1272" s="11">
        <v>0</v>
      </c>
      <c r="N1272" s="11">
        <v>0</v>
      </c>
      <c r="O1272" s="11">
        <v>0</v>
      </c>
      <c r="P1272" s="11">
        <v>0</v>
      </c>
      <c r="Q1272" s="11">
        <v>0</v>
      </c>
      <c r="R1272" s="11">
        <v>0</v>
      </c>
      <c r="S1272" s="11">
        <v>0</v>
      </c>
      <c r="T1272" s="11">
        <v>0</v>
      </c>
      <c r="U1272">
        <v>3.04201016031394E-3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0</v>
      </c>
      <c r="AL1272">
        <v>0</v>
      </c>
      <c r="AM1272">
        <v>0</v>
      </c>
    </row>
    <row r="1273" spans="1:39" customFormat="1" hidden="1" x14ac:dyDescent="0.3">
      <c r="A1273" t="s">
        <v>384</v>
      </c>
      <c r="B1273" t="s">
        <v>30</v>
      </c>
      <c r="C1273" t="s">
        <v>81</v>
      </c>
      <c r="D1273" t="s">
        <v>85</v>
      </c>
      <c r="E1273" t="s">
        <v>84</v>
      </c>
      <c r="F1273" t="s">
        <v>84</v>
      </c>
      <c r="G1273" t="s">
        <v>84</v>
      </c>
      <c r="H1273" s="16">
        <v>0</v>
      </c>
      <c r="I1273" s="11">
        <v>0</v>
      </c>
      <c r="J1273" s="11">
        <v>0</v>
      </c>
      <c r="K1273" s="11">
        <v>0</v>
      </c>
      <c r="L1273" s="11">
        <v>0</v>
      </c>
      <c r="M1273" s="11">
        <v>0</v>
      </c>
      <c r="N1273" s="11">
        <v>0</v>
      </c>
      <c r="O1273" s="11">
        <v>0</v>
      </c>
      <c r="P1273" s="11">
        <v>0</v>
      </c>
      <c r="Q1273" s="11">
        <v>0</v>
      </c>
      <c r="R1273" s="11">
        <v>0</v>
      </c>
      <c r="S1273" s="11">
        <v>0</v>
      </c>
      <c r="T1273" s="11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0</v>
      </c>
      <c r="AL1273">
        <v>0</v>
      </c>
      <c r="AM1273">
        <v>0</v>
      </c>
    </row>
    <row r="1274" spans="1:39" customFormat="1" hidden="1" x14ac:dyDescent="0.3">
      <c r="A1274" t="s">
        <v>383</v>
      </c>
      <c r="B1274" t="s">
        <v>30</v>
      </c>
      <c r="C1274" t="s">
        <v>81</v>
      </c>
      <c r="D1274" t="s">
        <v>85</v>
      </c>
      <c r="E1274" t="s">
        <v>84</v>
      </c>
      <c r="F1274" t="s">
        <v>84</v>
      </c>
      <c r="G1274" t="s">
        <v>84</v>
      </c>
      <c r="H1274" s="16">
        <v>0</v>
      </c>
      <c r="I1274" s="11">
        <v>0</v>
      </c>
      <c r="J1274" s="11">
        <v>0</v>
      </c>
      <c r="K1274" s="11">
        <v>0</v>
      </c>
      <c r="L1274" s="11">
        <v>0</v>
      </c>
      <c r="M1274" s="11">
        <v>0</v>
      </c>
      <c r="N1274" s="11">
        <v>0</v>
      </c>
      <c r="O1274" s="11">
        <v>0</v>
      </c>
      <c r="P1274" s="11">
        <v>0</v>
      </c>
      <c r="Q1274" s="11">
        <v>0</v>
      </c>
      <c r="R1274" s="11">
        <v>0</v>
      </c>
      <c r="S1274" s="11">
        <v>0</v>
      </c>
      <c r="T1274" s="11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0</v>
      </c>
      <c r="AL1274">
        <v>0</v>
      </c>
      <c r="AM1274">
        <v>0</v>
      </c>
    </row>
    <row r="1275" spans="1:39" customFormat="1" hidden="1" x14ac:dyDescent="0.3">
      <c r="A1275" t="s">
        <v>382</v>
      </c>
      <c r="B1275" t="s">
        <v>30</v>
      </c>
      <c r="C1275" t="s">
        <v>81</v>
      </c>
      <c r="D1275" t="s">
        <v>85</v>
      </c>
      <c r="E1275" t="s">
        <v>84</v>
      </c>
      <c r="F1275" t="s">
        <v>84</v>
      </c>
      <c r="G1275" t="s">
        <v>84</v>
      </c>
      <c r="H1275" s="16">
        <v>0</v>
      </c>
      <c r="I1275" s="11">
        <v>0</v>
      </c>
      <c r="J1275" s="11">
        <v>0</v>
      </c>
      <c r="K1275" s="11">
        <v>0</v>
      </c>
      <c r="L1275" s="11">
        <v>0</v>
      </c>
      <c r="M1275" s="11">
        <v>0</v>
      </c>
      <c r="N1275" s="11">
        <v>0</v>
      </c>
      <c r="O1275" s="11">
        <v>0</v>
      </c>
      <c r="P1275" s="11">
        <v>0</v>
      </c>
      <c r="Q1275" s="11">
        <v>0</v>
      </c>
      <c r="R1275" s="11">
        <v>0</v>
      </c>
      <c r="S1275" s="11">
        <v>0</v>
      </c>
      <c r="T1275" s="11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>
        <v>3.5915670006823998E-3</v>
      </c>
      <c r="AK1275">
        <v>6.02700096432015E-3</v>
      </c>
      <c r="AL1275">
        <v>0</v>
      </c>
      <c r="AM1275">
        <v>0</v>
      </c>
    </row>
    <row r="1276" spans="1:39" customFormat="1" hidden="1" x14ac:dyDescent="0.3">
      <c r="A1276" t="s">
        <v>380</v>
      </c>
      <c r="B1276" t="s">
        <v>30</v>
      </c>
      <c r="C1276" t="s">
        <v>81</v>
      </c>
      <c r="D1276" t="s">
        <v>85</v>
      </c>
      <c r="E1276" t="s">
        <v>84</v>
      </c>
      <c r="F1276" t="s">
        <v>84</v>
      </c>
      <c r="G1276" t="s">
        <v>84</v>
      </c>
      <c r="H1276" s="16">
        <v>0</v>
      </c>
      <c r="I1276" s="11">
        <v>0</v>
      </c>
      <c r="J1276" s="11">
        <v>0</v>
      </c>
      <c r="K1276" s="11">
        <v>0</v>
      </c>
      <c r="L1276" s="11">
        <v>0</v>
      </c>
      <c r="M1276" s="11">
        <v>0</v>
      </c>
      <c r="N1276" s="11">
        <v>0</v>
      </c>
      <c r="O1276" s="11">
        <v>0</v>
      </c>
      <c r="P1276" s="11">
        <v>0</v>
      </c>
      <c r="Q1276" s="11">
        <v>0</v>
      </c>
      <c r="R1276" s="11">
        <v>0</v>
      </c>
      <c r="S1276" s="11">
        <v>0</v>
      </c>
      <c r="T1276" s="11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0</v>
      </c>
      <c r="AL1276">
        <v>0</v>
      </c>
      <c r="AM1276">
        <v>0</v>
      </c>
    </row>
    <row r="1277" spans="1:39" customFormat="1" hidden="1" x14ac:dyDescent="0.3">
      <c r="A1277" t="s">
        <v>379</v>
      </c>
      <c r="B1277" t="s">
        <v>30</v>
      </c>
      <c r="C1277" t="s">
        <v>81</v>
      </c>
      <c r="D1277" t="s">
        <v>85</v>
      </c>
      <c r="E1277" t="s">
        <v>84</v>
      </c>
      <c r="F1277" t="s">
        <v>84</v>
      </c>
      <c r="G1277" t="s">
        <v>84</v>
      </c>
      <c r="H1277" s="16">
        <v>0</v>
      </c>
      <c r="I1277" s="11">
        <v>0</v>
      </c>
      <c r="J1277" s="11">
        <v>0</v>
      </c>
      <c r="K1277" s="11">
        <v>0</v>
      </c>
      <c r="L1277" s="11">
        <v>0</v>
      </c>
      <c r="M1277" s="11">
        <v>0</v>
      </c>
      <c r="N1277" s="11">
        <v>0</v>
      </c>
      <c r="O1277" s="11">
        <v>0</v>
      </c>
      <c r="P1277" s="11">
        <v>0</v>
      </c>
      <c r="Q1277" s="11">
        <v>0</v>
      </c>
      <c r="R1277" s="11">
        <v>0</v>
      </c>
      <c r="S1277" s="11">
        <v>0</v>
      </c>
      <c r="T1277" s="11">
        <v>0</v>
      </c>
      <c r="U1277">
        <v>0</v>
      </c>
      <c r="V1277">
        <v>0</v>
      </c>
      <c r="W1277">
        <v>0</v>
      </c>
      <c r="X1277">
        <v>6.4242579982012101E-3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0</v>
      </c>
      <c r="AL1277">
        <v>0</v>
      </c>
      <c r="AM1277">
        <v>0</v>
      </c>
    </row>
    <row r="1278" spans="1:39" customFormat="1" hidden="1" x14ac:dyDescent="0.3">
      <c r="A1278" t="s">
        <v>378</v>
      </c>
      <c r="B1278" t="s">
        <v>30</v>
      </c>
      <c r="C1278" t="s">
        <v>81</v>
      </c>
      <c r="D1278" t="s">
        <v>85</v>
      </c>
      <c r="E1278" t="s">
        <v>84</v>
      </c>
      <c r="F1278" t="s">
        <v>84</v>
      </c>
      <c r="G1278" t="s">
        <v>84</v>
      </c>
      <c r="H1278" s="16">
        <v>0</v>
      </c>
      <c r="I1278" s="11">
        <v>0</v>
      </c>
      <c r="J1278" s="11">
        <v>0</v>
      </c>
      <c r="K1278" s="11">
        <v>0</v>
      </c>
      <c r="L1278" s="11">
        <v>0</v>
      </c>
      <c r="M1278" s="11">
        <v>0</v>
      </c>
      <c r="N1278" s="11">
        <v>0</v>
      </c>
      <c r="O1278" s="11">
        <v>0</v>
      </c>
      <c r="P1278" s="11">
        <v>0</v>
      </c>
      <c r="Q1278" s="11">
        <v>0</v>
      </c>
      <c r="R1278" s="11">
        <v>0</v>
      </c>
      <c r="S1278" s="11">
        <v>0</v>
      </c>
      <c r="T1278" s="11">
        <v>0</v>
      </c>
      <c r="U1278">
        <v>0</v>
      </c>
      <c r="V1278">
        <v>3.6144142841652502E-3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</v>
      </c>
      <c r="AL1278">
        <v>0</v>
      </c>
      <c r="AM1278">
        <v>0</v>
      </c>
    </row>
    <row r="1279" spans="1:39" customFormat="1" hidden="1" x14ac:dyDescent="0.3">
      <c r="A1279" t="s">
        <v>377</v>
      </c>
      <c r="B1279" t="s">
        <v>30</v>
      </c>
      <c r="C1279" t="s">
        <v>81</v>
      </c>
      <c r="D1279" t="s">
        <v>118</v>
      </c>
      <c r="E1279" t="s">
        <v>371</v>
      </c>
      <c r="F1279" t="s">
        <v>370</v>
      </c>
      <c r="G1279" t="s">
        <v>370</v>
      </c>
      <c r="H1279" s="16">
        <v>0</v>
      </c>
      <c r="I1279" s="11">
        <v>0</v>
      </c>
      <c r="J1279" s="11">
        <v>0</v>
      </c>
      <c r="K1279" s="11">
        <v>0</v>
      </c>
      <c r="L1279" s="11">
        <v>0</v>
      </c>
      <c r="M1279" s="11">
        <v>0</v>
      </c>
      <c r="N1279" s="11">
        <v>0</v>
      </c>
      <c r="O1279" s="11">
        <v>0</v>
      </c>
      <c r="P1279" s="11">
        <v>0</v>
      </c>
      <c r="Q1279" s="11">
        <v>2.7492920572952501E-3</v>
      </c>
      <c r="R1279" s="11">
        <v>0</v>
      </c>
      <c r="S1279" s="11">
        <v>0</v>
      </c>
      <c r="T1279" s="11">
        <v>0</v>
      </c>
      <c r="U1279">
        <v>0</v>
      </c>
      <c r="V1279">
        <v>0</v>
      </c>
      <c r="W1279">
        <v>5.3336177929489597E-3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0</v>
      </c>
      <c r="AL1279">
        <v>0</v>
      </c>
      <c r="AM1279">
        <v>0</v>
      </c>
    </row>
    <row r="1280" spans="1:39" customFormat="1" hidden="1" x14ac:dyDescent="0.3">
      <c r="A1280" t="s">
        <v>376</v>
      </c>
      <c r="B1280" t="s">
        <v>30</v>
      </c>
      <c r="C1280" t="s">
        <v>81</v>
      </c>
      <c r="D1280" t="s">
        <v>118</v>
      </c>
      <c r="E1280" t="s">
        <v>371</v>
      </c>
      <c r="F1280" t="s">
        <v>370</v>
      </c>
      <c r="G1280" t="s">
        <v>370</v>
      </c>
      <c r="H1280" s="16">
        <v>0</v>
      </c>
      <c r="I1280" s="11">
        <v>0</v>
      </c>
      <c r="J1280" s="11">
        <v>0</v>
      </c>
      <c r="K1280" s="11">
        <v>0</v>
      </c>
      <c r="L1280" s="11">
        <v>0</v>
      </c>
      <c r="M1280" s="11">
        <v>0</v>
      </c>
      <c r="N1280" s="11">
        <v>0</v>
      </c>
      <c r="O1280" s="11">
        <v>0</v>
      </c>
      <c r="P1280" s="11">
        <v>0</v>
      </c>
      <c r="Q1280" s="11">
        <v>5.4985841145904898E-3</v>
      </c>
      <c r="R1280" s="11">
        <v>0</v>
      </c>
      <c r="S1280" s="11">
        <v>0</v>
      </c>
      <c r="T1280" s="11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</v>
      </c>
      <c r="AE1280">
        <v>0</v>
      </c>
      <c r="AF1280">
        <v>5.03372596395852E-3</v>
      </c>
      <c r="AG1280">
        <v>2.3469220117815501E-3</v>
      </c>
      <c r="AH1280">
        <v>0</v>
      </c>
      <c r="AI1280">
        <v>0</v>
      </c>
      <c r="AJ1280">
        <v>0</v>
      </c>
      <c r="AK1280">
        <v>0</v>
      </c>
      <c r="AL1280">
        <v>0</v>
      </c>
      <c r="AM1280">
        <v>0</v>
      </c>
    </row>
    <row r="1281" spans="1:39" customFormat="1" hidden="1" x14ac:dyDescent="0.3">
      <c r="A1281" t="s">
        <v>375</v>
      </c>
      <c r="B1281" t="s">
        <v>30</v>
      </c>
      <c r="C1281" t="s">
        <v>81</v>
      </c>
      <c r="D1281" t="s">
        <v>118</v>
      </c>
      <c r="E1281" t="s">
        <v>371</v>
      </c>
      <c r="F1281" t="s">
        <v>374</v>
      </c>
      <c r="G1281" t="s">
        <v>373</v>
      </c>
      <c r="H1281" s="16">
        <v>0</v>
      </c>
      <c r="I1281" s="11">
        <v>0</v>
      </c>
      <c r="J1281" s="11">
        <v>0</v>
      </c>
      <c r="K1281" s="11">
        <v>0</v>
      </c>
      <c r="L1281" s="11">
        <v>0</v>
      </c>
      <c r="M1281" s="11">
        <v>0</v>
      </c>
      <c r="N1281" s="11">
        <v>0</v>
      </c>
      <c r="O1281" s="11">
        <v>0</v>
      </c>
      <c r="P1281" s="11">
        <v>0</v>
      </c>
      <c r="Q1281" s="11">
        <v>0</v>
      </c>
      <c r="R1281" s="11">
        <v>0</v>
      </c>
      <c r="S1281" s="11">
        <v>0</v>
      </c>
      <c r="T1281" s="1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0</v>
      </c>
      <c r="AJ1281">
        <v>0</v>
      </c>
      <c r="AK1281">
        <v>0</v>
      </c>
      <c r="AL1281">
        <v>0</v>
      </c>
      <c r="AM1281">
        <v>0</v>
      </c>
    </row>
    <row r="1282" spans="1:39" customFormat="1" hidden="1" x14ac:dyDescent="0.3">
      <c r="A1282" t="s">
        <v>372</v>
      </c>
      <c r="B1282" t="s">
        <v>30</v>
      </c>
      <c r="C1282" t="s">
        <v>81</v>
      </c>
      <c r="D1282" t="s">
        <v>118</v>
      </c>
      <c r="E1282" t="s">
        <v>371</v>
      </c>
      <c r="F1282" t="s">
        <v>370</v>
      </c>
      <c r="G1282" t="s">
        <v>370</v>
      </c>
      <c r="H1282" s="16">
        <v>0</v>
      </c>
      <c r="I1282" s="11">
        <v>0</v>
      </c>
      <c r="J1282" s="11">
        <v>0</v>
      </c>
      <c r="K1282" s="11">
        <v>0</v>
      </c>
      <c r="L1282" s="11">
        <v>0</v>
      </c>
      <c r="M1282" s="11">
        <v>0</v>
      </c>
      <c r="N1282" s="11">
        <v>0</v>
      </c>
      <c r="O1282" s="11">
        <v>0</v>
      </c>
      <c r="P1282" s="11">
        <v>0</v>
      </c>
      <c r="Q1282" s="11">
        <v>0</v>
      </c>
      <c r="R1282" s="11">
        <v>2.2441148089136199E-3</v>
      </c>
      <c r="S1282" s="11">
        <v>0</v>
      </c>
      <c r="T1282" s="11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2.3469220117815501E-3</v>
      </c>
      <c r="AH1282">
        <v>0</v>
      </c>
      <c r="AI1282">
        <v>2.2984278753332699E-3</v>
      </c>
      <c r="AJ1282">
        <v>0</v>
      </c>
      <c r="AK1282">
        <v>0</v>
      </c>
      <c r="AL1282">
        <v>0</v>
      </c>
      <c r="AM1282">
        <v>0</v>
      </c>
    </row>
    <row r="1283" spans="1:39" customFormat="1" hidden="1" x14ac:dyDescent="0.3">
      <c r="A1283" t="s">
        <v>369</v>
      </c>
      <c r="B1283" t="s">
        <v>30</v>
      </c>
      <c r="C1283" t="s">
        <v>81</v>
      </c>
      <c r="D1283" t="s">
        <v>85</v>
      </c>
      <c r="E1283" t="s">
        <v>84</v>
      </c>
      <c r="F1283" t="s">
        <v>84</v>
      </c>
      <c r="G1283" t="s">
        <v>84</v>
      </c>
      <c r="H1283" s="16">
        <v>0</v>
      </c>
      <c r="I1283" s="11">
        <v>0</v>
      </c>
      <c r="J1283" s="11">
        <v>0</v>
      </c>
      <c r="K1283" s="11">
        <v>0</v>
      </c>
      <c r="L1283" s="11">
        <v>0</v>
      </c>
      <c r="M1283" s="11">
        <v>0</v>
      </c>
      <c r="N1283" s="11">
        <v>0</v>
      </c>
      <c r="O1283" s="11">
        <v>0</v>
      </c>
      <c r="P1283" s="11">
        <v>0</v>
      </c>
      <c r="Q1283" s="11">
        <v>2.7492920572952501E-3</v>
      </c>
      <c r="R1283" s="11">
        <v>0</v>
      </c>
      <c r="S1283" s="11">
        <v>0</v>
      </c>
      <c r="T1283" s="11">
        <v>0</v>
      </c>
      <c r="U1283">
        <v>0</v>
      </c>
      <c r="V1283">
        <v>0</v>
      </c>
      <c r="W1283">
        <v>2.6668088964744798E-3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</v>
      </c>
      <c r="AE1283">
        <v>0</v>
      </c>
      <c r="AF1283">
        <v>0</v>
      </c>
      <c r="AG1283">
        <v>0</v>
      </c>
      <c r="AH1283">
        <v>0</v>
      </c>
      <c r="AI1283">
        <v>0</v>
      </c>
      <c r="AJ1283">
        <v>0</v>
      </c>
      <c r="AK1283">
        <v>0</v>
      </c>
      <c r="AL1283">
        <v>0</v>
      </c>
      <c r="AM1283">
        <v>0</v>
      </c>
    </row>
    <row r="1284" spans="1:39" customFormat="1" hidden="1" x14ac:dyDescent="0.3">
      <c r="A1284" t="s">
        <v>368</v>
      </c>
      <c r="B1284" t="s">
        <v>30</v>
      </c>
      <c r="C1284" t="s">
        <v>29</v>
      </c>
      <c r="D1284" t="s">
        <v>28</v>
      </c>
      <c r="E1284" t="s">
        <v>345</v>
      </c>
      <c r="F1284" t="s">
        <v>344</v>
      </c>
      <c r="G1284" t="s">
        <v>367</v>
      </c>
      <c r="H1284" s="16">
        <v>0</v>
      </c>
      <c r="I1284" s="11">
        <v>0</v>
      </c>
      <c r="J1284" s="11">
        <v>0</v>
      </c>
      <c r="K1284" s="11">
        <v>0</v>
      </c>
      <c r="L1284" s="11">
        <v>0</v>
      </c>
      <c r="M1284" s="11">
        <v>0</v>
      </c>
      <c r="N1284" s="11">
        <v>0</v>
      </c>
      <c r="O1284" s="11">
        <v>0</v>
      </c>
      <c r="P1284" s="11">
        <v>0</v>
      </c>
      <c r="Q1284" s="11">
        <v>0</v>
      </c>
      <c r="R1284" s="11">
        <v>0</v>
      </c>
      <c r="S1284" s="11">
        <v>4.9766099333134299E-3</v>
      </c>
      <c r="T1284" s="11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0</v>
      </c>
      <c r="AE1284">
        <v>0</v>
      </c>
      <c r="AF1284">
        <v>0</v>
      </c>
      <c r="AG1284">
        <v>0</v>
      </c>
      <c r="AH1284">
        <v>0</v>
      </c>
      <c r="AI1284">
        <v>4.5968557506665397E-3</v>
      </c>
      <c r="AJ1284">
        <v>0</v>
      </c>
      <c r="AK1284">
        <v>0</v>
      </c>
      <c r="AL1284">
        <v>0</v>
      </c>
      <c r="AM1284">
        <v>0</v>
      </c>
    </row>
    <row r="1285" spans="1:39" customFormat="1" hidden="1" x14ac:dyDescent="0.3">
      <c r="A1285" t="s">
        <v>366</v>
      </c>
      <c r="B1285" t="s">
        <v>30</v>
      </c>
      <c r="C1285" t="s">
        <v>81</v>
      </c>
      <c r="D1285" t="s">
        <v>118</v>
      </c>
      <c r="E1285" t="s">
        <v>236</v>
      </c>
      <c r="F1285" t="s">
        <v>236</v>
      </c>
      <c r="G1285" t="s">
        <v>236</v>
      </c>
      <c r="H1285" s="16">
        <v>0</v>
      </c>
      <c r="I1285" s="11">
        <v>0</v>
      </c>
      <c r="J1285" s="11">
        <v>0</v>
      </c>
      <c r="K1285" s="11">
        <v>0</v>
      </c>
      <c r="L1285" s="11">
        <v>0</v>
      </c>
      <c r="M1285" s="11">
        <v>0</v>
      </c>
      <c r="N1285" s="11">
        <v>0</v>
      </c>
      <c r="O1285" s="11">
        <v>0</v>
      </c>
      <c r="P1285" s="11">
        <v>0</v>
      </c>
      <c r="Q1285" s="11">
        <v>0</v>
      </c>
      <c r="R1285" s="11">
        <v>0</v>
      </c>
      <c r="S1285" s="11">
        <v>0</v>
      </c>
      <c r="T1285" s="11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0</v>
      </c>
      <c r="AE1285">
        <v>0</v>
      </c>
      <c r="AF1285">
        <v>5.03372596395852E-3</v>
      </c>
      <c r="AG1285">
        <v>0</v>
      </c>
      <c r="AH1285">
        <v>0</v>
      </c>
      <c r="AI1285">
        <v>2.2984278753332699E-3</v>
      </c>
      <c r="AJ1285">
        <v>0</v>
      </c>
      <c r="AK1285">
        <v>0</v>
      </c>
      <c r="AL1285">
        <v>0</v>
      </c>
      <c r="AM1285">
        <v>0</v>
      </c>
    </row>
    <row r="1286" spans="1:39" customFormat="1" hidden="1" x14ac:dyDescent="0.3">
      <c r="A1286" t="s">
        <v>365</v>
      </c>
      <c r="B1286" t="s">
        <v>30</v>
      </c>
      <c r="C1286" t="s">
        <v>81</v>
      </c>
      <c r="D1286" t="s">
        <v>118</v>
      </c>
      <c r="E1286" t="s">
        <v>236</v>
      </c>
      <c r="F1286" t="s">
        <v>236</v>
      </c>
      <c r="G1286" t="s">
        <v>236</v>
      </c>
      <c r="H1286" s="16">
        <v>0</v>
      </c>
      <c r="I1286" s="11">
        <v>0</v>
      </c>
      <c r="J1286" s="11">
        <v>0</v>
      </c>
      <c r="K1286" s="11">
        <v>0</v>
      </c>
      <c r="L1286" s="11">
        <v>0</v>
      </c>
      <c r="M1286" s="11">
        <v>0</v>
      </c>
      <c r="N1286" s="11">
        <v>0</v>
      </c>
      <c r="O1286" s="11">
        <v>0</v>
      </c>
      <c r="P1286" s="11">
        <v>0</v>
      </c>
      <c r="Q1286" s="11">
        <v>0</v>
      </c>
      <c r="R1286" s="11">
        <v>0</v>
      </c>
      <c r="S1286" s="11">
        <v>4.9766099333134299E-3</v>
      </c>
      <c r="T1286" s="11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0</v>
      </c>
      <c r="AE1286">
        <v>0</v>
      </c>
      <c r="AF1286">
        <v>0</v>
      </c>
      <c r="AG1286">
        <v>0</v>
      </c>
      <c r="AH1286">
        <v>0</v>
      </c>
      <c r="AI1286">
        <v>0</v>
      </c>
      <c r="AJ1286">
        <v>0</v>
      </c>
      <c r="AK1286">
        <v>0</v>
      </c>
      <c r="AL1286">
        <v>7.1689726862140604E-3</v>
      </c>
      <c r="AM1286">
        <v>0</v>
      </c>
    </row>
    <row r="1287" spans="1:39" customFormat="1" hidden="1" x14ac:dyDescent="0.3">
      <c r="A1287" t="s">
        <v>364</v>
      </c>
      <c r="B1287" t="s">
        <v>30</v>
      </c>
      <c r="C1287" t="s">
        <v>81</v>
      </c>
      <c r="D1287" t="s">
        <v>118</v>
      </c>
      <c r="E1287" t="s">
        <v>236</v>
      </c>
      <c r="F1287" t="s">
        <v>236</v>
      </c>
      <c r="G1287" t="s">
        <v>236</v>
      </c>
      <c r="H1287" s="16">
        <v>0</v>
      </c>
      <c r="I1287" s="11">
        <v>0</v>
      </c>
      <c r="J1287" s="11">
        <v>0</v>
      </c>
      <c r="K1287" s="11">
        <v>0</v>
      </c>
      <c r="L1287" s="11">
        <v>0</v>
      </c>
      <c r="M1287" s="11">
        <v>0</v>
      </c>
      <c r="N1287" s="11">
        <v>0</v>
      </c>
      <c r="O1287" s="11">
        <v>0</v>
      </c>
      <c r="P1287" s="11">
        <v>0</v>
      </c>
      <c r="Q1287" s="11">
        <v>0</v>
      </c>
      <c r="R1287" s="11">
        <v>0</v>
      </c>
      <c r="S1287" s="11">
        <v>0</v>
      </c>
      <c r="T1287" s="11">
        <v>0</v>
      </c>
      <c r="U1287">
        <v>0</v>
      </c>
      <c r="V1287">
        <v>3.6144142841652502E-3</v>
      </c>
      <c r="W1287">
        <v>0</v>
      </c>
      <c r="X1287">
        <v>0</v>
      </c>
      <c r="Y1287">
        <v>2.9264581077521898E-3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0</v>
      </c>
      <c r="AJ1287">
        <v>0</v>
      </c>
      <c r="AK1287">
        <v>0</v>
      </c>
      <c r="AL1287">
        <v>0</v>
      </c>
      <c r="AM1287">
        <v>0</v>
      </c>
    </row>
    <row r="1288" spans="1:39" customFormat="1" hidden="1" x14ac:dyDescent="0.3">
      <c r="A1288" t="s">
        <v>360</v>
      </c>
      <c r="B1288" t="s">
        <v>30</v>
      </c>
      <c r="C1288" t="s">
        <v>81</v>
      </c>
      <c r="D1288" t="s">
        <v>351</v>
      </c>
      <c r="E1288" t="s">
        <v>351</v>
      </c>
      <c r="F1288" t="s">
        <v>351</v>
      </c>
      <c r="G1288" t="s">
        <v>351</v>
      </c>
      <c r="H1288" s="16">
        <v>0</v>
      </c>
      <c r="I1288" s="11">
        <v>0</v>
      </c>
      <c r="J1288" s="11">
        <v>0</v>
      </c>
      <c r="K1288" s="11">
        <v>0</v>
      </c>
      <c r="L1288" s="11">
        <v>0</v>
      </c>
      <c r="M1288" s="11">
        <v>0</v>
      </c>
      <c r="N1288" s="11">
        <v>0</v>
      </c>
      <c r="O1288" s="11">
        <v>0</v>
      </c>
      <c r="P1288" s="11">
        <v>0</v>
      </c>
      <c r="Q1288" s="11">
        <v>0</v>
      </c>
      <c r="R1288" s="11">
        <v>0</v>
      </c>
      <c r="S1288" s="11">
        <v>0</v>
      </c>
      <c r="T1288" s="11">
        <v>0</v>
      </c>
      <c r="U1288">
        <v>3.04201016031394E-3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0</v>
      </c>
      <c r="AJ1288">
        <v>0</v>
      </c>
      <c r="AK1288">
        <v>0</v>
      </c>
      <c r="AL1288">
        <v>0</v>
      </c>
      <c r="AM1288">
        <v>0</v>
      </c>
    </row>
    <row r="1289" spans="1:39" customFormat="1" hidden="1" x14ac:dyDescent="0.3">
      <c r="A1289" t="s">
        <v>359</v>
      </c>
      <c r="B1289" t="s">
        <v>30</v>
      </c>
      <c r="C1289" t="s">
        <v>81</v>
      </c>
      <c r="D1289" t="s">
        <v>118</v>
      </c>
      <c r="E1289" t="s">
        <v>358</v>
      </c>
      <c r="F1289" t="s">
        <v>357</v>
      </c>
      <c r="G1289" t="s">
        <v>356</v>
      </c>
      <c r="H1289" s="16">
        <v>0</v>
      </c>
      <c r="I1289" s="11">
        <v>0</v>
      </c>
      <c r="J1289" s="11">
        <v>0</v>
      </c>
      <c r="K1289" s="11">
        <v>0</v>
      </c>
      <c r="L1289" s="11">
        <v>0</v>
      </c>
      <c r="M1289" s="11">
        <v>0</v>
      </c>
      <c r="N1289" s="11">
        <v>0</v>
      </c>
      <c r="O1289" s="11">
        <v>0</v>
      </c>
      <c r="P1289" s="11">
        <v>0</v>
      </c>
      <c r="Q1289" s="11">
        <v>0</v>
      </c>
      <c r="R1289" s="11">
        <v>0</v>
      </c>
      <c r="S1289" s="11">
        <v>2.4883049666567102E-3</v>
      </c>
      <c r="T1289" s="11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0</v>
      </c>
      <c r="AE1289">
        <v>0</v>
      </c>
      <c r="AF1289">
        <v>0</v>
      </c>
      <c r="AG1289">
        <v>0</v>
      </c>
      <c r="AH1289">
        <v>0</v>
      </c>
      <c r="AI1289">
        <v>0</v>
      </c>
      <c r="AJ1289">
        <v>0</v>
      </c>
      <c r="AK1289">
        <v>0</v>
      </c>
      <c r="AL1289">
        <v>0</v>
      </c>
      <c r="AM1289">
        <v>0</v>
      </c>
    </row>
    <row r="1290" spans="1:39" customFormat="1" hidden="1" x14ac:dyDescent="0.3">
      <c r="A1290" t="s">
        <v>355</v>
      </c>
      <c r="B1290" t="s">
        <v>30</v>
      </c>
      <c r="C1290" t="s">
        <v>81</v>
      </c>
      <c r="D1290" t="s">
        <v>351</v>
      </c>
      <c r="E1290" t="s">
        <v>351</v>
      </c>
      <c r="F1290" t="s">
        <v>351</v>
      </c>
      <c r="G1290" t="s">
        <v>351</v>
      </c>
      <c r="H1290" s="16">
        <v>0</v>
      </c>
      <c r="I1290" s="11">
        <v>0</v>
      </c>
      <c r="J1290" s="11">
        <v>0</v>
      </c>
      <c r="K1290" s="11">
        <v>0</v>
      </c>
      <c r="L1290" s="11">
        <v>0</v>
      </c>
      <c r="M1290" s="11">
        <v>0</v>
      </c>
      <c r="N1290" s="11">
        <v>0</v>
      </c>
      <c r="O1290" s="11">
        <v>0</v>
      </c>
      <c r="P1290" s="11">
        <v>0</v>
      </c>
      <c r="Q1290" s="11">
        <v>0</v>
      </c>
      <c r="R1290" s="11">
        <v>0</v>
      </c>
      <c r="S1290" s="11">
        <v>0</v>
      </c>
      <c r="T1290" s="11">
        <v>0</v>
      </c>
      <c r="U1290">
        <v>0</v>
      </c>
      <c r="V1290">
        <v>0</v>
      </c>
      <c r="W1290">
        <v>0</v>
      </c>
      <c r="X1290">
        <v>1.2848515996402399E-2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0</v>
      </c>
      <c r="AE1290">
        <v>0</v>
      </c>
      <c r="AF1290">
        <v>0</v>
      </c>
      <c r="AG1290">
        <v>0</v>
      </c>
      <c r="AH1290">
        <v>0</v>
      </c>
      <c r="AI1290">
        <v>0</v>
      </c>
      <c r="AJ1290">
        <v>0</v>
      </c>
      <c r="AK1290">
        <v>0</v>
      </c>
      <c r="AL1290">
        <v>0</v>
      </c>
      <c r="AM1290">
        <v>0</v>
      </c>
    </row>
    <row r="1291" spans="1:39" customFormat="1" hidden="1" x14ac:dyDescent="0.3">
      <c r="A1291" t="s">
        <v>354</v>
      </c>
      <c r="B1291" t="s">
        <v>30</v>
      </c>
      <c r="C1291" t="s">
        <v>81</v>
      </c>
      <c r="D1291" t="s">
        <v>351</v>
      </c>
      <c r="E1291" t="s">
        <v>351</v>
      </c>
      <c r="F1291" t="s">
        <v>351</v>
      </c>
      <c r="G1291" t="s">
        <v>351</v>
      </c>
      <c r="H1291" s="16">
        <v>0</v>
      </c>
      <c r="I1291" s="11">
        <v>0</v>
      </c>
      <c r="J1291" s="11">
        <v>0</v>
      </c>
      <c r="K1291" s="11">
        <v>0</v>
      </c>
      <c r="L1291" s="11">
        <v>0</v>
      </c>
      <c r="M1291" s="11">
        <v>0</v>
      </c>
      <c r="N1291" s="11">
        <v>0</v>
      </c>
      <c r="O1291" s="11">
        <v>0</v>
      </c>
      <c r="P1291" s="11">
        <v>0</v>
      </c>
      <c r="Q1291" s="11">
        <v>0</v>
      </c>
      <c r="R1291" s="11">
        <v>0</v>
      </c>
      <c r="S1291" s="11">
        <v>0</v>
      </c>
      <c r="T1291" s="11">
        <v>0</v>
      </c>
      <c r="U1291">
        <v>3.04201016031394E-3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0</v>
      </c>
      <c r="AJ1291">
        <v>0</v>
      </c>
      <c r="AK1291">
        <v>0</v>
      </c>
      <c r="AL1291">
        <v>0</v>
      </c>
      <c r="AM1291">
        <v>0</v>
      </c>
    </row>
    <row r="1292" spans="1:39" customFormat="1" hidden="1" x14ac:dyDescent="0.3">
      <c r="A1292" t="s">
        <v>353</v>
      </c>
      <c r="B1292" t="s">
        <v>30</v>
      </c>
      <c r="C1292" t="s">
        <v>81</v>
      </c>
      <c r="D1292" t="s">
        <v>351</v>
      </c>
      <c r="E1292" t="s">
        <v>351</v>
      </c>
      <c r="F1292" t="s">
        <v>351</v>
      </c>
      <c r="G1292" t="s">
        <v>351</v>
      </c>
      <c r="H1292" s="16">
        <v>0</v>
      </c>
      <c r="I1292" s="11">
        <v>0</v>
      </c>
      <c r="J1292" s="11">
        <v>0</v>
      </c>
      <c r="K1292" s="11">
        <v>0</v>
      </c>
      <c r="L1292" s="11">
        <v>0</v>
      </c>
      <c r="M1292" s="11">
        <v>0</v>
      </c>
      <c r="N1292" s="11">
        <v>0</v>
      </c>
      <c r="O1292" s="11">
        <v>0</v>
      </c>
      <c r="P1292" s="11">
        <v>3.3947788301592198E-3</v>
      </c>
      <c r="Q1292" s="11">
        <v>0</v>
      </c>
      <c r="R1292" s="11">
        <v>0</v>
      </c>
      <c r="S1292" s="11">
        <v>0</v>
      </c>
      <c r="T1292" s="11">
        <v>0</v>
      </c>
      <c r="U1292">
        <v>3.04201016031394E-3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L1292">
        <v>0</v>
      </c>
      <c r="AM1292">
        <v>0</v>
      </c>
    </row>
    <row r="1293" spans="1:39" customFormat="1" hidden="1" x14ac:dyDescent="0.3">
      <c r="A1293" t="s">
        <v>352</v>
      </c>
      <c r="B1293" t="s">
        <v>30</v>
      </c>
      <c r="C1293" t="s">
        <v>81</v>
      </c>
      <c r="D1293" t="s">
        <v>351</v>
      </c>
      <c r="E1293" t="s">
        <v>351</v>
      </c>
      <c r="F1293" t="s">
        <v>351</v>
      </c>
      <c r="G1293" t="s">
        <v>351</v>
      </c>
      <c r="H1293" s="16">
        <v>0</v>
      </c>
      <c r="I1293" s="11">
        <v>3.6565745209887401E-3</v>
      </c>
      <c r="J1293" s="11">
        <v>0</v>
      </c>
      <c r="K1293" s="11">
        <v>0</v>
      </c>
      <c r="L1293" s="11">
        <v>0</v>
      </c>
      <c r="M1293" s="11">
        <v>3.5488679111363502E-3</v>
      </c>
      <c r="N1293" s="11">
        <v>0</v>
      </c>
      <c r="O1293" s="11">
        <v>0</v>
      </c>
      <c r="P1293" s="11">
        <v>0</v>
      </c>
      <c r="Q1293" s="11">
        <v>0</v>
      </c>
      <c r="R1293" s="11">
        <v>0</v>
      </c>
      <c r="S1293" s="11">
        <v>0</v>
      </c>
      <c r="T1293" s="11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0</v>
      </c>
      <c r="AL1293">
        <v>0</v>
      </c>
      <c r="AM1293">
        <v>0</v>
      </c>
    </row>
    <row r="1294" spans="1:39" customFormat="1" hidden="1" x14ac:dyDescent="0.3">
      <c r="A1294" t="s">
        <v>350</v>
      </c>
      <c r="B1294" t="s">
        <v>30</v>
      </c>
      <c r="C1294" t="s">
        <v>35</v>
      </c>
      <c r="D1294" t="s">
        <v>35</v>
      </c>
      <c r="E1294" t="s">
        <v>349</v>
      </c>
      <c r="F1294" t="s">
        <v>349</v>
      </c>
      <c r="G1294" t="s">
        <v>349</v>
      </c>
      <c r="H1294" s="16">
        <v>0</v>
      </c>
      <c r="I1294" s="11">
        <v>0</v>
      </c>
      <c r="J1294" s="11">
        <v>0</v>
      </c>
      <c r="K1294" s="11">
        <v>0</v>
      </c>
      <c r="L1294" s="11">
        <v>0</v>
      </c>
      <c r="M1294" s="11">
        <v>0</v>
      </c>
      <c r="N1294" s="11">
        <v>0</v>
      </c>
      <c r="O1294" s="11">
        <v>0</v>
      </c>
      <c r="P1294" s="11">
        <v>0</v>
      </c>
      <c r="Q1294" s="11">
        <v>0</v>
      </c>
      <c r="R1294" s="11">
        <v>0</v>
      </c>
      <c r="S1294" s="11">
        <v>0</v>
      </c>
      <c r="T1294" s="11">
        <v>3.3464962184592698E-3</v>
      </c>
      <c r="U1294">
        <v>3.04201016031394E-3</v>
      </c>
      <c r="V1294">
        <v>0</v>
      </c>
      <c r="W1294">
        <v>0</v>
      </c>
      <c r="X1294">
        <v>0</v>
      </c>
      <c r="Y1294">
        <v>2.9264581077521898E-3</v>
      </c>
      <c r="Z1294">
        <v>0</v>
      </c>
      <c r="AA1294">
        <v>0</v>
      </c>
      <c r="AB1294">
        <v>0</v>
      </c>
      <c r="AC1294">
        <v>0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0</v>
      </c>
      <c r="AL1294">
        <v>0</v>
      </c>
      <c r="AM1294">
        <v>0</v>
      </c>
    </row>
    <row r="1295" spans="1:39" customFormat="1" hidden="1" x14ac:dyDescent="0.3">
      <c r="A1295" t="s">
        <v>348</v>
      </c>
      <c r="B1295" t="s">
        <v>30</v>
      </c>
      <c r="C1295" t="s">
        <v>81</v>
      </c>
      <c r="D1295" t="s">
        <v>85</v>
      </c>
      <c r="E1295" t="s">
        <v>314</v>
      </c>
      <c r="F1295" t="s">
        <v>313</v>
      </c>
      <c r="G1295" t="s">
        <v>312</v>
      </c>
      <c r="H1295" s="16">
        <v>0</v>
      </c>
      <c r="I1295" s="11">
        <v>0</v>
      </c>
      <c r="J1295" s="11">
        <v>0</v>
      </c>
      <c r="K1295" s="11">
        <v>0</v>
      </c>
      <c r="L1295" s="11">
        <v>0</v>
      </c>
      <c r="M1295" s="11">
        <v>0</v>
      </c>
      <c r="N1295" s="11">
        <v>0</v>
      </c>
      <c r="O1295" s="11">
        <v>0</v>
      </c>
      <c r="P1295" s="11">
        <v>0</v>
      </c>
      <c r="Q1295" s="11">
        <v>0</v>
      </c>
      <c r="R1295" s="11">
        <v>0</v>
      </c>
      <c r="S1295" s="11">
        <v>0</v>
      </c>
      <c r="T1295" s="11">
        <v>3.3464962184592698E-3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0</v>
      </c>
      <c r="AL1295">
        <v>0</v>
      </c>
      <c r="AM1295">
        <v>0</v>
      </c>
    </row>
    <row r="1296" spans="1:39" customFormat="1" hidden="1" x14ac:dyDescent="0.3">
      <c r="A1296" t="s">
        <v>347</v>
      </c>
      <c r="B1296" t="s">
        <v>30</v>
      </c>
      <c r="C1296" t="s">
        <v>81</v>
      </c>
      <c r="D1296" t="s">
        <v>118</v>
      </c>
      <c r="E1296" t="s">
        <v>236</v>
      </c>
      <c r="F1296" t="s">
        <v>236</v>
      </c>
      <c r="G1296" t="s">
        <v>236</v>
      </c>
      <c r="H1296" s="16">
        <v>0</v>
      </c>
      <c r="I1296" s="11">
        <v>0</v>
      </c>
      <c r="J1296" s="11">
        <v>0</v>
      </c>
      <c r="K1296" s="11">
        <v>0</v>
      </c>
      <c r="L1296" s="11">
        <v>0</v>
      </c>
      <c r="M1296" s="11">
        <v>0</v>
      </c>
      <c r="N1296" s="11">
        <v>0</v>
      </c>
      <c r="O1296" s="11">
        <v>7.5004687792987104E-3</v>
      </c>
      <c r="P1296" s="11">
        <v>0</v>
      </c>
      <c r="Q1296" s="11">
        <v>0</v>
      </c>
      <c r="R1296" s="11">
        <v>0</v>
      </c>
      <c r="S1296" s="11">
        <v>0</v>
      </c>
      <c r="T1296" s="11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4.5968557506665397E-3</v>
      </c>
      <c r="AJ1296">
        <v>0</v>
      </c>
      <c r="AK1296">
        <v>0</v>
      </c>
      <c r="AL1296">
        <v>0</v>
      </c>
      <c r="AM1296">
        <v>0</v>
      </c>
    </row>
    <row r="1297" spans="1:39" customFormat="1" hidden="1" x14ac:dyDescent="0.3">
      <c r="A1297" t="s">
        <v>346</v>
      </c>
      <c r="B1297" t="s">
        <v>30</v>
      </c>
      <c r="C1297" t="s">
        <v>29</v>
      </c>
      <c r="D1297" t="s">
        <v>28</v>
      </c>
      <c r="E1297" t="s">
        <v>345</v>
      </c>
      <c r="F1297" t="s">
        <v>344</v>
      </c>
      <c r="G1297" t="s">
        <v>25</v>
      </c>
      <c r="H1297" s="16">
        <v>0</v>
      </c>
      <c r="I1297" s="11">
        <v>0</v>
      </c>
      <c r="J1297" s="11">
        <v>0</v>
      </c>
      <c r="K1297" s="11">
        <v>0</v>
      </c>
      <c r="L1297" s="11">
        <v>0</v>
      </c>
      <c r="M1297" s="11">
        <v>0</v>
      </c>
      <c r="N1297" s="11">
        <v>0</v>
      </c>
      <c r="O1297" s="11">
        <v>0</v>
      </c>
      <c r="P1297" s="11">
        <v>0</v>
      </c>
      <c r="Q1297" s="11">
        <v>0</v>
      </c>
      <c r="R1297" s="11">
        <v>0</v>
      </c>
      <c r="S1297" s="11">
        <v>0</v>
      </c>
      <c r="T1297" s="11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0</v>
      </c>
      <c r="AE1297">
        <v>0</v>
      </c>
      <c r="AF1297">
        <v>0</v>
      </c>
      <c r="AG1297">
        <v>4.6938440235631002E-3</v>
      </c>
      <c r="AH1297">
        <v>0</v>
      </c>
      <c r="AI1297">
        <v>0</v>
      </c>
      <c r="AJ1297">
        <v>0</v>
      </c>
      <c r="AK1297">
        <v>0</v>
      </c>
      <c r="AL1297">
        <v>0</v>
      </c>
      <c r="AM1297">
        <v>0</v>
      </c>
    </row>
    <row r="1298" spans="1:39" customFormat="1" hidden="1" x14ac:dyDescent="0.3">
      <c r="A1298" t="s">
        <v>343</v>
      </c>
      <c r="B1298" t="s">
        <v>30</v>
      </c>
      <c r="C1298" t="s">
        <v>81</v>
      </c>
      <c r="D1298" t="s">
        <v>85</v>
      </c>
      <c r="E1298" t="s">
        <v>314</v>
      </c>
      <c r="F1298" t="s">
        <v>313</v>
      </c>
      <c r="G1298" t="s">
        <v>341</v>
      </c>
      <c r="H1298" s="16">
        <v>0</v>
      </c>
      <c r="I1298" s="11">
        <v>0</v>
      </c>
      <c r="J1298" s="11">
        <v>0</v>
      </c>
      <c r="K1298" s="11">
        <v>0</v>
      </c>
      <c r="L1298" s="11">
        <v>0</v>
      </c>
      <c r="M1298" s="11">
        <v>0</v>
      </c>
      <c r="N1298" s="11">
        <v>0</v>
      </c>
      <c r="O1298" s="11">
        <v>0</v>
      </c>
      <c r="P1298" s="11">
        <v>0</v>
      </c>
      <c r="Q1298" s="11">
        <v>0</v>
      </c>
      <c r="R1298" s="11">
        <v>0</v>
      </c>
      <c r="S1298" s="11">
        <v>0</v>
      </c>
      <c r="T1298" s="11">
        <v>0</v>
      </c>
      <c r="U1298">
        <v>0</v>
      </c>
      <c r="V1298">
        <v>0</v>
      </c>
      <c r="W1298">
        <v>0</v>
      </c>
      <c r="X1298">
        <v>6.4242579982012101E-3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>
        <v>0</v>
      </c>
      <c r="AL1298">
        <v>0</v>
      </c>
      <c r="AM1298">
        <v>0</v>
      </c>
    </row>
    <row r="1299" spans="1:39" customFormat="1" hidden="1" x14ac:dyDescent="0.3">
      <c r="A1299" t="s">
        <v>342</v>
      </c>
      <c r="B1299" t="s">
        <v>30</v>
      </c>
      <c r="C1299" t="s">
        <v>81</v>
      </c>
      <c r="D1299" t="s">
        <v>85</v>
      </c>
      <c r="E1299" t="s">
        <v>314</v>
      </c>
      <c r="F1299" t="s">
        <v>313</v>
      </c>
      <c r="G1299" t="s">
        <v>341</v>
      </c>
      <c r="H1299" s="16">
        <v>0</v>
      </c>
      <c r="I1299" s="11">
        <v>0</v>
      </c>
      <c r="J1299" s="11">
        <v>0</v>
      </c>
      <c r="K1299" s="11">
        <v>0</v>
      </c>
      <c r="L1299" s="11">
        <v>0</v>
      </c>
      <c r="M1299" s="11">
        <v>0</v>
      </c>
      <c r="N1299" s="11">
        <v>0</v>
      </c>
      <c r="O1299" s="11">
        <v>0</v>
      </c>
      <c r="P1299" s="11">
        <v>0</v>
      </c>
      <c r="Q1299" s="11">
        <v>0</v>
      </c>
      <c r="R1299" s="11">
        <v>0</v>
      </c>
      <c r="S1299" s="11">
        <v>2.4883049666567102E-3</v>
      </c>
      <c r="T1299" s="11">
        <v>3.3464962184592698E-3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7.1911405148856597E-3</v>
      </c>
      <c r="AD1299">
        <v>0</v>
      </c>
      <c r="AE1299">
        <v>0</v>
      </c>
      <c r="AF1299">
        <v>0</v>
      </c>
      <c r="AG1299">
        <v>2.3469220117815501E-3</v>
      </c>
      <c r="AH1299">
        <v>0</v>
      </c>
      <c r="AI1299">
        <v>0</v>
      </c>
      <c r="AJ1299">
        <v>0</v>
      </c>
      <c r="AK1299">
        <v>0</v>
      </c>
      <c r="AL1299">
        <v>0</v>
      </c>
      <c r="AM1299">
        <v>0</v>
      </c>
    </row>
    <row r="1300" spans="1:39" customFormat="1" hidden="1" x14ac:dyDescent="0.3">
      <c r="A1300" t="s">
        <v>340</v>
      </c>
      <c r="B1300" t="s">
        <v>30</v>
      </c>
      <c r="C1300" t="s">
        <v>81</v>
      </c>
      <c r="D1300" t="s">
        <v>85</v>
      </c>
      <c r="E1300" t="s">
        <v>314</v>
      </c>
      <c r="F1300" t="s">
        <v>313</v>
      </c>
      <c r="G1300" t="s">
        <v>312</v>
      </c>
      <c r="H1300" s="16">
        <v>0</v>
      </c>
      <c r="I1300" s="11">
        <v>0</v>
      </c>
      <c r="J1300" s="11">
        <v>0</v>
      </c>
      <c r="K1300" s="11">
        <v>0</v>
      </c>
      <c r="L1300" s="11">
        <v>0</v>
      </c>
      <c r="M1300" s="11">
        <v>0</v>
      </c>
      <c r="N1300" s="11">
        <v>0</v>
      </c>
      <c r="O1300" s="11">
        <v>0</v>
      </c>
      <c r="P1300" s="11">
        <v>0</v>
      </c>
      <c r="Q1300" s="11">
        <v>0</v>
      </c>
      <c r="R1300" s="11">
        <v>0</v>
      </c>
      <c r="S1300" s="11">
        <v>0</v>
      </c>
      <c r="T1300" s="11">
        <v>0</v>
      </c>
      <c r="U1300">
        <v>0</v>
      </c>
      <c r="V1300">
        <v>0</v>
      </c>
      <c r="W1300">
        <v>0</v>
      </c>
      <c r="X1300">
        <v>6.4242579982012101E-3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0</v>
      </c>
      <c r="AE1300">
        <v>0</v>
      </c>
      <c r="AF1300">
        <v>0</v>
      </c>
      <c r="AG1300">
        <v>0</v>
      </c>
      <c r="AH1300">
        <v>4.6410173109945703E-3</v>
      </c>
      <c r="AI1300">
        <v>0</v>
      </c>
      <c r="AJ1300">
        <v>0</v>
      </c>
      <c r="AK1300">
        <v>0</v>
      </c>
      <c r="AL1300">
        <v>0</v>
      </c>
      <c r="AM1300">
        <v>0</v>
      </c>
    </row>
    <row r="1301" spans="1:39" customFormat="1" hidden="1" x14ac:dyDescent="0.3">
      <c r="A1301" t="s">
        <v>339</v>
      </c>
      <c r="B1301" t="s">
        <v>30</v>
      </c>
      <c r="C1301" t="s">
        <v>81</v>
      </c>
      <c r="D1301" t="s">
        <v>85</v>
      </c>
      <c r="E1301" t="s">
        <v>314</v>
      </c>
      <c r="F1301" t="s">
        <v>313</v>
      </c>
      <c r="G1301" t="s">
        <v>312</v>
      </c>
      <c r="H1301" s="16">
        <v>0</v>
      </c>
      <c r="I1301" s="11">
        <v>0</v>
      </c>
      <c r="J1301" s="11">
        <v>0</v>
      </c>
      <c r="K1301" s="11">
        <v>0</v>
      </c>
      <c r="L1301" s="11">
        <v>0</v>
      </c>
      <c r="M1301" s="11">
        <v>0</v>
      </c>
      <c r="N1301" s="11">
        <v>0</v>
      </c>
      <c r="O1301" s="11">
        <v>0</v>
      </c>
      <c r="P1301" s="11">
        <v>0</v>
      </c>
      <c r="Q1301" s="11">
        <v>0</v>
      </c>
      <c r="R1301" s="11">
        <v>0</v>
      </c>
      <c r="S1301" s="11">
        <v>0</v>
      </c>
      <c r="T1301" s="11">
        <v>0</v>
      </c>
      <c r="U1301">
        <v>0</v>
      </c>
      <c r="V1301">
        <v>0</v>
      </c>
      <c r="W1301">
        <v>2.6668088964744798E-3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0</v>
      </c>
      <c r="AL1301">
        <v>0</v>
      </c>
      <c r="AM1301">
        <v>0</v>
      </c>
    </row>
    <row r="1302" spans="1:39" customFormat="1" hidden="1" x14ac:dyDescent="0.3">
      <c r="A1302" t="s">
        <v>338</v>
      </c>
      <c r="B1302" t="s">
        <v>30</v>
      </c>
      <c r="C1302" t="s">
        <v>81</v>
      </c>
      <c r="D1302" t="s">
        <v>118</v>
      </c>
      <c r="E1302" t="s">
        <v>337</v>
      </c>
      <c r="F1302" t="s">
        <v>336</v>
      </c>
      <c r="G1302" t="s">
        <v>335</v>
      </c>
      <c r="H1302" s="16">
        <v>0</v>
      </c>
      <c r="I1302" s="11">
        <v>0</v>
      </c>
      <c r="J1302" s="11">
        <v>0</v>
      </c>
      <c r="K1302" s="11">
        <v>0</v>
      </c>
      <c r="L1302" s="11">
        <v>0</v>
      </c>
      <c r="M1302" s="11">
        <v>0</v>
      </c>
      <c r="N1302" s="11">
        <v>0</v>
      </c>
      <c r="O1302" s="11">
        <v>0</v>
      </c>
      <c r="P1302" s="11">
        <v>0</v>
      </c>
      <c r="Q1302" s="11">
        <v>0</v>
      </c>
      <c r="R1302" s="11">
        <v>0</v>
      </c>
      <c r="S1302" s="11">
        <v>0</v>
      </c>
      <c r="T1302" s="11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0</v>
      </c>
      <c r="AJ1302">
        <v>0</v>
      </c>
      <c r="AK1302">
        <v>0</v>
      </c>
      <c r="AL1302">
        <v>0</v>
      </c>
      <c r="AM1302">
        <v>0</v>
      </c>
    </row>
    <row r="1303" spans="1:39" customFormat="1" hidden="1" x14ac:dyDescent="0.3">
      <c r="A1303" t="s">
        <v>334</v>
      </c>
      <c r="B1303" t="s">
        <v>30</v>
      </c>
      <c r="C1303" t="s">
        <v>81</v>
      </c>
      <c r="D1303" t="s">
        <v>85</v>
      </c>
      <c r="E1303" t="s">
        <v>314</v>
      </c>
      <c r="F1303" t="s">
        <v>313</v>
      </c>
      <c r="G1303" t="s">
        <v>312</v>
      </c>
      <c r="H1303" s="16">
        <v>0</v>
      </c>
      <c r="I1303" s="11">
        <v>0</v>
      </c>
      <c r="J1303" s="11">
        <v>0</v>
      </c>
      <c r="K1303" s="11">
        <v>0</v>
      </c>
      <c r="L1303" s="11">
        <v>0</v>
      </c>
      <c r="M1303" s="11">
        <v>0</v>
      </c>
      <c r="N1303" s="11">
        <v>0</v>
      </c>
      <c r="O1303" s="11">
        <v>0</v>
      </c>
      <c r="P1303" s="11">
        <v>0</v>
      </c>
      <c r="Q1303" s="11">
        <v>0</v>
      </c>
      <c r="R1303" s="11">
        <v>0</v>
      </c>
      <c r="S1303" s="11">
        <v>2.4883049666567102E-3</v>
      </c>
      <c r="T1303" s="11">
        <v>0</v>
      </c>
      <c r="U1303">
        <v>0</v>
      </c>
      <c r="V1303">
        <v>3.6144142841652502E-3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0</v>
      </c>
      <c r="AL1303">
        <v>0</v>
      </c>
      <c r="AM1303">
        <v>0</v>
      </c>
    </row>
    <row r="1304" spans="1:39" customFormat="1" hidden="1" x14ac:dyDescent="0.3">
      <c r="A1304" t="s">
        <v>333</v>
      </c>
      <c r="B1304" t="s">
        <v>30</v>
      </c>
      <c r="C1304" t="s">
        <v>81</v>
      </c>
      <c r="D1304" t="s">
        <v>85</v>
      </c>
      <c r="E1304" t="s">
        <v>314</v>
      </c>
      <c r="F1304" t="s">
        <v>313</v>
      </c>
      <c r="G1304" t="s">
        <v>312</v>
      </c>
      <c r="H1304" s="16">
        <v>0</v>
      </c>
      <c r="I1304" s="11">
        <v>0</v>
      </c>
      <c r="J1304" s="11">
        <v>0</v>
      </c>
      <c r="K1304" s="11">
        <v>0</v>
      </c>
      <c r="L1304" s="11">
        <v>0</v>
      </c>
      <c r="M1304" s="11">
        <v>7.0977358222727004E-3</v>
      </c>
      <c r="N1304" s="11">
        <v>0</v>
      </c>
      <c r="O1304" s="11">
        <v>0</v>
      </c>
      <c r="P1304" s="11">
        <v>0</v>
      </c>
      <c r="Q1304" s="11">
        <v>0</v>
      </c>
      <c r="R1304" s="11">
        <v>0</v>
      </c>
      <c r="S1304" s="11">
        <v>0</v>
      </c>
      <c r="T1304" s="11">
        <v>0</v>
      </c>
      <c r="U1304">
        <v>0</v>
      </c>
      <c r="V1304">
        <v>0</v>
      </c>
      <c r="W1304">
        <v>0</v>
      </c>
      <c r="X1304">
        <v>6.4242579982012101E-3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0</v>
      </c>
      <c r="AL1304">
        <v>0</v>
      </c>
      <c r="AM1304">
        <v>0</v>
      </c>
    </row>
    <row r="1305" spans="1:39" customFormat="1" hidden="1" x14ac:dyDescent="0.3">
      <c r="A1305" t="s">
        <v>332</v>
      </c>
      <c r="B1305" t="s">
        <v>30</v>
      </c>
      <c r="C1305" t="s">
        <v>111</v>
      </c>
      <c r="D1305" t="s">
        <v>141</v>
      </c>
      <c r="E1305" t="s">
        <v>331</v>
      </c>
      <c r="F1305" t="s">
        <v>330</v>
      </c>
      <c r="G1305" t="s">
        <v>329</v>
      </c>
      <c r="H1305" s="16">
        <v>0</v>
      </c>
      <c r="I1305" s="11">
        <v>0</v>
      </c>
      <c r="J1305" s="11">
        <v>0</v>
      </c>
      <c r="K1305" s="11">
        <v>0</v>
      </c>
      <c r="L1305" s="11">
        <v>0</v>
      </c>
      <c r="M1305" s="11">
        <v>0</v>
      </c>
      <c r="N1305" s="11">
        <v>0</v>
      </c>
      <c r="O1305" s="11">
        <v>0</v>
      </c>
      <c r="P1305" s="11">
        <v>0</v>
      </c>
      <c r="Q1305" s="11">
        <v>0</v>
      </c>
      <c r="R1305" s="11">
        <v>0</v>
      </c>
      <c r="S1305" s="11">
        <v>0</v>
      </c>
      <c r="T1305" s="11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>
        <v>0</v>
      </c>
      <c r="AL1305">
        <v>0</v>
      </c>
      <c r="AM1305">
        <v>0</v>
      </c>
    </row>
    <row r="1306" spans="1:39" customFormat="1" hidden="1" x14ac:dyDescent="0.3">
      <c r="A1306" t="s">
        <v>328</v>
      </c>
      <c r="B1306" t="s">
        <v>30</v>
      </c>
      <c r="C1306" t="s">
        <v>35</v>
      </c>
      <c r="D1306" t="s">
        <v>327</v>
      </c>
      <c r="E1306" t="s">
        <v>326</v>
      </c>
      <c r="F1306" t="s">
        <v>325</v>
      </c>
      <c r="G1306" t="s">
        <v>324</v>
      </c>
      <c r="H1306" s="16">
        <v>0</v>
      </c>
      <c r="I1306" s="11">
        <v>0</v>
      </c>
      <c r="J1306" s="11">
        <v>0</v>
      </c>
      <c r="K1306" s="11">
        <v>0</v>
      </c>
      <c r="L1306" s="11">
        <v>1.3207422571485199E-2</v>
      </c>
      <c r="M1306" s="11">
        <v>0</v>
      </c>
      <c r="N1306" s="11">
        <v>0</v>
      </c>
      <c r="O1306" s="11">
        <v>0</v>
      </c>
      <c r="P1306" s="11">
        <v>0</v>
      </c>
      <c r="Q1306" s="11">
        <v>0</v>
      </c>
      <c r="R1306" s="11">
        <v>0</v>
      </c>
      <c r="S1306" s="11">
        <v>0</v>
      </c>
      <c r="T1306" s="11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</v>
      </c>
      <c r="AE1306">
        <v>0</v>
      </c>
      <c r="AF1306">
        <v>0</v>
      </c>
      <c r="AG1306">
        <v>4.6938440235631002E-3</v>
      </c>
      <c r="AH1306">
        <v>0</v>
      </c>
      <c r="AI1306">
        <v>0</v>
      </c>
      <c r="AJ1306">
        <v>0</v>
      </c>
      <c r="AK1306">
        <v>0</v>
      </c>
      <c r="AL1306">
        <v>0</v>
      </c>
      <c r="AM1306">
        <v>0</v>
      </c>
    </row>
    <row r="1307" spans="1:39" customFormat="1" hidden="1" x14ac:dyDescent="0.3">
      <c r="A1307" t="s">
        <v>323</v>
      </c>
      <c r="B1307" t="s">
        <v>30</v>
      </c>
      <c r="C1307" t="s">
        <v>81</v>
      </c>
      <c r="D1307" t="s">
        <v>118</v>
      </c>
      <c r="E1307" t="s">
        <v>322</v>
      </c>
      <c r="F1307" t="s">
        <v>321</v>
      </c>
      <c r="G1307" t="s">
        <v>320</v>
      </c>
      <c r="H1307" s="16">
        <v>0</v>
      </c>
      <c r="I1307" s="11">
        <v>0</v>
      </c>
      <c r="J1307" s="11">
        <v>0</v>
      </c>
      <c r="K1307" s="11">
        <v>0</v>
      </c>
      <c r="L1307" s="11">
        <v>0</v>
      </c>
      <c r="M1307" s="11">
        <v>0</v>
      </c>
      <c r="N1307" s="11">
        <v>0</v>
      </c>
      <c r="O1307" s="11">
        <v>0</v>
      </c>
      <c r="P1307" s="11">
        <v>0</v>
      </c>
      <c r="Q1307" s="11">
        <v>0</v>
      </c>
      <c r="R1307" s="11">
        <v>0</v>
      </c>
      <c r="S1307" s="11">
        <v>0</v>
      </c>
      <c r="T1307" s="11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3.1774275546517499E-3</v>
      </c>
      <c r="AA1307">
        <v>0</v>
      </c>
      <c r="AB1307">
        <v>0</v>
      </c>
      <c r="AC1307">
        <v>0</v>
      </c>
      <c r="AD1307">
        <v>0</v>
      </c>
      <c r="AE1307">
        <v>0</v>
      </c>
      <c r="AF1307">
        <v>0</v>
      </c>
      <c r="AG1307">
        <v>2.3469220117815501E-3</v>
      </c>
      <c r="AH1307">
        <v>0</v>
      </c>
      <c r="AI1307">
        <v>0</v>
      </c>
      <c r="AJ1307">
        <v>0</v>
      </c>
      <c r="AK1307">
        <v>0</v>
      </c>
      <c r="AL1307">
        <v>0</v>
      </c>
      <c r="AM1307">
        <v>0</v>
      </c>
    </row>
    <row r="1308" spans="1:39" customFormat="1" hidden="1" x14ac:dyDescent="0.3">
      <c r="A1308" t="s">
        <v>319</v>
      </c>
      <c r="B1308" t="s">
        <v>30</v>
      </c>
      <c r="C1308" t="s">
        <v>81</v>
      </c>
      <c r="D1308" t="s">
        <v>85</v>
      </c>
      <c r="E1308" t="s">
        <v>314</v>
      </c>
      <c r="F1308" t="s">
        <v>318</v>
      </c>
      <c r="G1308" t="s">
        <v>317</v>
      </c>
      <c r="H1308" s="16">
        <v>0</v>
      </c>
      <c r="I1308" s="11">
        <v>3.6565745209887401E-3</v>
      </c>
      <c r="J1308" s="11">
        <v>0</v>
      </c>
      <c r="K1308" s="11">
        <v>0</v>
      </c>
      <c r="L1308" s="11">
        <v>0</v>
      </c>
      <c r="M1308" s="11">
        <v>0</v>
      </c>
      <c r="N1308" s="11">
        <v>0</v>
      </c>
      <c r="O1308" s="11">
        <v>0</v>
      </c>
      <c r="P1308" s="11">
        <v>0</v>
      </c>
      <c r="Q1308" s="11">
        <v>0</v>
      </c>
      <c r="R1308" s="11">
        <v>0</v>
      </c>
      <c r="S1308" s="11">
        <v>2.4883049666567102E-3</v>
      </c>
      <c r="T1308" s="11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0</v>
      </c>
      <c r="AE1308">
        <v>0</v>
      </c>
      <c r="AF1308">
        <v>0</v>
      </c>
      <c r="AG1308">
        <v>0</v>
      </c>
      <c r="AH1308">
        <v>0</v>
      </c>
      <c r="AI1308">
        <v>0</v>
      </c>
      <c r="AJ1308">
        <v>0</v>
      </c>
      <c r="AK1308">
        <v>0</v>
      </c>
      <c r="AL1308">
        <v>0</v>
      </c>
      <c r="AM1308">
        <v>0</v>
      </c>
    </row>
    <row r="1309" spans="1:39" customFormat="1" hidden="1" x14ac:dyDescent="0.3">
      <c r="A1309" t="s">
        <v>315</v>
      </c>
      <c r="B1309" t="s">
        <v>30</v>
      </c>
      <c r="C1309" t="s">
        <v>81</v>
      </c>
      <c r="D1309" t="s">
        <v>85</v>
      </c>
      <c r="E1309" t="s">
        <v>314</v>
      </c>
      <c r="F1309" t="s">
        <v>313</v>
      </c>
      <c r="G1309" t="s">
        <v>312</v>
      </c>
      <c r="H1309" s="16">
        <v>0</v>
      </c>
      <c r="I1309" s="11">
        <v>0</v>
      </c>
      <c r="J1309" s="11">
        <v>0</v>
      </c>
      <c r="K1309" s="11">
        <v>0</v>
      </c>
      <c r="L1309" s="11">
        <v>0</v>
      </c>
      <c r="M1309" s="11">
        <v>0</v>
      </c>
      <c r="N1309" s="11">
        <v>0</v>
      </c>
      <c r="O1309" s="11">
        <v>0</v>
      </c>
      <c r="P1309" s="11">
        <v>3.3947788301592198E-3</v>
      </c>
      <c r="Q1309" s="11">
        <v>0</v>
      </c>
      <c r="R1309" s="11">
        <v>0</v>
      </c>
      <c r="S1309" s="11">
        <v>0</v>
      </c>
      <c r="T1309" s="11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0</v>
      </c>
      <c r="AE1309">
        <v>0</v>
      </c>
      <c r="AF1309">
        <v>0</v>
      </c>
      <c r="AG1309">
        <v>0</v>
      </c>
      <c r="AH1309">
        <v>0</v>
      </c>
      <c r="AI1309">
        <v>0</v>
      </c>
      <c r="AJ1309">
        <v>0</v>
      </c>
      <c r="AK1309">
        <v>1.20540019286403E-2</v>
      </c>
      <c r="AL1309">
        <v>0</v>
      </c>
      <c r="AM1309">
        <v>0</v>
      </c>
    </row>
    <row r="1310" spans="1:39" customFormat="1" hidden="1" x14ac:dyDescent="0.3">
      <c r="A1310" t="s">
        <v>311</v>
      </c>
      <c r="B1310" t="s">
        <v>30</v>
      </c>
      <c r="C1310" t="s">
        <v>310</v>
      </c>
      <c r="D1310" t="s">
        <v>309</v>
      </c>
      <c r="E1310" t="s">
        <v>308</v>
      </c>
      <c r="F1310" t="s">
        <v>307</v>
      </c>
      <c r="G1310" t="s">
        <v>25</v>
      </c>
      <c r="H1310" s="16">
        <v>0</v>
      </c>
      <c r="I1310" s="11">
        <v>0</v>
      </c>
      <c r="J1310" s="11">
        <v>0</v>
      </c>
      <c r="K1310" s="11">
        <v>0</v>
      </c>
      <c r="L1310" s="11">
        <v>0</v>
      </c>
      <c r="M1310" s="11">
        <v>7.0977358222727004E-3</v>
      </c>
      <c r="N1310" s="11">
        <v>0</v>
      </c>
      <c r="O1310" s="11">
        <v>0</v>
      </c>
      <c r="P1310" s="11">
        <v>0</v>
      </c>
      <c r="Q1310" s="11">
        <v>0</v>
      </c>
      <c r="R1310" s="11">
        <v>0</v>
      </c>
      <c r="S1310" s="11">
        <v>0</v>
      </c>
      <c r="T1310" s="11">
        <v>0</v>
      </c>
      <c r="U1310">
        <v>0</v>
      </c>
      <c r="V1310">
        <v>0</v>
      </c>
      <c r="W1310">
        <v>5.3336177929489597E-3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0</v>
      </c>
      <c r="AE1310">
        <v>0</v>
      </c>
      <c r="AF1310">
        <v>0</v>
      </c>
      <c r="AG1310">
        <v>0</v>
      </c>
      <c r="AH1310">
        <v>0</v>
      </c>
      <c r="AI1310">
        <v>0</v>
      </c>
      <c r="AJ1310">
        <v>0</v>
      </c>
      <c r="AK1310">
        <v>0</v>
      </c>
      <c r="AL1310">
        <v>0</v>
      </c>
      <c r="AM1310">
        <v>0</v>
      </c>
    </row>
    <row r="1311" spans="1:39" customFormat="1" hidden="1" x14ac:dyDescent="0.3">
      <c r="A1311" t="s">
        <v>306</v>
      </c>
      <c r="B1311" t="s">
        <v>30</v>
      </c>
      <c r="C1311" t="s">
        <v>81</v>
      </c>
      <c r="D1311" t="s">
        <v>80</v>
      </c>
      <c r="E1311" t="s">
        <v>304</v>
      </c>
      <c r="F1311" t="s">
        <v>304</v>
      </c>
      <c r="G1311" t="s">
        <v>304</v>
      </c>
      <c r="H1311" s="16">
        <v>0</v>
      </c>
      <c r="I1311" s="11">
        <v>7.3131490419774802E-3</v>
      </c>
      <c r="J1311" s="11">
        <v>0</v>
      </c>
      <c r="K1311" s="11">
        <v>0</v>
      </c>
      <c r="L1311" s="11">
        <v>0</v>
      </c>
      <c r="M1311" s="11">
        <v>0</v>
      </c>
      <c r="N1311" s="11">
        <v>0</v>
      </c>
      <c r="O1311" s="11">
        <v>0</v>
      </c>
      <c r="P1311" s="11">
        <v>0</v>
      </c>
      <c r="Q1311" s="11">
        <v>0</v>
      </c>
      <c r="R1311" s="11">
        <v>0</v>
      </c>
      <c r="S1311" s="11">
        <v>0</v>
      </c>
      <c r="T1311" s="11">
        <v>0</v>
      </c>
      <c r="U1311">
        <v>3.04201016031394E-3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v>0</v>
      </c>
      <c r="AJ1311">
        <v>0</v>
      </c>
      <c r="AK1311">
        <v>0</v>
      </c>
      <c r="AL1311">
        <v>0</v>
      </c>
      <c r="AM1311">
        <v>0</v>
      </c>
    </row>
    <row r="1312" spans="1:39" customFormat="1" hidden="1" x14ac:dyDescent="0.3">
      <c r="A1312" t="s">
        <v>305</v>
      </c>
      <c r="B1312" t="s">
        <v>30</v>
      </c>
      <c r="C1312" t="s">
        <v>81</v>
      </c>
      <c r="D1312" t="s">
        <v>80</v>
      </c>
      <c r="E1312" t="s">
        <v>304</v>
      </c>
      <c r="F1312" t="s">
        <v>304</v>
      </c>
      <c r="G1312" t="s">
        <v>304</v>
      </c>
      <c r="H1312" s="16">
        <v>4.1583499667332E-3</v>
      </c>
      <c r="I1312" s="11">
        <v>0</v>
      </c>
      <c r="J1312" s="11">
        <v>0</v>
      </c>
      <c r="K1312" s="11">
        <v>0</v>
      </c>
      <c r="L1312" s="11">
        <v>0</v>
      </c>
      <c r="M1312" s="11">
        <v>0</v>
      </c>
      <c r="N1312" s="11">
        <v>0</v>
      </c>
      <c r="O1312" s="11">
        <v>0</v>
      </c>
      <c r="P1312" s="11">
        <v>0</v>
      </c>
      <c r="Q1312" s="11">
        <v>0</v>
      </c>
      <c r="R1312" s="11">
        <v>0</v>
      </c>
      <c r="S1312" s="11">
        <v>0</v>
      </c>
      <c r="T1312" s="11">
        <v>3.3464962184592698E-3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>
        <v>0</v>
      </c>
      <c r="AJ1312">
        <v>0</v>
      </c>
      <c r="AK1312">
        <v>0</v>
      </c>
      <c r="AL1312">
        <v>0</v>
      </c>
      <c r="AM1312">
        <v>0</v>
      </c>
    </row>
    <row r="1313" spans="1:39" customFormat="1" hidden="1" x14ac:dyDescent="0.3">
      <c r="A1313" t="s">
        <v>303</v>
      </c>
      <c r="B1313" t="s">
        <v>30</v>
      </c>
      <c r="C1313" t="s">
        <v>264</v>
      </c>
      <c r="D1313" t="s">
        <v>302</v>
      </c>
      <c r="E1313" t="s">
        <v>301</v>
      </c>
      <c r="F1313" t="s">
        <v>300</v>
      </c>
      <c r="G1313" t="s">
        <v>299</v>
      </c>
      <c r="H1313" s="16">
        <v>0</v>
      </c>
      <c r="I1313" s="11">
        <v>3.6565745209887401E-3</v>
      </c>
      <c r="J1313" s="11">
        <v>4.3593879419329502E-3</v>
      </c>
      <c r="K1313" s="11">
        <v>0</v>
      </c>
      <c r="L1313" s="11">
        <v>0</v>
      </c>
      <c r="M1313" s="11">
        <v>0</v>
      </c>
      <c r="N1313" s="11">
        <v>0</v>
      </c>
      <c r="O1313" s="11">
        <v>0</v>
      </c>
      <c r="P1313" s="11">
        <v>0</v>
      </c>
      <c r="Q1313" s="11">
        <v>0</v>
      </c>
      <c r="R1313" s="11">
        <v>0</v>
      </c>
      <c r="S1313" s="11">
        <v>0</v>
      </c>
      <c r="T1313" s="11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0</v>
      </c>
      <c r="AE1313">
        <v>0</v>
      </c>
      <c r="AF1313">
        <v>0</v>
      </c>
      <c r="AG1313">
        <v>0</v>
      </c>
      <c r="AH1313">
        <v>0</v>
      </c>
      <c r="AI1313">
        <v>0</v>
      </c>
      <c r="AJ1313">
        <v>0</v>
      </c>
      <c r="AK1313">
        <v>0</v>
      </c>
      <c r="AL1313">
        <v>7.1689726862140604E-3</v>
      </c>
      <c r="AM1313">
        <v>0</v>
      </c>
    </row>
    <row r="1314" spans="1:39" customFormat="1" hidden="1" x14ac:dyDescent="0.3">
      <c r="A1314" t="s">
        <v>298</v>
      </c>
      <c r="B1314" t="s">
        <v>30</v>
      </c>
      <c r="C1314" t="s">
        <v>111</v>
      </c>
      <c r="D1314" t="s">
        <v>297</v>
      </c>
      <c r="E1314" t="s">
        <v>296</v>
      </c>
      <c r="F1314" t="s">
        <v>295</v>
      </c>
      <c r="G1314" t="s">
        <v>294</v>
      </c>
      <c r="H1314" s="16">
        <v>0</v>
      </c>
      <c r="I1314" s="11">
        <v>0</v>
      </c>
      <c r="J1314" s="11">
        <v>0</v>
      </c>
      <c r="K1314" s="11">
        <v>0</v>
      </c>
      <c r="L1314" s="11">
        <v>0</v>
      </c>
      <c r="M1314" s="11">
        <v>0</v>
      </c>
      <c r="N1314" s="11">
        <v>0</v>
      </c>
      <c r="O1314" s="11">
        <v>3.75023438964935E-3</v>
      </c>
      <c r="P1314" s="11">
        <v>0</v>
      </c>
      <c r="Q1314" s="11">
        <v>0</v>
      </c>
      <c r="R1314" s="11">
        <v>2.2441148089136199E-3</v>
      </c>
      <c r="S1314" s="11">
        <v>0</v>
      </c>
      <c r="T1314" s="11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>
        <v>0</v>
      </c>
      <c r="AJ1314">
        <v>0</v>
      </c>
      <c r="AK1314">
        <v>0</v>
      </c>
      <c r="AL1314">
        <v>0</v>
      </c>
      <c r="AM1314">
        <v>0</v>
      </c>
    </row>
    <row r="1315" spans="1:39" customFormat="1" hidden="1" x14ac:dyDescent="0.3">
      <c r="A1315" t="s">
        <v>293</v>
      </c>
      <c r="B1315" t="s">
        <v>30</v>
      </c>
      <c r="C1315" t="s">
        <v>81</v>
      </c>
      <c r="D1315" t="s">
        <v>80</v>
      </c>
      <c r="E1315" t="s">
        <v>292</v>
      </c>
      <c r="F1315" t="s">
        <v>291</v>
      </c>
      <c r="G1315" t="s">
        <v>290</v>
      </c>
      <c r="H1315" s="16">
        <v>4.1583499667332E-3</v>
      </c>
      <c r="I1315" s="11">
        <v>0</v>
      </c>
      <c r="J1315" s="11">
        <v>0</v>
      </c>
      <c r="K1315" s="11">
        <v>5.6589893045102101E-3</v>
      </c>
      <c r="L1315" s="11">
        <v>0</v>
      </c>
      <c r="M1315" s="11">
        <v>0</v>
      </c>
      <c r="N1315" s="11">
        <v>0</v>
      </c>
      <c r="O1315" s="11">
        <v>0</v>
      </c>
      <c r="P1315" s="11">
        <v>0</v>
      </c>
      <c r="Q1315" s="11">
        <v>0</v>
      </c>
      <c r="R1315" s="11">
        <v>0</v>
      </c>
      <c r="S1315" s="11">
        <v>0</v>
      </c>
      <c r="T1315" s="11">
        <v>0</v>
      </c>
      <c r="U1315">
        <v>0</v>
      </c>
      <c r="V1315">
        <v>0</v>
      </c>
      <c r="W1315">
        <v>0</v>
      </c>
      <c r="X1315">
        <v>0</v>
      </c>
      <c r="Y1315">
        <v>5.8529162155043701E-3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  <c r="AL1315">
        <v>0</v>
      </c>
      <c r="AM1315">
        <v>0</v>
      </c>
    </row>
    <row r="1316" spans="1:39" customFormat="1" hidden="1" x14ac:dyDescent="0.3">
      <c r="A1316" t="s">
        <v>289</v>
      </c>
      <c r="B1316" t="s">
        <v>30</v>
      </c>
      <c r="C1316" t="s">
        <v>111</v>
      </c>
      <c r="D1316" t="s">
        <v>141</v>
      </c>
      <c r="E1316" t="s">
        <v>140</v>
      </c>
      <c r="F1316" t="s">
        <v>276</v>
      </c>
      <c r="G1316" t="s">
        <v>275</v>
      </c>
      <c r="H1316" s="16">
        <v>4.1583499667332E-3</v>
      </c>
      <c r="I1316" s="11">
        <v>0</v>
      </c>
      <c r="J1316" s="11">
        <v>0</v>
      </c>
      <c r="K1316" s="11">
        <v>0</v>
      </c>
      <c r="L1316" s="11">
        <v>0</v>
      </c>
      <c r="M1316" s="11">
        <v>0</v>
      </c>
      <c r="N1316" s="11">
        <v>0</v>
      </c>
      <c r="O1316" s="11">
        <v>0</v>
      </c>
      <c r="P1316" s="11">
        <v>3.3947788301592198E-3</v>
      </c>
      <c r="Q1316" s="11">
        <v>0</v>
      </c>
      <c r="R1316" s="11">
        <v>0</v>
      </c>
      <c r="S1316" s="11">
        <v>0</v>
      </c>
      <c r="T1316" s="11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0</v>
      </c>
      <c r="AL1316">
        <v>0</v>
      </c>
      <c r="AM1316">
        <v>0</v>
      </c>
    </row>
    <row r="1317" spans="1:39" customFormat="1" hidden="1" x14ac:dyDescent="0.3">
      <c r="A1317" t="s">
        <v>288</v>
      </c>
      <c r="B1317" t="s">
        <v>30</v>
      </c>
      <c r="C1317" t="s">
        <v>81</v>
      </c>
      <c r="D1317" t="s">
        <v>85</v>
      </c>
      <c r="E1317" t="s">
        <v>287</v>
      </c>
      <c r="F1317" t="s">
        <v>286</v>
      </c>
      <c r="G1317" t="s">
        <v>286</v>
      </c>
      <c r="H1317" s="16">
        <v>0</v>
      </c>
      <c r="I1317" s="11">
        <v>0</v>
      </c>
      <c r="J1317" s="11">
        <v>0</v>
      </c>
      <c r="K1317" s="11">
        <v>0</v>
      </c>
      <c r="L1317" s="11">
        <v>0</v>
      </c>
      <c r="M1317" s="11">
        <v>0</v>
      </c>
      <c r="N1317" s="11">
        <v>0</v>
      </c>
      <c r="O1317" s="11">
        <v>0</v>
      </c>
      <c r="P1317" s="11">
        <v>0</v>
      </c>
      <c r="Q1317" s="11">
        <v>2.7492920572952501E-3</v>
      </c>
      <c r="R1317" s="11">
        <v>0</v>
      </c>
      <c r="S1317" s="11">
        <v>2.4883049666567102E-3</v>
      </c>
      <c r="T1317" s="11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6.02700096432015E-3</v>
      </c>
      <c r="AL1317">
        <v>0</v>
      </c>
      <c r="AM1317">
        <v>0</v>
      </c>
    </row>
    <row r="1318" spans="1:39" customFormat="1" hidden="1" x14ac:dyDescent="0.3">
      <c r="A1318" t="s">
        <v>285</v>
      </c>
      <c r="B1318" t="s">
        <v>30</v>
      </c>
      <c r="C1318" t="s">
        <v>111</v>
      </c>
      <c r="D1318" t="s">
        <v>283</v>
      </c>
      <c r="E1318" t="s">
        <v>283</v>
      </c>
      <c r="F1318" t="s">
        <v>283</v>
      </c>
      <c r="G1318" t="s">
        <v>283</v>
      </c>
      <c r="H1318" s="16">
        <v>0</v>
      </c>
      <c r="I1318" s="11">
        <v>0</v>
      </c>
      <c r="J1318" s="11">
        <v>0</v>
      </c>
      <c r="K1318" s="11">
        <v>0</v>
      </c>
      <c r="L1318" s="11">
        <v>0</v>
      </c>
      <c r="M1318" s="11">
        <v>0</v>
      </c>
      <c r="N1318" s="11">
        <v>0</v>
      </c>
      <c r="O1318" s="11">
        <v>0</v>
      </c>
      <c r="P1318" s="11">
        <v>3.3947788301592198E-3</v>
      </c>
      <c r="Q1318" s="11">
        <v>2.7492920572952501E-3</v>
      </c>
      <c r="R1318" s="11">
        <v>0</v>
      </c>
      <c r="S1318" s="11">
        <v>0</v>
      </c>
      <c r="T1318" s="11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0</v>
      </c>
      <c r="AL1318">
        <v>0</v>
      </c>
      <c r="AM1318">
        <v>0</v>
      </c>
    </row>
    <row r="1319" spans="1:39" customFormat="1" hidden="1" x14ac:dyDescent="0.3">
      <c r="A1319" t="s">
        <v>284</v>
      </c>
      <c r="B1319" t="s">
        <v>30</v>
      </c>
      <c r="C1319" t="s">
        <v>111</v>
      </c>
      <c r="D1319" t="s">
        <v>283</v>
      </c>
      <c r="E1319" t="s">
        <v>283</v>
      </c>
      <c r="F1319" t="s">
        <v>283</v>
      </c>
      <c r="G1319" t="s">
        <v>283</v>
      </c>
      <c r="H1319" s="16">
        <v>0</v>
      </c>
      <c r="I1319" s="11">
        <v>0</v>
      </c>
      <c r="J1319" s="11">
        <v>0</v>
      </c>
      <c r="K1319" s="11">
        <v>0</v>
      </c>
      <c r="L1319" s="11">
        <v>0</v>
      </c>
      <c r="M1319" s="11">
        <v>0</v>
      </c>
      <c r="N1319" s="11">
        <v>0</v>
      </c>
      <c r="O1319" s="11">
        <v>0</v>
      </c>
      <c r="P1319" s="11">
        <v>0</v>
      </c>
      <c r="Q1319" s="11">
        <v>0</v>
      </c>
      <c r="R1319" s="11">
        <v>0</v>
      </c>
      <c r="S1319" s="11">
        <v>0</v>
      </c>
      <c r="T1319" s="11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0</v>
      </c>
      <c r="AL1319">
        <v>0</v>
      </c>
      <c r="AM1319">
        <v>0</v>
      </c>
    </row>
    <row r="1320" spans="1:39" customFormat="1" hidden="1" x14ac:dyDescent="0.3">
      <c r="A1320" t="s">
        <v>282</v>
      </c>
      <c r="B1320" t="s">
        <v>30</v>
      </c>
      <c r="C1320" t="s">
        <v>264</v>
      </c>
      <c r="D1320" t="s">
        <v>263</v>
      </c>
      <c r="E1320" t="s">
        <v>262</v>
      </c>
      <c r="F1320" t="s">
        <v>261</v>
      </c>
      <c r="G1320" t="s">
        <v>260</v>
      </c>
      <c r="H1320" s="16">
        <v>0</v>
      </c>
      <c r="I1320" s="11">
        <v>0</v>
      </c>
      <c r="J1320" s="11">
        <v>0</v>
      </c>
      <c r="K1320" s="11">
        <v>0</v>
      </c>
      <c r="L1320" s="11">
        <v>0</v>
      </c>
      <c r="M1320" s="11">
        <v>0</v>
      </c>
      <c r="N1320" s="11">
        <v>0</v>
      </c>
      <c r="O1320" s="11">
        <v>0</v>
      </c>
      <c r="P1320" s="11">
        <v>0</v>
      </c>
      <c r="Q1320" s="11">
        <v>0</v>
      </c>
      <c r="R1320" s="11">
        <v>0</v>
      </c>
      <c r="S1320" s="11">
        <v>0</v>
      </c>
      <c r="T1320" s="11">
        <v>3.3464962184592698E-3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L1320">
        <v>0</v>
      </c>
      <c r="AM1320">
        <v>0</v>
      </c>
    </row>
    <row r="1321" spans="1:39" customFormat="1" hidden="1" x14ac:dyDescent="0.3">
      <c r="A1321" t="s">
        <v>281</v>
      </c>
      <c r="B1321" t="s">
        <v>30</v>
      </c>
      <c r="C1321" t="s">
        <v>264</v>
      </c>
      <c r="D1321" t="s">
        <v>263</v>
      </c>
      <c r="E1321" t="s">
        <v>262</v>
      </c>
      <c r="F1321" t="s">
        <v>261</v>
      </c>
      <c r="G1321" t="s">
        <v>260</v>
      </c>
      <c r="H1321" s="16">
        <v>0</v>
      </c>
      <c r="I1321" s="11">
        <v>0</v>
      </c>
      <c r="J1321" s="11">
        <v>0</v>
      </c>
      <c r="K1321" s="11">
        <v>0</v>
      </c>
      <c r="L1321" s="11">
        <v>0</v>
      </c>
      <c r="M1321" s="11">
        <v>0</v>
      </c>
      <c r="N1321" s="11">
        <v>0</v>
      </c>
      <c r="O1321" s="11">
        <v>0</v>
      </c>
      <c r="P1321" s="11">
        <v>0</v>
      </c>
      <c r="Q1321" s="11">
        <v>0</v>
      </c>
      <c r="R1321" s="11">
        <v>2.2441148089136199E-3</v>
      </c>
      <c r="S1321" s="11">
        <v>2.4883049666567102E-3</v>
      </c>
      <c r="T1321" s="1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0</v>
      </c>
      <c r="AL1321">
        <v>0</v>
      </c>
      <c r="AM1321">
        <v>0</v>
      </c>
    </row>
    <row r="1322" spans="1:39" customFormat="1" hidden="1" x14ac:dyDescent="0.3">
      <c r="A1322" t="s">
        <v>280</v>
      </c>
      <c r="B1322" t="s">
        <v>30</v>
      </c>
      <c r="C1322" t="s">
        <v>264</v>
      </c>
      <c r="D1322" t="s">
        <v>263</v>
      </c>
      <c r="E1322" t="s">
        <v>262</v>
      </c>
      <c r="F1322" t="s">
        <v>261</v>
      </c>
      <c r="G1322" t="s">
        <v>260</v>
      </c>
      <c r="H1322" s="16">
        <v>0</v>
      </c>
      <c r="I1322" s="11">
        <v>0</v>
      </c>
      <c r="J1322" s="11">
        <v>0</v>
      </c>
      <c r="K1322" s="11">
        <v>0</v>
      </c>
      <c r="L1322" s="11">
        <v>0</v>
      </c>
      <c r="M1322" s="11">
        <v>0</v>
      </c>
      <c r="N1322" s="11">
        <v>0</v>
      </c>
      <c r="O1322" s="11">
        <v>0</v>
      </c>
      <c r="P1322" s="11">
        <v>0</v>
      </c>
      <c r="Q1322" s="11">
        <v>2.7492920572952501E-3</v>
      </c>
      <c r="R1322" s="11">
        <v>2.2441148089136199E-3</v>
      </c>
      <c r="S1322" s="11">
        <v>0</v>
      </c>
      <c r="T1322" s="11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0</v>
      </c>
      <c r="AL1322">
        <v>0</v>
      </c>
      <c r="AM1322">
        <v>0</v>
      </c>
    </row>
    <row r="1323" spans="1:39" customFormat="1" hidden="1" x14ac:dyDescent="0.3">
      <c r="A1323" t="s">
        <v>279</v>
      </c>
      <c r="B1323" t="s">
        <v>30</v>
      </c>
      <c r="C1323" t="s">
        <v>264</v>
      </c>
      <c r="D1323" t="s">
        <v>263</v>
      </c>
      <c r="E1323" t="s">
        <v>262</v>
      </c>
      <c r="F1323" t="s">
        <v>261</v>
      </c>
      <c r="G1323" t="s">
        <v>260</v>
      </c>
      <c r="H1323" s="16">
        <v>0</v>
      </c>
      <c r="I1323" s="11">
        <v>0</v>
      </c>
      <c r="J1323" s="11">
        <v>0</v>
      </c>
      <c r="K1323" s="11">
        <v>0</v>
      </c>
      <c r="L1323" s="11">
        <v>0</v>
      </c>
      <c r="M1323" s="11">
        <v>0</v>
      </c>
      <c r="N1323" s="11">
        <v>0</v>
      </c>
      <c r="O1323" s="11">
        <v>0</v>
      </c>
      <c r="P1323" s="11">
        <v>0</v>
      </c>
      <c r="Q1323" s="11">
        <v>0</v>
      </c>
      <c r="R1323" s="11">
        <v>0</v>
      </c>
      <c r="S1323" s="11">
        <v>0</v>
      </c>
      <c r="T1323" s="11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0</v>
      </c>
      <c r="AL1323">
        <v>0</v>
      </c>
      <c r="AM1323">
        <v>0</v>
      </c>
    </row>
    <row r="1324" spans="1:39" customFormat="1" hidden="1" x14ac:dyDescent="0.3">
      <c r="A1324" t="s">
        <v>278</v>
      </c>
      <c r="B1324" t="s">
        <v>30</v>
      </c>
      <c r="C1324" t="s">
        <v>264</v>
      </c>
      <c r="D1324" t="s">
        <v>263</v>
      </c>
      <c r="E1324" t="s">
        <v>262</v>
      </c>
      <c r="F1324" t="s">
        <v>261</v>
      </c>
      <c r="G1324" t="s">
        <v>260</v>
      </c>
      <c r="H1324" s="16">
        <v>0</v>
      </c>
      <c r="I1324" s="11">
        <v>0</v>
      </c>
      <c r="J1324" s="11">
        <v>0</v>
      </c>
      <c r="K1324" s="11">
        <v>0</v>
      </c>
      <c r="L1324" s="11">
        <v>0</v>
      </c>
      <c r="M1324" s="11">
        <v>0</v>
      </c>
      <c r="N1324" s="11">
        <v>0</v>
      </c>
      <c r="O1324" s="11">
        <v>0</v>
      </c>
      <c r="P1324" s="11">
        <v>0</v>
      </c>
      <c r="Q1324" s="11">
        <v>0</v>
      </c>
      <c r="R1324" s="11">
        <v>0</v>
      </c>
      <c r="S1324" s="11">
        <v>0</v>
      </c>
      <c r="T1324" s="11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0</v>
      </c>
      <c r="AL1324">
        <v>0</v>
      </c>
      <c r="AM1324">
        <v>0</v>
      </c>
    </row>
    <row r="1325" spans="1:39" customFormat="1" hidden="1" x14ac:dyDescent="0.3">
      <c r="A1325" t="s">
        <v>277</v>
      </c>
      <c r="B1325" t="s">
        <v>30</v>
      </c>
      <c r="C1325" t="s">
        <v>111</v>
      </c>
      <c r="D1325" t="s">
        <v>141</v>
      </c>
      <c r="E1325" t="s">
        <v>140</v>
      </c>
      <c r="F1325" t="s">
        <v>276</v>
      </c>
      <c r="G1325" t="s">
        <v>275</v>
      </c>
      <c r="H1325" s="16">
        <v>0</v>
      </c>
      <c r="I1325" s="11">
        <v>0</v>
      </c>
      <c r="J1325" s="11">
        <v>0</v>
      </c>
      <c r="K1325" s="11">
        <v>0</v>
      </c>
      <c r="L1325" s="11">
        <v>0</v>
      </c>
      <c r="M1325" s="11">
        <v>0</v>
      </c>
      <c r="N1325" s="11">
        <v>0</v>
      </c>
      <c r="O1325" s="11">
        <v>0</v>
      </c>
      <c r="P1325" s="11">
        <v>0</v>
      </c>
      <c r="Q1325" s="11">
        <v>0</v>
      </c>
      <c r="R1325" s="11">
        <v>0</v>
      </c>
      <c r="S1325" s="11">
        <v>0</v>
      </c>
      <c r="T1325" s="11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0</v>
      </c>
      <c r="AJ1325">
        <v>0</v>
      </c>
      <c r="AK1325">
        <v>0</v>
      </c>
      <c r="AL1325">
        <v>0</v>
      </c>
      <c r="AM1325">
        <v>0</v>
      </c>
    </row>
    <row r="1326" spans="1:39" customFormat="1" hidden="1" x14ac:dyDescent="0.3">
      <c r="A1326" t="s">
        <v>274</v>
      </c>
      <c r="B1326" t="s">
        <v>30</v>
      </c>
      <c r="C1326" t="s">
        <v>273</v>
      </c>
      <c r="D1326" t="s">
        <v>272</v>
      </c>
      <c r="E1326" t="s">
        <v>271</v>
      </c>
      <c r="F1326" t="s">
        <v>270</v>
      </c>
      <c r="G1326" t="s">
        <v>269</v>
      </c>
      <c r="H1326" s="16">
        <v>0</v>
      </c>
      <c r="I1326" s="11">
        <v>0</v>
      </c>
      <c r="J1326" s="11">
        <v>0</v>
      </c>
      <c r="K1326" s="11">
        <v>0</v>
      </c>
      <c r="L1326" s="11">
        <v>0</v>
      </c>
      <c r="M1326" s="11">
        <v>0</v>
      </c>
      <c r="N1326" s="11">
        <v>0</v>
      </c>
      <c r="O1326" s="11">
        <v>0</v>
      </c>
      <c r="P1326" s="11">
        <v>3.3947788301592198E-3</v>
      </c>
      <c r="Q1326" s="11">
        <v>0</v>
      </c>
      <c r="R1326" s="11">
        <v>0</v>
      </c>
      <c r="S1326" s="11">
        <v>0</v>
      </c>
      <c r="T1326" s="11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0</v>
      </c>
      <c r="AL1326">
        <v>0</v>
      </c>
      <c r="AM1326">
        <v>0</v>
      </c>
    </row>
    <row r="1327" spans="1:39" customFormat="1" hidden="1" x14ac:dyDescent="0.3">
      <c r="A1327" t="s">
        <v>268</v>
      </c>
      <c r="B1327" t="s">
        <v>30</v>
      </c>
      <c r="C1327" t="s">
        <v>81</v>
      </c>
      <c r="D1327" t="s">
        <v>85</v>
      </c>
      <c r="E1327" t="s">
        <v>84</v>
      </c>
      <c r="F1327" t="s">
        <v>84</v>
      </c>
      <c r="G1327" t="s">
        <v>84</v>
      </c>
      <c r="H1327" s="16">
        <v>0</v>
      </c>
      <c r="I1327" s="11">
        <v>0</v>
      </c>
      <c r="J1327" s="11">
        <v>0</v>
      </c>
      <c r="K1327" s="11">
        <v>0</v>
      </c>
      <c r="L1327" s="11">
        <v>0</v>
      </c>
      <c r="M1327" s="11">
        <v>0</v>
      </c>
      <c r="N1327" s="11">
        <v>0</v>
      </c>
      <c r="O1327" s="11">
        <v>0</v>
      </c>
      <c r="P1327" s="11">
        <v>0</v>
      </c>
      <c r="Q1327" s="11">
        <v>0</v>
      </c>
      <c r="R1327" s="11">
        <v>0</v>
      </c>
      <c r="S1327" s="11">
        <v>0</v>
      </c>
      <c r="T1327" s="11">
        <v>0</v>
      </c>
      <c r="U1327">
        <v>0</v>
      </c>
      <c r="V1327">
        <v>0</v>
      </c>
      <c r="W1327">
        <v>0</v>
      </c>
      <c r="X1327">
        <v>0</v>
      </c>
      <c r="Y1327">
        <v>2.9264581077521898E-3</v>
      </c>
      <c r="Z1327">
        <v>0</v>
      </c>
      <c r="AA1327">
        <v>0</v>
      </c>
      <c r="AB1327">
        <v>0</v>
      </c>
      <c r="AC1327">
        <v>0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0</v>
      </c>
      <c r="AJ1327">
        <v>0</v>
      </c>
      <c r="AK1327">
        <v>0</v>
      </c>
      <c r="AL1327">
        <v>3.5844863431070302E-3</v>
      </c>
      <c r="AM1327">
        <v>0</v>
      </c>
    </row>
    <row r="1328" spans="1:39" customFormat="1" hidden="1" x14ac:dyDescent="0.3">
      <c r="A1328" t="s">
        <v>267</v>
      </c>
      <c r="B1328" t="s">
        <v>30</v>
      </c>
      <c r="C1328" t="s">
        <v>264</v>
      </c>
      <c r="D1328" t="s">
        <v>263</v>
      </c>
      <c r="E1328" t="s">
        <v>262</v>
      </c>
      <c r="F1328" t="s">
        <v>261</v>
      </c>
      <c r="G1328" t="s">
        <v>260</v>
      </c>
      <c r="H1328" s="16">
        <v>0</v>
      </c>
      <c r="I1328" s="11">
        <v>3.6565745209887401E-3</v>
      </c>
      <c r="J1328" s="11">
        <v>0</v>
      </c>
      <c r="K1328" s="11">
        <v>0</v>
      </c>
      <c r="L1328" s="11">
        <v>0</v>
      </c>
      <c r="M1328" s="11">
        <v>0</v>
      </c>
      <c r="N1328" s="11">
        <v>0</v>
      </c>
      <c r="O1328" s="11">
        <v>0</v>
      </c>
      <c r="P1328" s="11">
        <v>0</v>
      </c>
      <c r="Q1328" s="11">
        <v>0</v>
      </c>
      <c r="R1328" s="11">
        <v>0</v>
      </c>
      <c r="S1328" s="11">
        <v>0</v>
      </c>
      <c r="T1328" s="11">
        <v>0</v>
      </c>
      <c r="U1328">
        <v>0</v>
      </c>
      <c r="V1328">
        <v>3.6144142841652502E-3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>
        <v>0</v>
      </c>
      <c r="AJ1328">
        <v>0</v>
      </c>
      <c r="AK1328">
        <v>0</v>
      </c>
      <c r="AL1328">
        <v>0</v>
      </c>
      <c r="AM1328">
        <v>0</v>
      </c>
    </row>
    <row r="1329" spans="1:39" customFormat="1" hidden="1" x14ac:dyDescent="0.3">
      <c r="A1329" t="s">
        <v>266</v>
      </c>
      <c r="B1329" t="s">
        <v>30</v>
      </c>
      <c r="C1329" t="s">
        <v>264</v>
      </c>
      <c r="D1329" t="s">
        <v>263</v>
      </c>
      <c r="E1329" t="s">
        <v>262</v>
      </c>
      <c r="F1329" t="s">
        <v>261</v>
      </c>
      <c r="G1329" t="s">
        <v>260</v>
      </c>
      <c r="H1329" s="16">
        <v>0</v>
      </c>
      <c r="I1329" s="11">
        <v>0</v>
      </c>
      <c r="J1329" s="11">
        <v>0</v>
      </c>
      <c r="K1329" s="11">
        <v>0</v>
      </c>
      <c r="L1329" s="11">
        <v>0</v>
      </c>
      <c r="M1329" s="11">
        <v>0</v>
      </c>
      <c r="N1329" s="11">
        <v>0</v>
      </c>
      <c r="O1329" s="11">
        <v>0</v>
      </c>
      <c r="P1329" s="11">
        <v>0</v>
      </c>
      <c r="Q1329" s="11">
        <v>0</v>
      </c>
      <c r="R1329" s="11">
        <v>0</v>
      </c>
      <c r="S1329" s="11">
        <v>0</v>
      </c>
      <c r="T1329" s="11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0</v>
      </c>
      <c r="AJ1329">
        <v>0</v>
      </c>
      <c r="AK1329">
        <v>0</v>
      </c>
      <c r="AL1329">
        <v>0</v>
      </c>
      <c r="AM1329">
        <v>0</v>
      </c>
    </row>
    <row r="1330" spans="1:39" customFormat="1" hidden="1" x14ac:dyDescent="0.3">
      <c r="A1330" t="s">
        <v>265</v>
      </c>
      <c r="B1330" t="s">
        <v>30</v>
      </c>
      <c r="C1330" t="s">
        <v>264</v>
      </c>
      <c r="D1330" t="s">
        <v>263</v>
      </c>
      <c r="E1330" t="s">
        <v>262</v>
      </c>
      <c r="F1330" t="s">
        <v>261</v>
      </c>
      <c r="G1330" t="s">
        <v>260</v>
      </c>
      <c r="H1330" s="16">
        <v>0</v>
      </c>
      <c r="I1330" s="11">
        <v>0</v>
      </c>
      <c r="J1330" s="11">
        <v>0</v>
      </c>
      <c r="K1330" s="11">
        <v>0</v>
      </c>
      <c r="L1330" s="11">
        <v>0</v>
      </c>
      <c r="M1330" s="11">
        <v>0</v>
      </c>
      <c r="N1330" s="11">
        <v>0</v>
      </c>
      <c r="O1330" s="11">
        <v>0</v>
      </c>
      <c r="P1330" s="11">
        <v>0</v>
      </c>
      <c r="Q1330" s="11">
        <v>0</v>
      </c>
      <c r="R1330" s="11">
        <v>0</v>
      </c>
      <c r="S1330" s="11">
        <v>0</v>
      </c>
      <c r="T1330" s="11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0</v>
      </c>
      <c r="AE1330">
        <v>0</v>
      </c>
      <c r="AF1330">
        <v>0</v>
      </c>
      <c r="AG1330">
        <v>0</v>
      </c>
      <c r="AH1330">
        <v>0</v>
      </c>
      <c r="AI1330">
        <v>0</v>
      </c>
      <c r="AJ1330">
        <v>0</v>
      </c>
      <c r="AK1330">
        <v>0</v>
      </c>
      <c r="AL1330">
        <v>0</v>
      </c>
      <c r="AM1330">
        <v>0</v>
      </c>
    </row>
    <row r="1331" spans="1:39" customFormat="1" hidden="1" x14ac:dyDescent="0.3">
      <c r="A1331" t="s">
        <v>259</v>
      </c>
      <c r="B1331" t="s">
        <v>30</v>
      </c>
      <c r="C1331" t="s">
        <v>251</v>
      </c>
      <c r="D1331" t="s">
        <v>250</v>
      </c>
      <c r="E1331" t="s">
        <v>249</v>
      </c>
      <c r="F1331" t="s">
        <v>258</v>
      </c>
      <c r="G1331" t="s">
        <v>257</v>
      </c>
      <c r="H1331" s="16">
        <v>0</v>
      </c>
      <c r="I1331" s="11">
        <v>0</v>
      </c>
      <c r="J1331" s="11">
        <v>0</v>
      </c>
      <c r="K1331" s="11">
        <v>0</v>
      </c>
      <c r="L1331" s="11">
        <v>0</v>
      </c>
      <c r="M1331" s="11">
        <v>0</v>
      </c>
      <c r="N1331" s="11">
        <v>0</v>
      </c>
      <c r="O1331" s="11">
        <v>0</v>
      </c>
      <c r="P1331" s="11">
        <v>0</v>
      </c>
      <c r="Q1331" s="11">
        <v>0</v>
      </c>
      <c r="R1331" s="11">
        <v>0</v>
      </c>
      <c r="S1331" s="11">
        <v>0</v>
      </c>
      <c r="T1331" s="11">
        <v>3.3464962184592698E-3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6.3548551093035102E-3</v>
      </c>
      <c r="AA1331">
        <v>0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>
        <v>0</v>
      </c>
      <c r="AJ1331">
        <v>0</v>
      </c>
      <c r="AK1331">
        <v>0</v>
      </c>
      <c r="AL1331">
        <v>0</v>
      </c>
      <c r="AM1331">
        <v>0</v>
      </c>
    </row>
    <row r="1332" spans="1:39" customFormat="1" hidden="1" x14ac:dyDescent="0.3">
      <c r="A1332" t="s">
        <v>256</v>
      </c>
      <c r="B1332" t="s">
        <v>30</v>
      </c>
      <c r="C1332" t="s">
        <v>251</v>
      </c>
      <c r="D1332" t="s">
        <v>250</v>
      </c>
      <c r="E1332" t="s">
        <v>249</v>
      </c>
      <c r="F1332" t="s">
        <v>255</v>
      </c>
      <c r="G1332" t="s">
        <v>254</v>
      </c>
      <c r="H1332" s="16">
        <v>0</v>
      </c>
      <c r="I1332" s="11">
        <v>0</v>
      </c>
      <c r="J1332" s="11">
        <v>0</v>
      </c>
      <c r="K1332" s="11">
        <v>0</v>
      </c>
      <c r="L1332" s="11">
        <v>0</v>
      </c>
      <c r="M1332" s="11">
        <v>0</v>
      </c>
      <c r="N1332" s="11">
        <v>0</v>
      </c>
      <c r="O1332" s="11">
        <v>0</v>
      </c>
      <c r="P1332" s="11">
        <v>3.3947788301592198E-3</v>
      </c>
      <c r="Q1332" s="11">
        <v>0</v>
      </c>
      <c r="R1332" s="11">
        <v>0</v>
      </c>
      <c r="S1332" s="11">
        <v>2.4883049666567102E-3</v>
      </c>
      <c r="T1332" s="11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0</v>
      </c>
      <c r="AE1332">
        <v>0</v>
      </c>
      <c r="AF1332">
        <v>5.03372596395852E-3</v>
      </c>
      <c r="AG1332">
        <v>2.3469220117815501E-3</v>
      </c>
      <c r="AH1332">
        <v>0</v>
      </c>
      <c r="AI1332">
        <v>0</v>
      </c>
      <c r="AJ1332">
        <v>0</v>
      </c>
      <c r="AK1332">
        <v>0</v>
      </c>
      <c r="AL1332">
        <v>0</v>
      </c>
      <c r="AM1332">
        <v>0</v>
      </c>
    </row>
    <row r="1333" spans="1:39" customFormat="1" hidden="1" x14ac:dyDescent="0.3">
      <c r="A1333" t="s">
        <v>253</v>
      </c>
      <c r="B1333" t="s">
        <v>30</v>
      </c>
      <c r="C1333" t="s">
        <v>251</v>
      </c>
      <c r="D1333" t="s">
        <v>250</v>
      </c>
      <c r="E1333" t="s">
        <v>249</v>
      </c>
      <c r="F1333" t="s">
        <v>248</v>
      </c>
      <c r="G1333" t="s">
        <v>247</v>
      </c>
      <c r="H1333" s="16">
        <v>0</v>
      </c>
      <c r="I1333" s="11">
        <v>0</v>
      </c>
      <c r="J1333" s="11">
        <v>0</v>
      </c>
      <c r="K1333" s="11">
        <v>0</v>
      </c>
      <c r="L1333" s="11">
        <v>0</v>
      </c>
      <c r="M1333" s="11">
        <v>0</v>
      </c>
      <c r="N1333" s="11">
        <v>0</v>
      </c>
      <c r="O1333" s="11">
        <v>0</v>
      </c>
      <c r="P1333" s="11">
        <v>0</v>
      </c>
      <c r="Q1333" s="11">
        <v>0</v>
      </c>
      <c r="R1333" s="11">
        <v>0</v>
      </c>
      <c r="S1333" s="11">
        <v>2.4883049666567102E-3</v>
      </c>
      <c r="T1333" s="11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0</v>
      </c>
      <c r="AE1333">
        <v>0</v>
      </c>
      <c r="AF1333">
        <v>0</v>
      </c>
      <c r="AG1333">
        <v>0</v>
      </c>
      <c r="AH1333">
        <v>0</v>
      </c>
      <c r="AI1333">
        <v>0</v>
      </c>
      <c r="AJ1333">
        <v>3.5915670006823998E-3</v>
      </c>
      <c r="AK1333">
        <v>0</v>
      </c>
      <c r="AL1333">
        <v>3.5844863431070302E-3</v>
      </c>
      <c r="AM1333">
        <v>0</v>
      </c>
    </row>
    <row r="1334" spans="1:39" customFormat="1" hidden="1" x14ac:dyDescent="0.3">
      <c r="A1334" t="s">
        <v>252</v>
      </c>
      <c r="B1334" t="s">
        <v>30</v>
      </c>
      <c r="C1334" t="s">
        <v>251</v>
      </c>
      <c r="D1334" t="s">
        <v>250</v>
      </c>
      <c r="E1334" t="s">
        <v>249</v>
      </c>
      <c r="F1334" t="s">
        <v>248</v>
      </c>
      <c r="G1334" t="s">
        <v>247</v>
      </c>
      <c r="H1334" s="16">
        <v>0</v>
      </c>
      <c r="I1334" s="11">
        <v>0</v>
      </c>
      <c r="J1334" s="11">
        <v>0</v>
      </c>
      <c r="K1334" s="11">
        <v>5.6589893045102101E-3</v>
      </c>
      <c r="L1334" s="11">
        <v>0</v>
      </c>
      <c r="M1334" s="11">
        <v>0</v>
      </c>
      <c r="N1334" s="11">
        <v>0</v>
      </c>
      <c r="O1334" s="11">
        <v>0</v>
      </c>
      <c r="P1334" s="11">
        <v>3.3947788301592198E-3</v>
      </c>
      <c r="Q1334" s="11">
        <v>0</v>
      </c>
      <c r="R1334" s="11">
        <v>0</v>
      </c>
      <c r="S1334" s="11">
        <v>0</v>
      </c>
      <c r="T1334" s="11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0</v>
      </c>
      <c r="AE1334">
        <v>0</v>
      </c>
      <c r="AF1334">
        <v>0</v>
      </c>
      <c r="AG1334">
        <v>0</v>
      </c>
      <c r="AH1334">
        <v>0</v>
      </c>
      <c r="AI1334">
        <v>0</v>
      </c>
      <c r="AJ1334">
        <v>3.5915670006823998E-3</v>
      </c>
      <c r="AK1334">
        <v>0</v>
      </c>
      <c r="AL1334">
        <v>0</v>
      </c>
      <c r="AM1334">
        <v>0</v>
      </c>
    </row>
    <row r="1335" spans="1:39" customFormat="1" hidden="1" x14ac:dyDescent="0.3">
      <c r="A1335" t="s">
        <v>246</v>
      </c>
      <c r="B1335" t="s">
        <v>30</v>
      </c>
      <c r="C1335" t="s">
        <v>81</v>
      </c>
      <c r="D1335" t="s">
        <v>118</v>
      </c>
      <c r="E1335" t="s">
        <v>236</v>
      </c>
      <c r="F1335" t="s">
        <v>236</v>
      </c>
      <c r="G1335" t="s">
        <v>236</v>
      </c>
      <c r="H1335" s="16">
        <v>0</v>
      </c>
      <c r="I1335" s="11">
        <v>3.6565745209887401E-3</v>
      </c>
      <c r="J1335" s="11">
        <v>0</v>
      </c>
      <c r="K1335" s="11">
        <v>0</v>
      </c>
      <c r="L1335" s="11">
        <v>0</v>
      </c>
      <c r="M1335" s="11">
        <v>0</v>
      </c>
      <c r="N1335" s="11">
        <v>0</v>
      </c>
      <c r="O1335" s="11">
        <v>0</v>
      </c>
      <c r="P1335" s="11">
        <v>0</v>
      </c>
      <c r="Q1335" s="11">
        <v>0</v>
      </c>
      <c r="R1335" s="11">
        <v>2.2441148089136199E-3</v>
      </c>
      <c r="S1335" s="11">
        <v>0</v>
      </c>
      <c r="T1335" s="11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0</v>
      </c>
      <c r="AE1335">
        <v>0</v>
      </c>
      <c r="AF1335">
        <v>0</v>
      </c>
      <c r="AG1335">
        <v>2.3469220117815501E-3</v>
      </c>
      <c r="AH1335">
        <v>0</v>
      </c>
      <c r="AI1335">
        <v>2.2984278753332699E-3</v>
      </c>
      <c r="AJ1335">
        <v>0</v>
      </c>
      <c r="AK1335">
        <v>0</v>
      </c>
      <c r="AL1335">
        <v>0</v>
      </c>
      <c r="AM1335">
        <v>0</v>
      </c>
    </row>
    <row r="1336" spans="1:39" customFormat="1" hidden="1" x14ac:dyDescent="0.3">
      <c r="A1336" t="s">
        <v>245</v>
      </c>
      <c r="B1336" t="s">
        <v>30</v>
      </c>
      <c r="C1336" t="s">
        <v>35</v>
      </c>
      <c r="D1336" t="s">
        <v>35</v>
      </c>
      <c r="E1336" t="s">
        <v>240</v>
      </c>
      <c r="F1336" t="s">
        <v>243</v>
      </c>
      <c r="G1336" t="s">
        <v>242</v>
      </c>
      <c r="H1336" s="16">
        <v>0</v>
      </c>
      <c r="I1336" s="11">
        <v>0</v>
      </c>
      <c r="J1336" s="11">
        <v>0</v>
      </c>
      <c r="K1336" s="11">
        <v>0</v>
      </c>
      <c r="L1336" s="11">
        <v>0</v>
      </c>
      <c r="M1336" s="11">
        <v>7.0977358222727004E-3</v>
      </c>
      <c r="N1336" s="11">
        <v>0</v>
      </c>
      <c r="O1336" s="11">
        <v>0</v>
      </c>
      <c r="P1336" s="11">
        <v>0</v>
      </c>
      <c r="Q1336" s="11">
        <v>0</v>
      </c>
      <c r="R1336" s="11">
        <v>0</v>
      </c>
      <c r="S1336" s="11">
        <v>0</v>
      </c>
      <c r="T1336" s="11">
        <v>0</v>
      </c>
      <c r="U1336">
        <v>0</v>
      </c>
      <c r="V1336">
        <v>0</v>
      </c>
      <c r="W1336">
        <v>0</v>
      </c>
      <c r="X1336">
        <v>0</v>
      </c>
      <c r="Y1336">
        <v>2.9264581077521898E-3</v>
      </c>
      <c r="Z1336">
        <v>0</v>
      </c>
      <c r="AA1336">
        <v>0</v>
      </c>
      <c r="AB1336">
        <v>0</v>
      </c>
      <c r="AC1336">
        <v>0</v>
      </c>
      <c r="AD1336">
        <v>0</v>
      </c>
      <c r="AE1336">
        <v>0</v>
      </c>
      <c r="AF1336">
        <v>0</v>
      </c>
      <c r="AG1336">
        <v>0</v>
      </c>
      <c r="AH1336">
        <v>0</v>
      </c>
      <c r="AI1336">
        <v>0</v>
      </c>
      <c r="AJ1336">
        <v>0</v>
      </c>
      <c r="AK1336">
        <v>0</v>
      </c>
      <c r="AL1336">
        <v>0</v>
      </c>
      <c r="AM1336">
        <v>0</v>
      </c>
    </row>
    <row r="1337" spans="1:39" customFormat="1" hidden="1" x14ac:dyDescent="0.3">
      <c r="A1337" t="s">
        <v>244</v>
      </c>
      <c r="B1337" t="s">
        <v>30</v>
      </c>
      <c r="C1337" t="s">
        <v>35</v>
      </c>
      <c r="D1337" t="s">
        <v>35</v>
      </c>
      <c r="E1337" t="s">
        <v>240</v>
      </c>
      <c r="F1337" t="s">
        <v>243</v>
      </c>
      <c r="G1337" t="s">
        <v>242</v>
      </c>
      <c r="H1337" s="16">
        <v>0</v>
      </c>
      <c r="I1337" s="11">
        <v>0</v>
      </c>
      <c r="J1337" s="11">
        <v>0</v>
      </c>
      <c r="K1337" s="11">
        <v>0</v>
      </c>
      <c r="L1337" s="11">
        <v>0</v>
      </c>
      <c r="M1337" s="11">
        <v>3.5488679111363502E-3</v>
      </c>
      <c r="N1337" s="11">
        <v>0</v>
      </c>
      <c r="O1337" s="11">
        <v>0</v>
      </c>
      <c r="P1337" s="11">
        <v>0</v>
      </c>
      <c r="Q1337" s="11">
        <v>0</v>
      </c>
      <c r="R1337" s="11">
        <v>2.2441148089136199E-3</v>
      </c>
      <c r="S1337" s="11">
        <v>0</v>
      </c>
      <c r="T1337" s="11">
        <v>0</v>
      </c>
      <c r="U1337">
        <v>0</v>
      </c>
      <c r="V1337">
        <v>3.6144142841652502E-3</v>
      </c>
      <c r="W1337">
        <v>2.6668088964744798E-3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0</v>
      </c>
      <c r="AE1337">
        <v>0</v>
      </c>
      <c r="AF1337">
        <v>0</v>
      </c>
      <c r="AG1337">
        <v>0</v>
      </c>
      <c r="AH1337">
        <v>0</v>
      </c>
      <c r="AI1337">
        <v>0</v>
      </c>
      <c r="AJ1337">
        <v>0</v>
      </c>
      <c r="AK1337">
        <v>0</v>
      </c>
      <c r="AL1337">
        <v>0</v>
      </c>
      <c r="AM1337">
        <v>0</v>
      </c>
    </row>
    <row r="1338" spans="1:39" customFormat="1" hidden="1" x14ac:dyDescent="0.3">
      <c r="A1338" t="s">
        <v>241</v>
      </c>
      <c r="B1338" t="s">
        <v>30</v>
      </c>
      <c r="C1338" t="s">
        <v>35</v>
      </c>
      <c r="D1338" t="s">
        <v>35</v>
      </c>
      <c r="E1338" t="s">
        <v>240</v>
      </c>
      <c r="F1338" t="s">
        <v>239</v>
      </c>
      <c r="G1338" t="s">
        <v>238</v>
      </c>
      <c r="H1338" s="16">
        <v>0</v>
      </c>
      <c r="I1338" s="11">
        <v>0</v>
      </c>
      <c r="J1338" s="11">
        <v>0</v>
      </c>
      <c r="K1338" s="11">
        <v>0</v>
      </c>
      <c r="L1338" s="11">
        <v>0</v>
      </c>
      <c r="M1338" s="11">
        <v>0</v>
      </c>
      <c r="N1338" s="11">
        <v>0</v>
      </c>
      <c r="O1338" s="11">
        <v>0</v>
      </c>
      <c r="P1338" s="11">
        <v>3.3947788301592198E-3</v>
      </c>
      <c r="Q1338" s="11">
        <v>0</v>
      </c>
      <c r="R1338" s="11">
        <v>0</v>
      </c>
      <c r="S1338" s="11">
        <v>0</v>
      </c>
      <c r="T1338" s="11">
        <v>0</v>
      </c>
      <c r="U1338">
        <v>0</v>
      </c>
      <c r="V1338">
        <v>0</v>
      </c>
      <c r="W1338">
        <v>0</v>
      </c>
      <c r="X1338">
        <v>0</v>
      </c>
      <c r="Y1338">
        <v>2.9264581077521898E-3</v>
      </c>
      <c r="Z1338">
        <v>0</v>
      </c>
      <c r="AA1338">
        <v>0</v>
      </c>
      <c r="AB1338">
        <v>0</v>
      </c>
      <c r="AC1338">
        <v>7.1911405148856597E-3</v>
      </c>
      <c r="AD1338">
        <v>0</v>
      </c>
      <c r="AE1338">
        <v>0</v>
      </c>
      <c r="AF1338">
        <v>0</v>
      </c>
      <c r="AG1338">
        <v>0</v>
      </c>
      <c r="AH1338">
        <v>0</v>
      </c>
      <c r="AI1338">
        <v>0</v>
      </c>
      <c r="AJ1338">
        <v>0</v>
      </c>
      <c r="AK1338">
        <v>0</v>
      </c>
      <c r="AL1338">
        <v>0</v>
      </c>
      <c r="AM1338">
        <v>0</v>
      </c>
    </row>
    <row r="1339" spans="1:39" customFormat="1" hidden="1" x14ac:dyDescent="0.3">
      <c r="A1339" t="s">
        <v>237</v>
      </c>
      <c r="B1339" t="s">
        <v>30</v>
      </c>
      <c r="C1339" t="s">
        <v>81</v>
      </c>
      <c r="D1339" t="s">
        <v>118</v>
      </c>
      <c r="E1339" t="s">
        <v>236</v>
      </c>
      <c r="F1339" t="s">
        <v>236</v>
      </c>
      <c r="G1339" t="s">
        <v>236</v>
      </c>
      <c r="H1339" s="16">
        <v>4.1583499667332E-3</v>
      </c>
      <c r="I1339" s="11">
        <v>0</v>
      </c>
      <c r="J1339" s="11">
        <v>0</v>
      </c>
      <c r="K1339" s="11">
        <v>0</v>
      </c>
      <c r="L1339" s="11">
        <v>0</v>
      </c>
      <c r="M1339" s="11">
        <v>0</v>
      </c>
      <c r="N1339" s="11">
        <v>0</v>
      </c>
      <c r="O1339" s="11">
        <v>0</v>
      </c>
      <c r="P1339" s="11">
        <v>0</v>
      </c>
      <c r="Q1339" s="11">
        <v>0</v>
      </c>
      <c r="R1339" s="11">
        <v>0</v>
      </c>
      <c r="S1339" s="11">
        <v>0</v>
      </c>
      <c r="T1339" s="11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6.02700096432015E-3</v>
      </c>
      <c r="AL1339">
        <v>0</v>
      </c>
      <c r="AM1339">
        <v>0</v>
      </c>
    </row>
    <row r="1340" spans="1:39" customFormat="1" hidden="1" x14ac:dyDescent="0.3">
      <c r="A1340" t="s">
        <v>235</v>
      </c>
      <c r="B1340" t="s">
        <v>30</v>
      </c>
      <c r="C1340" t="s">
        <v>29</v>
      </c>
      <c r="D1340" t="s">
        <v>28</v>
      </c>
      <c r="E1340" t="s">
        <v>27</v>
      </c>
      <c r="F1340" t="s">
        <v>26</v>
      </c>
      <c r="G1340" t="s">
        <v>25</v>
      </c>
      <c r="H1340" s="16">
        <v>0</v>
      </c>
      <c r="I1340" s="11">
        <v>0</v>
      </c>
      <c r="J1340" s="11">
        <v>0</v>
      </c>
      <c r="K1340" s="11">
        <v>0</v>
      </c>
      <c r="L1340" s="11">
        <v>0</v>
      </c>
      <c r="M1340" s="11">
        <v>0</v>
      </c>
      <c r="N1340" s="11">
        <v>0</v>
      </c>
      <c r="O1340" s="11">
        <v>0</v>
      </c>
      <c r="P1340" s="11">
        <v>0</v>
      </c>
      <c r="Q1340" s="11">
        <v>5.4985841145904898E-3</v>
      </c>
      <c r="R1340" s="11">
        <v>0</v>
      </c>
      <c r="S1340" s="11">
        <v>0</v>
      </c>
      <c r="T1340" s="11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0</v>
      </c>
      <c r="AL1340">
        <v>0</v>
      </c>
      <c r="AM1340">
        <v>0</v>
      </c>
    </row>
    <row r="1341" spans="1:39" customFormat="1" hidden="1" x14ac:dyDescent="0.3">
      <c r="A1341" t="s">
        <v>234</v>
      </c>
      <c r="B1341" t="s">
        <v>30</v>
      </c>
      <c r="C1341" t="s">
        <v>29</v>
      </c>
      <c r="D1341" t="s">
        <v>28</v>
      </c>
      <c r="E1341" t="s">
        <v>27</v>
      </c>
      <c r="F1341" t="s">
        <v>160</v>
      </c>
      <c r="G1341" t="s">
        <v>233</v>
      </c>
      <c r="H1341" s="16">
        <v>0</v>
      </c>
      <c r="I1341" s="11">
        <v>0</v>
      </c>
      <c r="J1341" s="11">
        <v>0</v>
      </c>
      <c r="K1341" s="11">
        <v>0</v>
      </c>
      <c r="L1341" s="11">
        <v>0</v>
      </c>
      <c r="M1341" s="11">
        <v>0</v>
      </c>
      <c r="N1341" s="11">
        <v>0</v>
      </c>
      <c r="O1341" s="11">
        <v>0</v>
      </c>
      <c r="P1341" s="11">
        <v>0</v>
      </c>
      <c r="Q1341" s="11">
        <v>0</v>
      </c>
      <c r="R1341" s="11">
        <v>4.4882296178272501E-3</v>
      </c>
      <c r="S1341" s="11">
        <v>0</v>
      </c>
      <c r="T1341" s="11">
        <v>0</v>
      </c>
      <c r="U1341">
        <v>3.04201016031394E-3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0</v>
      </c>
      <c r="AL1341">
        <v>0</v>
      </c>
      <c r="AM1341">
        <v>0</v>
      </c>
    </row>
    <row r="1342" spans="1:39" customFormat="1" hidden="1" x14ac:dyDescent="0.3">
      <c r="A1342" t="s">
        <v>232</v>
      </c>
      <c r="B1342" t="s">
        <v>30</v>
      </c>
      <c r="C1342" t="s">
        <v>29</v>
      </c>
      <c r="D1342" t="s">
        <v>28</v>
      </c>
      <c r="E1342" t="s">
        <v>27</v>
      </c>
      <c r="F1342" t="s">
        <v>26</v>
      </c>
      <c r="G1342" t="s">
        <v>25</v>
      </c>
      <c r="H1342" s="16">
        <v>0</v>
      </c>
      <c r="I1342" s="11">
        <v>3.6565745209887401E-3</v>
      </c>
      <c r="J1342" s="11">
        <v>0</v>
      </c>
      <c r="K1342" s="11">
        <v>0</v>
      </c>
      <c r="L1342" s="11">
        <v>0</v>
      </c>
      <c r="M1342" s="11">
        <v>0</v>
      </c>
      <c r="N1342" s="11">
        <v>0</v>
      </c>
      <c r="O1342" s="11">
        <v>0</v>
      </c>
      <c r="P1342" s="11">
        <v>0</v>
      </c>
      <c r="Q1342" s="11">
        <v>0</v>
      </c>
      <c r="R1342" s="11">
        <v>0</v>
      </c>
      <c r="S1342" s="11">
        <v>2.4883049666567102E-3</v>
      </c>
      <c r="T1342" s="11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0</v>
      </c>
      <c r="AL1342">
        <v>0</v>
      </c>
      <c r="AM1342">
        <v>0</v>
      </c>
    </row>
    <row r="1343" spans="1:39" customFormat="1" hidden="1" x14ac:dyDescent="0.3">
      <c r="A1343" t="s">
        <v>231</v>
      </c>
      <c r="B1343" t="s">
        <v>30</v>
      </c>
      <c r="C1343" t="s">
        <v>29</v>
      </c>
      <c r="D1343" t="s">
        <v>28</v>
      </c>
      <c r="E1343" t="s">
        <v>27</v>
      </c>
      <c r="F1343" t="s">
        <v>26</v>
      </c>
      <c r="G1343" t="s">
        <v>25</v>
      </c>
      <c r="H1343" s="16">
        <v>0</v>
      </c>
      <c r="I1343" s="11">
        <v>0</v>
      </c>
      <c r="J1343" s="11">
        <v>0</v>
      </c>
      <c r="K1343" s="11">
        <v>5.6589893045102101E-3</v>
      </c>
      <c r="L1343" s="11">
        <v>0</v>
      </c>
      <c r="M1343" s="11">
        <v>0</v>
      </c>
      <c r="N1343" s="11">
        <v>0</v>
      </c>
      <c r="O1343" s="11">
        <v>0</v>
      </c>
      <c r="P1343" s="11">
        <v>0</v>
      </c>
      <c r="Q1343" s="11">
        <v>0</v>
      </c>
      <c r="R1343" s="11">
        <v>2.2441148089136199E-3</v>
      </c>
      <c r="S1343" s="11">
        <v>0</v>
      </c>
      <c r="T1343" s="11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  <c r="AJ1343">
        <v>0</v>
      </c>
      <c r="AK1343">
        <v>0</v>
      </c>
      <c r="AL1343">
        <v>0</v>
      </c>
      <c r="AM1343">
        <v>0</v>
      </c>
    </row>
    <row r="1344" spans="1:39" customFormat="1" hidden="1" x14ac:dyDescent="0.3">
      <c r="A1344" t="s">
        <v>230</v>
      </c>
      <c r="B1344" t="s">
        <v>30</v>
      </c>
      <c r="C1344" t="s">
        <v>29</v>
      </c>
      <c r="D1344" t="s">
        <v>28</v>
      </c>
      <c r="E1344" t="s">
        <v>27</v>
      </c>
      <c r="F1344" t="s">
        <v>26</v>
      </c>
      <c r="G1344" t="s">
        <v>25</v>
      </c>
      <c r="H1344" s="16">
        <v>0</v>
      </c>
      <c r="I1344" s="11">
        <v>0</v>
      </c>
      <c r="J1344" s="11">
        <v>0</v>
      </c>
      <c r="K1344" s="11">
        <v>0</v>
      </c>
      <c r="L1344" s="11">
        <v>0</v>
      </c>
      <c r="M1344" s="11">
        <v>0</v>
      </c>
      <c r="N1344" s="11">
        <v>0</v>
      </c>
      <c r="O1344" s="11">
        <v>0</v>
      </c>
      <c r="P1344" s="11">
        <v>0</v>
      </c>
      <c r="Q1344" s="11">
        <v>0</v>
      </c>
      <c r="R1344" s="11">
        <v>0</v>
      </c>
      <c r="S1344" s="11">
        <v>2.4883049666567102E-3</v>
      </c>
      <c r="T1344" s="11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0</v>
      </c>
      <c r="AL1344">
        <v>0</v>
      </c>
      <c r="AM1344">
        <v>0</v>
      </c>
    </row>
    <row r="1345" spans="1:39" customFormat="1" hidden="1" x14ac:dyDescent="0.3">
      <c r="A1345" t="s">
        <v>229</v>
      </c>
      <c r="B1345" t="s">
        <v>30</v>
      </c>
      <c r="C1345" t="s">
        <v>29</v>
      </c>
      <c r="D1345" t="s">
        <v>28</v>
      </c>
      <c r="E1345" t="s">
        <v>27</v>
      </c>
      <c r="F1345" t="s">
        <v>26</v>
      </c>
      <c r="G1345" t="s">
        <v>25</v>
      </c>
      <c r="H1345" s="16">
        <v>0</v>
      </c>
      <c r="I1345" s="11">
        <v>0</v>
      </c>
      <c r="J1345" s="11">
        <v>4.3593879419329502E-3</v>
      </c>
      <c r="K1345" s="11">
        <v>0</v>
      </c>
      <c r="L1345" s="11">
        <v>0</v>
      </c>
      <c r="M1345" s="11">
        <v>0</v>
      </c>
      <c r="N1345" s="11">
        <v>0</v>
      </c>
      <c r="O1345" s="11">
        <v>0</v>
      </c>
      <c r="P1345" s="11">
        <v>0</v>
      </c>
      <c r="Q1345" s="11">
        <v>0</v>
      </c>
      <c r="R1345" s="11">
        <v>0</v>
      </c>
      <c r="S1345" s="11">
        <v>0</v>
      </c>
      <c r="T1345" s="11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0</v>
      </c>
      <c r="AL1345">
        <v>0</v>
      </c>
      <c r="AM1345">
        <v>0</v>
      </c>
    </row>
    <row r="1346" spans="1:39" customFormat="1" hidden="1" x14ac:dyDescent="0.3">
      <c r="A1346" t="s">
        <v>228</v>
      </c>
      <c r="B1346" t="s">
        <v>30</v>
      </c>
      <c r="C1346" t="s">
        <v>29</v>
      </c>
      <c r="D1346" t="s">
        <v>28</v>
      </c>
      <c r="E1346" t="s">
        <v>27</v>
      </c>
      <c r="F1346" t="s">
        <v>26</v>
      </c>
      <c r="G1346" t="s">
        <v>25</v>
      </c>
      <c r="H1346" s="16">
        <v>0</v>
      </c>
      <c r="I1346" s="11">
        <v>0</v>
      </c>
      <c r="J1346" s="11">
        <v>0</v>
      </c>
      <c r="K1346" s="11">
        <v>0</v>
      </c>
      <c r="L1346" s="11">
        <v>0</v>
      </c>
      <c r="M1346" s="11">
        <v>3.5488679111363502E-3</v>
      </c>
      <c r="N1346" s="11">
        <v>0</v>
      </c>
      <c r="O1346" s="11">
        <v>0</v>
      </c>
      <c r="P1346" s="11">
        <v>0</v>
      </c>
      <c r="Q1346" s="11">
        <v>0</v>
      </c>
      <c r="R1346" s="11">
        <v>2.2441148089136199E-3</v>
      </c>
      <c r="S1346" s="11">
        <v>0</v>
      </c>
      <c r="T1346" s="11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0</v>
      </c>
      <c r="AJ1346">
        <v>3.5915670006823998E-3</v>
      </c>
      <c r="AK1346">
        <v>0</v>
      </c>
      <c r="AL1346">
        <v>0</v>
      </c>
      <c r="AM1346">
        <v>0</v>
      </c>
    </row>
    <row r="1347" spans="1:39" customFormat="1" hidden="1" x14ac:dyDescent="0.3">
      <c r="A1347" t="s">
        <v>227</v>
      </c>
      <c r="B1347" t="s">
        <v>30</v>
      </c>
      <c r="C1347" t="s">
        <v>29</v>
      </c>
      <c r="D1347" t="s">
        <v>28</v>
      </c>
      <c r="E1347" t="s">
        <v>27</v>
      </c>
      <c r="F1347" t="s">
        <v>26</v>
      </c>
      <c r="G1347" t="s">
        <v>25</v>
      </c>
      <c r="H1347" s="16">
        <v>0</v>
      </c>
      <c r="I1347" s="11">
        <v>3.6565745209887401E-3</v>
      </c>
      <c r="J1347" s="11">
        <v>0</v>
      </c>
      <c r="K1347" s="11">
        <v>0</v>
      </c>
      <c r="L1347" s="11">
        <v>0</v>
      </c>
      <c r="M1347" s="11">
        <v>0</v>
      </c>
      <c r="N1347" s="11">
        <v>0</v>
      </c>
      <c r="O1347" s="11">
        <v>0</v>
      </c>
      <c r="P1347" s="11">
        <v>3.3947788301592198E-3</v>
      </c>
      <c r="Q1347" s="11">
        <v>0</v>
      </c>
      <c r="R1347" s="11">
        <v>0</v>
      </c>
      <c r="S1347" s="11">
        <v>0</v>
      </c>
      <c r="T1347" s="11">
        <v>0</v>
      </c>
      <c r="U1347">
        <v>3.04201016031394E-3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  <c r="AL1347">
        <v>0</v>
      </c>
      <c r="AM1347">
        <v>0</v>
      </c>
    </row>
    <row r="1348" spans="1:39" customFormat="1" hidden="1" x14ac:dyDescent="0.3">
      <c r="A1348" t="s">
        <v>226</v>
      </c>
      <c r="B1348" t="s">
        <v>30</v>
      </c>
      <c r="C1348" t="s">
        <v>29</v>
      </c>
      <c r="D1348" t="s">
        <v>28</v>
      </c>
      <c r="E1348" t="s">
        <v>27</v>
      </c>
      <c r="F1348" t="s">
        <v>26</v>
      </c>
      <c r="G1348" t="s">
        <v>25</v>
      </c>
      <c r="H1348" s="16">
        <v>0</v>
      </c>
      <c r="I1348" s="11">
        <v>0</v>
      </c>
      <c r="J1348" s="11">
        <v>0</v>
      </c>
      <c r="K1348" s="11">
        <v>0</v>
      </c>
      <c r="L1348" s="11">
        <v>0</v>
      </c>
      <c r="M1348" s="11">
        <v>0</v>
      </c>
      <c r="N1348" s="11">
        <v>0</v>
      </c>
      <c r="O1348" s="11">
        <v>0</v>
      </c>
      <c r="P1348" s="11">
        <v>0</v>
      </c>
      <c r="Q1348" s="11">
        <v>0</v>
      </c>
      <c r="R1348" s="11">
        <v>0</v>
      </c>
      <c r="S1348" s="11">
        <v>0</v>
      </c>
      <c r="T1348" s="11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0</v>
      </c>
      <c r="AL1348">
        <v>0</v>
      </c>
      <c r="AM1348">
        <v>0</v>
      </c>
    </row>
    <row r="1349" spans="1:39" customFormat="1" hidden="1" x14ac:dyDescent="0.3">
      <c r="A1349" t="s">
        <v>225</v>
      </c>
      <c r="B1349" t="s">
        <v>30</v>
      </c>
      <c r="C1349" t="s">
        <v>29</v>
      </c>
      <c r="D1349" t="s">
        <v>28</v>
      </c>
      <c r="E1349" t="s">
        <v>27</v>
      </c>
      <c r="F1349" t="s">
        <v>64</v>
      </c>
      <c r="G1349" t="s">
        <v>178</v>
      </c>
      <c r="H1349" s="16">
        <v>0</v>
      </c>
      <c r="I1349" s="11">
        <v>0</v>
      </c>
      <c r="J1349" s="11">
        <v>0</v>
      </c>
      <c r="K1349" s="11">
        <v>0</v>
      </c>
      <c r="L1349" s="11">
        <v>0</v>
      </c>
      <c r="M1349" s="11">
        <v>0</v>
      </c>
      <c r="N1349" s="11">
        <v>0</v>
      </c>
      <c r="O1349" s="11">
        <v>0</v>
      </c>
      <c r="P1349" s="11">
        <v>0</v>
      </c>
      <c r="Q1349" s="11">
        <v>0</v>
      </c>
      <c r="R1349" s="11">
        <v>0</v>
      </c>
      <c r="S1349" s="11">
        <v>0</v>
      </c>
      <c r="T1349" s="11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0</v>
      </c>
      <c r="AL1349">
        <v>0</v>
      </c>
      <c r="AM1349">
        <v>0</v>
      </c>
    </row>
    <row r="1350" spans="1:39" customFormat="1" hidden="1" x14ac:dyDescent="0.3">
      <c r="A1350" t="s">
        <v>224</v>
      </c>
      <c r="B1350" t="s">
        <v>30</v>
      </c>
      <c r="C1350" t="s">
        <v>29</v>
      </c>
      <c r="D1350" t="s">
        <v>28</v>
      </c>
      <c r="E1350" t="s">
        <v>27</v>
      </c>
      <c r="F1350" t="s">
        <v>64</v>
      </c>
      <c r="G1350" t="s">
        <v>223</v>
      </c>
      <c r="H1350" s="16">
        <v>4.1583499667332E-3</v>
      </c>
      <c r="I1350" s="11">
        <v>0</v>
      </c>
      <c r="J1350" s="11">
        <v>0</v>
      </c>
      <c r="K1350" s="11">
        <v>0</v>
      </c>
      <c r="L1350" s="11">
        <v>0</v>
      </c>
      <c r="M1350" s="11">
        <v>0</v>
      </c>
      <c r="N1350" s="11">
        <v>0</v>
      </c>
      <c r="O1350" s="11">
        <v>0</v>
      </c>
      <c r="P1350" s="11">
        <v>0</v>
      </c>
      <c r="Q1350" s="11">
        <v>0</v>
      </c>
      <c r="R1350" s="11">
        <v>0</v>
      </c>
      <c r="S1350" s="11">
        <v>0</v>
      </c>
      <c r="T1350" s="11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0</v>
      </c>
      <c r="AL1350">
        <v>0</v>
      </c>
      <c r="AM1350">
        <v>0</v>
      </c>
    </row>
    <row r="1351" spans="1:39" customFormat="1" hidden="1" x14ac:dyDescent="0.3">
      <c r="A1351" t="s">
        <v>222</v>
      </c>
      <c r="B1351" t="s">
        <v>30</v>
      </c>
      <c r="C1351" t="s">
        <v>29</v>
      </c>
      <c r="D1351" t="s">
        <v>28</v>
      </c>
      <c r="E1351" t="s">
        <v>27</v>
      </c>
      <c r="F1351" t="s">
        <v>26</v>
      </c>
      <c r="G1351" t="s">
        <v>25</v>
      </c>
      <c r="H1351" s="16">
        <v>0</v>
      </c>
      <c r="I1351" s="11">
        <v>0</v>
      </c>
      <c r="J1351" s="11">
        <v>0</v>
      </c>
      <c r="K1351" s="11">
        <v>0</v>
      </c>
      <c r="L1351" s="11">
        <v>0</v>
      </c>
      <c r="M1351" s="11">
        <v>0</v>
      </c>
      <c r="N1351" s="11">
        <v>4.5835816106705798E-3</v>
      </c>
      <c r="O1351" s="11">
        <v>0</v>
      </c>
      <c r="P1351" s="11">
        <v>0</v>
      </c>
      <c r="Q1351" s="11">
        <v>0</v>
      </c>
      <c r="R1351" s="11">
        <v>0</v>
      </c>
      <c r="S1351" s="11">
        <v>0</v>
      </c>
      <c r="T1351" s="1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0</v>
      </c>
      <c r="AL1351">
        <v>0</v>
      </c>
      <c r="AM1351">
        <v>0</v>
      </c>
    </row>
    <row r="1352" spans="1:39" customFormat="1" hidden="1" x14ac:dyDescent="0.3">
      <c r="A1352" t="s">
        <v>221</v>
      </c>
      <c r="B1352" t="s">
        <v>30</v>
      </c>
      <c r="C1352" t="s">
        <v>81</v>
      </c>
      <c r="D1352" t="s">
        <v>118</v>
      </c>
      <c r="E1352" t="s">
        <v>220</v>
      </c>
      <c r="F1352" t="s">
        <v>219</v>
      </c>
      <c r="G1352" t="s">
        <v>218</v>
      </c>
      <c r="H1352" s="16">
        <v>0</v>
      </c>
      <c r="I1352" s="11">
        <v>0</v>
      </c>
      <c r="J1352" s="11">
        <v>0</v>
      </c>
      <c r="K1352" s="11">
        <v>0</v>
      </c>
      <c r="L1352" s="11">
        <v>0</v>
      </c>
      <c r="M1352" s="11">
        <v>0</v>
      </c>
      <c r="N1352" s="11">
        <v>0</v>
      </c>
      <c r="O1352" s="11">
        <v>0</v>
      </c>
      <c r="P1352" s="11">
        <v>0</v>
      </c>
      <c r="Q1352" s="11">
        <v>0</v>
      </c>
      <c r="R1352" s="11">
        <v>0</v>
      </c>
      <c r="S1352" s="11">
        <v>2.4883049666567102E-3</v>
      </c>
      <c r="T1352" s="11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7.1911405148856597E-3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0</v>
      </c>
      <c r="AL1352">
        <v>0</v>
      </c>
      <c r="AM1352">
        <v>0</v>
      </c>
    </row>
    <row r="1353" spans="1:39" customFormat="1" hidden="1" x14ac:dyDescent="0.3">
      <c r="A1353" t="s">
        <v>217</v>
      </c>
      <c r="B1353" t="s">
        <v>30</v>
      </c>
      <c r="C1353" t="s">
        <v>81</v>
      </c>
      <c r="D1353" t="s">
        <v>80</v>
      </c>
      <c r="E1353" t="s">
        <v>212</v>
      </c>
      <c r="F1353" t="s">
        <v>211</v>
      </c>
      <c r="G1353" t="s">
        <v>210</v>
      </c>
      <c r="H1353" s="16">
        <v>0</v>
      </c>
      <c r="I1353" s="11">
        <v>0</v>
      </c>
      <c r="J1353" s="11">
        <v>0</v>
      </c>
      <c r="K1353" s="11">
        <v>0</v>
      </c>
      <c r="L1353" s="11">
        <v>0</v>
      </c>
      <c r="M1353" s="11">
        <v>0</v>
      </c>
      <c r="N1353" s="11">
        <v>0</v>
      </c>
      <c r="O1353" s="11">
        <v>0</v>
      </c>
      <c r="P1353" s="11">
        <v>0</v>
      </c>
      <c r="Q1353" s="11">
        <v>0</v>
      </c>
      <c r="R1353" s="11">
        <v>0</v>
      </c>
      <c r="S1353" s="11">
        <v>0</v>
      </c>
      <c r="T1353" s="11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0</v>
      </c>
      <c r="AE1353">
        <v>0</v>
      </c>
      <c r="AF1353">
        <v>0</v>
      </c>
      <c r="AG1353">
        <v>2.3469220117815501E-3</v>
      </c>
      <c r="AH1353">
        <v>0</v>
      </c>
      <c r="AI1353">
        <v>0</v>
      </c>
      <c r="AJ1353">
        <v>0</v>
      </c>
      <c r="AK1353">
        <v>0</v>
      </c>
      <c r="AL1353">
        <v>0</v>
      </c>
      <c r="AM1353">
        <v>0</v>
      </c>
    </row>
    <row r="1354" spans="1:39" customFormat="1" hidden="1" x14ac:dyDescent="0.3">
      <c r="A1354" t="s">
        <v>216</v>
      </c>
      <c r="B1354" t="s">
        <v>30</v>
      </c>
      <c r="C1354" t="s">
        <v>29</v>
      </c>
      <c r="D1354" t="s">
        <v>28</v>
      </c>
      <c r="E1354" t="s">
        <v>27</v>
      </c>
      <c r="F1354" t="s">
        <v>26</v>
      </c>
      <c r="G1354" t="s">
        <v>25</v>
      </c>
      <c r="H1354" s="16">
        <v>0</v>
      </c>
      <c r="I1354" s="11">
        <v>0</v>
      </c>
      <c r="J1354" s="11">
        <v>0</v>
      </c>
      <c r="K1354" s="11">
        <v>0</v>
      </c>
      <c r="L1354" s="11">
        <v>0</v>
      </c>
      <c r="M1354" s="11">
        <v>0</v>
      </c>
      <c r="N1354" s="11">
        <v>0</v>
      </c>
      <c r="O1354" s="11">
        <v>0</v>
      </c>
      <c r="P1354" s="11">
        <v>6.78955766031843E-3</v>
      </c>
      <c r="Q1354" s="11">
        <v>0</v>
      </c>
      <c r="R1354" s="11">
        <v>0</v>
      </c>
      <c r="S1354" s="11">
        <v>0</v>
      </c>
      <c r="T1354" s="11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0</v>
      </c>
      <c r="AE1354">
        <v>0</v>
      </c>
      <c r="AF1354">
        <v>0</v>
      </c>
      <c r="AG1354">
        <v>0</v>
      </c>
      <c r="AH1354">
        <v>0</v>
      </c>
      <c r="AI1354">
        <v>0</v>
      </c>
      <c r="AJ1354">
        <v>0</v>
      </c>
      <c r="AK1354">
        <v>0</v>
      </c>
      <c r="AL1354">
        <v>0</v>
      </c>
      <c r="AM1354">
        <v>0</v>
      </c>
    </row>
    <row r="1355" spans="1:39" customFormat="1" hidden="1" x14ac:dyDescent="0.3">
      <c r="A1355" t="s">
        <v>215</v>
      </c>
      <c r="B1355" t="s">
        <v>30</v>
      </c>
      <c r="C1355" t="s">
        <v>29</v>
      </c>
      <c r="D1355" t="s">
        <v>28</v>
      </c>
      <c r="E1355" t="s">
        <v>27</v>
      </c>
      <c r="F1355" t="s">
        <v>26</v>
      </c>
      <c r="G1355" t="s">
        <v>25</v>
      </c>
      <c r="H1355" s="16">
        <v>0</v>
      </c>
      <c r="I1355" s="11">
        <v>0</v>
      </c>
      <c r="J1355" s="11">
        <v>0</v>
      </c>
      <c r="K1355" s="11">
        <v>0</v>
      </c>
      <c r="L1355" s="11">
        <v>0</v>
      </c>
      <c r="M1355" s="11">
        <v>3.5488679111363502E-3</v>
      </c>
      <c r="N1355" s="11">
        <v>0</v>
      </c>
      <c r="O1355" s="11">
        <v>0</v>
      </c>
      <c r="P1355" s="11">
        <v>0</v>
      </c>
      <c r="Q1355" s="11">
        <v>0</v>
      </c>
      <c r="R1355" s="11">
        <v>0</v>
      </c>
      <c r="S1355" s="11">
        <v>0</v>
      </c>
      <c r="T1355" s="11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0</v>
      </c>
      <c r="AE1355">
        <v>0</v>
      </c>
      <c r="AF1355">
        <v>0</v>
      </c>
      <c r="AG1355">
        <v>0</v>
      </c>
      <c r="AH1355">
        <v>0</v>
      </c>
      <c r="AI1355">
        <v>0</v>
      </c>
      <c r="AJ1355">
        <v>0</v>
      </c>
      <c r="AK1355">
        <v>0</v>
      </c>
      <c r="AL1355">
        <v>0</v>
      </c>
      <c r="AM1355">
        <v>0</v>
      </c>
    </row>
    <row r="1356" spans="1:39" customFormat="1" hidden="1" x14ac:dyDescent="0.3">
      <c r="A1356" t="s">
        <v>214</v>
      </c>
      <c r="B1356" t="s">
        <v>30</v>
      </c>
      <c r="C1356" t="s">
        <v>29</v>
      </c>
      <c r="D1356" t="s">
        <v>28</v>
      </c>
      <c r="E1356" t="s">
        <v>27</v>
      </c>
      <c r="F1356" t="s">
        <v>67</v>
      </c>
      <c r="G1356" t="s">
        <v>66</v>
      </c>
      <c r="H1356" s="16">
        <v>0</v>
      </c>
      <c r="I1356" s="11">
        <v>0</v>
      </c>
      <c r="J1356" s="11">
        <v>0</v>
      </c>
      <c r="K1356" s="11">
        <v>5.6589893045102101E-3</v>
      </c>
      <c r="L1356" s="11">
        <v>0</v>
      </c>
      <c r="M1356" s="11">
        <v>0</v>
      </c>
      <c r="N1356" s="11">
        <v>0</v>
      </c>
      <c r="O1356" s="11">
        <v>0</v>
      </c>
      <c r="P1356" s="11">
        <v>0</v>
      </c>
      <c r="Q1356" s="11">
        <v>0</v>
      </c>
      <c r="R1356" s="11">
        <v>0</v>
      </c>
      <c r="S1356" s="11">
        <v>2.4883049666567102E-3</v>
      </c>
      <c r="T1356" s="11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6.3548551093035102E-3</v>
      </c>
      <c r="AA1356">
        <v>0</v>
      </c>
      <c r="AB1356">
        <v>0</v>
      </c>
      <c r="AC1356">
        <v>0</v>
      </c>
      <c r="AD1356">
        <v>0</v>
      </c>
      <c r="AE1356">
        <v>0</v>
      </c>
      <c r="AF1356">
        <v>0</v>
      </c>
      <c r="AG1356">
        <v>0</v>
      </c>
      <c r="AH1356">
        <v>0</v>
      </c>
      <c r="AI1356">
        <v>0</v>
      </c>
      <c r="AJ1356">
        <v>0</v>
      </c>
      <c r="AK1356">
        <v>0</v>
      </c>
      <c r="AL1356">
        <v>0</v>
      </c>
      <c r="AM1356">
        <v>0</v>
      </c>
    </row>
    <row r="1357" spans="1:39" customFormat="1" hidden="1" x14ac:dyDescent="0.3">
      <c r="A1357" t="s">
        <v>213</v>
      </c>
      <c r="B1357" t="s">
        <v>30</v>
      </c>
      <c r="C1357" t="s">
        <v>81</v>
      </c>
      <c r="D1357" t="s">
        <v>80</v>
      </c>
      <c r="E1357" t="s">
        <v>212</v>
      </c>
      <c r="F1357" t="s">
        <v>211</v>
      </c>
      <c r="G1357" t="s">
        <v>210</v>
      </c>
      <c r="H1357" s="16">
        <v>0</v>
      </c>
      <c r="I1357" s="11">
        <v>0</v>
      </c>
      <c r="J1357" s="11">
        <v>0</v>
      </c>
      <c r="K1357" s="11">
        <v>0</v>
      </c>
      <c r="L1357" s="11">
        <v>0</v>
      </c>
      <c r="M1357" s="11">
        <v>0</v>
      </c>
      <c r="N1357" s="11">
        <v>0</v>
      </c>
      <c r="O1357" s="11">
        <v>0</v>
      </c>
      <c r="P1357" s="11">
        <v>0</v>
      </c>
      <c r="Q1357" s="11">
        <v>0</v>
      </c>
      <c r="R1357" s="11">
        <v>0</v>
      </c>
      <c r="S1357" s="11">
        <v>0</v>
      </c>
      <c r="T1357" s="11">
        <v>0</v>
      </c>
      <c r="U1357">
        <v>0</v>
      </c>
      <c r="V1357">
        <v>0</v>
      </c>
      <c r="W1357">
        <v>0</v>
      </c>
      <c r="X1357">
        <v>0</v>
      </c>
      <c r="Y1357">
        <v>5.8529162155043701E-3</v>
      </c>
      <c r="Z1357">
        <v>0</v>
      </c>
      <c r="AA1357">
        <v>0</v>
      </c>
      <c r="AB1357">
        <v>0</v>
      </c>
      <c r="AC1357">
        <v>0</v>
      </c>
      <c r="AD1357">
        <v>0</v>
      </c>
      <c r="AE1357">
        <v>0</v>
      </c>
      <c r="AF1357">
        <v>0</v>
      </c>
      <c r="AG1357">
        <v>0</v>
      </c>
      <c r="AH1357">
        <v>0</v>
      </c>
      <c r="AI1357">
        <v>0</v>
      </c>
      <c r="AJ1357">
        <v>0</v>
      </c>
      <c r="AK1357">
        <v>0</v>
      </c>
      <c r="AL1357">
        <v>0</v>
      </c>
      <c r="AM1357">
        <v>0</v>
      </c>
    </row>
    <row r="1358" spans="1:39" customFormat="1" hidden="1" x14ac:dyDescent="0.3">
      <c r="A1358" t="s">
        <v>209</v>
      </c>
      <c r="B1358" t="s">
        <v>30</v>
      </c>
      <c r="C1358" t="s">
        <v>29</v>
      </c>
      <c r="D1358" t="s">
        <v>28</v>
      </c>
      <c r="E1358" t="s">
        <v>27</v>
      </c>
      <c r="F1358" t="s">
        <v>26</v>
      </c>
      <c r="G1358" t="s">
        <v>25</v>
      </c>
      <c r="H1358" s="16">
        <v>0</v>
      </c>
      <c r="I1358" s="11">
        <v>0</v>
      </c>
      <c r="J1358" s="11">
        <v>4.3593879419329502E-3</v>
      </c>
      <c r="K1358" s="11">
        <v>0</v>
      </c>
      <c r="L1358" s="11">
        <v>0</v>
      </c>
      <c r="M1358" s="11">
        <v>0</v>
      </c>
      <c r="N1358" s="11">
        <v>0</v>
      </c>
      <c r="O1358" s="11">
        <v>0</v>
      </c>
      <c r="P1358" s="11">
        <v>0</v>
      </c>
      <c r="Q1358" s="11">
        <v>0</v>
      </c>
      <c r="R1358" s="11">
        <v>2.2441148089136199E-3</v>
      </c>
      <c r="S1358" s="11">
        <v>0</v>
      </c>
      <c r="T1358" s="11">
        <v>0</v>
      </c>
      <c r="U1358">
        <v>0</v>
      </c>
      <c r="V1358">
        <v>0</v>
      </c>
      <c r="W1358">
        <v>2.6668088964744798E-3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0</v>
      </c>
      <c r="AE1358">
        <v>0</v>
      </c>
      <c r="AF1358">
        <v>0</v>
      </c>
      <c r="AG1358">
        <v>0</v>
      </c>
      <c r="AH1358">
        <v>0</v>
      </c>
      <c r="AI1358">
        <v>0</v>
      </c>
      <c r="AJ1358">
        <v>0</v>
      </c>
      <c r="AK1358">
        <v>0</v>
      </c>
      <c r="AL1358">
        <v>0</v>
      </c>
      <c r="AM1358">
        <v>0</v>
      </c>
    </row>
    <row r="1359" spans="1:39" customFormat="1" hidden="1" x14ac:dyDescent="0.3">
      <c r="A1359" t="s">
        <v>208</v>
      </c>
      <c r="B1359" t="s">
        <v>30</v>
      </c>
      <c r="C1359" t="s">
        <v>35</v>
      </c>
      <c r="D1359" t="s">
        <v>35</v>
      </c>
      <c r="E1359" t="s">
        <v>34</v>
      </c>
      <c r="F1359" t="s">
        <v>33</v>
      </c>
      <c r="G1359" t="s">
        <v>50</v>
      </c>
      <c r="H1359" s="16">
        <v>0</v>
      </c>
      <c r="I1359" s="11">
        <v>0</v>
      </c>
      <c r="J1359" s="11">
        <v>0</v>
      </c>
      <c r="K1359" s="11">
        <v>0</v>
      </c>
      <c r="L1359" s="11">
        <v>0</v>
      </c>
      <c r="M1359" s="11">
        <v>0</v>
      </c>
      <c r="N1359" s="11">
        <v>0</v>
      </c>
      <c r="O1359" s="11">
        <v>0</v>
      </c>
      <c r="P1359" s="11">
        <v>0</v>
      </c>
      <c r="Q1359" s="11">
        <v>0</v>
      </c>
      <c r="R1359" s="11">
        <v>2.2441148089136199E-3</v>
      </c>
      <c r="S1359" s="11">
        <v>0</v>
      </c>
      <c r="T1359" s="11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3.1774275546517499E-3</v>
      </c>
      <c r="AA1359">
        <v>0</v>
      </c>
      <c r="AB1359">
        <v>0</v>
      </c>
      <c r="AC1359">
        <v>0</v>
      </c>
      <c r="AD1359">
        <v>0</v>
      </c>
      <c r="AE1359">
        <v>0</v>
      </c>
      <c r="AF1359">
        <v>0</v>
      </c>
      <c r="AG1359">
        <v>0</v>
      </c>
      <c r="AH1359">
        <v>0</v>
      </c>
      <c r="AI1359">
        <v>0</v>
      </c>
      <c r="AJ1359">
        <v>0</v>
      </c>
      <c r="AK1359">
        <v>0</v>
      </c>
      <c r="AL1359">
        <v>0</v>
      </c>
      <c r="AM1359">
        <v>0</v>
      </c>
    </row>
    <row r="1360" spans="1:39" customFormat="1" hidden="1" x14ac:dyDescent="0.3">
      <c r="A1360" t="s">
        <v>207</v>
      </c>
      <c r="B1360" t="s">
        <v>30</v>
      </c>
      <c r="C1360" t="s">
        <v>111</v>
      </c>
      <c r="D1360" t="s">
        <v>141</v>
      </c>
      <c r="E1360" t="s">
        <v>140</v>
      </c>
      <c r="F1360" t="s">
        <v>206</v>
      </c>
      <c r="G1360" t="s">
        <v>205</v>
      </c>
      <c r="H1360" s="16">
        <v>0</v>
      </c>
      <c r="I1360" s="11">
        <v>0</v>
      </c>
      <c r="J1360" s="11">
        <v>0</v>
      </c>
      <c r="K1360" s="11">
        <v>0</v>
      </c>
      <c r="L1360" s="11">
        <v>0</v>
      </c>
      <c r="M1360" s="11">
        <v>0</v>
      </c>
      <c r="N1360" s="11">
        <v>0</v>
      </c>
      <c r="O1360" s="11">
        <v>0</v>
      </c>
      <c r="P1360" s="11">
        <v>0</v>
      </c>
      <c r="Q1360" s="11">
        <v>2.7492920572952501E-3</v>
      </c>
      <c r="R1360" s="11">
        <v>0</v>
      </c>
      <c r="S1360" s="11">
        <v>2.4883049666567102E-3</v>
      </c>
      <c r="T1360" s="11">
        <v>0</v>
      </c>
      <c r="U1360">
        <v>3.04201016031394E-3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0</v>
      </c>
      <c r="AE1360">
        <v>0</v>
      </c>
      <c r="AF1360">
        <v>0</v>
      </c>
      <c r="AG1360">
        <v>0</v>
      </c>
      <c r="AH1360">
        <v>0</v>
      </c>
      <c r="AI1360">
        <v>0</v>
      </c>
      <c r="AJ1360">
        <v>0</v>
      </c>
      <c r="AK1360">
        <v>0</v>
      </c>
      <c r="AL1360">
        <v>0</v>
      </c>
      <c r="AM1360">
        <v>0</v>
      </c>
    </row>
    <row r="1361" spans="1:39" customFormat="1" hidden="1" x14ac:dyDescent="0.3">
      <c r="A1361" t="s">
        <v>203</v>
      </c>
      <c r="B1361" t="s">
        <v>30</v>
      </c>
      <c r="C1361" t="s">
        <v>29</v>
      </c>
      <c r="D1361" t="s">
        <v>28</v>
      </c>
      <c r="E1361" t="s">
        <v>27</v>
      </c>
      <c r="F1361" t="s">
        <v>160</v>
      </c>
      <c r="G1361" t="s">
        <v>25</v>
      </c>
      <c r="H1361" s="16">
        <v>0</v>
      </c>
      <c r="I1361" s="11">
        <v>0</v>
      </c>
      <c r="J1361" s="11">
        <v>0</v>
      </c>
      <c r="K1361" s="11">
        <v>0</v>
      </c>
      <c r="L1361" s="11">
        <v>0</v>
      </c>
      <c r="M1361" s="11">
        <v>0</v>
      </c>
      <c r="N1361" s="11">
        <v>0</v>
      </c>
      <c r="O1361" s="11">
        <v>0</v>
      </c>
      <c r="P1361" s="11">
        <v>0</v>
      </c>
      <c r="Q1361" s="11">
        <v>0</v>
      </c>
      <c r="R1361" s="11">
        <v>0</v>
      </c>
      <c r="S1361" s="11">
        <v>0</v>
      </c>
      <c r="T1361" s="1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0</v>
      </c>
      <c r="AE1361">
        <v>0</v>
      </c>
      <c r="AF1361">
        <v>0</v>
      </c>
      <c r="AG1361">
        <v>0</v>
      </c>
      <c r="AH1361">
        <v>0</v>
      </c>
      <c r="AI1361">
        <v>0</v>
      </c>
      <c r="AJ1361">
        <v>0</v>
      </c>
      <c r="AK1361">
        <v>0</v>
      </c>
      <c r="AL1361">
        <v>0</v>
      </c>
      <c r="AM1361">
        <v>0</v>
      </c>
    </row>
    <row r="1362" spans="1:39" customFormat="1" hidden="1" x14ac:dyDescent="0.3">
      <c r="A1362" t="s">
        <v>201</v>
      </c>
      <c r="B1362" t="s">
        <v>30</v>
      </c>
      <c r="C1362" t="s">
        <v>29</v>
      </c>
      <c r="D1362" t="s">
        <v>28</v>
      </c>
      <c r="E1362" t="s">
        <v>27</v>
      </c>
      <c r="F1362" t="s">
        <v>26</v>
      </c>
      <c r="G1362" t="s">
        <v>25</v>
      </c>
      <c r="H1362" s="16">
        <v>0</v>
      </c>
      <c r="I1362" s="11">
        <v>0</v>
      </c>
      <c r="J1362" s="11">
        <v>0</v>
      </c>
      <c r="K1362" s="11">
        <v>0</v>
      </c>
      <c r="L1362" s="11">
        <v>0</v>
      </c>
      <c r="M1362" s="11">
        <v>0</v>
      </c>
      <c r="N1362" s="11">
        <v>0</v>
      </c>
      <c r="O1362" s="11">
        <v>0</v>
      </c>
      <c r="P1362" s="11">
        <v>3.3947788301592198E-3</v>
      </c>
      <c r="Q1362" s="11">
        <v>0</v>
      </c>
      <c r="R1362" s="11">
        <v>0</v>
      </c>
      <c r="S1362" s="11">
        <v>0</v>
      </c>
      <c r="T1362" s="11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</v>
      </c>
      <c r="AE1362">
        <v>0</v>
      </c>
      <c r="AF1362">
        <v>0</v>
      </c>
      <c r="AG1362">
        <v>0</v>
      </c>
      <c r="AH1362">
        <v>0</v>
      </c>
      <c r="AI1362">
        <v>0</v>
      </c>
      <c r="AJ1362">
        <v>0</v>
      </c>
      <c r="AK1362">
        <v>0</v>
      </c>
      <c r="AL1362">
        <v>0</v>
      </c>
      <c r="AM1362">
        <v>0</v>
      </c>
    </row>
    <row r="1363" spans="1:39" customFormat="1" hidden="1" x14ac:dyDescent="0.3">
      <c r="A1363" t="s">
        <v>200</v>
      </c>
      <c r="B1363" t="s">
        <v>30</v>
      </c>
      <c r="C1363" t="s">
        <v>111</v>
      </c>
      <c r="D1363" t="s">
        <v>141</v>
      </c>
      <c r="E1363" t="s">
        <v>140</v>
      </c>
      <c r="F1363" t="s">
        <v>199</v>
      </c>
      <c r="G1363" t="s">
        <v>198</v>
      </c>
      <c r="H1363" s="16">
        <v>0</v>
      </c>
      <c r="I1363" s="11">
        <v>0</v>
      </c>
      <c r="J1363" s="11">
        <v>0</v>
      </c>
      <c r="K1363" s="11">
        <v>0</v>
      </c>
      <c r="L1363" s="11">
        <v>0</v>
      </c>
      <c r="M1363" s="11">
        <v>0</v>
      </c>
      <c r="N1363" s="11">
        <v>0</v>
      </c>
      <c r="O1363" s="11">
        <v>0</v>
      </c>
      <c r="P1363" s="11">
        <v>0</v>
      </c>
      <c r="Q1363" s="11">
        <v>0</v>
      </c>
      <c r="R1363" s="11">
        <v>0</v>
      </c>
      <c r="S1363" s="11">
        <v>0</v>
      </c>
      <c r="T1363" s="11">
        <v>0</v>
      </c>
      <c r="U1363">
        <v>0</v>
      </c>
      <c r="V1363">
        <v>0</v>
      </c>
      <c r="W1363">
        <v>2.6668088964744798E-3</v>
      </c>
      <c r="X1363">
        <v>6.4242579982012101E-3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0</v>
      </c>
      <c r="AL1363">
        <v>0</v>
      </c>
      <c r="AM1363">
        <v>0</v>
      </c>
    </row>
    <row r="1364" spans="1:39" customFormat="1" hidden="1" x14ac:dyDescent="0.3">
      <c r="A1364" t="s">
        <v>197</v>
      </c>
      <c r="B1364" t="s">
        <v>30</v>
      </c>
      <c r="C1364" t="s">
        <v>29</v>
      </c>
      <c r="D1364" t="s">
        <v>28</v>
      </c>
      <c r="E1364" t="s">
        <v>27</v>
      </c>
      <c r="F1364" t="s">
        <v>67</v>
      </c>
      <c r="G1364" t="s">
        <v>66</v>
      </c>
      <c r="H1364" s="16">
        <v>0</v>
      </c>
      <c r="I1364" s="11">
        <v>0</v>
      </c>
      <c r="J1364" s="11">
        <v>0</v>
      </c>
      <c r="K1364" s="11">
        <v>0</v>
      </c>
      <c r="L1364" s="11">
        <v>0</v>
      </c>
      <c r="M1364" s="11">
        <v>0</v>
      </c>
      <c r="N1364" s="11">
        <v>0</v>
      </c>
      <c r="O1364" s="11">
        <v>0</v>
      </c>
      <c r="P1364" s="11">
        <v>0</v>
      </c>
      <c r="Q1364" s="11">
        <v>0</v>
      </c>
      <c r="R1364" s="11">
        <v>0</v>
      </c>
      <c r="S1364" s="11">
        <v>0</v>
      </c>
      <c r="T1364" s="11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0</v>
      </c>
      <c r="AL1364">
        <v>0</v>
      </c>
      <c r="AM1364">
        <v>0</v>
      </c>
    </row>
    <row r="1365" spans="1:39" customFormat="1" hidden="1" x14ac:dyDescent="0.3">
      <c r="A1365" t="s">
        <v>196</v>
      </c>
      <c r="B1365" t="s">
        <v>30</v>
      </c>
      <c r="C1365" t="s">
        <v>29</v>
      </c>
      <c r="D1365" t="s">
        <v>28</v>
      </c>
      <c r="E1365" t="s">
        <v>27</v>
      </c>
      <c r="F1365" t="s">
        <v>64</v>
      </c>
      <c r="G1365" t="s">
        <v>178</v>
      </c>
      <c r="H1365" s="16">
        <v>0</v>
      </c>
      <c r="I1365" s="11">
        <v>0</v>
      </c>
      <c r="J1365" s="11">
        <v>0</v>
      </c>
      <c r="K1365" s="11">
        <v>0</v>
      </c>
      <c r="L1365" s="11">
        <v>0</v>
      </c>
      <c r="M1365" s="11">
        <v>0</v>
      </c>
      <c r="N1365" s="11">
        <v>0</v>
      </c>
      <c r="O1365" s="11">
        <v>0</v>
      </c>
      <c r="P1365" s="11">
        <v>0</v>
      </c>
      <c r="Q1365" s="11">
        <v>0</v>
      </c>
      <c r="R1365" s="11">
        <v>0</v>
      </c>
      <c r="S1365" s="11">
        <v>0</v>
      </c>
      <c r="T1365" s="11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</v>
      </c>
      <c r="AL1365">
        <v>3.5844863431070302E-3</v>
      </c>
      <c r="AM1365">
        <v>0</v>
      </c>
    </row>
    <row r="1366" spans="1:39" customFormat="1" hidden="1" x14ac:dyDescent="0.3">
      <c r="A1366" t="s">
        <v>195</v>
      </c>
      <c r="B1366" t="s">
        <v>30</v>
      </c>
      <c r="C1366" t="s">
        <v>29</v>
      </c>
      <c r="D1366" t="s">
        <v>28</v>
      </c>
      <c r="E1366" t="s">
        <v>27</v>
      </c>
      <c r="F1366" t="s">
        <v>26</v>
      </c>
      <c r="G1366" t="s">
        <v>25</v>
      </c>
      <c r="H1366" s="16">
        <v>0</v>
      </c>
      <c r="I1366" s="11">
        <v>0</v>
      </c>
      <c r="J1366" s="11">
        <v>0</v>
      </c>
      <c r="K1366" s="11">
        <v>0</v>
      </c>
      <c r="L1366" s="11">
        <v>0</v>
      </c>
      <c r="M1366" s="11">
        <v>0</v>
      </c>
      <c r="N1366" s="11">
        <v>0</v>
      </c>
      <c r="O1366" s="11">
        <v>0</v>
      </c>
      <c r="P1366" s="11">
        <v>0</v>
      </c>
      <c r="Q1366" s="11">
        <v>0</v>
      </c>
      <c r="R1366" s="11">
        <v>0</v>
      </c>
      <c r="S1366" s="11">
        <v>2.4883049666567102E-3</v>
      </c>
      <c r="T1366" s="11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>
        <v>0</v>
      </c>
      <c r="AM1366">
        <v>0</v>
      </c>
    </row>
    <row r="1367" spans="1:39" customFormat="1" hidden="1" x14ac:dyDescent="0.3">
      <c r="A1367" t="s">
        <v>193</v>
      </c>
      <c r="B1367" t="s">
        <v>30</v>
      </c>
      <c r="C1367" t="s">
        <v>35</v>
      </c>
      <c r="D1367" t="s">
        <v>35</v>
      </c>
      <c r="E1367" t="s">
        <v>34</v>
      </c>
      <c r="F1367" t="s">
        <v>33</v>
      </c>
      <c r="G1367" t="s">
        <v>50</v>
      </c>
      <c r="H1367" s="16">
        <v>0</v>
      </c>
      <c r="I1367" s="11">
        <v>0</v>
      </c>
      <c r="J1367" s="11">
        <v>0</v>
      </c>
      <c r="K1367" s="11">
        <v>0</v>
      </c>
      <c r="L1367" s="11">
        <v>0</v>
      </c>
      <c r="M1367" s="11">
        <v>0</v>
      </c>
      <c r="N1367" s="11">
        <v>0</v>
      </c>
      <c r="O1367" s="11">
        <v>0</v>
      </c>
      <c r="P1367" s="11">
        <v>0</v>
      </c>
      <c r="Q1367" s="11">
        <v>2.7492920572952501E-3</v>
      </c>
      <c r="R1367" s="11">
        <v>2.2441148089136199E-3</v>
      </c>
      <c r="S1367" s="11">
        <v>0</v>
      </c>
      <c r="T1367" s="11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3.1774275546517499E-3</v>
      </c>
      <c r="AA1367">
        <v>0</v>
      </c>
      <c r="AB1367">
        <v>0</v>
      </c>
      <c r="AC1367">
        <v>0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0</v>
      </c>
      <c r="AL1367">
        <v>0</v>
      </c>
      <c r="AM1367">
        <v>0</v>
      </c>
    </row>
    <row r="1368" spans="1:39" customFormat="1" hidden="1" x14ac:dyDescent="0.3">
      <c r="A1368" t="s">
        <v>192</v>
      </c>
      <c r="B1368" t="s">
        <v>30</v>
      </c>
      <c r="C1368" t="s">
        <v>35</v>
      </c>
      <c r="D1368" t="s">
        <v>35</v>
      </c>
      <c r="E1368" t="s">
        <v>34</v>
      </c>
      <c r="F1368" t="s">
        <v>33</v>
      </c>
      <c r="G1368" t="s">
        <v>50</v>
      </c>
      <c r="H1368" s="16">
        <v>0</v>
      </c>
      <c r="I1368" s="11">
        <v>0</v>
      </c>
      <c r="J1368" s="11">
        <v>0</v>
      </c>
      <c r="K1368" s="11">
        <v>0</v>
      </c>
      <c r="L1368" s="11">
        <v>0</v>
      </c>
      <c r="M1368" s="11">
        <v>0</v>
      </c>
      <c r="N1368" s="11">
        <v>0</v>
      </c>
      <c r="O1368" s="11">
        <v>3.75023438964935E-3</v>
      </c>
      <c r="P1368" s="11">
        <v>0</v>
      </c>
      <c r="Q1368" s="11">
        <v>0</v>
      </c>
      <c r="R1368" s="11">
        <v>0</v>
      </c>
      <c r="S1368" s="11">
        <v>0</v>
      </c>
      <c r="T1368" s="11">
        <v>0</v>
      </c>
      <c r="U1368">
        <v>0</v>
      </c>
      <c r="V1368">
        <v>0</v>
      </c>
      <c r="W1368">
        <v>2.6668088964744798E-3</v>
      </c>
      <c r="X1368">
        <v>0</v>
      </c>
      <c r="Y1368">
        <v>0</v>
      </c>
      <c r="Z1368">
        <v>3.1774275546517499E-3</v>
      </c>
      <c r="AA1368">
        <v>0</v>
      </c>
      <c r="AB1368">
        <v>0</v>
      </c>
      <c r="AC1368">
        <v>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0</v>
      </c>
      <c r="AL1368">
        <v>0</v>
      </c>
      <c r="AM1368">
        <v>0</v>
      </c>
    </row>
    <row r="1369" spans="1:39" customFormat="1" hidden="1" x14ac:dyDescent="0.3">
      <c r="A1369" t="s">
        <v>191</v>
      </c>
      <c r="B1369" t="s">
        <v>30</v>
      </c>
      <c r="C1369" t="s">
        <v>81</v>
      </c>
      <c r="D1369" t="s">
        <v>118</v>
      </c>
      <c r="E1369" t="s">
        <v>190</v>
      </c>
      <c r="F1369" t="s">
        <v>189</v>
      </c>
      <c r="G1369" t="s">
        <v>188</v>
      </c>
      <c r="H1369" s="16">
        <v>0</v>
      </c>
      <c r="I1369" s="11">
        <v>0</v>
      </c>
      <c r="J1369" s="11">
        <v>0</v>
      </c>
      <c r="K1369" s="11">
        <v>0</v>
      </c>
      <c r="L1369" s="11">
        <v>0</v>
      </c>
      <c r="M1369" s="11">
        <v>0</v>
      </c>
      <c r="N1369" s="11">
        <v>0</v>
      </c>
      <c r="O1369" s="11">
        <v>0</v>
      </c>
      <c r="P1369" s="11">
        <v>0</v>
      </c>
      <c r="Q1369" s="11">
        <v>5.4985841145904898E-3</v>
      </c>
      <c r="R1369" s="11">
        <v>0</v>
      </c>
      <c r="S1369" s="11">
        <v>0</v>
      </c>
      <c r="T1369" s="11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6.2912865681031801E-3</v>
      </c>
      <c r="AE1369">
        <v>0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0</v>
      </c>
      <c r="AL1369">
        <v>0</v>
      </c>
      <c r="AM1369">
        <v>0</v>
      </c>
    </row>
    <row r="1370" spans="1:39" customFormat="1" hidden="1" x14ac:dyDescent="0.3">
      <c r="A1370" t="s">
        <v>187</v>
      </c>
      <c r="B1370" t="s">
        <v>30</v>
      </c>
      <c r="C1370" t="s">
        <v>41</v>
      </c>
      <c r="D1370" t="s">
        <v>41</v>
      </c>
      <c r="E1370" t="s">
        <v>41</v>
      </c>
      <c r="F1370" t="s">
        <v>41</v>
      </c>
      <c r="G1370" t="s">
        <v>41</v>
      </c>
      <c r="H1370" s="16">
        <v>0</v>
      </c>
      <c r="I1370" s="11">
        <v>0</v>
      </c>
      <c r="J1370" s="11">
        <v>0</v>
      </c>
      <c r="K1370" s="11">
        <v>0</v>
      </c>
      <c r="L1370" s="11">
        <v>0</v>
      </c>
      <c r="M1370" s="11">
        <v>0</v>
      </c>
      <c r="N1370" s="11">
        <v>0</v>
      </c>
      <c r="O1370" s="11">
        <v>0</v>
      </c>
      <c r="P1370" s="11">
        <v>0</v>
      </c>
      <c r="Q1370" s="11">
        <v>0</v>
      </c>
      <c r="R1370" s="11">
        <v>0</v>
      </c>
      <c r="S1370" s="11">
        <v>0</v>
      </c>
      <c r="T1370" s="11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0</v>
      </c>
      <c r="AE1370">
        <v>0</v>
      </c>
      <c r="AF1370">
        <v>1.0067451927917E-2</v>
      </c>
      <c r="AG1370">
        <v>0</v>
      </c>
      <c r="AH1370">
        <v>0</v>
      </c>
      <c r="AI1370">
        <v>0</v>
      </c>
      <c r="AJ1370">
        <v>0</v>
      </c>
      <c r="AK1370">
        <v>0</v>
      </c>
      <c r="AL1370">
        <v>0</v>
      </c>
      <c r="AM1370">
        <v>0</v>
      </c>
    </row>
    <row r="1371" spans="1:39" customFormat="1" hidden="1" x14ac:dyDescent="0.3">
      <c r="A1371" t="s">
        <v>186</v>
      </c>
      <c r="B1371" t="s">
        <v>30</v>
      </c>
      <c r="C1371" t="s">
        <v>41</v>
      </c>
      <c r="D1371" t="s">
        <v>41</v>
      </c>
      <c r="E1371" t="s">
        <v>41</v>
      </c>
      <c r="F1371" t="s">
        <v>41</v>
      </c>
      <c r="G1371" t="s">
        <v>41</v>
      </c>
      <c r="H1371" s="16">
        <v>0</v>
      </c>
      <c r="I1371" s="11">
        <v>0</v>
      </c>
      <c r="J1371" s="11">
        <v>0</v>
      </c>
      <c r="K1371" s="11">
        <v>0</v>
      </c>
      <c r="L1371" s="11">
        <v>0</v>
      </c>
      <c r="M1371" s="11">
        <v>0</v>
      </c>
      <c r="N1371" s="11">
        <v>0</v>
      </c>
      <c r="O1371" s="11">
        <v>0</v>
      </c>
      <c r="P1371" s="11">
        <v>0</v>
      </c>
      <c r="Q1371" s="11">
        <v>0</v>
      </c>
      <c r="R1371" s="11">
        <v>0</v>
      </c>
      <c r="S1371" s="11">
        <v>0</v>
      </c>
      <c r="T1371" s="1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6.02700096432015E-3</v>
      </c>
      <c r="AL1371">
        <v>0</v>
      </c>
      <c r="AM1371">
        <v>0</v>
      </c>
    </row>
    <row r="1372" spans="1:39" customFormat="1" hidden="1" x14ac:dyDescent="0.3">
      <c r="A1372" t="s">
        <v>185</v>
      </c>
      <c r="B1372" t="s">
        <v>30</v>
      </c>
      <c r="C1372" t="s">
        <v>41</v>
      </c>
      <c r="D1372" t="s">
        <v>41</v>
      </c>
      <c r="E1372" t="s">
        <v>41</v>
      </c>
      <c r="F1372" t="s">
        <v>41</v>
      </c>
      <c r="G1372" t="s">
        <v>41</v>
      </c>
      <c r="H1372" s="16">
        <v>0</v>
      </c>
      <c r="I1372" s="11">
        <v>0</v>
      </c>
      <c r="J1372" s="11">
        <v>0</v>
      </c>
      <c r="K1372" s="11">
        <v>0</v>
      </c>
      <c r="L1372" s="11">
        <v>0</v>
      </c>
      <c r="M1372" s="11">
        <v>0</v>
      </c>
      <c r="N1372" s="11">
        <v>0</v>
      </c>
      <c r="O1372" s="11">
        <v>0</v>
      </c>
      <c r="P1372" s="11">
        <v>0</v>
      </c>
      <c r="Q1372" s="11">
        <v>0</v>
      </c>
      <c r="R1372" s="11">
        <v>0</v>
      </c>
      <c r="S1372" s="11">
        <v>0</v>
      </c>
      <c r="T1372" s="11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  <c r="AL1372">
        <v>0</v>
      </c>
      <c r="AM1372">
        <v>0</v>
      </c>
    </row>
    <row r="1373" spans="1:39" customFormat="1" hidden="1" x14ac:dyDescent="0.3">
      <c r="A1373" t="s">
        <v>183</v>
      </c>
      <c r="B1373" t="s">
        <v>30</v>
      </c>
      <c r="C1373" t="s">
        <v>41</v>
      </c>
      <c r="D1373" t="s">
        <v>41</v>
      </c>
      <c r="E1373" t="s">
        <v>41</v>
      </c>
      <c r="F1373" t="s">
        <v>41</v>
      </c>
      <c r="G1373" t="s">
        <v>41</v>
      </c>
      <c r="H1373" s="16">
        <v>0</v>
      </c>
      <c r="I1373" s="11">
        <v>0</v>
      </c>
      <c r="J1373" s="11">
        <v>0</v>
      </c>
      <c r="K1373" s="11">
        <v>0</v>
      </c>
      <c r="L1373" s="11">
        <v>0</v>
      </c>
      <c r="M1373" s="11">
        <v>0</v>
      </c>
      <c r="N1373" s="11">
        <v>0</v>
      </c>
      <c r="O1373" s="11">
        <v>0</v>
      </c>
      <c r="P1373" s="11">
        <v>0</v>
      </c>
      <c r="Q1373" s="11">
        <v>0</v>
      </c>
      <c r="R1373" s="11">
        <v>0</v>
      </c>
      <c r="S1373" s="11">
        <v>0</v>
      </c>
      <c r="T1373" s="11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0</v>
      </c>
      <c r="AL1373">
        <v>0</v>
      </c>
      <c r="AM1373">
        <v>0</v>
      </c>
    </row>
    <row r="1374" spans="1:39" customFormat="1" hidden="1" x14ac:dyDescent="0.3">
      <c r="A1374" t="s">
        <v>182</v>
      </c>
      <c r="B1374" t="s">
        <v>30</v>
      </c>
      <c r="C1374" t="s">
        <v>41</v>
      </c>
      <c r="D1374" t="s">
        <v>41</v>
      </c>
      <c r="E1374" t="s">
        <v>41</v>
      </c>
      <c r="F1374" t="s">
        <v>41</v>
      </c>
      <c r="G1374" t="s">
        <v>41</v>
      </c>
      <c r="H1374" s="16">
        <v>0</v>
      </c>
      <c r="I1374" s="11">
        <v>0</v>
      </c>
      <c r="J1374" s="11">
        <v>0</v>
      </c>
      <c r="K1374" s="11">
        <v>0</v>
      </c>
      <c r="L1374" s="11">
        <v>0</v>
      </c>
      <c r="M1374" s="11">
        <v>0</v>
      </c>
      <c r="N1374" s="11">
        <v>0</v>
      </c>
      <c r="O1374" s="11">
        <v>0</v>
      </c>
      <c r="P1374" s="11">
        <v>0</v>
      </c>
      <c r="Q1374" s="11">
        <v>2.7492920572952501E-3</v>
      </c>
      <c r="R1374" s="11">
        <v>0</v>
      </c>
      <c r="S1374" s="11">
        <v>2.4883049666567102E-3</v>
      </c>
      <c r="T1374" s="11">
        <v>0</v>
      </c>
      <c r="U1374">
        <v>0</v>
      </c>
      <c r="V1374">
        <v>0</v>
      </c>
      <c r="W1374">
        <v>0</v>
      </c>
      <c r="X1374">
        <v>1.2848515996402399E-2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0</v>
      </c>
      <c r="AL1374">
        <v>0</v>
      </c>
      <c r="AM1374">
        <v>0</v>
      </c>
    </row>
    <row r="1375" spans="1:39" customFormat="1" hidden="1" x14ac:dyDescent="0.3">
      <c r="A1375" t="s">
        <v>181</v>
      </c>
      <c r="B1375" t="s">
        <v>30</v>
      </c>
      <c r="C1375" t="s">
        <v>35</v>
      </c>
      <c r="D1375" t="s">
        <v>35</v>
      </c>
      <c r="E1375" t="s">
        <v>34</v>
      </c>
      <c r="F1375" t="s">
        <v>33</v>
      </c>
      <c r="G1375" t="s">
        <v>50</v>
      </c>
      <c r="H1375" s="16">
        <v>0</v>
      </c>
      <c r="I1375" s="11">
        <v>0</v>
      </c>
      <c r="J1375" s="11">
        <v>0</v>
      </c>
      <c r="K1375" s="11">
        <v>0</v>
      </c>
      <c r="L1375" s="11">
        <v>1.3207422571485199E-2</v>
      </c>
      <c r="M1375" s="11">
        <v>0</v>
      </c>
      <c r="N1375" s="11">
        <v>0</v>
      </c>
      <c r="O1375" s="11">
        <v>0</v>
      </c>
      <c r="P1375" s="11">
        <v>0</v>
      </c>
      <c r="Q1375" s="11">
        <v>0</v>
      </c>
      <c r="R1375" s="11">
        <v>0</v>
      </c>
      <c r="S1375" s="11">
        <v>0</v>
      </c>
      <c r="T1375" s="11">
        <v>0</v>
      </c>
      <c r="U1375">
        <v>0</v>
      </c>
      <c r="V1375">
        <v>0</v>
      </c>
      <c r="W1375">
        <v>2.6668088964744798E-3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3.5915670006823998E-3</v>
      </c>
      <c r="AK1375">
        <v>0</v>
      </c>
      <c r="AL1375">
        <v>0</v>
      </c>
      <c r="AM1375">
        <v>0</v>
      </c>
    </row>
    <row r="1376" spans="1:39" customFormat="1" hidden="1" x14ac:dyDescent="0.3">
      <c r="A1376" t="s">
        <v>180</v>
      </c>
      <c r="B1376" t="s">
        <v>30</v>
      </c>
      <c r="C1376" t="s">
        <v>35</v>
      </c>
      <c r="D1376" t="s">
        <v>35</v>
      </c>
      <c r="E1376" t="s">
        <v>34</v>
      </c>
      <c r="F1376" t="s">
        <v>33</v>
      </c>
      <c r="G1376" t="s">
        <v>50</v>
      </c>
      <c r="H1376" s="16">
        <v>0</v>
      </c>
      <c r="I1376" s="11">
        <v>0</v>
      </c>
      <c r="J1376" s="11">
        <v>0</v>
      </c>
      <c r="K1376" s="11">
        <v>5.6589893045102101E-3</v>
      </c>
      <c r="L1376" s="11">
        <v>0</v>
      </c>
      <c r="M1376" s="11">
        <v>0</v>
      </c>
      <c r="N1376" s="11">
        <v>0</v>
      </c>
      <c r="O1376" s="11">
        <v>0</v>
      </c>
      <c r="P1376" s="11">
        <v>0</v>
      </c>
      <c r="Q1376" s="11">
        <v>2.7492920572952501E-3</v>
      </c>
      <c r="R1376" s="11">
        <v>0</v>
      </c>
      <c r="S1376" s="11">
        <v>0</v>
      </c>
      <c r="T1376" s="11">
        <v>0</v>
      </c>
      <c r="U1376">
        <v>0</v>
      </c>
      <c r="V1376">
        <v>3.6144142841652502E-3</v>
      </c>
      <c r="W1376">
        <v>0</v>
      </c>
      <c r="X1376">
        <v>0</v>
      </c>
      <c r="Y1376">
        <v>2.9264581077521898E-3</v>
      </c>
      <c r="Z1376">
        <v>0</v>
      </c>
      <c r="AA1376">
        <v>0</v>
      </c>
      <c r="AB1376">
        <v>0</v>
      </c>
      <c r="AC1376">
        <v>0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L1376">
        <v>0</v>
      </c>
      <c r="AM1376">
        <v>0</v>
      </c>
    </row>
    <row r="1377" spans="1:39" customFormat="1" hidden="1" x14ac:dyDescent="0.3">
      <c r="A1377" t="s">
        <v>179</v>
      </c>
      <c r="B1377" t="s">
        <v>30</v>
      </c>
      <c r="C1377" t="s">
        <v>29</v>
      </c>
      <c r="D1377" t="s">
        <v>28</v>
      </c>
      <c r="E1377" t="s">
        <v>27</v>
      </c>
      <c r="F1377" t="s">
        <v>64</v>
      </c>
      <c r="G1377" t="s">
        <v>178</v>
      </c>
      <c r="H1377" s="16">
        <v>4.1583499667332E-3</v>
      </c>
      <c r="I1377" s="11">
        <v>0</v>
      </c>
      <c r="J1377" s="11">
        <v>0</v>
      </c>
      <c r="K1377" s="11">
        <v>0</v>
      </c>
      <c r="L1377" s="11">
        <v>0</v>
      </c>
      <c r="M1377" s="11">
        <v>0</v>
      </c>
      <c r="N1377" s="11">
        <v>0</v>
      </c>
      <c r="O1377" s="11">
        <v>0</v>
      </c>
      <c r="P1377" s="11">
        <v>0</v>
      </c>
      <c r="Q1377" s="11">
        <v>0</v>
      </c>
      <c r="R1377" s="11">
        <v>0</v>
      </c>
      <c r="S1377" s="11">
        <v>0</v>
      </c>
      <c r="T1377" s="11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>
        <v>5.03372596395852E-3</v>
      </c>
      <c r="AG1377">
        <v>0</v>
      </c>
      <c r="AH1377">
        <v>0</v>
      </c>
      <c r="AI1377">
        <v>0</v>
      </c>
      <c r="AJ1377">
        <v>3.5915670006823998E-3</v>
      </c>
      <c r="AK1377">
        <v>0</v>
      </c>
      <c r="AL1377">
        <v>0</v>
      </c>
      <c r="AM1377">
        <v>0</v>
      </c>
    </row>
    <row r="1378" spans="1:39" customFormat="1" hidden="1" x14ac:dyDescent="0.3">
      <c r="A1378" t="s">
        <v>177</v>
      </c>
      <c r="B1378" t="s">
        <v>30</v>
      </c>
      <c r="C1378" t="s">
        <v>29</v>
      </c>
      <c r="D1378" t="s">
        <v>28</v>
      </c>
      <c r="E1378" t="s">
        <v>27</v>
      </c>
      <c r="F1378" t="s">
        <v>26</v>
      </c>
      <c r="G1378" t="s">
        <v>25</v>
      </c>
      <c r="H1378" s="16">
        <v>0</v>
      </c>
      <c r="I1378" s="11">
        <v>0</v>
      </c>
      <c r="J1378" s="11">
        <v>8.7187758838659108E-3</v>
      </c>
      <c r="K1378" s="11">
        <v>0</v>
      </c>
      <c r="L1378" s="11">
        <v>0</v>
      </c>
      <c r="M1378" s="11">
        <v>0</v>
      </c>
      <c r="N1378" s="11">
        <v>0</v>
      </c>
      <c r="O1378" s="11">
        <v>0</v>
      </c>
      <c r="P1378" s="11">
        <v>0</v>
      </c>
      <c r="Q1378" s="11">
        <v>0</v>
      </c>
      <c r="R1378" s="11">
        <v>0</v>
      </c>
      <c r="S1378" s="11">
        <v>0</v>
      </c>
      <c r="T1378" s="11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0</v>
      </c>
      <c r="AJ1378">
        <v>0</v>
      </c>
      <c r="AK1378">
        <v>0</v>
      </c>
      <c r="AL1378">
        <v>0</v>
      </c>
      <c r="AM1378">
        <v>0</v>
      </c>
    </row>
    <row r="1379" spans="1:39" customFormat="1" hidden="1" x14ac:dyDescent="0.3">
      <c r="A1379" t="s">
        <v>176</v>
      </c>
      <c r="B1379" t="s">
        <v>30</v>
      </c>
      <c r="C1379" t="s">
        <v>29</v>
      </c>
      <c r="D1379" t="s">
        <v>28</v>
      </c>
      <c r="E1379" t="s">
        <v>27</v>
      </c>
      <c r="F1379" t="s">
        <v>64</v>
      </c>
      <c r="G1379" t="s">
        <v>63</v>
      </c>
      <c r="H1379" s="16">
        <v>0</v>
      </c>
      <c r="I1379" s="11">
        <v>3.6565745209887401E-3</v>
      </c>
      <c r="J1379" s="11">
        <v>0</v>
      </c>
      <c r="K1379" s="11">
        <v>0</v>
      </c>
      <c r="L1379" s="11">
        <v>0</v>
      </c>
      <c r="M1379" s="11">
        <v>0</v>
      </c>
      <c r="N1379" s="11">
        <v>0</v>
      </c>
      <c r="O1379" s="11">
        <v>0</v>
      </c>
      <c r="P1379" s="11">
        <v>0</v>
      </c>
      <c r="Q1379" s="11">
        <v>0</v>
      </c>
      <c r="R1379" s="11">
        <v>0</v>
      </c>
      <c r="S1379" s="11">
        <v>0</v>
      </c>
      <c r="T1379" s="11">
        <v>3.3464962184592698E-3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0</v>
      </c>
      <c r="AE1379">
        <v>0</v>
      </c>
      <c r="AF1379">
        <v>0</v>
      </c>
      <c r="AG1379">
        <v>0</v>
      </c>
      <c r="AH1379">
        <v>0</v>
      </c>
      <c r="AI1379">
        <v>0</v>
      </c>
      <c r="AJ1379">
        <v>0</v>
      </c>
      <c r="AK1379">
        <v>0</v>
      </c>
      <c r="AL1379">
        <v>0</v>
      </c>
      <c r="AM1379">
        <v>0</v>
      </c>
    </row>
    <row r="1380" spans="1:39" customFormat="1" hidden="1" x14ac:dyDescent="0.3">
      <c r="A1380" t="s">
        <v>175</v>
      </c>
      <c r="B1380" t="s">
        <v>30</v>
      </c>
      <c r="C1380" t="s">
        <v>29</v>
      </c>
      <c r="D1380" t="s">
        <v>28</v>
      </c>
      <c r="E1380" t="s">
        <v>27</v>
      </c>
      <c r="F1380" t="s">
        <v>26</v>
      </c>
      <c r="G1380" t="s">
        <v>162</v>
      </c>
      <c r="H1380" s="16">
        <v>0</v>
      </c>
      <c r="I1380" s="11">
        <v>0</v>
      </c>
      <c r="J1380" s="11">
        <v>0</v>
      </c>
      <c r="K1380" s="11">
        <v>0</v>
      </c>
      <c r="L1380" s="11">
        <v>0</v>
      </c>
      <c r="M1380" s="11">
        <v>0</v>
      </c>
      <c r="N1380" s="11">
        <v>0</v>
      </c>
      <c r="O1380" s="11">
        <v>0</v>
      </c>
      <c r="P1380" s="11">
        <v>0</v>
      </c>
      <c r="Q1380" s="11">
        <v>0</v>
      </c>
      <c r="R1380" s="11">
        <v>0</v>
      </c>
      <c r="S1380" s="11">
        <v>0</v>
      </c>
      <c r="T1380" s="11">
        <v>3.3464962184592698E-3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0</v>
      </c>
      <c r="AE1380">
        <v>0</v>
      </c>
      <c r="AF1380">
        <v>0</v>
      </c>
      <c r="AG1380">
        <v>0</v>
      </c>
      <c r="AH1380">
        <v>0</v>
      </c>
      <c r="AI1380">
        <v>0</v>
      </c>
      <c r="AJ1380">
        <v>0</v>
      </c>
      <c r="AK1380">
        <v>0</v>
      </c>
      <c r="AL1380">
        <v>0</v>
      </c>
      <c r="AM1380">
        <v>0</v>
      </c>
    </row>
    <row r="1381" spans="1:39" customFormat="1" hidden="1" x14ac:dyDescent="0.3">
      <c r="A1381" t="s">
        <v>171</v>
      </c>
      <c r="B1381" t="s">
        <v>30</v>
      </c>
      <c r="C1381" t="s">
        <v>35</v>
      </c>
      <c r="D1381" t="s">
        <v>170</v>
      </c>
      <c r="E1381" t="s">
        <v>169</v>
      </c>
      <c r="F1381" t="s">
        <v>168</v>
      </c>
      <c r="G1381" t="s">
        <v>167</v>
      </c>
      <c r="H1381" s="16">
        <v>0</v>
      </c>
      <c r="I1381" s="11">
        <v>0</v>
      </c>
      <c r="J1381" s="11">
        <v>0</v>
      </c>
      <c r="K1381" s="11">
        <v>0</v>
      </c>
      <c r="L1381" s="11">
        <v>0</v>
      </c>
      <c r="M1381" s="11">
        <v>0</v>
      </c>
      <c r="N1381" s="11">
        <v>0</v>
      </c>
      <c r="O1381" s="11">
        <v>0</v>
      </c>
      <c r="P1381" s="11">
        <v>0</v>
      </c>
      <c r="Q1381" s="11">
        <v>0</v>
      </c>
      <c r="R1381" s="11">
        <v>0</v>
      </c>
      <c r="S1381" s="11">
        <v>0</v>
      </c>
      <c r="T1381" s="1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0</v>
      </c>
      <c r="AE1381">
        <v>0</v>
      </c>
      <c r="AF1381">
        <v>0</v>
      </c>
      <c r="AG1381">
        <v>0</v>
      </c>
      <c r="AH1381">
        <v>0</v>
      </c>
      <c r="AI1381">
        <v>0</v>
      </c>
      <c r="AJ1381">
        <v>0</v>
      </c>
      <c r="AK1381">
        <v>0</v>
      </c>
      <c r="AL1381">
        <v>0</v>
      </c>
      <c r="AM1381">
        <v>0</v>
      </c>
    </row>
    <row r="1382" spans="1:39" customFormat="1" hidden="1" x14ac:dyDescent="0.3">
      <c r="A1382" t="s">
        <v>166</v>
      </c>
      <c r="B1382" t="s">
        <v>30</v>
      </c>
      <c r="C1382" t="s">
        <v>29</v>
      </c>
      <c r="D1382" t="s">
        <v>28</v>
      </c>
      <c r="E1382" t="s">
        <v>27</v>
      </c>
      <c r="F1382" t="s">
        <v>67</v>
      </c>
      <c r="G1382" t="s">
        <v>66</v>
      </c>
      <c r="H1382" s="16">
        <v>0</v>
      </c>
      <c r="I1382" s="11">
        <v>0</v>
      </c>
      <c r="J1382" s="11">
        <v>0</v>
      </c>
      <c r="K1382" s="11">
        <v>0</v>
      </c>
      <c r="L1382" s="11">
        <v>6.6037112857425901E-3</v>
      </c>
      <c r="M1382" s="11">
        <v>0</v>
      </c>
      <c r="N1382" s="11">
        <v>0</v>
      </c>
      <c r="O1382" s="11">
        <v>0</v>
      </c>
      <c r="P1382" s="11">
        <v>0</v>
      </c>
      <c r="Q1382" s="11">
        <v>0</v>
      </c>
      <c r="R1382" s="11">
        <v>0</v>
      </c>
      <c r="S1382" s="11">
        <v>0</v>
      </c>
      <c r="T1382" s="11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0</v>
      </c>
      <c r="AE1382">
        <v>0</v>
      </c>
      <c r="AF1382">
        <v>0</v>
      </c>
      <c r="AG1382">
        <v>0</v>
      </c>
      <c r="AH1382">
        <v>0</v>
      </c>
      <c r="AI1382">
        <v>0</v>
      </c>
      <c r="AJ1382">
        <v>0</v>
      </c>
      <c r="AK1382">
        <v>0</v>
      </c>
      <c r="AL1382">
        <v>0</v>
      </c>
      <c r="AM1382">
        <v>0</v>
      </c>
    </row>
    <row r="1383" spans="1:39" customFormat="1" hidden="1" x14ac:dyDescent="0.3">
      <c r="A1383" t="s">
        <v>165</v>
      </c>
      <c r="B1383" t="s">
        <v>30</v>
      </c>
      <c r="C1383" t="s">
        <v>41</v>
      </c>
      <c r="D1383" t="s">
        <v>41</v>
      </c>
      <c r="E1383" t="s">
        <v>41</v>
      </c>
      <c r="F1383" t="s">
        <v>41</v>
      </c>
      <c r="G1383" t="s">
        <v>41</v>
      </c>
      <c r="H1383" s="16">
        <v>0</v>
      </c>
      <c r="I1383" s="11">
        <v>0</v>
      </c>
      <c r="J1383" s="11">
        <v>0</v>
      </c>
      <c r="K1383" s="11">
        <v>0</v>
      </c>
      <c r="L1383" s="11">
        <v>6.6037112857425901E-3</v>
      </c>
      <c r="M1383" s="11">
        <v>0</v>
      </c>
      <c r="N1383" s="11">
        <v>0</v>
      </c>
      <c r="O1383" s="11">
        <v>0</v>
      </c>
      <c r="P1383" s="11">
        <v>0</v>
      </c>
      <c r="Q1383" s="11">
        <v>0</v>
      </c>
      <c r="R1383" s="11">
        <v>0</v>
      </c>
      <c r="S1383" s="11">
        <v>0</v>
      </c>
      <c r="T1383" s="11">
        <v>0</v>
      </c>
      <c r="U1383">
        <v>3.04201016031394E-3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0</v>
      </c>
      <c r="AE1383">
        <v>0</v>
      </c>
      <c r="AF1383">
        <v>0</v>
      </c>
      <c r="AG1383">
        <v>0</v>
      </c>
      <c r="AH1383">
        <v>0</v>
      </c>
      <c r="AI1383">
        <v>0</v>
      </c>
      <c r="AJ1383">
        <v>0</v>
      </c>
      <c r="AK1383">
        <v>0</v>
      </c>
      <c r="AL1383">
        <v>0</v>
      </c>
      <c r="AM1383">
        <v>0</v>
      </c>
    </row>
    <row r="1384" spans="1:39" customFormat="1" hidden="1" x14ac:dyDescent="0.3">
      <c r="A1384" t="s">
        <v>164</v>
      </c>
      <c r="B1384" t="s">
        <v>30</v>
      </c>
      <c r="C1384" t="s">
        <v>41</v>
      </c>
      <c r="D1384" t="s">
        <v>41</v>
      </c>
      <c r="E1384" t="s">
        <v>41</v>
      </c>
      <c r="F1384" t="s">
        <v>41</v>
      </c>
      <c r="G1384" t="s">
        <v>41</v>
      </c>
      <c r="H1384" s="16">
        <v>0</v>
      </c>
      <c r="I1384" s="11">
        <v>0</v>
      </c>
      <c r="J1384" s="11">
        <v>0</v>
      </c>
      <c r="K1384" s="11">
        <v>0</v>
      </c>
      <c r="L1384" s="11">
        <v>0</v>
      </c>
      <c r="M1384" s="11">
        <v>0</v>
      </c>
      <c r="N1384" s="11">
        <v>0</v>
      </c>
      <c r="O1384" s="11">
        <v>0</v>
      </c>
      <c r="P1384" s="11">
        <v>0</v>
      </c>
      <c r="Q1384" s="11">
        <v>0</v>
      </c>
      <c r="R1384" s="11">
        <v>0</v>
      </c>
      <c r="S1384" s="11">
        <v>0</v>
      </c>
      <c r="T1384" s="11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0</v>
      </c>
      <c r="AE1384">
        <v>0</v>
      </c>
      <c r="AF1384">
        <v>0</v>
      </c>
      <c r="AG1384">
        <v>0</v>
      </c>
      <c r="AH1384">
        <v>0</v>
      </c>
      <c r="AI1384">
        <v>4.5968557506665397E-3</v>
      </c>
      <c r="AJ1384">
        <v>0</v>
      </c>
      <c r="AK1384">
        <v>0</v>
      </c>
      <c r="AL1384">
        <v>0</v>
      </c>
      <c r="AM1384">
        <v>0</v>
      </c>
    </row>
    <row r="1385" spans="1:39" customFormat="1" hidden="1" x14ac:dyDescent="0.3">
      <c r="A1385" t="s">
        <v>163</v>
      </c>
      <c r="B1385" t="s">
        <v>30</v>
      </c>
      <c r="C1385" t="s">
        <v>29</v>
      </c>
      <c r="D1385" t="s">
        <v>28</v>
      </c>
      <c r="E1385" t="s">
        <v>27</v>
      </c>
      <c r="F1385" t="s">
        <v>26</v>
      </c>
      <c r="G1385" t="s">
        <v>162</v>
      </c>
      <c r="H1385" s="16">
        <v>0</v>
      </c>
      <c r="I1385" s="11">
        <v>0</v>
      </c>
      <c r="J1385" s="11">
        <v>0</v>
      </c>
      <c r="K1385" s="11">
        <v>0</v>
      </c>
      <c r="L1385" s="11">
        <v>0</v>
      </c>
      <c r="M1385" s="11">
        <v>0</v>
      </c>
      <c r="N1385" s="11">
        <v>0</v>
      </c>
      <c r="O1385" s="11">
        <v>0</v>
      </c>
      <c r="P1385" s="11">
        <v>0</v>
      </c>
      <c r="Q1385" s="11">
        <v>0</v>
      </c>
      <c r="R1385" s="11">
        <v>2.2441148089136199E-3</v>
      </c>
      <c r="S1385" s="11">
        <v>0</v>
      </c>
      <c r="T1385" s="11">
        <v>0</v>
      </c>
      <c r="U1385">
        <v>0</v>
      </c>
      <c r="V1385">
        <v>0</v>
      </c>
      <c r="W1385">
        <v>2.6668088964744798E-3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0</v>
      </c>
      <c r="AE1385">
        <v>0</v>
      </c>
      <c r="AF1385">
        <v>0</v>
      </c>
      <c r="AG1385">
        <v>0</v>
      </c>
      <c r="AH1385">
        <v>0</v>
      </c>
      <c r="AI1385">
        <v>0</v>
      </c>
      <c r="AJ1385">
        <v>0</v>
      </c>
      <c r="AK1385">
        <v>0</v>
      </c>
      <c r="AL1385">
        <v>0</v>
      </c>
      <c r="AM1385">
        <v>0</v>
      </c>
    </row>
    <row r="1386" spans="1:39" customFormat="1" hidden="1" x14ac:dyDescent="0.3">
      <c r="A1386" t="s">
        <v>161</v>
      </c>
      <c r="B1386" t="s">
        <v>30</v>
      </c>
      <c r="C1386" t="s">
        <v>29</v>
      </c>
      <c r="D1386" t="s">
        <v>28</v>
      </c>
      <c r="E1386" t="s">
        <v>27</v>
      </c>
      <c r="F1386" t="s">
        <v>160</v>
      </c>
      <c r="G1386" t="s">
        <v>25</v>
      </c>
      <c r="H1386" s="16">
        <v>0</v>
      </c>
      <c r="I1386" s="11">
        <v>0</v>
      </c>
      <c r="J1386" s="11">
        <v>0</v>
      </c>
      <c r="K1386" s="11">
        <v>0</v>
      </c>
      <c r="L1386" s="11">
        <v>0</v>
      </c>
      <c r="M1386" s="11">
        <v>0</v>
      </c>
      <c r="N1386" s="11">
        <v>0</v>
      </c>
      <c r="O1386" s="11">
        <v>0</v>
      </c>
      <c r="P1386" s="11">
        <v>0</v>
      </c>
      <c r="Q1386" s="11">
        <v>0</v>
      </c>
      <c r="R1386" s="11">
        <v>0</v>
      </c>
      <c r="S1386" s="11">
        <v>0</v>
      </c>
      <c r="T1386" s="11">
        <v>3.3464962184592698E-3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4.5118209709438702E-3</v>
      </c>
      <c r="AC1386">
        <v>0</v>
      </c>
      <c r="AD1386">
        <v>0</v>
      </c>
      <c r="AE1386">
        <v>0</v>
      </c>
      <c r="AF1386">
        <v>0</v>
      </c>
      <c r="AG1386">
        <v>0</v>
      </c>
      <c r="AH1386">
        <v>0</v>
      </c>
      <c r="AI1386">
        <v>0</v>
      </c>
      <c r="AJ1386">
        <v>0</v>
      </c>
      <c r="AK1386">
        <v>0</v>
      </c>
      <c r="AL1386">
        <v>0</v>
      </c>
      <c r="AM1386">
        <v>0</v>
      </c>
    </row>
    <row r="1387" spans="1:39" customFormat="1" hidden="1" x14ac:dyDescent="0.3">
      <c r="A1387" t="s">
        <v>159</v>
      </c>
      <c r="B1387" t="s">
        <v>30</v>
      </c>
      <c r="C1387" t="s">
        <v>29</v>
      </c>
      <c r="D1387" t="s">
        <v>28</v>
      </c>
      <c r="E1387" t="s">
        <v>27</v>
      </c>
      <c r="F1387" t="s">
        <v>67</v>
      </c>
      <c r="G1387" t="s">
        <v>66</v>
      </c>
      <c r="H1387" s="16">
        <v>4.1583499667332E-3</v>
      </c>
      <c r="I1387" s="11">
        <v>3.6565745209887401E-3</v>
      </c>
      <c r="J1387" s="11">
        <v>0</v>
      </c>
      <c r="K1387" s="11">
        <v>0</v>
      </c>
      <c r="L1387" s="11">
        <v>0</v>
      </c>
      <c r="M1387" s="11">
        <v>0</v>
      </c>
      <c r="N1387" s="11">
        <v>0</v>
      </c>
      <c r="O1387" s="11">
        <v>0</v>
      </c>
      <c r="P1387" s="11">
        <v>0</v>
      </c>
      <c r="Q1387" s="11">
        <v>0</v>
      </c>
      <c r="R1387" s="11">
        <v>0</v>
      </c>
      <c r="S1387" s="11">
        <v>0</v>
      </c>
      <c r="T1387" s="11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6.3548551093035102E-3</v>
      </c>
      <c r="AA1387">
        <v>0</v>
      </c>
      <c r="AB1387">
        <v>0</v>
      </c>
      <c r="AC1387">
        <v>0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0</v>
      </c>
      <c r="AL1387">
        <v>0</v>
      </c>
      <c r="AM1387">
        <v>0</v>
      </c>
    </row>
    <row r="1388" spans="1:39" customFormat="1" hidden="1" x14ac:dyDescent="0.3">
      <c r="A1388" t="s">
        <v>157</v>
      </c>
      <c r="B1388" t="s">
        <v>30</v>
      </c>
      <c r="C1388" t="s">
        <v>29</v>
      </c>
      <c r="D1388" t="s">
        <v>28</v>
      </c>
      <c r="E1388" t="s">
        <v>27</v>
      </c>
      <c r="F1388" t="s">
        <v>26</v>
      </c>
      <c r="G1388" t="s">
        <v>25</v>
      </c>
      <c r="H1388" s="16">
        <v>0</v>
      </c>
      <c r="I1388" s="11">
        <v>0</v>
      </c>
      <c r="J1388" s="11">
        <v>4.3593879419329502E-3</v>
      </c>
      <c r="K1388" s="11">
        <v>0</v>
      </c>
      <c r="L1388" s="11">
        <v>0</v>
      </c>
      <c r="M1388" s="11">
        <v>0</v>
      </c>
      <c r="N1388" s="11">
        <v>4.5835816106705798E-3</v>
      </c>
      <c r="O1388" s="11">
        <v>0</v>
      </c>
      <c r="P1388" s="11">
        <v>0</v>
      </c>
      <c r="Q1388" s="11">
        <v>0</v>
      </c>
      <c r="R1388" s="11">
        <v>0</v>
      </c>
      <c r="S1388" s="11">
        <v>0</v>
      </c>
      <c r="T1388" s="11">
        <v>0</v>
      </c>
      <c r="U1388">
        <v>3.04201016031394E-3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0</v>
      </c>
      <c r="AL1388">
        <v>0</v>
      </c>
      <c r="AM1388">
        <v>0</v>
      </c>
    </row>
    <row r="1389" spans="1:39" customFormat="1" hidden="1" x14ac:dyDescent="0.3">
      <c r="A1389" t="s">
        <v>156</v>
      </c>
      <c r="B1389" t="s">
        <v>30</v>
      </c>
      <c r="C1389" t="s">
        <v>29</v>
      </c>
      <c r="D1389" t="s">
        <v>28</v>
      </c>
      <c r="E1389" t="s">
        <v>27</v>
      </c>
      <c r="F1389" t="s">
        <v>26</v>
      </c>
      <c r="G1389" t="s">
        <v>25</v>
      </c>
      <c r="H1389" s="16">
        <v>0</v>
      </c>
      <c r="I1389" s="11">
        <v>0</v>
      </c>
      <c r="J1389" s="11">
        <v>0</v>
      </c>
      <c r="K1389" s="11">
        <v>0</v>
      </c>
      <c r="L1389" s="11">
        <v>0</v>
      </c>
      <c r="M1389" s="11">
        <v>0</v>
      </c>
      <c r="N1389" s="11">
        <v>0</v>
      </c>
      <c r="O1389" s="11">
        <v>0</v>
      </c>
      <c r="P1389" s="11">
        <v>0</v>
      </c>
      <c r="Q1389" s="11">
        <v>0</v>
      </c>
      <c r="R1389" s="11">
        <v>0</v>
      </c>
      <c r="S1389" s="11">
        <v>0</v>
      </c>
      <c r="T1389" s="11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0</v>
      </c>
      <c r="AJ1389">
        <v>0</v>
      </c>
      <c r="AK1389">
        <v>0</v>
      </c>
      <c r="AL1389">
        <v>0</v>
      </c>
      <c r="AM1389">
        <v>0</v>
      </c>
    </row>
    <row r="1390" spans="1:39" customFormat="1" hidden="1" x14ac:dyDescent="0.3">
      <c r="A1390" t="s">
        <v>155</v>
      </c>
      <c r="B1390" t="s">
        <v>30</v>
      </c>
      <c r="C1390" t="s">
        <v>111</v>
      </c>
      <c r="D1390" t="s">
        <v>110</v>
      </c>
      <c r="E1390" t="s">
        <v>109</v>
      </c>
      <c r="F1390" t="s">
        <v>108</v>
      </c>
      <c r="G1390" t="s">
        <v>154</v>
      </c>
      <c r="H1390" s="16">
        <v>4.1583499667332E-3</v>
      </c>
      <c r="I1390" s="11">
        <v>0</v>
      </c>
      <c r="J1390" s="11">
        <v>0</v>
      </c>
      <c r="K1390" s="11">
        <v>0</v>
      </c>
      <c r="L1390" s="11">
        <v>0</v>
      </c>
      <c r="M1390" s="11">
        <v>0</v>
      </c>
      <c r="N1390" s="11">
        <v>0</v>
      </c>
      <c r="O1390" s="11">
        <v>3.75023438964935E-3</v>
      </c>
      <c r="P1390" s="11">
        <v>0</v>
      </c>
      <c r="Q1390" s="11">
        <v>0</v>
      </c>
      <c r="R1390" s="11">
        <v>0</v>
      </c>
      <c r="S1390" s="11">
        <v>0</v>
      </c>
      <c r="T1390" s="11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0</v>
      </c>
      <c r="AL1390">
        <v>0</v>
      </c>
      <c r="AM1390">
        <v>0</v>
      </c>
    </row>
    <row r="1391" spans="1:39" customFormat="1" hidden="1" x14ac:dyDescent="0.3">
      <c r="A1391" t="s">
        <v>153</v>
      </c>
      <c r="B1391" t="s">
        <v>30</v>
      </c>
      <c r="C1391" t="s">
        <v>35</v>
      </c>
      <c r="D1391" t="s">
        <v>35</v>
      </c>
      <c r="E1391" t="s">
        <v>45</v>
      </c>
      <c r="F1391" t="s">
        <v>152</v>
      </c>
      <c r="G1391" t="s">
        <v>151</v>
      </c>
      <c r="H1391" s="16">
        <v>0</v>
      </c>
      <c r="I1391" s="11">
        <v>0</v>
      </c>
      <c r="J1391" s="11">
        <v>0</v>
      </c>
      <c r="K1391" s="11">
        <v>0</v>
      </c>
      <c r="L1391" s="11">
        <v>0</v>
      </c>
      <c r="M1391" s="11">
        <v>0</v>
      </c>
      <c r="N1391" s="11">
        <v>0</v>
      </c>
      <c r="O1391" s="11">
        <v>0</v>
      </c>
      <c r="P1391" s="11">
        <v>0</v>
      </c>
      <c r="Q1391" s="11">
        <v>0</v>
      </c>
      <c r="R1391" s="11">
        <v>0</v>
      </c>
      <c r="S1391" s="11">
        <v>0</v>
      </c>
      <c r="T1391" s="1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7.1911405148856597E-3</v>
      </c>
      <c r="AD1391">
        <v>0</v>
      </c>
      <c r="AE1391">
        <v>0</v>
      </c>
      <c r="AF1391">
        <v>0</v>
      </c>
      <c r="AG1391">
        <v>2.3469220117815501E-3</v>
      </c>
      <c r="AH1391">
        <v>0</v>
      </c>
      <c r="AI1391">
        <v>0</v>
      </c>
      <c r="AJ1391">
        <v>0</v>
      </c>
      <c r="AK1391">
        <v>0</v>
      </c>
      <c r="AL1391">
        <v>0</v>
      </c>
      <c r="AM1391">
        <v>0</v>
      </c>
    </row>
    <row r="1392" spans="1:39" customFormat="1" hidden="1" x14ac:dyDescent="0.3">
      <c r="A1392" t="s">
        <v>150</v>
      </c>
      <c r="B1392" t="s">
        <v>30</v>
      </c>
      <c r="C1392" t="s">
        <v>29</v>
      </c>
      <c r="D1392" t="s">
        <v>28</v>
      </c>
      <c r="E1392" t="s">
        <v>27</v>
      </c>
      <c r="F1392" t="s">
        <v>26</v>
      </c>
      <c r="G1392" t="s">
        <v>25</v>
      </c>
      <c r="H1392" s="16">
        <v>0</v>
      </c>
      <c r="I1392" s="11">
        <v>0</v>
      </c>
      <c r="J1392" s="11">
        <v>0</v>
      </c>
      <c r="K1392" s="11">
        <v>0</v>
      </c>
      <c r="L1392" s="11">
        <v>0</v>
      </c>
      <c r="M1392" s="11">
        <v>0</v>
      </c>
      <c r="N1392" s="11">
        <v>0</v>
      </c>
      <c r="O1392" s="11">
        <v>0</v>
      </c>
      <c r="P1392" s="11">
        <v>0</v>
      </c>
      <c r="Q1392" s="11">
        <v>0</v>
      </c>
      <c r="R1392" s="11">
        <v>0</v>
      </c>
      <c r="S1392" s="11">
        <v>0</v>
      </c>
      <c r="T1392" s="11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0</v>
      </c>
      <c r="AL1392">
        <v>0</v>
      </c>
      <c r="AM1392">
        <v>0</v>
      </c>
    </row>
    <row r="1393" spans="1:39" customFormat="1" hidden="1" x14ac:dyDescent="0.3">
      <c r="A1393" t="s">
        <v>149</v>
      </c>
      <c r="B1393" t="s">
        <v>30</v>
      </c>
      <c r="C1393" t="s">
        <v>35</v>
      </c>
      <c r="D1393" t="s">
        <v>35</v>
      </c>
      <c r="E1393" t="s">
        <v>34</v>
      </c>
      <c r="F1393" t="s">
        <v>33</v>
      </c>
      <c r="G1393" t="s">
        <v>50</v>
      </c>
      <c r="H1393" s="16">
        <v>0</v>
      </c>
      <c r="I1393" s="11">
        <v>0</v>
      </c>
      <c r="J1393" s="11">
        <v>0</v>
      </c>
      <c r="K1393" s="11">
        <v>0</v>
      </c>
      <c r="L1393" s="11">
        <v>0</v>
      </c>
      <c r="M1393" s="11">
        <v>0</v>
      </c>
      <c r="N1393" s="11">
        <v>0</v>
      </c>
      <c r="O1393" s="11">
        <v>0</v>
      </c>
      <c r="P1393" s="11">
        <v>0</v>
      </c>
      <c r="Q1393" s="11">
        <v>0</v>
      </c>
      <c r="R1393" s="11">
        <v>0</v>
      </c>
      <c r="S1393" s="11">
        <v>0</v>
      </c>
      <c r="T1393" s="11">
        <v>0</v>
      </c>
      <c r="U1393">
        <v>0</v>
      </c>
      <c r="V1393">
        <v>3.6144142841652502E-3</v>
      </c>
      <c r="W1393">
        <v>0</v>
      </c>
      <c r="X1393">
        <v>0</v>
      </c>
      <c r="Y1393">
        <v>2.9264581077521898E-3</v>
      </c>
      <c r="Z1393">
        <v>0</v>
      </c>
      <c r="AA1393">
        <v>0</v>
      </c>
      <c r="AB1393">
        <v>0</v>
      </c>
      <c r="AC1393">
        <v>0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0</v>
      </c>
      <c r="AL1393">
        <v>0</v>
      </c>
      <c r="AM1393">
        <v>0</v>
      </c>
    </row>
    <row r="1394" spans="1:39" customFormat="1" hidden="1" x14ac:dyDescent="0.3">
      <c r="A1394" t="s">
        <v>148</v>
      </c>
      <c r="B1394" t="s">
        <v>30</v>
      </c>
      <c r="C1394" t="s">
        <v>41</v>
      </c>
      <c r="D1394" t="s">
        <v>41</v>
      </c>
      <c r="E1394" t="s">
        <v>41</v>
      </c>
      <c r="F1394" t="s">
        <v>41</v>
      </c>
      <c r="G1394" t="s">
        <v>41</v>
      </c>
      <c r="H1394" s="16">
        <v>0</v>
      </c>
      <c r="I1394" s="11">
        <v>0</v>
      </c>
      <c r="J1394" s="11">
        <v>0</v>
      </c>
      <c r="K1394" s="11">
        <v>0</v>
      </c>
      <c r="L1394" s="11">
        <v>0</v>
      </c>
      <c r="M1394" s="11">
        <v>0</v>
      </c>
      <c r="N1394" s="11">
        <v>0</v>
      </c>
      <c r="O1394" s="11">
        <v>0</v>
      </c>
      <c r="P1394" s="11">
        <v>0</v>
      </c>
      <c r="Q1394" s="11">
        <v>0</v>
      </c>
      <c r="R1394" s="11">
        <v>0</v>
      </c>
      <c r="S1394" s="11">
        <v>0</v>
      </c>
      <c r="T1394" s="11">
        <v>0</v>
      </c>
      <c r="U1394">
        <v>0</v>
      </c>
      <c r="V1394">
        <v>0</v>
      </c>
      <c r="W1394">
        <v>0</v>
      </c>
      <c r="X1394">
        <v>6.4242579982012101E-3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2.2984278753332699E-3</v>
      </c>
      <c r="AJ1394">
        <v>0</v>
      </c>
      <c r="AK1394">
        <v>0</v>
      </c>
      <c r="AL1394">
        <v>0</v>
      </c>
      <c r="AM1394">
        <v>0</v>
      </c>
    </row>
    <row r="1395" spans="1:39" customFormat="1" hidden="1" x14ac:dyDescent="0.3">
      <c r="A1395" t="s">
        <v>147</v>
      </c>
      <c r="B1395" t="s">
        <v>30</v>
      </c>
      <c r="C1395" t="s">
        <v>103</v>
      </c>
      <c r="D1395" t="s">
        <v>146</v>
      </c>
      <c r="E1395" t="s">
        <v>145</v>
      </c>
      <c r="F1395" t="s">
        <v>144</v>
      </c>
      <c r="G1395" t="s">
        <v>143</v>
      </c>
      <c r="H1395" s="16">
        <v>0</v>
      </c>
      <c r="I1395" s="11">
        <v>0</v>
      </c>
      <c r="J1395" s="11">
        <v>0</v>
      </c>
      <c r="K1395" s="11">
        <v>0</v>
      </c>
      <c r="L1395" s="11">
        <v>0</v>
      </c>
      <c r="M1395" s="11">
        <v>0</v>
      </c>
      <c r="N1395" s="11">
        <v>0</v>
      </c>
      <c r="O1395" s="11">
        <v>0</v>
      </c>
      <c r="P1395" s="11">
        <v>0</v>
      </c>
      <c r="Q1395" s="11">
        <v>0</v>
      </c>
      <c r="R1395" s="11">
        <v>0</v>
      </c>
      <c r="S1395" s="11">
        <v>0</v>
      </c>
      <c r="T1395" s="11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7.1911405148856597E-3</v>
      </c>
      <c r="AD1395">
        <v>0</v>
      </c>
      <c r="AE1395">
        <v>0</v>
      </c>
      <c r="AF1395">
        <v>5.03372596395852E-3</v>
      </c>
      <c r="AG1395">
        <v>0</v>
      </c>
      <c r="AH1395">
        <v>0</v>
      </c>
      <c r="AI1395">
        <v>0</v>
      </c>
      <c r="AJ1395">
        <v>0</v>
      </c>
      <c r="AK1395">
        <v>0</v>
      </c>
      <c r="AL1395">
        <v>0</v>
      </c>
      <c r="AM1395">
        <v>0</v>
      </c>
    </row>
    <row r="1396" spans="1:39" customFormat="1" hidden="1" x14ac:dyDescent="0.3">
      <c r="A1396" t="s">
        <v>142</v>
      </c>
      <c r="B1396" t="s">
        <v>30</v>
      </c>
      <c r="C1396" t="s">
        <v>111</v>
      </c>
      <c r="D1396" t="s">
        <v>141</v>
      </c>
      <c r="E1396" t="s">
        <v>140</v>
      </c>
      <c r="F1396" t="s">
        <v>139</v>
      </c>
      <c r="G1396" t="s">
        <v>138</v>
      </c>
      <c r="H1396" s="16">
        <v>0</v>
      </c>
      <c r="I1396" s="11">
        <v>0</v>
      </c>
      <c r="J1396" s="11">
        <v>0</v>
      </c>
      <c r="K1396" s="11">
        <v>0</v>
      </c>
      <c r="L1396" s="11">
        <v>0</v>
      </c>
      <c r="M1396" s="11">
        <v>0</v>
      </c>
      <c r="N1396" s="11">
        <v>0</v>
      </c>
      <c r="O1396" s="11">
        <v>3.75023438964935E-3</v>
      </c>
      <c r="P1396" s="11">
        <v>0</v>
      </c>
      <c r="Q1396" s="11">
        <v>0</v>
      </c>
      <c r="R1396" s="11">
        <v>0</v>
      </c>
      <c r="S1396" s="11">
        <v>0</v>
      </c>
      <c r="T1396" s="11">
        <v>0</v>
      </c>
      <c r="U1396">
        <v>3.04201016031394E-3</v>
      </c>
      <c r="V1396">
        <v>0</v>
      </c>
      <c r="W1396">
        <v>2.6668088964744798E-3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0</v>
      </c>
      <c r="AL1396">
        <v>0</v>
      </c>
      <c r="AM1396">
        <v>0</v>
      </c>
    </row>
    <row r="1397" spans="1:39" customFormat="1" hidden="1" x14ac:dyDescent="0.3">
      <c r="A1397" t="s">
        <v>137</v>
      </c>
      <c r="B1397" t="s">
        <v>30</v>
      </c>
      <c r="C1397" t="s">
        <v>136</v>
      </c>
      <c r="D1397" t="s">
        <v>135</v>
      </c>
      <c r="E1397" t="s">
        <v>134</v>
      </c>
      <c r="F1397" t="s">
        <v>133</v>
      </c>
      <c r="G1397" t="s">
        <v>132</v>
      </c>
      <c r="H1397" s="16">
        <v>0</v>
      </c>
      <c r="I1397" s="11">
        <v>0</v>
      </c>
      <c r="J1397" s="11">
        <v>0</v>
      </c>
      <c r="K1397" s="11">
        <v>0</v>
      </c>
      <c r="L1397" s="11">
        <v>0</v>
      </c>
      <c r="M1397" s="11">
        <v>0</v>
      </c>
      <c r="N1397" s="11">
        <v>0</v>
      </c>
      <c r="O1397" s="11">
        <v>0</v>
      </c>
      <c r="P1397" s="11">
        <v>0</v>
      </c>
      <c r="Q1397" s="11">
        <v>0</v>
      </c>
      <c r="R1397" s="11">
        <v>0</v>
      </c>
      <c r="S1397" s="11">
        <v>0</v>
      </c>
      <c r="T1397" s="11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4.5968557506665397E-3</v>
      </c>
      <c r="AJ1397">
        <v>0</v>
      </c>
      <c r="AK1397">
        <v>0</v>
      </c>
      <c r="AL1397">
        <v>0</v>
      </c>
      <c r="AM1397">
        <v>0</v>
      </c>
    </row>
    <row r="1398" spans="1:39" customFormat="1" hidden="1" x14ac:dyDescent="0.3">
      <c r="A1398" t="s">
        <v>131</v>
      </c>
      <c r="B1398" t="s">
        <v>30</v>
      </c>
      <c r="C1398" t="s">
        <v>35</v>
      </c>
      <c r="D1398" t="s">
        <v>35</v>
      </c>
      <c r="E1398" t="s">
        <v>128</v>
      </c>
      <c r="F1398" t="s">
        <v>127</v>
      </c>
      <c r="G1398" t="s">
        <v>130</v>
      </c>
      <c r="H1398" s="16">
        <v>0</v>
      </c>
      <c r="I1398" s="11">
        <v>0</v>
      </c>
      <c r="J1398" s="11">
        <v>4.3593879419329502E-3</v>
      </c>
      <c r="K1398" s="11">
        <v>5.6589893045102101E-3</v>
      </c>
      <c r="L1398" s="11">
        <v>0</v>
      </c>
      <c r="M1398" s="11">
        <v>0</v>
      </c>
      <c r="N1398" s="11">
        <v>0</v>
      </c>
      <c r="O1398" s="11">
        <v>0</v>
      </c>
      <c r="P1398" s="11">
        <v>0</v>
      </c>
      <c r="Q1398" s="11">
        <v>0</v>
      </c>
      <c r="R1398" s="11">
        <v>0</v>
      </c>
      <c r="S1398" s="11">
        <v>0</v>
      </c>
      <c r="T1398" s="11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</v>
      </c>
      <c r="AE1398">
        <v>0</v>
      </c>
      <c r="AF1398">
        <v>5.03372596395852E-3</v>
      </c>
      <c r="AG1398">
        <v>0</v>
      </c>
      <c r="AH1398">
        <v>0</v>
      </c>
      <c r="AI1398">
        <v>0</v>
      </c>
      <c r="AJ1398">
        <v>0</v>
      </c>
      <c r="AK1398">
        <v>0</v>
      </c>
      <c r="AL1398">
        <v>0</v>
      </c>
      <c r="AM1398">
        <v>0</v>
      </c>
    </row>
    <row r="1399" spans="1:39" customFormat="1" hidden="1" x14ac:dyDescent="0.3">
      <c r="A1399" t="s">
        <v>129</v>
      </c>
      <c r="B1399" t="s">
        <v>30</v>
      </c>
      <c r="C1399" t="s">
        <v>35</v>
      </c>
      <c r="D1399" t="s">
        <v>35</v>
      </c>
      <c r="E1399" t="s">
        <v>128</v>
      </c>
      <c r="F1399" t="s">
        <v>127</v>
      </c>
      <c r="G1399" t="s">
        <v>126</v>
      </c>
      <c r="H1399" s="16">
        <v>0</v>
      </c>
      <c r="I1399" s="11">
        <v>7.3131490419774802E-3</v>
      </c>
      <c r="J1399" s="11">
        <v>0</v>
      </c>
      <c r="K1399" s="11">
        <v>0</v>
      </c>
      <c r="L1399" s="11">
        <v>0</v>
      </c>
      <c r="M1399" s="11">
        <v>0</v>
      </c>
      <c r="N1399" s="11">
        <v>0</v>
      </c>
      <c r="O1399" s="11">
        <v>0</v>
      </c>
      <c r="P1399" s="11">
        <v>0</v>
      </c>
      <c r="Q1399" s="11">
        <v>0</v>
      </c>
      <c r="R1399" s="11">
        <v>0</v>
      </c>
      <c r="S1399" s="11">
        <v>0</v>
      </c>
      <c r="T1399" s="11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0</v>
      </c>
      <c r="AE1399">
        <v>3.4299434059338E-3</v>
      </c>
      <c r="AF1399">
        <v>5.03372596395852E-3</v>
      </c>
      <c r="AG1399">
        <v>0</v>
      </c>
      <c r="AH1399">
        <v>0</v>
      </c>
      <c r="AI1399">
        <v>0</v>
      </c>
      <c r="AJ1399">
        <v>0</v>
      </c>
      <c r="AK1399">
        <v>0</v>
      </c>
      <c r="AL1399">
        <v>0</v>
      </c>
      <c r="AM1399">
        <v>0</v>
      </c>
    </row>
    <row r="1400" spans="1:39" customFormat="1" hidden="1" x14ac:dyDescent="0.3">
      <c r="A1400" t="s">
        <v>125</v>
      </c>
      <c r="B1400" t="s">
        <v>30</v>
      </c>
      <c r="C1400" t="s">
        <v>81</v>
      </c>
      <c r="D1400" t="s">
        <v>80</v>
      </c>
      <c r="E1400" t="s">
        <v>122</v>
      </c>
      <c r="F1400" t="s">
        <v>121</v>
      </c>
      <c r="G1400" t="s">
        <v>124</v>
      </c>
      <c r="H1400" s="16">
        <v>0</v>
      </c>
      <c r="I1400" s="11">
        <v>0</v>
      </c>
      <c r="J1400" s="11">
        <v>0</v>
      </c>
      <c r="K1400" s="11">
        <v>0</v>
      </c>
      <c r="L1400" s="11">
        <v>0</v>
      </c>
      <c r="M1400" s="11">
        <v>0</v>
      </c>
      <c r="N1400" s="11">
        <v>0</v>
      </c>
      <c r="O1400" s="11">
        <v>0</v>
      </c>
      <c r="P1400" s="11">
        <v>3.3947788301592198E-3</v>
      </c>
      <c r="Q1400" s="11">
        <v>0</v>
      </c>
      <c r="R1400" s="11">
        <v>0</v>
      </c>
      <c r="S1400" s="11">
        <v>0</v>
      </c>
      <c r="T1400" s="11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0</v>
      </c>
      <c r="AL1400">
        <v>0</v>
      </c>
      <c r="AM1400">
        <v>0</v>
      </c>
    </row>
    <row r="1401" spans="1:39" customFormat="1" hidden="1" x14ac:dyDescent="0.3">
      <c r="A1401" t="s">
        <v>123</v>
      </c>
      <c r="B1401" t="s">
        <v>30</v>
      </c>
      <c r="C1401" t="s">
        <v>81</v>
      </c>
      <c r="D1401" t="s">
        <v>80</v>
      </c>
      <c r="E1401" t="s">
        <v>122</v>
      </c>
      <c r="F1401" t="s">
        <v>121</v>
      </c>
      <c r="G1401" t="s">
        <v>120</v>
      </c>
      <c r="H1401" s="16">
        <v>0</v>
      </c>
      <c r="I1401" s="11">
        <v>0</v>
      </c>
      <c r="J1401" s="11">
        <v>0</v>
      </c>
      <c r="K1401" s="11">
        <v>0</v>
      </c>
      <c r="L1401" s="11">
        <v>0</v>
      </c>
      <c r="M1401" s="11">
        <v>0</v>
      </c>
      <c r="N1401" s="11">
        <v>0</v>
      </c>
      <c r="O1401" s="11">
        <v>0</v>
      </c>
      <c r="P1401" s="11">
        <v>0</v>
      </c>
      <c r="Q1401" s="11">
        <v>0</v>
      </c>
      <c r="R1401" s="11">
        <v>0</v>
      </c>
      <c r="S1401" s="11">
        <v>2.4883049666567102E-3</v>
      </c>
      <c r="T1401" s="1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  <c r="AJ1401">
        <v>0</v>
      </c>
      <c r="AK1401">
        <v>0</v>
      </c>
      <c r="AL1401">
        <v>0</v>
      </c>
      <c r="AM1401">
        <v>0</v>
      </c>
    </row>
    <row r="1402" spans="1:39" customFormat="1" hidden="1" x14ac:dyDescent="0.3">
      <c r="A1402" t="s">
        <v>119</v>
      </c>
      <c r="B1402" t="s">
        <v>30</v>
      </c>
      <c r="C1402" t="s">
        <v>81</v>
      </c>
      <c r="D1402" t="s">
        <v>118</v>
      </c>
      <c r="E1402" t="s">
        <v>117</v>
      </c>
      <c r="F1402" t="s">
        <v>116</v>
      </c>
      <c r="G1402" t="s">
        <v>25</v>
      </c>
      <c r="H1402" s="16">
        <v>0</v>
      </c>
      <c r="I1402" s="11">
        <v>0</v>
      </c>
      <c r="J1402" s="11">
        <v>0</v>
      </c>
      <c r="K1402" s="11">
        <v>0</v>
      </c>
      <c r="L1402" s="11">
        <v>0</v>
      </c>
      <c r="M1402" s="11">
        <v>0</v>
      </c>
      <c r="N1402" s="11">
        <v>0</v>
      </c>
      <c r="O1402" s="11">
        <v>0</v>
      </c>
      <c r="P1402" s="11">
        <v>0</v>
      </c>
      <c r="Q1402" s="11">
        <v>2.7492920572952501E-3</v>
      </c>
      <c r="R1402" s="11">
        <v>0</v>
      </c>
      <c r="S1402" s="11">
        <v>0</v>
      </c>
      <c r="T1402" s="11">
        <v>0</v>
      </c>
      <c r="U1402">
        <v>0</v>
      </c>
      <c r="V1402">
        <v>0</v>
      </c>
      <c r="W1402">
        <v>0</v>
      </c>
      <c r="X1402">
        <v>6.4242579982012101E-3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0</v>
      </c>
      <c r="AJ1402">
        <v>0</v>
      </c>
      <c r="AK1402">
        <v>0</v>
      </c>
      <c r="AL1402">
        <v>0</v>
      </c>
      <c r="AM1402">
        <v>0</v>
      </c>
    </row>
    <row r="1403" spans="1:39" customFormat="1" hidden="1" x14ac:dyDescent="0.3">
      <c r="A1403" t="s">
        <v>115</v>
      </c>
      <c r="B1403" t="s">
        <v>30</v>
      </c>
      <c r="C1403" t="s">
        <v>81</v>
      </c>
      <c r="D1403" t="s">
        <v>85</v>
      </c>
      <c r="E1403" t="s">
        <v>84</v>
      </c>
      <c r="F1403" t="s">
        <v>84</v>
      </c>
      <c r="G1403" t="s">
        <v>84</v>
      </c>
      <c r="H1403" s="16">
        <v>0</v>
      </c>
      <c r="I1403" s="11">
        <v>0</v>
      </c>
      <c r="J1403" s="11">
        <v>0</v>
      </c>
      <c r="K1403" s="11">
        <v>0</v>
      </c>
      <c r="L1403" s="11">
        <v>0</v>
      </c>
      <c r="M1403" s="11">
        <v>0</v>
      </c>
      <c r="N1403" s="11">
        <v>9.1671632213411597E-3</v>
      </c>
      <c r="O1403" s="11">
        <v>0</v>
      </c>
      <c r="P1403" s="11">
        <v>0</v>
      </c>
      <c r="Q1403" s="11">
        <v>0</v>
      </c>
      <c r="R1403" s="11">
        <v>0</v>
      </c>
      <c r="S1403" s="11">
        <v>0</v>
      </c>
      <c r="T1403" s="11">
        <v>0</v>
      </c>
      <c r="U1403">
        <v>0</v>
      </c>
      <c r="V1403">
        <v>3.6144142841652502E-3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0</v>
      </c>
      <c r="AE1403">
        <v>0</v>
      </c>
      <c r="AF1403">
        <v>0</v>
      </c>
      <c r="AG1403">
        <v>0</v>
      </c>
      <c r="AH1403">
        <v>0</v>
      </c>
      <c r="AI1403">
        <v>0</v>
      </c>
      <c r="AJ1403">
        <v>0</v>
      </c>
      <c r="AK1403">
        <v>0</v>
      </c>
      <c r="AL1403">
        <v>0</v>
      </c>
      <c r="AM1403">
        <v>0</v>
      </c>
    </row>
    <row r="1404" spans="1:39" customFormat="1" hidden="1" x14ac:dyDescent="0.3">
      <c r="A1404" t="s">
        <v>114</v>
      </c>
      <c r="B1404" t="s">
        <v>30</v>
      </c>
      <c r="C1404" t="s">
        <v>35</v>
      </c>
      <c r="D1404" t="s">
        <v>35</v>
      </c>
      <c r="E1404" t="s">
        <v>45</v>
      </c>
      <c r="F1404" t="s">
        <v>44</v>
      </c>
      <c r="G1404" t="s">
        <v>113</v>
      </c>
      <c r="H1404" s="16">
        <v>0</v>
      </c>
      <c r="I1404" s="11">
        <v>0</v>
      </c>
      <c r="J1404" s="11">
        <v>0</v>
      </c>
      <c r="K1404" s="11">
        <v>0</v>
      </c>
      <c r="L1404" s="11">
        <v>0</v>
      </c>
      <c r="M1404" s="11">
        <v>0</v>
      </c>
      <c r="N1404" s="11">
        <v>0</v>
      </c>
      <c r="O1404" s="11">
        <v>0</v>
      </c>
      <c r="P1404" s="11">
        <v>3.3947788301592198E-3</v>
      </c>
      <c r="Q1404" s="11">
        <v>0</v>
      </c>
      <c r="R1404" s="11">
        <v>0</v>
      </c>
      <c r="S1404" s="11">
        <v>0</v>
      </c>
      <c r="T1404" s="11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0</v>
      </c>
      <c r="AE1404">
        <v>0</v>
      </c>
      <c r="AF1404">
        <v>0</v>
      </c>
      <c r="AG1404">
        <v>2.3469220117815501E-3</v>
      </c>
      <c r="AH1404">
        <v>0</v>
      </c>
      <c r="AI1404">
        <v>0</v>
      </c>
      <c r="AJ1404">
        <v>0</v>
      </c>
      <c r="AK1404">
        <v>0</v>
      </c>
      <c r="AL1404">
        <v>0</v>
      </c>
      <c r="AM1404">
        <v>0</v>
      </c>
    </row>
    <row r="1405" spans="1:39" customFormat="1" hidden="1" x14ac:dyDescent="0.3">
      <c r="A1405" t="s">
        <v>112</v>
      </c>
      <c r="B1405" t="s">
        <v>30</v>
      </c>
      <c r="C1405" t="s">
        <v>111</v>
      </c>
      <c r="D1405" t="s">
        <v>110</v>
      </c>
      <c r="E1405" t="s">
        <v>109</v>
      </c>
      <c r="F1405" t="s">
        <v>108</v>
      </c>
      <c r="G1405" t="s">
        <v>107</v>
      </c>
      <c r="H1405" s="16">
        <v>0</v>
      </c>
      <c r="I1405" s="11">
        <v>0</v>
      </c>
      <c r="J1405" s="11">
        <v>0</v>
      </c>
      <c r="K1405" s="11">
        <v>0</v>
      </c>
      <c r="L1405" s="11">
        <v>0</v>
      </c>
      <c r="M1405" s="11">
        <v>0</v>
      </c>
      <c r="N1405" s="11">
        <v>0</v>
      </c>
      <c r="O1405" s="11">
        <v>3.75023438964935E-3</v>
      </c>
      <c r="P1405" s="11">
        <v>0</v>
      </c>
      <c r="Q1405" s="11">
        <v>0</v>
      </c>
      <c r="R1405" s="11">
        <v>0</v>
      </c>
      <c r="S1405" s="11">
        <v>0</v>
      </c>
      <c r="T1405" s="11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0</v>
      </c>
      <c r="AE1405">
        <v>0</v>
      </c>
      <c r="AF1405">
        <v>0</v>
      </c>
      <c r="AG1405">
        <v>0</v>
      </c>
      <c r="AH1405">
        <v>0</v>
      </c>
      <c r="AI1405">
        <v>0</v>
      </c>
      <c r="AJ1405">
        <v>0</v>
      </c>
      <c r="AK1405">
        <v>0</v>
      </c>
      <c r="AL1405">
        <v>0</v>
      </c>
      <c r="AM1405">
        <v>0</v>
      </c>
    </row>
    <row r="1406" spans="1:39" customFormat="1" hidden="1" x14ac:dyDescent="0.3">
      <c r="A1406" t="s">
        <v>106</v>
      </c>
      <c r="B1406" t="s">
        <v>30</v>
      </c>
      <c r="C1406" t="s">
        <v>29</v>
      </c>
      <c r="D1406" t="s">
        <v>28</v>
      </c>
      <c r="E1406" t="s">
        <v>105</v>
      </c>
      <c r="F1406" t="s">
        <v>105</v>
      </c>
      <c r="G1406" t="s">
        <v>105</v>
      </c>
      <c r="H1406" s="16">
        <v>0</v>
      </c>
      <c r="I1406" s="11">
        <v>0</v>
      </c>
      <c r="J1406" s="11">
        <v>0</v>
      </c>
      <c r="K1406" s="11">
        <v>0</v>
      </c>
      <c r="L1406" s="11">
        <v>0</v>
      </c>
      <c r="M1406" s="11">
        <v>0</v>
      </c>
      <c r="N1406" s="11">
        <v>0</v>
      </c>
      <c r="O1406" s="11">
        <v>0</v>
      </c>
      <c r="P1406" s="11">
        <v>0</v>
      </c>
      <c r="Q1406" s="11">
        <v>0</v>
      </c>
      <c r="R1406" s="11">
        <v>0</v>
      </c>
      <c r="S1406" s="11">
        <v>0</v>
      </c>
      <c r="T1406" s="11">
        <v>0</v>
      </c>
      <c r="U1406">
        <v>0</v>
      </c>
      <c r="V1406">
        <v>0</v>
      </c>
      <c r="W1406">
        <v>2.6668088964744798E-3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0</v>
      </c>
      <c r="AE1406">
        <v>0</v>
      </c>
      <c r="AF1406">
        <v>0</v>
      </c>
      <c r="AG1406">
        <v>0</v>
      </c>
      <c r="AH1406">
        <v>0</v>
      </c>
      <c r="AI1406">
        <v>0</v>
      </c>
      <c r="AJ1406">
        <v>0</v>
      </c>
      <c r="AK1406">
        <v>0</v>
      </c>
      <c r="AL1406">
        <v>0</v>
      </c>
      <c r="AM1406">
        <v>0</v>
      </c>
    </row>
    <row r="1407" spans="1:39" customFormat="1" hidden="1" x14ac:dyDescent="0.3">
      <c r="A1407" t="s">
        <v>104</v>
      </c>
      <c r="B1407" t="s">
        <v>30</v>
      </c>
      <c r="C1407" t="s">
        <v>103</v>
      </c>
      <c r="D1407" t="s">
        <v>102</v>
      </c>
      <c r="E1407" t="s">
        <v>101</v>
      </c>
      <c r="F1407" t="s">
        <v>100</v>
      </c>
      <c r="G1407" t="s">
        <v>99</v>
      </c>
      <c r="H1407" s="16">
        <v>0</v>
      </c>
      <c r="I1407" s="11">
        <v>0</v>
      </c>
      <c r="J1407" s="11">
        <v>0</v>
      </c>
      <c r="K1407" s="11">
        <v>0</v>
      </c>
      <c r="L1407" s="11">
        <v>0</v>
      </c>
      <c r="M1407" s="11">
        <v>0</v>
      </c>
      <c r="N1407" s="11">
        <v>0</v>
      </c>
      <c r="O1407" s="11">
        <v>0</v>
      </c>
      <c r="P1407" s="11">
        <v>0</v>
      </c>
      <c r="Q1407" s="11">
        <v>0</v>
      </c>
      <c r="R1407" s="11">
        <v>0</v>
      </c>
      <c r="S1407" s="11">
        <v>0</v>
      </c>
      <c r="T1407" s="11">
        <v>3.3464962184592698E-3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3.1774275546517499E-3</v>
      </c>
      <c r="AA1407">
        <v>0</v>
      </c>
      <c r="AB1407">
        <v>0</v>
      </c>
      <c r="AC1407">
        <v>0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0</v>
      </c>
      <c r="AJ1407">
        <v>0</v>
      </c>
      <c r="AK1407">
        <v>0</v>
      </c>
      <c r="AL1407">
        <v>0</v>
      </c>
      <c r="AM1407">
        <v>0</v>
      </c>
    </row>
    <row r="1408" spans="1:39" customFormat="1" hidden="1" x14ac:dyDescent="0.3">
      <c r="A1408" t="s">
        <v>98</v>
      </c>
      <c r="B1408" t="s">
        <v>30</v>
      </c>
      <c r="C1408" t="s">
        <v>81</v>
      </c>
      <c r="D1408" t="s">
        <v>85</v>
      </c>
      <c r="E1408" t="s">
        <v>84</v>
      </c>
      <c r="F1408" t="s">
        <v>84</v>
      </c>
      <c r="G1408" t="s">
        <v>84</v>
      </c>
      <c r="H1408" s="16">
        <v>0</v>
      </c>
      <c r="I1408" s="11">
        <v>0</v>
      </c>
      <c r="J1408" s="11">
        <v>0</v>
      </c>
      <c r="K1408" s="11">
        <v>0</v>
      </c>
      <c r="L1408" s="11">
        <v>0</v>
      </c>
      <c r="M1408" s="11">
        <v>0</v>
      </c>
      <c r="N1408" s="11">
        <v>0</v>
      </c>
      <c r="O1408" s="11">
        <v>0</v>
      </c>
      <c r="P1408" s="11">
        <v>0</v>
      </c>
      <c r="Q1408" s="11">
        <v>2.7492920572952501E-3</v>
      </c>
      <c r="R1408" s="11">
        <v>0</v>
      </c>
      <c r="S1408" s="11">
        <v>0</v>
      </c>
      <c r="T1408" s="11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7.1911405148856597E-3</v>
      </c>
      <c r="AD1408">
        <v>0</v>
      </c>
      <c r="AE1408">
        <v>0</v>
      </c>
      <c r="AF1408">
        <v>0</v>
      </c>
      <c r="AG1408">
        <v>0</v>
      </c>
      <c r="AH1408">
        <v>0</v>
      </c>
      <c r="AI1408">
        <v>0</v>
      </c>
      <c r="AJ1408">
        <v>3.5915670006823998E-3</v>
      </c>
      <c r="AK1408">
        <v>0</v>
      </c>
      <c r="AL1408">
        <v>0</v>
      </c>
      <c r="AM1408">
        <v>0</v>
      </c>
    </row>
    <row r="1409" spans="1:39" customFormat="1" hidden="1" x14ac:dyDescent="0.3">
      <c r="A1409" t="s">
        <v>97</v>
      </c>
      <c r="B1409" t="s">
        <v>30</v>
      </c>
      <c r="C1409" t="s">
        <v>81</v>
      </c>
      <c r="D1409" t="s">
        <v>85</v>
      </c>
      <c r="E1409" t="s">
        <v>84</v>
      </c>
      <c r="F1409" t="s">
        <v>84</v>
      </c>
      <c r="G1409" t="s">
        <v>84</v>
      </c>
      <c r="H1409" s="16">
        <v>0</v>
      </c>
      <c r="I1409" s="11">
        <v>3.6565745209887401E-3</v>
      </c>
      <c r="J1409" s="11">
        <v>0</v>
      </c>
      <c r="K1409" s="11">
        <v>0</v>
      </c>
      <c r="L1409" s="11">
        <v>0</v>
      </c>
      <c r="M1409" s="11">
        <v>0</v>
      </c>
      <c r="N1409" s="11">
        <v>0</v>
      </c>
      <c r="O1409" s="11">
        <v>0</v>
      </c>
      <c r="P1409" s="11">
        <v>0</v>
      </c>
      <c r="Q1409" s="11">
        <v>0</v>
      </c>
      <c r="R1409" s="11">
        <v>0</v>
      </c>
      <c r="S1409" s="11">
        <v>0</v>
      </c>
      <c r="T1409" s="11">
        <v>0</v>
      </c>
      <c r="U1409">
        <v>0</v>
      </c>
      <c r="V1409">
        <v>0</v>
      </c>
      <c r="W1409">
        <v>0</v>
      </c>
      <c r="X1409">
        <v>6.4242579982012101E-3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>
        <v>0</v>
      </c>
      <c r="AJ1409">
        <v>0</v>
      </c>
      <c r="AK1409">
        <v>0</v>
      </c>
      <c r="AL1409">
        <v>0</v>
      </c>
      <c r="AM1409">
        <v>0</v>
      </c>
    </row>
    <row r="1410" spans="1:39" customFormat="1" hidden="1" x14ac:dyDescent="0.3">
      <c r="A1410" t="s">
        <v>96</v>
      </c>
      <c r="B1410" t="s">
        <v>30</v>
      </c>
      <c r="C1410" t="s">
        <v>29</v>
      </c>
      <c r="D1410" t="s">
        <v>28</v>
      </c>
      <c r="E1410" t="s">
        <v>91</v>
      </c>
      <c r="F1410" t="s">
        <v>95</v>
      </c>
      <c r="G1410" t="s">
        <v>94</v>
      </c>
      <c r="H1410" s="16">
        <v>0</v>
      </c>
      <c r="I1410" s="11">
        <v>0</v>
      </c>
      <c r="J1410" s="11">
        <v>0</v>
      </c>
      <c r="K1410" s="11">
        <v>0</v>
      </c>
      <c r="L1410" s="11">
        <v>0</v>
      </c>
      <c r="M1410" s="11">
        <v>0</v>
      </c>
      <c r="N1410" s="11">
        <v>0</v>
      </c>
      <c r="O1410" s="11">
        <v>0</v>
      </c>
      <c r="P1410" s="11">
        <v>0</v>
      </c>
      <c r="Q1410" s="11">
        <v>0</v>
      </c>
      <c r="R1410" s="11">
        <v>0</v>
      </c>
      <c r="S1410" s="11">
        <v>2.4883049666567102E-3</v>
      </c>
      <c r="T1410" s="11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0</v>
      </c>
      <c r="AE1410">
        <v>3.4299434059338E-3</v>
      </c>
      <c r="AF1410">
        <v>0</v>
      </c>
      <c r="AG1410">
        <v>0</v>
      </c>
      <c r="AH1410">
        <v>0</v>
      </c>
      <c r="AI1410">
        <v>0</v>
      </c>
      <c r="AJ1410">
        <v>0</v>
      </c>
      <c r="AK1410">
        <v>0</v>
      </c>
      <c r="AL1410">
        <v>0</v>
      </c>
      <c r="AM1410">
        <v>0</v>
      </c>
    </row>
    <row r="1411" spans="1:39" customFormat="1" hidden="1" x14ac:dyDescent="0.3">
      <c r="A1411" t="s">
        <v>93</v>
      </c>
      <c r="B1411" t="s">
        <v>30</v>
      </c>
      <c r="C1411" t="s">
        <v>29</v>
      </c>
      <c r="D1411" t="s">
        <v>28</v>
      </c>
      <c r="E1411" t="s">
        <v>91</v>
      </c>
      <c r="F1411" t="s">
        <v>90</v>
      </c>
      <c r="G1411" t="s">
        <v>89</v>
      </c>
      <c r="H1411" s="16">
        <v>0</v>
      </c>
      <c r="I1411" s="11">
        <v>0</v>
      </c>
      <c r="J1411" s="11">
        <v>0</v>
      </c>
      <c r="K1411" s="11">
        <v>0</v>
      </c>
      <c r="L1411" s="11">
        <v>0</v>
      </c>
      <c r="M1411" s="11">
        <v>0</v>
      </c>
      <c r="N1411" s="11">
        <v>0</v>
      </c>
      <c r="O1411" s="11">
        <v>0</v>
      </c>
      <c r="P1411" s="11">
        <v>0</v>
      </c>
      <c r="Q1411" s="11">
        <v>0</v>
      </c>
      <c r="R1411" s="11">
        <v>2.2441148089136199E-3</v>
      </c>
      <c r="S1411" s="11">
        <v>0</v>
      </c>
      <c r="T1411" s="11">
        <v>0</v>
      </c>
      <c r="U1411">
        <v>0</v>
      </c>
      <c r="V1411">
        <v>0</v>
      </c>
      <c r="W1411">
        <v>2.6668088964744798E-3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0</v>
      </c>
      <c r="AL1411">
        <v>0</v>
      </c>
      <c r="AM1411">
        <v>0</v>
      </c>
    </row>
    <row r="1412" spans="1:39" customFormat="1" hidden="1" x14ac:dyDescent="0.3">
      <c r="A1412" t="s">
        <v>88</v>
      </c>
      <c r="B1412" t="s">
        <v>30</v>
      </c>
      <c r="C1412" t="s">
        <v>81</v>
      </c>
      <c r="D1412" t="s">
        <v>85</v>
      </c>
      <c r="E1412" t="s">
        <v>84</v>
      </c>
      <c r="F1412" t="s">
        <v>84</v>
      </c>
      <c r="G1412" t="s">
        <v>84</v>
      </c>
      <c r="H1412" s="16">
        <v>0</v>
      </c>
      <c r="I1412" s="11">
        <v>0</v>
      </c>
      <c r="J1412" s="11">
        <v>0</v>
      </c>
      <c r="K1412" s="11">
        <v>0</v>
      </c>
      <c r="L1412" s="11">
        <v>0</v>
      </c>
      <c r="M1412" s="11">
        <v>0</v>
      </c>
      <c r="N1412" s="11">
        <v>0</v>
      </c>
      <c r="O1412" s="11">
        <v>0</v>
      </c>
      <c r="P1412" s="11">
        <v>0</v>
      </c>
      <c r="Q1412" s="11">
        <v>2.7492920572952501E-3</v>
      </c>
      <c r="R1412" s="11">
        <v>0</v>
      </c>
      <c r="S1412" s="11">
        <v>2.4883049666567102E-3</v>
      </c>
      <c r="T1412" s="11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0</v>
      </c>
      <c r="AE1412">
        <v>0</v>
      </c>
      <c r="AF1412">
        <v>0</v>
      </c>
      <c r="AG1412">
        <v>0</v>
      </c>
      <c r="AH1412">
        <v>0</v>
      </c>
      <c r="AI1412">
        <v>0</v>
      </c>
      <c r="AJ1412">
        <v>3.5915670006823998E-3</v>
      </c>
      <c r="AK1412">
        <v>0</v>
      </c>
      <c r="AL1412">
        <v>0</v>
      </c>
      <c r="AM1412">
        <v>0</v>
      </c>
    </row>
    <row r="1413" spans="1:39" customFormat="1" hidden="1" x14ac:dyDescent="0.3">
      <c r="A1413" t="s">
        <v>87</v>
      </c>
      <c r="B1413" t="s">
        <v>30</v>
      </c>
      <c r="C1413" t="s">
        <v>81</v>
      </c>
      <c r="D1413" t="s">
        <v>85</v>
      </c>
      <c r="E1413" t="s">
        <v>84</v>
      </c>
      <c r="F1413" t="s">
        <v>84</v>
      </c>
      <c r="G1413" t="s">
        <v>84</v>
      </c>
      <c r="H1413" s="16">
        <v>0</v>
      </c>
      <c r="I1413" s="11">
        <v>0</v>
      </c>
      <c r="J1413" s="11">
        <v>0</v>
      </c>
      <c r="K1413" s="11">
        <v>0</v>
      </c>
      <c r="L1413" s="11">
        <v>0</v>
      </c>
      <c r="M1413" s="11">
        <v>0</v>
      </c>
      <c r="N1413" s="11">
        <v>0</v>
      </c>
      <c r="O1413" s="11">
        <v>0</v>
      </c>
      <c r="P1413" s="11">
        <v>0</v>
      </c>
      <c r="Q1413" s="11">
        <v>0</v>
      </c>
      <c r="R1413" s="11">
        <v>0</v>
      </c>
      <c r="S1413" s="11">
        <v>0</v>
      </c>
      <c r="T1413" s="11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0</v>
      </c>
      <c r="AE1413">
        <v>0</v>
      </c>
      <c r="AF1413">
        <v>0</v>
      </c>
      <c r="AG1413">
        <v>0</v>
      </c>
      <c r="AH1413">
        <v>0</v>
      </c>
      <c r="AI1413">
        <v>0</v>
      </c>
      <c r="AJ1413">
        <v>0</v>
      </c>
      <c r="AK1413">
        <v>0</v>
      </c>
      <c r="AL1413">
        <v>0</v>
      </c>
      <c r="AM1413">
        <v>0</v>
      </c>
    </row>
    <row r="1414" spans="1:39" customFormat="1" hidden="1" x14ac:dyDescent="0.3">
      <c r="A1414" t="s">
        <v>83</v>
      </c>
      <c r="B1414" t="s">
        <v>30</v>
      </c>
      <c r="C1414" t="s">
        <v>81</v>
      </c>
      <c r="D1414" t="s">
        <v>80</v>
      </c>
      <c r="E1414" t="s">
        <v>79</v>
      </c>
      <c r="F1414" t="s">
        <v>78</v>
      </c>
      <c r="G1414" t="s">
        <v>77</v>
      </c>
      <c r="H1414" s="16">
        <v>0</v>
      </c>
      <c r="I1414" s="11">
        <v>0</v>
      </c>
      <c r="J1414" s="11">
        <v>0</v>
      </c>
      <c r="K1414" s="11">
        <v>0</v>
      </c>
      <c r="L1414" s="11">
        <v>0</v>
      </c>
      <c r="M1414" s="11">
        <v>7.0977358222727004E-3</v>
      </c>
      <c r="N1414" s="11">
        <v>0</v>
      </c>
      <c r="O1414" s="11">
        <v>0</v>
      </c>
      <c r="P1414" s="11">
        <v>0</v>
      </c>
      <c r="Q1414" s="11">
        <v>0</v>
      </c>
      <c r="R1414" s="11">
        <v>0</v>
      </c>
      <c r="S1414" s="11">
        <v>0</v>
      </c>
      <c r="T1414" s="11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0</v>
      </c>
      <c r="AL1414">
        <v>0</v>
      </c>
      <c r="AM1414">
        <v>0</v>
      </c>
    </row>
    <row r="1415" spans="1:39" customFormat="1" hidden="1" x14ac:dyDescent="0.3">
      <c r="A1415" t="s">
        <v>82</v>
      </c>
      <c r="B1415" t="s">
        <v>30</v>
      </c>
      <c r="C1415" t="s">
        <v>81</v>
      </c>
      <c r="D1415" t="s">
        <v>80</v>
      </c>
      <c r="E1415" t="s">
        <v>79</v>
      </c>
      <c r="F1415" t="s">
        <v>78</v>
      </c>
      <c r="G1415" t="s">
        <v>77</v>
      </c>
      <c r="H1415" s="16">
        <v>0</v>
      </c>
      <c r="I1415" s="11">
        <v>0</v>
      </c>
      <c r="J1415" s="11">
        <v>0</v>
      </c>
      <c r="K1415" s="11">
        <v>0</v>
      </c>
      <c r="L1415" s="11">
        <v>0</v>
      </c>
      <c r="M1415" s="11">
        <v>7.0977358222727004E-3</v>
      </c>
      <c r="N1415" s="11">
        <v>0</v>
      </c>
      <c r="O1415" s="11">
        <v>0</v>
      </c>
      <c r="P1415" s="11">
        <v>0</v>
      </c>
      <c r="Q1415" s="11">
        <v>0</v>
      </c>
      <c r="R1415" s="11">
        <v>0</v>
      </c>
      <c r="S1415" s="11">
        <v>0</v>
      </c>
      <c r="T1415" s="11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0</v>
      </c>
      <c r="AL1415">
        <v>0</v>
      </c>
      <c r="AM1415">
        <v>0</v>
      </c>
    </row>
    <row r="1416" spans="1:39" customFormat="1" hidden="1" x14ac:dyDescent="0.3">
      <c r="A1416" t="s">
        <v>76</v>
      </c>
      <c r="B1416" t="s">
        <v>30</v>
      </c>
      <c r="C1416" t="s">
        <v>35</v>
      </c>
      <c r="D1416" t="s">
        <v>35</v>
      </c>
      <c r="E1416" t="s">
        <v>45</v>
      </c>
      <c r="F1416" t="s">
        <v>44</v>
      </c>
      <c r="G1416" t="s">
        <v>43</v>
      </c>
      <c r="H1416" s="16">
        <v>0</v>
      </c>
      <c r="I1416" s="11">
        <v>0</v>
      </c>
      <c r="J1416" s="11">
        <v>0</v>
      </c>
      <c r="K1416" s="11">
        <v>0</v>
      </c>
      <c r="L1416" s="11">
        <v>0</v>
      </c>
      <c r="M1416" s="11">
        <v>0</v>
      </c>
      <c r="N1416" s="11">
        <v>0</v>
      </c>
      <c r="O1416" s="11">
        <v>0</v>
      </c>
      <c r="P1416" s="11">
        <v>0</v>
      </c>
      <c r="Q1416" s="11">
        <v>0</v>
      </c>
      <c r="R1416" s="11">
        <v>0</v>
      </c>
      <c r="S1416" s="11">
        <v>0</v>
      </c>
      <c r="T1416" s="11">
        <v>0</v>
      </c>
      <c r="U1416">
        <v>0</v>
      </c>
      <c r="V1416">
        <v>0</v>
      </c>
      <c r="W1416">
        <v>2.6668088964744798E-3</v>
      </c>
      <c r="X1416">
        <v>0</v>
      </c>
      <c r="Y1416">
        <v>0</v>
      </c>
      <c r="Z1416">
        <v>3.1774275546517499E-3</v>
      </c>
      <c r="AA1416">
        <v>0</v>
      </c>
      <c r="AB1416">
        <v>0</v>
      </c>
      <c r="AC1416">
        <v>0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  <c r="AJ1416">
        <v>0</v>
      </c>
      <c r="AK1416">
        <v>0</v>
      </c>
      <c r="AL1416">
        <v>0</v>
      </c>
      <c r="AM1416">
        <v>0</v>
      </c>
    </row>
    <row r="1417" spans="1:39" customFormat="1" hidden="1" x14ac:dyDescent="0.3">
      <c r="A1417" t="s">
        <v>75</v>
      </c>
      <c r="B1417" t="s">
        <v>30</v>
      </c>
      <c r="C1417" t="s">
        <v>29</v>
      </c>
      <c r="D1417" t="s">
        <v>28</v>
      </c>
      <c r="E1417" t="s">
        <v>27</v>
      </c>
      <c r="F1417" t="s">
        <v>64</v>
      </c>
      <c r="G1417" t="s">
        <v>63</v>
      </c>
      <c r="H1417" s="16">
        <v>0</v>
      </c>
      <c r="I1417" s="11">
        <v>0</v>
      </c>
      <c r="J1417" s="11">
        <v>4.3593879419329502E-3</v>
      </c>
      <c r="K1417" s="11">
        <v>0</v>
      </c>
      <c r="L1417" s="11">
        <v>0</v>
      </c>
      <c r="M1417" s="11">
        <v>0</v>
      </c>
      <c r="N1417" s="11">
        <v>0</v>
      </c>
      <c r="O1417" s="11">
        <v>0</v>
      </c>
      <c r="P1417" s="11">
        <v>0</v>
      </c>
      <c r="Q1417" s="11">
        <v>0</v>
      </c>
      <c r="R1417" s="11">
        <v>2.2441148089136199E-3</v>
      </c>
      <c r="S1417" s="11">
        <v>0</v>
      </c>
      <c r="T1417" s="11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0</v>
      </c>
      <c r="AE1417">
        <v>0</v>
      </c>
      <c r="AF1417">
        <v>0</v>
      </c>
      <c r="AG1417">
        <v>0</v>
      </c>
      <c r="AH1417">
        <v>0</v>
      </c>
      <c r="AI1417">
        <v>0</v>
      </c>
      <c r="AJ1417">
        <v>0</v>
      </c>
      <c r="AK1417">
        <v>0</v>
      </c>
      <c r="AL1417">
        <v>0</v>
      </c>
      <c r="AM1417">
        <v>0</v>
      </c>
    </row>
    <row r="1418" spans="1:39" customFormat="1" hidden="1" x14ac:dyDescent="0.3">
      <c r="A1418" t="s">
        <v>74</v>
      </c>
      <c r="B1418" t="s">
        <v>30</v>
      </c>
      <c r="C1418" t="s">
        <v>29</v>
      </c>
      <c r="D1418" t="s">
        <v>28</v>
      </c>
      <c r="E1418" t="s">
        <v>27</v>
      </c>
      <c r="F1418" t="s">
        <v>26</v>
      </c>
      <c r="G1418" t="s">
        <v>25</v>
      </c>
      <c r="H1418" s="16">
        <v>0</v>
      </c>
      <c r="I1418" s="11">
        <v>0</v>
      </c>
      <c r="J1418" s="11">
        <v>0</v>
      </c>
      <c r="K1418" s="11">
        <v>0</v>
      </c>
      <c r="L1418" s="11">
        <v>0</v>
      </c>
      <c r="M1418" s="11">
        <v>3.5488679111363502E-3</v>
      </c>
      <c r="N1418" s="11">
        <v>0</v>
      </c>
      <c r="O1418" s="11">
        <v>0</v>
      </c>
      <c r="P1418" s="11">
        <v>0</v>
      </c>
      <c r="Q1418" s="11">
        <v>0</v>
      </c>
      <c r="R1418" s="11">
        <v>0</v>
      </c>
      <c r="S1418" s="11">
        <v>0</v>
      </c>
      <c r="T1418" s="11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6.02700096432015E-3</v>
      </c>
      <c r="AL1418">
        <v>0</v>
      </c>
      <c r="AM1418">
        <v>0</v>
      </c>
    </row>
    <row r="1419" spans="1:39" customFormat="1" hidden="1" x14ac:dyDescent="0.3">
      <c r="A1419" t="s">
        <v>73</v>
      </c>
      <c r="B1419" t="s">
        <v>30</v>
      </c>
      <c r="C1419" t="s">
        <v>29</v>
      </c>
      <c r="D1419" t="s">
        <v>28</v>
      </c>
      <c r="E1419" t="s">
        <v>27</v>
      </c>
      <c r="F1419" t="s">
        <v>26</v>
      </c>
      <c r="G1419" t="s">
        <v>25</v>
      </c>
      <c r="H1419" s="16">
        <v>0</v>
      </c>
      <c r="I1419" s="11">
        <v>0</v>
      </c>
      <c r="J1419" s="11">
        <v>0</v>
      </c>
      <c r="K1419" s="11">
        <v>0</v>
      </c>
      <c r="L1419" s="11">
        <v>0</v>
      </c>
      <c r="M1419" s="11">
        <v>0</v>
      </c>
      <c r="N1419" s="11">
        <v>0</v>
      </c>
      <c r="O1419" s="11">
        <v>0</v>
      </c>
      <c r="P1419" s="11">
        <v>0</v>
      </c>
      <c r="Q1419" s="11">
        <v>0</v>
      </c>
      <c r="R1419" s="11">
        <v>0</v>
      </c>
      <c r="S1419" s="11">
        <v>2.4883049666567102E-3</v>
      </c>
      <c r="T1419" s="11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0</v>
      </c>
      <c r="AE1419">
        <v>0</v>
      </c>
      <c r="AF1419">
        <v>0</v>
      </c>
      <c r="AG1419">
        <v>0</v>
      </c>
      <c r="AH1419">
        <v>4.6410173109945703E-3</v>
      </c>
      <c r="AI1419">
        <v>0</v>
      </c>
      <c r="AJ1419">
        <v>0</v>
      </c>
      <c r="AK1419">
        <v>0</v>
      </c>
      <c r="AL1419">
        <v>0</v>
      </c>
      <c r="AM1419">
        <v>0</v>
      </c>
    </row>
    <row r="1420" spans="1:39" customFormat="1" hidden="1" x14ac:dyDescent="0.3">
      <c r="A1420" t="s">
        <v>72</v>
      </c>
      <c r="B1420" t="s">
        <v>30</v>
      </c>
      <c r="C1420" t="s">
        <v>29</v>
      </c>
      <c r="D1420" t="s">
        <v>28</v>
      </c>
      <c r="E1420" t="s">
        <v>27</v>
      </c>
      <c r="F1420" t="s">
        <v>26</v>
      </c>
      <c r="G1420" t="s">
        <v>25</v>
      </c>
      <c r="H1420" s="16">
        <v>0</v>
      </c>
      <c r="I1420" s="11">
        <v>3.6565745209887401E-3</v>
      </c>
      <c r="J1420" s="11">
        <v>0</v>
      </c>
      <c r="K1420" s="11">
        <v>0</v>
      </c>
      <c r="L1420" s="11">
        <v>6.6037112857425901E-3</v>
      </c>
      <c r="M1420" s="11">
        <v>0</v>
      </c>
      <c r="N1420" s="11">
        <v>0</v>
      </c>
      <c r="O1420" s="11">
        <v>0</v>
      </c>
      <c r="P1420" s="11">
        <v>0</v>
      </c>
      <c r="Q1420" s="11">
        <v>0</v>
      </c>
      <c r="R1420" s="11">
        <v>0</v>
      </c>
      <c r="S1420" s="11">
        <v>0</v>
      </c>
      <c r="T1420" s="11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  <c r="AJ1420">
        <v>0</v>
      </c>
      <c r="AK1420">
        <v>0</v>
      </c>
      <c r="AL1420">
        <v>0</v>
      </c>
      <c r="AM1420">
        <v>0</v>
      </c>
    </row>
    <row r="1421" spans="1:39" customFormat="1" hidden="1" x14ac:dyDescent="0.3">
      <c r="A1421" t="s">
        <v>71</v>
      </c>
      <c r="B1421" t="s">
        <v>30</v>
      </c>
      <c r="C1421" t="s">
        <v>29</v>
      </c>
      <c r="D1421" t="s">
        <v>28</v>
      </c>
      <c r="E1421" t="s">
        <v>27</v>
      </c>
      <c r="F1421" t="s">
        <v>26</v>
      </c>
      <c r="G1421" t="s">
        <v>25</v>
      </c>
      <c r="H1421" s="16">
        <v>0</v>
      </c>
      <c r="I1421" s="11">
        <v>0</v>
      </c>
      <c r="J1421" s="11">
        <v>0</v>
      </c>
      <c r="K1421" s="11">
        <v>0</v>
      </c>
      <c r="L1421" s="11">
        <v>0</v>
      </c>
      <c r="M1421" s="11">
        <v>0</v>
      </c>
      <c r="N1421" s="11">
        <v>0</v>
      </c>
      <c r="O1421" s="11">
        <v>0</v>
      </c>
      <c r="P1421" s="11">
        <v>3.3947788301592198E-3</v>
      </c>
      <c r="Q1421" s="11">
        <v>2.7492920572952501E-3</v>
      </c>
      <c r="R1421" s="11">
        <v>0</v>
      </c>
      <c r="S1421" s="11">
        <v>0</v>
      </c>
      <c r="T1421" s="1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0</v>
      </c>
      <c r="AL1421">
        <v>0</v>
      </c>
      <c r="AM1421">
        <v>0</v>
      </c>
    </row>
    <row r="1422" spans="1:39" customFormat="1" hidden="1" x14ac:dyDescent="0.3">
      <c r="A1422" t="s">
        <v>70</v>
      </c>
      <c r="B1422" t="s">
        <v>30</v>
      </c>
      <c r="C1422" t="s">
        <v>29</v>
      </c>
      <c r="D1422" t="s">
        <v>28</v>
      </c>
      <c r="E1422" t="s">
        <v>27</v>
      </c>
      <c r="F1422" t="s">
        <v>26</v>
      </c>
      <c r="G1422" t="s">
        <v>69</v>
      </c>
      <c r="H1422" s="16">
        <v>0</v>
      </c>
      <c r="I1422" s="11">
        <v>0</v>
      </c>
      <c r="J1422" s="11">
        <v>0</v>
      </c>
      <c r="K1422" s="11">
        <v>0</v>
      </c>
      <c r="L1422" s="11">
        <v>0</v>
      </c>
      <c r="M1422" s="11">
        <v>0</v>
      </c>
      <c r="N1422" s="11">
        <v>0</v>
      </c>
      <c r="O1422" s="11">
        <v>0</v>
      </c>
      <c r="P1422" s="11">
        <v>0</v>
      </c>
      <c r="Q1422" s="11">
        <v>0</v>
      </c>
      <c r="R1422" s="11">
        <v>2.2441148089136199E-3</v>
      </c>
      <c r="S1422" s="11">
        <v>0</v>
      </c>
      <c r="T1422" s="11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3.1774275546517499E-3</v>
      </c>
      <c r="AA1422">
        <v>0</v>
      </c>
      <c r="AB1422">
        <v>0</v>
      </c>
      <c r="AC1422">
        <v>0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0</v>
      </c>
      <c r="AJ1422">
        <v>0</v>
      </c>
      <c r="AK1422">
        <v>0</v>
      </c>
      <c r="AL1422">
        <v>0</v>
      </c>
      <c r="AM1422">
        <v>0</v>
      </c>
    </row>
    <row r="1423" spans="1:39" customFormat="1" hidden="1" x14ac:dyDescent="0.3">
      <c r="A1423" t="s">
        <v>68</v>
      </c>
      <c r="B1423" t="s">
        <v>30</v>
      </c>
      <c r="C1423" t="s">
        <v>29</v>
      </c>
      <c r="D1423" t="s">
        <v>28</v>
      </c>
      <c r="E1423" t="s">
        <v>27</v>
      </c>
      <c r="F1423" t="s">
        <v>67</v>
      </c>
      <c r="G1423" t="s">
        <v>66</v>
      </c>
      <c r="H1423" s="16">
        <v>0</v>
      </c>
      <c r="I1423" s="11">
        <v>0</v>
      </c>
      <c r="J1423" s="11">
        <v>0</v>
      </c>
      <c r="K1423" s="11">
        <v>0</v>
      </c>
      <c r="L1423" s="11">
        <v>0</v>
      </c>
      <c r="M1423" s="11">
        <v>0</v>
      </c>
      <c r="N1423" s="11">
        <v>0</v>
      </c>
      <c r="O1423" s="11">
        <v>0</v>
      </c>
      <c r="P1423" s="11">
        <v>0</v>
      </c>
      <c r="Q1423" s="11">
        <v>0</v>
      </c>
      <c r="R1423" s="11">
        <v>0</v>
      </c>
      <c r="S1423" s="11">
        <v>0</v>
      </c>
      <c r="T1423" s="11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6.3548551093035102E-3</v>
      </c>
      <c r="AA1423">
        <v>0</v>
      </c>
      <c r="AB1423">
        <v>0</v>
      </c>
      <c r="AC1423">
        <v>0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0</v>
      </c>
      <c r="AJ1423">
        <v>0</v>
      </c>
      <c r="AK1423">
        <v>0</v>
      </c>
      <c r="AL1423">
        <v>0</v>
      </c>
      <c r="AM1423">
        <v>0</v>
      </c>
    </row>
    <row r="1424" spans="1:39" customFormat="1" hidden="1" x14ac:dyDescent="0.3">
      <c r="A1424" t="s">
        <v>65</v>
      </c>
      <c r="B1424" t="s">
        <v>30</v>
      </c>
      <c r="C1424" t="s">
        <v>29</v>
      </c>
      <c r="D1424" t="s">
        <v>28</v>
      </c>
      <c r="E1424" t="s">
        <v>27</v>
      </c>
      <c r="F1424" t="s">
        <v>64</v>
      </c>
      <c r="G1424" t="s">
        <v>63</v>
      </c>
      <c r="H1424" s="16">
        <v>0</v>
      </c>
      <c r="I1424" s="11">
        <v>0</v>
      </c>
      <c r="J1424" s="11">
        <v>0</v>
      </c>
      <c r="K1424" s="11">
        <v>0</v>
      </c>
      <c r="L1424" s="11">
        <v>0</v>
      </c>
      <c r="M1424" s="11">
        <v>0</v>
      </c>
      <c r="N1424" s="11">
        <v>0</v>
      </c>
      <c r="O1424" s="11">
        <v>3.75023438964935E-3</v>
      </c>
      <c r="P1424" s="11">
        <v>0</v>
      </c>
      <c r="Q1424" s="11">
        <v>0</v>
      </c>
      <c r="R1424" s="11">
        <v>0</v>
      </c>
      <c r="S1424" s="11">
        <v>0</v>
      </c>
      <c r="T1424" s="11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3.1774275546517499E-3</v>
      </c>
      <c r="AA1424">
        <v>0</v>
      </c>
      <c r="AB1424">
        <v>0</v>
      </c>
      <c r="AC1424">
        <v>0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0</v>
      </c>
      <c r="AL1424">
        <v>0</v>
      </c>
      <c r="AM1424">
        <v>0</v>
      </c>
    </row>
    <row r="1425" spans="1:39" customFormat="1" hidden="1" x14ac:dyDescent="0.3">
      <c r="A1425" t="s">
        <v>62</v>
      </c>
      <c r="B1425" t="s">
        <v>30</v>
      </c>
      <c r="C1425" t="s">
        <v>29</v>
      </c>
      <c r="D1425" t="s">
        <v>28</v>
      </c>
      <c r="E1425" t="s">
        <v>27</v>
      </c>
      <c r="F1425" t="s">
        <v>61</v>
      </c>
      <c r="G1425" t="s">
        <v>60</v>
      </c>
      <c r="H1425" s="16">
        <v>0</v>
      </c>
      <c r="I1425" s="11">
        <v>0</v>
      </c>
      <c r="J1425" s="11">
        <v>0</v>
      </c>
      <c r="K1425" s="11">
        <v>0</v>
      </c>
      <c r="L1425" s="11">
        <v>0</v>
      </c>
      <c r="M1425" s="11">
        <v>0</v>
      </c>
      <c r="N1425" s="11">
        <v>0</v>
      </c>
      <c r="O1425" s="11">
        <v>0</v>
      </c>
      <c r="P1425" s="11">
        <v>0</v>
      </c>
      <c r="Q1425" s="11">
        <v>0</v>
      </c>
      <c r="R1425" s="11">
        <v>0</v>
      </c>
      <c r="S1425" s="11">
        <v>0</v>
      </c>
      <c r="T1425" s="11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4.5118209709438702E-3</v>
      </c>
      <c r="AC1425">
        <v>0</v>
      </c>
      <c r="AD1425">
        <v>0</v>
      </c>
      <c r="AE1425">
        <v>3.4299434059338E-3</v>
      </c>
      <c r="AF1425">
        <v>0</v>
      </c>
      <c r="AG1425">
        <v>0</v>
      </c>
      <c r="AH1425">
        <v>0</v>
      </c>
      <c r="AI1425">
        <v>0</v>
      </c>
      <c r="AJ1425">
        <v>0</v>
      </c>
      <c r="AK1425">
        <v>0</v>
      </c>
      <c r="AL1425">
        <v>0</v>
      </c>
      <c r="AM1425">
        <v>0</v>
      </c>
    </row>
    <row r="1426" spans="1:39" customFormat="1" hidden="1" x14ac:dyDescent="0.3">
      <c r="A1426" t="s">
        <v>59</v>
      </c>
      <c r="B1426" t="s">
        <v>30</v>
      </c>
      <c r="C1426" t="s">
        <v>29</v>
      </c>
      <c r="D1426" t="s">
        <v>28</v>
      </c>
      <c r="E1426" t="s">
        <v>27</v>
      </c>
      <c r="F1426" t="s">
        <v>58</v>
      </c>
      <c r="G1426" t="s">
        <v>57</v>
      </c>
      <c r="H1426" s="16">
        <v>0</v>
      </c>
      <c r="I1426" s="11">
        <v>0</v>
      </c>
      <c r="J1426" s="11">
        <v>0</v>
      </c>
      <c r="K1426" s="11">
        <v>0</v>
      </c>
      <c r="L1426" s="11">
        <v>0</v>
      </c>
      <c r="M1426" s="11">
        <v>0</v>
      </c>
      <c r="N1426" s="11">
        <v>0</v>
      </c>
      <c r="O1426" s="11">
        <v>0</v>
      </c>
      <c r="P1426" s="11">
        <v>0</v>
      </c>
      <c r="Q1426" s="11">
        <v>5.4985841145904898E-3</v>
      </c>
      <c r="R1426" s="11">
        <v>0</v>
      </c>
      <c r="S1426" s="11">
        <v>0</v>
      </c>
      <c r="T1426" s="11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0</v>
      </c>
      <c r="AE1426">
        <v>0</v>
      </c>
      <c r="AF1426">
        <v>0</v>
      </c>
      <c r="AG1426">
        <v>0</v>
      </c>
      <c r="AH1426">
        <v>0</v>
      </c>
      <c r="AI1426">
        <v>0</v>
      </c>
      <c r="AJ1426">
        <v>0</v>
      </c>
      <c r="AK1426">
        <v>0</v>
      </c>
      <c r="AL1426">
        <v>0</v>
      </c>
      <c r="AM1426">
        <v>0</v>
      </c>
    </row>
    <row r="1427" spans="1:39" customFormat="1" hidden="1" x14ac:dyDescent="0.3">
      <c r="A1427" t="s">
        <v>56</v>
      </c>
      <c r="B1427" t="s">
        <v>30</v>
      </c>
      <c r="C1427" t="s">
        <v>29</v>
      </c>
      <c r="D1427" t="s">
        <v>28</v>
      </c>
      <c r="E1427" t="s">
        <v>27</v>
      </c>
      <c r="F1427" t="s">
        <v>26</v>
      </c>
      <c r="G1427" t="s">
        <v>25</v>
      </c>
      <c r="H1427" s="16">
        <v>0</v>
      </c>
      <c r="I1427" s="11">
        <v>0</v>
      </c>
      <c r="J1427" s="11">
        <v>4.3593879419329502E-3</v>
      </c>
      <c r="K1427" s="11">
        <v>0</v>
      </c>
      <c r="L1427" s="11">
        <v>0</v>
      </c>
      <c r="M1427" s="11">
        <v>0</v>
      </c>
      <c r="N1427" s="11">
        <v>0</v>
      </c>
      <c r="O1427" s="11">
        <v>0</v>
      </c>
      <c r="P1427" s="11">
        <v>0</v>
      </c>
      <c r="Q1427" s="11">
        <v>0</v>
      </c>
      <c r="R1427" s="11">
        <v>0</v>
      </c>
      <c r="S1427" s="11">
        <v>0</v>
      </c>
      <c r="T1427" s="11">
        <v>3.3464962184592698E-3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</v>
      </c>
      <c r="AE1427">
        <v>0</v>
      </c>
      <c r="AF1427">
        <v>0</v>
      </c>
      <c r="AG1427">
        <v>0</v>
      </c>
      <c r="AH1427">
        <v>0</v>
      </c>
      <c r="AI1427">
        <v>0</v>
      </c>
      <c r="AJ1427">
        <v>0</v>
      </c>
      <c r="AK1427">
        <v>0</v>
      </c>
      <c r="AL1427">
        <v>0</v>
      </c>
      <c r="AM1427">
        <v>0</v>
      </c>
    </row>
    <row r="1428" spans="1:39" customFormat="1" hidden="1" x14ac:dyDescent="0.3">
      <c r="A1428" t="s">
        <v>55</v>
      </c>
      <c r="B1428" t="s">
        <v>30</v>
      </c>
      <c r="C1428" t="s">
        <v>29</v>
      </c>
      <c r="D1428" t="s">
        <v>28</v>
      </c>
      <c r="E1428" t="s">
        <v>27</v>
      </c>
      <c r="F1428" t="s">
        <v>54</v>
      </c>
      <c r="G1428" t="s">
        <v>53</v>
      </c>
      <c r="H1428" s="16">
        <v>4.1583499667332E-3</v>
      </c>
      <c r="I1428" s="11">
        <v>0</v>
      </c>
      <c r="J1428" s="11">
        <v>0</v>
      </c>
      <c r="K1428" s="11">
        <v>0</v>
      </c>
      <c r="L1428" s="11">
        <v>0</v>
      </c>
      <c r="M1428" s="11">
        <v>3.5488679111363502E-3</v>
      </c>
      <c r="N1428" s="11">
        <v>0</v>
      </c>
      <c r="O1428" s="11">
        <v>0</v>
      </c>
      <c r="P1428" s="11">
        <v>0</v>
      </c>
      <c r="Q1428" s="11">
        <v>0</v>
      </c>
      <c r="R1428" s="11">
        <v>0</v>
      </c>
      <c r="S1428" s="11">
        <v>0</v>
      </c>
      <c r="T1428" s="11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0</v>
      </c>
      <c r="AE1428">
        <v>0</v>
      </c>
      <c r="AF1428">
        <v>0</v>
      </c>
      <c r="AG1428">
        <v>0</v>
      </c>
      <c r="AH1428">
        <v>0</v>
      </c>
      <c r="AI1428">
        <v>0</v>
      </c>
      <c r="AJ1428">
        <v>0</v>
      </c>
      <c r="AK1428">
        <v>0</v>
      </c>
      <c r="AL1428">
        <v>0</v>
      </c>
      <c r="AM1428">
        <v>0</v>
      </c>
    </row>
    <row r="1429" spans="1:39" customFormat="1" hidden="1" x14ac:dyDescent="0.3">
      <c r="A1429" t="s">
        <v>52</v>
      </c>
      <c r="B1429" t="s">
        <v>30</v>
      </c>
      <c r="C1429" t="s">
        <v>29</v>
      </c>
      <c r="D1429" t="s">
        <v>28</v>
      </c>
      <c r="E1429" t="s">
        <v>27</v>
      </c>
      <c r="F1429" t="s">
        <v>26</v>
      </c>
      <c r="G1429" t="s">
        <v>25</v>
      </c>
      <c r="H1429" s="16">
        <v>0</v>
      </c>
      <c r="I1429" s="11">
        <v>0</v>
      </c>
      <c r="J1429" s="11">
        <v>0</v>
      </c>
      <c r="K1429" s="11">
        <v>0</v>
      </c>
      <c r="L1429" s="11">
        <v>0</v>
      </c>
      <c r="M1429" s="11">
        <v>0</v>
      </c>
      <c r="N1429" s="11">
        <v>0</v>
      </c>
      <c r="O1429" s="11">
        <v>3.75023438964935E-3</v>
      </c>
      <c r="P1429" s="11">
        <v>3.3947788301592198E-3</v>
      </c>
      <c r="Q1429" s="11">
        <v>0</v>
      </c>
      <c r="R1429" s="11">
        <v>0</v>
      </c>
      <c r="S1429" s="11">
        <v>0</v>
      </c>
      <c r="T1429" s="11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0</v>
      </c>
      <c r="AE1429">
        <v>0</v>
      </c>
      <c r="AF1429">
        <v>0</v>
      </c>
      <c r="AG1429">
        <v>0</v>
      </c>
      <c r="AH1429">
        <v>0</v>
      </c>
      <c r="AI1429">
        <v>0</v>
      </c>
      <c r="AJ1429">
        <v>0</v>
      </c>
      <c r="AK1429">
        <v>0</v>
      </c>
      <c r="AL1429">
        <v>0</v>
      </c>
      <c r="AM1429">
        <v>0</v>
      </c>
    </row>
    <row r="1430" spans="1:39" customFormat="1" hidden="1" x14ac:dyDescent="0.3">
      <c r="A1430" t="s">
        <v>51</v>
      </c>
      <c r="B1430" t="s">
        <v>30</v>
      </c>
      <c r="C1430" t="s">
        <v>35</v>
      </c>
      <c r="D1430" t="s">
        <v>35</v>
      </c>
      <c r="E1430" t="s">
        <v>34</v>
      </c>
      <c r="F1430" t="s">
        <v>33</v>
      </c>
      <c r="G1430" t="s">
        <v>50</v>
      </c>
      <c r="H1430" s="16">
        <v>0</v>
      </c>
      <c r="I1430" s="11">
        <v>0</v>
      </c>
      <c r="J1430" s="11">
        <v>0</v>
      </c>
      <c r="K1430" s="11">
        <v>0</v>
      </c>
      <c r="L1430" s="11">
        <v>0</v>
      </c>
      <c r="M1430" s="11">
        <v>0</v>
      </c>
      <c r="N1430" s="11">
        <v>0</v>
      </c>
      <c r="O1430" s="11">
        <v>0</v>
      </c>
      <c r="P1430" s="11">
        <v>0</v>
      </c>
      <c r="Q1430" s="11">
        <v>0</v>
      </c>
      <c r="R1430" s="11">
        <v>0</v>
      </c>
      <c r="S1430" s="11">
        <v>0</v>
      </c>
      <c r="T1430" s="11">
        <v>3.3464962184592698E-3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0</v>
      </c>
      <c r="AE1430">
        <v>0</v>
      </c>
      <c r="AF1430">
        <v>0</v>
      </c>
      <c r="AG1430">
        <v>2.3469220117815501E-3</v>
      </c>
      <c r="AH1430">
        <v>0</v>
      </c>
      <c r="AI1430">
        <v>0</v>
      </c>
      <c r="AJ1430">
        <v>0</v>
      </c>
      <c r="AK1430">
        <v>0</v>
      </c>
      <c r="AL1430">
        <v>0</v>
      </c>
      <c r="AM1430">
        <v>0</v>
      </c>
    </row>
    <row r="1431" spans="1:39" customFormat="1" hidden="1" x14ac:dyDescent="0.3">
      <c r="A1431" t="s">
        <v>49</v>
      </c>
      <c r="B1431" t="s">
        <v>30</v>
      </c>
      <c r="C1431" t="s">
        <v>35</v>
      </c>
      <c r="D1431" t="s">
        <v>35</v>
      </c>
      <c r="E1431" t="s">
        <v>45</v>
      </c>
      <c r="F1431" t="s">
        <v>44</v>
      </c>
      <c r="G1431" t="s">
        <v>43</v>
      </c>
      <c r="H1431" s="16">
        <v>0</v>
      </c>
      <c r="I1431" s="11">
        <v>0</v>
      </c>
      <c r="J1431" s="11">
        <v>0</v>
      </c>
      <c r="K1431" s="11">
        <v>0</v>
      </c>
      <c r="L1431" s="11">
        <v>0</v>
      </c>
      <c r="M1431" s="11">
        <v>0</v>
      </c>
      <c r="N1431" s="11">
        <v>0</v>
      </c>
      <c r="O1431" s="11">
        <v>0</v>
      </c>
      <c r="P1431" s="11">
        <v>0</v>
      </c>
      <c r="Q1431" s="11">
        <v>0</v>
      </c>
      <c r="R1431" s="11">
        <v>0</v>
      </c>
      <c r="S1431" s="11">
        <v>0</v>
      </c>
      <c r="T1431" s="11">
        <v>0</v>
      </c>
      <c r="U1431">
        <v>0</v>
      </c>
      <c r="V1431">
        <v>0</v>
      </c>
      <c r="W1431">
        <v>5.3336177929489597E-3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</v>
      </c>
      <c r="AE1431">
        <v>0</v>
      </c>
      <c r="AF1431">
        <v>0</v>
      </c>
      <c r="AG1431">
        <v>0</v>
      </c>
      <c r="AH1431">
        <v>0</v>
      </c>
      <c r="AI1431">
        <v>0</v>
      </c>
      <c r="AJ1431">
        <v>0</v>
      </c>
      <c r="AK1431">
        <v>0</v>
      </c>
      <c r="AL1431">
        <v>0</v>
      </c>
      <c r="AM1431">
        <v>0</v>
      </c>
    </row>
    <row r="1432" spans="1:39" customFormat="1" hidden="1" x14ac:dyDescent="0.3">
      <c r="A1432" t="s">
        <v>48</v>
      </c>
      <c r="B1432" t="s">
        <v>30</v>
      </c>
      <c r="C1432" t="s">
        <v>35</v>
      </c>
      <c r="D1432" t="s">
        <v>35</v>
      </c>
      <c r="E1432" t="s">
        <v>45</v>
      </c>
      <c r="F1432" t="s">
        <v>44</v>
      </c>
      <c r="G1432" t="s">
        <v>43</v>
      </c>
      <c r="H1432" s="16">
        <v>0</v>
      </c>
      <c r="I1432" s="11">
        <v>0</v>
      </c>
      <c r="J1432" s="11">
        <v>0</v>
      </c>
      <c r="K1432" s="11">
        <v>0</v>
      </c>
      <c r="L1432" s="11">
        <v>0</v>
      </c>
      <c r="M1432" s="11">
        <v>0</v>
      </c>
      <c r="N1432" s="11">
        <v>4.5835816106705798E-3</v>
      </c>
      <c r="O1432" s="11">
        <v>0</v>
      </c>
      <c r="P1432" s="11">
        <v>0</v>
      </c>
      <c r="Q1432" s="11">
        <v>0</v>
      </c>
      <c r="R1432" s="11">
        <v>0</v>
      </c>
      <c r="S1432" s="11">
        <v>0</v>
      </c>
      <c r="T1432" s="11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3.1774275546517499E-3</v>
      </c>
      <c r="AA1432">
        <v>0</v>
      </c>
      <c r="AB1432">
        <v>0</v>
      </c>
      <c r="AC1432">
        <v>0</v>
      </c>
      <c r="AD1432">
        <v>0</v>
      </c>
      <c r="AE1432">
        <v>0</v>
      </c>
      <c r="AF1432">
        <v>0</v>
      </c>
      <c r="AG1432">
        <v>0</v>
      </c>
      <c r="AH1432">
        <v>0</v>
      </c>
      <c r="AI1432">
        <v>0</v>
      </c>
      <c r="AJ1432">
        <v>0</v>
      </c>
      <c r="AK1432">
        <v>0</v>
      </c>
      <c r="AL1432">
        <v>0</v>
      </c>
      <c r="AM1432">
        <v>0</v>
      </c>
    </row>
    <row r="1433" spans="1:39" customFormat="1" hidden="1" x14ac:dyDescent="0.3">
      <c r="A1433" t="s">
        <v>47</v>
      </c>
      <c r="B1433" t="s">
        <v>30</v>
      </c>
      <c r="C1433" t="s">
        <v>35</v>
      </c>
      <c r="D1433" t="s">
        <v>35</v>
      </c>
      <c r="E1433" t="s">
        <v>45</v>
      </c>
      <c r="F1433" t="s">
        <v>44</v>
      </c>
      <c r="G1433" t="s">
        <v>43</v>
      </c>
      <c r="H1433" s="16">
        <v>0</v>
      </c>
      <c r="I1433" s="11">
        <v>0</v>
      </c>
      <c r="J1433" s="11">
        <v>0</v>
      </c>
      <c r="K1433" s="11">
        <v>0</v>
      </c>
      <c r="L1433" s="11">
        <v>0</v>
      </c>
      <c r="M1433" s="11">
        <v>0</v>
      </c>
      <c r="N1433" s="11">
        <v>0</v>
      </c>
      <c r="O1433" s="11">
        <v>0</v>
      </c>
      <c r="P1433" s="11">
        <v>0</v>
      </c>
      <c r="Q1433" s="11">
        <v>0</v>
      </c>
      <c r="R1433" s="11">
        <v>0</v>
      </c>
      <c r="S1433" s="11">
        <v>0</v>
      </c>
      <c r="T1433" s="11">
        <v>0</v>
      </c>
      <c r="U1433">
        <v>0</v>
      </c>
      <c r="V1433">
        <v>0</v>
      </c>
      <c r="W1433">
        <v>5.3336177929489597E-3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0</v>
      </c>
      <c r="AE1433">
        <v>0</v>
      </c>
      <c r="AF1433">
        <v>0</v>
      </c>
      <c r="AG1433">
        <v>0</v>
      </c>
      <c r="AH1433">
        <v>0</v>
      </c>
      <c r="AI1433">
        <v>0</v>
      </c>
      <c r="AJ1433">
        <v>0</v>
      </c>
      <c r="AK1433">
        <v>0</v>
      </c>
      <c r="AL1433">
        <v>0</v>
      </c>
      <c r="AM1433">
        <v>0</v>
      </c>
    </row>
    <row r="1434" spans="1:39" customFormat="1" hidden="1" x14ac:dyDescent="0.3">
      <c r="A1434" t="s">
        <v>46</v>
      </c>
      <c r="B1434" t="s">
        <v>30</v>
      </c>
      <c r="C1434" t="s">
        <v>35</v>
      </c>
      <c r="D1434" t="s">
        <v>35</v>
      </c>
      <c r="E1434" t="s">
        <v>45</v>
      </c>
      <c r="F1434" t="s">
        <v>44</v>
      </c>
      <c r="G1434" t="s">
        <v>43</v>
      </c>
      <c r="H1434" s="16">
        <v>0</v>
      </c>
      <c r="I1434" s="11">
        <v>0</v>
      </c>
      <c r="J1434" s="11">
        <v>0</v>
      </c>
      <c r="K1434" s="11">
        <v>0</v>
      </c>
      <c r="L1434" s="11">
        <v>0</v>
      </c>
      <c r="M1434" s="11">
        <v>0</v>
      </c>
      <c r="N1434" s="11">
        <v>0</v>
      </c>
      <c r="O1434" s="11">
        <v>0</v>
      </c>
      <c r="P1434" s="11">
        <v>0</v>
      </c>
      <c r="Q1434" s="11">
        <v>0</v>
      </c>
      <c r="R1434" s="11">
        <v>0</v>
      </c>
      <c r="S1434" s="11">
        <v>0</v>
      </c>
      <c r="T1434" s="11">
        <v>0</v>
      </c>
      <c r="U1434">
        <v>0</v>
      </c>
      <c r="V1434">
        <v>0</v>
      </c>
      <c r="W1434">
        <v>2.6668088964744798E-3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0</v>
      </c>
      <c r="AE1434">
        <v>0</v>
      </c>
      <c r="AF1434">
        <v>5.03372596395852E-3</v>
      </c>
      <c r="AG1434">
        <v>0</v>
      </c>
      <c r="AH1434">
        <v>0</v>
      </c>
      <c r="AI1434">
        <v>0</v>
      </c>
      <c r="AJ1434">
        <v>0</v>
      </c>
      <c r="AK1434">
        <v>0</v>
      </c>
      <c r="AL1434">
        <v>0</v>
      </c>
      <c r="AM1434">
        <v>0</v>
      </c>
    </row>
    <row r="1435" spans="1:39" customFormat="1" hidden="1" x14ac:dyDescent="0.3">
      <c r="A1435" t="s">
        <v>42</v>
      </c>
      <c r="B1435" t="s">
        <v>30</v>
      </c>
      <c r="C1435" t="s">
        <v>41</v>
      </c>
      <c r="D1435" t="s">
        <v>41</v>
      </c>
      <c r="E1435" t="s">
        <v>41</v>
      </c>
      <c r="F1435" t="s">
        <v>41</v>
      </c>
      <c r="G1435" t="s">
        <v>41</v>
      </c>
      <c r="H1435" s="16">
        <v>0</v>
      </c>
      <c r="I1435" s="11">
        <v>0</v>
      </c>
      <c r="J1435" s="11">
        <v>0</v>
      </c>
      <c r="K1435" s="11">
        <v>0</v>
      </c>
      <c r="L1435" s="11">
        <v>0</v>
      </c>
      <c r="M1435" s="11">
        <v>0</v>
      </c>
      <c r="N1435" s="11">
        <v>0</v>
      </c>
      <c r="O1435" s="11">
        <v>0</v>
      </c>
      <c r="P1435" s="11">
        <v>0</v>
      </c>
      <c r="Q1435" s="11">
        <v>0</v>
      </c>
      <c r="R1435" s="11">
        <v>2.2441148089136199E-3</v>
      </c>
      <c r="S1435" s="11">
        <v>0</v>
      </c>
      <c r="T1435" s="11">
        <v>0</v>
      </c>
      <c r="U1435">
        <v>3.04201016031394E-3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  <c r="AL1435">
        <v>0</v>
      </c>
      <c r="AM1435">
        <v>0</v>
      </c>
    </row>
    <row r="1436" spans="1:39" customFormat="1" hidden="1" x14ac:dyDescent="0.3">
      <c r="A1436" t="s">
        <v>40</v>
      </c>
      <c r="B1436" t="s">
        <v>30</v>
      </c>
      <c r="C1436" t="s">
        <v>29</v>
      </c>
      <c r="D1436" t="s">
        <v>28</v>
      </c>
      <c r="E1436" t="s">
        <v>27</v>
      </c>
      <c r="F1436" t="s">
        <v>39</v>
      </c>
      <c r="G1436" t="s">
        <v>38</v>
      </c>
      <c r="H1436" s="16">
        <v>0</v>
      </c>
      <c r="I1436" s="11">
        <v>0</v>
      </c>
      <c r="J1436" s="11">
        <v>0</v>
      </c>
      <c r="K1436" s="11">
        <v>0</v>
      </c>
      <c r="L1436" s="11">
        <v>1.3207422571485199E-2</v>
      </c>
      <c r="M1436" s="11">
        <v>0</v>
      </c>
      <c r="N1436" s="11">
        <v>0</v>
      </c>
      <c r="O1436" s="11">
        <v>0</v>
      </c>
      <c r="P1436" s="11">
        <v>0</v>
      </c>
      <c r="Q1436" s="11">
        <v>0</v>
      </c>
      <c r="R1436" s="11">
        <v>0</v>
      </c>
      <c r="S1436" s="11">
        <v>0</v>
      </c>
      <c r="T1436" s="11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0</v>
      </c>
      <c r="AL1436">
        <v>0</v>
      </c>
      <c r="AM1436">
        <v>0</v>
      </c>
    </row>
    <row r="1437" spans="1:39" customFormat="1" hidden="1" x14ac:dyDescent="0.3">
      <c r="A1437" t="s">
        <v>37</v>
      </c>
      <c r="B1437" t="s">
        <v>30</v>
      </c>
      <c r="C1437" t="s">
        <v>29</v>
      </c>
      <c r="D1437" t="s">
        <v>28</v>
      </c>
      <c r="E1437" t="s">
        <v>27</v>
      </c>
      <c r="F1437" t="s">
        <v>26</v>
      </c>
      <c r="G1437" t="s">
        <v>25</v>
      </c>
      <c r="H1437" s="16">
        <v>0</v>
      </c>
      <c r="I1437" s="11">
        <v>0</v>
      </c>
      <c r="J1437" s="11">
        <v>0</v>
      </c>
      <c r="K1437" s="11">
        <v>0</v>
      </c>
      <c r="L1437" s="11">
        <v>0</v>
      </c>
      <c r="M1437" s="11">
        <v>0</v>
      </c>
      <c r="N1437" s="11">
        <v>0</v>
      </c>
      <c r="O1437" s="11">
        <v>0</v>
      </c>
      <c r="P1437" s="11">
        <v>6.78955766031843E-3</v>
      </c>
      <c r="Q1437" s="11">
        <v>0</v>
      </c>
      <c r="R1437" s="11">
        <v>0</v>
      </c>
      <c r="S1437" s="11">
        <v>0</v>
      </c>
      <c r="T1437" s="11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  <c r="AL1437">
        <v>0</v>
      </c>
      <c r="AM1437">
        <v>0</v>
      </c>
    </row>
    <row r="1438" spans="1:39" customFormat="1" hidden="1" x14ac:dyDescent="0.3">
      <c r="A1438" t="s">
        <v>36</v>
      </c>
      <c r="B1438" t="s">
        <v>30</v>
      </c>
      <c r="C1438" t="s">
        <v>35</v>
      </c>
      <c r="D1438" t="s">
        <v>35</v>
      </c>
      <c r="E1438" t="s">
        <v>34</v>
      </c>
      <c r="F1438" t="s">
        <v>33</v>
      </c>
      <c r="G1438" t="s">
        <v>32</v>
      </c>
      <c r="H1438" s="16">
        <v>0</v>
      </c>
      <c r="I1438" s="11">
        <v>0</v>
      </c>
      <c r="J1438" s="11">
        <v>4.3593879419329502E-3</v>
      </c>
      <c r="K1438" s="11">
        <v>0</v>
      </c>
      <c r="L1438" s="11">
        <v>0</v>
      </c>
      <c r="M1438" s="11">
        <v>3.5488679111363502E-3</v>
      </c>
      <c r="N1438" s="11">
        <v>0</v>
      </c>
      <c r="O1438" s="11">
        <v>0</v>
      </c>
      <c r="P1438" s="11">
        <v>0</v>
      </c>
      <c r="Q1438" s="11">
        <v>0</v>
      </c>
      <c r="R1438" s="11">
        <v>0</v>
      </c>
      <c r="S1438" s="11">
        <v>0</v>
      </c>
      <c r="T1438" s="11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0</v>
      </c>
      <c r="AL1438">
        <v>0</v>
      </c>
      <c r="AM1438">
        <v>0</v>
      </c>
    </row>
    <row r="1439" spans="1:39" customFormat="1" hidden="1" x14ac:dyDescent="0.3">
      <c r="A1439" t="s">
        <v>31</v>
      </c>
      <c r="B1439" t="s">
        <v>30</v>
      </c>
      <c r="C1439" t="s">
        <v>29</v>
      </c>
      <c r="D1439" t="s">
        <v>28</v>
      </c>
      <c r="E1439" t="s">
        <v>27</v>
      </c>
      <c r="F1439" t="s">
        <v>26</v>
      </c>
      <c r="G1439" t="s">
        <v>25</v>
      </c>
      <c r="H1439" s="16">
        <v>0</v>
      </c>
      <c r="I1439" s="11">
        <v>0</v>
      </c>
      <c r="J1439" s="11">
        <v>0</v>
      </c>
      <c r="K1439" s="11">
        <v>0</v>
      </c>
      <c r="L1439" s="11">
        <v>0</v>
      </c>
      <c r="M1439" s="11">
        <v>0</v>
      </c>
      <c r="N1439" s="11">
        <v>0</v>
      </c>
      <c r="O1439" s="11">
        <v>0</v>
      </c>
      <c r="P1439" s="11">
        <v>0</v>
      </c>
      <c r="Q1439" s="11">
        <v>0</v>
      </c>
      <c r="R1439" s="11">
        <v>2.2441148089136199E-3</v>
      </c>
      <c r="S1439" s="11">
        <v>0</v>
      </c>
      <c r="T1439" s="11">
        <v>0</v>
      </c>
      <c r="U1439">
        <v>0</v>
      </c>
      <c r="V1439">
        <v>0</v>
      </c>
      <c r="W1439">
        <v>2.6668088964744798E-3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0</v>
      </c>
      <c r="AL1439">
        <v>0</v>
      </c>
      <c r="AM1439">
        <v>0</v>
      </c>
    </row>
    <row r="1440" spans="1:39" x14ac:dyDescent="0.3">
      <c r="G1440" s="6" t="s">
        <v>2149</v>
      </c>
      <c r="AB1440" s="6">
        <f>SUBTOTAL(9,AB2:AB1439)</f>
        <v>8.5228298141129777</v>
      </c>
      <c r="AC1440" s="6">
        <f t="shared" ref="AC1440:AE1440" si="0">SUBTOTAL(9,AC2:AC1439)</f>
        <v>10.757946210268928</v>
      </c>
      <c r="AD1440" s="6">
        <f t="shared" si="0"/>
        <v>16.146586977036836</v>
      </c>
      <c r="AE1440" s="6">
        <f t="shared" si="0"/>
        <v>31.624078202709679</v>
      </c>
    </row>
    <row r="1441" spans="7:39" customFormat="1" hidden="1" x14ac:dyDescent="0.3">
      <c r="G1441" t="s">
        <v>2312</v>
      </c>
      <c r="H1441" s="11"/>
      <c r="I1441" s="11"/>
      <c r="J1441" s="11"/>
      <c r="K1441" s="11"/>
      <c r="L1441" s="11"/>
      <c r="M1441" s="11"/>
      <c r="N1441" s="11"/>
      <c r="O1441" s="11"/>
      <c r="P1441" s="11"/>
      <c r="Q1441" s="11"/>
      <c r="R1441" s="11"/>
      <c r="S1441" s="11"/>
      <c r="T1441" s="11"/>
      <c r="U1441">
        <f>SUBTOTAL(9,U2:U1440)</f>
        <v>2.129407112219758E-2</v>
      </c>
      <c r="V1441">
        <f t="shared" ref="V1441:AM1441" si="1">SUBTOTAL(9,V2:V1440)</f>
        <v>0.33614052842736825</v>
      </c>
      <c r="W1441">
        <f t="shared" si="1"/>
        <v>0.52002773481252362</v>
      </c>
      <c r="X1441">
        <f t="shared" si="1"/>
        <v>7.0666837980213296E-2</v>
      </c>
      <c r="Y1441">
        <f t="shared" si="1"/>
        <v>12.317462175529011</v>
      </c>
      <c r="Z1441">
        <f t="shared" si="1"/>
        <v>0.95005083884087405</v>
      </c>
      <c r="AA1441">
        <f t="shared" si="1"/>
        <v>0.13484964264844701</v>
      </c>
      <c r="AB1441">
        <f t="shared" si="1"/>
        <v>8.5228298141129777</v>
      </c>
      <c r="AC1441">
        <f t="shared" si="1"/>
        <v>10.757946210268928</v>
      </c>
      <c r="AD1441">
        <f t="shared" si="1"/>
        <v>16.146586977036836</v>
      </c>
      <c r="AE1441">
        <f t="shared" si="1"/>
        <v>31.624078202709679</v>
      </c>
      <c r="AF1441">
        <f t="shared" si="1"/>
        <v>0.47317024061210106</v>
      </c>
      <c r="AG1441">
        <f t="shared" si="1"/>
        <v>5.9424065338308809</v>
      </c>
      <c r="AH1441">
        <f t="shared" si="1"/>
        <v>1.8656889590198158</v>
      </c>
      <c r="AI1441">
        <f t="shared" si="1"/>
        <v>26.427323710582002</v>
      </c>
      <c r="AJ1441">
        <f t="shared" si="1"/>
        <v>3.9507237007506399E-2</v>
      </c>
      <c r="AK1441">
        <f t="shared" si="1"/>
        <v>1.20540019286403E-2</v>
      </c>
      <c r="AL1441">
        <f t="shared" si="1"/>
        <v>3.2260377087963303E-2</v>
      </c>
      <c r="AM1441">
        <f t="shared" si="1"/>
        <v>0</v>
      </c>
    </row>
    <row r="1442" spans="7:39" customFormat="1" hidden="1" x14ac:dyDescent="0.3">
      <c r="G1442" t="s">
        <v>2313</v>
      </c>
      <c r="H1442" s="11"/>
      <c r="I1442" s="11"/>
      <c r="J1442" s="11"/>
      <c r="K1442" s="11"/>
      <c r="L1442" s="11"/>
      <c r="M1442" s="11"/>
      <c r="N1442" s="11"/>
      <c r="O1442" s="11"/>
      <c r="P1442" s="11"/>
      <c r="Q1442" s="11"/>
      <c r="R1442" s="11"/>
      <c r="S1442" s="11"/>
      <c r="T1442" s="11"/>
      <c r="AC1442">
        <f>+AVEDEV(AB1441:AE1441)</f>
        <v>7.4306089508387867</v>
      </c>
      <c r="AD1442">
        <f>+_xlfn.STDEV.S(AB1441:AE1441)</f>
        <v>10.411414985386838</v>
      </c>
      <c r="AJ1442">
        <f>+AVERAGE(AL1441)</f>
        <v>3.2260377087963303E-2</v>
      </c>
      <c r="AK1442">
        <f>+_xlfn.STDEV.S(AJ1441:AL1441)</f>
        <v>1.4227290044536881E-2</v>
      </c>
    </row>
    <row r="1443" spans="7:39" x14ac:dyDescent="0.3">
      <c r="G1443" s="6" t="s">
        <v>2314</v>
      </c>
      <c r="U1443" s="6">
        <f>SUBTOTAL(9,U2:U1442)</f>
        <v>2.129407112219758E-2</v>
      </c>
      <c r="V1443" s="6">
        <f t="shared" ref="V1443:AB1443" si="2">SUBTOTAL(9,V2:V1442)</f>
        <v>0.33614052842736825</v>
      </c>
      <c r="W1443" s="6">
        <f t="shared" si="2"/>
        <v>0.52002773481252362</v>
      </c>
      <c r="X1443" s="6">
        <f t="shared" si="2"/>
        <v>7.0666837980213296E-2</v>
      </c>
      <c r="Y1443" s="6">
        <f t="shared" si="2"/>
        <v>12.317462175529011</v>
      </c>
      <c r="Z1443" s="6">
        <f t="shared" si="2"/>
        <v>0.95005083884087405</v>
      </c>
      <c r="AA1443" s="6">
        <f t="shared" si="2"/>
        <v>0.13484964264844701</v>
      </c>
      <c r="AB1443" s="6">
        <f t="shared" si="2"/>
        <v>8.5228298141129777</v>
      </c>
      <c r="AC1443" s="6">
        <f>+AVERAGE(AB1440:AE1440)</f>
        <v>16.762860301032106</v>
      </c>
      <c r="AD1443" s="6">
        <f>+_xlfn.STDEV.S(AB1440:AE1440)</f>
        <v>10.411414985386838</v>
      </c>
    </row>
    <row r="1444" spans="7:39" customFormat="1" hidden="1" x14ac:dyDescent="0.3">
      <c r="G1444" t="s">
        <v>2313</v>
      </c>
      <c r="H1444" s="11"/>
      <c r="I1444" s="11"/>
      <c r="J1444" s="11"/>
      <c r="K1444" s="11"/>
      <c r="L1444" s="11"/>
      <c r="M1444" s="11"/>
      <c r="N1444" s="11"/>
      <c r="O1444" s="11"/>
      <c r="P1444" s="11"/>
      <c r="Q1444" s="11"/>
      <c r="R1444" s="11"/>
      <c r="S1444" s="11"/>
      <c r="T1444" s="11"/>
      <c r="U1444">
        <f>+$AC$1443/U1443</f>
        <v>787.20786667975369</v>
      </c>
      <c r="V1444">
        <f t="shared" ref="V1444:AB1444" si="3">+$AC$1443/V1443</f>
        <v>49.868608166522087</v>
      </c>
      <c r="W1444">
        <f t="shared" si="3"/>
        <v>32.234550541953929</v>
      </c>
      <c r="X1444">
        <f t="shared" si="3"/>
        <v>237.20971222351429</v>
      </c>
      <c r="Y1444">
        <f t="shared" si="3"/>
        <v>1.3609021129640428</v>
      </c>
      <c r="Z1444">
        <f t="shared" si="3"/>
        <v>17.644171886089719</v>
      </c>
      <c r="AA1444">
        <f t="shared" si="3"/>
        <v>124.30778437235372</v>
      </c>
      <c r="AB1444">
        <f t="shared" si="3"/>
        <v>1.9668186114985469</v>
      </c>
    </row>
  </sheetData>
  <autoFilter ref="A1:AM1444" xr:uid="{00000000-0009-0000-0000-000000000000}">
    <filterColumn colId="6">
      <filters blank="1">
        <filter val="Chryseobacterium(100)"/>
        <filter val="TOTAL CHRYSEOBACTERIUM"/>
      </filters>
    </filterColumn>
    <sortState ref="A2:AM1438">
      <sortCondition descending="1" ref="AA1:AA1438"/>
    </sortState>
  </autoFilter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C9C888-3016-4A1F-9327-D18A71935521}">
  <dimension ref="A1:AL32"/>
  <sheetViews>
    <sheetView tabSelected="1" zoomScale="58" workbookViewId="0">
      <selection activeCell="K38" sqref="K38"/>
    </sheetView>
  </sheetViews>
  <sheetFormatPr defaultRowHeight="14.4" x14ac:dyDescent="0.3"/>
  <cols>
    <col min="1" max="1" width="5.6640625" customWidth="1"/>
    <col min="2" max="2" width="10.77734375" customWidth="1"/>
    <col min="3" max="3" width="14.109375" customWidth="1"/>
    <col min="4" max="4" width="19.44140625" customWidth="1"/>
    <col min="5" max="5" width="22.88671875" customWidth="1"/>
    <col min="6" max="38" width="10.77734375" customWidth="1"/>
  </cols>
  <sheetData>
    <row r="1" spans="1:38" x14ac:dyDescent="0.3">
      <c r="A1" t="s">
        <v>24</v>
      </c>
      <c r="B1" t="s">
        <v>23</v>
      </c>
      <c r="C1" t="s">
        <v>22</v>
      </c>
      <c r="D1" t="s">
        <v>21</v>
      </c>
      <c r="E1" t="s">
        <v>20</v>
      </c>
      <c r="F1" t="s">
        <v>2174</v>
      </c>
      <c r="G1" t="s">
        <v>2175</v>
      </c>
      <c r="H1" t="s">
        <v>2176</v>
      </c>
      <c r="I1" t="s">
        <v>2177</v>
      </c>
      <c r="J1" t="s">
        <v>2178</v>
      </c>
      <c r="K1" t="s">
        <v>2179</v>
      </c>
      <c r="L1" t="s">
        <v>2180</v>
      </c>
      <c r="M1" t="s">
        <v>2181</v>
      </c>
      <c r="N1" t="s">
        <v>2182</v>
      </c>
      <c r="O1" t="s">
        <v>2183</v>
      </c>
      <c r="P1" t="s">
        <v>2184</v>
      </c>
      <c r="Q1" t="s">
        <v>2185</v>
      </c>
      <c r="R1" t="s">
        <v>2186</v>
      </c>
      <c r="S1" t="s">
        <v>2187</v>
      </c>
      <c r="T1" t="s">
        <v>2188</v>
      </c>
      <c r="U1" t="s">
        <v>2189</v>
      </c>
      <c r="V1" t="s">
        <v>2190</v>
      </c>
      <c r="W1" t="s">
        <v>2191</v>
      </c>
      <c r="X1" t="s">
        <v>2192</v>
      </c>
      <c r="Y1" t="s">
        <v>2193</v>
      </c>
      <c r="Z1" t="s">
        <v>2194</v>
      </c>
      <c r="AA1" t="s">
        <v>2195</v>
      </c>
      <c r="AB1" t="s">
        <v>2196</v>
      </c>
      <c r="AC1" t="s">
        <v>2197</v>
      </c>
      <c r="AD1" t="s">
        <v>2198</v>
      </c>
      <c r="AE1" t="s">
        <v>2199</v>
      </c>
      <c r="AF1" t="s">
        <v>2200</v>
      </c>
      <c r="AG1" t="s">
        <v>2201</v>
      </c>
      <c r="AH1" t="s">
        <v>2202</v>
      </c>
      <c r="AI1" t="s">
        <v>2203</v>
      </c>
      <c r="AJ1" t="s">
        <v>2204</v>
      </c>
      <c r="AK1" t="s">
        <v>2205</v>
      </c>
      <c r="AL1" t="s">
        <v>2355</v>
      </c>
    </row>
    <row r="2" spans="1:38" x14ac:dyDescent="0.3">
      <c r="A2" s="1" t="s">
        <v>19</v>
      </c>
      <c r="B2" s="1" t="s">
        <v>2356</v>
      </c>
      <c r="C2" s="1" t="s">
        <v>2357</v>
      </c>
      <c r="D2" s="1" t="s">
        <v>2358</v>
      </c>
      <c r="E2" s="1" t="s">
        <v>2359</v>
      </c>
      <c r="F2" t="s">
        <v>2319</v>
      </c>
      <c r="G2" t="s">
        <v>2320</v>
      </c>
      <c r="H2" t="s">
        <v>2321</v>
      </c>
      <c r="I2" t="s">
        <v>2322</v>
      </c>
      <c r="J2" t="s">
        <v>2360</v>
      </c>
      <c r="K2" t="s">
        <v>2323</v>
      </c>
      <c r="L2" t="s">
        <v>2324</v>
      </c>
      <c r="M2" t="s">
        <v>2325</v>
      </c>
      <c r="N2" t="s">
        <v>2326</v>
      </c>
      <c r="O2" t="s">
        <v>2327</v>
      </c>
      <c r="P2" t="s">
        <v>2328</v>
      </c>
      <c r="Q2" t="s">
        <v>2329</v>
      </c>
      <c r="R2" t="s">
        <v>2330</v>
      </c>
      <c r="S2" t="s">
        <v>2331</v>
      </c>
      <c r="T2" t="s">
        <v>2332</v>
      </c>
      <c r="U2" t="s">
        <v>2333</v>
      </c>
      <c r="V2" t="s">
        <v>2334</v>
      </c>
      <c r="W2" t="s">
        <v>2335</v>
      </c>
      <c r="X2" t="s">
        <v>2336</v>
      </c>
      <c r="Y2" t="s">
        <v>2337</v>
      </c>
      <c r="Z2" t="s">
        <v>2338</v>
      </c>
      <c r="AA2" t="s">
        <v>2338</v>
      </c>
      <c r="AB2" t="s">
        <v>2339</v>
      </c>
      <c r="AC2" t="s">
        <v>2339</v>
      </c>
      <c r="AD2" t="s">
        <v>2340</v>
      </c>
      <c r="AE2" t="s">
        <v>2341</v>
      </c>
      <c r="AF2" t="s">
        <v>2340</v>
      </c>
      <c r="AG2" t="s">
        <v>2341</v>
      </c>
      <c r="AH2" t="s">
        <v>2342</v>
      </c>
      <c r="AI2" t="s">
        <v>2339</v>
      </c>
      <c r="AJ2" t="s">
        <v>2343</v>
      </c>
      <c r="AL2" s="1" t="s">
        <v>18</v>
      </c>
    </row>
    <row r="3" spans="1:38" x14ac:dyDescent="0.3">
      <c r="A3" s="1">
        <v>1</v>
      </c>
      <c r="B3" s="1" t="s">
        <v>2080</v>
      </c>
      <c r="C3" s="1" t="s">
        <v>17</v>
      </c>
      <c r="D3" s="1" t="s">
        <v>2171</v>
      </c>
      <c r="E3" s="1" t="s">
        <v>2170</v>
      </c>
      <c r="F3">
        <v>1.4554224899999999</v>
      </c>
      <c r="G3">
        <v>1.7917215150000001</v>
      </c>
      <c r="H3">
        <v>3.3654474909999998</v>
      </c>
      <c r="I3">
        <v>2.637089016</v>
      </c>
      <c r="J3">
        <v>3.6386449179999998</v>
      </c>
      <c r="K3">
        <v>1.345020938</v>
      </c>
      <c r="L3">
        <v>10.455149654</v>
      </c>
      <c r="M3">
        <v>3.877742359</v>
      </c>
      <c r="N3">
        <v>3.3744101569999998</v>
      </c>
      <c r="O3">
        <v>1.124460451</v>
      </c>
      <c r="P3">
        <v>0.32988487700000002</v>
      </c>
      <c r="Q3">
        <v>4.9766099000000001E-2</v>
      </c>
      <c r="R3">
        <v>0.32461013300000002</v>
      </c>
      <c r="S3">
        <v>3.9546129999999999E-2</v>
      </c>
      <c r="T3">
        <v>1.626486428</v>
      </c>
      <c r="U3">
        <v>1.9227692139999999</v>
      </c>
      <c r="V3">
        <v>2.5697032000000002E-2</v>
      </c>
      <c r="W3">
        <v>0.88379034899999998</v>
      </c>
      <c r="X3">
        <v>0.39717844400000002</v>
      </c>
      <c r="Y3">
        <v>6.2929833000000004E-2</v>
      </c>
      <c r="Z3">
        <v>2.2559104999999999E-2</v>
      </c>
      <c r="AA3">
        <v>0.65439378699999995</v>
      </c>
      <c r="AB3">
        <v>1.5728216E-2</v>
      </c>
      <c r="AC3">
        <v>12.478134110999999</v>
      </c>
      <c r="AD3">
        <v>0.86580086599999995</v>
      </c>
      <c r="AE3">
        <v>0.49285362199999999</v>
      </c>
      <c r="AF3">
        <v>0.15779458900000001</v>
      </c>
      <c r="AG3">
        <v>0.31488461899999998</v>
      </c>
      <c r="AH3">
        <v>8.6197607999999995E-2</v>
      </c>
      <c r="AI3">
        <v>3.0135004999999999E-2</v>
      </c>
      <c r="AJ3">
        <v>1.4337945E-2</v>
      </c>
      <c r="AK3">
        <v>0</v>
      </c>
      <c r="AL3" s="1" t="s">
        <v>2169</v>
      </c>
    </row>
    <row r="4" spans="1:38" x14ac:dyDescent="0.3">
      <c r="A4" s="1">
        <v>2</v>
      </c>
      <c r="B4" s="1" t="s">
        <v>2087</v>
      </c>
      <c r="C4" s="1" t="s">
        <v>17</v>
      </c>
      <c r="D4" s="1" t="s">
        <v>2168</v>
      </c>
      <c r="E4" s="1" t="s">
        <v>2167</v>
      </c>
      <c r="F4">
        <v>4.7030938100000004</v>
      </c>
      <c r="G4">
        <v>4.6840719609999999</v>
      </c>
      <c r="H4">
        <v>33.728584507000001</v>
      </c>
      <c r="I4">
        <v>2.2296417860000002</v>
      </c>
      <c r="J4">
        <v>5.1508948029999999</v>
      </c>
      <c r="K4">
        <v>32.621193839</v>
      </c>
      <c r="L4">
        <v>6.5132694689999999</v>
      </c>
      <c r="M4">
        <v>13.785861616</v>
      </c>
      <c r="N4">
        <v>3.812336626</v>
      </c>
      <c r="O4">
        <v>0.68182443000000004</v>
      </c>
      <c r="P4">
        <v>1.1287897490000001</v>
      </c>
      <c r="Q4">
        <v>0.17169304299999999</v>
      </c>
      <c r="R4">
        <v>6.6929924000000002E-2</v>
      </c>
      <c r="S4">
        <v>0.27378090999999999</v>
      </c>
      <c r="T4">
        <v>1.6662449850000001</v>
      </c>
      <c r="U4">
        <v>6.2243319640000001</v>
      </c>
      <c r="V4">
        <v>0.167030708</v>
      </c>
      <c r="W4">
        <v>1.8290363169999999</v>
      </c>
      <c r="X4">
        <v>4.3975597359999998</v>
      </c>
      <c r="Y4">
        <v>3.3307861729999999</v>
      </c>
      <c r="Z4">
        <v>4.9630030999999998E-2</v>
      </c>
      <c r="AA4">
        <v>0.69034948900000004</v>
      </c>
      <c r="AB4">
        <v>3.1456432999999999E-2</v>
      </c>
      <c r="AC4">
        <v>0.85062596499999998</v>
      </c>
      <c r="AD4">
        <v>2.536997886</v>
      </c>
      <c r="AE4">
        <v>0.65713816300000005</v>
      </c>
      <c r="AF4">
        <v>1.6846892840000001</v>
      </c>
      <c r="AG4">
        <v>2.2110876159999999</v>
      </c>
      <c r="AH4">
        <v>1.0020471929999999</v>
      </c>
      <c r="AI4">
        <v>0.40380906500000002</v>
      </c>
      <c r="AJ4">
        <v>0.91045953099999999</v>
      </c>
      <c r="AK4">
        <v>0</v>
      </c>
      <c r="AL4" s="1" t="s">
        <v>2166</v>
      </c>
    </row>
    <row r="5" spans="1:38" x14ac:dyDescent="0.3">
      <c r="A5" s="1">
        <v>3</v>
      </c>
      <c r="B5" s="1" t="s">
        <v>2064</v>
      </c>
      <c r="C5" s="1" t="s">
        <v>15</v>
      </c>
      <c r="D5" s="1" t="s">
        <v>2165</v>
      </c>
      <c r="E5" s="1" t="s">
        <v>2164</v>
      </c>
      <c r="F5">
        <v>1.247505E-2</v>
      </c>
      <c r="G5">
        <v>1.4626297999999999E-2</v>
      </c>
      <c r="H5">
        <v>6.9750206999999995E-2</v>
      </c>
      <c r="I5">
        <v>7.922585E-2</v>
      </c>
      <c r="J5">
        <v>3.3018555999999998E-2</v>
      </c>
      <c r="K5">
        <v>3.5488680000000002E-3</v>
      </c>
      <c r="L5">
        <v>4.5835816000000001E-2</v>
      </c>
      <c r="M5">
        <v>6.0003750000000002E-2</v>
      </c>
      <c r="N5">
        <v>0.43113691100000001</v>
      </c>
      <c r="O5">
        <v>0.120968851</v>
      </c>
      <c r="P5">
        <v>0.118938085</v>
      </c>
      <c r="Q5">
        <v>1.7418135000000001E-2</v>
      </c>
      <c r="R5">
        <v>4.3504451E-2</v>
      </c>
      <c r="S5">
        <v>0</v>
      </c>
      <c r="T5">
        <v>3.6144139999999998E-3</v>
      </c>
      <c r="U5">
        <v>0.14134087200000001</v>
      </c>
      <c r="V5">
        <v>0</v>
      </c>
      <c r="W5">
        <v>2.9264579999999998E-3</v>
      </c>
      <c r="X5">
        <v>0.11120996399999999</v>
      </c>
      <c r="Y5">
        <v>4.0454892999999999E-2</v>
      </c>
      <c r="Z5">
        <v>0.76249774400000003</v>
      </c>
      <c r="AA5">
        <v>2.1573421999999998E-2</v>
      </c>
      <c r="AB5">
        <v>6.9329977979999997</v>
      </c>
      <c r="AC5">
        <v>1.3719774000000001E-2</v>
      </c>
      <c r="AD5">
        <v>0.18624786099999999</v>
      </c>
      <c r="AE5">
        <v>0.67121969500000001</v>
      </c>
      <c r="AF5">
        <v>2.3205086999999999E-2</v>
      </c>
      <c r="AG5">
        <v>1.3790567E-2</v>
      </c>
      <c r="AH5">
        <v>7.1831339999999999E-3</v>
      </c>
      <c r="AI5">
        <v>0</v>
      </c>
      <c r="AJ5">
        <v>1.0753459E-2</v>
      </c>
      <c r="AK5">
        <v>0</v>
      </c>
      <c r="AL5" s="1" t="s">
        <v>2163</v>
      </c>
    </row>
    <row r="6" spans="1:38" x14ac:dyDescent="0.3">
      <c r="A6" s="1">
        <v>4</v>
      </c>
      <c r="B6" s="1" t="s">
        <v>2062</v>
      </c>
      <c r="C6" s="1" t="s">
        <v>15</v>
      </c>
      <c r="D6" s="1" t="s">
        <v>2162</v>
      </c>
      <c r="E6" s="1" t="s">
        <v>2161</v>
      </c>
      <c r="F6">
        <v>0.2245509</v>
      </c>
      <c r="G6">
        <v>0.29983911099999999</v>
      </c>
      <c r="H6">
        <v>2.6156328E-2</v>
      </c>
      <c r="I6">
        <v>2.8294947000000001E-2</v>
      </c>
      <c r="J6">
        <v>0.21792247200000001</v>
      </c>
      <c r="K6">
        <v>3.5488680000000002E-3</v>
      </c>
      <c r="L6">
        <v>3.2085071E-2</v>
      </c>
      <c r="M6">
        <v>1.5000938E-2</v>
      </c>
      <c r="N6">
        <v>0.10523814400000001</v>
      </c>
      <c r="O6">
        <v>3.0187226790000001</v>
      </c>
      <c r="P6">
        <v>3.2741635059999998</v>
      </c>
      <c r="Q6">
        <v>0</v>
      </c>
      <c r="R6">
        <v>0</v>
      </c>
      <c r="S6">
        <v>1.216804E-2</v>
      </c>
      <c r="T6">
        <v>0</v>
      </c>
      <c r="U6">
        <v>2.666809E-3</v>
      </c>
      <c r="V6">
        <v>0</v>
      </c>
      <c r="W6">
        <v>3.2191038999999998E-2</v>
      </c>
      <c r="X6">
        <v>3.1774279999999999E-3</v>
      </c>
      <c r="Y6">
        <v>4.4949880000000001E-3</v>
      </c>
      <c r="Z6">
        <v>9.4748239999999997E-2</v>
      </c>
      <c r="AA6">
        <v>1.4382281E-2</v>
      </c>
      <c r="AB6">
        <v>0.24221453300000001</v>
      </c>
      <c r="AC6">
        <v>0.14748756599999999</v>
      </c>
      <c r="AD6">
        <v>0</v>
      </c>
      <c r="AE6">
        <v>2.8163064000000002E-2</v>
      </c>
      <c r="AF6">
        <v>9.2820349999999992E-3</v>
      </c>
      <c r="AG6">
        <v>1.6088994999999998E-2</v>
      </c>
      <c r="AH6">
        <v>0</v>
      </c>
      <c r="AI6">
        <v>0</v>
      </c>
      <c r="AJ6">
        <v>3.584486E-3</v>
      </c>
      <c r="AK6">
        <v>0</v>
      </c>
      <c r="AL6" s="1" t="s">
        <v>2160</v>
      </c>
    </row>
    <row r="7" spans="1:38" x14ac:dyDescent="0.3">
      <c r="A7" s="1">
        <v>5</v>
      </c>
      <c r="B7" s="1" t="s">
        <v>2074</v>
      </c>
      <c r="C7" s="1" t="s">
        <v>15</v>
      </c>
      <c r="D7" s="1" t="s">
        <v>2159</v>
      </c>
      <c r="E7" s="1" t="s">
        <v>2158</v>
      </c>
      <c r="F7">
        <v>0.11227545</v>
      </c>
      <c r="G7">
        <v>1.8026912390000001</v>
      </c>
      <c r="H7">
        <v>3.4875103999999997E-2</v>
      </c>
      <c r="I7">
        <v>0</v>
      </c>
      <c r="J7">
        <v>4.6225979E-2</v>
      </c>
      <c r="K7">
        <v>0</v>
      </c>
      <c r="L7">
        <v>9.1671630000000007E-3</v>
      </c>
      <c r="M7">
        <v>6.0003750000000002E-2</v>
      </c>
      <c r="N7">
        <v>6.7895580000000002E-3</v>
      </c>
      <c r="O7">
        <v>1.9245043999999999E-2</v>
      </c>
      <c r="P7">
        <v>4.4882296000000002E-2</v>
      </c>
      <c r="Q7">
        <v>0.20901761699999999</v>
      </c>
      <c r="R7">
        <v>0.91024697099999996</v>
      </c>
      <c r="S7">
        <v>1.2168040600000001</v>
      </c>
      <c r="T7">
        <v>0.19517837099999999</v>
      </c>
      <c r="U7">
        <v>1.797429196</v>
      </c>
      <c r="V7">
        <v>2.691764101</v>
      </c>
      <c r="W7">
        <v>0.61748266100000004</v>
      </c>
      <c r="X7">
        <v>3.04079817</v>
      </c>
      <c r="Y7">
        <v>6.5671775969999997</v>
      </c>
      <c r="Z7">
        <v>8.5724597999999999E-2</v>
      </c>
      <c r="AA7">
        <v>0.56090896000000001</v>
      </c>
      <c r="AB7">
        <v>4.4039005999999999E-2</v>
      </c>
      <c r="AC7">
        <v>3.0869490999999999E-2</v>
      </c>
      <c r="AD7">
        <v>0.85069968799999995</v>
      </c>
      <c r="AE7">
        <v>0.100917647</v>
      </c>
      <c r="AF7">
        <v>0.65902445799999998</v>
      </c>
      <c r="AG7">
        <v>0.39762802200000003</v>
      </c>
      <c r="AH7">
        <v>4.7624178429999997</v>
      </c>
      <c r="AI7">
        <v>1.6935872709999999</v>
      </c>
      <c r="AJ7">
        <v>3.7995555240000001</v>
      </c>
      <c r="AK7">
        <v>0</v>
      </c>
      <c r="AL7" s="1" t="s">
        <v>2157</v>
      </c>
    </row>
    <row r="8" spans="1:38" x14ac:dyDescent="0.3">
      <c r="A8" s="1">
        <v>6</v>
      </c>
      <c r="B8" s="1" t="s">
        <v>2076</v>
      </c>
      <c r="C8" s="1" t="s">
        <v>15</v>
      </c>
      <c r="D8" s="1" t="s">
        <v>2156</v>
      </c>
      <c r="E8" s="1" t="s">
        <v>2155</v>
      </c>
      <c r="F8">
        <v>0.58216900000000005</v>
      </c>
      <c r="G8">
        <v>2.4791575250000002</v>
      </c>
      <c r="H8">
        <v>4.8607175549999999</v>
      </c>
      <c r="I8">
        <v>2.2522777430000001</v>
      </c>
      <c r="J8">
        <v>4.1405269760000003</v>
      </c>
      <c r="K8">
        <v>0.99723188299999999</v>
      </c>
      <c r="L8">
        <v>6.3207590409999996</v>
      </c>
      <c r="M8">
        <v>7.669229327</v>
      </c>
      <c r="N8">
        <v>1.177988254</v>
      </c>
      <c r="O8">
        <v>2.9334946249999998</v>
      </c>
      <c r="P8">
        <v>1.3330041960000001</v>
      </c>
      <c r="Q8">
        <v>0.29859659599999999</v>
      </c>
      <c r="R8">
        <v>0.85670303199999998</v>
      </c>
      <c r="S8">
        <v>0.15210050999999999</v>
      </c>
      <c r="T8">
        <v>3.6144139999999998E-3</v>
      </c>
      <c r="U8">
        <v>2.0161075259999999</v>
      </c>
      <c r="V8">
        <v>0.43684954399999998</v>
      </c>
      <c r="W8">
        <v>8.7793739999999995E-3</v>
      </c>
      <c r="X8">
        <v>0.89921199799999996</v>
      </c>
      <c r="Y8">
        <v>0.45848878500000001</v>
      </c>
      <c r="Z8">
        <v>0</v>
      </c>
      <c r="AA8">
        <v>2.8764562E-2</v>
      </c>
      <c r="AB8">
        <v>3.1456430000000001E-3</v>
      </c>
      <c r="AC8">
        <v>0</v>
      </c>
      <c r="AD8">
        <v>0.45303533699999998</v>
      </c>
      <c r="AE8">
        <v>1.6428453999999999E-2</v>
      </c>
      <c r="AF8">
        <v>8.3538312000000003E-2</v>
      </c>
      <c r="AG8">
        <v>2.2984279999999999E-3</v>
      </c>
      <c r="AH8">
        <v>0.18676148400000001</v>
      </c>
      <c r="AI8">
        <v>7.8351012999999997E-2</v>
      </c>
      <c r="AJ8">
        <v>0.11470356299999999</v>
      </c>
      <c r="AK8">
        <v>0</v>
      </c>
      <c r="AL8" s="1" t="s">
        <v>2154</v>
      </c>
    </row>
    <row r="9" spans="1:38" x14ac:dyDescent="0.3">
      <c r="A9" s="1">
        <v>7</v>
      </c>
      <c r="B9" s="1" t="s">
        <v>2091</v>
      </c>
      <c r="C9" s="1" t="s">
        <v>15</v>
      </c>
      <c r="D9" s="1" t="s">
        <v>2153</v>
      </c>
      <c r="E9" s="1" t="s">
        <v>2094</v>
      </c>
      <c r="F9">
        <v>33.050565540000001</v>
      </c>
      <c r="G9">
        <v>28.236068451000001</v>
      </c>
      <c r="H9">
        <v>18.488164262000002</v>
      </c>
      <c r="I9">
        <v>37.688868767999999</v>
      </c>
      <c r="J9">
        <v>13.385722776</v>
      </c>
      <c r="K9">
        <v>17.829512386000001</v>
      </c>
      <c r="L9">
        <v>4.3773204379999999</v>
      </c>
      <c r="M9">
        <v>6.2553909619999999</v>
      </c>
      <c r="N9">
        <v>45.880435890000001</v>
      </c>
      <c r="O9">
        <v>22.467214691999999</v>
      </c>
      <c r="P9">
        <v>15.053522138</v>
      </c>
      <c r="Q9">
        <v>19.632726186999999</v>
      </c>
      <c r="R9">
        <v>13.218660063</v>
      </c>
      <c r="S9">
        <v>5.1379551599999997</v>
      </c>
      <c r="T9">
        <v>0.87830267100000003</v>
      </c>
      <c r="U9">
        <v>4.944263694</v>
      </c>
      <c r="V9">
        <v>7.2915328280000002</v>
      </c>
      <c r="W9">
        <v>0.10827895</v>
      </c>
      <c r="X9">
        <v>1.919166243</v>
      </c>
      <c r="Y9">
        <v>3.0026520429999999</v>
      </c>
      <c r="Z9">
        <v>4.9630030999999998E-2</v>
      </c>
      <c r="AA9">
        <v>7.9102545999999996E-2</v>
      </c>
      <c r="AB9">
        <v>4.0893363000000002E-2</v>
      </c>
      <c r="AC9">
        <v>4.1159320999999999E-2</v>
      </c>
      <c r="AD9">
        <v>1.2231954089999999</v>
      </c>
      <c r="AE9">
        <v>0.34265061400000002</v>
      </c>
      <c r="AF9">
        <v>1.076716016</v>
      </c>
      <c r="AG9">
        <v>0.73549692</v>
      </c>
      <c r="AH9">
        <v>6.1774952409999999</v>
      </c>
      <c r="AI9">
        <v>6.726133076</v>
      </c>
      <c r="AJ9">
        <v>2.8496666429999999</v>
      </c>
      <c r="AK9">
        <v>0</v>
      </c>
      <c r="AL9" s="1" t="s">
        <v>2152</v>
      </c>
    </row>
    <row r="10" spans="1:38" x14ac:dyDescent="0.3">
      <c r="A10" s="1">
        <v>8</v>
      </c>
      <c r="B10" s="1" t="s">
        <v>2085</v>
      </c>
      <c r="C10" s="1" t="s">
        <v>15</v>
      </c>
      <c r="D10" s="1" t="s">
        <v>2150</v>
      </c>
      <c r="E10" s="1" t="s">
        <v>2149</v>
      </c>
      <c r="F10">
        <v>0.75266133999999996</v>
      </c>
      <c r="G10">
        <v>0.35834430299999998</v>
      </c>
      <c r="H10">
        <v>9.5906535000000001E-2</v>
      </c>
      <c r="I10">
        <v>2.2635957000000002E-2</v>
      </c>
      <c r="J10">
        <v>0.49527834599999998</v>
      </c>
      <c r="K10">
        <v>1.4195472000000001E-2</v>
      </c>
      <c r="L10">
        <v>5.5002979E-2</v>
      </c>
      <c r="M10">
        <v>6.0003750000000002E-2</v>
      </c>
      <c r="N10">
        <v>0</v>
      </c>
      <c r="O10">
        <v>5.4985839999999999E-3</v>
      </c>
      <c r="P10">
        <v>2.2441150000000001E-3</v>
      </c>
      <c r="Q10">
        <v>0</v>
      </c>
      <c r="R10">
        <v>6.692992E-3</v>
      </c>
      <c r="S10">
        <v>0</v>
      </c>
      <c r="T10">
        <v>0.169877471</v>
      </c>
      <c r="U10">
        <v>2.666809E-3</v>
      </c>
      <c r="V10">
        <v>0</v>
      </c>
      <c r="W10">
        <v>12.109683649999999</v>
      </c>
      <c r="X10">
        <v>7.6258260999999994E-2</v>
      </c>
      <c r="Y10">
        <v>0</v>
      </c>
      <c r="Z10">
        <v>8.1979787040000005</v>
      </c>
      <c r="AA10">
        <v>10.570976557</v>
      </c>
      <c r="AB10">
        <v>15.369613085999999</v>
      </c>
      <c r="AC10">
        <v>31.250214370999998</v>
      </c>
      <c r="AD10">
        <v>1.0067451999999999E-2</v>
      </c>
      <c r="AE10">
        <v>0.33795677000000002</v>
      </c>
      <c r="AF10">
        <v>1.8564068999999999E-2</v>
      </c>
      <c r="AG10">
        <v>1.1446170819999999</v>
      </c>
      <c r="AH10">
        <v>0</v>
      </c>
      <c r="AI10">
        <v>0</v>
      </c>
      <c r="AJ10">
        <v>0</v>
      </c>
      <c r="AK10">
        <v>0</v>
      </c>
      <c r="AL10" s="1" t="s">
        <v>2151</v>
      </c>
    </row>
    <row r="11" spans="1:38" x14ac:dyDescent="0.3">
      <c r="A11" s="1">
        <v>9</v>
      </c>
      <c r="B11" s="1" t="s">
        <v>2083</v>
      </c>
      <c r="C11" s="1" t="s">
        <v>15</v>
      </c>
      <c r="D11" s="1" t="s">
        <v>2150</v>
      </c>
      <c r="E11" s="1" t="s">
        <v>2149</v>
      </c>
      <c r="F11">
        <v>0</v>
      </c>
      <c r="G11">
        <v>3.656575E-3</v>
      </c>
      <c r="H11">
        <v>1.7437551999999999E-2</v>
      </c>
      <c r="I11">
        <v>1.1317979000000001E-2</v>
      </c>
      <c r="J11">
        <v>1.9811134000000001E-2</v>
      </c>
      <c r="K11">
        <v>3.5488680000000002E-3</v>
      </c>
      <c r="L11">
        <v>6.4170142999999999E-2</v>
      </c>
      <c r="M11">
        <v>4.8753047000000001E-2</v>
      </c>
      <c r="N11">
        <v>6.1106018999999998E-2</v>
      </c>
      <c r="O11">
        <v>1.0419816900000001</v>
      </c>
      <c r="P11">
        <v>1.034536927</v>
      </c>
      <c r="Q11">
        <v>6.2207624000000003E-2</v>
      </c>
      <c r="R11">
        <v>7.3622916999999996E-2</v>
      </c>
      <c r="S11">
        <v>1.5210049999999999E-2</v>
      </c>
      <c r="T11">
        <v>0.16264864300000001</v>
      </c>
      <c r="U11">
        <v>0.50136007299999996</v>
      </c>
      <c r="V11">
        <v>7.0666837999999996E-2</v>
      </c>
      <c r="W11">
        <v>0.17558748599999999</v>
      </c>
      <c r="X11">
        <v>0.86108286700000003</v>
      </c>
      <c r="Y11">
        <v>0.13484964299999999</v>
      </c>
      <c r="Z11">
        <v>2.7070925999999999E-2</v>
      </c>
      <c r="AA11">
        <v>0.115058248</v>
      </c>
      <c r="AB11">
        <v>0.11009751500000001</v>
      </c>
      <c r="AC11">
        <v>0.212656491</v>
      </c>
      <c r="AD11">
        <v>0.45303533699999998</v>
      </c>
      <c r="AE11">
        <v>5.1092492199999997</v>
      </c>
      <c r="AF11">
        <v>1.8192787859999999</v>
      </c>
      <c r="AG11">
        <v>24.977015721000001</v>
      </c>
      <c r="AH11">
        <v>3.9507237000000001E-2</v>
      </c>
      <c r="AI11">
        <v>1.2054001999999999E-2</v>
      </c>
      <c r="AJ11">
        <v>3.2260377E-2</v>
      </c>
      <c r="AK11">
        <v>0</v>
      </c>
      <c r="AL11" s="1" t="s">
        <v>2148</v>
      </c>
    </row>
    <row r="12" spans="1:38" x14ac:dyDescent="0.3">
      <c r="A12" s="1">
        <v>10</v>
      </c>
      <c r="B12" s="1" t="s">
        <v>2084</v>
      </c>
      <c r="C12" s="1" t="s">
        <v>14</v>
      </c>
      <c r="D12" s="1" t="s">
        <v>2147</v>
      </c>
      <c r="E12" s="1" t="s">
        <v>2146</v>
      </c>
      <c r="F12">
        <v>1.66334E-2</v>
      </c>
      <c r="G12">
        <v>4.0222319999999999E-2</v>
      </c>
      <c r="H12">
        <v>1.3078164E-2</v>
      </c>
      <c r="I12">
        <v>5.6589889999999997E-3</v>
      </c>
      <c r="J12">
        <v>1.3207422999999999E-2</v>
      </c>
      <c r="K12">
        <v>0</v>
      </c>
      <c r="L12">
        <v>0.16042535599999999</v>
      </c>
      <c r="M12">
        <v>4.1252577999999998E-2</v>
      </c>
      <c r="N12">
        <v>2.7158231000000001E-2</v>
      </c>
      <c r="O12">
        <v>1.039232398</v>
      </c>
      <c r="P12">
        <v>4.9662260720000004</v>
      </c>
      <c r="Q12">
        <v>0</v>
      </c>
      <c r="R12">
        <v>0</v>
      </c>
      <c r="S12">
        <v>0</v>
      </c>
      <c r="T12">
        <v>3.6144139999999998E-3</v>
      </c>
      <c r="U12">
        <v>2.666809E-3</v>
      </c>
      <c r="V12">
        <v>0</v>
      </c>
      <c r="W12">
        <v>18.893213544000002</v>
      </c>
      <c r="X12">
        <v>5.7193696000000002E-2</v>
      </c>
      <c r="Y12">
        <v>0</v>
      </c>
      <c r="Z12">
        <v>9.0281537630000006</v>
      </c>
      <c r="AA12">
        <v>2.3155472459999999</v>
      </c>
      <c r="AB12">
        <v>3.2463038690000001</v>
      </c>
      <c r="AC12">
        <v>5.6834162240000001</v>
      </c>
      <c r="AD12">
        <v>0.12584314899999999</v>
      </c>
      <c r="AE12">
        <v>4.874557018</v>
      </c>
      <c r="AF12">
        <v>0.12530746700000001</v>
      </c>
      <c r="AG12">
        <v>2.7351291720000002</v>
      </c>
      <c r="AH12">
        <v>0</v>
      </c>
      <c r="AI12">
        <v>0</v>
      </c>
      <c r="AJ12">
        <v>0</v>
      </c>
      <c r="AK12">
        <v>0</v>
      </c>
      <c r="AL12" s="1" t="s">
        <v>2145</v>
      </c>
    </row>
    <row r="13" spans="1:38" x14ac:dyDescent="0.3">
      <c r="A13" s="1">
        <v>11</v>
      </c>
      <c r="B13" s="1" t="s">
        <v>2068</v>
      </c>
      <c r="C13" s="1" t="s">
        <v>9</v>
      </c>
      <c r="D13" s="1" t="s">
        <v>2144</v>
      </c>
      <c r="E13" s="1" t="s">
        <v>2143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0.197949028</v>
      </c>
      <c r="P13">
        <v>6.7323443999999996E-2</v>
      </c>
      <c r="Q13">
        <v>4.9766100000000002E-3</v>
      </c>
      <c r="R13">
        <v>0.54213238699999999</v>
      </c>
      <c r="S13">
        <v>3.0420099999999999E-2</v>
      </c>
      <c r="T13">
        <v>3.6144139999999998E-3</v>
      </c>
      <c r="U13">
        <v>0.48269241000000002</v>
      </c>
      <c r="V13">
        <v>0</v>
      </c>
      <c r="W13">
        <v>8.1940826999999994E-2</v>
      </c>
      <c r="X13">
        <v>4.4483985769999999</v>
      </c>
      <c r="Y13">
        <v>0</v>
      </c>
      <c r="Z13">
        <v>0</v>
      </c>
      <c r="AA13">
        <v>7.1911409999999999E-3</v>
      </c>
      <c r="AB13">
        <v>3.1456430000000001E-3</v>
      </c>
      <c r="AC13">
        <v>3.429943E-3</v>
      </c>
      <c r="AD13">
        <v>7.152924595</v>
      </c>
      <c r="AE13">
        <v>0.37316060000000001</v>
      </c>
      <c r="AF13">
        <v>3.2487121000000001E-2</v>
      </c>
      <c r="AG13">
        <v>0.190769514</v>
      </c>
      <c r="AH13">
        <v>0</v>
      </c>
      <c r="AI13">
        <v>0</v>
      </c>
      <c r="AJ13">
        <v>0</v>
      </c>
      <c r="AK13">
        <v>0</v>
      </c>
      <c r="AL13" s="1" t="s">
        <v>2142</v>
      </c>
    </row>
    <row r="14" spans="1:38" x14ac:dyDescent="0.3">
      <c r="A14" s="1">
        <v>12</v>
      </c>
      <c r="B14" s="1" t="s">
        <v>2075</v>
      </c>
      <c r="C14" s="1" t="s">
        <v>9</v>
      </c>
      <c r="D14" s="1" t="s">
        <v>2141</v>
      </c>
      <c r="E14" s="1" t="s">
        <v>2140</v>
      </c>
      <c r="F14">
        <v>5.1397205599999998</v>
      </c>
      <c r="G14">
        <v>2.797279509</v>
      </c>
      <c r="H14">
        <v>4.5817167269999999</v>
      </c>
      <c r="I14">
        <v>1.2676136039999999</v>
      </c>
      <c r="J14">
        <v>1.7631909130000001</v>
      </c>
      <c r="K14">
        <v>5.4155724320000003</v>
      </c>
      <c r="L14">
        <v>0.28418206000000001</v>
      </c>
      <c r="M14">
        <v>0.52128258000000005</v>
      </c>
      <c r="N14">
        <v>2.9466680250000001</v>
      </c>
      <c r="O14">
        <v>0.14571247900000001</v>
      </c>
      <c r="P14">
        <v>0.66874621300000003</v>
      </c>
      <c r="Q14">
        <v>0.43296506400000001</v>
      </c>
      <c r="R14">
        <v>0.200789773</v>
      </c>
      <c r="S14">
        <v>5.4756180000000002E-2</v>
      </c>
      <c r="T14">
        <v>5.0601800000000002E-2</v>
      </c>
      <c r="U14">
        <v>3.7335325000000003E-2</v>
      </c>
      <c r="V14">
        <v>0.64885005799999995</v>
      </c>
      <c r="W14">
        <v>4.0970413999999997E-2</v>
      </c>
      <c r="X14">
        <v>4.4483986000000003E-2</v>
      </c>
      <c r="Y14">
        <v>0.28318425000000003</v>
      </c>
      <c r="Z14">
        <v>0.21205558599999999</v>
      </c>
      <c r="AA14">
        <v>1.4382281E-2</v>
      </c>
      <c r="AB14">
        <v>9.7514941999999993E-2</v>
      </c>
      <c r="AC14">
        <v>6.5168925000000003E-2</v>
      </c>
      <c r="AD14">
        <v>1.0067451999999999E-2</v>
      </c>
      <c r="AE14">
        <v>1.6428453999999999E-2</v>
      </c>
      <c r="AF14">
        <v>1.3923052E-2</v>
      </c>
      <c r="AG14">
        <v>2.0685851000000002E-2</v>
      </c>
      <c r="AH14">
        <v>2.3776173539999998</v>
      </c>
      <c r="AI14">
        <v>1.8743973</v>
      </c>
      <c r="AJ14">
        <v>1.8639328980000001</v>
      </c>
      <c r="AK14">
        <v>0</v>
      </c>
      <c r="AL14" s="1" t="s">
        <v>2139</v>
      </c>
    </row>
    <row r="15" spans="1:38" x14ac:dyDescent="0.3">
      <c r="A15" s="1">
        <v>13</v>
      </c>
      <c r="B15" s="1" t="s">
        <v>2063</v>
      </c>
      <c r="C15" s="1" t="s">
        <v>8</v>
      </c>
      <c r="D15" s="1" t="s">
        <v>2138</v>
      </c>
      <c r="E15" s="1" t="s">
        <v>2137</v>
      </c>
      <c r="F15">
        <v>2.14155023</v>
      </c>
      <c r="G15">
        <v>2.2049144360000001</v>
      </c>
      <c r="H15">
        <v>0.31387593200000002</v>
      </c>
      <c r="I15">
        <v>0.96768717100000001</v>
      </c>
      <c r="J15">
        <v>1.109423496</v>
      </c>
      <c r="K15">
        <v>0.70977358199999996</v>
      </c>
      <c r="L15">
        <v>1.3979923910000001</v>
      </c>
      <c r="M15">
        <v>2.0288768049999999</v>
      </c>
      <c r="N15">
        <v>0.390399565</v>
      </c>
      <c r="O15">
        <v>4.9487257E-2</v>
      </c>
      <c r="P15">
        <v>6.5079329000000005E-2</v>
      </c>
      <c r="Q15">
        <v>3.7324573999999999E-2</v>
      </c>
      <c r="R15">
        <v>4.3504451E-2</v>
      </c>
      <c r="S15">
        <v>5.1714169999999997E-2</v>
      </c>
      <c r="T15">
        <v>5.4216213999999999E-2</v>
      </c>
      <c r="U15">
        <v>0.27468131600000001</v>
      </c>
      <c r="V15">
        <v>0.122060902</v>
      </c>
      <c r="W15">
        <v>0.122911241</v>
      </c>
      <c r="X15">
        <v>0.108032537</v>
      </c>
      <c r="Y15">
        <v>0.12585966600000001</v>
      </c>
      <c r="Z15">
        <v>1.8047284E-2</v>
      </c>
      <c r="AA15">
        <v>5.7529124000000001E-2</v>
      </c>
      <c r="AB15">
        <v>0</v>
      </c>
      <c r="AC15">
        <v>6.8598870000000003E-3</v>
      </c>
      <c r="AD15">
        <v>8.0539614999999995E-2</v>
      </c>
      <c r="AE15">
        <v>2.8163064000000002E-2</v>
      </c>
      <c r="AF15">
        <v>5.5692208E-2</v>
      </c>
      <c r="AG15">
        <v>2.7581135E-2</v>
      </c>
      <c r="AH15">
        <v>6.8239773000000004E-2</v>
      </c>
      <c r="AI15">
        <v>9.0405014000000006E-2</v>
      </c>
      <c r="AJ15">
        <v>1.7922431999999999E-2</v>
      </c>
      <c r="AK15">
        <v>0</v>
      </c>
      <c r="AL15" s="1" t="s">
        <v>2136</v>
      </c>
    </row>
    <row r="16" spans="1:38" x14ac:dyDescent="0.3">
      <c r="A16" s="1">
        <v>14</v>
      </c>
      <c r="B16" s="1" t="s">
        <v>2065</v>
      </c>
      <c r="C16" s="1" t="s">
        <v>4</v>
      </c>
      <c r="D16" s="1" t="s">
        <v>2135</v>
      </c>
      <c r="E16" s="1" t="s">
        <v>2134</v>
      </c>
      <c r="F16">
        <v>3.7425149999999997E-2</v>
      </c>
      <c r="G16">
        <v>2.1939447000000001E-2</v>
      </c>
      <c r="H16">
        <v>4.3593879999999996E-3</v>
      </c>
      <c r="I16">
        <v>7.3566860999999997E-2</v>
      </c>
      <c r="J16">
        <v>0</v>
      </c>
      <c r="K16">
        <v>10.997941657</v>
      </c>
      <c r="L16">
        <v>0</v>
      </c>
      <c r="M16">
        <v>0</v>
      </c>
      <c r="N16">
        <v>3.3947790000000001E-3</v>
      </c>
      <c r="O16">
        <v>0</v>
      </c>
      <c r="P16">
        <v>0</v>
      </c>
      <c r="Q16">
        <v>2.4883050000000001E-3</v>
      </c>
      <c r="R16">
        <v>0</v>
      </c>
      <c r="S16">
        <v>0</v>
      </c>
      <c r="T16">
        <v>3.6144139999999998E-3</v>
      </c>
      <c r="U16">
        <v>0</v>
      </c>
      <c r="V16">
        <v>1.2848516000000001E-2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 s="1" t="s">
        <v>2133</v>
      </c>
    </row>
    <row r="17" spans="1:38" x14ac:dyDescent="0.3">
      <c r="A17" s="1">
        <v>15</v>
      </c>
      <c r="B17" s="1" t="s">
        <v>2078</v>
      </c>
      <c r="C17" s="1" t="s">
        <v>4</v>
      </c>
      <c r="D17" s="1" t="s">
        <v>2132</v>
      </c>
      <c r="E17" s="1" t="s">
        <v>2131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2.666809E-3</v>
      </c>
      <c r="V17">
        <v>0</v>
      </c>
      <c r="W17">
        <v>0</v>
      </c>
      <c r="X17">
        <v>3.0535078800000002</v>
      </c>
      <c r="Y17">
        <v>0</v>
      </c>
      <c r="Z17">
        <v>4.9630030999999998E-2</v>
      </c>
      <c r="AA17">
        <v>6.4720264999999999E-2</v>
      </c>
      <c r="AB17">
        <v>1.2582573E-2</v>
      </c>
      <c r="AC17">
        <v>4.8019208000000001E-2</v>
      </c>
      <c r="AD17">
        <v>6.4834390419999997</v>
      </c>
      <c r="AE17">
        <v>16.149170363</v>
      </c>
      <c r="AF17">
        <v>1.963150323</v>
      </c>
      <c r="AG17">
        <v>6.5413257329999999</v>
      </c>
      <c r="AH17">
        <v>0</v>
      </c>
      <c r="AI17">
        <v>0</v>
      </c>
      <c r="AJ17">
        <v>0</v>
      </c>
      <c r="AK17">
        <v>0</v>
      </c>
      <c r="AL17" s="1" t="s">
        <v>2130</v>
      </c>
    </row>
    <row r="18" spans="1:38" x14ac:dyDescent="0.3">
      <c r="A18" s="1">
        <v>16</v>
      </c>
      <c r="B18" s="1" t="s">
        <v>2077</v>
      </c>
      <c r="C18" s="1" t="s">
        <v>4</v>
      </c>
      <c r="D18" s="1" t="s">
        <v>2125</v>
      </c>
      <c r="E18" s="1" t="s">
        <v>2129</v>
      </c>
      <c r="F18">
        <v>3.9005322699999998</v>
      </c>
      <c r="G18">
        <v>1.502852128</v>
      </c>
      <c r="H18">
        <v>3.4439164739999999</v>
      </c>
      <c r="I18">
        <v>0.96768717100000001</v>
      </c>
      <c r="J18">
        <v>7.950868388</v>
      </c>
      <c r="K18">
        <v>0.223578678</v>
      </c>
      <c r="L18">
        <v>1.3384058299999999</v>
      </c>
      <c r="M18">
        <v>1.01631352</v>
      </c>
      <c r="N18">
        <v>0.539769834</v>
      </c>
      <c r="O18">
        <v>0.33266433899999998</v>
      </c>
      <c r="P18">
        <v>1.220798456</v>
      </c>
      <c r="Q18">
        <v>6.4695928999999999E-2</v>
      </c>
      <c r="R18">
        <v>6.6929924000000002E-2</v>
      </c>
      <c r="S18">
        <v>7.605025E-2</v>
      </c>
      <c r="T18">
        <v>1.698774714</v>
      </c>
      <c r="U18">
        <v>0.91738226</v>
      </c>
      <c r="V18">
        <v>0</v>
      </c>
      <c r="W18">
        <v>0.26338123000000002</v>
      </c>
      <c r="X18">
        <v>2.564184037</v>
      </c>
      <c r="Y18">
        <v>2.2474939999999999E-2</v>
      </c>
      <c r="Z18">
        <v>9.9260060999999997E-2</v>
      </c>
      <c r="AA18">
        <v>0.84855458100000003</v>
      </c>
      <c r="AB18">
        <v>0.27681660899999999</v>
      </c>
      <c r="AC18">
        <v>1.23820957</v>
      </c>
      <c r="AD18">
        <v>1.293667573</v>
      </c>
      <c r="AE18">
        <v>4.0038489520000002</v>
      </c>
      <c r="AF18">
        <v>1.1556133099999999</v>
      </c>
      <c r="AG18">
        <v>6.3413625079999996</v>
      </c>
      <c r="AH18">
        <v>7.1831339999999999E-3</v>
      </c>
      <c r="AI18">
        <v>1.2054001999999999E-2</v>
      </c>
      <c r="AJ18">
        <v>1.0753459E-2</v>
      </c>
      <c r="AK18">
        <v>0</v>
      </c>
      <c r="AL18" s="1" t="s">
        <v>2128</v>
      </c>
    </row>
    <row r="19" spans="1:38" x14ac:dyDescent="0.3">
      <c r="A19" s="1">
        <v>17</v>
      </c>
      <c r="B19" s="1" t="s">
        <v>2067</v>
      </c>
      <c r="C19" s="1" t="s">
        <v>4</v>
      </c>
      <c r="D19" s="1" t="s">
        <v>2125</v>
      </c>
      <c r="E19" s="1" t="s">
        <v>2127</v>
      </c>
      <c r="F19">
        <v>0.20375915</v>
      </c>
      <c r="G19">
        <v>0.18648530099999999</v>
      </c>
      <c r="H19">
        <v>0.71929900999999996</v>
      </c>
      <c r="I19">
        <v>1.1148208930000001</v>
      </c>
      <c r="J19">
        <v>0.105659381</v>
      </c>
      <c r="K19">
        <v>0.46135282799999999</v>
      </c>
      <c r="L19">
        <v>0.22917908100000001</v>
      </c>
      <c r="M19">
        <v>0.28126757899999999</v>
      </c>
      <c r="N19">
        <v>0.25460841200000001</v>
      </c>
      <c r="O19">
        <v>0.49762186200000003</v>
      </c>
      <c r="P19">
        <v>0.23563205500000001</v>
      </c>
      <c r="Q19">
        <v>1.1023191000000001</v>
      </c>
      <c r="R19">
        <v>3.684492337</v>
      </c>
      <c r="S19">
        <v>3.3462110000000003E-2</v>
      </c>
      <c r="T19">
        <v>0.108432429</v>
      </c>
      <c r="U19">
        <v>0.429356232</v>
      </c>
      <c r="V19">
        <v>6.4242580000000004E-3</v>
      </c>
      <c r="W19">
        <v>8.1940826999999994E-2</v>
      </c>
      <c r="X19">
        <v>0.25737163200000002</v>
      </c>
      <c r="Y19">
        <v>0.32813413000000002</v>
      </c>
      <c r="Z19">
        <v>9.0236420000000001E-3</v>
      </c>
      <c r="AA19">
        <v>5.0337984000000002E-2</v>
      </c>
      <c r="AB19">
        <v>6.2912869999999996E-3</v>
      </c>
      <c r="AC19">
        <v>5.8309038000000001E-2</v>
      </c>
      <c r="AD19">
        <v>0.64935064899999995</v>
      </c>
      <c r="AE19">
        <v>0.25581449899999997</v>
      </c>
      <c r="AF19">
        <v>7.4256276999999996E-2</v>
      </c>
      <c r="AG19">
        <v>0.197664797</v>
      </c>
      <c r="AH19">
        <v>6.1056639000000003E-2</v>
      </c>
      <c r="AI19">
        <v>1.2054001999999999E-2</v>
      </c>
      <c r="AJ19">
        <v>1.7922431999999999E-2</v>
      </c>
      <c r="AK19">
        <v>0</v>
      </c>
      <c r="AL19" s="1" t="s">
        <v>2126</v>
      </c>
    </row>
    <row r="20" spans="1:38" x14ac:dyDescent="0.3">
      <c r="A20" s="1">
        <v>18</v>
      </c>
      <c r="B20" s="1" t="s">
        <v>2082</v>
      </c>
      <c r="C20" s="1" t="s">
        <v>4</v>
      </c>
      <c r="D20" s="1" t="s">
        <v>2125</v>
      </c>
      <c r="E20" s="1" t="s">
        <v>2124</v>
      </c>
      <c r="F20">
        <v>10.98636061</v>
      </c>
      <c r="G20">
        <v>6.241772707</v>
      </c>
      <c r="H20">
        <v>6.6829417150000001</v>
      </c>
      <c r="I20">
        <v>11.425499406</v>
      </c>
      <c r="J20">
        <v>18.965858813000001</v>
      </c>
      <c r="K20">
        <v>3.0129888569999999</v>
      </c>
      <c r="L20">
        <v>1.599669982</v>
      </c>
      <c r="M20">
        <v>0.87755484699999997</v>
      </c>
      <c r="N20">
        <v>2.8651933330000001</v>
      </c>
      <c r="O20">
        <v>1.006240893</v>
      </c>
      <c r="P20">
        <v>0.59693453900000004</v>
      </c>
      <c r="Q20">
        <v>0.204041007</v>
      </c>
      <c r="R20">
        <v>3.3464962000000001E-2</v>
      </c>
      <c r="S20">
        <v>2.1294069999999998E-2</v>
      </c>
      <c r="T20">
        <v>7.5902700000000003E-2</v>
      </c>
      <c r="U20">
        <v>0.114672783</v>
      </c>
      <c r="V20">
        <v>6.4242580000000004E-3</v>
      </c>
      <c r="W20">
        <v>3.8043954999999997E-2</v>
      </c>
      <c r="X20">
        <v>8.8967972000000006E-2</v>
      </c>
      <c r="Y20">
        <v>0.11686969</v>
      </c>
      <c r="Z20">
        <v>1.8047284E-2</v>
      </c>
      <c r="AA20">
        <v>0.129440529</v>
      </c>
      <c r="AB20">
        <v>0.13840830400000001</v>
      </c>
      <c r="AC20">
        <v>0.26410564199999997</v>
      </c>
      <c r="AD20">
        <v>0.372495721</v>
      </c>
      <c r="AE20">
        <v>1.4902954770000001</v>
      </c>
      <c r="AF20">
        <v>6.4974242000000001E-2</v>
      </c>
      <c r="AG20">
        <v>0.16548680700000001</v>
      </c>
      <c r="AH20">
        <v>1.4366268E-2</v>
      </c>
      <c r="AI20">
        <v>6.0270009999999997E-3</v>
      </c>
      <c r="AJ20">
        <v>2.5091404000000001E-2</v>
      </c>
      <c r="AK20">
        <v>0</v>
      </c>
      <c r="AL20" s="1" t="s">
        <v>2123</v>
      </c>
    </row>
    <row r="21" spans="1:38" x14ac:dyDescent="0.3">
      <c r="A21" s="1">
        <v>19</v>
      </c>
      <c r="B21" s="1" t="s">
        <v>2073</v>
      </c>
      <c r="C21" s="1" t="s">
        <v>4</v>
      </c>
      <c r="D21" s="1" t="s">
        <v>2122</v>
      </c>
      <c r="E21" s="1" t="s">
        <v>2121</v>
      </c>
      <c r="F21">
        <v>0.54474385000000003</v>
      </c>
      <c r="G21">
        <v>0.95436595000000002</v>
      </c>
      <c r="H21">
        <v>0.48389206200000001</v>
      </c>
      <c r="I21">
        <v>0.14147473299999999</v>
      </c>
      <c r="J21">
        <v>1.142442052</v>
      </c>
      <c r="K21">
        <v>9.9368302000000006E-2</v>
      </c>
      <c r="L21">
        <v>0.35751936600000001</v>
      </c>
      <c r="M21">
        <v>0.45752859600000001</v>
      </c>
      <c r="N21">
        <v>0.43453169000000003</v>
      </c>
      <c r="O21">
        <v>0.230940533</v>
      </c>
      <c r="P21">
        <v>0.15035569200000001</v>
      </c>
      <c r="Q21">
        <v>0.93560266700000005</v>
      </c>
      <c r="R21">
        <v>1.258282578</v>
      </c>
      <c r="S21">
        <v>1.3445684899999999</v>
      </c>
      <c r="T21">
        <v>1.4638377849999999</v>
      </c>
      <c r="U21">
        <v>3.9255426959999999</v>
      </c>
      <c r="V21">
        <v>2.2549145570000002</v>
      </c>
      <c r="W21">
        <v>1.1705832430000001</v>
      </c>
      <c r="X21">
        <v>1.903279105</v>
      </c>
      <c r="Y21">
        <v>1.5507708899999999</v>
      </c>
      <c r="Z21">
        <v>0.613607652</v>
      </c>
      <c r="AA21">
        <v>0.84855458100000003</v>
      </c>
      <c r="AB21">
        <v>0.61969172699999997</v>
      </c>
      <c r="AC21">
        <v>0.66197907700000003</v>
      </c>
      <c r="AD21">
        <v>0.976542837</v>
      </c>
      <c r="AE21">
        <v>0.354385224</v>
      </c>
      <c r="AF21">
        <v>0.97925465300000003</v>
      </c>
      <c r="AG21">
        <v>0.42750758500000002</v>
      </c>
      <c r="AH21">
        <v>1.346837625</v>
      </c>
      <c r="AI21">
        <v>0.43394406899999999</v>
      </c>
      <c r="AJ21">
        <v>1.050254499</v>
      </c>
      <c r="AK21">
        <v>0</v>
      </c>
      <c r="AL21" s="1" t="s">
        <v>2120</v>
      </c>
    </row>
    <row r="22" spans="1:38" x14ac:dyDescent="0.3">
      <c r="A22" s="1">
        <v>20</v>
      </c>
      <c r="B22" s="1" t="s">
        <v>2092</v>
      </c>
      <c r="C22" s="1" t="s">
        <v>4</v>
      </c>
      <c r="D22" s="1" t="s">
        <v>2119</v>
      </c>
      <c r="E22" s="1" t="s">
        <v>2118</v>
      </c>
      <c r="F22">
        <v>0.40335995000000002</v>
      </c>
      <c r="G22">
        <v>0.72765833000000002</v>
      </c>
      <c r="H22">
        <v>0.63211125199999996</v>
      </c>
      <c r="I22">
        <v>2.2522777430000001</v>
      </c>
      <c r="J22">
        <v>2.6811067820000001</v>
      </c>
      <c r="K22">
        <v>2.8284477250000002</v>
      </c>
      <c r="L22">
        <v>34.844387404000003</v>
      </c>
      <c r="M22">
        <v>34.183386462000001</v>
      </c>
      <c r="N22">
        <v>12.088807414</v>
      </c>
      <c r="O22">
        <v>48.371044456</v>
      </c>
      <c r="P22">
        <v>55.162586118</v>
      </c>
      <c r="Q22">
        <v>42.689360008000001</v>
      </c>
      <c r="R22">
        <v>61.408205608999999</v>
      </c>
      <c r="S22">
        <v>73.899552819999997</v>
      </c>
      <c r="T22">
        <v>40.618787724999997</v>
      </c>
      <c r="U22">
        <v>19.105018934</v>
      </c>
      <c r="V22">
        <v>54.252858795000002</v>
      </c>
      <c r="W22">
        <v>37.195282550000002</v>
      </c>
      <c r="X22">
        <v>45.875699034</v>
      </c>
      <c r="Y22">
        <v>38.000629298</v>
      </c>
      <c r="Z22">
        <v>9.6237141309999998</v>
      </c>
      <c r="AA22">
        <v>51.366316697999999</v>
      </c>
      <c r="AB22">
        <v>3.9037433159999999</v>
      </c>
      <c r="AC22">
        <v>7.0759732460000002</v>
      </c>
      <c r="AD22">
        <v>35.553206482999997</v>
      </c>
      <c r="AE22">
        <v>3.095590134</v>
      </c>
      <c r="AF22">
        <v>57.478999397000003</v>
      </c>
      <c r="AG22">
        <v>21.825871104000001</v>
      </c>
      <c r="AH22">
        <v>59.914520705000001</v>
      </c>
      <c r="AI22">
        <v>66.622468659999996</v>
      </c>
      <c r="AJ22">
        <v>67.635672807999995</v>
      </c>
      <c r="AK22">
        <v>0</v>
      </c>
      <c r="AL22" s="1" t="s">
        <v>2117</v>
      </c>
    </row>
    <row r="23" spans="1:38" x14ac:dyDescent="0.3">
      <c r="A23" s="1">
        <v>21</v>
      </c>
      <c r="B23" s="1" t="s">
        <v>2070</v>
      </c>
      <c r="C23" s="1" t="s">
        <v>4</v>
      </c>
      <c r="D23" s="1" t="s">
        <v>2115</v>
      </c>
      <c r="E23" s="1" t="s">
        <v>2114</v>
      </c>
      <c r="F23">
        <v>1.76314039</v>
      </c>
      <c r="G23">
        <v>5.9638730439999996</v>
      </c>
      <c r="H23">
        <v>0.35311042300000001</v>
      </c>
      <c r="I23">
        <v>3.2029879459999999</v>
      </c>
      <c r="J23">
        <v>0.67357855099999997</v>
      </c>
      <c r="K23">
        <v>1.3663141459999999</v>
      </c>
      <c r="L23">
        <v>0.26126415200000003</v>
      </c>
      <c r="M23">
        <v>0.232514532</v>
      </c>
      <c r="N23">
        <v>0.89961639000000004</v>
      </c>
      <c r="O23">
        <v>0.134715311</v>
      </c>
      <c r="P23">
        <v>3.1417607E-2</v>
      </c>
      <c r="Q23">
        <v>0.39315218499999999</v>
      </c>
      <c r="R23">
        <v>0.14724583399999999</v>
      </c>
      <c r="S23">
        <v>8.2134269999999995E-2</v>
      </c>
      <c r="T23">
        <v>3.9758557E-2</v>
      </c>
      <c r="U23">
        <v>1.6000852999999999E-2</v>
      </c>
      <c r="V23">
        <v>6.4242580000000004E-3</v>
      </c>
      <c r="W23">
        <v>4.3896872000000003E-2</v>
      </c>
      <c r="X23">
        <v>1.9064564999999999E-2</v>
      </c>
      <c r="Y23">
        <v>0.161819571</v>
      </c>
      <c r="Z23">
        <v>0</v>
      </c>
      <c r="AA23">
        <v>0</v>
      </c>
      <c r="AB23">
        <v>3.1456430000000001E-3</v>
      </c>
      <c r="AC23">
        <v>3.429943E-3</v>
      </c>
      <c r="AD23">
        <v>0</v>
      </c>
      <c r="AE23">
        <v>0</v>
      </c>
      <c r="AF23">
        <v>4.6410169999999999E-3</v>
      </c>
      <c r="AG23">
        <v>0</v>
      </c>
      <c r="AH23">
        <v>1.4366268E-2</v>
      </c>
      <c r="AI23">
        <v>0</v>
      </c>
      <c r="AJ23">
        <v>1.4337945E-2</v>
      </c>
      <c r="AK23">
        <v>0</v>
      </c>
      <c r="AL23" s="1" t="s">
        <v>2116</v>
      </c>
    </row>
    <row r="24" spans="1:38" x14ac:dyDescent="0.3">
      <c r="A24" s="1">
        <v>22</v>
      </c>
      <c r="B24" s="1" t="s">
        <v>2069</v>
      </c>
      <c r="C24" s="1" t="s">
        <v>4</v>
      </c>
      <c r="D24" s="1" t="s">
        <v>2115</v>
      </c>
      <c r="E24" s="1" t="s">
        <v>2114</v>
      </c>
      <c r="F24">
        <v>0.64454423999999999</v>
      </c>
      <c r="G24">
        <v>0.124323534</v>
      </c>
      <c r="H24">
        <v>1.8570992630000001</v>
      </c>
      <c r="I24">
        <v>2.7615867810000001</v>
      </c>
      <c r="J24">
        <v>0.73301195299999999</v>
      </c>
      <c r="K24">
        <v>0.18808999900000001</v>
      </c>
      <c r="L24">
        <v>0.50877755899999999</v>
      </c>
      <c r="M24">
        <v>0.25126570399999998</v>
      </c>
      <c r="N24">
        <v>0.11542247999999999</v>
      </c>
      <c r="O24">
        <v>4.3988672999999999E-2</v>
      </c>
      <c r="P24">
        <v>2.2441150000000001E-3</v>
      </c>
      <c r="Q24">
        <v>0.41057031900000002</v>
      </c>
      <c r="R24">
        <v>0.32126363699999999</v>
      </c>
      <c r="S24">
        <v>0.30115901</v>
      </c>
      <c r="T24">
        <v>0.25662341399999999</v>
      </c>
      <c r="U24">
        <v>0.11200597399999999</v>
      </c>
      <c r="V24">
        <v>0.10278812800000001</v>
      </c>
      <c r="W24">
        <v>0.114131866</v>
      </c>
      <c r="X24">
        <v>8.8967972000000006E-2</v>
      </c>
      <c r="Y24">
        <v>6.0187890499999996</v>
      </c>
      <c r="Z24">
        <v>9.4748239999999997E-2</v>
      </c>
      <c r="AA24">
        <v>7.9102545999999996E-2</v>
      </c>
      <c r="AB24">
        <v>0.125825731</v>
      </c>
      <c r="AC24">
        <v>0.116618076</v>
      </c>
      <c r="AD24">
        <v>1.5101178E-2</v>
      </c>
      <c r="AE24">
        <v>3.2856907999999997E-2</v>
      </c>
      <c r="AF24">
        <v>3.2487121000000001E-2</v>
      </c>
      <c r="AG24">
        <v>6.8952836000000003E-2</v>
      </c>
      <c r="AH24">
        <v>8.6197607999999995E-2</v>
      </c>
      <c r="AI24">
        <v>4.8216007999999998E-2</v>
      </c>
      <c r="AJ24">
        <v>6.8105240999999997E-2</v>
      </c>
      <c r="AK24">
        <v>0</v>
      </c>
      <c r="AL24" s="1" t="s">
        <v>2113</v>
      </c>
    </row>
    <row r="25" spans="1:38" x14ac:dyDescent="0.3">
      <c r="A25" s="1">
        <v>23</v>
      </c>
      <c r="B25" s="1" t="s">
        <v>2071</v>
      </c>
      <c r="C25" s="1" t="s">
        <v>4</v>
      </c>
      <c r="D25" s="1" t="s">
        <v>2112</v>
      </c>
      <c r="E25" s="1" t="s">
        <v>2094</v>
      </c>
      <c r="F25">
        <v>1.0562208900000001</v>
      </c>
      <c r="G25">
        <v>1.1847301450000001</v>
      </c>
      <c r="H25">
        <v>0.178734906</v>
      </c>
      <c r="I25">
        <v>0.37349329399999998</v>
      </c>
      <c r="J25">
        <v>0.52169319199999997</v>
      </c>
      <c r="K25">
        <v>4.9684151000000003E-2</v>
      </c>
      <c r="L25">
        <v>0.24751340699999999</v>
      </c>
      <c r="M25">
        <v>0.243765235</v>
      </c>
      <c r="N25">
        <v>1.076144889</v>
      </c>
      <c r="O25">
        <v>0.55810628799999995</v>
      </c>
      <c r="P25">
        <v>0.44882296199999999</v>
      </c>
      <c r="Q25">
        <v>0.199064397</v>
      </c>
      <c r="R25">
        <v>0.75965464199999999</v>
      </c>
      <c r="S25">
        <v>0.70270434999999998</v>
      </c>
      <c r="T25">
        <v>0.32891169999999997</v>
      </c>
      <c r="U25">
        <v>0.53069496999999999</v>
      </c>
      <c r="V25">
        <v>1.1242451499999999</v>
      </c>
      <c r="W25">
        <v>0.316057476</v>
      </c>
      <c r="X25">
        <v>0.40988815499999998</v>
      </c>
      <c r="Y25">
        <v>0.69222816600000003</v>
      </c>
      <c r="Z25">
        <v>0.23010286999999999</v>
      </c>
      <c r="AA25">
        <v>0.25168991800000001</v>
      </c>
      <c r="AB25">
        <v>0.14784523399999999</v>
      </c>
      <c r="AC25">
        <v>0.14062768</v>
      </c>
      <c r="AD25">
        <v>9.5640793000000002E-2</v>
      </c>
      <c r="AE25">
        <v>5.6326128000000003E-2</v>
      </c>
      <c r="AF25">
        <v>0.19492272699999999</v>
      </c>
      <c r="AG25">
        <v>0.18847108600000001</v>
      </c>
      <c r="AH25">
        <v>1.0200050279999999</v>
      </c>
      <c r="AI25">
        <v>0.64488910300000002</v>
      </c>
      <c r="AJ25">
        <v>0.84952326300000003</v>
      </c>
      <c r="AK25">
        <v>0</v>
      </c>
      <c r="AL25" s="1" t="s">
        <v>2111</v>
      </c>
    </row>
    <row r="26" spans="1:38" x14ac:dyDescent="0.3">
      <c r="A26" s="1">
        <v>24</v>
      </c>
      <c r="B26" s="1" t="s">
        <v>2061</v>
      </c>
      <c r="C26" s="1" t="s">
        <v>4</v>
      </c>
      <c r="D26" s="1" t="s">
        <v>2108</v>
      </c>
      <c r="E26" s="1" t="s">
        <v>2110</v>
      </c>
      <c r="F26">
        <v>0.34514305000000001</v>
      </c>
      <c r="G26">
        <v>0.35834430299999998</v>
      </c>
      <c r="H26">
        <v>0.49261083700000002</v>
      </c>
      <c r="I26">
        <v>6.2248881999999998E-2</v>
      </c>
      <c r="J26">
        <v>2.1726210130000001</v>
      </c>
      <c r="K26">
        <v>6.0330754E-2</v>
      </c>
      <c r="L26">
        <v>0.88463125099999995</v>
      </c>
      <c r="M26">
        <v>0.543783986</v>
      </c>
      <c r="N26">
        <v>1.690599857</v>
      </c>
      <c r="O26">
        <v>0.98424655699999997</v>
      </c>
      <c r="P26">
        <v>0.77421960899999998</v>
      </c>
      <c r="Q26">
        <v>0.69921369600000005</v>
      </c>
      <c r="R26">
        <v>4.6850946999999997E-2</v>
      </c>
      <c r="S26">
        <v>0.41675539</v>
      </c>
      <c r="T26">
        <v>3.9758557E-2</v>
      </c>
      <c r="U26">
        <v>8.0004269999999992E-3</v>
      </c>
      <c r="V26">
        <v>1.9272773999999999E-2</v>
      </c>
      <c r="W26">
        <v>4.0970413999999997E-2</v>
      </c>
      <c r="X26">
        <v>1.9064564999999999E-2</v>
      </c>
      <c r="Y26">
        <v>0.1887895</v>
      </c>
      <c r="Z26">
        <v>2.2559104999999999E-2</v>
      </c>
      <c r="AA26">
        <v>1.4382281E-2</v>
      </c>
      <c r="AB26">
        <v>1.8873859999999999E-2</v>
      </c>
      <c r="AC26">
        <v>2.057966E-2</v>
      </c>
      <c r="AD26">
        <v>5.0337259999999997E-3</v>
      </c>
      <c r="AE26">
        <v>4.693844E-3</v>
      </c>
      <c r="AF26">
        <v>4.6410169999999999E-3</v>
      </c>
      <c r="AG26">
        <v>9.1937119999999997E-3</v>
      </c>
      <c r="AH26">
        <v>0.12211327800000001</v>
      </c>
      <c r="AI26">
        <v>0.13862102200000001</v>
      </c>
      <c r="AJ26">
        <v>6.0936268000000002E-2</v>
      </c>
      <c r="AK26">
        <v>0</v>
      </c>
      <c r="AL26" s="1" t="s">
        <v>2109</v>
      </c>
    </row>
    <row r="27" spans="1:38" x14ac:dyDescent="0.3">
      <c r="A27" s="1">
        <v>25</v>
      </c>
      <c r="B27" s="1" t="s">
        <v>2088</v>
      </c>
      <c r="C27" s="1" t="s">
        <v>4</v>
      </c>
      <c r="D27" s="1" t="s">
        <v>2108</v>
      </c>
      <c r="E27" s="1" t="s">
        <v>2107</v>
      </c>
      <c r="F27">
        <v>1.5302727899999999</v>
      </c>
      <c r="G27">
        <v>1.367558871</v>
      </c>
      <c r="H27">
        <v>0.51876716499999997</v>
      </c>
      <c r="I27">
        <v>0.26597249699999997</v>
      </c>
      <c r="J27">
        <v>0.79244535400000005</v>
      </c>
      <c r="K27">
        <v>5.6781887000000003E-2</v>
      </c>
      <c r="L27">
        <v>2.7409818029999999</v>
      </c>
      <c r="M27">
        <v>1.721357585</v>
      </c>
      <c r="N27">
        <v>7.4685134E-2</v>
      </c>
      <c r="O27">
        <v>2.4743629E-2</v>
      </c>
      <c r="P27">
        <v>7.4055788999999997E-2</v>
      </c>
      <c r="Q27">
        <v>2.4883050000000001E-3</v>
      </c>
      <c r="R27">
        <v>0</v>
      </c>
      <c r="S27">
        <v>6.0840199999999999E-3</v>
      </c>
      <c r="T27">
        <v>0.91083239999999999</v>
      </c>
      <c r="U27">
        <v>1.269401035</v>
      </c>
      <c r="V27">
        <v>0</v>
      </c>
      <c r="W27">
        <v>2.7567235380000001</v>
      </c>
      <c r="X27">
        <v>0.190645653</v>
      </c>
      <c r="Y27">
        <v>8.9899760000000002E-3</v>
      </c>
      <c r="Z27">
        <v>57.958852192999998</v>
      </c>
      <c r="AA27">
        <v>15.468143248000001</v>
      </c>
      <c r="AB27">
        <v>58.634790815000002</v>
      </c>
      <c r="AC27">
        <v>12.985765734999999</v>
      </c>
      <c r="AD27">
        <v>3.2920567799999998</v>
      </c>
      <c r="AE27">
        <v>9.5191156800000005</v>
      </c>
      <c r="AF27">
        <v>0.352717316</v>
      </c>
      <c r="AG27">
        <v>1.2825227539999999</v>
      </c>
      <c r="AH27">
        <v>1.0774700999999999E-2</v>
      </c>
      <c r="AI27">
        <v>6.0270009999999997E-3</v>
      </c>
      <c r="AJ27">
        <v>0</v>
      </c>
      <c r="AK27">
        <v>0</v>
      </c>
      <c r="AL27" s="1" t="s">
        <v>2106</v>
      </c>
    </row>
    <row r="28" spans="1:38" x14ac:dyDescent="0.3">
      <c r="A28" s="1">
        <v>26</v>
      </c>
      <c r="B28" s="1" t="s">
        <v>2089</v>
      </c>
      <c r="C28" s="1" t="s">
        <v>4</v>
      </c>
      <c r="D28" s="1" t="s">
        <v>2105</v>
      </c>
      <c r="E28" s="1" t="s">
        <v>2104</v>
      </c>
      <c r="F28">
        <v>0.28276780000000001</v>
      </c>
      <c r="G28">
        <v>0.14260640599999999</v>
      </c>
      <c r="H28">
        <v>0.209250621</v>
      </c>
      <c r="I28">
        <v>0.16411069</v>
      </c>
      <c r="J28">
        <v>0.96414184800000002</v>
      </c>
      <c r="K28">
        <v>0.333593584</v>
      </c>
      <c r="L28">
        <v>1.709675941</v>
      </c>
      <c r="M28">
        <v>1.6838552410000001</v>
      </c>
      <c r="N28">
        <v>0.45829514199999999</v>
      </c>
      <c r="O28">
        <v>0.24193770100000001</v>
      </c>
      <c r="P28">
        <v>0.39272009200000002</v>
      </c>
      <c r="Q28">
        <v>2.4883050000000001E-3</v>
      </c>
      <c r="R28">
        <v>0.110434375</v>
      </c>
      <c r="S28">
        <v>1.5210049999999999E-2</v>
      </c>
      <c r="T28">
        <v>1.377091842</v>
      </c>
      <c r="U28">
        <v>22.913222039000001</v>
      </c>
      <c r="V28">
        <v>0</v>
      </c>
      <c r="W28">
        <v>1.2642299029999999</v>
      </c>
      <c r="X28">
        <v>8.4519572949999997</v>
      </c>
      <c r="Y28">
        <v>2.6969929E-2</v>
      </c>
      <c r="Z28">
        <v>5.8653673000000003E-2</v>
      </c>
      <c r="AA28">
        <v>0.73349633299999994</v>
      </c>
      <c r="AB28">
        <v>6.2912869999999996E-3</v>
      </c>
      <c r="AC28">
        <v>13.832961756</v>
      </c>
      <c r="AD28">
        <v>25.757575758000002</v>
      </c>
      <c r="AE28">
        <v>37.989626604999998</v>
      </c>
      <c r="AF28">
        <v>12.540028774</v>
      </c>
      <c r="AG28">
        <v>14.808770801</v>
      </c>
      <c r="AH28">
        <v>3.5915669999999999E-3</v>
      </c>
      <c r="AI28">
        <v>6.0270009999999997E-3</v>
      </c>
      <c r="AJ28">
        <v>3.584486E-3</v>
      </c>
      <c r="AK28">
        <v>0</v>
      </c>
      <c r="AL28" s="1" t="s">
        <v>2103</v>
      </c>
    </row>
    <row r="29" spans="1:38" x14ac:dyDescent="0.3">
      <c r="A29" s="1">
        <v>27</v>
      </c>
      <c r="B29" s="1" t="s">
        <v>2072</v>
      </c>
      <c r="C29" s="1" t="s">
        <v>3</v>
      </c>
      <c r="D29" s="1" t="s">
        <v>2102</v>
      </c>
      <c r="E29" s="1" t="s">
        <v>2101</v>
      </c>
      <c r="F29">
        <v>0.59880239999999996</v>
      </c>
      <c r="G29">
        <v>1.2322656139999999</v>
      </c>
      <c r="H29">
        <v>0.64083002700000002</v>
      </c>
      <c r="I29">
        <v>1.5222681229999999</v>
      </c>
      <c r="J29">
        <v>0.58773030400000004</v>
      </c>
      <c r="K29">
        <v>0.379728866</v>
      </c>
      <c r="L29">
        <v>0.307099968</v>
      </c>
      <c r="M29">
        <v>1.7738608659999999</v>
      </c>
      <c r="N29">
        <v>0.85887904400000004</v>
      </c>
      <c r="O29">
        <v>0.89626921100000001</v>
      </c>
      <c r="P29">
        <v>0.87071654600000004</v>
      </c>
      <c r="Q29">
        <v>2.418632428</v>
      </c>
      <c r="R29">
        <v>0.95375142199999996</v>
      </c>
      <c r="S29">
        <v>7.3008240000000002E-2</v>
      </c>
      <c r="T29">
        <v>0.11204684299999999</v>
      </c>
      <c r="U29">
        <v>0.18934343200000001</v>
      </c>
      <c r="V29">
        <v>6.4242580000000004E-3</v>
      </c>
      <c r="W29">
        <v>4.6823330000000003E-2</v>
      </c>
      <c r="X29">
        <v>8.8967972000000006E-2</v>
      </c>
      <c r="Y29">
        <v>4.4949880000000001E-3</v>
      </c>
      <c r="Z29">
        <v>0</v>
      </c>
      <c r="AA29">
        <v>4.3146842999999997E-2</v>
      </c>
      <c r="AB29">
        <v>1.5728216E-2</v>
      </c>
      <c r="AC29">
        <v>1.028983E-2</v>
      </c>
      <c r="AD29">
        <v>1.0067451999999999E-2</v>
      </c>
      <c r="AE29">
        <v>0</v>
      </c>
      <c r="AF29">
        <v>4.6410169999999999E-3</v>
      </c>
      <c r="AG29">
        <v>2.7581135E-2</v>
      </c>
      <c r="AH29">
        <v>6.4648206E-2</v>
      </c>
      <c r="AI29">
        <v>3.0135004999999999E-2</v>
      </c>
      <c r="AJ29">
        <v>5.7351780999999998E-2</v>
      </c>
      <c r="AK29">
        <v>0</v>
      </c>
      <c r="AL29" s="1" t="s">
        <v>2100</v>
      </c>
    </row>
    <row r="30" spans="1:38" x14ac:dyDescent="0.3">
      <c r="A30" s="1">
        <v>28</v>
      </c>
      <c r="B30" s="1" t="s">
        <v>2090</v>
      </c>
      <c r="C30" s="1" t="s">
        <v>2</v>
      </c>
      <c r="D30" s="1" t="s">
        <v>2095</v>
      </c>
      <c r="E30" s="1" t="s">
        <v>2099</v>
      </c>
      <c r="F30">
        <v>6.6242514999999997</v>
      </c>
      <c r="G30">
        <v>5.1118911799999998</v>
      </c>
      <c r="H30">
        <v>2.4717729629999998</v>
      </c>
      <c r="I30">
        <v>4.4988964969999996</v>
      </c>
      <c r="J30">
        <v>4.1537343990000002</v>
      </c>
      <c r="K30">
        <v>0.613954149</v>
      </c>
      <c r="L30">
        <v>1.36590732</v>
      </c>
      <c r="M30">
        <v>0.945059066</v>
      </c>
      <c r="N30">
        <v>9.5596971859999993</v>
      </c>
      <c r="O30">
        <v>4.7865174719999999</v>
      </c>
      <c r="P30">
        <v>2.5044321269999998</v>
      </c>
      <c r="Q30">
        <v>19.839255499</v>
      </c>
      <c r="R30">
        <v>8.8447895049999996</v>
      </c>
      <c r="S30">
        <v>10.817388129999999</v>
      </c>
      <c r="T30">
        <v>33.802002385999998</v>
      </c>
      <c r="U30">
        <v>8.3604458899999994</v>
      </c>
      <c r="V30">
        <v>21.450597456000001</v>
      </c>
      <c r="W30">
        <v>7.5941587899999998</v>
      </c>
      <c r="X30">
        <v>2.5927808849999998</v>
      </c>
      <c r="Y30">
        <v>16.271856880000001</v>
      </c>
      <c r="Z30">
        <v>2.5762497739999999</v>
      </c>
      <c r="AA30">
        <v>5.1632388899999997</v>
      </c>
      <c r="AB30">
        <v>1.0034602079999999</v>
      </c>
      <c r="AC30">
        <v>2.5107185730000001</v>
      </c>
      <c r="AD30">
        <v>0.77016007200000003</v>
      </c>
      <c r="AE30">
        <v>0.40836443</v>
      </c>
      <c r="AF30">
        <v>6.061168608</v>
      </c>
      <c r="AG30">
        <v>3.4338512460000001</v>
      </c>
      <c r="AH30">
        <v>6.8167941670000003</v>
      </c>
      <c r="AI30">
        <v>6.756268081</v>
      </c>
      <c r="AJ30">
        <v>6.6778980570000002</v>
      </c>
      <c r="AK30">
        <v>0</v>
      </c>
      <c r="AL30" s="1" t="s">
        <v>2098</v>
      </c>
    </row>
    <row r="31" spans="1:38" x14ac:dyDescent="0.3">
      <c r="A31" s="1">
        <v>29</v>
      </c>
      <c r="B31" s="1" t="s">
        <v>2060</v>
      </c>
      <c r="C31" s="1" t="s">
        <v>2</v>
      </c>
      <c r="D31" s="1" t="s">
        <v>2095</v>
      </c>
      <c r="E31" s="1" t="s">
        <v>2097</v>
      </c>
      <c r="F31">
        <v>0.51563539999999997</v>
      </c>
      <c r="G31">
        <v>0.764224075</v>
      </c>
      <c r="H31">
        <v>0.30079776800000002</v>
      </c>
      <c r="I31">
        <v>0.741327599</v>
      </c>
      <c r="J31">
        <v>1.7697946250000001</v>
      </c>
      <c r="K31">
        <v>0.54297678999999999</v>
      </c>
      <c r="L31">
        <v>1.0954760050000001</v>
      </c>
      <c r="M31">
        <v>0.99381211300000005</v>
      </c>
      <c r="N31">
        <v>0.16634416299999999</v>
      </c>
      <c r="O31">
        <v>0.43163885299999999</v>
      </c>
      <c r="P31">
        <v>0.271537892</v>
      </c>
      <c r="Q31">
        <v>2.7371355E-2</v>
      </c>
      <c r="R31">
        <v>0.47185596699999999</v>
      </c>
      <c r="S31">
        <v>0.12168041</v>
      </c>
      <c r="T31">
        <v>7.2288285999999993E-2</v>
      </c>
      <c r="U31">
        <v>0.170675769</v>
      </c>
      <c r="V31">
        <v>0.26981883600000001</v>
      </c>
      <c r="W31">
        <v>4.6823330000000003E-2</v>
      </c>
      <c r="X31">
        <v>0.12391967500000001</v>
      </c>
      <c r="Y31">
        <v>0.22025441600000001</v>
      </c>
      <c r="Z31">
        <v>4.9630030999999998E-2</v>
      </c>
      <c r="AA31">
        <v>6.4720264999999999E-2</v>
      </c>
      <c r="AB31">
        <v>1.5728216E-2</v>
      </c>
      <c r="AC31">
        <v>2.057966E-2</v>
      </c>
      <c r="AD31">
        <v>9.5640793000000002E-2</v>
      </c>
      <c r="AE31">
        <v>3.7550752E-2</v>
      </c>
      <c r="AF31">
        <v>2.3205086999999999E-2</v>
      </c>
      <c r="AG31">
        <v>2.9879561999999998E-2</v>
      </c>
      <c r="AH31">
        <v>0.33401573099999998</v>
      </c>
      <c r="AI31">
        <v>0.52434908400000002</v>
      </c>
      <c r="AJ31">
        <v>0.215069181</v>
      </c>
      <c r="AK31">
        <v>0</v>
      </c>
      <c r="AL31" s="1" t="s">
        <v>2096</v>
      </c>
    </row>
    <row r="32" spans="1:38" x14ac:dyDescent="0.3">
      <c r="A32" s="1">
        <v>30</v>
      </c>
      <c r="B32" s="1" t="s">
        <v>2086</v>
      </c>
      <c r="C32" s="1" t="s">
        <v>2</v>
      </c>
      <c r="D32" s="1" t="s">
        <v>2095</v>
      </c>
      <c r="E32" s="1" t="s">
        <v>2094</v>
      </c>
      <c r="F32">
        <v>2.0043246799999999</v>
      </c>
      <c r="G32">
        <v>8.4028082489999996</v>
      </c>
      <c r="H32">
        <v>0.61031431199999997</v>
      </c>
      <c r="I32">
        <v>0.84318940600000003</v>
      </c>
      <c r="J32">
        <v>2.8131810079999999</v>
      </c>
      <c r="K32">
        <v>1.0504649020000001</v>
      </c>
      <c r="L32">
        <v>3.025163863</v>
      </c>
      <c r="M32">
        <v>1.8451153199999999</v>
      </c>
      <c r="N32">
        <v>1.1508300229999999</v>
      </c>
      <c r="O32">
        <v>1.402138949</v>
      </c>
      <c r="P32">
        <v>1.3733982629999999</v>
      </c>
      <c r="Q32">
        <v>0.78381606400000003</v>
      </c>
      <c r="R32">
        <v>2.4262097580000002</v>
      </c>
      <c r="S32">
        <v>1.17421592</v>
      </c>
      <c r="T32">
        <v>3.1445404269999999</v>
      </c>
      <c r="U32">
        <v>14.942130247</v>
      </c>
      <c r="V32">
        <v>4.3363741490000001</v>
      </c>
      <c r="W32">
        <v>1.4485967630000001</v>
      </c>
      <c r="X32">
        <v>6.7361464160000004</v>
      </c>
      <c r="Y32">
        <v>14.770530858000001</v>
      </c>
      <c r="Z32">
        <v>1.3580581119999999</v>
      </c>
      <c r="AA32">
        <v>1.862505393</v>
      </c>
      <c r="AB32">
        <v>0.58194400800000001</v>
      </c>
      <c r="AC32">
        <v>0.39101354799999999</v>
      </c>
      <c r="AD32">
        <v>3.7652270209999998</v>
      </c>
      <c r="AE32">
        <v>0.82142270399999995</v>
      </c>
      <c r="AF32">
        <v>8.7204715270000008</v>
      </c>
      <c r="AG32">
        <v>4.0337409209999997</v>
      </c>
      <c r="AH32">
        <v>8.7706066160000002</v>
      </c>
      <c r="AI32">
        <v>8.2389103180000003</v>
      </c>
      <c r="AJ32">
        <v>8.1869668079999993</v>
      </c>
      <c r="AK32">
        <v>0</v>
      </c>
      <c r="AL32" s="1" t="s">
        <v>2093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6441774-DDC3-47CB-AA7C-8ABA6905268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Metadata</vt:lpstr>
      <vt:lpstr>Phylum%</vt:lpstr>
      <vt:lpstr>family</vt:lpstr>
      <vt:lpstr>genus (or lowest possible)</vt:lpstr>
      <vt:lpstr>Otu 30%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Suanny Sophia Mosquera Romero</dc:creator>
  <cp:lastModifiedBy>Suanny Sophia Mosquera Romero</cp:lastModifiedBy>
  <dcterms:created xsi:type="dcterms:W3CDTF">2020-12-07T12:42:58Z</dcterms:created>
  <dcterms:modified xsi:type="dcterms:W3CDTF">2021-02-08T14:17:24Z</dcterms:modified>
</cp:coreProperties>
</file>