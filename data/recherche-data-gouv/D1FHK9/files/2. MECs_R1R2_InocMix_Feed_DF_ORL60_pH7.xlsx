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ernal\Documents\2022-hYDS\Paper2 Propionate\Excel files supplementary data\"/>
    </mc:Choice>
  </mc:AlternateContent>
  <bookViews>
    <workbookView xWindow="-110" yWindow="-110" windowWidth="23260" windowHeight="12580"/>
  </bookViews>
  <sheets>
    <sheet name="R1" sheetId="1" r:id="rId1"/>
    <sheet name="R2" sheetId="2" r:id="rId2"/>
    <sheet name="Chronoamperometries" sheetId="4" r:id="rId3"/>
    <sheet name="Cyclic voltammetry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AB9" i="1" l="1"/>
  <c r="AH32" i="1"/>
  <c r="AG32" i="1"/>
  <c r="AF32" i="1"/>
  <c r="AE32" i="1"/>
  <c r="AD32" i="1"/>
  <c r="AC32" i="1"/>
  <c r="AA32" i="1"/>
  <c r="Z32" i="1"/>
  <c r="Y32" i="1"/>
  <c r="X32" i="1"/>
  <c r="AH31" i="1"/>
  <c r="AG31" i="1"/>
  <c r="AF31" i="1"/>
  <c r="AE31" i="1"/>
  <c r="AD31" i="1"/>
  <c r="AC31" i="1"/>
  <c r="AB31" i="1"/>
  <c r="AB32" i="1" s="1"/>
  <c r="AA31" i="1"/>
  <c r="Z31" i="1"/>
  <c r="Y31" i="1"/>
  <c r="X31" i="1"/>
  <c r="AH30" i="1"/>
  <c r="AG30" i="1"/>
  <c r="AF30" i="1"/>
  <c r="AE30" i="1"/>
  <c r="AD30" i="1"/>
  <c r="AC30" i="1"/>
  <c r="AB30" i="1"/>
  <c r="AA30" i="1"/>
  <c r="Z30" i="1"/>
  <c r="Y30" i="1"/>
  <c r="X30" i="1"/>
  <c r="AH29" i="1"/>
  <c r="AG29" i="1"/>
  <c r="AF29" i="1"/>
  <c r="AE29" i="1"/>
  <c r="AD29" i="1"/>
  <c r="AC29" i="1"/>
  <c r="AB29" i="1"/>
  <c r="AA29" i="1"/>
  <c r="Z29" i="1"/>
  <c r="Y29" i="1"/>
  <c r="X29" i="1"/>
  <c r="AH28" i="1"/>
  <c r="AG28" i="1"/>
  <c r="AF28" i="1"/>
  <c r="AE28" i="1"/>
  <c r="AD28" i="1"/>
  <c r="AC28" i="1"/>
  <c r="AB28" i="1"/>
  <c r="AH27" i="1"/>
  <c r="AG27" i="1"/>
  <c r="AF27" i="1"/>
  <c r="AE27" i="1"/>
  <c r="AD27" i="1"/>
  <c r="AC27" i="1"/>
  <c r="AB27" i="1"/>
  <c r="AA27" i="1"/>
  <c r="Z27" i="1"/>
  <c r="Y27" i="1"/>
  <c r="X27" i="1"/>
  <c r="AH26" i="1"/>
  <c r="AG26" i="1"/>
  <c r="AF26" i="1"/>
  <c r="AE26" i="1"/>
  <c r="AD26" i="1"/>
  <c r="AC26" i="1"/>
  <c r="AB26" i="1"/>
  <c r="AA26" i="1"/>
  <c r="Z26" i="1"/>
  <c r="Y26" i="1"/>
  <c r="X26" i="1"/>
  <c r="AI26" i="1" s="1"/>
  <c r="Y28" i="2"/>
  <c r="Y29" i="2"/>
  <c r="Y30" i="2"/>
  <c r="Y31" i="2"/>
  <c r="Y32" i="2"/>
  <c r="Y33" i="2"/>
  <c r="Y27" i="2"/>
  <c r="AF28" i="2"/>
  <c r="AI28" i="2" s="1"/>
  <c r="AF29" i="2"/>
  <c r="AF30" i="2"/>
  <c r="AF31" i="2"/>
  <c r="AF32" i="2"/>
  <c r="AF33" i="2"/>
  <c r="AF27" i="2"/>
  <c r="AH28" i="2"/>
  <c r="AH29" i="2"/>
  <c r="AH30" i="2"/>
  <c r="AH31" i="2"/>
  <c r="AH32" i="2"/>
  <c r="AH33" i="2"/>
  <c r="AG28" i="2"/>
  <c r="AG29" i="2"/>
  <c r="AG30" i="2"/>
  <c r="AG31" i="2"/>
  <c r="AG32" i="2"/>
  <c r="AG33" i="2"/>
  <c r="AE28" i="2"/>
  <c r="AE29" i="2"/>
  <c r="AE30" i="2"/>
  <c r="AE31" i="2"/>
  <c r="AE32" i="2"/>
  <c r="AE33" i="2"/>
  <c r="AD28" i="2"/>
  <c r="AD29" i="2"/>
  <c r="AD30" i="2"/>
  <c r="AD31" i="2"/>
  <c r="AD32" i="2"/>
  <c r="AD33" i="2"/>
  <c r="AC28" i="2"/>
  <c r="AC29" i="2"/>
  <c r="AC30" i="2"/>
  <c r="AC31" i="2"/>
  <c r="AC32" i="2"/>
  <c r="AC33" i="2"/>
  <c r="AB28" i="2"/>
  <c r="AB29" i="2"/>
  <c r="AB30" i="2"/>
  <c r="AB31" i="2"/>
  <c r="AB32" i="2"/>
  <c r="AB33" i="2"/>
  <c r="AA28" i="2"/>
  <c r="AA29" i="2"/>
  <c r="AA30" i="2"/>
  <c r="AA31" i="2"/>
  <c r="AA32" i="2"/>
  <c r="AA33" i="2"/>
  <c r="Z28" i="2"/>
  <c r="Z29" i="2"/>
  <c r="Z30" i="2"/>
  <c r="Z31" i="2"/>
  <c r="Z32" i="2"/>
  <c r="AI32" i="2" s="1"/>
  <c r="Z33" i="2"/>
  <c r="X28" i="2"/>
  <c r="X29" i="2"/>
  <c r="X30" i="2"/>
  <c r="X31" i="2"/>
  <c r="X32" i="2"/>
  <c r="X33" i="2"/>
  <c r="AI30" i="2"/>
  <c r="AH27" i="2"/>
  <c r="AG27" i="2"/>
  <c r="AE27" i="2"/>
  <c r="AD27" i="2"/>
  <c r="AC27" i="2"/>
  <c r="AB27" i="2"/>
  <c r="AA27" i="2"/>
  <c r="Z27" i="2"/>
  <c r="AI27" i="2" s="1"/>
  <c r="X27" i="2"/>
  <c r="AI33" i="2" l="1"/>
  <c r="AI29" i="2"/>
  <c r="AI32" i="1"/>
  <c r="AI31" i="2"/>
  <c r="AI27" i="1"/>
  <c r="AI31" i="1"/>
  <c r="AI30" i="1"/>
  <c r="AI29" i="1"/>
  <c r="F50" i="1"/>
  <c r="F49" i="1"/>
  <c r="M20" i="1" l="1"/>
  <c r="L20" i="1"/>
  <c r="L21" i="1" s="1"/>
  <c r="L22" i="1" s="1"/>
  <c r="AH3" i="1"/>
  <c r="AH4" i="1"/>
  <c r="AH5" i="1"/>
  <c r="AH6" i="1"/>
  <c r="AH7" i="1"/>
  <c r="AH8" i="1"/>
  <c r="AH9" i="1"/>
  <c r="AD3" i="1"/>
  <c r="AD4" i="1"/>
  <c r="AD5" i="1"/>
  <c r="AD6" i="1"/>
  <c r="AD7" i="1"/>
  <c r="AD8" i="1"/>
  <c r="AD9" i="1"/>
  <c r="AE3" i="1"/>
  <c r="AE4" i="1"/>
  <c r="AE5" i="1"/>
  <c r="AE6" i="1"/>
  <c r="AE7" i="1"/>
  <c r="AE8" i="1"/>
  <c r="AE9" i="1"/>
  <c r="AF3" i="1"/>
  <c r="AF4" i="1"/>
  <c r="AF5" i="1"/>
  <c r="AF6" i="1"/>
  <c r="AF7" i="1"/>
  <c r="AF8" i="1"/>
  <c r="AF9" i="1"/>
  <c r="W3" i="1"/>
  <c r="W3" i="2"/>
  <c r="AG9" i="2"/>
  <c r="AF9" i="2"/>
  <c r="AE9" i="2"/>
  <c r="AD9" i="2"/>
  <c r="AH9" i="2"/>
  <c r="AC9" i="2"/>
  <c r="AB9" i="2"/>
  <c r="AA9" i="2"/>
  <c r="Z9" i="2"/>
  <c r="Y9" i="2"/>
  <c r="X9" i="2"/>
  <c r="AG8" i="2"/>
  <c r="AF8" i="2"/>
  <c r="AE8" i="2"/>
  <c r="AD8" i="2"/>
  <c r="AH8" i="2"/>
  <c r="AC8" i="2"/>
  <c r="AB8" i="2"/>
  <c r="AA8" i="2"/>
  <c r="Z8" i="2"/>
  <c r="Y8" i="2"/>
  <c r="X8" i="2"/>
  <c r="AG7" i="2"/>
  <c r="AF7" i="2"/>
  <c r="AE7" i="2"/>
  <c r="AD7" i="2"/>
  <c r="AH7" i="2"/>
  <c r="AC7" i="2"/>
  <c r="AB7" i="2"/>
  <c r="AA7" i="2"/>
  <c r="Z7" i="2"/>
  <c r="Y7" i="2"/>
  <c r="X7" i="2"/>
  <c r="AG6" i="2"/>
  <c r="AF6" i="2"/>
  <c r="AE6" i="2"/>
  <c r="AD6" i="2"/>
  <c r="AH6" i="2"/>
  <c r="AC6" i="2"/>
  <c r="AB6" i="2"/>
  <c r="AA6" i="2"/>
  <c r="Z6" i="2"/>
  <c r="Y6" i="2"/>
  <c r="X6" i="2"/>
  <c r="AG5" i="2"/>
  <c r="AF5" i="2"/>
  <c r="AE5" i="2"/>
  <c r="AD5" i="2"/>
  <c r="AH5" i="2"/>
  <c r="AC5" i="2"/>
  <c r="AB5" i="2"/>
  <c r="AA5" i="2"/>
  <c r="Z5" i="2"/>
  <c r="Y5" i="2"/>
  <c r="X5" i="2"/>
  <c r="AG4" i="2"/>
  <c r="AF4" i="2"/>
  <c r="AE4" i="2"/>
  <c r="AD4" i="2"/>
  <c r="AH4" i="2"/>
  <c r="AC4" i="2"/>
  <c r="AB4" i="2"/>
  <c r="AA4" i="2"/>
  <c r="Z4" i="2"/>
  <c r="Y4" i="2"/>
  <c r="X4" i="2"/>
  <c r="AG3" i="2"/>
  <c r="AF3" i="2"/>
  <c r="AE3" i="2"/>
  <c r="AD3" i="2"/>
  <c r="AH3" i="2"/>
  <c r="AC3" i="2"/>
  <c r="AB3" i="2"/>
  <c r="AA3" i="2"/>
  <c r="Z3" i="2"/>
  <c r="Y3" i="2"/>
  <c r="X3" i="2"/>
  <c r="AG4" i="1"/>
  <c r="AG5" i="1"/>
  <c r="AG6" i="1"/>
  <c r="AG7" i="1"/>
  <c r="AG8" i="1"/>
  <c r="AG9" i="1"/>
  <c r="AG3" i="1"/>
  <c r="G5" i="1"/>
  <c r="H5" i="1"/>
  <c r="I5" i="1"/>
  <c r="AA28" i="1" s="1"/>
  <c r="F5" i="1"/>
  <c r="AC4" i="1"/>
  <c r="AC5" i="1"/>
  <c r="AC6" i="1"/>
  <c r="AC7" i="1"/>
  <c r="AC8" i="1"/>
  <c r="AC9" i="1"/>
  <c r="AC3" i="1"/>
  <c r="AB4" i="1"/>
  <c r="AB5" i="1"/>
  <c r="AB6" i="1"/>
  <c r="AB7" i="1"/>
  <c r="AB8" i="1"/>
  <c r="AB3" i="1"/>
  <c r="AA4" i="1"/>
  <c r="AA5" i="1"/>
  <c r="AA6" i="1"/>
  <c r="AA7" i="1"/>
  <c r="AA8" i="1"/>
  <c r="AA9" i="1"/>
  <c r="AA3" i="1"/>
  <c r="Z4" i="1"/>
  <c r="Z6" i="1"/>
  <c r="Z7" i="1"/>
  <c r="Z8" i="1"/>
  <c r="Z9" i="1"/>
  <c r="Z3" i="1"/>
  <c r="Y4" i="1"/>
  <c r="Y6" i="1"/>
  <c r="Y7" i="1"/>
  <c r="Y8" i="1"/>
  <c r="Y9" i="1"/>
  <c r="Y3" i="1"/>
  <c r="X4" i="1"/>
  <c r="X6" i="1"/>
  <c r="X7" i="1"/>
  <c r="X8" i="1"/>
  <c r="X9" i="1"/>
  <c r="X3" i="1"/>
  <c r="R20" i="1"/>
  <c r="R21" i="1" s="1"/>
  <c r="R22" i="1" s="1"/>
  <c r="Q20" i="1"/>
  <c r="Q21" i="1" s="1"/>
  <c r="Q22" i="1" s="1"/>
  <c r="P20" i="1"/>
  <c r="P21" i="1" s="1"/>
  <c r="P22" i="1" s="1"/>
  <c r="O20" i="1"/>
  <c r="O21" i="1" s="1"/>
  <c r="O22" i="1" s="1"/>
  <c r="N20" i="1"/>
  <c r="N21" i="1" s="1"/>
  <c r="N22" i="1" s="1"/>
  <c r="M21" i="1"/>
  <c r="M22" i="1" s="1"/>
  <c r="J20" i="1"/>
  <c r="J21" i="1" s="1"/>
  <c r="J22" i="1" s="1"/>
  <c r="I20" i="1"/>
  <c r="I21" i="1" s="1"/>
  <c r="I22" i="1" s="1"/>
  <c r="H20" i="1"/>
  <c r="H21" i="1" s="1"/>
  <c r="H22" i="1" s="1"/>
  <c r="G20" i="1"/>
  <c r="G21" i="1" s="1"/>
  <c r="G22" i="1" s="1"/>
  <c r="R17" i="1"/>
  <c r="R18" i="1" s="1"/>
  <c r="R19" i="1" s="1"/>
  <c r="Q17" i="1"/>
  <c r="Q18" i="1" s="1"/>
  <c r="Q19" i="1" s="1"/>
  <c r="P17" i="1"/>
  <c r="P18" i="1" s="1"/>
  <c r="P19" i="1" s="1"/>
  <c r="O17" i="1"/>
  <c r="O18" i="1" s="1"/>
  <c r="O19" i="1" s="1"/>
  <c r="N17" i="1"/>
  <c r="N18" i="1" s="1"/>
  <c r="N19" i="1" s="1"/>
  <c r="M17" i="1"/>
  <c r="L17" i="1"/>
  <c r="L18" i="1" s="1"/>
  <c r="L19" i="1" s="1"/>
  <c r="K17" i="1"/>
  <c r="K18" i="1" s="1"/>
  <c r="K19" i="1" s="1"/>
  <c r="K20" i="1" s="1"/>
  <c r="K21" i="1" s="1"/>
  <c r="K22" i="1" s="1"/>
  <c r="J17" i="1"/>
  <c r="J18" i="1" s="1"/>
  <c r="J19" i="1" s="1"/>
  <c r="I17" i="1"/>
  <c r="I18" i="1" s="1"/>
  <c r="I19" i="1" s="1"/>
  <c r="H17" i="1"/>
  <c r="H23" i="1" s="1"/>
  <c r="G17" i="1"/>
  <c r="G18" i="1" s="1"/>
  <c r="G19" i="1" s="1"/>
  <c r="Q20" i="2"/>
  <c r="P20" i="2"/>
  <c r="N20" i="2"/>
  <c r="M20" i="2"/>
  <c r="L20" i="2"/>
  <c r="L17" i="2"/>
  <c r="G20" i="2"/>
  <c r="G17" i="2"/>
  <c r="Z5" i="1" l="1"/>
  <c r="Z28" i="1"/>
  <c r="X5" i="1"/>
  <c r="X28" i="1"/>
  <c r="AI28" i="1" s="1"/>
  <c r="Y5" i="1"/>
  <c r="Y28" i="1"/>
  <c r="M23" i="1"/>
  <c r="S22" i="1"/>
  <c r="M18" i="1"/>
  <c r="M19" i="1" s="1"/>
  <c r="H18" i="1"/>
  <c r="H19" i="1" s="1"/>
  <c r="K10" i="2"/>
  <c r="F10" i="2"/>
  <c r="F11" i="2" s="1"/>
  <c r="F12" i="2" s="1"/>
  <c r="F13" i="2" s="1"/>
  <c r="K10" i="1"/>
  <c r="J10" i="1"/>
  <c r="F10" i="1"/>
  <c r="F11" i="1" s="1"/>
  <c r="F12" i="1" s="1"/>
  <c r="F13" i="1" s="1"/>
  <c r="D10" i="1"/>
  <c r="S19" i="1" l="1"/>
  <c r="V22" i="1" s="1"/>
  <c r="V23" i="1" s="1"/>
  <c r="R8" i="2"/>
  <c r="R7" i="2"/>
  <c r="R6" i="2"/>
  <c r="R5" i="2"/>
  <c r="R4" i="2"/>
  <c r="T3" i="2"/>
  <c r="R4" i="1"/>
  <c r="R5" i="1"/>
  <c r="R6" i="1"/>
  <c r="R7" i="1"/>
  <c r="R8" i="1"/>
  <c r="R20" i="2" l="1"/>
  <c r="R21" i="2" s="1"/>
  <c r="R22" i="2" s="1"/>
  <c r="Q21" i="2"/>
  <c r="Q22" i="2" s="1"/>
  <c r="P21" i="2"/>
  <c r="P22" i="2" s="1"/>
  <c r="O20" i="2"/>
  <c r="O21" i="2" s="1"/>
  <c r="O22" i="2" s="1"/>
  <c r="N21" i="2"/>
  <c r="N22" i="2" s="1"/>
  <c r="M21" i="2"/>
  <c r="M22" i="2" s="1"/>
  <c r="L21" i="2"/>
  <c r="L22" i="2" s="1"/>
  <c r="J20" i="2"/>
  <c r="J21" i="2" s="1"/>
  <c r="J22" i="2" s="1"/>
  <c r="I20" i="2"/>
  <c r="I21" i="2" s="1"/>
  <c r="I22" i="2" s="1"/>
  <c r="H20" i="2"/>
  <c r="G21" i="2"/>
  <c r="G22" i="2" s="1"/>
  <c r="R17" i="2"/>
  <c r="R18" i="2" s="1"/>
  <c r="R19" i="2" s="1"/>
  <c r="Q17" i="2"/>
  <c r="Q18" i="2" s="1"/>
  <c r="Q19" i="2" s="1"/>
  <c r="P17" i="2"/>
  <c r="P18" i="2" s="1"/>
  <c r="P19" i="2" s="1"/>
  <c r="O17" i="2"/>
  <c r="O18" i="2" s="1"/>
  <c r="O19" i="2" s="1"/>
  <c r="N17" i="2"/>
  <c r="N18" i="2" s="1"/>
  <c r="N19" i="2" s="1"/>
  <c r="M17" i="2"/>
  <c r="L18" i="2"/>
  <c r="L19" i="2" s="1"/>
  <c r="K17" i="2"/>
  <c r="K18" i="2" s="1"/>
  <c r="K19" i="2" s="1"/>
  <c r="K20" i="2" s="1"/>
  <c r="K21" i="2" s="1"/>
  <c r="K22" i="2" s="1"/>
  <c r="J17" i="2"/>
  <c r="J18" i="2" s="1"/>
  <c r="J19" i="2" s="1"/>
  <c r="I17" i="2"/>
  <c r="I18" i="2" s="1"/>
  <c r="I19" i="2" s="1"/>
  <c r="H17" i="2"/>
  <c r="H18" i="2" s="1"/>
  <c r="H19" i="2" s="1"/>
  <c r="G18" i="2"/>
  <c r="G19" i="2" l="1"/>
  <c r="M18" i="2"/>
  <c r="M19" i="2" s="1"/>
  <c r="M23" i="2"/>
  <c r="H21" i="2"/>
  <c r="H22" i="2" s="1"/>
  <c r="S22" i="2" s="1"/>
  <c r="H23" i="2"/>
  <c r="S19" i="2" l="1"/>
  <c r="V22" i="2" s="1"/>
  <c r="V23" i="2" s="1"/>
  <c r="D10" i="2"/>
  <c r="Q11" i="2" l="1"/>
  <c r="P11" i="2"/>
  <c r="O11" i="2"/>
  <c r="N10" i="2"/>
  <c r="N11" i="2" s="1"/>
  <c r="M10" i="2"/>
  <c r="M11" i="2" s="1"/>
  <c r="L11" i="2"/>
  <c r="K11" i="2"/>
  <c r="J10" i="2"/>
  <c r="J11" i="2" s="1"/>
  <c r="I10" i="2"/>
  <c r="I11" i="2" s="1"/>
  <c r="H10" i="2"/>
  <c r="H11" i="2" s="1"/>
  <c r="G10" i="2"/>
  <c r="G11" i="2" s="1"/>
  <c r="E10" i="2"/>
  <c r="E10" i="1"/>
  <c r="G10" i="1"/>
  <c r="G11" i="1" s="1"/>
  <c r="H10" i="1"/>
  <c r="H11" i="1" s="1"/>
  <c r="I10" i="1"/>
  <c r="I11" i="1" s="1"/>
  <c r="J11" i="1"/>
  <c r="L11" i="1"/>
  <c r="N11" i="1"/>
  <c r="P11" i="1"/>
  <c r="Q10" i="1"/>
  <c r="Q11" i="1" s="1"/>
  <c r="O11" i="1"/>
  <c r="M11" i="1"/>
  <c r="K11" i="1"/>
  <c r="J12" i="2" l="1"/>
  <c r="J13" i="2" s="1"/>
  <c r="M12" i="2"/>
  <c r="M13" i="2" s="1"/>
  <c r="I12" i="2"/>
  <c r="I13" i="2" s="1"/>
  <c r="H12" i="2"/>
  <c r="H13" i="2" s="1"/>
  <c r="G12" i="2"/>
  <c r="G13" i="2" s="1"/>
  <c r="L12" i="2"/>
  <c r="L13" i="2" s="1"/>
  <c r="K12" i="2"/>
  <c r="K13" i="2" s="1"/>
  <c r="Q12" i="2"/>
  <c r="Q13" i="2" s="1"/>
  <c r="P12" i="2"/>
  <c r="P13" i="2" s="1"/>
  <c r="O12" i="2"/>
  <c r="O13" i="2" s="1"/>
  <c r="N12" i="2"/>
  <c r="N13" i="2" s="1"/>
  <c r="P12" i="1"/>
  <c r="P13" i="1" s="1"/>
  <c r="N12" i="1"/>
  <c r="N13" i="1" s="1"/>
  <c r="L12" i="1"/>
  <c r="L13" i="1" s="1"/>
  <c r="J12" i="1"/>
  <c r="J13" i="1" s="1"/>
  <c r="H12" i="1"/>
  <c r="H13" i="1" s="1"/>
  <c r="G12" i="1"/>
  <c r="G13" i="1" s="1"/>
  <c r="I12" i="1"/>
  <c r="I13" i="1" s="1"/>
  <c r="K12" i="1"/>
  <c r="K13" i="1" s="1"/>
  <c r="M12" i="1"/>
  <c r="M13" i="1" s="1"/>
  <c r="O12" i="1"/>
  <c r="O13" i="1" s="1"/>
  <c r="Q12" i="1"/>
  <c r="Q13" i="1" s="1"/>
  <c r="R13" i="2" l="1"/>
  <c r="R13" i="1"/>
  <c r="R9" i="2" l="1"/>
  <c r="R9" i="1"/>
  <c r="I10" i="4"/>
  <c r="I11" i="4"/>
  <c r="N11" i="4" s="1"/>
  <c r="I12" i="4"/>
  <c r="I13" i="4"/>
  <c r="I14" i="4"/>
  <c r="I15" i="4"/>
  <c r="N15" i="4" s="1"/>
  <c r="I16" i="4"/>
  <c r="N16" i="4" s="1"/>
  <c r="I17" i="4"/>
  <c r="I18" i="4"/>
  <c r="I19" i="4"/>
  <c r="N19" i="4" s="1"/>
  <c r="I20" i="4"/>
  <c r="I21" i="4"/>
  <c r="I22" i="4"/>
  <c r="I23" i="4"/>
  <c r="N23" i="4" s="1"/>
  <c r="I24" i="4"/>
  <c r="N24" i="4" s="1"/>
  <c r="I25" i="4"/>
  <c r="I26" i="4"/>
  <c r="I27" i="4"/>
  <c r="N27" i="4" s="1"/>
  <c r="I28" i="4"/>
  <c r="I29" i="4"/>
  <c r="I30" i="4"/>
  <c r="I31" i="4"/>
  <c r="N31" i="4" s="1"/>
  <c r="I32" i="4"/>
  <c r="N32" i="4" s="1"/>
  <c r="I33" i="4"/>
  <c r="I34" i="4"/>
  <c r="I35" i="4"/>
  <c r="N35" i="4" s="1"/>
  <c r="I36" i="4"/>
  <c r="N36" i="4" s="1"/>
  <c r="I37" i="4"/>
  <c r="I38" i="4"/>
  <c r="I39" i="4"/>
  <c r="N39" i="4" s="1"/>
  <c r="I40" i="4"/>
  <c r="N40" i="4" s="1"/>
  <c r="I41" i="4"/>
  <c r="I42" i="4"/>
  <c r="I43" i="4"/>
  <c r="N43" i="4" s="1"/>
  <c r="I44" i="4"/>
  <c r="I45" i="4"/>
  <c r="I46" i="4"/>
  <c r="I47" i="4"/>
  <c r="N47" i="4" s="1"/>
  <c r="I48" i="4"/>
  <c r="N48" i="4" s="1"/>
  <c r="I49" i="4"/>
  <c r="I50" i="4"/>
  <c r="I51" i="4"/>
  <c r="N51" i="4" s="1"/>
  <c r="I52" i="4"/>
  <c r="I53" i="4"/>
  <c r="I54" i="4"/>
  <c r="I55" i="4"/>
  <c r="N55" i="4" s="1"/>
  <c r="I56" i="4"/>
  <c r="N56" i="4" s="1"/>
  <c r="I57" i="4"/>
  <c r="I58" i="4"/>
  <c r="I59" i="4"/>
  <c r="N59" i="4" s="1"/>
  <c r="I60" i="4"/>
  <c r="I61" i="4"/>
  <c r="I62" i="4"/>
  <c r="I63" i="4"/>
  <c r="N63" i="4" s="1"/>
  <c r="I64" i="4"/>
  <c r="N64" i="4" s="1"/>
  <c r="I65" i="4"/>
  <c r="I66" i="4"/>
  <c r="I67" i="4"/>
  <c r="N67" i="4" s="1"/>
  <c r="I68" i="4"/>
  <c r="N68" i="4" s="1"/>
  <c r="I69" i="4"/>
  <c r="I70" i="4"/>
  <c r="I71" i="4"/>
  <c r="N71" i="4" s="1"/>
  <c r="I72" i="4"/>
  <c r="N72" i="4" s="1"/>
  <c r="I73" i="4"/>
  <c r="I74" i="4"/>
  <c r="I75" i="4"/>
  <c r="N75" i="4" s="1"/>
  <c r="I76" i="4"/>
  <c r="I77" i="4"/>
  <c r="I78" i="4"/>
  <c r="I79" i="4"/>
  <c r="N79" i="4" s="1"/>
  <c r="I80" i="4"/>
  <c r="N80" i="4" s="1"/>
  <c r="I81" i="4"/>
  <c r="I82" i="4"/>
  <c r="I83" i="4"/>
  <c r="N83" i="4" s="1"/>
  <c r="I84" i="4"/>
  <c r="I85" i="4"/>
  <c r="I86" i="4"/>
  <c r="I87" i="4"/>
  <c r="N87" i="4" s="1"/>
  <c r="I88" i="4"/>
  <c r="N88" i="4" s="1"/>
  <c r="I89" i="4"/>
  <c r="I90" i="4"/>
  <c r="I91" i="4"/>
  <c r="N91" i="4" s="1"/>
  <c r="I92" i="4"/>
  <c r="I93" i="4"/>
  <c r="I94" i="4"/>
  <c r="I95" i="4"/>
  <c r="N95" i="4" s="1"/>
  <c r="I96" i="4"/>
  <c r="N96" i="4" s="1"/>
  <c r="I97" i="4"/>
  <c r="I98" i="4"/>
  <c r="I99" i="4"/>
  <c r="N99" i="4" s="1"/>
  <c r="I100" i="4"/>
  <c r="N100" i="4" s="1"/>
  <c r="I101" i="4"/>
  <c r="I102" i="4"/>
  <c r="I103" i="4"/>
  <c r="N103" i="4" s="1"/>
  <c r="I104" i="4"/>
  <c r="N104" i="4" s="1"/>
  <c r="I105" i="4"/>
  <c r="I106" i="4"/>
  <c r="I107" i="4"/>
  <c r="N107" i="4" s="1"/>
  <c r="I108" i="4"/>
  <c r="I109" i="4"/>
  <c r="I110" i="4"/>
  <c r="I111" i="4"/>
  <c r="N111" i="4" s="1"/>
  <c r="I112" i="4"/>
  <c r="N112" i="4" s="1"/>
  <c r="I113" i="4"/>
  <c r="I114" i="4"/>
  <c r="I115" i="4"/>
  <c r="N115" i="4" s="1"/>
  <c r="I116" i="4"/>
  <c r="I117" i="4"/>
  <c r="I118" i="4"/>
  <c r="I119" i="4"/>
  <c r="N119" i="4" s="1"/>
  <c r="I120" i="4"/>
  <c r="N120" i="4" s="1"/>
  <c r="I121" i="4"/>
  <c r="I122" i="4"/>
  <c r="I123" i="4"/>
  <c r="N123" i="4" s="1"/>
  <c r="I124" i="4"/>
  <c r="I125" i="4"/>
  <c r="I126" i="4"/>
  <c r="I127" i="4"/>
  <c r="N127" i="4" s="1"/>
  <c r="I128" i="4"/>
  <c r="N128" i="4" s="1"/>
  <c r="I129" i="4"/>
  <c r="I130" i="4"/>
  <c r="I131" i="4"/>
  <c r="N131" i="4" s="1"/>
  <c r="I132" i="4"/>
  <c r="N132" i="4" s="1"/>
  <c r="I133" i="4"/>
  <c r="I134" i="4"/>
  <c r="I135" i="4"/>
  <c r="N135" i="4" s="1"/>
  <c r="I136" i="4"/>
  <c r="N136" i="4" s="1"/>
  <c r="I137" i="4"/>
  <c r="I138" i="4"/>
  <c r="I139" i="4"/>
  <c r="N139" i="4" s="1"/>
  <c r="I140" i="4"/>
  <c r="I141" i="4"/>
  <c r="I142" i="4"/>
  <c r="I143" i="4"/>
  <c r="N143" i="4" s="1"/>
  <c r="I144" i="4"/>
  <c r="N144" i="4" s="1"/>
  <c r="I145" i="4"/>
  <c r="I146" i="4"/>
  <c r="I147" i="4"/>
  <c r="N147" i="4" s="1"/>
  <c r="I148" i="4"/>
  <c r="I149" i="4"/>
  <c r="I150" i="4"/>
  <c r="I151" i="4"/>
  <c r="N151" i="4" s="1"/>
  <c r="I152" i="4"/>
  <c r="N152" i="4" s="1"/>
  <c r="I153" i="4"/>
  <c r="I154" i="4"/>
  <c r="I155" i="4"/>
  <c r="N155" i="4" s="1"/>
  <c r="I156" i="4"/>
  <c r="I157" i="4"/>
  <c r="I158" i="4"/>
  <c r="I159" i="4"/>
  <c r="N159" i="4" s="1"/>
  <c r="I160" i="4"/>
  <c r="N160" i="4" s="1"/>
  <c r="I161" i="4"/>
  <c r="I162" i="4"/>
  <c r="I163" i="4"/>
  <c r="N163" i="4" s="1"/>
  <c r="I164" i="4"/>
  <c r="N164" i="4" s="1"/>
  <c r="I165" i="4"/>
  <c r="I166" i="4"/>
  <c r="I167" i="4"/>
  <c r="N167" i="4" s="1"/>
  <c r="I168" i="4"/>
  <c r="N168" i="4" s="1"/>
  <c r="I169" i="4"/>
  <c r="I170" i="4"/>
  <c r="I171" i="4"/>
  <c r="N171" i="4" s="1"/>
  <c r="I172" i="4"/>
  <c r="I173" i="4"/>
  <c r="I174" i="4"/>
  <c r="I175" i="4"/>
  <c r="N175" i="4" s="1"/>
  <c r="I176" i="4"/>
  <c r="N176" i="4" s="1"/>
  <c r="I177" i="4"/>
  <c r="I178" i="4"/>
  <c r="I179" i="4"/>
  <c r="N179" i="4" s="1"/>
  <c r="I180" i="4"/>
  <c r="I181" i="4"/>
  <c r="I182" i="4"/>
  <c r="I183" i="4"/>
  <c r="N183" i="4" s="1"/>
  <c r="I184" i="4"/>
  <c r="N184" i="4" s="1"/>
  <c r="I185" i="4"/>
  <c r="I186" i="4"/>
  <c r="I187" i="4"/>
  <c r="N187" i="4" s="1"/>
  <c r="I188" i="4"/>
  <c r="I189" i="4"/>
  <c r="I190" i="4"/>
  <c r="I191" i="4"/>
  <c r="N191" i="4" s="1"/>
  <c r="I192" i="4"/>
  <c r="N192" i="4" s="1"/>
  <c r="I193" i="4"/>
  <c r="I194" i="4"/>
  <c r="I195" i="4"/>
  <c r="N195" i="4" s="1"/>
  <c r="I196" i="4"/>
  <c r="N196" i="4" s="1"/>
  <c r="I197" i="4"/>
  <c r="I198" i="4"/>
  <c r="I199" i="4"/>
  <c r="N199" i="4" s="1"/>
  <c r="I200" i="4"/>
  <c r="N200" i="4" s="1"/>
  <c r="I201" i="4"/>
  <c r="I202" i="4"/>
  <c r="I203" i="4"/>
  <c r="N203" i="4" s="1"/>
  <c r="I204" i="4"/>
  <c r="I205" i="4"/>
  <c r="I206" i="4"/>
  <c r="I207" i="4"/>
  <c r="N207" i="4" s="1"/>
  <c r="I208" i="4"/>
  <c r="N208" i="4" s="1"/>
  <c r="I209" i="4"/>
  <c r="I210" i="4"/>
  <c r="I211" i="4"/>
  <c r="N211" i="4" s="1"/>
  <c r="I212" i="4"/>
  <c r="I213" i="4"/>
  <c r="I214" i="4"/>
  <c r="I215" i="4"/>
  <c r="N215" i="4" s="1"/>
  <c r="I216" i="4"/>
  <c r="N216" i="4" s="1"/>
  <c r="I217" i="4"/>
  <c r="I218" i="4"/>
  <c r="I219" i="4"/>
  <c r="N219" i="4" s="1"/>
  <c r="I220" i="4"/>
  <c r="I221" i="4"/>
  <c r="I222" i="4"/>
  <c r="I223" i="4"/>
  <c r="N223" i="4" s="1"/>
  <c r="I224" i="4"/>
  <c r="N224" i="4" s="1"/>
  <c r="I225" i="4"/>
  <c r="I226" i="4"/>
  <c r="I227" i="4"/>
  <c r="N227" i="4" s="1"/>
  <c r="I228" i="4"/>
  <c r="N228" i="4" s="1"/>
  <c r="I229" i="4"/>
  <c r="I230" i="4"/>
  <c r="I231" i="4"/>
  <c r="N231" i="4" s="1"/>
  <c r="I232" i="4"/>
  <c r="N232" i="4" s="1"/>
  <c r="I233" i="4"/>
  <c r="I234" i="4"/>
  <c r="I235" i="4"/>
  <c r="N235" i="4" s="1"/>
  <c r="I236" i="4"/>
  <c r="I237" i="4"/>
  <c r="I238" i="4"/>
  <c r="I239" i="4"/>
  <c r="N239" i="4" s="1"/>
  <c r="I240" i="4"/>
  <c r="N240" i="4" s="1"/>
  <c r="I241" i="4"/>
  <c r="I242" i="4"/>
  <c r="I243" i="4"/>
  <c r="N243" i="4" s="1"/>
  <c r="I244" i="4"/>
  <c r="N244" i="4" s="1"/>
  <c r="I245" i="4"/>
  <c r="I246" i="4"/>
  <c r="I247" i="4"/>
  <c r="N247" i="4" s="1"/>
  <c r="I248" i="4"/>
  <c r="N248" i="4" s="1"/>
  <c r="I249" i="4"/>
  <c r="I250" i="4"/>
  <c r="I251" i="4"/>
  <c r="N251" i="4" s="1"/>
  <c r="I252" i="4"/>
  <c r="I253" i="4"/>
  <c r="I254" i="4"/>
  <c r="I255" i="4"/>
  <c r="N255" i="4" s="1"/>
  <c r="I256" i="4"/>
  <c r="N256" i="4" s="1"/>
  <c r="I257" i="4"/>
  <c r="I258" i="4"/>
  <c r="I259" i="4"/>
  <c r="N259" i="4" s="1"/>
  <c r="I260" i="4"/>
  <c r="N260" i="4" s="1"/>
  <c r="I261" i="4"/>
  <c r="I262" i="4"/>
  <c r="I263" i="4"/>
  <c r="N263" i="4" s="1"/>
  <c r="I264" i="4"/>
  <c r="N264" i="4" s="1"/>
  <c r="I265" i="4"/>
  <c r="I266" i="4"/>
  <c r="I267" i="4"/>
  <c r="N267" i="4" s="1"/>
  <c r="I268" i="4"/>
  <c r="I269" i="4"/>
  <c r="I270" i="4"/>
  <c r="I271" i="4"/>
  <c r="N271" i="4" s="1"/>
  <c r="I272" i="4"/>
  <c r="N272" i="4" s="1"/>
  <c r="I273" i="4"/>
  <c r="I274" i="4"/>
  <c r="I275" i="4"/>
  <c r="N275" i="4" s="1"/>
  <c r="I276" i="4"/>
  <c r="N276" i="4" s="1"/>
  <c r="I277" i="4"/>
  <c r="I278" i="4"/>
  <c r="I279" i="4"/>
  <c r="N279" i="4" s="1"/>
  <c r="I280" i="4"/>
  <c r="N280" i="4" s="1"/>
  <c r="I281" i="4"/>
  <c r="I282" i="4"/>
  <c r="I283" i="4"/>
  <c r="N283" i="4" s="1"/>
  <c r="I284" i="4"/>
  <c r="I285" i="4"/>
  <c r="I286" i="4"/>
  <c r="I287" i="4"/>
  <c r="N287" i="4" s="1"/>
  <c r="I288" i="4"/>
  <c r="N288" i="4" s="1"/>
  <c r="I289" i="4"/>
  <c r="I290" i="4"/>
  <c r="I291" i="4"/>
  <c r="N291" i="4" s="1"/>
  <c r="I292" i="4"/>
  <c r="N292" i="4" s="1"/>
  <c r="I293" i="4"/>
  <c r="I294" i="4"/>
  <c r="I295" i="4"/>
  <c r="N295" i="4" s="1"/>
  <c r="I296" i="4"/>
  <c r="N296" i="4" s="1"/>
  <c r="I297" i="4"/>
  <c r="I298" i="4"/>
  <c r="I299" i="4"/>
  <c r="N299" i="4" s="1"/>
  <c r="I300" i="4"/>
  <c r="I301" i="4"/>
  <c r="I302" i="4"/>
  <c r="I303" i="4"/>
  <c r="N303" i="4" s="1"/>
  <c r="I304" i="4"/>
  <c r="N304" i="4" s="1"/>
  <c r="I305" i="4"/>
  <c r="I306" i="4"/>
  <c r="I307" i="4"/>
  <c r="N307" i="4" s="1"/>
  <c r="I308" i="4"/>
  <c r="N308" i="4" s="1"/>
  <c r="I309" i="4"/>
  <c r="I310" i="4"/>
  <c r="I311" i="4"/>
  <c r="N311" i="4" s="1"/>
  <c r="I312" i="4"/>
  <c r="N312" i="4" s="1"/>
  <c r="I313" i="4"/>
  <c r="I314" i="4"/>
  <c r="I315" i="4"/>
  <c r="N315" i="4" s="1"/>
  <c r="I316" i="4"/>
  <c r="I317" i="4"/>
  <c r="I318" i="4"/>
  <c r="I319" i="4"/>
  <c r="N319" i="4" s="1"/>
  <c r="I320" i="4"/>
  <c r="N320" i="4" s="1"/>
  <c r="I321" i="4"/>
  <c r="I322" i="4"/>
  <c r="I323" i="4"/>
  <c r="N323" i="4" s="1"/>
  <c r="I324" i="4"/>
  <c r="N324" i="4" s="1"/>
  <c r="I325" i="4"/>
  <c r="I326" i="4"/>
  <c r="I327" i="4"/>
  <c r="N327" i="4" s="1"/>
  <c r="I328" i="4"/>
  <c r="N328" i="4" s="1"/>
  <c r="I329" i="4"/>
  <c r="I330" i="4"/>
  <c r="I331" i="4"/>
  <c r="N331" i="4" s="1"/>
  <c r="I332" i="4"/>
  <c r="I333" i="4"/>
  <c r="I334" i="4"/>
  <c r="I335" i="4"/>
  <c r="N335" i="4" s="1"/>
  <c r="I336" i="4"/>
  <c r="N336" i="4" s="1"/>
  <c r="I337" i="4"/>
  <c r="I338" i="4"/>
  <c r="I339" i="4"/>
  <c r="N339" i="4" s="1"/>
  <c r="I340" i="4"/>
  <c r="N340" i="4" s="1"/>
  <c r="I341" i="4"/>
  <c r="I342" i="4"/>
  <c r="I343" i="4"/>
  <c r="N343" i="4" s="1"/>
  <c r="I344" i="4"/>
  <c r="N344" i="4" s="1"/>
  <c r="I345" i="4"/>
  <c r="I346" i="4"/>
  <c r="I347" i="4"/>
  <c r="N347" i="4" s="1"/>
  <c r="I348" i="4"/>
  <c r="I349" i="4"/>
  <c r="I350" i="4"/>
  <c r="I351" i="4"/>
  <c r="N351" i="4" s="1"/>
  <c r="I352" i="4"/>
  <c r="N352" i="4" s="1"/>
  <c r="I353" i="4"/>
  <c r="I354" i="4"/>
  <c r="I355" i="4"/>
  <c r="N355" i="4" s="1"/>
  <c r="I356" i="4"/>
  <c r="N356" i="4" s="1"/>
  <c r="I357" i="4"/>
  <c r="I358" i="4"/>
  <c r="I359" i="4"/>
  <c r="N359" i="4" s="1"/>
  <c r="I360" i="4"/>
  <c r="N360" i="4" s="1"/>
  <c r="I361" i="4"/>
  <c r="I362" i="4"/>
  <c r="I363" i="4"/>
  <c r="N363" i="4" s="1"/>
  <c r="I364" i="4"/>
  <c r="I365" i="4"/>
  <c r="I366" i="4"/>
  <c r="I367" i="4"/>
  <c r="N367" i="4" s="1"/>
  <c r="I368" i="4"/>
  <c r="N368" i="4" s="1"/>
  <c r="I369" i="4"/>
  <c r="I370" i="4"/>
  <c r="I371" i="4"/>
  <c r="N371" i="4" s="1"/>
  <c r="I372" i="4"/>
  <c r="N372" i="4" s="1"/>
  <c r="I373" i="4"/>
  <c r="I374" i="4"/>
  <c r="I375" i="4"/>
  <c r="N375" i="4" s="1"/>
  <c r="I376" i="4"/>
  <c r="N376" i="4" s="1"/>
  <c r="I377" i="4"/>
  <c r="I378" i="4"/>
  <c r="I379" i="4"/>
  <c r="N379" i="4" s="1"/>
  <c r="I380" i="4"/>
  <c r="I381" i="4"/>
  <c r="I382" i="4"/>
  <c r="I383" i="4"/>
  <c r="N383" i="4" s="1"/>
  <c r="I384" i="4"/>
  <c r="N384" i="4" s="1"/>
  <c r="I385" i="4"/>
  <c r="I386" i="4"/>
  <c r="I387" i="4"/>
  <c r="N387" i="4" s="1"/>
  <c r="I388" i="4"/>
  <c r="N388" i="4" s="1"/>
  <c r="I389" i="4"/>
  <c r="I390" i="4"/>
  <c r="I391" i="4"/>
  <c r="N391" i="4" s="1"/>
  <c r="I392" i="4"/>
  <c r="N392" i="4" s="1"/>
  <c r="I393" i="4"/>
  <c r="I394" i="4"/>
  <c r="I395" i="4"/>
  <c r="N395" i="4" s="1"/>
  <c r="I396" i="4"/>
  <c r="I397" i="4"/>
  <c r="I398" i="4"/>
  <c r="I399" i="4"/>
  <c r="N399" i="4" s="1"/>
  <c r="I400" i="4"/>
  <c r="N400" i="4" s="1"/>
  <c r="I401" i="4"/>
  <c r="I402" i="4"/>
  <c r="I403" i="4"/>
  <c r="N403" i="4" s="1"/>
  <c r="I404" i="4"/>
  <c r="N404" i="4" s="1"/>
  <c r="I405" i="4"/>
  <c r="I406" i="4"/>
  <c r="I407" i="4"/>
  <c r="N407" i="4" s="1"/>
  <c r="I408" i="4"/>
  <c r="N408" i="4" s="1"/>
  <c r="I409" i="4"/>
  <c r="I410" i="4"/>
  <c r="I411" i="4"/>
  <c r="N411" i="4" s="1"/>
  <c r="I412" i="4"/>
  <c r="I413" i="4"/>
  <c r="I414" i="4"/>
  <c r="I415" i="4"/>
  <c r="N415" i="4" s="1"/>
  <c r="I416" i="4"/>
  <c r="N416" i="4" s="1"/>
  <c r="I417" i="4"/>
  <c r="I418" i="4"/>
  <c r="I419" i="4"/>
  <c r="N419" i="4" s="1"/>
  <c r="I420" i="4"/>
  <c r="N420" i="4" s="1"/>
  <c r="I421" i="4"/>
  <c r="I422" i="4"/>
  <c r="I423" i="4"/>
  <c r="N423" i="4" s="1"/>
  <c r="I424" i="4"/>
  <c r="N424" i="4" s="1"/>
  <c r="I425" i="4"/>
  <c r="I426" i="4"/>
  <c r="I427" i="4"/>
  <c r="N427" i="4" s="1"/>
  <c r="I428" i="4"/>
  <c r="I429" i="4"/>
  <c r="I430" i="4"/>
  <c r="I431" i="4"/>
  <c r="N431" i="4" s="1"/>
  <c r="I432" i="4"/>
  <c r="N432" i="4" s="1"/>
  <c r="I433" i="4"/>
  <c r="I434" i="4"/>
  <c r="I435" i="4"/>
  <c r="N435" i="4" s="1"/>
  <c r="I436" i="4"/>
  <c r="N436" i="4" s="1"/>
  <c r="I437" i="4"/>
  <c r="I438" i="4"/>
  <c r="I439" i="4"/>
  <c r="N439" i="4" s="1"/>
  <c r="I440" i="4"/>
  <c r="N440" i="4" s="1"/>
  <c r="I441" i="4"/>
  <c r="I442" i="4"/>
  <c r="I443" i="4"/>
  <c r="N443" i="4" s="1"/>
  <c r="I444" i="4"/>
  <c r="I445" i="4"/>
  <c r="I446" i="4"/>
  <c r="I447" i="4"/>
  <c r="N447" i="4" s="1"/>
  <c r="I448" i="4"/>
  <c r="N448" i="4" s="1"/>
  <c r="I449" i="4"/>
  <c r="I450" i="4"/>
  <c r="I451" i="4"/>
  <c r="N451" i="4" s="1"/>
  <c r="I452" i="4"/>
  <c r="N452" i="4" s="1"/>
  <c r="I453" i="4"/>
  <c r="I454" i="4"/>
  <c r="I455" i="4"/>
  <c r="N455" i="4" s="1"/>
  <c r="I456" i="4"/>
  <c r="N456" i="4" s="1"/>
  <c r="I457" i="4"/>
  <c r="I458" i="4"/>
  <c r="I459" i="4"/>
  <c r="N459" i="4" s="1"/>
  <c r="I460" i="4"/>
  <c r="I461" i="4"/>
  <c r="I462" i="4"/>
  <c r="I463" i="4"/>
  <c r="N463" i="4" s="1"/>
  <c r="I464" i="4"/>
  <c r="N464" i="4" s="1"/>
  <c r="I465" i="4"/>
  <c r="I466" i="4"/>
  <c r="I467" i="4"/>
  <c r="N467" i="4" s="1"/>
  <c r="I468" i="4"/>
  <c r="N468" i="4" s="1"/>
  <c r="I469" i="4"/>
  <c r="I470" i="4"/>
  <c r="I471" i="4"/>
  <c r="N471" i="4" s="1"/>
  <c r="I472" i="4"/>
  <c r="N472" i="4" s="1"/>
  <c r="I473" i="4"/>
  <c r="I474" i="4"/>
  <c r="I475" i="4"/>
  <c r="N475" i="4" s="1"/>
  <c r="I476" i="4"/>
  <c r="I477" i="4"/>
  <c r="I478" i="4"/>
  <c r="I479" i="4"/>
  <c r="N479" i="4" s="1"/>
  <c r="I480" i="4"/>
  <c r="N480" i="4" s="1"/>
  <c r="I481" i="4"/>
  <c r="I482" i="4"/>
  <c r="I483" i="4"/>
  <c r="N483" i="4" s="1"/>
  <c r="I484" i="4"/>
  <c r="N484" i="4" s="1"/>
  <c r="I485" i="4"/>
  <c r="I486" i="4"/>
  <c r="I487" i="4"/>
  <c r="N487" i="4" s="1"/>
  <c r="I488" i="4"/>
  <c r="N488" i="4" s="1"/>
  <c r="I489" i="4"/>
  <c r="I490" i="4"/>
  <c r="I491" i="4"/>
  <c r="N491" i="4" s="1"/>
  <c r="I492" i="4"/>
  <c r="I493" i="4"/>
  <c r="I494" i="4"/>
  <c r="I495" i="4"/>
  <c r="N495" i="4" s="1"/>
  <c r="I496" i="4"/>
  <c r="N496" i="4" s="1"/>
  <c r="I497" i="4"/>
  <c r="I498" i="4"/>
  <c r="I499" i="4"/>
  <c r="N499" i="4" s="1"/>
  <c r="I500" i="4"/>
  <c r="N500" i="4" s="1"/>
  <c r="I501" i="4"/>
  <c r="I502" i="4"/>
  <c r="I503" i="4"/>
  <c r="N503" i="4" s="1"/>
  <c r="I504" i="4"/>
  <c r="N504" i="4" s="1"/>
  <c r="I505" i="4"/>
  <c r="I506" i="4"/>
  <c r="I507" i="4"/>
  <c r="N507" i="4" s="1"/>
  <c r="I508" i="4"/>
  <c r="I509" i="4"/>
  <c r="I510" i="4"/>
  <c r="I511" i="4"/>
  <c r="N511" i="4" s="1"/>
  <c r="I512" i="4"/>
  <c r="N512" i="4" s="1"/>
  <c r="I513" i="4"/>
  <c r="I514" i="4"/>
  <c r="I515" i="4"/>
  <c r="N515" i="4" s="1"/>
  <c r="I516" i="4"/>
  <c r="N516" i="4" s="1"/>
  <c r="I517" i="4"/>
  <c r="I518" i="4"/>
  <c r="I519" i="4"/>
  <c r="N519" i="4" s="1"/>
  <c r="I520" i="4"/>
  <c r="N520" i="4" s="1"/>
  <c r="I521" i="4"/>
  <c r="I522" i="4"/>
  <c r="I523" i="4"/>
  <c r="N523" i="4" s="1"/>
  <c r="I524" i="4"/>
  <c r="I525" i="4"/>
  <c r="I526" i="4"/>
  <c r="I527" i="4"/>
  <c r="N527" i="4" s="1"/>
  <c r="I528" i="4"/>
  <c r="N528" i="4" s="1"/>
  <c r="I529" i="4"/>
  <c r="I530" i="4"/>
  <c r="I531" i="4"/>
  <c r="N531" i="4" s="1"/>
  <c r="I532" i="4"/>
  <c r="N532" i="4" s="1"/>
  <c r="I533" i="4"/>
  <c r="I534" i="4"/>
  <c r="I535" i="4"/>
  <c r="N535" i="4" s="1"/>
  <c r="I536" i="4"/>
  <c r="N536" i="4" s="1"/>
  <c r="I537" i="4"/>
  <c r="I538" i="4"/>
  <c r="I539" i="4"/>
  <c r="N539" i="4" s="1"/>
  <c r="I540" i="4"/>
  <c r="I541" i="4"/>
  <c r="I542" i="4"/>
  <c r="I543" i="4"/>
  <c r="N543" i="4" s="1"/>
  <c r="I544" i="4"/>
  <c r="N544" i="4" s="1"/>
  <c r="I545" i="4"/>
  <c r="I546" i="4"/>
  <c r="I547" i="4"/>
  <c r="N547" i="4" s="1"/>
  <c r="I548" i="4"/>
  <c r="N548" i="4" s="1"/>
  <c r="I549" i="4"/>
  <c r="I550" i="4"/>
  <c r="I551" i="4"/>
  <c r="N551" i="4" s="1"/>
  <c r="I552" i="4"/>
  <c r="N552" i="4" s="1"/>
  <c r="I553" i="4"/>
  <c r="I554" i="4"/>
  <c r="I555" i="4"/>
  <c r="N555" i="4" s="1"/>
  <c r="I556" i="4"/>
  <c r="I557" i="4"/>
  <c r="I558" i="4"/>
  <c r="I559" i="4"/>
  <c r="N559" i="4" s="1"/>
  <c r="I560" i="4"/>
  <c r="N560" i="4" s="1"/>
  <c r="I561" i="4"/>
  <c r="I562" i="4"/>
  <c r="I563" i="4"/>
  <c r="N563" i="4" s="1"/>
  <c r="I564" i="4"/>
  <c r="N564" i="4" s="1"/>
  <c r="I565" i="4"/>
  <c r="I566" i="4"/>
  <c r="I567" i="4"/>
  <c r="N567" i="4" s="1"/>
  <c r="I568" i="4"/>
  <c r="N568" i="4" s="1"/>
  <c r="I569" i="4"/>
  <c r="I570" i="4"/>
  <c r="I571" i="4"/>
  <c r="N571" i="4" s="1"/>
  <c r="I572" i="4"/>
  <c r="I573" i="4"/>
  <c r="I574" i="4"/>
  <c r="I575" i="4"/>
  <c r="N575" i="4" s="1"/>
  <c r="I576" i="4"/>
  <c r="N576" i="4" s="1"/>
  <c r="I577" i="4"/>
  <c r="I578" i="4"/>
  <c r="I579" i="4"/>
  <c r="N579" i="4" s="1"/>
  <c r="I580" i="4"/>
  <c r="N580" i="4" s="1"/>
  <c r="I581" i="4"/>
  <c r="I582" i="4"/>
  <c r="I583" i="4"/>
  <c r="N583" i="4" s="1"/>
  <c r="I584" i="4"/>
  <c r="N584" i="4" s="1"/>
  <c r="I585" i="4"/>
  <c r="I586" i="4"/>
  <c r="I587" i="4"/>
  <c r="N587" i="4" s="1"/>
  <c r="I588" i="4"/>
  <c r="I589" i="4"/>
  <c r="I590" i="4"/>
  <c r="I591" i="4"/>
  <c r="N591" i="4" s="1"/>
  <c r="I592" i="4"/>
  <c r="N592" i="4" s="1"/>
  <c r="I593" i="4"/>
  <c r="I594" i="4"/>
  <c r="I595" i="4"/>
  <c r="N595" i="4" s="1"/>
  <c r="I596" i="4"/>
  <c r="N596" i="4" s="1"/>
  <c r="I597" i="4"/>
  <c r="I598" i="4"/>
  <c r="I599" i="4"/>
  <c r="N599" i="4" s="1"/>
  <c r="I600" i="4"/>
  <c r="N600" i="4" s="1"/>
  <c r="I601" i="4"/>
  <c r="I602" i="4"/>
  <c r="I603" i="4"/>
  <c r="N603" i="4" s="1"/>
  <c r="I604" i="4"/>
  <c r="I605" i="4"/>
  <c r="I606" i="4"/>
  <c r="I607" i="4"/>
  <c r="N607" i="4" s="1"/>
  <c r="I608" i="4"/>
  <c r="N608" i="4" s="1"/>
  <c r="I609" i="4"/>
  <c r="I610" i="4"/>
  <c r="I611" i="4"/>
  <c r="N611" i="4" s="1"/>
  <c r="I612" i="4"/>
  <c r="N612" i="4" s="1"/>
  <c r="I613" i="4"/>
  <c r="I614" i="4"/>
  <c r="I615" i="4"/>
  <c r="N615" i="4" s="1"/>
  <c r="I616" i="4"/>
  <c r="N616" i="4" s="1"/>
  <c r="I617" i="4"/>
  <c r="I618" i="4"/>
  <c r="I619" i="4"/>
  <c r="N619" i="4" s="1"/>
  <c r="I620" i="4"/>
  <c r="I621" i="4"/>
  <c r="I622" i="4"/>
  <c r="I623" i="4"/>
  <c r="N623" i="4" s="1"/>
  <c r="I624" i="4"/>
  <c r="N624" i="4" s="1"/>
  <c r="I625" i="4"/>
  <c r="I626" i="4"/>
  <c r="I627" i="4"/>
  <c r="N627" i="4" s="1"/>
  <c r="I628" i="4"/>
  <c r="N628" i="4" s="1"/>
  <c r="I629" i="4"/>
  <c r="I630" i="4"/>
  <c r="I631" i="4"/>
  <c r="N631" i="4" s="1"/>
  <c r="I632" i="4"/>
  <c r="N632" i="4" s="1"/>
  <c r="I633" i="4"/>
  <c r="I634" i="4"/>
  <c r="I635" i="4"/>
  <c r="N635" i="4" s="1"/>
  <c r="I636" i="4"/>
  <c r="I637" i="4"/>
  <c r="I638" i="4"/>
  <c r="I639" i="4"/>
  <c r="N639" i="4" s="1"/>
  <c r="I640" i="4"/>
  <c r="N640" i="4" s="1"/>
  <c r="I641" i="4"/>
  <c r="I642" i="4"/>
  <c r="I643" i="4"/>
  <c r="N643" i="4" s="1"/>
  <c r="I644" i="4"/>
  <c r="N644" i="4" s="1"/>
  <c r="I645" i="4"/>
  <c r="I646" i="4"/>
  <c r="I647" i="4"/>
  <c r="N647" i="4" s="1"/>
  <c r="I648" i="4"/>
  <c r="N648" i="4" s="1"/>
  <c r="I649" i="4"/>
  <c r="I650" i="4"/>
  <c r="I651" i="4"/>
  <c r="N651" i="4" s="1"/>
  <c r="I652" i="4"/>
  <c r="I653" i="4"/>
  <c r="I654" i="4"/>
  <c r="I655" i="4"/>
  <c r="N655" i="4" s="1"/>
  <c r="I656" i="4"/>
  <c r="N656" i="4" s="1"/>
  <c r="I657" i="4"/>
  <c r="I658" i="4"/>
  <c r="I659" i="4"/>
  <c r="N659" i="4" s="1"/>
  <c r="I660" i="4"/>
  <c r="N660" i="4" s="1"/>
  <c r="I661" i="4"/>
  <c r="I662" i="4"/>
  <c r="I663" i="4"/>
  <c r="N663" i="4" s="1"/>
  <c r="I664" i="4"/>
  <c r="N664" i="4" s="1"/>
  <c r="I665" i="4"/>
  <c r="I666" i="4"/>
  <c r="I667" i="4"/>
  <c r="N667" i="4" s="1"/>
  <c r="I668" i="4"/>
  <c r="I669" i="4"/>
  <c r="I670" i="4"/>
  <c r="I671" i="4"/>
  <c r="N671" i="4" s="1"/>
  <c r="I672" i="4"/>
  <c r="N672" i="4" s="1"/>
  <c r="I673" i="4"/>
  <c r="I674" i="4"/>
  <c r="I675" i="4"/>
  <c r="N675" i="4" s="1"/>
  <c r="I676" i="4"/>
  <c r="N676" i="4" s="1"/>
  <c r="I677" i="4"/>
  <c r="I678" i="4"/>
  <c r="I679" i="4"/>
  <c r="N679" i="4" s="1"/>
  <c r="I680" i="4"/>
  <c r="N680" i="4" s="1"/>
  <c r="I681" i="4"/>
  <c r="I682" i="4"/>
  <c r="I683" i="4"/>
  <c r="N683" i="4" s="1"/>
  <c r="I684" i="4"/>
  <c r="I685" i="4"/>
  <c r="I686" i="4"/>
  <c r="I687" i="4"/>
  <c r="N687" i="4" s="1"/>
  <c r="I688" i="4"/>
  <c r="N688" i="4" s="1"/>
  <c r="I689" i="4"/>
  <c r="I690" i="4"/>
  <c r="I691" i="4"/>
  <c r="N691" i="4" s="1"/>
  <c r="I692" i="4"/>
  <c r="N692" i="4" s="1"/>
  <c r="I693" i="4"/>
  <c r="I694" i="4"/>
  <c r="I695" i="4"/>
  <c r="N695" i="4" s="1"/>
  <c r="I696" i="4"/>
  <c r="N696" i="4" s="1"/>
  <c r="I697" i="4"/>
  <c r="I698" i="4"/>
  <c r="I699" i="4"/>
  <c r="N699" i="4" s="1"/>
  <c r="I700" i="4"/>
  <c r="I701" i="4"/>
  <c r="I702" i="4"/>
  <c r="I703" i="4"/>
  <c r="N703" i="4" s="1"/>
  <c r="I704" i="4"/>
  <c r="N704" i="4" s="1"/>
  <c r="I705" i="4"/>
  <c r="I706" i="4"/>
  <c r="I707" i="4"/>
  <c r="N707" i="4" s="1"/>
  <c r="I708" i="4"/>
  <c r="N708" i="4" s="1"/>
  <c r="I709" i="4"/>
  <c r="I710" i="4"/>
  <c r="I711" i="4"/>
  <c r="N711" i="4" s="1"/>
  <c r="I712" i="4"/>
  <c r="N712" i="4" s="1"/>
  <c r="I713" i="4"/>
  <c r="I714" i="4"/>
  <c r="I715" i="4"/>
  <c r="N715" i="4" s="1"/>
  <c r="I716" i="4"/>
  <c r="I717" i="4"/>
  <c r="I718" i="4"/>
  <c r="I719" i="4"/>
  <c r="N719" i="4" s="1"/>
  <c r="I720" i="4"/>
  <c r="N720" i="4" s="1"/>
  <c r="I721" i="4"/>
  <c r="I722" i="4"/>
  <c r="I723" i="4"/>
  <c r="N723" i="4" s="1"/>
  <c r="I724" i="4"/>
  <c r="N724" i="4" s="1"/>
  <c r="I725" i="4"/>
  <c r="I726" i="4"/>
  <c r="I727" i="4"/>
  <c r="N727" i="4" s="1"/>
  <c r="I728" i="4"/>
  <c r="N728" i="4" s="1"/>
  <c r="I729" i="4"/>
  <c r="I730" i="4"/>
  <c r="I731" i="4"/>
  <c r="N731" i="4" s="1"/>
  <c r="I732" i="4"/>
  <c r="I733" i="4"/>
  <c r="I734" i="4"/>
  <c r="I735" i="4"/>
  <c r="N735" i="4" s="1"/>
  <c r="I736" i="4"/>
  <c r="N736" i="4" s="1"/>
  <c r="I737" i="4"/>
  <c r="I738" i="4"/>
  <c r="I739" i="4"/>
  <c r="N739" i="4" s="1"/>
  <c r="I740" i="4"/>
  <c r="N740" i="4" s="1"/>
  <c r="I741" i="4"/>
  <c r="I742" i="4"/>
  <c r="I743" i="4"/>
  <c r="N743" i="4" s="1"/>
  <c r="I744" i="4"/>
  <c r="N744" i="4" s="1"/>
  <c r="I745" i="4"/>
  <c r="I746" i="4"/>
  <c r="I747" i="4"/>
  <c r="N747" i="4" s="1"/>
  <c r="I748" i="4"/>
  <c r="I749" i="4"/>
  <c r="I750" i="4"/>
  <c r="I751" i="4"/>
  <c r="N751" i="4" s="1"/>
  <c r="I752" i="4"/>
  <c r="N752" i="4" s="1"/>
  <c r="I753" i="4"/>
  <c r="I754" i="4"/>
  <c r="I755" i="4"/>
  <c r="N755" i="4" s="1"/>
  <c r="I756" i="4"/>
  <c r="N756" i="4" s="1"/>
  <c r="I757" i="4"/>
  <c r="I758" i="4"/>
  <c r="I759" i="4"/>
  <c r="N759" i="4" s="1"/>
  <c r="I760" i="4"/>
  <c r="N760" i="4" s="1"/>
  <c r="I761" i="4"/>
  <c r="I762" i="4"/>
  <c r="I763" i="4"/>
  <c r="N763" i="4" s="1"/>
  <c r="I764" i="4"/>
  <c r="I765" i="4"/>
  <c r="I766" i="4"/>
  <c r="I767" i="4"/>
  <c r="N767" i="4" s="1"/>
  <c r="I768" i="4"/>
  <c r="N768" i="4" s="1"/>
  <c r="I769" i="4"/>
  <c r="I770" i="4"/>
  <c r="I771" i="4"/>
  <c r="N771" i="4" s="1"/>
  <c r="I772" i="4"/>
  <c r="N772" i="4" s="1"/>
  <c r="I773" i="4"/>
  <c r="I774" i="4"/>
  <c r="I775" i="4"/>
  <c r="N775" i="4" s="1"/>
  <c r="I776" i="4"/>
  <c r="N776" i="4" s="1"/>
  <c r="I777" i="4"/>
  <c r="I778" i="4"/>
  <c r="I779" i="4"/>
  <c r="N779" i="4" s="1"/>
  <c r="I780" i="4"/>
  <c r="I781" i="4"/>
  <c r="I782" i="4"/>
  <c r="I783" i="4"/>
  <c r="N783" i="4" s="1"/>
  <c r="I784" i="4"/>
  <c r="N784" i="4" s="1"/>
  <c r="I785" i="4"/>
  <c r="I786" i="4"/>
  <c r="I787" i="4"/>
  <c r="N787" i="4" s="1"/>
  <c r="I788" i="4"/>
  <c r="N788" i="4" s="1"/>
  <c r="I789" i="4"/>
  <c r="I790" i="4"/>
  <c r="I791" i="4"/>
  <c r="N791" i="4" s="1"/>
  <c r="I792" i="4"/>
  <c r="N792" i="4" s="1"/>
  <c r="I793" i="4"/>
  <c r="I794" i="4"/>
  <c r="I795" i="4"/>
  <c r="N795" i="4" s="1"/>
  <c r="I796" i="4"/>
  <c r="I797" i="4"/>
  <c r="I798" i="4"/>
  <c r="I799" i="4"/>
  <c r="N799" i="4" s="1"/>
  <c r="I800" i="4"/>
  <c r="N800" i="4" s="1"/>
  <c r="I801" i="4"/>
  <c r="I802" i="4"/>
  <c r="I803" i="4"/>
  <c r="N803" i="4" s="1"/>
  <c r="I804" i="4"/>
  <c r="N804" i="4" s="1"/>
  <c r="I805" i="4"/>
  <c r="I806" i="4"/>
  <c r="I807" i="4"/>
  <c r="N807" i="4" s="1"/>
  <c r="I808" i="4"/>
  <c r="N808" i="4" s="1"/>
  <c r="I809" i="4"/>
  <c r="I810" i="4"/>
  <c r="I811" i="4"/>
  <c r="N811" i="4" s="1"/>
  <c r="I812" i="4"/>
  <c r="I813" i="4"/>
  <c r="I814" i="4"/>
  <c r="I815" i="4"/>
  <c r="N815" i="4" s="1"/>
  <c r="I816" i="4"/>
  <c r="N816" i="4" s="1"/>
  <c r="I817" i="4"/>
  <c r="I818" i="4"/>
  <c r="I819" i="4"/>
  <c r="N819" i="4" s="1"/>
  <c r="I820" i="4"/>
  <c r="N820" i="4" s="1"/>
  <c r="I821" i="4"/>
  <c r="I822" i="4"/>
  <c r="I823" i="4"/>
  <c r="N823" i="4" s="1"/>
  <c r="I824" i="4"/>
  <c r="N824" i="4" s="1"/>
  <c r="I825" i="4"/>
  <c r="I826" i="4"/>
  <c r="I827" i="4"/>
  <c r="N827" i="4" s="1"/>
  <c r="I828" i="4"/>
  <c r="I829" i="4"/>
  <c r="I830" i="4"/>
  <c r="I831" i="4"/>
  <c r="N831" i="4" s="1"/>
  <c r="I832" i="4"/>
  <c r="N832" i="4" s="1"/>
  <c r="I833" i="4"/>
  <c r="I834" i="4"/>
  <c r="I835" i="4"/>
  <c r="N835" i="4" s="1"/>
  <c r="I836" i="4"/>
  <c r="N836" i="4" s="1"/>
  <c r="I837" i="4"/>
  <c r="I838" i="4"/>
  <c r="I839" i="4"/>
  <c r="N839" i="4" s="1"/>
  <c r="I840" i="4"/>
  <c r="N840" i="4" s="1"/>
  <c r="I841" i="4"/>
  <c r="I842" i="4"/>
  <c r="I843" i="4"/>
  <c r="N843" i="4" s="1"/>
  <c r="I844" i="4"/>
  <c r="I845" i="4"/>
  <c r="I846" i="4"/>
  <c r="I847" i="4"/>
  <c r="N847" i="4" s="1"/>
  <c r="I848" i="4"/>
  <c r="N848" i="4" s="1"/>
  <c r="I849" i="4"/>
  <c r="I850" i="4"/>
  <c r="I851" i="4"/>
  <c r="N851" i="4" s="1"/>
  <c r="I852" i="4"/>
  <c r="N852" i="4" s="1"/>
  <c r="I853" i="4"/>
  <c r="I854" i="4"/>
  <c r="I855" i="4"/>
  <c r="N855" i="4" s="1"/>
  <c r="I856" i="4"/>
  <c r="N856" i="4" s="1"/>
  <c r="I857" i="4"/>
  <c r="I858" i="4"/>
  <c r="I859" i="4"/>
  <c r="N859" i="4" s="1"/>
  <c r="I860" i="4"/>
  <c r="I861" i="4"/>
  <c r="I862" i="4"/>
  <c r="I863" i="4"/>
  <c r="N863" i="4" s="1"/>
  <c r="I864" i="4"/>
  <c r="N864" i="4" s="1"/>
  <c r="I865" i="4"/>
  <c r="I866" i="4"/>
  <c r="I867" i="4"/>
  <c r="N867" i="4" s="1"/>
  <c r="I868" i="4"/>
  <c r="N868" i="4" s="1"/>
  <c r="I869" i="4"/>
  <c r="I870" i="4"/>
  <c r="I871" i="4"/>
  <c r="N871" i="4" s="1"/>
  <c r="I872" i="4"/>
  <c r="N872" i="4" s="1"/>
  <c r="I873" i="4"/>
  <c r="I874" i="4"/>
  <c r="I875" i="4"/>
  <c r="N875" i="4" s="1"/>
  <c r="I876" i="4"/>
  <c r="I877" i="4"/>
  <c r="I878" i="4"/>
  <c r="I879" i="4"/>
  <c r="N879" i="4" s="1"/>
  <c r="I880" i="4"/>
  <c r="N880" i="4" s="1"/>
  <c r="I881" i="4"/>
  <c r="I882" i="4"/>
  <c r="I883" i="4"/>
  <c r="N883" i="4" s="1"/>
  <c r="I884" i="4"/>
  <c r="N884" i="4" s="1"/>
  <c r="I885" i="4"/>
  <c r="I886" i="4"/>
  <c r="I887" i="4"/>
  <c r="N887" i="4" s="1"/>
  <c r="I888" i="4"/>
  <c r="N888" i="4" s="1"/>
  <c r="I889" i="4"/>
  <c r="I890" i="4"/>
  <c r="I891" i="4"/>
  <c r="N891" i="4" s="1"/>
  <c r="I892" i="4"/>
  <c r="I893" i="4"/>
  <c r="I894" i="4"/>
  <c r="I895" i="4"/>
  <c r="N895" i="4" s="1"/>
  <c r="I896" i="4"/>
  <c r="N896" i="4" s="1"/>
  <c r="I897" i="4"/>
  <c r="I898" i="4"/>
  <c r="I899" i="4"/>
  <c r="N899" i="4" s="1"/>
  <c r="I900" i="4"/>
  <c r="N900" i="4" s="1"/>
  <c r="I901" i="4"/>
  <c r="I902" i="4"/>
  <c r="N902" i="4" s="1"/>
  <c r="I903" i="4"/>
  <c r="J903" i="4" s="1"/>
  <c r="I904" i="4"/>
  <c r="N904" i="4" s="1"/>
  <c r="I905" i="4"/>
  <c r="I906" i="4"/>
  <c r="I907" i="4"/>
  <c r="N907" i="4" s="1"/>
  <c r="I908" i="4"/>
  <c r="N908" i="4" s="1"/>
  <c r="I909" i="4"/>
  <c r="I910" i="4"/>
  <c r="N910" i="4" s="1"/>
  <c r="I911" i="4"/>
  <c r="N911" i="4" s="1"/>
  <c r="I912" i="4"/>
  <c r="I913" i="4"/>
  <c r="I914" i="4"/>
  <c r="N914" i="4" s="1"/>
  <c r="I915" i="4"/>
  <c r="N915" i="4" s="1"/>
  <c r="I916" i="4"/>
  <c r="N916" i="4" s="1"/>
  <c r="I917" i="4"/>
  <c r="I918" i="4"/>
  <c r="N918" i="4" s="1"/>
  <c r="I919" i="4"/>
  <c r="I920" i="4"/>
  <c r="N920" i="4" s="1"/>
  <c r="I921" i="4"/>
  <c r="I922" i="4"/>
  <c r="I923" i="4"/>
  <c r="N923" i="4" s="1"/>
  <c r="I924" i="4"/>
  <c r="N924" i="4" s="1"/>
  <c r="I925" i="4"/>
  <c r="I926" i="4"/>
  <c r="N926" i="4" s="1"/>
  <c r="I927" i="4"/>
  <c r="N927" i="4" s="1"/>
  <c r="I928" i="4"/>
  <c r="N928" i="4" s="1"/>
  <c r="I929" i="4"/>
  <c r="I930" i="4"/>
  <c r="N930" i="4" s="1"/>
  <c r="I931" i="4"/>
  <c r="N931" i="4" s="1"/>
  <c r="I932" i="4"/>
  <c r="N932" i="4" s="1"/>
  <c r="I933" i="4"/>
  <c r="I934" i="4"/>
  <c r="N934" i="4" s="1"/>
  <c r="I935" i="4"/>
  <c r="J935" i="4" s="1"/>
  <c r="I936" i="4"/>
  <c r="N936" i="4" s="1"/>
  <c r="I937" i="4"/>
  <c r="I938" i="4"/>
  <c r="N938" i="4" s="1"/>
  <c r="I939" i="4"/>
  <c r="N939" i="4" s="1"/>
  <c r="I940" i="4"/>
  <c r="N940" i="4" s="1"/>
  <c r="I941" i="4"/>
  <c r="I942" i="4"/>
  <c r="N942" i="4" s="1"/>
  <c r="I943" i="4"/>
  <c r="N943" i="4" s="1"/>
  <c r="I944" i="4"/>
  <c r="N944" i="4" s="1"/>
  <c r="I945" i="4"/>
  <c r="I946" i="4"/>
  <c r="N946" i="4" s="1"/>
  <c r="I947" i="4"/>
  <c r="N947" i="4" s="1"/>
  <c r="I948" i="4"/>
  <c r="N948" i="4" s="1"/>
  <c r="I949" i="4"/>
  <c r="I950" i="4"/>
  <c r="N950" i="4" s="1"/>
  <c r="I951" i="4"/>
  <c r="I952" i="4"/>
  <c r="N952" i="4" s="1"/>
  <c r="I953" i="4"/>
  <c r="I954" i="4"/>
  <c r="I955" i="4"/>
  <c r="N955" i="4" s="1"/>
  <c r="I956" i="4"/>
  <c r="N956" i="4" s="1"/>
  <c r="I957" i="4"/>
  <c r="I958" i="4"/>
  <c r="N958" i="4" s="1"/>
  <c r="I959" i="4"/>
  <c r="N959" i="4" s="1"/>
  <c r="I960" i="4"/>
  <c r="N960" i="4" s="1"/>
  <c r="I961" i="4"/>
  <c r="I962" i="4"/>
  <c r="N962" i="4" s="1"/>
  <c r="I963" i="4"/>
  <c r="N963" i="4" s="1"/>
  <c r="I964" i="4"/>
  <c r="N964" i="4" s="1"/>
  <c r="I965" i="4"/>
  <c r="I966" i="4"/>
  <c r="N966" i="4" s="1"/>
  <c r="I967" i="4"/>
  <c r="I968" i="4"/>
  <c r="N968" i="4" s="1"/>
  <c r="I969" i="4"/>
  <c r="I970" i="4"/>
  <c r="I971" i="4"/>
  <c r="N971" i="4" s="1"/>
  <c r="I972" i="4"/>
  <c r="N972" i="4" s="1"/>
  <c r="I973" i="4"/>
  <c r="I974" i="4"/>
  <c r="N974" i="4" s="1"/>
  <c r="I975" i="4"/>
  <c r="N975" i="4" s="1"/>
  <c r="I976" i="4"/>
  <c r="N976" i="4" s="1"/>
  <c r="I977" i="4"/>
  <c r="I978" i="4"/>
  <c r="N978" i="4" s="1"/>
  <c r="I979" i="4"/>
  <c r="N979" i="4" s="1"/>
  <c r="I980" i="4"/>
  <c r="N980" i="4" s="1"/>
  <c r="I981" i="4"/>
  <c r="I982" i="4"/>
  <c r="N982" i="4" s="1"/>
  <c r="I983" i="4"/>
  <c r="J983" i="4" s="1"/>
  <c r="I984" i="4"/>
  <c r="N984" i="4" s="1"/>
  <c r="I985" i="4"/>
  <c r="I986" i="4"/>
  <c r="N986" i="4" s="1"/>
  <c r="I987" i="4"/>
  <c r="N987" i="4" s="1"/>
  <c r="I988" i="4"/>
  <c r="N988" i="4" s="1"/>
  <c r="I989" i="4"/>
  <c r="I990" i="4"/>
  <c r="N990" i="4" s="1"/>
  <c r="I991" i="4"/>
  <c r="N991" i="4" s="1"/>
  <c r="I992" i="4"/>
  <c r="N992" i="4" s="1"/>
  <c r="I993" i="4"/>
  <c r="I994" i="4"/>
  <c r="N994" i="4" s="1"/>
  <c r="I995" i="4"/>
  <c r="N995" i="4" s="1"/>
  <c r="I996" i="4"/>
  <c r="N996" i="4" s="1"/>
  <c r="I997" i="4"/>
  <c r="I998" i="4"/>
  <c r="N998" i="4" s="1"/>
  <c r="I999" i="4"/>
  <c r="I1000" i="4"/>
  <c r="N1000" i="4" s="1"/>
  <c r="I1001" i="4"/>
  <c r="I1002" i="4"/>
  <c r="N1002" i="4" s="1"/>
  <c r="I1003" i="4"/>
  <c r="N1003" i="4" s="1"/>
  <c r="I1004" i="4"/>
  <c r="N1004" i="4" s="1"/>
  <c r="I1005" i="4"/>
  <c r="I1006" i="4"/>
  <c r="N1006" i="4" s="1"/>
  <c r="I1007" i="4"/>
  <c r="N1007" i="4" s="1"/>
  <c r="I1008" i="4"/>
  <c r="N1008" i="4" s="1"/>
  <c r="I1009" i="4"/>
  <c r="I1010" i="4"/>
  <c r="N1010" i="4" s="1"/>
  <c r="I1011" i="4"/>
  <c r="N1011" i="4" s="1"/>
  <c r="I1012" i="4"/>
  <c r="N1012" i="4" s="1"/>
  <c r="I1013" i="4"/>
  <c r="I1014" i="4"/>
  <c r="N1014" i="4" s="1"/>
  <c r="I1015" i="4"/>
  <c r="I1016" i="4"/>
  <c r="N1016" i="4" s="1"/>
  <c r="I1017" i="4"/>
  <c r="I1018" i="4"/>
  <c r="I1019" i="4"/>
  <c r="N1019" i="4" s="1"/>
  <c r="I1020" i="4"/>
  <c r="N1020" i="4" s="1"/>
  <c r="I1021" i="4"/>
  <c r="I1022" i="4"/>
  <c r="N1022" i="4" s="1"/>
  <c r="I1023" i="4"/>
  <c r="N1023" i="4" s="1"/>
  <c r="I1024" i="4"/>
  <c r="N1024" i="4" s="1"/>
  <c r="I1025" i="4"/>
  <c r="I1026" i="4"/>
  <c r="N1026" i="4" s="1"/>
  <c r="I1027" i="4"/>
  <c r="N1027" i="4" s="1"/>
  <c r="I1028" i="4"/>
  <c r="N1028" i="4" s="1"/>
  <c r="I1029" i="4"/>
  <c r="I1030" i="4"/>
  <c r="N1030" i="4" s="1"/>
  <c r="I1031" i="4"/>
  <c r="J1031" i="4" s="1"/>
  <c r="I1032" i="4"/>
  <c r="N1032" i="4" s="1"/>
  <c r="I1033" i="4"/>
  <c r="I1034" i="4"/>
  <c r="I1035" i="4"/>
  <c r="N1035" i="4" s="1"/>
  <c r="I1036" i="4"/>
  <c r="N1036" i="4" s="1"/>
  <c r="I1037" i="4"/>
  <c r="I1038" i="4"/>
  <c r="N1038" i="4" s="1"/>
  <c r="I1039" i="4"/>
  <c r="N1039" i="4" s="1"/>
  <c r="I1040" i="4"/>
  <c r="N1040" i="4" s="1"/>
  <c r="I1041" i="4"/>
  <c r="I1042" i="4"/>
  <c r="N1042" i="4" s="1"/>
  <c r="I1043" i="4"/>
  <c r="N1043" i="4" s="1"/>
  <c r="I1044" i="4"/>
  <c r="N1044" i="4" s="1"/>
  <c r="I1045" i="4"/>
  <c r="I1046" i="4"/>
  <c r="N1046" i="4" s="1"/>
  <c r="I1047" i="4"/>
  <c r="J1047" i="4" s="1"/>
  <c r="I1048" i="4"/>
  <c r="N1048" i="4" s="1"/>
  <c r="I1049" i="4"/>
  <c r="I1050" i="4"/>
  <c r="I1051" i="4"/>
  <c r="N1051" i="4" s="1"/>
  <c r="I1052" i="4"/>
  <c r="N1052" i="4" s="1"/>
  <c r="I1053" i="4"/>
  <c r="I1054" i="4"/>
  <c r="N1054" i="4" s="1"/>
  <c r="I1055" i="4"/>
  <c r="N1055" i="4" s="1"/>
  <c r="I1056" i="4"/>
  <c r="N1056" i="4" s="1"/>
  <c r="I1057" i="4"/>
  <c r="I1058" i="4"/>
  <c r="N1058" i="4" s="1"/>
  <c r="I1059" i="4"/>
  <c r="N1059" i="4" s="1"/>
  <c r="I1060" i="4"/>
  <c r="N1060" i="4" s="1"/>
  <c r="I1061" i="4"/>
  <c r="I1062" i="4"/>
  <c r="N1062" i="4" s="1"/>
  <c r="I1063" i="4"/>
  <c r="I1064" i="4"/>
  <c r="N1064" i="4" s="1"/>
  <c r="I1065" i="4"/>
  <c r="I1066" i="4"/>
  <c r="I1067" i="4"/>
  <c r="N1067" i="4" s="1"/>
  <c r="I1068" i="4"/>
  <c r="N1068" i="4" s="1"/>
  <c r="I1069" i="4"/>
  <c r="I1070" i="4"/>
  <c r="N1070" i="4" s="1"/>
  <c r="I1071" i="4"/>
  <c r="N1071" i="4" s="1"/>
  <c r="I1072" i="4"/>
  <c r="N1072" i="4" s="1"/>
  <c r="I1073" i="4"/>
  <c r="I1074" i="4"/>
  <c r="N1074" i="4" s="1"/>
  <c r="I1075" i="4"/>
  <c r="N1075" i="4" s="1"/>
  <c r="I1076" i="4"/>
  <c r="N1076" i="4" s="1"/>
  <c r="I1077" i="4"/>
  <c r="I1078" i="4"/>
  <c r="N1078" i="4" s="1"/>
  <c r="I1079" i="4"/>
  <c r="J1079" i="4" s="1"/>
  <c r="I1080" i="4"/>
  <c r="N1080" i="4" s="1"/>
  <c r="I1081" i="4"/>
  <c r="I1082" i="4"/>
  <c r="I1083" i="4"/>
  <c r="N1083" i="4" s="1"/>
  <c r="I1084" i="4"/>
  <c r="N1084" i="4" s="1"/>
  <c r="I1085" i="4"/>
  <c r="I1086" i="4"/>
  <c r="N1086" i="4" s="1"/>
  <c r="I1087" i="4"/>
  <c r="N1087" i="4" s="1"/>
  <c r="I1088" i="4"/>
  <c r="I1089" i="4"/>
  <c r="I1090" i="4"/>
  <c r="N1090" i="4" s="1"/>
  <c r="I1091" i="4"/>
  <c r="N1091" i="4" s="1"/>
  <c r="I1092" i="4"/>
  <c r="I1093" i="4"/>
  <c r="I1094" i="4"/>
  <c r="N1094" i="4" s="1"/>
  <c r="I1095" i="4"/>
  <c r="J1095" i="4" s="1"/>
  <c r="I1096" i="4"/>
  <c r="N1096" i="4" s="1"/>
  <c r="I1097" i="4"/>
  <c r="I1098" i="4"/>
  <c r="I1099" i="4"/>
  <c r="N1099" i="4" s="1"/>
  <c r="I1100" i="4"/>
  <c r="N1100" i="4" s="1"/>
  <c r="I1101" i="4"/>
  <c r="I1102" i="4"/>
  <c r="N1102" i="4" s="1"/>
  <c r="I1103" i="4"/>
  <c r="N1103" i="4" s="1"/>
  <c r="I1104" i="4"/>
  <c r="I1105" i="4"/>
  <c r="I1106" i="4"/>
  <c r="N1106" i="4" s="1"/>
  <c r="I1107" i="4"/>
  <c r="N1107" i="4" s="1"/>
  <c r="I1108" i="4"/>
  <c r="I1109" i="4"/>
  <c r="I1110" i="4"/>
  <c r="N1110" i="4" s="1"/>
  <c r="I1111" i="4"/>
  <c r="I1112" i="4"/>
  <c r="N1112" i="4" s="1"/>
  <c r="I1113" i="4"/>
  <c r="I1114" i="4"/>
  <c r="I1115" i="4"/>
  <c r="N1115" i="4" s="1"/>
  <c r="I1116" i="4"/>
  <c r="N1116" i="4" s="1"/>
  <c r="I1117" i="4"/>
  <c r="I1118" i="4"/>
  <c r="N1118" i="4" s="1"/>
  <c r="I1119" i="4"/>
  <c r="N1119" i="4" s="1"/>
  <c r="I1120" i="4"/>
  <c r="I1121" i="4"/>
  <c r="I1122" i="4"/>
  <c r="N1122" i="4" s="1"/>
  <c r="I1123" i="4"/>
  <c r="N1123" i="4" s="1"/>
  <c r="I1124" i="4"/>
  <c r="I1125" i="4"/>
  <c r="I1126" i="4"/>
  <c r="N1126" i="4" s="1"/>
  <c r="I1127" i="4"/>
  <c r="J1127" i="4" s="1"/>
  <c r="I1128" i="4"/>
  <c r="N1128" i="4" s="1"/>
  <c r="I1129" i="4"/>
  <c r="I1130" i="4"/>
  <c r="I1131" i="4"/>
  <c r="N1131" i="4" s="1"/>
  <c r="I1132" i="4"/>
  <c r="N1132" i="4" s="1"/>
  <c r="I1133" i="4"/>
  <c r="I1134" i="4"/>
  <c r="N1134" i="4" s="1"/>
  <c r="I1135" i="4"/>
  <c r="N1135" i="4" s="1"/>
  <c r="I1136" i="4"/>
  <c r="I1137" i="4"/>
  <c r="I1138" i="4"/>
  <c r="N1138" i="4" s="1"/>
  <c r="I1139" i="4"/>
  <c r="N1139" i="4" s="1"/>
  <c r="I1140" i="4"/>
  <c r="I1141" i="4"/>
  <c r="I1142" i="4"/>
  <c r="N1142" i="4" s="1"/>
  <c r="I1143" i="4"/>
  <c r="J1143" i="4" s="1"/>
  <c r="I1144" i="4"/>
  <c r="N1144" i="4" s="1"/>
  <c r="I1145" i="4"/>
  <c r="I1146" i="4"/>
  <c r="I1147" i="4"/>
  <c r="N1147" i="4" s="1"/>
  <c r="I1148" i="4"/>
  <c r="N1148" i="4" s="1"/>
  <c r="I1149" i="4"/>
  <c r="I1150" i="4"/>
  <c r="N1150" i="4" s="1"/>
  <c r="I1151" i="4"/>
  <c r="N1151" i="4" s="1"/>
  <c r="I1152" i="4"/>
  <c r="I1153" i="4"/>
  <c r="I1154" i="4"/>
  <c r="N1154" i="4" s="1"/>
  <c r="I1155" i="4"/>
  <c r="N1155" i="4" s="1"/>
  <c r="I1156" i="4"/>
  <c r="I1157" i="4"/>
  <c r="I1158" i="4"/>
  <c r="N1158" i="4" s="1"/>
  <c r="I1159" i="4"/>
  <c r="I1160" i="4"/>
  <c r="N1160" i="4" s="1"/>
  <c r="I1161" i="4"/>
  <c r="I1162" i="4"/>
  <c r="I1163" i="4"/>
  <c r="N1163" i="4" s="1"/>
  <c r="I1164" i="4"/>
  <c r="N1164" i="4" s="1"/>
  <c r="I1165" i="4"/>
  <c r="I1166" i="4"/>
  <c r="N1166" i="4" s="1"/>
  <c r="I1167" i="4"/>
  <c r="N1167" i="4" s="1"/>
  <c r="I1168" i="4"/>
  <c r="I1169" i="4"/>
  <c r="I1170" i="4"/>
  <c r="N1170" i="4" s="1"/>
  <c r="I1171" i="4"/>
  <c r="N1171" i="4" s="1"/>
  <c r="I1172" i="4"/>
  <c r="I1173" i="4"/>
  <c r="I1174" i="4"/>
  <c r="N1174" i="4" s="1"/>
  <c r="I1175" i="4"/>
  <c r="J1175" i="4" s="1"/>
  <c r="I1176" i="4"/>
  <c r="N1176" i="4" s="1"/>
  <c r="I1177" i="4"/>
  <c r="I1178" i="4"/>
  <c r="I1179" i="4"/>
  <c r="N1179" i="4" s="1"/>
  <c r="I1180" i="4"/>
  <c r="N1180" i="4" s="1"/>
  <c r="I1181" i="4"/>
  <c r="I1182" i="4"/>
  <c r="N1182" i="4" s="1"/>
  <c r="I1183" i="4"/>
  <c r="N1183" i="4" s="1"/>
  <c r="I1184" i="4"/>
  <c r="I1185" i="4"/>
  <c r="I1186" i="4"/>
  <c r="N1186" i="4" s="1"/>
  <c r="I1187" i="4"/>
  <c r="N1187" i="4" s="1"/>
  <c r="I1188" i="4"/>
  <c r="I1189" i="4"/>
  <c r="I1190" i="4"/>
  <c r="N1190" i="4" s="1"/>
  <c r="I1191" i="4"/>
  <c r="J1191" i="4" s="1"/>
  <c r="I1192" i="4"/>
  <c r="N1192" i="4" s="1"/>
  <c r="I1193" i="4"/>
  <c r="I1194" i="4"/>
  <c r="I1195" i="4"/>
  <c r="N1195" i="4" s="1"/>
  <c r="I1196" i="4"/>
  <c r="N1196" i="4" s="1"/>
  <c r="I1197" i="4"/>
  <c r="I1198" i="4"/>
  <c r="N1198" i="4" s="1"/>
  <c r="I1199" i="4"/>
  <c r="N1199" i="4" s="1"/>
  <c r="I1200" i="4"/>
  <c r="I1201" i="4"/>
  <c r="I1202" i="4"/>
  <c r="N1202" i="4" s="1"/>
  <c r="I1203" i="4"/>
  <c r="N1203" i="4" s="1"/>
  <c r="I1204" i="4"/>
  <c r="I1205" i="4"/>
  <c r="I1206" i="4"/>
  <c r="N1206" i="4" s="1"/>
  <c r="I1207" i="4"/>
  <c r="I1208" i="4"/>
  <c r="N1208" i="4" s="1"/>
  <c r="I1209" i="4"/>
  <c r="I1210" i="4"/>
  <c r="I1211" i="4"/>
  <c r="N1211" i="4" s="1"/>
  <c r="I1212" i="4"/>
  <c r="N1212" i="4" s="1"/>
  <c r="I1213" i="4"/>
  <c r="I1214" i="4"/>
  <c r="N1214" i="4" s="1"/>
  <c r="I1215" i="4"/>
  <c r="N1215" i="4" s="1"/>
  <c r="I1216" i="4"/>
  <c r="I1217" i="4"/>
  <c r="I1218" i="4"/>
  <c r="N1218" i="4" s="1"/>
  <c r="I1219" i="4"/>
  <c r="N1219" i="4" s="1"/>
  <c r="I1220" i="4"/>
  <c r="I1221" i="4"/>
  <c r="I1222" i="4"/>
  <c r="N1222" i="4" s="1"/>
  <c r="I1223" i="4"/>
  <c r="J1223" i="4" s="1"/>
  <c r="I1224" i="4"/>
  <c r="N1224" i="4" s="1"/>
  <c r="I1225" i="4"/>
  <c r="I1226" i="4"/>
  <c r="I1227" i="4"/>
  <c r="N1227" i="4" s="1"/>
  <c r="I1228" i="4"/>
  <c r="N1228" i="4" s="1"/>
  <c r="I1229" i="4"/>
  <c r="I1230" i="4"/>
  <c r="N1230" i="4" s="1"/>
  <c r="I1231" i="4"/>
  <c r="N1231" i="4" s="1"/>
  <c r="I1232" i="4"/>
  <c r="I1233" i="4"/>
  <c r="I1234" i="4"/>
  <c r="N1234" i="4" s="1"/>
  <c r="I1235" i="4"/>
  <c r="N1235" i="4" s="1"/>
  <c r="I1236" i="4"/>
  <c r="I1237" i="4"/>
  <c r="I1238" i="4"/>
  <c r="N1238" i="4" s="1"/>
  <c r="I1239" i="4"/>
  <c r="J1239" i="4" s="1"/>
  <c r="I1240" i="4"/>
  <c r="N1240" i="4" s="1"/>
  <c r="I1241" i="4"/>
  <c r="I1242" i="4"/>
  <c r="I1243" i="4"/>
  <c r="N1243" i="4" s="1"/>
  <c r="I1244" i="4"/>
  <c r="N1244" i="4" s="1"/>
  <c r="I1245" i="4"/>
  <c r="I1246" i="4"/>
  <c r="N1246" i="4" s="1"/>
  <c r="I1247" i="4"/>
  <c r="N1247" i="4" s="1"/>
  <c r="I1248" i="4"/>
  <c r="I1249" i="4"/>
  <c r="I1250" i="4"/>
  <c r="N1250" i="4" s="1"/>
  <c r="I1251" i="4"/>
  <c r="N1251" i="4" s="1"/>
  <c r="I1252" i="4"/>
  <c r="I1253" i="4"/>
  <c r="I1254" i="4"/>
  <c r="N1254" i="4" s="1"/>
  <c r="I1255" i="4"/>
  <c r="I1256" i="4"/>
  <c r="N1256" i="4" s="1"/>
  <c r="I1257" i="4"/>
  <c r="I1258" i="4"/>
  <c r="I1259" i="4"/>
  <c r="N1259" i="4" s="1"/>
  <c r="I1260" i="4"/>
  <c r="N1260" i="4" s="1"/>
  <c r="I1261" i="4"/>
  <c r="I1262" i="4"/>
  <c r="N1262" i="4" s="1"/>
  <c r="I1263" i="4"/>
  <c r="N1263" i="4" s="1"/>
  <c r="I1264" i="4"/>
  <c r="I1265" i="4"/>
  <c r="I1266" i="4"/>
  <c r="N1266" i="4" s="1"/>
  <c r="I1267" i="4"/>
  <c r="N1267" i="4" s="1"/>
  <c r="I1268" i="4"/>
  <c r="I1269" i="4"/>
  <c r="I1270" i="4"/>
  <c r="N1270" i="4" s="1"/>
  <c r="I1271" i="4"/>
  <c r="J1271" i="4" s="1"/>
  <c r="I1272" i="4"/>
  <c r="N1272" i="4" s="1"/>
  <c r="I1273" i="4"/>
  <c r="I1274" i="4"/>
  <c r="I1275" i="4"/>
  <c r="N1275" i="4" s="1"/>
  <c r="I1276" i="4"/>
  <c r="N1276" i="4" s="1"/>
  <c r="I1277" i="4"/>
  <c r="I1278" i="4"/>
  <c r="N1278" i="4" s="1"/>
  <c r="I1279" i="4"/>
  <c r="N1279" i="4" s="1"/>
  <c r="I1280" i="4"/>
  <c r="I1281" i="4"/>
  <c r="I1282" i="4"/>
  <c r="N1282" i="4" s="1"/>
  <c r="I1283" i="4"/>
  <c r="N1283" i="4" s="1"/>
  <c r="I1284" i="4"/>
  <c r="I1285" i="4"/>
  <c r="I1286" i="4"/>
  <c r="N1286" i="4" s="1"/>
  <c r="I1287" i="4"/>
  <c r="J1287" i="4" s="1"/>
  <c r="I1288" i="4"/>
  <c r="N1288" i="4" s="1"/>
  <c r="I1289" i="4"/>
  <c r="I1290" i="4"/>
  <c r="I1291" i="4"/>
  <c r="N1291" i="4" s="1"/>
  <c r="I1292" i="4"/>
  <c r="N1292" i="4" s="1"/>
  <c r="I1293" i="4"/>
  <c r="I1294" i="4"/>
  <c r="N1294" i="4" s="1"/>
  <c r="I1295" i="4"/>
  <c r="N1295" i="4" s="1"/>
  <c r="I1296" i="4"/>
  <c r="I1297" i="4"/>
  <c r="I1298" i="4"/>
  <c r="N1298" i="4" s="1"/>
  <c r="I1299" i="4"/>
  <c r="N1299" i="4" s="1"/>
  <c r="I1300" i="4"/>
  <c r="I1301" i="4"/>
  <c r="I1302" i="4"/>
  <c r="N1302" i="4" s="1"/>
  <c r="I1303" i="4"/>
  <c r="I1304" i="4"/>
  <c r="N1304" i="4" s="1"/>
  <c r="I1305" i="4"/>
  <c r="I1306" i="4"/>
  <c r="I1307" i="4"/>
  <c r="N1307" i="4" s="1"/>
  <c r="I1308" i="4"/>
  <c r="N1308" i="4" s="1"/>
  <c r="I1309" i="4"/>
  <c r="I1310" i="4"/>
  <c r="N1310" i="4" s="1"/>
  <c r="I1311" i="4"/>
  <c r="N1311" i="4" s="1"/>
  <c r="I1312" i="4"/>
  <c r="I1313" i="4"/>
  <c r="I1314" i="4"/>
  <c r="N1314" i="4" s="1"/>
  <c r="I1315" i="4"/>
  <c r="N1315" i="4" s="1"/>
  <c r="I1316" i="4"/>
  <c r="I1317" i="4"/>
  <c r="I1318" i="4"/>
  <c r="N1318" i="4" s="1"/>
  <c r="I1319" i="4"/>
  <c r="J1319" i="4" s="1"/>
  <c r="I1320" i="4"/>
  <c r="N1320" i="4" s="1"/>
  <c r="I1321" i="4"/>
  <c r="I1322" i="4"/>
  <c r="I1323" i="4"/>
  <c r="N1323" i="4" s="1"/>
  <c r="I1324" i="4"/>
  <c r="N1324" i="4" s="1"/>
  <c r="I1325" i="4"/>
  <c r="I1326" i="4"/>
  <c r="N1326" i="4" s="1"/>
  <c r="I1327" i="4"/>
  <c r="N1327" i="4" s="1"/>
  <c r="I1328" i="4"/>
  <c r="I1329" i="4"/>
  <c r="I1330" i="4"/>
  <c r="N1330" i="4" s="1"/>
  <c r="I1331" i="4"/>
  <c r="N1331" i="4" s="1"/>
  <c r="I1332" i="4"/>
  <c r="I1333" i="4"/>
  <c r="I1334" i="4"/>
  <c r="N1334" i="4" s="1"/>
  <c r="I1335" i="4"/>
  <c r="J1335" i="4" s="1"/>
  <c r="I1336" i="4"/>
  <c r="N1336" i="4" s="1"/>
  <c r="I1337" i="4"/>
  <c r="I1338" i="4"/>
  <c r="I1339" i="4"/>
  <c r="N1339" i="4" s="1"/>
  <c r="I1340" i="4"/>
  <c r="N1340" i="4" s="1"/>
  <c r="I1341" i="4"/>
  <c r="I1342" i="4"/>
  <c r="N1342" i="4" s="1"/>
  <c r="I1343" i="4"/>
  <c r="N1343" i="4" s="1"/>
  <c r="I1344" i="4"/>
  <c r="I1345" i="4"/>
  <c r="I1346" i="4"/>
  <c r="N1346" i="4" s="1"/>
  <c r="I1347" i="4"/>
  <c r="N1347" i="4" s="1"/>
  <c r="I1348" i="4"/>
  <c r="I1349" i="4"/>
  <c r="I1350" i="4"/>
  <c r="N1350" i="4" s="1"/>
  <c r="I1351" i="4"/>
  <c r="I1352" i="4"/>
  <c r="N1352" i="4" s="1"/>
  <c r="I1353" i="4"/>
  <c r="I1354" i="4"/>
  <c r="I1355" i="4"/>
  <c r="N1355" i="4" s="1"/>
  <c r="I1356" i="4"/>
  <c r="N1356" i="4" s="1"/>
  <c r="I1357" i="4"/>
  <c r="I1358" i="4"/>
  <c r="N1358" i="4" s="1"/>
  <c r="I1359" i="4"/>
  <c r="N1359" i="4" s="1"/>
  <c r="I1360" i="4"/>
  <c r="I1361" i="4"/>
  <c r="I1362" i="4"/>
  <c r="N1362" i="4" s="1"/>
  <c r="I1363" i="4"/>
  <c r="N1363" i="4" s="1"/>
  <c r="I1364" i="4"/>
  <c r="I1365" i="4"/>
  <c r="I1366" i="4"/>
  <c r="N1366" i="4" s="1"/>
  <c r="I1367" i="4"/>
  <c r="J1367" i="4" s="1"/>
  <c r="I1368" i="4"/>
  <c r="N1368" i="4" s="1"/>
  <c r="I1369" i="4"/>
  <c r="I1370" i="4"/>
  <c r="I1371" i="4"/>
  <c r="N1371" i="4" s="1"/>
  <c r="I1372" i="4"/>
  <c r="N1372" i="4" s="1"/>
  <c r="I1373" i="4"/>
  <c r="I1374" i="4"/>
  <c r="N1374" i="4" s="1"/>
  <c r="I1375" i="4"/>
  <c r="N1375" i="4" s="1"/>
  <c r="I1376" i="4"/>
  <c r="I1377" i="4"/>
  <c r="I1378" i="4"/>
  <c r="N1378" i="4" s="1"/>
  <c r="I1379" i="4"/>
  <c r="N1379" i="4" s="1"/>
  <c r="I1380" i="4"/>
  <c r="I1381" i="4"/>
  <c r="I1382" i="4"/>
  <c r="N1382" i="4" s="1"/>
  <c r="I1383" i="4"/>
  <c r="J1383" i="4" s="1"/>
  <c r="I1384" i="4"/>
  <c r="N1384" i="4" s="1"/>
  <c r="I1385" i="4"/>
  <c r="I1386" i="4"/>
  <c r="I1387" i="4"/>
  <c r="N1387" i="4" s="1"/>
  <c r="I1388" i="4"/>
  <c r="N1388" i="4" s="1"/>
  <c r="I1389" i="4"/>
  <c r="I1390" i="4"/>
  <c r="N1390" i="4" s="1"/>
  <c r="I1391" i="4"/>
  <c r="N1391" i="4" s="1"/>
  <c r="I1392" i="4"/>
  <c r="I1393" i="4"/>
  <c r="I1394" i="4"/>
  <c r="N1394" i="4" s="1"/>
  <c r="I1395" i="4"/>
  <c r="N1395" i="4" s="1"/>
  <c r="I1396" i="4"/>
  <c r="I1397" i="4"/>
  <c r="I1398" i="4"/>
  <c r="N1398" i="4" s="1"/>
  <c r="I1399" i="4"/>
  <c r="I1400" i="4"/>
  <c r="N1400" i="4" s="1"/>
  <c r="I1401" i="4"/>
  <c r="I1402" i="4"/>
  <c r="I1403" i="4"/>
  <c r="N1403" i="4" s="1"/>
  <c r="I1404" i="4"/>
  <c r="N1404" i="4" s="1"/>
  <c r="I1405" i="4"/>
  <c r="I1406" i="4"/>
  <c r="N1406" i="4" s="1"/>
  <c r="I1407" i="4"/>
  <c r="N1407" i="4" s="1"/>
  <c r="I1408" i="4"/>
  <c r="I1409" i="4"/>
  <c r="I1410" i="4"/>
  <c r="N1410" i="4" s="1"/>
  <c r="I1411" i="4"/>
  <c r="N1411" i="4" s="1"/>
  <c r="I1412" i="4"/>
  <c r="I1413" i="4"/>
  <c r="I1414" i="4"/>
  <c r="N1414" i="4" s="1"/>
  <c r="I1415" i="4"/>
  <c r="J1415" i="4" s="1"/>
  <c r="I1416" i="4"/>
  <c r="N1416" i="4" s="1"/>
  <c r="I1417" i="4"/>
  <c r="I1418" i="4"/>
  <c r="I1419" i="4"/>
  <c r="N1419" i="4" s="1"/>
  <c r="I1420" i="4"/>
  <c r="N1420" i="4" s="1"/>
  <c r="I1421" i="4"/>
  <c r="I1422" i="4"/>
  <c r="N1422" i="4" s="1"/>
  <c r="I1423" i="4"/>
  <c r="N1423" i="4" s="1"/>
  <c r="I1424" i="4"/>
  <c r="I1425" i="4"/>
  <c r="I1426" i="4"/>
  <c r="N1426" i="4" s="1"/>
  <c r="I1427" i="4"/>
  <c r="N1427" i="4" s="1"/>
  <c r="I1428" i="4"/>
  <c r="I1429" i="4"/>
  <c r="I1430" i="4"/>
  <c r="N1430" i="4" s="1"/>
  <c r="I1431" i="4"/>
  <c r="J1431" i="4" s="1"/>
  <c r="I1432" i="4"/>
  <c r="N1432" i="4" s="1"/>
  <c r="I1433" i="4"/>
  <c r="I1434" i="4"/>
  <c r="I1435" i="4"/>
  <c r="N1435" i="4" s="1"/>
  <c r="I1436" i="4"/>
  <c r="N1436" i="4" s="1"/>
  <c r="I1437" i="4"/>
  <c r="I1438" i="4"/>
  <c r="N1438" i="4" s="1"/>
  <c r="I1439" i="4"/>
  <c r="N1439" i="4" s="1"/>
  <c r="I1440" i="4"/>
  <c r="I1441" i="4"/>
  <c r="I1442" i="4"/>
  <c r="N1442" i="4" s="1"/>
  <c r="I1443" i="4"/>
  <c r="N1443" i="4" s="1"/>
  <c r="I1444" i="4"/>
  <c r="I1445" i="4"/>
  <c r="I1446" i="4"/>
  <c r="N1446" i="4" s="1"/>
  <c r="I1447" i="4"/>
  <c r="I1448" i="4"/>
  <c r="N1448" i="4" s="1"/>
  <c r="I1449" i="4"/>
  <c r="I1450" i="4"/>
  <c r="I1451" i="4"/>
  <c r="N1451" i="4" s="1"/>
  <c r="I1452" i="4"/>
  <c r="N1452" i="4" s="1"/>
  <c r="I1453" i="4"/>
  <c r="I1454" i="4"/>
  <c r="N1454" i="4" s="1"/>
  <c r="I1455" i="4"/>
  <c r="N1455" i="4" s="1"/>
  <c r="I1456" i="4"/>
  <c r="I1457" i="4"/>
  <c r="I1458" i="4"/>
  <c r="N1458" i="4" s="1"/>
  <c r="I1459" i="4"/>
  <c r="N1459" i="4" s="1"/>
  <c r="I1460" i="4"/>
  <c r="I1461" i="4"/>
  <c r="I1462" i="4"/>
  <c r="N1462" i="4" s="1"/>
  <c r="I1463" i="4"/>
  <c r="J1463" i="4" s="1"/>
  <c r="I1464" i="4"/>
  <c r="N1464" i="4" s="1"/>
  <c r="I1465" i="4"/>
  <c r="I1466" i="4"/>
  <c r="I1467" i="4"/>
  <c r="N1467" i="4" s="1"/>
  <c r="I1468" i="4"/>
  <c r="N1468" i="4" s="1"/>
  <c r="I1469" i="4"/>
  <c r="I1470" i="4"/>
  <c r="N1470" i="4" s="1"/>
  <c r="I1471" i="4"/>
  <c r="N1471" i="4" s="1"/>
  <c r="I1472" i="4"/>
  <c r="I1473" i="4"/>
  <c r="I1474" i="4"/>
  <c r="N1474" i="4" s="1"/>
  <c r="I1475" i="4"/>
  <c r="N1475" i="4" s="1"/>
  <c r="I1476" i="4"/>
  <c r="I1477" i="4"/>
  <c r="I1478" i="4"/>
  <c r="N1478" i="4" s="1"/>
  <c r="I1479" i="4"/>
  <c r="J1479" i="4" s="1"/>
  <c r="I1480" i="4"/>
  <c r="N1480" i="4" s="1"/>
  <c r="I1481" i="4"/>
  <c r="I1482" i="4"/>
  <c r="I1483" i="4"/>
  <c r="N1483" i="4" s="1"/>
  <c r="I1484" i="4"/>
  <c r="N1484" i="4" s="1"/>
  <c r="I1485" i="4"/>
  <c r="N1485" i="4" s="1"/>
  <c r="I1486" i="4"/>
  <c r="N1486" i="4" s="1"/>
  <c r="I1487" i="4"/>
  <c r="N1487" i="4" s="1"/>
  <c r="I1488" i="4"/>
  <c r="N1488" i="4" s="1"/>
  <c r="I1489" i="4"/>
  <c r="N1489" i="4" s="1"/>
  <c r="I1490" i="4"/>
  <c r="N1490" i="4" s="1"/>
  <c r="I1491" i="4"/>
  <c r="N1491" i="4" s="1"/>
  <c r="I1492" i="4"/>
  <c r="N1492" i="4" s="1"/>
  <c r="I1493" i="4"/>
  <c r="N1493" i="4" s="1"/>
  <c r="I1494" i="4"/>
  <c r="N1494" i="4" s="1"/>
  <c r="I1495" i="4"/>
  <c r="N1495" i="4" s="1"/>
  <c r="I1496" i="4"/>
  <c r="N1496" i="4" s="1"/>
  <c r="I1497" i="4"/>
  <c r="N1497" i="4" s="1"/>
  <c r="I1498" i="4"/>
  <c r="I1499" i="4"/>
  <c r="N1499" i="4" s="1"/>
  <c r="I1500" i="4"/>
  <c r="N1500" i="4" s="1"/>
  <c r="I1501" i="4"/>
  <c r="N1501" i="4" s="1"/>
  <c r="I1502" i="4"/>
  <c r="N1502" i="4" s="1"/>
  <c r="I1503" i="4"/>
  <c r="N1503" i="4" s="1"/>
  <c r="I1504" i="4"/>
  <c r="N1504" i="4" s="1"/>
  <c r="I1505" i="4"/>
  <c r="N1505" i="4" s="1"/>
  <c r="I1506" i="4"/>
  <c r="N1506" i="4" s="1"/>
  <c r="I1507" i="4"/>
  <c r="N1507" i="4" s="1"/>
  <c r="I1508" i="4"/>
  <c r="N1508" i="4" s="1"/>
  <c r="I1509" i="4"/>
  <c r="N1509" i="4" s="1"/>
  <c r="I1510" i="4"/>
  <c r="N1510" i="4" s="1"/>
  <c r="I1511" i="4"/>
  <c r="N1511" i="4" s="1"/>
  <c r="I1512" i="4"/>
  <c r="N1512" i="4" s="1"/>
  <c r="I1513" i="4"/>
  <c r="N1513" i="4" s="1"/>
  <c r="I1514" i="4"/>
  <c r="I1515" i="4"/>
  <c r="N1515" i="4" s="1"/>
  <c r="I1516" i="4"/>
  <c r="N1516" i="4" s="1"/>
  <c r="I1517" i="4"/>
  <c r="N1517" i="4" s="1"/>
  <c r="I1518" i="4"/>
  <c r="N1518" i="4" s="1"/>
  <c r="I1519" i="4"/>
  <c r="N1519" i="4" s="1"/>
  <c r="I1520" i="4"/>
  <c r="N1520" i="4" s="1"/>
  <c r="I1521" i="4"/>
  <c r="N1521" i="4" s="1"/>
  <c r="I1522" i="4"/>
  <c r="N1522" i="4" s="1"/>
  <c r="I1523" i="4"/>
  <c r="N1523" i="4" s="1"/>
  <c r="I1524" i="4"/>
  <c r="N1524" i="4" s="1"/>
  <c r="I1525" i="4"/>
  <c r="N1525" i="4" s="1"/>
  <c r="I1526" i="4"/>
  <c r="N1526" i="4" s="1"/>
  <c r="I1527" i="4"/>
  <c r="N1527" i="4" s="1"/>
  <c r="I1528" i="4"/>
  <c r="N1528" i="4" s="1"/>
  <c r="I1529" i="4"/>
  <c r="N1529" i="4" s="1"/>
  <c r="I1530" i="4"/>
  <c r="I1531" i="4"/>
  <c r="N1531" i="4" s="1"/>
  <c r="I1532" i="4"/>
  <c r="N1532" i="4" s="1"/>
  <c r="I1533" i="4"/>
  <c r="N1533" i="4" s="1"/>
  <c r="I1534" i="4"/>
  <c r="N1534" i="4" s="1"/>
  <c r="I1535" i="4"/>
  <c r="N1535" i="4" s="1"/>
  <c r="I1536" i="4"/>
  <c r="N1536" i="4" s="1"/>
  <c r="I1537" i="4"/>
  <c r="N1537" i="4" s="1"/>
  <c r="I1538" i="4"/>
  <c r="N1538" i="4" s="1"/>
  <c r="I1539" i="4"/>
  <c r="N1539" i="4" s="1"/>
  <c r="I1540" i="4"/>
  <c r="N1540" i="4" s="1"/>
  <c r="I1541" i="4"/>
  <c r="N1541" i="4" s="1"/>
  <c r="I1542" i="4"/>
  <c r="N1542" i="4" s="1"/>
  <c r="I9" i="4"/>
  <c r="N9" i="4" s="1"/>
  <c r="I8" i="4"/>
  <c r="I7" i="4"/>
  <c r="N7" i="4" s="1"/>
  <c r="I6" i="4"/>
  <c r="I5" i="4"/>
  <c r="N5" i="4" s="1"/>
  <c r="I4" i="4"/>
  <c r="N4" i="4" s="1"/>
  <c r="I3" i="4"/>
  <c r="N3" i="4" s="1"/>
  <c r="I2" i="4"/>
  <c r="J2" i="4" s="1"/>
  <c r="J951" i="4" l="1"/>
  <c r="J1447" i="4"/>
  <c r="J1399" i="4"/>
  <c r="J1351" i="4"/>
  <c r="L1351" i="4" s="1"/>
  <c r="J1303" i="4"/>
  <c r="K1303" i="4" s="1"/>
  <c r="J1255" i="4"/>
  <c r="J1207" i="4"/>
  <c r="J1159" i="4"/>
  <c r="L1159" i="4" s="1"/>
  <c r="J1111" i="4"/>
  <c r="K1111" i="4" s="1"/>
  <c r="J1063" i="4"/>
  <c r="K1063" i="4" s="1"/>
  <c r="J1015" i="4"/>
  <c r="L1015" i="4" s="1"/>
  <c r="J967" i="4"/>
  <c r="K967" i="4" s="1"/>
  <c r="J919" i="4"/>
  <c r="K919" i="4" s="1"/>
  <c r="J999" i="4"/>
  <c r="J6" i="4"/>
  <c r="J1531" i="4"/>
  <c r="K1531" i="4" s="1"/>
  <c r="J1515" i="4"/>
  <c r="L1515" i="4" s="1"/>
  <c r="J1498" i="4"/>
  <c r="L1498" i="4" s="1"/>
  <c r="J1482" i="4"/>
  <c r="N1476" i="4"/>
  <c r="J1476" i="4"/>
  <c r="N1472" i="4"/>
  <c r="J1472" i="4"/>
  <c r="L1472" i="4" s="1"/>
  <c r="J1467" i="4"/>
  <c r="L1467" i="4" s="1"/>
  <c r="N1460" i="4"/>
  <c r="J1460" i="4"/>
  <c r="N1456" i="4"/>
  <c r="J1456" i="4"/>
  <c r="K1456" i="4" s="1"/>
  <c r="J1450" i="4"/>
  <c r="N1444" i="4"/>
  <c r="J1444" i="4"/>
  <c r="N1440" i="4"/>
  <c r="J1440" i="4"/>
  <c r="L1440" i="4" s="1"/>
  <c r="J1434" i="4"/>
  <c r="L1434" i="4" s="1"/>
  <c r="N1428" i="4"/>
  <c r="J1428" i="4"/>
  <c r="N1424" i="4"/>
  <c r="J1424" i="4"/>
  <c r="L1424" i="4" s="1"/>
  <c r="J1418" i="4"/>
  <c r="N1412" i="4"/>
  <c r="J1412" i="4"/>
  <c r="N1408" i="4"/>
  <c r="J1408" i="4"/>
  <c r="L1408" i="4" s="1"/>
  <c r="J1402" i="4"/>
  <c r="L1402" i="4" s="1"/>
  <c r="N1396" i="4"/>
  <c r="J1396" i="4"/>
  <c r="N1392" i="4"/>
  <c r="J1392" i="4"/>
  <c r="K1392" i="4" s="1"/>
  <c r="J1386" i="4"/>
  <c r="L1386" i="4" s="1"/>
  <c r="N1380" i="4"/>
  <c r="J1380" i="4"/>
  <c r="N1376" i="4"/>
  <c r="J1376" i="4"/>
  <c r="L1376" i="4" s="1"/>
  <c r="J1370" i="4"/>
  <c r="N1364" i="4"/>
  <c r="J1364" i="4"/>
  <c r="N1360" i="4"/>
  <c r="J1360" i="4"/>
  <c r="K1360" i="4" s="1"/>
  <c r="J1354" i="4"/>
  <c r="L1354" i="4" s="1"/>
  <c r="N1348" i="4"/>
  <c r="J1348" i="4"/>
  <c r="N1344" i="4"/>
  <c r="J1344" i="4"/>
  <c r="L1344" i="4" s="1"/>
  <c r="J1339" i="4"/>
  <c r="K1339" i="4" s="1"/>
  <c r="N1332" i="4"/>
  <c r="J1332" i="4"/>
  <c r="N1328" i="4"/>
  <c r="J1328" i="4"/>
  <c r="K1328" i="4" s="1"/>
  <c r="J1323" i="4"/>
  <c r="K1323" i="4" s="1"/>
  <c r="N1316" i="4"/>
  <c r="J1316" i="4"/>
  <c r="N1312" i="4"/>
  <c r="J1312" i="4"/>
  <c r="L1312" i="4" s="1"/>
  <c r="J1307" i="4"/>
  <c r="N1300" i="4"/>
  <c r="J1300" i="4"/>
  <c r="N1296" i="4"/>
  <c r="J1296" i="4"/>
  <c r="K1296" i="4" s="1"/>
  <c r="J1290" i="4"/>
  <c r="N1284" i="4"/>
  <c r="J1284" i="4"/>
  <c r="N1280" i="4"/>
  <c r="J1280" i="4"/>
  <c r="L1280" i="4" s="1"/>
  <c r="J1274" i="4"/>
  <c r="L1274" i="4" s="1"/>
  <c r="N1268" i="4"/>
  <c r="J1268" i="4"/>
  <c r="N1264" i="4"/>
  <c r="J1264" i="4"/>
  <c r="K1264" i="4" s="1"/>
  <c r="J1258" i="4"/>
  <c r="K1258" i="4" s="1"/>
  <c r="N1252" i="4"/>
  <c r="J1252" i="4"/>
  <c r="N1248" i="4"/>
  <c r="J1248" i="4"/>
  <c r="L1248" i="4" s="1"/>
  <c r="J1242" i="4"/>
  <c r="L1242" i="4" s="1"/>
  <c r="N1236" i="4"/>
  <c r="J1236" i="4"/>
  <c r="N1232" i="4"/>
  <c r="J1232" i="4"/>
  <c r="L1232" i="4" s="1"/>
  <c r="J1226" i="4"/>
  <c r="N1220" i="4"/>
  <c r="J1220" i="4"/>
  <c r="N1216" i="4"/>
  <c r="J1216" i="4"/>
  <c r="L1216" i="4" s="1"/>
  <c r="J1210" i="4"/>
  <c r="L1210" i="4" s="1"/>
  <c r="N1204" i="4"/>
  <c r="J1204" i="4"/>
  <c r="N1200" i="4"/>
  <c r="J1200" i="4"/>
  <c r="L1200" i="4" s="1"/>
  <c r="J1194" i="4"/>
  <c r="L1194" i="4" s="1"/>
  <c r="N1188" i="4"/>
  <c r="J1188" i="4"/>
  <c r="N1184" i="4"/>
  <c r="J1184" i="4"/>
  <c r="L1184" i="4" s="1"/>
  <c r="J1178" i="4"/>
  <c r="L1178" i="4" s="1"/>
  <c r="N1172" i="4"/>
  <c r="J1172" i="4"/>
  <c r="N1168" i="4"/>
  <c r="J1168" i="4"/>
  <c r="K1168" i="4" s="1"/>
  <c r="J1162" i="4"/>
  <c r="K1162" i="4" s="1"/>
  <c r="N1156" i="4"/>
  <c r="J1156" i="4"/>
  <c r="N1152" i="4"/>
  <c r="J1152" i="4"/>
  <c r="L1152" i="4" s="1"/>
  <c r="J1146" i="4"/>
  <c r="L1146" i="4" s="1"/>
  <c r="N1140" i="4"/>
  <c r="J1140" i="4"/>
  <c r="N1136" i="4"/>
  <c r="J1136" i="4"/>
  <c r="K1136" i="4" s="1"/>
  <c r="J1131" i="4"/>
  <c r="K1131" i="4" s="1"/>
  <c r="N1124" i="4"/>
  <c r="J1124" i="4"/>
  <c r="N1120" i="4"/>
  <c r="J1120" i="4"/>
  <c r="L1120" i="4" s="1"/>
  <c r="J1115" i="4"/>
  <c r="N1108" i="4"/>
  <c r="J1108" i="4"/>
  <c r="N1104" i="4"/>
  <c r="J1104" i="4"/>
  <c r="K1104" i="4" s="1"/>
  <c r="J1099" i="4"/>
  <c r="N1092" i="4"/>
  <c r="J1092" i="4"/>
  <c r="N1088" i="4"/>
  <c r="J1088" i="4"/>
  <c r="L1088" i="4" s="1"/>
  <c r="J1076" i="4"/>
  <c r="J1060" i="4"/>
  <c r="J1044" i="4"/>
  <c r="J1028" i="4"/>
  <c r="J1012" i="4"/>
  <c r="J996" i="4"/>
  <c r="J980" i="4"/>
  <c r="J964" i="4"/>
  <c r="J948" i="4"/>
  <c r="J932" i="4"/>
  <c r="J916" i="4"/>
  <c r="J884" i="4"/>
  <c r="J852" i="4"/>
  <c r="J820" i="4"/>
  <c r="J788" i="4"/>
  <c r="J756" i="4"/>
  <c r="J724" i="4"/>
  <c r="J692" i="4"/>
  <c r="J660" i="4"/>
  <c r="L660" i="4" s="1"/>
  <c r="J628" i="4"/>
  <c r="L628" i="4" s="1"/>
  <c r="J596" i="4"/>
  <c r="L596" i="4" s="1"/>
  <c r="J564" i="4"/>
  <c r="L564" i="4" s="1"/>
  <c r="J532" i="4"/>
  <c r="L532" i="4" s="1"/>
  <c r="J500" i="4"/>
  <c r="L500" i="4" s="1"/>
  <c r="J468" i="4"/>
  <c r="L468" i="4" s="1"/>
  <c r="J436" i="4"/>
  <c r="L436" i="4" s="1"/>
  <c r="J404" i="4"/>
  <c r="L404" i="4" s="1"/>
  <c r="J372" i="4"/>
  <c r="L372" i="4" s="1"/>
  <c r="J340" i="4"/>
  <c r="L340" i="4" s="1"/>
  <c r="J308" i="4"/>
  <c r="L308" i="4" s="1"/>
  <c r="J276" i="4"/>
  <c r="L276" i="4" s="1"/>
  <c r="J244" i="4"/>
  <c r="L244" i="4" s="1"/>
  <c r="J196" i="4"/>
  <c r="L196" i="4" s="1"/>
  <c r="J132" i="4"/>
  <c r="L132" i="4" s="1"/>
  <c r="J68" i="4"/>
  <c r="L68" i="4" s="1"/>
  <c r="J1083" i="4"/>
  <c r="K1083" i="4" s="1"/>
  <c r="J1067" i="4"/>
  <c r="K1067" i="4" s="1"/>
  <c r="J1050" i="4"/>
  <c r="L1050" i="4" s="1"/>
  <c r="J1035" i="4"/>
  <c r="J1019" i="4"/>
  <c r="J971" i="4"/>
  <c r="L971" i="4" s="1"/>
  <c r="J955" i="4"/>
  <c r="L955" i="4" s="1"/>
  <c r="J923" i="4"/>
  <c r="K923" i="4" s="1"/>
  <c r="N912" i="4"/>
  <c r="J912" i="4"/>
  <c r="L912" i="4" s="1"/>
  <c r="J907" i="4"/>
  <c r="K907" i="4" s="1"/>
  <c r="J898" i="4"/>
  <c r="K898" i="4" s="1"/>
  <c r="N892" i="4"/>
  <c r="J892" i="4"/>
  <c r="J890" i="4"/>
  <c r="L890" i="4" s="1"/>
  <c r="J882" i="4"/>
  <c r="J879" i="4"/>
  <c r="N876" i="4"/>
  <c r="J876" i="4"/>
  <c r="J874" i="4"/>
  <c r="L874" i="4" s="1"/>
  <c r="J866" i="4"/>
  <c r="N860" i="4"/>
  <c r="J860" i="4"/>
  <c r="J858" i="4"/>
  <c r="L858" i="4" s="1"/>
  <c r="J850" i="4"/>
  <c r="K850" i="4" s="1"/>
  <c r="N844" i="4"/>
  <c r="J844" i="4"/>
  <c r="J842" i="4"/>
  <c r="J834" i="4"/>
  <c r="N828" i="4"/>
  <c r="J828" i="4"/>
  <c r="J826" i="4"/>
  <c r="L826" i="4" s="1"/>
  <c r="J818" i="4"/>
  <c r="J815" i="4"/>
  <c r="L815" i="4" s="1"/>
  <c r="N812" i="4"/>
  <c r="J812" i="4"/>
  <c r="J810" i="4"/>
  <c r="L810" i="4" s="1"/>
  <c r="J802" i="4"/>
  <c r="L802" i="4" s="1"/>
  <c r="J799" i="4"/>
  <c r="L799" i="4" s="1"/>
  <c r="N796" i="4"/>
  <c r="J796" i="4"/>
  <c r="J794" i="4"/>
  <c r="L794" i="4" s="1"/>
  <c r="J786" i="4"/>
  <c r="L786" i="4" s="1"/>
  <c r="J783" i="4"/>
  <c r="K783" i="4" s="1"/>
  <c r="N780" i="4"/>
  <c r="J780" i="4"/>
  <c r="J778" i="4"/>
  <c r="L778" i="4" s="1"/>
  <c r="J770" i="4"/>
  <c r="K770" i="4" s="1"/>
  <c r="N764" i="4"/>
  <c r="J764" i="4"/>
  <c r="J762" i="4"/>
  <c r="L762" i="4" s="1"/>
  <c r="J754" i="4"/>
  <c r="J751" i="4"/>
  <c r="N748" i="4"/>
  <c r="J748" i="4"/>
  <c r="J746" i="4"/>
  <c r="K746" i="4" s="1"/>
  <c r="J738" i="4"/>
  <c r="N732" i="4"/>
  <c r="J732" i="4"/>
  <c r="J730" i="4"/>
  <c r="J722" i="4"/>
  <c r="L722" i="4" s="1"/>
  <c r="N716" i="4"/>
  <c r="J716" i="4"/>
  <c r="J714" i="4"/>
  <c r="J706" i="4"/>
  <c r="N700" i="4"/>
  <c r="J700" i="4"/>
  <c r="J698" i="4"/>
  <c r="L698" i="4" s="1"/>
  <c r="J690" i="4"/>
  <c r="J687" i="4"/>
  <c r="L687" i="4" s="1"/>
  <c r="N684" i="4"/>
  <c r="J684" i="4"/>
  <c r="J682" i="4"/>
  <c r="L682" i="4" s="1"/>
  <c r="J674" i="4"/>
  <c r="L674" i="4" s="1"/>
  <c r="N668" i="4"/>
  <c r="J668" i="4"/>
  <c r="J666" i="4"/>
  <c r="J658" i="4"/>
  <c r="L658" i="4" s="1"/>
  <c r="N652" i="4"/>
  <c r="J652" i="4"/>
  <c r="K652" i="4" s="1"/>
  <c r="J650" i="4"/>
  <c r="L650" i="4" s="1"/>
  <c r="J647" i="4"/>
  <c r="K647" i="4" s="1"/>
  <c r="J642" i="4"/>
  <c r="N636" i="4"/>
  <c r="J636" i="4"/>
  <c r="K636" i="4" s="1"/>
  <c r="J634" i="4"/>
  <c r="L634" i="4" s="1"/>
  <c r="J623" i="4"/>
  <c r="L623" i="4" s="1"/>
  <c r="N620" i="4"/>
  <c r="J620" i="4"/>
  <c r="K620" i="4" s="1"/>
  <c r="N604" i="4"/>
  <c r="J604" i="4"/>
  <c r="K604" i="4" s="1"/>
  <c r="J591" i="4"/>
  <c r="N588" i="4"/>
  <c r="J588" i="4"/>
  <c r="K588" i="4" s="1"/>
  <c r="N572" i="4"/>
  <c r="J572" i="4"/>
  <c r="K572" i="4" s="1"/>
  <c r="J567" i="4"/>
  <c r="L567" i="4" s="1"/>
  <c r="N556" i="4"/>
  <c r="J556" i="4"/>
  <c r="K556" i="4" s="1"/>
  <c r="J543" i="4"/>
  <c r="L543" i="4" s="1"/>
  <c r="N540" i="4"/>
  <c r="J540" i="4"/>
  <c r="K540" i="4" s="1"/>
  <c r="N524" i="4"/>
  <c r="J524" i="4"/>
  <c r="K524" i="4" s="1"/>
  <c r="N508" i="4"/>
  <c r="J508" i="4"/>
  <c r="K508" i="4" s="1"/>
  <c r="J503" i="4"/>
  <c r="K503" i="4" s="1"/>
  <c r="J495" i="4"/>
  <c r="L495" i="4" s="1"/>
  <c r="N492" i="4"/>
  <c r="J492" i="4"/>
  <c r="K492" i="4" s="1"/>
  <c r="N476" i="4"/>
  <c r="J476" i="4"/>
  <c r="K476" i="4" s="1"/>
  <c r="N460" i="4"/>
  <c r="J460" i="4"/>
  <c r="K460" i="4" s="1"/>
  <c r="J455" i="4"/>
  <c r="L455" i="4" s="1"/>
  <c r="N444" i="4"/>
  <c r="J444" i="4"/>
  <c r="K444" i="4" s="1"/>
  <c r="J431" i="4"/>
  <c r="L431" i="4" s="1"/>
  <c r="N428" i="4"/>
  <c r="J428" i="4"/>
  <c r="K428" i="4" s="1"/>
  <c r="N412" i="4"/>
  <c r="J412" i="4"/>
  <c r="K412" i="4" s="1"/>
  <c r="J399" i="4"/>
  <c r="K399" i="4" s="1"/>
  <c r="N396" i="4"/>
  <c r="J396" i="4"/>
  <c r="K396" i="4" s="1"/>
  <c r="N380" i="4"/>
  <c r="J380" i="4"/>
  <c r="K380" i="4" s="1"/>
  <c r="J375" i="4"/>
  <c r="L375" i="4" s="1"/>
  <c r="N364" i="4"/>
  <c r="J364" i="4"/>
  <c r="K364" i="4" s="1"/>
  <c r="N348" i="4"/>
  <c r="J348" i="4"/>
  <c r="K348" i="4" s="1"/>
  <c r="N332" i="4"/>
  <c r="J332" i="4"/>
  <c r="K332" i="4" s="1"/>
  <c r="J327" i="4"/>
  <c r="L327" i="4" s="1"/>
  <c r="N316" i="4"/>
  <c r="J316" i="4"/>
  <c r="K316" i="4" s="1"/>
  <c r="N300" i="4"/>
  <c r="J300" i="4"/>
  <c r="K300" i="4" s="1"/>
  <c r="J295" i="4"/>
  <c r="L295" i="4" s="1"/>
  <c r="J287" i="4"/>
  <c r="N284" i="4"/>
  <c r="J284" i="4"/>
  <c r="K284" i="4" s="1"/>
  <c r="N268" i="4"/>
  <c r="J268" i="4"/>
  <c r="K268" i="4" s="1"/>
  <c r="J263" i="4"/>
  <c r="L263" i="4" s="1"/>
  <c r="J255" i="4"/>
  <c r="L255" i="4" s="1"/>
  <c r="N252" i="4"/>
  <c r="J252" i="4"/>
  <c r="K252" i="4" s="1"/>
  <c r="N236" i="4"/>
  <c r="J236" i="4"/>
  <c r="K236" i="4" s="1"/>
  <c r="N220" i="4"/>
  <c r="J220" i="4"/>
  <c r="K220" i="4" s="1"/>
  <c r="N212" i="4"/>
  <c r="J212" i="4"/>
  <c r="L212" i="4" s="1"/>
  <c r="J207" i="4"/>
  <c r="L207" i="4" s="1"/>
  <c r="N204" i="4"/>
  <c r="J204" i="4"/>
  <c r="K204" i="4" s="1"/>
  <c r="N188" i="4"/>
  <c r="J188" i="4"/>
  <c r="K188" i="4" s="1"/>
  <c r="J183" i="4"/>
  <c r="L183" i="4" s="1"/>
  <c r="N180" i="4"/>
  <c r="J180" i="4"/>
  <c r="L180" i="4" s="1"/>
  <c r="N172" i="4"/>
  <c r="J172" i="4"/>
  <c r="K172" i="4" s="1"/>
  <c r="J159" i="4"/>
  <c r="L159" i="4" s="1"/>
  <c r="N156" i="4"/>
  <c r="J156" i="4"/>
  <c r="K156" i="4" s="1"/>
  <c r="N148" i="4"/>
  <c r="J148" i="4"/>
  <c r="L148" i="4" s="1"/>
  <c r="N140" i="4"/>
  <c r="J140" i="4"/>
  <c r="K140" i="4" s="1"/>
  <c r="N124" i="4"/>
  <c r="J124" i="4"/>
  <c r="K124" i="4" s="1"/>
  <c r="N116" i="4"/>
  <c r="J116" i="4"/>
  <c r="L116" i="4" s="1"/>
  <c r="N108" i="4"/>
  <c r="J108" i="4"/>
  <c r="K108" i="4" s="1"/>
  <c r="N92" i="4"/>
  <c r="J92" i="4"/>
  <c r="K92" i="4" s="1"/>
  <c r="N84" i="4"/>
  <c r="J84" i="4"/>
  <c r="L84" i="4" s="1"/>
  <c r="J79" i="4"/>
  <c r="L79" i="4" s="1"/>
  <c r="N76" i="4"/>
  <c r="J76" i="4"/>
  <c r="K76" i="4" s="1"/>
  <c r="N60" i="4"/>
  <c r="J60" i="4"/>
  <c r="K60" i="4" s="1"/>
  <c r="N52" i="4"/>
  <c r="J52" i="4"/>
  <c r="L52" i="4" s="1"/>
  <c r="N44" i="4"/>
  <c r="J44" i="4"/>
  <c r="K44" i="4" s="1"/>
  <c r="J39" i="4"/>
  <c r="K39" i="4" s="1"/>
  <c r="N28" i="4"/>
  <c r="J28" i="4"/>
  <c r="K28" i="4" s="1"/>
  <c r="N20" i="4"/>
  <c r="J20" i="4"/>
  <c r="L20" i="4" s="1"/>
  <c r="J15" i="4"/>
  <c r="L15" i="4" s="1"/>
  <c r="N12" i="4"/>
  <c r="J12" i="4"/>
  <c r="K12" i="4" s="1"/>
  <c r="J1072" i="4"/>
  <c r="L1072" i="4" s="1"/>
  <c r="J1056" i="4"/>
  <c r="L1056" i="4" s="1"/>
  <c r="J1040" i="4"/>
  <c r="K1040" i="4" s="1"/>
  <c r="J1024" i="4"/>
  <c r="L1024" i="4" s="1"/>
  <c r="J1008" i="4"/>
  <c r="K1008" i="4" s="1"/>
  <c r="J992" i="4"/>
  <c r="L992" i="4" s="1"/>
  <c r="J976" i="4"/>
  <c r="K976" i="4" s="1"/>
  <c r="J960" i="4"/>
  <c r="L960" i="4" s="1"/>
  <c r="J944" i="4"/>
  <c r="K944" i="4" s="1"/>
  <c r="J928" i="4"/>
  <c r="L928" i="4" s="1"/>
  <c r="J900" i="4"/>
  <c r="J868" i="4"/>
  <c r="J836" i="4"/>
  <c r="J804" i="4"/>
  <c r="J772" i="4"/>
  <c r="J740" i="4"/>
  <c r="J708" i="4"/>
  <c r="J676" i="4"/>
  <c r="J644" i="4"/>
  <c r="L644" i="4" s="1"/>
  <c r="J612" i="4"/>
  <c r="L612" i="4" s="1"/>
  <c r="J580" i="4"/>
  <c r="L580" i="4" s="1"/>
  <c r="J548" i="4"/>
  <c r="L548" i="4" s="1"/>
  <c r="J516" i="4"/>
  <c r="L516" i="4" s="1"/>
  <c r="J484" i="4"/>
  <c r="L484" i="4" s="1"/>
  <c r="J452" i="4"/>
  <c r="L452" i="4" s="1"/>
  <c r="J420" i="4"/>
  <c r="L420" i="4" s="1"/>
  <c r="J388" i="4"/>
  <c r="L388" i="4" s="1"/>
  <c r="J356" i="4"/>
  <c r="L356" i="4" s="1"/>
  <c r="J324" i="4"/>
  <c r="L324" i="4" s="1"/>
  <c r="J292" i="4"/>
  <c r="L292" i="4" s="1"/>
  <c r="J260" i="4"/>
  <c r="L260" i="4" s="1"/>
  <c r="J228" i="4"/>
  <c r="L228" i="4" s="1"/>
  <c r="J164" i="4"/>
  <c r="L164" i="4" s="1"/>
  <c r="J100" i="4"/>
  <c r="L100" i="4" s="1"/>
  <c r="J36" i="4"/>
  <c r="L36" i="4" s="1"/>
  <c r="L1531" i="4"/>
  <c r="L1482" i="4"/>
  <c r="K1482" i="4"/>
  <c r="L1450" i="4"/>
  <c r="K1450" i="4"/>
  <c r="L1370" i="4"/>
  <c r="K1370" i="4"/>
  <c r="K1242" i="4"/>
  <c r="L1226" i="4"/>
  <c r="K1226" i="4"/>
  <c r="K1115" i="4"/>
  <c r="L1115" i="4"/>
  <c r="K1035" i="4"/>
  <c r="L1035" i="4"/>
  <c r="K1019" i="4"/>
  <c r="L1019" i="4"/>
  <c r="K971" i="4"/>
  <c r="K955" i="4"/>
  <c r="L783" i="4"/>
  <c r="L647" i="4"/>
  <c r="L287" i="4"/>
  <c r="K287" i="4"/>
  <c r="K183" i="4"/>
  <c r="K1515" i="4"/>
  <c r="L1418" i="4"/>
  <c r="K1418" i="4"/>
  <c r="K1307" i="4"/>
  <c r="L1307" i="4"/>
  <c r="L1290" i="4"/>
  <c r="K1290" i="4"/>
  <c r="L1258" i="4"/>
  <c r="K1099" i="4"/>
  <c r="L1099" i="4"/>
  <c r="L879" i="4"/>
  <c r="K879" i="4"/>
  <c r="L751" i="4"/>
  <c r="K751" i="4"/>
  <c r="L591" i="4"/>
  <c r="K591" i="4"/>
  <c r="L503" i="4"/>
  <c r="K1479" i="4"/>
  <c r="L1479" i="4"/>
  <c r="K1463" i="4"/>
  <c r="L1463" i="4"/>
  <c r="K1447" i="4"/>
  <c r="L1447" i="4"/>
  <c r="K1431" i="4"/>
  <c r="L1431" i="4"/>
  <c r="K1415" i="4"/>
  <c r="L1415" i="4"/>
  <c r="K1399" i="4"/>
  <c r="L1399" i="4"/>
  <c r="K1383" i="4"/>
  <c r="L1383" i="4"/>
  <c r="K1367" i="4"/>
  <c r="L1367" i="4"/>
  <c r="K1351" i="4"/>
  <c r="K1335" i="4"/>
  <c r="L1335" i="4"/>
  <c r="K1319" i="4"/>
  <c r="L1319" i="4"/>
  <c r="K1287" i="4"/>
  <c r="L1287" i="4"/>
  <c r="K1271" i="4"/>
  <c r="L1271" i="4"/>
  <c r="K1255" i="4"/>
  <c r="L1255" i="4"/>
  <c r="K1239" i="4"/>
  <c r="L1239" i="4"/>
  <c r="K1223" i="4"/>
  <c r="L1223" i="4"/>
  <c r="K1207" i="4"/>
  <c r="L1207" i="4"/>
  <c r="K1191" i="4"/>
  <c r="L1191" i="4"/>
  <c r="K1175" i="4"/>
  <c r="L1175" i="4"/>
  <c r="K1159" i="4"/>
  <c r="K1143" i="4"/>
  <c r="L1143" i="4"/>
  <c r="K1127" i="4"/>
  <c r="L1127" i="4"/>
  <c r="K1095" i="4"/>
  <c r="L1095" i="4"/>
  <c r="K1079" i="4"/>
  <c r="L1079" i="4"/>
  <c r="K1047" i="4"/>
  <c r="L1047" i="4"/>
  <c r="K1031" i="4"/>
  <c r="L1031" i="4"/>
  <c r="K1015" i="4"/>
  <c r="K999" i="4"/>
  <c r="L999" i="4"/>
  <c r="K983" i="4"/>
  <c r="L983" i="4"/>
  <c r="K951" i="4"/>
  <c r="L951" i="4"/>
  <c r="K935" i="4"/>
  <c r="L935" i="4"/>
  <c r="K903" i="4"/>
  <c r="L903" i="4"/>
  <c r="L898" i="4"/>
  <c r="N894" i="4"/>
  <c r="J894" i="4"/>
  <c r="N886" i="4"/>
  <c r="J886" i="4"/>
  <c r="N870" i="4"/>
  <c r="J870" i="4"/>
  <c r="N838" i="4"/>
  <c r="J838" i="4"/>
  <c r="K826" i="4"/>
  <c r="L818" i="4"/>
  <c r="K818" i="4"/>
  <c r="N806" i="4"/>
  <c r="J806" i="4"/>
  <c r="N774" i="4"/>
  <c r="J774" i="4"/>
  <c r="L754" i="4"/>
  <c r="K754" i="4"/>
  <c r="N742" i="4"/>
  <c r="J742" i="4"/>
  <c r="N734" i="4"/>
  <c r="J734" i="4"/>
  <c r="N710" i="4"/>
  <c r="J710" i="4"/>
  <c r="L690" i="4"/>
  <c r="K690" i="4"/>
  <c r="N678" i="4"/>
  <c r="J678" i="4"/>
  <c r="L666" i="4"/>
  <c r="K666" i="4"/>
  <c r="L642" i="4"/>
  <c r="K642" i="4"/>
  <c r="N638" i="4"/>
  <c r="J638" i="4"/>
  <c r="N630" i="4"/>
  <c r="J630" i="4"/>
  <c r="N614" i="4"/>
  <c r="J614" i="4"/>
  <c r="N606" i="4"/>
  <c r="J606" i="4"/>
  <c r="N598" i="4"/>
  <c r="J598" i="4"/>
  <c r="N582" i="4"/>
  <c r="J582" i="4"/>
  <c r="N574" i="4"/>
  <c r="J574" i="4"/>
  <c r="N562" i="4"/>
  <c r="J562" i="4"/>
  <c r="N554" i="4"/>
  <c r="J554" i="4"/>
  <c r="N546" i="4"/>
  <c r="J546" i="4"/>
  <c r="N534" i="4"/>
  <c r="J534" i="4"/>
  <c r="N526" i="4"/>
  <c r="J526" i="4"/>
  <c r="N518" i="4"/>
  <c r="J518" i="4"/>
  <c r="N506" i="4"/>
  <c r="J506" i="4"/>
  <c r="N498" i="4"/>
  <c r="J498" i="4"/>
  <c r="N486" i="4"/>
  <c r="J486" i="4"/>
  <c r="N478" i="4"/>
  <c r="J478" i="4"/>
  <c r="N470" i="4"/>
  <c r="J470" i="4"/>
  <c r="N458" i="4"/>
  <c r="J458" i="4"/>
  <c r="N450" i="4"/>
  <c r="J450" i="4"/>
  <c r="N438" i="4"/>
  <c r="J438" i="4"/>
  <c r="N426" i="4"/>
  <c r="J426" i="4"/>
  <c r="N418" i="4"/>
  <c r="J418" i="4"/>
  <c r="N406" i="4"/>
  <c r="J406" i="4"/>
  <c r="N402" i="4"/>
  <c r="J402" i="4"/>
  <c r="N394" i="4"/>
  <c r="J394" i="4"/>
  <c r="N378" i="4"/>
  <c r="J378" i="4"/>
  <c r="N370" i="4"/>
  <c r="J370" i="4"/>
  <c r="N358" i="4"/>
  <c r="J358" i="4"/>
  <c r="N350" i="4"/>
  <c r="J350" i="4"/>
  <c r="N342" i="4"/>
  <c r="J342" i="4"/>
  <c r="N330" i="4"/>
  <c r="J330" i="4"/>
  <c r="N322" i="4"/>
  <c r="J322" i="4"/>
  <c r="N310" i="4"/>
  <c r="J310" i="4"/>
  <c r="N302" i="4"/>
  <c r="J302" i="4"/>
  <c r="N290" i="4"/>
  <c r="J290" i="4"/>
  <c r="N278" i="4"/>
  <c r="J278" i="4"/>
  <c r="N266" i="4"/>
  <c r="J266" i="4"/>
  <c r="N246" i="4"/>
  <c r="J246" i="4"/>
  <c r="N230" i="4"/>
  <c r="J230" i="4"/>
  <c r="N222" i="4"/>
  <c r="J222" i="4"/>
  <c r="N210" i="4"/>
  <c r="J210" i="4"/>
  <c r="N194" i="4"/>
  <c r="J194" i="4"/>
  <c r="N186" i="4"/>
  <c r="J186" i="4"/>
  <c r="N174" i="4"/>
  <c r="J174" i="4"/>
  <c r="N166" i="4"/>
  <c r="J166" i="4"/>
  <c r="N154" i="4"/>
  <c r="J154" i="4"/>
  <c r="N146" i="4"/>
  <c r="J146" i="4"/>
  <c r="N134" i="4"/>
  <c r="J134" i="4"/>
  <c r="N126" i="4"/>
  <c r="J126" i="4"/>
  <c r="N110" i="4"/>
  <c r="J110" i="4"/>
  <c r="N98" i="4"/>
  <c r="J98" i="4"/>
  <c r="N86" i="4"/>
  <c r="J86" i="4"/>
  <c r="N70" i="4"/>
  <c r="J70" i="4"/>
  <c r="N62" i="4"/>
  <c r="J62" i="4"/>
  <c r="N50" i="4"/>
  <c r="J50" i="4"/>
  <c r="N34" i="4"/>
  <c r="J34" i="4"/>
  <c r="N18" i="4"/>
  <c r="J18" i="4"/>
  <c r="J1539" i="4"/>
  <c r="J1527" i="4"/>
  <c r="J1519" i="4"/>
  <c r="J1507" i="4"/>
  <c r="J1491" i="4"/>
  <c r="J1478" i="4"/>
  <c r="J1446" i="4"/>
  <c r="J1414" i="4"/>
  <c r="J1398" i="4"/>
  <c r="J1382" i="4"/>
  <c r="J1366" i="4"/>
  <c r="J1318" i="4"/>
  <c r="J1302" i="4"/>
  <c r="J1254" i="4"/>
  <c r="J1163" i="4"/>
  <c r="J1147" i="4"/>
  <c r="J1126" i="4"/>
  <c r="J1110" i="4"/>
  <c r="J1078" i="4"/>
  <c r="J1030" i="4"/>
  <c r="J1014" i="4"/>
  <c r="J1003" i="4"/>
  <c r="J987" i="4"/>
  <c r="J966" i="4"/>
  <c r="J950" i="4"/>
  <c r="J939" i="4"/>
  <c r="J902" i="4"/>
  <c r="J871" i="4"/>
  <c r="J839" i="4"/>
  <c r="J775" i="4"/>
  <c r="J735" i="4"/>
  <c r="J711" i="4"/>
  <c r="J599" i="4"/>
  <c r="J575" i="4"/>
  <c r="J519" i="4"/>
  <c r="J479" i="4"/>
  <c r="J351" i="4"/>
  <c r="J311" i="4"/>
  <c r="J231" i="4"/>
  <c r="J135" i="4"/>
  <c r="J111" i="4"/>
  <c r="J87" i="4"/>
  <c r="J63" i="4"/>
  <c r="L944" i="4"/>
  <c r="J1039" i="4"/>
  <c r="J1034" i="4"/>
  <c r="J1023" i="4"/>
  <c r="J1018" i="4"/>
  <c r="J1007" i="4"/>
  <c r="J1002" i="4"/>
  <c r="J991" i="4"/>
  <c r="J986" i="4"/>
  <c r="J975" i="4"/>
  <c r="J970" i="4"/>
  <c r="J959" i="4"/>
  <c r="J954" i="4"/>
  <c r="J943" i="4"/>
  <c r="J938" i="4"/>
  <c r="J927" i="4"/>
  <c r="J922" i="4"/>
  <c r="J911" i="4"/>
  <c r="J906" i="4"/>
  <c r="K580" i="4"/>
  <c r="K548" i="4"/>
  <c r="K164" i="4"/>
  <c r="K100" i="4"/>
  <c r="L620" i="4"/>
  <c r="L604" i="4"/>
  <c r="L540" i="4"/>
  <c r="L524" i="4"/>
  <c r="L476" i="4"/>
  <c r="L396" i="4"/>
  <c r="L380" i="4"/>
  <c r="L364" i="4"/>
  <c r="L316" i="4"/>
  <c r="L300" i="4"/>
  <c r="L284" i="4"/>
  <c r="L252" i="4"/>
  <c r="L236" i="4"/>
  <c r="L220" i="4"/>
  <c r="L188" i="4"/>
  <c r="L172" i="4"/>
  <c r="L140" i="4"/>
  <c r="L76" i="4"/>
  <c r="L60" i="4"/>
  <c r="L12" i="4"/>
  <c r="N1530" i="4"/>
  <c r="N1514" i="4"/>
  <c r="N1498" i="4"/>
  <c r="N1482" i="4"/>
  <c r="N1466" i="4"/>
  <c r="N1450" i="4"/>
  <c r="N1434" i="4"/>
  <c r="N1418" i="4"/>
  <c r="N1402" i="4"/>
  <c r="N1386" i="4"/>
  <c r="N1370" i="4"/>
  <c r="N1354" i="4"/>
  <c r="N1338" i="4"/>
  <c r="N1322" i="4"/>
  <c r="N1306" i="4"/>
  <c r="N1290" i="4"/>
  <c r="N1274" i="4"/>
  <c r="N1258" i="4"/>
  <c r="N1242" i="4"/>
  <c r="N1226" i="4"/>
  <c r="N1210" i="4"/>
  <c r="N1194" i="4"/>
  <c r="N1178" i="4"/>
  <c r="N1162" i="4"/>
  <c r="N1146" i="4"/>
  <c r="N1130" i="4"/>
  <c r="N1114" i="4"/>
  <c r="N1098" i="4"/>
  <c r="N1082" i="4"/>
  <c r="N1066" i="4"/>
  <c r="N1050" i="4"/>
  <c r="N1034" i="4"/>
  <c r="N1018" i="4"/>
  <c r="N970" i="4"/>
  <c r="N954" i="4"/>
  <c r="N922" i="4"/>
  <c r="N906" i="4"/>
  <c r="N890" i="4"/>
  <c r="N874" i="4"/>
  <c r="N858" i="4"/>
  <c r="N842" i="4"/>
  <c r="N826" i="4"/>
  <c r="N810" i="4"/>
  <c r="N794" i="4"/>
  <c r="N778" i="4"/>
  <c r="N762" i="4"/>
  <c r="N746" i="4"/>
  <c r="N730" i="4"/>
  <c r="N714" i="4"/>
  <c r="N698" i="4"/>
  <c r="N682" i="4"/>
  <c r="N666" i="4"/>
  <c r="N650" i="4"/>
  <c r="N634" i="4"/>
  <c r="L882" i="4"/>
  <c r="K882" i="4"/>
  <c r="K874" i="4"/>
  <c r="L866" i="4"/>
  <c r="K866" i="4"/>
  <c r="N862" i="4"/>
  <c r="J862" i="4"/>
  <c r="N854" i="4"/>
  <c r="J854" i="4"/>
  <c r="N846" i="4"/>
  <c r="J846" i="4"/>
  <c r="L834" i="4"/>
  <c r="K834" i="4"/>
  <c r="N830" i="4"/>
  <c r="J830" i="4"/>
  <c r="N822" i="4"/>
  <c r="J822" i="4"/>
  <c r="N798" i="4"/>
  <c r="J798" i="4"/>
  <c r="N790" i="4"/>
  <c r="J790" i="4"/>
  <c r="N766" i="4"/>
  <c r="J766" i="4"/>
  <c r="N758" i="4"/>
  <c r="J758" i="4"/>
  <c r="N750" i="4"/>
  <c r="J750" i="4"/>
  <c r="L738" i="4"/>
  <c r="K738" i="4"/>
  <c r="L730" i="4"/>
  <c r="K730" i="4"/>
  <c r="N726" i="4"/>
  <c r="J726" i="4"/>
  <c r="N718" i="4"/>
  <c r="J718" i="4"/>
  <c r="L706" i="4"/>
  <c r="K706" i="4"/>
  <c r="N702" i="4"/>
  <c r="J702" i="4"/>
  <c r="N694" i="4"/>
  <c r="J694" i="4"/>
  <c r="N686" i="4"/>
  <c r="J686" i="4"/>
  <c r="N670" i="4"/>
  <c r="J670" i="4"/>
  <c r="N662" i="4"/>
  <c r="J662" i="4"/>
  <c r="N646" i="4"/>
  <c r="J646" i="4"/>
  <c r="N626" i="4"/>
  <c r="J626" i="4"/>
  <c r="N618" i="4"/>
  <c r="J618" i="4"/>
  <c r="N610" i="4"/>
  <c r="J610" i="4"/>
  <c r="N602" i="4"/>
  <c r="J602" i="4"/>
  <c r="N594" i="4"/>
  <c r="J594" i="4"/>
  <c r="N586" i="4"/>
  <c r="J586" i="4"/>
  <c r="N578" i="4"/>
  <c r="J578" i="4"/>
  <c r="N570" i="4"/>
  <c r="J570" i="4"/>
  <c r="N558" i="4"/>
  <c r="J558" i="4"/>
  <c r="N550" i="4"/>
  <c r="J550" i="4"/>
  <c r="N542" i="4"/>
  <c r="J542" i="4"/>
  <c r="N530" i="4"/>
  <c r="J530" i="4"/>
  <c r="N522" i="4"/>
  <c r="J522" i="4"/>
  <c r="N510" i="4"/>
  <c r="J510" i="4"/>
  <c r="N502" i="4"/>
  <c r="J502" i="4"/>
  <c r="N490" i="4"/>
  <c r="J490" i="4"/>
  <c r="N482" i="4"/>
  <c r="J482" i="4"/>
  <c r="N474" i="4"/>
  <c r="J474" i="4"/>
  <c r="N466" i="4"/>
  <c r="J466" i="4"/>
  <c r="N454" i="4"/>
  <c r="J454" i="4"/>
  <c r="N446" i="4"/>
  <c r="J446" i="4"/>
  <c r="N442" i="4"/>
  <c r="J442" i="4"/>
  <c r="N430" i="4"/>
  <c r="J430" i="4"/>
  <c r="N422" i="4"/>
  <c r="J422" i="4"/>
  <c r="N414" i="4"/>
  <c r="J414" i="4"/>
  <c r="N398" i="4"/>
  <c r="J398" i="4"/>
  <c r="N390" i="4"/>
  <c r="J390" i="4"/>
  <c r="N382" i="4"/>
  <c r="J382" i="4"/>
  <c r="N374" i="4"/>
  <c r="J374" i="4"/>
  <c r="N366" i="4"/>
  <c r="J366" i="4"/>
  <c r="N354" i="4"/>
  <c r="J354" i="4"/>
  <c r="N346" i="4"/>
  <c r="J346" i="4"/>
  <c r="N338" i="4"/>
  <c r="J338" i="4"/>
  <c r="N326" i="4"/>
  <c r="J326" i="4"/>
  <c r="N318" i="4"/>
  <c r="J318" i="4"/>
  <c r="N306" i="4"/>
  <c r="J306" i="4"/>
  <c r="N298" i="4"/>
  <c r="J298" i="4"/>
  <c r="N286" i="4"/>
  <c r="J286" i="4"/>
  <c r="N282" i="4"/>
  <c r="J282" i="4"/>
  <c r="N270" i="4"/>
  <c r="J270" i="4"/>
  <c r="N262" i="4"/>
  <c r="J262" i="4"/>
  <c r="N258" i="4"/>
  <c r="J258" i="4"/>
  <c r="N250" i="4"/>
  <c r="J250" i="4"/>
  <c r="N242" i="4"/>
  <c r="J242" i="4"/>
  <c r="N234" i="4"/>
  <c r="J234" i="4"/>
  <c r="N226" i="4"/>
  <c r="J226" i="4"/>
  <c r="N214" i="4"/>
  <c r="J214" i="4"/>
  <c r="N206" i="4"/>
  <c r="J206" i="4"/>
  <c r="N198" i="4"/>
  <c r="J198" i="4"/>
  <c r="N190" i="4"/>
  <c r="J190" i="4"/>
  <c r="N178" i="4"/>
  <c r="J178" i="4"/>
  <c r="N170" i="4"/>
  <c r="J170" i="4"/>
  <c r="N162" i="4"/>
  <c r="J162" i="4"/>
  <c r="N150" i="4"/>
  <c r="J150" i="4"/>
  <c r="N142" i="4"/>
  <c r="J142" i="4"/>
  <c r="N130" i="4"/>
  <c r="J130" i="4"/>
  <c r="N122" i="4"/>
  <c r="J122" i="4"/>
  <c r="N114" i="4"/>
  <c r="J114" i="4"/>
  <c r="N102" i="4"/>
  <c r="J102" i="4"/>
  <c r="N90" i="4"/>
  <c r="J90" i="4"/>
  <c r="N82" i="4"/>
  <c r="J82" i="4"/>
  <c r="N74" i="4"/>
  <c r="J74" i="4"/>
  <c r="N66" i="4"/>
  <c r="J66" i="4"/>
  <c r="N54" i="4"/>
  <c r="J54" i="4"/>
  <c r="N46" i="4"/>
  <c r="J46" i="4"/>
  <c r="N38" i="4"/>
  <c r="J38" i="4"/>
  <c r="N30" i="4"/>
  <c r="J30" i="4"/>
  <c r="N22" i="4"/>
  <c r="J22" i="4"/>
  <c r="N14" i="4"/>
  <c r="J14" i="4"/>
  <c r="J1535" i="4"/>
  <c r="J1523" i="4"/>
  <c r="J1511" i="4"/>
  <c r="J1503" i="4"/>
  <c r="J1495" i="4"/>
  <c r="J1483" i="4"/>
  <c r="J1462" i="4"/>
  <c r="J1451" i="4"/>
  <c r="J1430" i="4"/>
  <c r="J1419" i="4"/>
  <c r="J1403" i="4"/>
  <c r="J1387" i="4"/>
  <c r="J1371" i="4"/>
  <c r="J1350" i="4"/>
  <c r="J1334" i="4"/>
  <c r="J1286" i="4"/>
  <c r="J1275" i="4"/>
  <c r="J1259" i="4"/>
  <c r="J1243" i="4"/>
  <c r="J1227" i="4"/>
  <c r="J1211" i="4"/>
  <c r="J1195" i="4"/>
  <c r="J1179" i="4"/>
  <c r="J1158" i="4"/>
  <c r="J1142" i="4"/>
  <c r="J1094" i="4"/>
  <c r="J1062" i="4"/>
  <c r="J1051" i="4"/>
  <c r="J998" i="4"/>
  <c r="J982" i="4"/>
  <c r="J934" i="4"/>
  <c r="J887" i="4"/>
  <c r="J855" i="4"/>
  <c r="J847" i="4"/>
  <c r="J823" i="4"/>
  <c r="J807" i="4"/>
  <c r="J767" i="4"/>
  <c r="J743" i="4"/>
  <c r="J727" i="4"/>
  <c r="J703" i="4"/>
  <c r="J679" i="4"/>
  <c r="J663" i="4"/>
  <c r="J639" i="4"/>
  <c r="J615" i="4"/>
  <c r="J551" i="4"/>
  <c r="J527" i="4"/>
  <c r="J471" i="4"/>
  <c r="J447" i="4"/>
  <c r="J423" i="4"/>
  <c r="J407" i="4"/>
  <c r="J383" i="4"/>
  <c r="J359" i="4"/>
  <c r="J343" i="4"/>
  <c r="J319" i="4"/>
  <c r="J279" i="4"/>
  <c r="J247" i="4"/>
  <c r="J223" i="4"/>
  <c r="J199" i="4"/>
  <c r="J175" i="4"/>
  <c r="J151" i="4"/>
  <c r="J127" i="4"/>
  <c r="J103" i="4"/>
  <c r="J55" i="4"/>
  <c r="J23" i="4"/>
  <c r="L1296" i="4"/>
  <c r="N1481" i="4"/>
  <c r="J1481" i="4"/>
  <c r="N1477" i="4"/>
  <c r="J1477" i="4"/>
  <c r="N1473" i="4"/>
  <c r="J1473" i="4"/>
  <c r="N1469" i="4"/>
  <c r="J1469" i="4"/>
  <c r="N1465" i="4"/>
  <c r="J1465" i="4"/>
  <c r="N1461" i="4"/>
  <c r="J1461" i="4"/>
  <c r="N1457" i="4"/>
  <c r="J1457" i="4"/>
  <c r="N1453" i="4"/>
  <c r="J1453" i="4"/>
  <c r="N1449" i="4"/>
  <c r="J1449" i="4"/>
  <c r="N1445" i="4"/>
  <c r="J1445" i="4"/>
  <c r="N1441" i="4"/>
  <c r="J1441" i="4"/>
  <c r="N1437" i="4"/>
  <c r="J1437" i="4"/>
  <c r="N1433" i="4"/>
  <c r="J1433" i="4"/>
  <c r="N1429" i="4"/>
  <c r="J1429" i="4"/>
  <c r="N1425" i="4"/>
  <c r="J1425" i="4"/>
  <c r="N1421" i="4"/>
  <c r="J1421" i="4"/>
  <c r="N1417" i="4"/>
  <c r="J1417" i="4"/>
  <c r="N1413" i="4"/>
  <c r="J1413" i="4"/>
  <c r="N1409" i="4"/>
  <c r="J1409" i="4"/>
  <c r="N1405" i="4"/>
  <c r="J1405" i="4"/>
  <c r="N1401" i="4"/>
  <c r="J1401" i="4"/>
  <c r="N1397" i="4"/>
  <c r="J1397" i="4"/>
  <c r="N1393" i="4"/>
  <c r="J1393" i="4"/>
  <c r="N1389" i="4"/>
  <c r="J1389" i="4"/>
  <c r="N1385" i="4"/>
  <c r="J1385" i="4"/>
  <c r="N1381" i="4"/>
  <c r="J1381" i="4"/>
  <c r="N1377" i="4"/>
  <c r="J1377" i="4"/>
  <c r="N1373" i="4"/>
  <c r="J1373" i="4"/>
  <c r="N1369" i="4"/>
  <c r="J1369" i="4"/>
  <c r="N1365" i="4"/>
  <c r="J1365" i="4"/>
  <c r="N1361" i="4"/>
  <c r="J1361" i="4"/>
  <c r="N1357" i="4"/>
  <c r="J1357" i="4"/>
  <c r="N1353" i="4"/>
  <c r="J1353" i="4"/>
  <c r="N1349" i="4"/>
  <c r="J1349" i="4"/>
  <c r="N1345" i="4"/>
  <c r="J1345" i="4"/>
  <c r="N1341" i="4"/>
  <c r="J1341" i="4"/>
  <c r="N1337" i="4"/>
  <c r="J1337" i="4"/>
  <c r="N1333" i="4"/>
  <c r="J1333" i="4"/>
  <c r="N1329" i="4"/>
  <c r="J1329" i="4"/>
  <c r="N1325" i="4"/>
  <c r="J1325" i="4"/>
  <c r="N1321" i="4"/>
  <c r="J1321" i="4"/>
  <c r="N1317" i="4"/>
  <c r="J1317" i="4"/>
  <c r="N1313" i="4"/>
  <c r="J1313" i="4"/>
  <c r="N1309" i="4"/>
  <c r="J1309" i="4"/>
  <c r="N1305" i="4"/>
  <c r="J1305" i="4"/>
  <c r="N1301" i="4"/>
  <c r="J1301" i="4"/>
  <c r="N1297" i="4"/>
  <c r="J1297" i="4"/>
  <c r="N1293" i="4"/>
  <c r="J1293" i="4"/>
  <c r="N1289" i="4"/>
  <c r="J1289" i="4"/>
  <c r="N1285" i="4"/>
  <c r="J1285" i="4"/>
  <c r="N1281" i="4"/>
  <c r="J1281" i="4"/>
  <c r="N1277" i="4"/>
  <c r="J1277" i="4"/>
  <c r="N1273" i="4"/>
  <c r="J1273" i="4"/>
  <c r="N1269" i="4"/>
  <c r="J1269" i="4"/>
  <c r="N1265" i="4"/>
  <c r="J1265" i="4"/>
  <c r="N1261" i="4"/>
  <c r="J1261" i="4"/>
  <c r="N1257" i="4"/>
  <c r="J1257" i="4"/>
  <c r="N1253" i="4"/>
  <c r="J1253" i="4"/>
  <c r="N1249" i="4"/>
  <c r="J1249" i="4"/>
  <c r="N1245" i="4"/>
  <c r="J1245" i="4"/>
  <c r="N1241" i="4"/>
  <c r="J1241" i="4"/>
  <c r="N1237" i="4"/>
  <c r="J1237" i="4"/>
  <c r="N1233" i="4"/>
  <c r="J1233" i="4"/>
  <c r="N1229" i="4"/>
  <c r="J1229" i="4"/>
  <c r="N1225" i="4"/>
  <c r="J1225" i="4"/>
  <c r="N1221" i="4"/>
  <c r="J1221" i="4"/>
  <c r="N1217" i="4"/>
  <c r="J1217" i="4"/>
  <c r="N1213" i="4"/>
  <c r="J1213" i="4"/>
  <c r="N1209" i="4"/>
  <c r="J1209" i="4"/>
  <c r="N1205" i="4"/>
  <c r="J1205" i="4"/>
  <c r="N1201" i="4"/>
  <c r="J1201" i="4"/>
  <c r="N1197" i="4"/>
  <c r="J1197" i="4"/>
  <c r="N1193" i="4"/>
  <c r="J1193" i="4"/>
  <c r="N1189" i="4"/>
  <c r="J1189" i="4"/>
  <c r="N1185" i="4"/>
  <c r="J1185" i="4"/>
  <c r="N1181" i="4"/>
  <c r="J1181" i="4"/>
  <c r="N1177" i="4"/>
  <c r="J1177" i="4"/>
  <c r="N1173" i="4"/>
  <c r="J1173" i="4"/>
  <c r="N1169" i="4"/>
  <c r="J1169" i="4"/>
  <c r="N1165" i="4"/>
  <c r="J1165" i="4"/>
  <c r="N1161" i="4"/>
  <c r="J1161" i="4"/>
  <c r="N1157" i="4"/>
  <c r="J1157" i="4"/>
  <c r="N1153" i="4"/>
  <c r="J1153" i="4"/>
  <c r="N1149" i="4"/>
  <c r="J1149" i="4"/>
  <c r="N1145" i="4"/>
  <c r="J1145" i="4"/>
  <c r="N1141" i="4"/>
  <c r="J1141" i="4"/>
  <c r="N1137" i="4"/>
  <c r="J1137" i="4"/>
  <c r="N1133" i="4"/>
  <c r="J1133" i="4"/>
  <c r="N1129" i="4"/>
  <c r="J1129" i="4"/>
  <c r="N1125" i="4"/>
  <c r="J1125" i="4"/>
  <c r="N1121" i="4"/>
  <c r="J1121" i="4"/>
  <c r="N1117" i="4"/>
  <c r="J1117" i="4"/>
  <c r="N1113" i="4"/>
  <c r="J1113" i="4"/>
  <c r="N1109" i="4"/>
  <c r="J1109" i="4"/>
  <c r="N1105" i="4"/>
  <c r="J1105" i="4"/>
  <c r="N1101" i="4"/>
  <c r="J1101" i="4"/>
  <c r="N1097" i="4"/>
  <c r="J1097" i="4"/>
  <c r="N1093" i="4"/>
  <c r="J1093" i="4"/>
  <c r="N1089" i="4"/>
  <c r="J1089" i="4"/>
  <c r="N1085" i="4"/>
  <c r="J1085" i="4"/>
  <c r="N1081" i="4"/>
  <c r="J1081" i="4"/>
  <c r="N1077" i="4"/>
  <c r="J1077" i="4"/>
  <c r="N1073" i="4"/>
  <c r="J1073" i="4"/>
  <c r="N1069" i="4"/>
  <c r="J1069" i="4"/>
  <c r="N1065" i="4"/>
  <c r="J1065" i="4"/>
  <c r="N1061" i="4"/>
  <c r="J1061" i="4"/>
  <c r="N1057" i="4"/>
  <c r="J1057" i="4"/>
  <c r="N1053" i="4"/>
  <c r="J1053" i="4"/>
  <c r="N1049" i="4"/>
  <c r="J1049" i="4"/>
  <c r="N1045" i="4"/>
  <c r="J1045" i="4"/>
  <c r="N1041" i="4"/>
  <c r="J1041" i="4"/>
  <c r="N1037" i="4"/>
  <c r="J1037" i="4"/>
  <c r="N1033" i="4"/>
  <c r="J1033" i="4"/>
  <c r="N1029" i="4"/>
  <c r="J1029" i="4"/>
  <c r="N1025" i="4"/>
  <c r="J1025" i="4"/>
  <c r="N1021" i="4"/>
  <c r="J1021" i="4"/>
  <c r="N1017" i="4"/>
  <c r="J1017" i="4"/>
  <c r="N1013" i="4"/>
  <c r="J1013" i="4"/>
  <c r="N1009" i="4"/>
  <c r="J1009" i="4"/>
  <c r="N1005" i="4"/>
  <c r="J1005" i="4"/>
  <c r="N1001" i="4"/>
  <c r="J1001" i="4"/>
  <c r="N997" i="4"/>
  <c r="J997" i="4"/>
  <c r="N993" i="4"/>
  <c r="J993" i="4"/>
  <c r="N989" i="4"/>
  <c r="J989" i="4"/>
  <c r="N985" i="4"/>
  <c r="J985" i="4"/>
  <c r="N981" i="4"/>
  <c r="J981" i="4"/>
  <c r="N977" i="4"/>
  <c r="J977" i="4"/>
  <c r="N973" i="4"/>
  <c r="J973" i="4"/>
  <c r="N969" i="4"/>
  <c r="J969" i="4"/>
  <c r="N965" i="4"/>
  <c r="J965" i="4"/>
  <c r="N961" i="4"/>
  <c r="J961" i="4"/>
  <c r="N957" i="4"/>
  <c r="J957" i="4"/>
  <c r="N953" i="4"/>
  <c r="J953" i="4"/>
  <c r="N949" i="4"/>
  <c r="J949" i="4"/>
  <c r="N945" i="4"/>
  <c r="J945" i="4"/>
  <c r="N941" i="4"/>
  <c r="J941" i="4"/>
  <c r="N937" i="4"/>
  <c r="J937" i="4"/>
  <c r="N933" i="4"/>
  <c r="J933" i="4"/>
  <c r="N929" i="4"/>
  <c r="J929" i="4"/>
  <c r="N925" i="4"/>
  <c r="J925" i="4"/>
  <c r="N921" i="4"/>
  <c r="J921" i="4"/>
  <c r="N917" i="4"/>
  <c r="J917" i="4"/>
  <c r="N913" i="4"/>
  <c r="J913" i="4"/>
  <c r="N909" i="4"/>
  <c r="J909" i="4"/>
  <c r="N905" i="4"/>
  <c r="J905" i="4"/>
  <c r="N901" i="4"/>
  <c r="J901" i="4"/>
  <c r="N897" i="4"/>
  <c r="J897" i="4"/>
  <c r="N893" i="4"/>
  <c r="J893" i="4"/>
  <c r="N889" i="4"/>
  <c r="J889" i="4"/>
  <c r="N885" i="4"/>
  <c r="J885" i="4"/>
  <c r="N881" i="4"/>
  <c r="J881" i="4"/>
  <c r="N877" i="4"/>
  <c r="J877" i="4"/>
  <c r="N873" i="4"/>
  <c r="J873" i="4"/>
  <c r="N869" i="4"/>
  <c r="J869" i="4"/>
  <c r="N865" i="4"/>
  <c r="J865" i="4"/>
  <c r="N857" i="4"/>
  <c r="J857" i="4"/>
  <c r="N853" i="4"/>
  <c r="J853" i="4"/>
  <c r="N849" i="4"/>
  <c r="J849" i="4"/>
  <c r="N845" i="4"/>
  <c r="J845" i="4"/>
  <c r="N837" i="4"/>
  <c r="J837" i="4"/>
  <c r="N833" i="4"/>
  <c r="J833" i="4"/>
  <c r="N829" i="4"/>
  <c r="J829" i="4"/>
  <c r="N821" i="4"/>
  <c r="J821" i="4"/>
  <c r="N817" i="4"/>
  <c r="J817" i="4"/>
  <c r="N813" i="4"/>
  <c r="J813" i="4"/>
  <c r="N809" i="4"/>
  <c r="J809" i="4"/>
  <c r="N801" i="4"/>
  <c r="J801" i="4"/>
  <c r="N797" i="4"/>
  <c r="J797" i="4"/>
  <c r="N793" i="4"/>
  <c r="J793" i="4"/>
  <c r="N789" i="4"/>
  <c r="J789" i="4"/>
  <c r="N781" i="4"/>
  <c r="J781" i="4"/>
  <c r="N777" i="4"/>
  <c r="J777" i="4"/>
  <c r="N773" i="4"/>
  <c r="J773" i="4"/>
  <c r="N769" i="4"/>
  <c r="J769" i="4"/>
  <c r="N761" i="4"/>
  <c r="J761" i="4"/>
  <c r="N757" i="4"/>
  <c r="J757" i="4"/>
  <c r="N753" i="4"/>
  <c r="J753" i="4"/>
  <c r="N745" i="4"/>
  <c r="J745" i="4"/>
  <c r="N741" i="4"/>
  <c r="J741" i="4"/>
  <c r="N737" i="4"/>
  <c r="J737" i="4"/>
  <c r="N729" i="4"/>
  <c r="J729" i="4"/>
  <c r="N725" i="4"/>
  <c r="J725" i="4"/>
  <c r="N717" i="4"/>
  <c r="J717" i="4"/>
  <c r="N713" i="4"/>
  <c r="J713" i="4"/>
  <c r="N705" i="4"/>
  <c r="J705" i="4"/>
  <c r="N701" i="4"/>
  <c r="J701" i="4"/>
  <c r="N697" i="4"/>
  <c r="J697" i="4"/>
  <c r="N693" i="4"/>
  <c r="J693" i="4"/>
  <c r="N685" i="4"/>
  <c r="J685" i="4"/>
  <c r="N681" i="4"/>
  <c r="J681" i="4"/>
  <c r="N677" i="4"/>
  <c r="J677" i="4"/>
  <c r="N669" i="4"/>
  <c r="J669" i="4"/>
  <c r="N665" i="4"/>
  <c r="J665" i="4"/>
  <c r="N661" i="4"/>
  <c r="J661" i="4"/>
  <c r="N657" i="4"/>
  <c r="J657" i="4"/>
  <c r="N649" i="4"/>
  <c r="J649" i="4"/>
  <c r="N645" i="4"/>
  <c r="J645" i="4"/>
  <c r="N641" i="4"/>
  <c r="J641" i="4"/>
  <c r="N633" i="4"/>
  <c r="J633" i="4"/>
  <c r="N629" i="4"/>
  <c r="J629" i="4"/>
  <c r="N625" i="4"/>
  <c r="J625" i="4"/>
  <c r="N621" i="4"/>
  <c r="J621" i="4"/>
  <c r="N613" i="4"/>
  <c r="J613" i="4"/>
  <c r="N609" i="4"/>
  <c r="J609" i="4"/>
  <c r="N605" i="4"/>
  <c r="J605" i="4"/>
  <c r="N601" i="4"/>
  <c r="J601" i="4"/>
  <c r="N593" i="4"/>
  <c r="J593" i="4"/>
  <c r="N589" i="4"/>
  <c r="J589" i="4"/>
  <c r="N585" i="4"/>
  <c r="J585" i="4"/>
  <c r="N577" i="4"/>
  <c r="J577" i="4"/>
  <c r="N573" i="4"/>
  <c r="J573" i="4"/>
  <c r="N569" i="4"/>
  <c r="J569" i="4"/>
  <c r="N561" i="4"/>
  <c r="J561" i="4"/>
  <c r="N557" i="4"/>
  <c r="J557" i="4"/>
  <c r="N553" i="4"/>
  <c r="J553" i="4"/>
  <c r="N545" i="4"/>
  <c r="J545" i="4"/>
  <c r="N541" i="4"/>
  <c r="J541" i="4"/>
  <c r="N533" i="4"/>
  <c r="J533" i="4"/>
  <c r="N529" i="4"/>
  <c r="J529" i="4"/>
  <c r="N521" i="4"/>
  <c r="J521" i="4"/>
  <c r="N517" i="4"/>
  <c r="J517" i="4"/>
  <c r="N509" i="4"/>
  <c r="J509" i="4"/>
  <c r="N505" i="4"/>
  <c r="J505" i="4"/>
  <c r="N501" i="4"/>
  <c r="J501" i="4"/>
  <c r="N493" i="4"/>
  <c r="J493" i="4"/>
  <c r="N489" i="4"/>
  <c r="J489" i="4"/>
  <c r="N481" i="4"/>
  <c r="J481" i="4"/>
  <c r="N477" i="4"/>
  <c r="J477" i="4"/>
  <c r="N473" i="4"/>
  <c r="J473" i="4"/>
  <c r="N465" i="4"/>
  <c r="J465" i="4"/>
  <c r="N461" i="4"/>
  <c r="J461" i="4"/>
  <c r="N453" i="4"/>
  <c r="J453" i="4"/>
  <c r="N449" i="4"/>
  <c r="J449" i="4"/>
  <c r="N441" i="4"/>
  <c r="J441" i="4"/>
  <c r="N437" i="4"/>
  <c r="J437" i="4"/>
  <c r="N429" i="4"/>
  <c r="J429" i="4"/>
  <c r="N425" i="4"/>
  <c r="J425" i="4"/>
  <c r="N417" i="4"/>
  <c r="J417" i="4"/>
  <c r="N413" i="4"/>
  <c r="J413" i="4"/>
  <c r="N405" i="4"/>
  <c r="J405" i="4"/>
  <c r="N401" i="4"/>
  <c r="J401" i="4"/>
  <c r="N393" i="4"/>
  <c r="J393" i="4"/>
  <c r="N389" i="4"/>
  <c r="J389" i="4"/>
  <c r="N381" i="4"/>
  <c r="J381" i="4"/>
  <c r="N377" i="4"/>
  <c r="J377" i="4"/>
  <c r="N369" i="4"/>
  <c r="J369" i="4"/>
  <c r="N365" i="4"/>
  <c r="J365" i="4"/>
  <c r="N357" i="4"/>
  <c r="J357" i="4"/>
  <c r="N349" i="4"/>
  <c r="J349" i="4"/>
  <c r="N345" i="4"/>
  <c r="J345" i="4"/>
  <c r="N337" i="4"/>
  <c r="J337" i="4"/>
  <c r="N333" i="4"/>
  <c r="J333" i="4"/>
  <c r="N325" i="4"/>
  <c r="J325" i="4"/>
  <c r="N321" i="4"/>
  <c r="J321" i="4"/>
  <c r="N313" i="4"/>
  <c r="J313" i="4"/>
  <c r="N309" i="4"/>
  <c r="J309" i="4"/>
  <c r="N301" i="4"/>
  <c r="J301" i="4"/>
  <c r="N297" i="4"/>
  <c r="J297" i="4"/>
  <c r="N289" i="4"/>
  <c r="J289" i="4"/>
  <c r="N281" i="4"/>
  <c r="J281" i="4"/>
  <c r="N273" i="4"/>
  <c r="J273" i="4"/>
  <c r="N265" i="4"/>
  <c r="J265" i="4"/>
  <c r="N261" i="4"/>
  <c r="J261" i="4"/>
  <c r="N253" i="4"/>
  <c r="J253" i="4"/>
  <c r="N245" i="4"/>
  <c r="J245" i="4"/>
  <c r="N237" i="4"/>
  <c r="J237" i="4"/>
  <c r="N229" i="4"/>
  <c r="J229" i="4"/>
  <c r="N221" i="4"/>
  <c r="J221" i="4"/>
  <c r="N213" i="4"/>
  <c r="J213" i="4"/>
  <c r="N205" i="4"/>
  <c r="J205" i="4"/>
  <c r="N197" i="4"/>
  <c r="J197" i="4"/>
  <c r="N189" i="4"/>
  <c r="J189" i="4"/>
  <c r="N181" i="4"/>
  <c r="J181" i="4"/>
  <c r="N173" i="4"/>
  <c r="J173" i="4"/>
  <c r="N169" i="4"/>
  <c r="J169" i="4"/>
  <c r="N161" i="4"/>
  <c r="J161" i="4"/>
  <c r="N157" i="4"/>
  <c r="J157" i="4"/>
  <c r="N149" i="4"/>
  <c r="J149" i="4"/>
  <c r="N141" i="4"/>
  <c r="J141" i="4"/>
  <c r="N133" i="4"/>
  <c r="J133" i="4"/>
  <c r="N125" i="4"/>
  <c r="J125" i="4"/>
  <c r="N117" i="4"/>
  <c r="J117" i="4"/>
  <c r="N109" i="4"/>
  <c r="J109" i="4"/>
  <c r="N101" i="4"/>
  <c r="J101" i="4"/>
  <c r="N93" i="4"/>
  <c r="J93" i="4"/>
  <c r="N89" i="4"/>
  <c r="J89" i="4"/>
  <c r="N81" i="4"/>
  <c r="J81" i="4"/>
  <c r="N73" i="4"/>
  <c r="J73" i="4"/>
  <c r="N65" i="4"/>
  <c r="J65" i="4"/>
  <c r="N57" i="4"/>
  <c r="J57" i="4"/>
  <c r="N49" i="4"/>
  <c r="J49" i="4"/>
  <c r="N41" i="4"/>
  <c r="J41" i="4"/>
  <c r="N37" i="4"/>
  <c r="J37" i="4"/>
  <c r="N29" i="4"/>
  <c r="J29" i="4"/>
  <c r="N21" i="4"/>
  <c r="J21" i="4"/>
  <c r="N13" i="4"/>
  <c r="J13" i="4"/>
  <c r="J1538" i="4"/>
  <c r="J1530" i="4"/>
  <c r="J1522" i="4"/>
  <c r="J1514" i="4"/>
  <c r="J1506" i="4"/>
  <c r="J1502" i="4"/>
  <c r="J1494" i="4"/>
  <c r="J1486" i="4"/>
  <c r="J1471" i="4"/>
  <c r="J1466" i="4"/>
  <c r="J1455" i="4"/>
  <c r="J1391" i="4"/>
  <c r="J1338" i="4"/>
  <c r="J1322" i="4"/>
  <c r="J1311" i="4"/>
  <c r="J1306" i="4"/>
  <c r="J1247" i="4"/>
  <c r="J1231" i="4"/>
  <c r="J1215" i="4"/>
  <c r="J1199" i="4"/>
  <c r="J1183" i="4"/>
  <c r="J1167" i="4"/>
  <c r="J1151" i="4"/>
  <c r="J1135" i="4"/>
  <c r="J1130" i="4"/>
  <c r="J1119" i="4"/>
  <c r="J1114" i="4"/>
  <c r="J1103" i="4"/>
  <c r="J1098" i="4"/>
  <c r="J1087" i="4"/>
  <c r="J1082" i="4"/>
  <c r="J1071" i="4"/>
  <c r="J1066" i="4"/>
  <c r="J1055" i="4"/>
  <c r="J8" i="4"/>
  <c r="L8" i="4" s="1"/>
  <c r="J1541" i="4"/>
  <c r="J1537" i="4"/>
  <c r="J1533" i="4"/>
  <c r="J1529" i="4"/>
  <c r="J1525" i="4"/>
  <c r="J1521" i="4"/>
  <c r="J1517" i="4"/>
  <c r="J1513" i="4"/>
  <c r="J1509" i="4"/>
  <c r="J1505" i="4"/>
  <c r="J1501" i="4"/>
  <c r="J1497" i="4"/>
  <c r="J1493" i="4"/>
  <c r="J1489" i="4"/>
  <c r="J1485" i="4"/>
  <c r="J1480" i="4"/>
  <c r="J1475" i="4"/>
  <c r="J1470" i="4"/>
  <c r="J1464" i="4"/>
  <c r="J1459" i="4"/>
  <c r="J1454" i="4"/>
  <c r="J1448" i="4"/>
  <c r="J1443" i="4"/>
  <c r="J1438" i="4"/>
  <c r="J1432" i="4"/>
  <c r="J1427" i="4"/>
  <c r="J1422" i="4"/>
  <c r="J1416" i="4"/>
  <c r="J1411" i="4"/>
  <c r="J1406" i="4"/>
  <c r="J1400" i="4"/>
  <c r="J1395" i="4"/>
  <c r="J1390" i="4"/>
  <c r="J1384" i="4"/>
  <c r="J1379" i="4"/>
  <c r="J1374" i="4"/>
  <c r="J1368" i="4"/>
  <c r="J1363" i="4"/>
  <c r="J1358" i="4"/>
  <c r="J1352" i="4"/>
  <c r="J1347" i="4"/>
  <c r="J1342" i="4"/>
  <c r="J1336" i="4"/>
  <c r="J1331" i="4"/>
  <c r="J1326" i="4"/>
  <c r="J1320" i="4"/>
  <c r="J1315" i="4"/>
  <c r="J1310" i="4"/>
  <c r="J1304" i="4"/>
  <c r="J1299" i="4"/>
  <c r="J1294" i="4"/>
  <c r="J1288" i="4"/>
  <c r="J1283" i="4"/>
  <c r="J1278" i="4"/>
  <c r="J1272" i="4"/>
  <c r="J1267" i="4"/>
  <c r="J1262" i="4"/>
  <c r="J1256" i="4"/>
  <c r="J1251" i="4"/>
  <c r="J1246" i="4"/>
  <c r="J1240" i="4"/>
  <c r="J1235" i="4"/>
  <c r="J1230" i="4"/>
  <c r="J1224" i="4"/>
  <c r="J1219" i="4"/>
  <c r="J1214" i="4"/>
  <c r="J1208" i="4"/>
  <c r="J1203" i="4"/>
  <c r="J1198" i="4"/>
  <c r="J1192" i="4"/>
  <c r="J1187" i="4"/>
  <c r="J1182" i="4"/>
  <c r="J1176" i="4"/>
  <c r="J1171" i="4"/>
  <c r="J1166" i="4"/>
  <c r="J1160" i="4"/>
  <c r="J1155" i="4"/>
  <c r="J1150" i="4"/>
  <c r="J1144" i="4"/>
  <c r="J1139" i="4"/>
  <c r="J1134" i="4"/>
  <c r="J1128" i="4"/>
  <c r="J1123" i="4"/>
  <c r="J1118" i="4"/>
  <c r="J1112" i="4"/>
  <c r="J1107" i="4"/>
  <c r="J1102" i="4"/>
  <c r="J1096" i="4"/>
  <c r="J1091" i="4"/>
  <c r="J1086" i="4"/>
  <c r="J1080" i="4"/>
  <c r="J1075" i="4"/>
  <c r="J1070" i="4"/>
  <c r="J1064" i="4"/>
  <c r="J1059" i="4"/>
  <c r="J1054" i="4"/>
  <c r="J1048" i="4"/>
  <c r="J1043" i="4"/>
  <c r="J1038" i="4"/>
  <c r="J1032" i="4"/>
  <c r="J1027" i="4"/>
  <c r="J1022" i="4"/>
  <c r="J1016" i="4"/>
  <c r="J1011" i="4"/>
  <c r="J1006" i="4"/>
  <c r="J1000" i="4"/>
  <c r="J995" i="4"/>
  <c r="J990" i="4"/>
  <c r="J984" i="4"/>
  <c r="J979" i="4"/>
  <c r="J974" i="4"/>
  <c r="J968" i="4"/>
  <c r="J963" i="4"/>
  <c r="J958" i="4"/>
  <c r="J952" i="4"/>
  <c r="J947" i="4"/>
  <c r="J942" i="4"/>
  <c r="J936" i="4"/>
  <c r="J931" i="4"/>
  <c r="J926" i="4"/>
  <c r="J920" i="4"/>
  <c r="J915" i="4"/>
  <c r="J910" i="4"/>
  <c r="J904" i="4"/>
  <c r="J899" i="4"/>
  <c r="J891" i="4"/>
  <c r="J883" i="4"/>
  <c r="J875" i="4"/>
  <c r="J867" i="4"/>
  <c r="J859" i="4"/>
  <c r="J851" i="4"/>
  <c r="J843" i="4"/>
  <c r="J835" i="4"/>
  <c r="J827" i="4"/>
  <c r="J819" i="4"/>
  <c r="J811" i="4"/>
  <c r="J803" i="4"/>
  <c r="J795" i="4"/>
  <c r="J787" i="4"/>
  <c r="J779" i="4"/>
  <c r="J771" i="4"/>
  <c r="J763" i="4"/>
  <c r="J755" i="4"/>
  <c r="J747" i="4"/>
  <c r="J739" i="4"/>
  <c r="J731" i="4"/>
  <c r="J723" i="4"/>
  <c r="J715" i="4"/>
  <c r="J707" i="4"/>
  <c r="J699" i="4"/>
  <c r="J691" i="4"/>
  <c r="J683" i="4"/>
  <c r="J675" i="4"/>
  <c r="J667" i="4"/>
  <c r="J659" i="4"/>
  <c r="J651" i="4"/>
  <c r="J643" i="4"/>
  <c r="J635" i="4"/>
  <c r="J627" i="4"/>
  <c r="J619" i="4"/>
  <c r="J611" i="4"/>
  <c r="J603" i="4"/>
  <c r="J595" i="4"/>
  <c r="J587" i="4"/>
  <c r="J579" i="4"/>
  <c r="J571" i="4"/>
  <c r="J563" i="4"/>
  <c r="J555" i="4"/>
  <c r="J547" i="4"/>
  <c r="J539" i="4"/>
  <c r="J531" i="4"/>
  <c r="J523" i="4"/>
  <c r="J515" i="4"/>
  <c r="J507" i="4"/>
  <c r="J499" i="4"/>
  <c r="J491" i="4"/>
  <c r="J483" i="4"/>
  <c r="J475" i="4"/>
  <c r="J467" i="4"/>
  <c r="J459" i="4"/>
  <c r="J451" i="4"/>
  <c r="J443" i="4"/>
  <c r="J435" i="4"/>
  <c r="J427" i="4"/>
  <c r="J419" i="4"/>
  <c r="J411" i="4"/>
  <c r="J403" i="4"/>
  <c r="J395" i="4"/>
  <c r="J387" i="4"/>
  <c r="J379" i="4"/>
  <c r="J371" i="4"/>
  <c r="J363" i="4"/>
  <c r="J355" i="4"/>
  <c r="J347" i="4"/>
  <c r="J339" i="4"/>
  <c r="J331" i="4"/>
  <c r="J323" i="4"/>
  <c r="J315" i="4"/>
  <c r="J307" i="4"/>
  <c r="J299" i="4"/>
  <c r="J291" i="4"/>
  <c r="J283" i="4"/>
  <c r="J275" i="4"/>
  <c r="J267" i="4"/>
  <c r="J259" i="4"/>
  <c r="J251" i="4"/>
  <c r="J243" i="4"/>
  <c r="J235" i="4"/>
  <c r="J227" i="4"/>
  <c r="J219" i="4"/>
  <c r="J211" i="4"/>
  <c r="J203" i="4"/>
  <c r="J195" i="4"/>
  <c r="J187" i="4"/>
  <c r="J179" i="4"/>
  <c r="J171" i="4"/>
  <c r="J163" i="4"/>
  <c r="J155" i="4"/>
  <c r="J147" i="4"/>
  <c r="J139" i="4"/>
  <c r="J131" i="4"/>
  <c r="J123" i="4"/>
  <c r="J115" i="4"/>
  <c r="J107" i="4"/>
  <c r="J99" i="4"/>
  <c r="J91" i="4"/>
  <c r="J83" i="4"/>
  <c r="J75" i="4"/>
  <c r="J67" i="4"/>
  <c r="J59" i="4"/>
  <c r="J51" i="4"/>
  <c r="J43" i="4"/>
  <c r="J35" i="4"/>
  <c r="J27" i="4"/>
  <c r="J19" i="4"/>
  <c r="J11" i="4"/>
  <c r="K1424" i="4"/>
  <c r="K1408" i="4"/>
  <c r="K1376" i="4"/>
  <c r="K1344" i="4"/>
  <c r="K1248" i="4"/>
  <c r="K1232" i="4"/>
  <c r="K1216" i="4"/>
  <c r="K1152" i="4"/>
  <c r="K1056" i="4"/>
  <c r="K928" i="4"/>
  <c r="K912" i="4"/>
  <c r="N1479" i="4"/>
  <c r="N1463" i="4"/>
  <c r="N1447" i="4"/>
  <c r="N1431" i="4"/>
  <c r="N1415" i="4"/>
  <c r="N1399" i="4"/>
  <c r="N1383" i="4"/>
  <c r="N1367" i="4"/>
  <c r="N1351" i="4"/>
  <c r="N1335" i="4"/>
  <c r="N1319" i="4"/>
  <c r="N1303" i="4"/>
  <c r="N1287" i="4"/>
  <c r="N1271" i="4"/>
  <c r="N1255" i="4"/>
  <c r="N1239" i="4"/>
  <c r="N1223" i="4"/>
  <c r="N1207" i="4"/>
  <c r="N1191" i="4"/>
  <c r="N1175" i="4"/>
  <c r="N1159" i="4"/>
  <c r="N1143" i="4"/>
  <c r="N1127" i="4"/>
  <c r="N1111" i="4"/>
  <c r="N1095" i="4"/>
  <c r="N1079" i="4"/>
  <c r="N1063" i="4"/>
  <c r="N1047" i="4"/>
  <c r="N1031" i="4"/>
  <c r="N1015" i="4"/>
  <c r="N999" i="4"/>
  <c r="N983" i="4"/>
  <c r="N967" i="4"/>
  <c r="N951" i="4"/>
  <c r="N935" i="4"/>
  <c r="N919" i="4"/>
  <c r="N903" i="4"/>
  <c r="N878" i="4"/>
  <c r="J878" i="4"/>
  <c r="L842" i="4"/>
  <c r="K842" i="4"/>
  <c r="N814" i="4"/>
  <c r="J814" i="4"/>
  <c r="N782" i="4"/>
  <c r="J782" i="4"/>
  <c r="L746" i="4"/>
  <c r="L714" i="4"/>
  <c r="K714" i="4"/>
  <c r="N654" i="4"/>
  <c r="J654" i="4"/>
  <c r="N622" i="4"/>
  <c r="J622" i="4"/>
  <c r="N590" i="4"/>
  <c r="J590" i="4"/>
  <c r="N566" i="4"/>
  <c r="J566" i="4"/>
  <c r="N538" i="4"/>
  <c r="J538" i="4"/>
  <c r="N514" i="4"/>
  <c r="J514" i="4"/>
  <c r="N494" i="4"/>
  <c r="J494" i="4"/>
  <c r="N462" i="4"/>
  <c r="J462" i="4"/>
  <c r="N434" i="4"/>
  <c r="J434" i="4"/>
  <c r="N410" i="4"/>
  <c r="J410" i="4"/>
  <c r="N386" i="4"/>
  <c r="J386" i="4"/>
  <c r="N362" i="4"/>
  <c r="J362" i="4"/>
  <c r="N334" i="4"/>
  <c r="J334" i="4"/>
  <c r="N314" i="4"/>
  <c r="J314" i="4"/>
  <c r="N294" i="4"/>
  <c r="J294" i="4"/>
  <c r="N274" i="4"/>
  <c r="J274" i="4"/>
  <c r="N254" i="4"/>
  <c r="J254" i="4"/>
  <c r="N238" i="4"/>
  <c r="J238" i="4"/>
  <c r="N218" i="4"/>
  <c r="J218" i="4"/>
  <c r="N202" i="4"/>
  <c r="J202" i="4"/>
  <c r="N182" i="4"/>
  <c r="J182" i="4"/>
  <c r="N158" i="4"/>
  <c r="J158" i="4"/>
  <c r="N138" i="4"/>
  <c r="J138" i="4"/>
  <c r="N118" i="4"/>
  <c r="J118" i="4"/>
  <c r="N106" i="4"/>
  <c r="J106" i="4"/>
  <c r="N94" i="4"/>
  <c r="J94" i="4"/>
  <c r="N78" i="4"/>
  <c r="J78" i="4"/>
  <c r="N58" i="4"/>
  <c r="J58" i="4"/>
  <c r="N42" i="4"/>
  <c r="J42" i="4"/>
  <c r="N26" i="4"/>
  <c r="J26" i="4"/>
  <c r="N10" i="4"/>
  <c r="J10" i="4"/>
  <c r="J1499" i="4"/>
  <c r="J1487" i="4"/>
  <c r="J1435" i="4"/>
  <c r="J1355" i="4"/>
  <c r="J1291" i="4"/>
  <c r="J1270" i="4"/>
  <c r="J1238" i="4"/>
  <c r="J1222" i="4"/>
  <c r="J1206" i="4"/>
  <c r="J1190" i="4"/>
  <c r="J1174" i="4"/>
  <c r="J1046" i="4"/>
  <c r="J918" i="4"/>
  <c r="J895" i="4"/>
  <c r="J863" i="4"/>
  <c r="J831" i="4"/>
  <c r="J791" i="4"/>
  <c r="J759" i="4"/>
  <c r="J719" i="4"/>
  <c r="J695" i="4"/>
  <c r="J671" i="4"/>
  <c r="J655" i="4"/>
  <c r="J631" i="4"/>
  <c r="J607" i="4"/>
  <c r="J583" i="4"/>
  <c r="J559" i="4"/>
  <c r="J535" i="4"/>
  <c r="J511" i="4"/>
  <c r="J487" i="4"/>
  <c r="J463" i="4"/>
  <c r="J439" i="4"/>
  <c r="J415" i="4"/>
  <c r="J391" i="4"/>
  <c r="J367" i="4"/>
  <c r="J335" i="4"/>
  <c r="J303" i="4"/>
  <c r="J271" i="4"/>
  <c r="J239" i="4"/>
  <c r="J215" i="4"/>
  <c r="J191" i="4"/>
  <c r="J167" i="4"/>
  <c r="J143" i="4"/>
  <c r="J119" i="4"/>
  <c r="J95" i="4"/>
  <c r="J71" i="4"/>
  <c r="J47" i="4"/>
  <c r="J31" i="4"/>
  <c r="N861" i="4"/>
  <c r="J861" i="4"/>
  <c r="N841" i="4"/>
  <c r="J841" i="4"/>
  <c r="N825" i="4"/>
  <c r="J825" i="4"/>
  <c r="N805" i="4"/>
  <c r="J805" i="4"/>
  <c r="N785" i="4"/>
  <c r="J785" i="4"/>
  <c r="N765" i="4"/>
  <c r="J765" i="4"/>
  <c r="N749" i="4"/>
  <c r="J749" i="4"/>
  <c r="N733" i="4"/>
  <c r="J733" i="4"/>
  <c r="N721" i="4"/>
  <c r="J721" i="4"/>
  <c r="N709" i="4"/>
  <c r="J709" i="4"/>
  <c r="N689" i="4"/>
  <c r="J689" i="4"/>
  <c r="N673" i="4"/>
  <c r="J673" i="4"/>
  <c r="N653" i="4"/>
  <c r="J653" i="4"/>
  <c r="N637" i="4"/>
  <c r="J637" i="4"/>
  <c r="N617" i="4"/>
  <c r="J617" i="4"/>
  <c r="N597" i="4"/>
  <c r="J597" i="4"/>
  <c r="N581" i="4"/>
  <c r="J581" i="4"/>
  <c r="N565" i="4"/>
  <c r="J565" i="4"/>
  <c r="N549" i="4"/>
  <c r="J549" i="4"/>
  <c r="N537" i="4"/>
  <c r="J537" i="4"/>
  <c r="N525" i="4"/>
  <c r="J525" i="4"/>
  <c r="N513" i="4"/>
  <c r="J513" i="4"/>
  <c r="N497" i="4"/>
  <c r="J497" i="4"/>
  <c r="N485" i="4"/>
  <c r="J485" i="4"/>
  <c r="N469" i="4"/>
  <c r="J469" i="4"/>
  <c r="N457" i="4"/>
  <c r="J457" i="4"/>
  <c r="N445" i="4"/>
  <c r="J445" i="4"/>
  <c r="N433" i="4"/>
  <c r="J433" i="4"/>
  <c r="N421" i="4"/>
  <c r="J421" i="4"/>
  <c r="N409" i="4"/>
  <c r="J409" i="4"/>
  <c r="N397" i="4"/>
  <c r="J397" i="4"/>
  <c r="N385" i="4"/>
  <c r="J385" i="4"/>
  <c r="N373" i="4"/>
  <c r="J373" i="4"/>
  <c r="N361" i="4"/>
  <c r="J361" i="4"/>
  <c r="N353" i="4"/>
  <c r="J353" i="4"/>
  <c r="N341" i="4"/>
  <c r="J341" i="4"/>
  <c r="N329" i="4"/>
  <c r="J329" i="4"/>
  <c r="N317" i="4"/>
  <c r="J317" i="4"/>
  <c r="N305" i="4"/>
  <c r="J305" i="4"/>
  <c r="N293" i="4"/>
  <c r="J293" i="4"/>
  <c r="N285" i="4"/>
  <c r="J285" i="4"/>
  <c r="N277" i="4"/>
  <c r="J277" i="4"/>
  <c r="N269" i="4"/>
  <c r="J269" i="4"/>
  <c r="N257" i="4"/>
  <c r="J257" i="4"/>
  <c r="N249" i="4"/>
  <c r="J249" i="4"/>
  <c r="N241" i="4"/>
  <c r="J241" i="4"/>
  <c r="N233" i="4"/>
  <c r="J233" i="4"/>
  <c r="N225" i="4"/>
  <c r="J225" i="4"/>
  <c r="N217" i="4"/>
  <c r="J217" i="4"/>
  <c r="N209" i="4"/>
  <c r="J209" i="4"/>
  <c r="N201" i="4"/>
  <c r="J201" i="4"/>
  <c r="N193" i="4"/>
  <c r="J193" i="4"/>
  <c r="N185" i="4"/>
  <c r="J185" i="4"/>
  <c r="N177" i="4"/>
  <c r="J177" i="4"/>
  <c r="N165" i="4"/>
  <c r="J165" i="4"/>
  <c r="N153" i="4"/>
  <c r="J153" i="4"/>
  <c r="N145" i="4"/>
  <c r="J145" i="4"/>
  <c r="N137" i="4"/>
  <c r="J137" i="4"/>
  <c r="N129" i="4"/>
  <c r="J129" i="4"/>
  <c r="N121" i="4"/>
  <c r="J121" i="4"/>
  <c r="N113" i="4"/>
  <c r="J113" i="4"/>
  <c r="N105" i="4"/>
  <c r="J105" i="4"/>
  <c r="N97" i="4"/>
  <c r="J97" i="4"/>
  <c r="N85" i="4"/>
  <c r="J85" i="4"/>
  <c r="N77" i="4"/>
  <c r="J77" i="4"/>
  <c r="N69" i="4"/>
  <c r="J69" i="4"/>
  <c r="N61" i="4"/>
  <c r="J61" i="4"/>
  <c r="N53" i="4"/>
  <c r="J53" i="4"/>
  <c r="N45" i="4"/>
  <c r="J45" i="4"/>
  <c r="N33" i="4"/>
  <c r="J33" i="4"/>
  <c r="N25" i="4"/>
  <c r="J25" i="4"/>
  <c r="N17" i="4"/>
  <c r="J17" i="4"/>
  <c r="J1542" i="4"/>
  <c r="J1534" i="4"/>
  <c r="J1526" i="4"/>
  <c r="J1518" i="4"/>
  <c r="J1510" i="4"/>
  <c r="J1490" i="4"/>
  <c r="J1439" i="4"/>
  <c r="J1423" i="4"/>
  <c r="J1407" i="4"/>
  <c r="J1375" i="4"/>
  <c r="J1359" i="4"/>
  <c r="J1343" i="4"/>
  <c r="J1327" i="4"/>
  <c r="J1295" i="4"/>
  <c r="J1279" i="4"/>
  <c r="J1263" i="4"/>
  <c r="J1540" i="4"/>
  <c r="J1536" i="4"/>
  <c r="J1532" i="4"/>
  <c r="J1528" i="4"/>
  <c r="J1524" i="4"/>
  <c r="J1520" i="4"/>
  <c r="J1516" i="4"/>
  <c r="J1512" i="4"/>
  <c r="J1508" i="4"/>
  <c r="J1504" i="4"/>
  <c r="J1500" i="4"/>
  <c r="J1496" i="4"/>
  <c r="J1492" i="4"/>
  <c r="J1488" i="4"/>
  <c r="J1484" i="4"/>
  <c r="J1474" i="4"/>
  <c r="J1468" i="4"/>
  <c r="J1458" i="4"/>
  <c r="J1452" i="4"/>
  <c r="J1442" i="4"/>
  <c r="J1436" i="4"/>
  <c r="J1426" i="4"/>
  <c r="J1420" i="4"/>
  <c r="J1410" i="4"/>
  <c r="J1404" i="4"/>
  <c r="J1394" i="4"/>
  <c r="J1388" i="4"/>
  <c r="J1378" i="4"/>
  <c r="J1372" i="4"/>
  <c r="J1362" i="4"/>
  <c r="J1356" i="4"/>
  <c r="J1346" i="4"/>
  <c r="J1340" i="4"/>
  <c r="J1330" i="4"/>
  <c r="J1324" i="4"/>
  <c r="J1314" i="4"/>
  <c r="J1308" i="4"/>
  <c r="J1298" i="4"/>
  <c r="J1292" i="4"/>
  <c r="J1282" i="4"/>
  <c r="J1276" i="4"/>
  <c r="J1266" i="4"/>
  <c r="J1260" i="4"/>
  <c r="J1250" i="4"/>
  <c r="J1244" i="4"/>
  <c r="J1234" i="4"/>
  <c r="J1228" i="4"/>
  <c r="J1218" i="4"/>
  <c r="J1212" i="4"/>
  <c r="J1202" i="4"/>
  <c r="J1196" i="4"/>
  <c r="J1186" i="4"/>
  <c r="J1180" i="4"/>
  <c r="J1170" i="4"/>
  <c r="J1164" i="4"/>
  <c r="J1154" i="4"/>
  <c r="J1148" i="4"/>
  <c r="J1138" i="4"/>
  <c r="J1132" i="4"/>
  <c r="J1122" i="4"/>
  <c r="J1116" i="4"/>
  <c r="J1106" i="4"/>
  <c r="J1100" i="4"/>
  <c r="J1090" i="4"/>
  <c r="J1084" i="4"/>
  <c r="J1074" i="4"/>
  <c r="J1068" i="4"/>
  <c r="J1058" i="4"/>
  <c r="J1052" i="4"/>
  <c r="J1042" i="4"/>
  <c r="J1036" i="4"/>
  <c r="J1026" i="4"/>
  <c r="J1020" i="4"/>
  <c r="J1010" i="4"/>
  <c r="J1004" i="4"/>
  <c r="J994" i="4"/>
  <c r="J988" i="4"/>
  <c r="J978" i="4"/>
  <c r="J972" i="4"/>
  <c r="J962" i="4"/>
  <c r="J956" i="4"/>
  <c r="J946" i="4"/>
  <c r="J940" i="4"/>
  <c r="J930" i="4"/>
  <c r="J924" i="4"/>
  <c r="J914" i="4"/>
  <c r="J908" i="4"/>
  <c r="J896" i="4"/>
  <c r="J888" i="4"/>
  <c r="J880" i="4"/>
  <c r="J872" i="4"/>
  <c r="J864" i="4"/>
  <c r="J856" i="4"/>
  <c r="J848" i="4"/>
  <c r="J840" i="4"/>
  <c r="J832" i="4"/>
  <c r="J824" i="4"/>
  <c r="J816" i="4"/>
  <c r="J808" i="4"/>
  <c r="J800" i="4"/>
  <c r="J792" i="4"/>
  <c r="J784" i="4"/>
  <c r="J776" i="4"/>
  <c r="J768" i="4"/>
  <c r="J760" i="4"/>
  <c r="J752" i="4"/>
  <c r="J744" i="4"/>
  <c r="J736" i="4"/>
  <c r="J728" i="4"/>
  <c r="J720" i="4"/>
  <c r="J712" i="4"/>
  <c r="J704" i="4"/>
  <c r="J696" i="4"/>
  <c r="J688" i="4"/>
  <c r="J680" i="4"/>
  <c r="J672" i="4"/>
  <c r="J664" i="4"/>
  <c r="J656" i="4"/>
  <c r="J648" i="4"/>
  <c r="J640" i="4"/>
  <c r="J632" i="4"/>
  <c r="J624" i="4"/>
  <c r="J616" i="4"/>
  <c r="J608" i="4"/>
  <c r="J600" i="4"/>
  <c r="J592" i="4"/>
  <c r="J584" i="4"/>
  <c r="J576" i="4"/>
  <c r="J568" i="4"/>
  <c r="J560" i="4"/>
  <c r="J552" i="4"/>
  <c r="J544" i="4"/>
  <c r="J536" i="4"/>
  <c r="J528" i="4"/>
  <c r="J520" i="4"/>
  <c r="J512" i="4"/>
  <c r="J504" i="4"/>
  <c r="J496" i="4"/>
  <c r="J488" i="4"/>
  <c r="J480" i="4"/>
  <c r="J472" i="4"/>
  <c r="J464" i="4"/>
  <c r="J456" i="4"/>
  <c r="J448" i="4"/>
  <c r="J440" i="4"/>
  <c r="J432" i="4"/>
  <c r="J424" i="4"/>
  <c r="J416" i="4"/>
  <c r="J408" i="4"/>
  <c r="J400" i="4"/>
  <c r="J392" i="4"/>
  <c r="J384" i="4"/>
  <c r="J376" i="4"/>
  <c r="J368" i="4"/>
  <c r="J360" i="4"/>
  <c r="J352" i="4"/>
  <c r="J344" i="4"/>
  <c r="J336" i="4"/>
  <c r="J328" i="4"/>
  <c r="J320" i="4"/>
  <c r="J312" i="4"/>
  <c r="J304" i="4"/>
  <c r="J296" i="4"/>
  <c r="J288" i="4"/>
  <c r="J280" i="4"/>
  <c r="J272" i="4"/>
  <c r="J264" i="4"/>
  <c r="J256" i="4"/>
  <c r="J248" i="4"/>
  <c r="J240" i="4"/>
  <c r="J232" i="4"/>
  <c r="J224" i="4"/>
  <c r="J216" i="4"/>
  <c r="J208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80" i="4"/>
  <c r="J72" i="4"/>
  <c r="J64" i="4"/>
  <c r="J56" i="4"/>
  <c r="J48" i="4"/>
  <c r="J40" i="4"/>
  <c r="J32" i="4"/>
  <c r="J24" i="4"/>
  <c r="J16" i="4"/>
  <c r="K660" i="4"/>
  <c r="K650" i="4"/>
  <c r="K628" i="4"/>
  <c r="K596" i="4"/>
  <c r="K404" i="4"/>
  <c r="K372" i="4"/>
  <c r="K340" i="4"/>
  <c r="K308" i="4"/>
  <c r="K276" i="4"/>
  <c r="K244" i="4"/>
  <c r="K180" i="4"/>
  <c r="K116" i="4"/>
  <c r="K52" i="4"/>
  <c r="K20" i="4"/>
  <c r="N898" i="4"/>
  <c r="N882" i="4"/>
  <c r="N866" i="4"/>
  <c r="N850" i="4"/>
  <c r="N834" i="4"/>
  <c r="N818" i="4"/>
  <c r="N802" i="4"/>
  <c r="N786" i="4"/>
  <c r="N770" i="4"/>
  <c r="N754" i="4"/>
  <c r="N738" i="4"/>
  <c r="N722" i="4"/>
  <c r="N706" i="4"/>
  <c r="N690" i="4"/>
  <c r="N674" i="4"/>
  <c r="N658" i="4"/>
  <c r="N642" i="4"/>
  <c r="B22" i="2"/>
  <c r="R10" i="2"/>
  <c r="R10" i="1"/>
  <c r="B21" i="1"/>
  <c r="K2" i="4"/>
  <c r="L2" i="4"/>
  <c r="L6" i="4"/>
  <c r="K6" i="4"/>
  <c r="N6" i="4"/>
  <c r="J7" i="4"/>
  <c r="N8" i="4"/>
  <c r="J9" i="4"/>
  <c r="L9" i="4" s="1"/>
  <c r="J3" i="4"/>
  <c r="J4" i="4"/>
  <c r="J5" i="4"/>
  <c r="K212" i="4" l="1"/>
  <c r="L652" i="4"/>
  <c r="L44" i="4"/>
  <c r="L1323" i="4"/>
  <c r="K1440" i="4"/>
  <c r="L907" i="4"/>
  <c r="L92" i="4"/>
  <c r="K356" i="4"/>
  <c r="L1303" i="4"/>
  <c r="K431" i="4"/>
  <c r="L1131" i="4"/>
  <c r="K8" i="4"/>
  <c r="L444" i="4"/>
  <c r="K420" i="4"/>
  <c r="L1104" i="4"/>
  <c r="K698" i="4"/>
  <c r="K786" i="4"/>
  <c r="L1111" i="4"/>
  <c r="K455" i="4"/>
  <c r="K1178" i="4"/>
  <c r="K1498" i="4"/>
  <c r="L923" i="4"/>
  <c r="K1072" i="4"/>
  <c r="K1184" i="4"/>
  <c r="K778" i="4"/>
  <c r="L460" i="4"/>
  <c r="K452" i="4"/>
  <c r="K1024" i="4"/>
  <c r="K132" i="4"/>
  <c r="L1328" i="4"/>
  <c r="L39" i="4"/>
  <c r="K564" i="4"/>
  <c r="K484" i="4"/>
  <c r="L1456" i="4"/>
  <c r="L108" i="4"/>
  <c r="L588" i="4"/>
  <c r="K36" i="4"/>
  <c r="K196" i="4"/>
  <c r="K794" i="4"/>
  <c r="K687" i="4"/>
  <c r="K1146" i="4"/>
  <c r="L1040" i="4"/>
  <c r="K658" i="4"/>
  <c r="L124" i="4"/>
  <c r="L508" i="4"/>
  <c r="L1136" i="4"/>
  <c r="K159" i="4"/>
  <c r="K815" i="4"/>
  <c r="K1210" i="4"/>
  <c r="K15" i="4"/>
  <c r="L1339" i="4"/>
  <c r="K1402" i="4"/>
  <c r="K388" i="4"/>
  <c r="K516" i="4"/>
  <c r="L1264" i="4"/>
  <c r="K644" i="4"/>
  <c r="K674" i="4"/>
  <c r="K295" i="4"/>
  <c r="K375" i="4"/>
  <c r="K1088" i="4"/>
  <c r="K1472" i="4"/>
  <c r="L1008" i="4"/>
  <c r="L770" i="4"/>
  <c r="L268" i="4"/>
  <c r="K682" i="4"/>
  <c r="L572" i="4"/>
  <c r="K292" i="4"/>
  <c r="L850" i="4"/>
  <c r="L1162" i="4"/>
  <c r="L1360" i="4"/>
  <c r="L348" i="4"/>
  <c r="K324" i="4"/>
  <c r="K722" i="4"/>
  <c r="K858" i="4"/>
  <c r="K1354" i="4"/>
  <c r="K207" i="4"/>
  <c r="L156" i="4"/>
  <c r="K1280" i="4"/>
  <c r="L1063" i="4"/>
  <c r="K810" i="4"/>
  <c r="L636" i="4"/>
  <c r="K992" i="4"/>
  <c r="L204" i="4"/>
  <c r="L428" i="4"/>
  <c r="K495" i="4"/>
  <c r="K500" i="4"/>
  <c r="K532" i="4"/>
  <c r="K68" i="4"/>
  <c r="L1083" i="4"/>
  <c r="K567" i="4"/>
  <c r="K1434" i="4"/>
  <c r="L1168" i="4"/>
  <c r="K260" i="4"/>
  <c r="K634" i="4"/>
  <c r="L28" i="4"/>
  <c r="L412" i="4"/>
  <c r="K1467" i="4"/>
  <c r="K1200" i="4"/>
  <c r="L1067" i="4"/>
  <c r="K1274" i="4"/>
  <c r="L399" i="4"/>
  <c r="L492" i="4"/>
  <c r="K468" i="4"/>
  <c r="K263" i="4"/>
  <c r="K84" i="4"/>
  <c r="K802" i="4"/>
  <c r="L332" i="4"/>
  <c r="L976" i="4"/>
  <c r="L967" i="4"/>
  <c r="K148" i="4"/>
  <c r="K228" i="4"/>
  <c r="K612" i="4"/>
  <c r="L1392" i="4"/>
  <c r="L556" i="4"/>
  <c r="K255" i="4"/>
  <c r="K79" i="4"/>
  <c r="K1050" i="4"/>
  <c r="K436" i="4"/>
  <c r="K960" i="4"/>
  <c r="K762" i="4"/>
  <c r="K1386" i="4"/>
  <c r="K543" i="4"/>
  <c r="K1312" i="4"/>
  <c r="K890" i="4"/>
  <c r="K623" i="4"/>
  <c r="K1120" i="4"/>
  <c r="L919" i="4"/>
  <c r="K799" i="4"/>
  <c r="K327" i="4"/>
  <c r="K1194" i="4"/>
  <c r="L708" i="4"/>
  <c r="K708" i="4"/>
  <c r="L772" i="4"/>
  <c r="K772" i="4"/>
  <c r="L836" i="4"/>
  <c r="K836" i="4"/>
  <c r="L900" i="4"/>
  <c r="K900" i="4"/>
  <c r="L668" i="4"/>
  <c r="K668" i="4"/>
  <c r="L684" i="4"/>
  <c r="K684" i="4"/>
  <c r="L764" i="4"/>
  <c r="K764" i="4"/>
  <c r="L780" i="4"/>
  <c r="K780" i="4"/>
  <c r="L812" i="4"/>
  <c r="K812" i="4"/>
  <c r="L892" i="4"/>
  <c r="K892" i="4"/>
  <c r="L724" i="4"/>
  <c r="K724" i="4"/>
  <c r="L788" i="4"/>
  <c r="K788" i="4"/>
  <c r="L852" i="4"/>
  <c r="K852" i="4"/>
  <c r="L916" i="4"/>
  <c r="K916" i="4"/>
  <c r="L948" i="4"/>
  <c r="K948" i="4"/>
  <c r="L980" i="4"/>
  <c r="K980" i="4"/>
  <c r="L1012" i="4"/>
  <c r="K1012" i="4"/>
  <c r="L1044" i="4"/>
  <c r="K1044" i="4"/>
  <c r="L1076" i="4"/>
  <c r="K1076" i="4"/>
  <c r="L1108" i="4"/>
  <c r="K1108" i="4"/>
  <c r="L1140" i="4"/>
  <c r="K1140" i="4"/>
  <c r="L1172" i="4"/>
  <c r="K1172" i="4"/>
  <c r="L1204" i="4"/>
  <c r="K1204" i="4"/>
  <c r="L1236" i="4"/>
  <c r="K1236" i="4"/>
  <c r="L1268" i="4"/>
  <c r="K1268" i="4"/>
  <c r="L1300" i="4"/>
  <c r="K1300" i="4"/>
  <c r="L1332" i="4"/>
  <c r="K1332" i="4"/>
  <c r="L1364" i="4"/>
  <c r="K1364" i="4"/>
  <c r="L1396" i="4"/>
  <c r="K1396" i="4"/>
  <c r="L1428" i="4"/>
  <c r="K1428" i="4"/>
  <c r="L1460" i="4"/>
  <c r="K1460" i="4"/>
  <c r="L676" i="4"/>
  <c r="K676" i="4"/>
  <c r="L740" i="4"/>
  <c r="K740" i="4"/>
  <c r="L804" i="4"/>
  <c r="K804" i="4"/>
  <c r="L868" i="4"/>
  <c r="K868" i="4"/>
  <c r="L700" i="4"/>
  <c r="K700" i="4"/>
  <c r="L716" i="4"/>
  <c r="K716" i="4"/>
  <c r="L732" i="4"/>
  <c r="K732" i="4"/>
  <c r="L748" i="4"/>
  <c r="K748" i="4"/>
  <c r="L796" i="4"/>
  <c r="K796" i="4"/>
  <c r="L828" i="4"/>
  <c r="K828" i="4"/>
  <c r="L844" i="4"/>
  <c r="K844" i="4"/>
  <c r="L860" i="4"/>
  <c r="K860" i="4"/>
  <c r="L876" i="4"/>
  <c r="K876" i="4"/>
  <c r="L692" i="4"/>
  <c r="K692" i="4"/>
  <c r="L756" i="4"/>
  <c r="K756" i="4"/>
  <c r="L820" i="4"/>
  <c r="K820" i="4"/>
  <c r="L884" i="4"/>
  <c r="K884" i="4"/>
  <c r="L932" i="4"/>
  <c r="K932" i="4"/>
  <c r="L964" i="4"/>
  <c r="K964" i="4"/>
  <c r="L996" i="4"/>
  <c r="K996" i="4"/>
  <c r="L1028" i="4"/>
  <c r="K1028" i="4"/>
  <c r="L1060" i="4"/>
  <c r="K1060" i="4"/>
  <c r="L1092" i="4"/>
  <c r="K1092" i="4"/>
  <c r="L1124" i="4"/>
  <c r="K1124" i="4"/>
  <c r="L1156" i="4"/>
  <c r="K1156" i="4"/>
  <c r="L1188" i="4"/>
  <c r="K1188" i="4"/>
  <c r="L1220" i="4"/>
  <c r="K1220" i="4"/>
  <c r="L1252" i="4"/>
  <c r="K1252" i="4"/>
  <c r="L1284" i="4"/>
  <c r="K1284" i="4"/>
  <c r="L1316" i="4"/>
  <c r="K1316" i="4"/>
  <c r="L1348" i="4"/>
  <c r="K1348" i="4"/>
  <c r="L1380" i="4"/>
  <c r="K1380" i="4"/>
  <c r="L1412" i="4"/>
  <c r="K1412" i="4"/>
  <c r="L1444" i="4"/>
  <c r="K1444" i="4"/>
  <c r="L1476" i="4"/>
  <c r="K1476" i="4"/>
  <c r="L1395" i="4"/>
  <c r="K1395" i="4"/>
  <c r="L223" i="4"/>
  <c r="K223" i="4"/>
  <c r="L679" i="4"/>
  <c r="K679" i="4"/>
  <c r="L998" i="4"/>
  <c r="K998" i="4"/>
  <c r="K1275" i="4"/>
  <c r="L1275" i="4"/>
  <c r="K1371" i="4"/>
  <c r="L1371" i="4"/>
  <c r="L1430" i="4"/>
  <c r="K1430" i="4"/>
  <c r="K1495" i="4"/>
  <c r="L1495" i="4"/>
  <c r="L1535" i="4"/>
  <c r="K1535" i="4"/>
  <c r="L911" i="4"/>
  <c r="K911" i="4"/>
  <c r="L943" i="4"/>
  <c r="K943" i="4"/>
  <c r="L975" i="4"/>
  <c r="K975" i="4"/>
  <c r="L1007" i="4"/>
  <c r="K1007" i="4"/>
  <c r="L1039" i="4"/>
  <c r="K1039" i="4"/>
  <c r="L63" i="4"/>
  <c r="K63" i="4"/>
  <c r="L231" i="4"/>
  <c r="K231" i="4"/>
  <c r="L519" i="4"/>
  <c r="K519" i="4"/>
  <c r="L735" i="4"/>
  <c r="K735" i="4"/>
  <c r="L902" i="4"/>
  <c r="K902" i="4"/>
  <c r="K987" i="4"/>
  <c r="L987" i="4"/>
  <c r="L1078" i="4"/>
  <c r="K1078" i="4"/>
  <c r="K1163" i="4"/>
  <c r="L1163" i="4"/>
  <c r="L1366" i="4"/>
  <c r="K1366" i="4"/>
  <c r="L1446" i="4"/>
  <c r="K1446" i="4"/>
  <c r="L1519" i="4"/>
  <c r="K1519" i="4"/>
  <c r="K48" i="4"/>
  <c r="L48" i="4"/>
  <c r="K112" i="4"/>
  <c r="L112" i="4"/>
  <c r="K176" i="4"/>
  <c r="L176" i="4"/>
  <c r="K240" i="4"/>
  <c r="L240" i="4"/>
  <c r="K304" i="4"/>
  <c r="L304" i="4"/>
  <c r="K368" i="4"/>
  <c r="L368" i="4"/>
  <c r="K432" i="4"/>
  <c r="L432" i="4"/>
  <c r="K496" i="4"/>
  <c r="L496" i="4"/>
  <c r="K528" i="4"/>
  <c r="L528" i="4"/>
  <c r="K592" i="4"/>
  <c r="L592" i="4"/>
  <c r="K656" i="4"/>
  <c r="L656" i="4"/>
  <c r="K720" i="4"/>
  <c r="L720" i="4"/>
  <c r="K784" i="4"/>
  <c r="L784" i="4"/>
  <c r="L880" i="4"/>
  <c r="K880" i="4"/>
  <c r="L946" i="4"/>
  <c r="K946" i="4"/>
  <c r="L1010" i="4"/>
  <c r="K1010" i="4"/>
  <c r="L1074" i="4"/>
  <c r="K1074" i="4"/>
  <c r="L1106" i="4"/>
  <c r="K1106" i="4"/>
  <c r="L1170" i="4"/>
  <c r="K1170" i="4"/>
  <c r="L1234" i="4"/>
  <c r="K1234" i="4"/>
  <c r="L1298" i="4"/>
  <c r="K1298" i="4"/>
  <c r="L1362" i="4"/>
  <c r="K1362" i="4"/>
  <c r="L1394" i="4"/>
  <c r="K1394" i="4"/>
  <c r="L1458" i="4"/>
  <c r="K1458" i="4"/>
  <c r="L1504" i="4"/>
  <c r="K1504" i="4"/>
  <c r="K1520" i="4"/>
  <c r="L1520" i="4"/>
  <c r="L1295" i="4"/>
  <c r="K1295" i="4"/>
  <c r="L1490" i="4"/>
  <c r="K1490" i="4"/>
  <c r="K25" i="4"/>
  <c r="L25" i="4"/>
  <c r="K61" i="4"/>
  <c r="L61" i="4"/>
  <c r="K97" i="4"/>
  <c r="L97" i="4"/>
  <c r="K129" i="4"/>
  <c r="L129" i="4"/>
  <c r="K165" i="4"/>
  <c r="L165" i="4"/>
  <c r="K201" i="4"/>
  <c r="L201" i="4"/>
  <c r="K217" i="4"/>
  <c r="L217" i="4"/>
  <c r="K249" i="4"/>
  <c r="L249" i="4"/>
  <c r="K269" i="4"/>
  <c r="L269" i="4"/>
  <c r="K305" i="4"/>
  <c r="L305" i="4"/>
  <c r="K353" i="4"/>
  <c r="L353" i="4"/>
  <c r="K397" i="4"/>
  <c r="L397" i="4"/>
  <c r="K445" i="4"/>
  <c r="L445" i="4"/>
  <c r="K469" i="4"/>
  <c r="L469" i="4"/>
  <c r="K525" i="4"/>
  <c r="L525" i="4"/>
  <c r="K617" i="4"/>
  <c r="L617" i="4"/>
  <c r="L689" i="4"/>
  <c r="K689" i="4"/>
  <c r="L749" i="4"/>
  <c r="K749" i="4"/>
  <c r="L825" i="4"/>
  <c r="K825" i="4"/>
  <c r="L71" i="4"/>
  <c r="K71" i="4"/>
  <c r="L271" i="4"/>
  <c r="K271" i="4"/>
  <c r="L487" i="4"/>
  <c r="K487" i="4"/>
  <c r="L671" i="4"/>
  <c r="K671" i="4"/>
  <c r="L918" i="4"/>
  <c r="K918" i="4"/>
  <c r="K1291" i="4"/>
  <c r="L1291" i="4"/>
  <c r="L35" i="4"/>
  <c r="K35" i="4"/>
  <c r="L99" i="4"/>
  <c r="K99" i="4"/>
  <c r="L163" i="4"/>
  <c r="K163" i="4"/>
  <c r="L227" i="4"/>
  <c r="K227" i="4"/>
  <c r="L291" i="4"/>
  <c r="K291" i="4"/>
  <c r="L355" i="4"/>
  <c r="K355" i="4"/>
  <c r="L419" i="4"/>
  <c r="K419" i="4"/>
  <c r="L483" i="4"/>
  <c r="K483" i="4"/>
  <c r="L547" i="4"/>
  <c r="K547" i="4"/>
  <c r="L611" i="4"/>
  <c r="K611" i="4"/>
  <c r="L675" i="4"/>
  <c r="K675" i="4"/>
  <c r="L707" i="4"/>
  <c r="K707" i="4"/>
  <c r="L771" i="4"/>
  <c r="K771" i="4"/>
  <c r="L835" i="4"/>
  <c r="K835" i="4"/>
  <c r="L867" i="4"/>
  <c r="K867" i="4"/>
  <c r="L920" i="4"/>
  <c r="K920" i="4"/>
  <c r="L963" i="4"/>
  <c r="K963" i="4"/>
  <c r="L1006" i="4"/>
  <c r="K1006" i="4"/>
  <c r="L1048" i="4"/>
  <c r="K1048" i="4"/>
  <c r="L1091" i="4"/>
  <c r="K1091" i="4"/>
  <c r="L1134" i="4"/>
  <c r="K1134" i="4"/>
  <c r="L1176" i="4"/>
  <c r="K1176" i="4"/>
  <c r="L1219" i="4"/>
  <c r="K1219" i="4"/>
  <c r="L1262" i="4"/>
  <c r="K1262" i="4"/>
  <c r="L1304" i="4"/>
  <c r="K1304" i="4"/>
  <c r="L1347" i="4"/>
  <c r="K1347" i="4"/>
  <c r="L1390" i="4"/>
  <c r="K1390" i="4"/>
  <c r="L1432" i="4"/>
  <c r="K1432" i="4"/>
  <c r="L1475" i="4"/>
  <c r="K1475" i="4"/>
  <c r="K1509" i="4"/>
  <c r="L1509" i="4"/>
  <c r="K1541" i="4"/>
  <c r="L1541" i="4"/>
  <c r="L1103" i="4"/>
  <c r="K1103" i="4"/>
  <c r="L1199" i="4"/>
  <c r="K1199" i="4"/>
  <c r="L1306" i="4"/>
  <c r="K1306" i="4"/>
  <c r="L1486" i="4"/>
  <c r="K1486" i="4"/>
  <c r="K13" i="4"/>
  <c r="L13" i="4"/>
  <c r="K57" i="4"/>
  <c r="L57" i="4"/>
  <c r="K101" i="4"/>
  <c r="L101" i="4"/>
  <c r="K133" i="4"/>
  <c r="L133" i="4"/>
  <c r="K161" i="4"/>
  <c r="L161" i="4"/>
  <c r="K189" i="4"/>
  <c r="L189" i="4"/>
  <c r="K221" i="4"/>
  <c r="L221" i="4"/>
  <c r="K253" i="4"/>
  <c r="L253" i="4"/>
  <c r="K281" i="4"/>
  <c r="L281" i="4"/>
  <c r="K309" i="4"/>
  <c r="L309" i="4"/>
  <c r="K333" i="4"/>
  <c r="L333" i="4"/>
  <c r="K357" i="4"/>
  <c r="L357" i="4"/>
  <c r="K381" i="4"/>
  <c r="L381" i="4"/>
  <c r="K405" i="4"/>
  <c r="L405" i="4"/>
  <c r="K429" i="4"/>
  <c r="L429" i="4"/>
  <c r="K453" i="4"/>
  <c r="L453" i="4"/>
  <c r="K477" i="4"/>
  <c r="L477" i="4"/>
  <c r="K501" i="4"/>
  <c r="L501" i="4"/>
  <c r="K521" i="4"/>
  <c r="L521" i="4"/>
  <c r="K545" i="4"/>
  <c r="L545" i="4"/>
  <c r="K569" i="4"/>
  <c r="L569" i="4"/>
  <c r="K589" i="4"/>
  <c r="L589" i="4"/>
  <c r="K609" i="4"/>
  <c r="L609" i="4"/>
  <c r="K629" i="4"/>
  <c r="L629" i="4"/>
  <c r="K649" i="4"/>
  <c r="L649" i="4"/>
  <c r="L669" i="4"/>
  <c r="K669" i="4"/>
  <c r="K693" i="4"/>
  <c r="L693" i="4"/>
  <c r="L713" i="4"/>
  <c r="K713" i="4"/>
  <c r="L737" i="4"/>
  <c r="K737" i="4"/>
  <c r="K757" i="4"/>
  <c r="L757" i="4"/>
  <c r="L777" i="4"/>
  <c r="K777" i="4"/>
  <c r="L797" i="4"/>
  <c r="K797" i="4"/>
  <c r="L817" i="4"/>
  <c r="K817" i="4"/>
  <c r="L829" i="4"/>
  <c r="K829" i="4"/>
  <c r="L849" i="4"/>
  <c r="K849" i="4"/>
  <c r="K869" i="4"/>
  <c r="L869" i="4"/>
  <c r="L877" i="4"/>
  <c r="K877" i="4"/>
  <c r="L893" i="4"/>
  <c r="K893" i="4"/>
  <c r="L909" i="4"/>
  <c r="K909" i="4"/>
  <c r="K933" i="4"/>
  <c r="L933" i="4"/>
  <c r="K949" i="4"/>
  <c r="L949" i="4"/>
  <c r="L957" i="4"/>
  <c r="K957" i="4"/>
  <c r="L973" i="4"/>
  <c r="K973" i="4"/>
  <c r="L989" i="4"/>
  <c r="K989" i="4"/>
  <c r="L1005" i="4"/>
  <c r="K1005" i="4"/>
  <c r="L1021" i="4"/>
  <c r="K1021" i="4"/>
  <c r="L1037" i="4"/>
  <c r="K1037" i="4"/>
  <c r="K1061" i="4"/>
  <c r="L1061" i="4"/>
  <c r="K1077" i="4"/>
  <c r="L1077" i="4"/>
  <c r="K1093" i="4"/>
  <c r="L1093" i="4"/>
  <c r="K1109" i="4"/>
  <c r="L1109" i="4"/>
  <c r="K1125" i="4"/>
  <c r="L1125" i="4"/>
  <c r="K1141" i="4"/>
  <c r="L1141" i="4"/>
  <c r="L1149" i="4"/>
  <c r="K1149" i="4"/>
  <c r="K1173" i="4"/>
  <c r="L1173" i="4"/>
  <c r="L1181" i="4"/>
  <c r="K1181" i="4"/>
  <c r="L1197" i="4"/>
  <c r="K1197" i="4"/>
  <c r="L1213" i="4"/>
  <c r="K1213" i="4"/>
  <c r="L1229" i="4"/>
  <c r="K1229" i="4"/>
  <c r="L1245" i="4"/>
  <c r="K1245" i="4"/>
  <c r="K1269" i="4"/>
  <c r="L1269" i="4"/>
  <c r="K1285" i="4"/>
  <c r="L1285" i="4"/>
  <c r="K1301" i="4"/>
  <c r="L1301" i="4"/>
  <c r="L1309" i="4"/>
  <c r="K1309" i="4"/>
  <c r="L1325" i="4"/>
  <c r="K1325" i="4"/>
  <c r="K1349" i="4"/>
  <c r="L1349" i="4"/>
  <c r="K1365" i="4"/>
  <c r="L1365" i="4"/>
  <c r="L1373" i="4"/>
  <c r="K1373" i="4"/>
  <c r="L1389" i="4"/>
  <c r="K1389" i="4"/>
  <c r="K1413" i="4"/>
  <c r="L1413" i="4"/>
  <c r="K1429" i="4"/>
  <c r="L1429" i="4"/>
  <c r="L1437" i="4"/>
  <c r="K1437" i="4"/>
  <c r="L1453" i="4"/>
  <c r="K1453" i="4"/>
  <c r="K1477" i="4"/>
  <c r="L1477" i="4"/>
  <c r="L199" i="4"/>
  <c r="K199" i="4"/>
  <c r="L407" i="4"/>
  <c r="K407" i="4"/>
  <c r="L663" i="4"/>
  <c r="K663" i="4"/>
  <c r="L847" i="4"/>
  <c r="K847" i="4"/>
  <c r="L982" i="4"/>
  <c r="K982" i="4"/>
  <c r="K1195" i="4"/>
  <c r="L1195" i="4"/>
  <c r="K1419" i="4"/>
  <c r="L1419" i="4"/>
  <c r="L1523" i="4"/>
  <c r="K1523" i="4"/>
  <c r="L38" i="4"/>
  <c r="K38" i="4"/>
  <c r="L74" i="4"/>
  <c r="K74" i="4"/>
  <c r="L114" i="4"/>
  <c r="K114" i="4"/>
  <c r="L150" i="4"/>
  <c r="K150" i="4"/>
  <c r="L170" i="4"/>
  <c r="K170" i="4"/>
  <c r="L206" i="4"/>
  <c r="K206" i="4"/>
  <c r="L242" i="4"/>
  <c r="K242" i="4"/>
  <c r="L270" i="4"/>
  <c r="K270" i="4"/>
  <c r="L326" i="4"/>
  <c r="K326" i="4"/>
  <c r="L366" i="4"/>
  <c r="K366" i="4"/>
  <c r="L398" i="4"/>
  <c r="K398" i="4"/>
  <c r="L442" i="4"/>
  <c r="K442" i="4"/>
  <c r="L474" i="4"/>
  <c r="K474" i="4"/>
  <c r="L510" i="4"/>
  <c r="K510" i="4"/>
  <c r="L550" i="4"/>
  <c r="K550" i="4"/>
  <c r="L570" i="4"/>
  <c r="K570" i="4"/>
  <c r="L602" i="4"/>
  <c r="K602" i="4"/>
  <c r="L618" i="4"/>
  <c r="K618" i="4"/>
  <c r="L662" i="4"/>
  <c r="K662" i="4"/>
  <c r="L694" i="4"/>
  <c r="K694" i="4"/>
  <c r="L726" i="4"/>
  <c r="K726" i="4"/>
  <c r="L758" i="4"/>
  <c r="K758" i="4"/>
  <c r="L790" i="4"/>
  <c r="K790" i="4"/>
  <c r="L822" i="4"/>
  <c r="K822" i="4"/>
  <c r="L854" i="4"/>
  <c r="K854" i="4"/>
  <c r="L906" i="4"/>
  <c r="K906" i="4"/>
  <c r="L970" i="4"/>
  <c r="K970" i="4"/>
  <c r="L1034" i="4"/>
  <c r="K1034" i="4"/>
  <c r="L479" i="4"/>
  <c r="K479" i="4"/>
  <c r="K871" i="4"/>
  <c r="L871" i="4"/>
  <c r="L1030" i="4"/>
  <c r="K1030" i="4"/>
  <c r="L1318" i="4"/>
  <c r="K1318" i="4"/>
  <c r="L1507" i="4"/>
  <c r="K1507" i="4"/>
  <c r="L50" i="4"/>
  <c r="K50" i="4"/>
  <c r="L98" i="4"/>
  <c r="K98" i="4"/>
  <c r="L146" i="4"/>
  <c r="K146" i="4"/>
  <c r="L186" i="4"/>
  <c r="K186" i="4"/>
  <c r="L210" i="4"/>
  <c r="K210" i="4"/>
  <c r="L290" i="4"/>
  <c r="K290" i="4"/>
  <c r="L330" i="4"/>
  <c r="K330" i="4"/>
  <c r="L370" i="4"/>
  <c r="K370" i="4"/>
  <c r="L406" i="4"/>
  <c r="K406" i="4"/>
  <c r="L450" i="4"/>
  <c r="K450" i="4"/>
  <c r="L470" i="4"/>
  <c r="K470" i="4"/>
  <c r="L506" i="4"/>
  <c r="K506" i="4"/>
  <c r="L546" i="4"/>
  <c r="K546" i="4"/>
  <c r="L582" i="4"/>
  <c r="K582" i="4"/>
  <c r="L630" i="4"/>
  <c r="K630" i="4"/>
  <c r="L678" i="4"/>
  <c r="K678" i="4"/>
  <c r="L870" i="4"/>
  <c r="K870" i="4"/>
  <c r="L56" i="4"/>
  <c r="K56" i="4"/>
  <c r="L120" i="4"/>
  <c r="K120" i="4"/>
  <c r="L184" i="4"/>
  <c r="K184" i="4"/>
  <c r="L248" i="4"/>
  <c r="K248" i="4"/>
  <c r="L312" i="4"/>
  <c r="K312" i="4"/>
  <c r="L376" i="4"/>
  <c r="K376" i="4"/>
  <c r="L440" i="4"/>
  <c r="K440" i="4"/>
  <c r="L504" i="4"/>
  <c r="K504" i="4"/>
  <c r="L568" i="4"/>
  <c r="K568" i="4"/>
  <c r="L632" i="4"/>
  <c r="K632" i="4"/>
  <c r="L696" i="4"/>
  <c r="K696" i="4"/>
  <c r="L760" i="4"/>
  <c r="K760" i="4"/>
  <c r="L824" i="4"/>
  <c r="K824" i="4"/>
  <c r="L924" i="4"/>
  <c r="K924" i="4"/>
  <c r="L988" i="4"/>
  <c r="K988" i="4"/>
  <c r="L1052" i="4"/>
  <c r="K1052" i="4"/>
  <c r="L1148" i="4"/>
  <c r="K1148" i="4"/>
  <c r="L1212" i="4"/>
  <c r="K1212" i="4"/>
  <c r="L1276" i="4"/>
  <c r="K1276" i="4"/>
  <c r="L1340" i="4"/>
  <c r="K1340" i="4"/>
  <c r="L1404" i="4"/>
  <c r="K1404" i="4"/>
  <c r="L1468" i="4"/>
  <c r="K1468" i="4"/>
  <c r="L1508" i="4"/>
  <c r="K1508" i="4"/>
  <c r="L1540" i="4"/>
  <c r="K1540" i="4"/>
  <c r="L1407" i="4"/>
  <c r="K1407" i="4"/>
  <c r="L1542" i="4"/>
  <c r="K1542" i="4"/>
  <c r="L95" i="4"/>
  <c r="K95" i="4"/>
  <c r="L303" i="4"/>
  <c r="K303" i="4"/>
  <c r="L511" i="4"/>
  <c r="K511" i="4"/>
  <c r="K695" i="4"/>
  <c r="L695" i="4"/>
  <c r="L831" i="4"/>
  <c r="K831" i="4"/>
  <c r="L1222" i="4"/>
  <c r="K1222" i="4"/>
  <c r="L10" i="4"/>
  <c r="K10" i="4"/>
  <c r="L78" i="4"/>
  <c r="K78" i="4"/>
  <c r="L182" i="4"/>
  <c r="K182" i="4"/>
  <c r="L254" i="4"/>
  <c r="K254" i="4"/>
  <c r="L334" i="4"/>
  <c r="K334" i="4"/>
  <c r="L494" i="4"/>
  <c r="K494" i="4"/>
  <c r="L590" i="4"/>
  <c r="K590" i="4"/>
  <c r="L43" i="4"/>
  <c r="K43" i="4"/>
  <c r="L107" i="4"/>
  <c r="K107" i="4"/>
  <c r="L139" i="4"/>
  <c r="K139" i="4"/>
  <c r="L203" i="4"/>
  <c r="K203" i="4"/>
  <c r="L267" i="4"/>
  <c r="K267" i="4"/>
  <c r="L331" i="4"/>
  <c r="K331" i="4"/>
  <c r="L395" i="4"/>
  <c r="K395" i="4"/>
  <c r="L459" i="4"/>
  <c r="K459" i="4"/>
  <c r="L523" i="4"/>
  <c r="K523" i="4"/>
  <c r="L587" i="4"/>
  <c r="K587" i="4"/>
  <c r="L651" i="4"/>
  <c r="K651" i="4"/>
  <c r="K715" i="4"/>
  <c r="L715" i="4"/>
  <c r="K779" i="4"/>
  <c r="L779" i="4"/>
  <c r="K843" i="4"/>
  <c r="L843" i="4"/>
  <c r="L904" i="4"/>
  <c r="K904" i="4"/>
  <c r="L947" i="4"/>
  <c r="K947" i="4"/>
  <c r="L990" i="4"/>
  <c r="K990" i="4"/>
  <c r="L1032" i="4"/>
  <c r="K1032" i="4"/>
  <c r="L1054" i="4"/>
  <c r="K1054" i="4"/>
  <c r="L1096" i="4"/>
  <c r="K1096" i="4"/>
  <c r="L1160" i="4"/>
  <c r="K1160" i="4"/>
  <c r="L1203" i="4"/>
  <c r="K1203" i="4"/>
  <c r="L1246" i="4"/>
  <c r="K1246" i="4"/>
  <c r="L1288" i="4"/>
  <c r="K1288" i="4"/>
  <c r="L1331" i="4"/>
  <c r="K1331" i="4"/>
  <c r="L1374" i="4"/>
  <c r="K1374" i="4"/>
  <c r="L1438" i="4"/>
  <c r="K1438" i="4"/>
  <c r="L1480" i="4"/>
  <c r="K1480" i="4"/>
  <c r="L1513" i="4"/>
  <c r="K1513" i="4"/>
  <c r="L1114" i="4"/>
  <c r="K1114" i="4"/>
  <c r="L1215" i="4"/>
  <c r="K1215" i="4"/>
  <c r="L1494" i="4"/>
  <c r="K1494" i="4"/>
  <c r="L127" i="4"/>
  <c r="K127" i="4"/>
  <c r="L423" i="4"/>
  <c r="K423" i="4"/>
  <c r="L767" i="4"/>
  <c r="K767" i="4"/>
  <c r="K1211" i="4"/>
  <c r="L1211" i="4"/>
  <c r="K32" i="4"/>
  <c r="L32" i="4"/>
  <c r="K64" i="4"/>
  <c r="L64" i="4"/>
  <c r="K96" i="4"/>
  <c r="L96" i="4"/>
  <c r="K128" i="4"/>
  <c r="L128" i="4"/>
  <c r="K160" i="4"/>
  <c r="L160" i="4"/>
  <c r="K192" i="4"/>
  <c r="L192" i="4"/>
  <c r="K224" i="4"/>
  <c r="L224" i="4"/>
  <c r="K256" i="4"/>
  <c r="L256" i="4"/>
  <c r="K288" i="4"/>
  <c r="L288" i="4"/>
  <c r="K320" i="4"/>
  <c r="L320" i="4"/>
  <c r="K352" i="4"/>
  <c r="L352" i="4"/>
  <c r="K384" i="4"/>
  <c r="L384" i="4"/>
  <c r="K416" i="4"/>
  <c r="L416" i="4"/>
  <c r="K448" i="4"/>
  <c r="L448" i="4"/>
  <c r="K480" i="4"/>
  <c r="L480" i="4"/>
  <c r="K512" i="4"/>
  <c r="L512" i="4"/>
  <c r="K544" i="4"/>
  <c r="L544" i="4"/>
  <c r="K576" i="4"/>
  <c r="L576" i="4"/>
  <c r="K608" i="4"/>
  <c r="L608" i="4"/>
  <c r="K640" i="4"/>
  <c r="L640" i="4"/>
  <c r="L672" i="4"/>
  <c r="K672" i="4"/>
  <c r="L704" i="4"/>
  <c r="K704" i="4"/>
  <c r="L736" i="4"/>
  <c r="K736" i="4"/>
  <c r="L768" i="4"/>
  <c r="K768" i="4"/>
  <c r="L800" i="4"/>
  <c r="K800" i="4"/>
  <c r="L832" i="4"/>
  <c r="K832" i="4"/>
  <c r="L864" i="4"/>
  <c r="K864" i="4"/>
  <c r="L896" i="4"/>
  <c r="K896" i="4"/>
  <c r="L930" i="4"/>
  <c r="K930" i="4"/>
  <c r="L962" i="4"/>
  <c r="K962" i="4"/>
  <c r="L994" i="4"/>
  <c r="K994" i="4"/>
  <c r="L1026" i="4"/>
  <c r="K1026" i="4"/>
  <c r="L1058" i="4"/>
  <c r="K1058" i="4"/>
  <c r="L1090" i="4"/>
  <c r="K1090" i="4"/>
  <c r="L1122" i="4"/>
  <c r="K1122" i="4"/>
  <c r="L1154" i="4"/>
  <c r="K1154" i="4"/>
  <c r="L1186" i="4"/>
  <c r="K1186" i="4"/>
  <c r="L1218" i="4"/>
  <c r="K1218" i="4"/>
  <c r="L1250" i="4"/>
  <c r="K1250" i="4"/>
  <c r="L1282" i="4"/>
  <c r="K1282" i="4"/>
  <c r="L1314" i="4"/>
  <c r="K1314" i="4"/>
  <c r="L1346" i="4"/>
  <c r="K1346" i="4"/>
  <c r="L1378" i="4"/>
  <c r="K1378" i="4"/>
  <c r="L1410" i="4"/>
  <c r="K1410" i="4"/>
  <c r="L1442" i="4"/>
  <c r="K1442" i="4"/>
  <c r="L1474" i="4"/>
  <c r="K1474" i="4"/>
  <c r="L1496" i="4"/>
  <c r="K1496" i="4"/>
  <c r="L1512" i="4"/>
  <c r="K1512" i="4"/>
  <c r="L1528" i="4"/>
  <c r="K1528" i="4"/>
  <c r="L1263" i="4"/>
  <c r="K1263" i="4"/>
  <c r="L1343" i="4"/>
  <c r="K1343" i="4"/>
  <c r="L1423" i="4"/>
  <c r="K1423" i="4"/>
  <c r="L1518" i="4"/>
  <c r="K1518" i="4"/>
  <c r="K17" i="4"/>
  <c r="L17" i="4"/>
  <c r="K33" i="4"/>
  <c r="L33" i="4"/>
  <c r="K53" i="4"/>
  <c r="L53" i="4"/>
  <c r="K69" i="4"/>
  <c r="L69" i="4"/>
  <c r="K85" i="4"/>
  <c r="L85" i="4"/>
  <c r="K105" i="4"/>
  <c r="L105" i="4"/>
  <c r="K121" i="4"/>
  <c r="L121" i="4"/>
  <c r="K137" i="4"/>
  <c r="L137" i="4"/>
  <c r="K153" i="4"/>
  <c r="L153" i="4"/>
  <c r="K177" i="4"/>
  <c r="L177" i="4"/>
  <c r="K193" i="4"/>
  <c r="L193" i="4"/>
  <c r="K209" i="4"/>
  <c r="L209" i="4"/>
  <c r="K225" i="4"/>
  <c r="L225" i="4"/>
  <c r="K241" i="4"/>
  <c r="L241" i="4"/>
  <c r="K257" i="4"/>
  <c r="L257" i="4"/>
  <c r="K277" i="4"/>
  <c r="L277" i="4"/>
  <c r="K293" i="4"/>
  <c r="L293" i="4"/>
  <c r="K317" i="4"/>
  <c r="L317" i="4"/>
  <c r="K341" i="4"/>
  <c r="L341" i="4"/>
  <c r="K361" i="4"/>
  <c r="L361" i="4"/>
  <c r="K385" i="4"/>
  <c r="L385" i="4"/>
  <c r="K409" i="4"/>
  <c r="L409" i="4"/>
  <c r="K433" i="4"/>
  <c r="L433" i="4"/>
  <c r="K457" i="4"/>
  <c r="L457" i="4"/>
  <c r="K485" i="4"/>
  <c r="L485" i="4"/>
  <c r="K513" i="4"/>
  <c r="L513" i="4"/>
  <c r="K537" i="4"/>
  <c r="L537" i="4"/>
  <c r="K565" i="4"/>
  <c r="L565" i="4"/>
  <c r="K597" i="4"/>
  <c r="L597" i="4"/>
  <c r="K637" i="4"/>
  <c r="L637" i="4"/>
  <c r="K673" i="4"/>
  <c r="L673" i="4"/>
  <c r="K709" i="4"/>
  <c r="L709" i="4"/>
  <c r="L733" i="4"/>
  <c r="K733" i="4"/>
  <c r="L765" i="4"/>
  <c r="K765" i="4"/>
  <c r="K805" i="4"/>
  <c r="L805" i="4"/>
  <c r="L841" i="4"/>
  <c r="K841" i="4"/>
  <c r="L31" i="4"/>
  <c r="K31" i="4"/>
  <c r="L119" i="4"/>
  <c r="K119" i="4"/>
  <c r="L215" i="4"/>
  <c r="K215" i="4"/>
  <c r="L335" i="4"/>
  <c r="K335" i="4"/>
  <c r="L439" i="4"/>
  <c r="K439" i="4"/>
  <c r="L535" i="4"/>
  <c r="K535" i="4"/>
  <c r="L631" i="4"/>
  <c r="K631" i="4"/>
  <c r="L719" i="4"/>
  <c r="K719" i="4"/>
  <c r="L863" i="4"/>
  <c r="K863" i="4"/>
  <c r="L1174" i="4"/>
  <c r="K1174" i="4"/>
  <c r="L1238" i="4"/>
  <c r="K1238" i="4"/>
  <c r="K1435" i="4"/>
  <c r="L1435" i="4"/>
  <c r="L19" i="4"/>
  <c r="K19" i="4"/>
  <c r="L51" i="4"/>
  <c r="K51" i="4"/>
  <c r="L83" i="4"/>
  <c r="K83" i="4"/>
  <c r="L115" i="4"/>
  <c r="K115" i="4"/>
  <c r="L147" i="4"/>
  <c r="K147" i="4"/>
  <c r="L179" i="4"/>
  <c r="K179" i="4"/>
  <c r="L211" i="4"/>
  <c r="K211" i="4"/>
  <c r="L243" i="4"/>
  <c r="K243" i="4"/>
  <c r="L275" i="4"/>
  <c r="K275" i="4"/>
  <c r="L307" i="4"/>
  <c r="K307" i="4"/>
  <c r="L339" i="4"/>
  <c r="K339" i="4"/>
  <c r="L371" i="4"/>
  <c r="K371" i="4"/>
  <c r="L403" i="4"/>
  <c r="K403" i="4"/>
  <c r="L435" i="4"/>
  <c r="K435" i="4"/>
  <c r="L467" i="4"/>
  <c r="K467" i="4"/>
  <c r="L499" i="4"/>
  <c r="K499" i="4"/>
  <c r="L531" i="4"/>
  <c r="K531" i="4"/>
  <c r="L563" i="4"/>
  <c r="K563" i="4"/>
  <c r="L595" i="4"/>
  <c r="K595" i="4"/>
  <c r="L627" i="4"/>
  <c r="K627" i="4"/>
  <c r="L659" i="4"/>
  <c r="K659" i="4"/>
  <c r="L691" i="4"/>
  <c r="K691" i="4"/>
  <c r="L723" i="4"/>
  <c r="K723" i="4"/>
  <c r="L755" i="4"/>
  <c r="K755" i="4"/>
  <c r="L787" i="4"/>
  <c r="K787" i="4"/>
  <c r="L819" i="4"/>
  <c r="K819" i="4"/>
  <c r="L851" i="4"/>
  <c r="K851" i="4"/>
  <c r="L883" i="4"/>
  <c r="K883" i="4"/>
  <c r="L910" i="4"/>
  <c r="K910" i="4"/>
  <c r="L931" i="4"/>
  <c r="K931" i="4"/>
  <c r="L952" i="4"/>
  <c r="K952" i="4"/>
  <c r="L974" i="4"/>
  <c r="K974" i="4"/>
  <c r="L995" i="4"/>
  <c r="K995" i="4"/>
  <c r="L1016" i="4"/>
  <c r="K1016" i="4"/>
  <c r="L1038" i="4"/>
  <c r="K1038" i="4"/>
  <c r="L1059" i="4"/>
  <c r="K1059" i="4"/>
  <c r="L1080" i="4"/>
  <c r="K1080" i="4"/>
  <c r="L1102" i="4"/>
  <c r="K1102" i="4"/>
  <c r="L1123" i="4"/>
  <c r="K1123" i="4"/>
  <c r="L1144" i="4"/>
  <c r="K1144" i="4"/>
  <c r="L1166" i="4"/>
  <c r="K1166" i="4"/>
  <c r="L1187" i="4"/>
  <c r="K1187" i="4"/>
  <c r="L1208" i="4"/>
  <c r="K1208" i="4"/>
  <c r="L1230" i="4"/>
  <c r="K1230" i="4"/>
  <c r="L1251" i="4"/>
  <c r="K1251" i="4"/>
  <c r="L1272" i="4"/>
  <c r="K1272" i="4"/>
  <c r="L1294" i="4"/>
  <c r="K1294" i="4"/>
  <c r="L1315" i="4"/>
  <c r="K1315" i="4"/>
  <c r="L1336" i="4"/>
  <c r="K1336" i="4"/>
  <c r="L1358" i="4"/>
  <c r="K1358" i="4"/>
  <c r="L1379" i="4"/>
  <c r="K1379" i="4"/>
  <c r="L1400" i="4"/>
  <c r="K1400" i="4"/>
  <c r="L1422" i="4"/>
  <c r="K1422" i="4"/>
  <c r="L1443" i="4"/>
  <c r="K1443" i="4"/>
  <c r="L1464" i="4"/>
  <c r="K1464" i="4"/>
  <c r="L1485" i="4"/>
  <c r="K1485" i="4"/>
  <c r="L1501" i="4"/>
  <c r="K1501" i="4"/>
  <c r="L1517" i="4"/>
  <c r="K1517" i="4"/>
  <c r="L1533" i="4"/>
  <c r="K1533" i="4"/>
  <c r="L1055" i="4"/>
  <c r="K1055" i="4"/>
  <c r="L1087" i="4"/>
  <c r="K1087" i="4"/>
  <c r="L1119" i="4"/>
  <c r="K1119" i="4"/>
  <c r="L1167" i="4"/>
  <c r="K1167" i="4"/>
  <c r="L1231" i="4"/>
  <c r="K1231" i="4"/>
  <c r="L1322" i="4"/>
  <c r="K1322" i="4"/>
  <c r="L1466" i="4"/>
  <c r="K1466" i="4"/>
  <c r="L1502" i="4"/>
  <c r="K1502" i="4"/>
  <c r="L1530" i="4"/>
  <c r="K1530" i="4"/>
  <c r="K21" i="4"/>
  <c r="L21" i="4"/>
  <c r="K37" i="4"/>
  <c r="L37" i="4"/>
  <c r="K49" i="4"/>
  <c r="L49" i="4"/>
  <c r="K65" i="4"/>
  <c r="L65" i="4"/>
  <c r="K81" i="4"/>
  <c r="L81" i="4"/>
  <c r="K93" i="4"/>
  <c r="L93" i="4"/>
  <c r="K109" i="4"/>
  <c r="L109" i="4"/>
  <c r="K125" i="4"/>
  <c r="L125" i="4"/>
  <c r="K141" i="4"/>
  <c r="L141" i="4"/>
  <c r="K157" i="4"/>
  <c r="L157" i="4"/>
  <c r="K169" i="4"/>
  <c r="L169" i="4"/>
  <c r="K181" i="4"/>
  <c r="L181" i="4"/>
  <c r="K197" i="4"/>
  <c r="L197" i="4"/>
  <c r="K213" i="4"/>
  <c r="L213" i="4"/>
  <c r="K229" i="4"/>
  <c r="L229" i="4"/>
  <c r="K245" i="4"/>
  <c r="L245" i="4"/>
  <c r="K261" i="4"/>
  <c r="L261" i="4"/>
  <c r="K273" i="4"/>
  <c r="L273" i="4"/>
  <c r="K289" i="4"/>
  <c r="L289" i="4"/>
  <c r="K301" i="4"/>
  <c r="L301" i="4"/>
  <c r="K313" i="4"/>
  <c r="L313" i="4"/>
  <c r="K325" i="4"/>
  <c r="L325" i="4"/>
  <c r="K337" i="4"/>
  <c r="L337" i="4"/>
  <c r="K349" i="4"/>
  <c r="L349" i="4"/>
  <c r="K365" i="4"/>
  <c r="L365" i="4"/>
  <c r="K377" i="4"/>
  <c r="L377" i="4"/>
  <c r="K389" i="4"/>
  <c r="L389" i="4"/>
  <c r="K401" i="4"/>
  <c r="L401" i="4"/>
  <c r="K413" i="4"/>
  <c r="L413" i="4"/>
  <c r="K425" i="4"/>
  <c r="L425" i="4"/>
  <c r="K437" i="4"/>
  <c r="L437" i="4"/>
  <c r="K449" i="4"/>
  <c r="L449" i="4"/>
  <c r="K461" i="4"/>
  <c r="L461" i="4"/>
  <c r="K473" i="4"/>
  <c r="L473" i="4"/>
  <c r="K481" i="4"/>
  <c r="L481" i="4"/>
  <c r="K493" i="4"/>
  <c r="L493" i="4"/>
  <c r="K505" i="4"/>
  <c r="L505" i="4"/>
  <c r="K517" i="4"/>
  <c r="L517" i="4"/>
  <c r="K529" i="4"/>
  <c r="L529" i="4"/>
  <c r="K541" i="4"/>
  <c r="L541" i="4"/>
  <c r="K553" i="4"/>
  <c r="L553" i="4"/>
  <c r="K561" i="4"/>
  <c r="L561" i="4"/>
  <c r="K573" i="4"/>
  <c r="L573" i="4"/>
  <c r="K585" i="4"/>
  <c r="L585" i="4"/>
  <c r="K593" i="4"/>
  <c r="L593" i="4"/>
  <c r="K605" i="4"/>
  <c r="L605" i="4"/>
  <c r="K613" i="4"/>
  <c r="L613" i="4"/>
  <c r="K625" i="4"/>
  <c r="L625" i="4"/>
  <c r="K633" i="4"/>
  <c r="L633" i="4"/>
  <c r="K645" i="4"/>
  <c r="L645" i="4"/>
  <c r="K657" i="4"/>
  <c r="L657" i="4"/>
  <c r="L665" i="4"/>
  <c r="K665" i="4"/>
  <c r="L677" i="4"/>
  <c r="K677" i="4"/>
  <c r="L685" i="4"/>
  <c r="K685" i="4"/>
  <c r="L697" i="4"/>
  <c r="K697" i="4"/>
  <c r="L705" i="4"/>
  <c r="K705" i="4"/>
  <c r="L717" i="4"/>
  <c r="K717" i="4"/>
  <c r="L729" i="4"/>
  <c r="K729" i="4"/>
  <c r="K741" i="4"/>
  <c r="L741" i="4"/>
  <c r="L753" i="4"/>
  <c r="K753" i="4"/>
  <c r="L761" i="4"/>
  <c r="K761" i="4"/>
  <c r="K773" i="4"/>
  <c r="L773" i="4"/>
  <c r="L781" i="4"/>
  <c r="K781" i="4"/>
  <c r="L793" i="4"/>
  <c r="K793" i="4"/>
  <c r="L801" i="4"/>
  <c r="K801" i="4"/>
  <c r="L813" i="4"/>
  <c r="K813" i="4"/>
  <c r="K821" i="4"/>
  <c r="L821" i="4"/>
  <c r="L833" i="4"/>
  <c r="K833" i="4"/>
  <c r="L845" i="4"/>
  <c r="K845" i="4"/>
  <c r="K853" i="4"/>
  <c r="L853" i="4"/>
  <c r="L865" i="4"/>
  <c r="K865" i="4"/>
  <c r="L873" i="4"/>
  <c r="K873" i="4"/>
  <c r="L881" i="4"/>
  <c r="K881" i="4"/>
  <c r="L889" i="4"/>
  <c r="K889" i="4"/>
  <c r="L897" i="4"/>
  <c r="K897" i="4"/>
  <c r="L905" i="4"/>
  <c r="K905" i="4"/>
  <c r="L913" i="4"/>
  <c r="K913" i="4"/>
  <c r="L921" i="4"/>
  <c r="K921" i="4"/>
  <c r="L929" i="4"/>
  <c r="K929" i="4"/>
  <c r="L937" i="4"/>
  <c r="K937" i="4"/>
  <c r="L945" i="4"/>
  <c r="K945" i="4"/>
  <c r="L953" i="4"/>
  <c r="K953" i="4"/>
  <c r="L961" i="4"/>
  <c r="K961" i="4"/>
  <c r="L969" i="4"/>
  <c r="K969" i="4"/>
  <c r="L977" i="4"/>
  <c r="K977" i="4"/>
  <c r="L985" i="4"/>
  <c r="K985" i="4"/>
  <c r="L993" i="4"/>
  <c r="K993" i="4"/>
  <c r="L1001" i="4"/>
  <c r="K1001" i="4"/>
  <c r="L1009" i="4"/>
  <c r="K1009" i="4"/>
  <c r="L1017" i="4"/>
  <c r="K1017" i="4"/>
  <c r="L1025" i="4"/>
  <c r="K1025" i="4"/>
  <c r="L1033" i="4"/>
  <c r="K1033" i="4"/>
  <c r="L1041" i="4"/>
  <c r="K1041" i="4"/>
  <c r="L1049" i="4"/>
  <c r="K1049" i="4"/>
  <c r="L1057" i="4"/>
  <c r="K1057" i="4"/>
  <c r="L1065" i="4"/>
  <c r="K1065" i="4"/>
  <c r="L1073" i="4"/>
  <c r="K1073" i="4"/>
  <c r="L1081" i="4"/>
  <c r="K1081" i="4"/>
  <c r="L1089" i="4"/>
  <c r="K1089" i="4"/>
  <c r="L1097" i="4"/>
  <c r="K1097" i="4"/>
  <c r="L1105" i="4"/>
  <c r="K1105" i="4"/>
  <c r="L1113" i="4"/>
  <c r="K1113" i="4"/>
  <c r="L1121" i="4"/>
  <c r="K1121" i="4"/>
  <c r="L1129" i="4"/>
  <c r="K1129" i="4"/>
  <c r="L1137" i="4"/>
  <c r="K1137" i="4"/>
  <c r="L1145" i="4"/>
  <c r="K1145" i="4"/>
  <c r="L1153" i="4"/>
  <c r="K1153" i="4"/>
  <c r="L1161" i="4"/>
  <c r="K1161" i="4"/>
  <c r="L1169" i="4"/>
  <c r="K1169" i="4"/>
  <c r="L1177" i="4"/>
  <c r="K1177" i="4"/>
  <c r="L1185" i="4"/>
  <c r="K1185" i="4"/>
  <c r="L1193" i="4"/>
  <c r="K1193" i="4"/>
  <c r="L1201" i="4"/>
  <c r="K1201" i="4"/>
  <c r="L1209" i="4"/>
  <c r="K1209" i="4"/>
  <c r="L1217" i="4"/>
  <c r="K1217" i="4"/>
  <c r="L1225" i="4"/>
  <c r="K1225" i="4"/>
  <c r="L1233" i="4"/>
  <c r="K1233" i="4"/>
  <c r="L1241" i="4"/>
  <c r="K1241" i="4"/>
  <c r="L1249" i="4"/>
  <c r="K1249" i="4"/>
  <c r="L1257" i="4"/>
  <c r="K1257" i="4"/>
  <c r="L1265" i="4"/>
  <c r="K1265" i="4"/>
  <c r="L1273" i="4"/>
  <c r="K1273" i="4"/>
  <c r="L1281" i="4"/>
  <c r="K1281" i="4"/>
  <c r="L1289" i="4"/>
  <c r="K1289" i="4"/>
  <c r="L1297" i="4"/>
  <c r="K1297" i="4"/>
  <c r="L1305" i="4"/>
  <c r="K1305" i="4"/>
  <c r="L1313" i="4"/>
  <c r="K1313" i="4"/>
  <c r="L1321" i="4"/>
  <c r="K1321" i="4"/>
  <c r="L1329" i="4"/>
  <c r="K1329" i="4"/>
  <c r="L1337" i="4"/>
  <c r="K1337" i="4"/>
  <c r="L1345" i="4"/>
  <c r="K1345" i="4"/>
  <c r="L1353" i="4"/>
  <c r="K1353" i="4"/>
  <c r="L1361" i="4"/>
  <c r="K1361" i="4"/>
  <c r="L1369" i="4"/>
  <c r="K1369" i="4"/>
  <c r="L1377" i="4"/>
  <c r="K1377" i="4"/>
  <c r="L1385" i="4"/>
  <c r="K1385" i="4"/>
  <c r="L1393" i="4"/>
  <c r="K1393" i="4"/>
  <c r="L1401" i="4"/>
  <c r="K1401" i="4"/>
  <c r="L1409" i="4"/>
  <c r="K1409" i="4"/>
  <c r="L1417" i="4"/>
  <c r="K1417" i="4"/>
  <c r="L1425" i="4"/>
  <c r="K1425" i="4"/>
  <c r="L1433" i="4"/>
  <c r="K1433" i="4"/>
  <c r="L1441" i="4"/>
  <c r="K1441" i="4"/>
  <c r="L1449" i="4"/>
  <c r="K1449" i="4"/>
  <c r="L1457" i="4"/>
  <c r="K1457" i="4"/>
  <c r="L1465" i="4"/>
  <c r="K1465" i="4"/>
  <c r="L1473" i="4"/>
  <c r="K1473" i="4"/>
  <c r="L1481" i="4"/>
  <c r="K1481" i="4"/>
  <c r="L23" i="4"/>
  <c r="K23" i="4"/>
  <c r="L151" i="4"/>
  <c r="K151" i="4"/>
  <c r="L247" i="4"/>
  <c r="K247" i="4"/>
  <c r="L359" i="4"/>
  <c r="K359" i="4"/>
  <c r="L447" i="4"/>
  <c r="K447" i="4"/>
  <c r="L615" i="4"/>
  <c r="K615" i="4"/>
  <c r="L703" i="4"/>
  <c r="K703" i="4"/>
  <c r="K807" i="4"/>
  <c r="L807" i="4"/>
  <c r="K887" i="4"/>
  <c r="L887" i="4"/>
  <c r="K1051" i="4"/>
  <c r="L1051" i="4"/>
  <c r="L1158" i="4"/>
  <c r="K1158" i="4"/>
  <c r="K1227" i="4"/>
  <c r="L1227" i="4"/>
  <c r="L1286" i="4"/>
  <c r="K1286" i="4"/>
  <c r="K1387" i="4"/>
  <c r="L1387" i="4"/>
  <c r="K1451" i="4"/>
  <c r="L1451" i="4"/>
  <c r="L1503" i="4"/>
  <c r="K1503" i="4"/>
  <c r="L14" i="4"/>
  <c r="K14" i="4"/>
  <c r="L30" i="4"/>
  <c r="K30" i="4"/>
  <c r="L46" i="4"/>
  <c r="K46" i="4"/>
  <c r="L66" i="4"/>
  <c r="K66" i="4"/>
  <c r="L82" i="4"/>
  <c r="K82" i="4"/>
  <c r="L102" i="4"/>
  <c r="K102" i="4"/>
  <c r="L122" i="4"/>
  <c r="K122" i="4"/>
  <c r="L142" i="4"/>
  <c r="K142" i="4"/>
  <c r="L162" i="4"/>
  <c r="K162" i="4"/>
  <c r="L178" i="4"/>
  <c r="K178" i="4"/>
  <c r="L198" i="4"/>
  <c r="K198" i="4"/>
  <c r="L214" i="4"/>
  <c r="K214" i="4"/>
  <c r="L234" i="4"/>
  <c r="K234" i="4"/>
  <c r="L250" i="4"/>
  <c r="K250" i="4"/>
  <c r="L262" i="4"/>
  <c r="K262" i="4"/>
  <c r="L282" i="4"/>
  <c r="K282" i="4"/>
  <c r="L298" i="4"/>
  <c r="K298" i="4"/>
  <c r="L318" i="4"/>
  <c r="K318" i="4"/>
  <c r="L338" i="4"/>
  <c r="K338" i="4"/>
  <c r="L354" i="4"/>
  <c r="K354" i="4"/>
  <c r="L374" i="4"/>
  <c r="K374" i="4"/>
  <c r="L390" i="4"/>
  <c r="K390" i="4"/>
  <c r="L414" i="4"/>
  <c r="K414" i="4"/>
  <c r="L430" i="4"/>
  <c r="K430" i="4"/>
  <c r="L446" i="4"/>
  <c r="K446" i="4"/>
  <c r="L466" i="4"/>
  <c r="K466" i="4"/>
  <c r="L482" i="4"/>
  <c r="K482" i="4"/>
  <c r="L502" i="4"/>
  <c r="K502" i="4"/>
  <c r="L522" i="4"/>
  <c r="K522" i="4"/>
  <c r="L542" i="4"/>
  <c r="K542" i="4"/>
  <c r="L558" i="4"/>
  <c r="K558" i="4"/>
  <c r="L578" i="4"/>
  <c r="K578" i="4"/>
  <c r="L594" i="4"/>
  <c r="K594" i="4"/>
  <c r="L610" i="4"/>
  <c r="K610" i="4"/>
  <c r="L626" i="4"/>
  <c r="K626" i="4"/>
  <c r="L670" i="4"/>
  <c r="K670" i="4"/>
  <c r="L686" i="4"/>
  <c r="K686" i="4"/>
  <c r="L702" i="4"/>
  <c r="K702" i="4"/>
  <c r="L718" i="4"/>
  <c r="K718" i="4"/>
  <c r="L750" i="4"/>
  <c r="K750" i="4"/>
  <c r="L766" i="4"/>
  <c r="K766" i="4"/>
  <c r="L798" i="4"/>
  <c r="K798" i="4"/>
  <c r="L830" i="4"/>
  <c r="K830" i="4"/>
  <c r="L846" i="4"/>
  <c r="K846" i="4"/>
  <c r="L862" i="4"/>
  <c r="K862" i="4"/>
  <c r="L922" i="4"/>
  <c r="K922" i="4"/>
  <c r="L954" i="4"/>
  <c r="K954" i="4"/>
  <c r="L986" i="4"/>
  <c r="K986" i="4"/>
  <c r="L1018" i="4"/>
  <c r="K1018" i="4"/>
  <c r="L87" i="4"/>
  <c r="K87" i="4"/>
  <c r="L311" i="4"/>
  <c r="K311" i="4"/>
  <c r="L575" i="4"/>
  <c r="K575" i="4"/>
  <c r="K775" i="4"/>
  <c r="L775" i="4"/>
  <c r="K939" i="4"/>
  <c r="L939" i="4"/>
  <c r="K1003" i="4"/>
  <c r="L1003" i="4"/>
  <c r="L1110" i="4"/>
  <c r="K1110" i="4"/>
  <c r="L1254" i="4"/>
  <c r="K1254" i="4"/>
  <c r="L1382" i="4"/>
  <c r="K1382" i="4"/>
  <c r="L1478" i="4"/>
  <c r="K1478" i="4"/>
  <c r="K1527" i="4"/>
  <c r="L1527" i="4"/>
  <c r="L34" i="4"/>
  <c r="K34" i="4"/>
  <c r="L62" i="4"/>
  <c r="K62" i="4"/>
  <c r="L86" i="4"/>
  <c r="K86" i="4"/>
  <c r="L110" i="4"/>
  <c r="K110" i="4"/>
  <c r="L134" i="4"/>
  <c r="K134" i="4"/>
  <c r="L154" i="4"/>
  <c r="K154" i="4"/>
  <c r="L174" i="4"/>
  <c r="K174" i="4"/>
  <c r="L194" i="4"/>
  <c r="K194" i="4"/>
  <c r="L222" i="4"/>
  <c r="K222" i="4"/>
  <c r="L246" i="4"/>
  <c r="K246" i="4"/>
  <c r="L278" i="4"/>
  <c r="K278" i="4"/>
  <c r="L302" i="4"/>
  <c r="K302" i="4"/>
  <c r="L322" i="4"/>
  <c r="K322" i="4"/>
  <c r="L342" i="4"/>
  <c r="K342" i="4"/>
  <c r="L358" i="4"/>
  <c r="K358" i="4"/>
  <c r="L378" i="4"/>
  <c r="K378" i="4"/>
  <c r="L402" i="4"/>
  <c r="K402" i="4"/>
  <c r="L418" i="4"/>
  <c r="K418" i="4"/>
  <c r="L438" i="4"/>
  <c r="K438" i="4"/>
  <c r="L458" i="4"/>
  <c r="K458" i="4"/>
  <c r="L478" i="4"/>
  <c r="K478" i="4"/>
  <c r="L498" i="4"/>
  <c r="K498" i="4"/>
  <c r="L518" i="4"/>
  <c r="K518" i="4"/>
  <c r="L534" i="4"/>
  <c r="K534" i="4"/>
  <c r="L554" i="4"/>
  <c r="K554" i="4"/>
  <c r="L574" i="4"/>
  <c r="K574" i="4"/>
  <c r="L598" i="4"/>
  <c r="K598" i="4"/>
  <c r="L614" i="4"/>
  <c r="K614" i="4"/>
  <c r="L638" i="4"/>
  <c r="K638" i="4"/>
  <c r="L710" i="4"/>
  <c r="K710" i="4"/>
  <c r="L734" i="4"/>
  <c r="K734" i="4"/>
  <c r="L774" i="4"/>
  <c r="K774" i="4"/>
  <c r="L838" i="4"/>
  <c r="K838" i="4"/>
  <c r="L886" i="4"/>
  <c r="K886" i="4"/>
  <c r="K16" i="4"/>
  <c r="L16" i="4"/>
  <c r="K80" i="4"/>
  <c r="L80" i="4"/>
  <c r="K144" i="4"/>
  <c r="L144" i="4"/>
  <c r="K208" i="4"/>
  <c r="L208" i="4"/>
  <c r="K272" i="4"/>
  <c r="L272" i="4"/>
  <c r="K336" i="4"/>
  <c r="L336" i="4"/>
  <c r="K400" i="4"/>
  <c r="L400" i="4"/>
  <c r="K464" i="4"/>
  <c r="L464" i="4"/>
  <c r="K560" i="4"/>
  <c r="L560" i="4"/>
  <c r="K624" i="4"/>
  <c r="L624" i="4"/>
  <c r="K688" i="4"/>
  <c r="L688" i="4"/>
  <c r="L752" i="4"/>
  <c r="K752" i="4"/>
  <c r="K816" i="4"/>
  <c r="L816" i="4"/>
  <c r="K848" i="4"/>
  <c r="L848" i="4"/>
  <c r="L914" i="4"/>
  <c r="K914" i="4"/>
  <c r="L978" i="4"/>
  <c r="K978" i="4"/>
  <c r="L1042" i="4"/>
  <c r="K1042" i="4"/>
  <c r="L1138" i="4"/>
  <c r="K1138" i="4"/>
  <c r="L1202" i="4"/>
  <c r="K1202" i="4"/>
  <c r="L1266" i="4"/>
  <c r="K1266" i="4"/>
  <c r="L1330" i="4"/>
  <c r="K1330" i="4"/>
  <c r="L1426" i="4"/>
  <c r="K1426" i="4"/>
  <c r="K1488" i="4"/>
  <c r="L1488" i="4"/>
  <c r="L1536" i="4"/>
  <c r="K1536" i="4"/>
  <c r="L1375" i="4"/>
  <c r="K1375" i="4"/>
  <c r="L1534" i="4"/>
  <c r="K1534" i="4"/>
  <c r="K45" i="4"/>
  <c r="L45" i="4"/>
  <c r="K77" i="4"/>
  <c r="L77" i="4"/>
  <c r="K113" i="4"/>
  <c r="L113" i="4"/>
  <c r="K145" i="4"/>
  <c r="L145" i="4"/>
  <c r="K185" i="4"/>
  <c r="L185" i="4"/>
  <c r="K233" i="4"/>
  <c r="L233" i="4"/>
  <c r="K285" i="4"/>
  <c r="L285" i="4"/>
  <c r="K329" i="4"/>
  <c r="L329" i="4"/>
  <c r="K373" i="4"/>
  <c r="L373" i="4"/>
  <c r="K421" i="4"/>
  <c r="L421" i="4"/>
  <c r="K497" i="4"/>
  <c r="L497" i="4"/>
  <c r="K549" i="4"/>
  <c r="L549" i="4"/>
  <c r="K581" i="4"/>
  <c r="L581" i="4"/>
  <c r="K653" i="4"/>
  <c r="L653" i="4"/>
  <c r="L721" i="4"/>
  <c r="K721" i="4"/>
  <c r="L785" i="4"/>
  <c r="K785" i="4"/>
  <c r="L861" i="4"/>
  <c r="K861" i="4"/>
  <c r="L167" i="4"/>
  <c r="K167" i="4"/>
  <c r="L391" i="4"/>
  <c r="K391" i="4"/>
  <c r="L583" i="4"/>
  <c r="K583" i="4"/>
  <c r="K791" i="4"/>
  <c r="L791" i="4"/>
  <c r="L1206" i="4"/>
  <c r="K1206" i="4"/>
  <c r="K1499" i="4"/>
  <c r="L1499" i="4"/>
  <c r="L67" i="4"/>
  <c r="K67" i="4"/>
  <c r="L131" i="4"/>
  <c r="K131" i="4"/>
  <c r="L195" i="4"/>
  <c r="K195" i="4"/>
  <c r="L259" i="4"/>
  <c r="K259" i="4"/>
  <c r="L323" i="4"/>
  <c r="K323" i="4"/>
  <c r="L387" i="4"/>
  <c r="K387" i="4"/>
  <c r="L451" i="4"/>
  <c r="K451" i="4"/>
  <c r="L515" i="4"/>
  <c r="K515" i="4"/>
  <c r="L579" i="4"/>
  <c r="K579" i="4"/>
  <c r="L643" i="4"/>
  <c r="K643" i="4"/>
  <c r="L739" i="4"/>
  <c r="K739" i="4"/>
  <c r="L803" i="4"/>
  <c r="K803" i="4"/>
  <c r="L899" i="4"/>
  <c r="K899" i="4"/>
  <c r="L942" i="4"/>
  <c r="K942" i="4"/>
  <c r="L984" i="4"/>
  <c r="K984" i="4"/>
  <c r="L1027" i="4"/>
  <c r="K1027" i="4"/>
  <c r="L1070" i="4"/>
  <c r="K1070" i="4"/>
  <c r="L1112" i="4"/>
  <c r="K1112" i="4"/>
  <c r="L1155" i="4"/>
  <c r="K1155" i="4"/>
  <c r="L1198" i="4"/>
  <c r="K1198" i="4"/>
  <c r="L1240" i="4"/>
  <c r="K1240" i="4"/>
  <c r="L1283" i="4"/>
  <c r="K1283" i="4"/>
  <c r="L1326" i="4"/>
  <c r="K1326" i="4"/>
  <c r="L1368" i="4"/>
  <c r="K1368" i="4"/>
  <c r="L1411" i="4"/>
  <c r="K1411" i="4"/>
  <c r="L1454" i="4"/>
  <c r="K1454" i="4"/>
  <c r="K1493" i="4"/>
  <c r="L1493" i="4"/>
  <c r="K1525" i="4"/>
  <c r="L1525" i="4"/>
  <c r="L1071" i="4"/>
  <c r="K1071" i="4"/>
  <c r="L1135" i="4"/>
  <c r="K1135" i="4"/>
  <c r="L1391" i="4"/>
  <c r="K1391" i="4"/>
  <c r="L1514" i="4"/>
  <c r="K1514" i="4"/>
  <c r="K29" i="4"/>
  <c r="L29" i="4"/>
  <c r="K41" i="4"/>
  <c r="L41" i="4"/>
  <c r="K73" i="4"/>
  <c r="L73" i="4"/>
  <c r="K89" i="4"/>
  <c r="L89" i="4"/>
  <c r="K117" i="4"/>
  <c r="L117" i="4"/>
  <c r="K149" i="4"/>
  <c r="L149" i="4"/>
  <c r="K173" i="4"/>
  <c r="L173" i="4"/>
  <c r="K205" i="4"/>
  <c r="L205" i="4"/>
  <c r="K237" i="4"/>
  <c r="L237" i="4"/>
  <c r="K265" i="4"/>
  <c r="L265" i="4"/>
  <c r="K297" i="4"/>
  <c r="L297" i="4"/>
  <c r="K321" i="4"/>
  <c r="L321" i="4"/>
  <c r="K345" i="4"/>
  <c r="L345" i="4"/>
  <c r="K369" i="4"/>
  <c r="L369" i="4"/>
  <c r="K393" i="4"/>
  <c r="L393" i="4"/>
  <c r="K417" i="4"/>
  <c r="L417" i="4"/>
  <c r="K441" i="4"/>
  <c r="L441" i="4"/>
  <c r="K465" i="4"/>
  <c r="L465" i="4"/>
  <c r="K489" i="4"/>
  <c r="L489" i="4"/>
  <c r="K509" i="4"/>
  <c r="L509" i="4"/>
  <c r="K533" i="4"/>
  <c r="L533" i="4"/>
  <c r="K557" i="4"/>
  <c r="L557" i="4"/>
  <c r="K577" i="4"/>
  <c r="L577" i="4"/>
  <c r="K601" i="4"/>
  <c r="L601" i="4"/>
  <c r="K621" i="4"/>
  <c r="L621" i="4"/>
  <c r="K641" i="4"/>
  <c r="L641" i="4"/>
  <c r="K661" i="4"/>
  <c r="L661" i="4"/>
  <c r="L681" i="4"/>
  <c r="K681" i="4"/>
  <c r="L701" i="4"/>
  <c r="K701" i="4"/>
  <c r="K725" i="4"/>
  <c r="L725" i="4"/>
  <c r="L745" i="4"/>
  <c r="K745" i="4"/>
  <c r="L769" i="4"/>
  <c r="K769" i="4"/>
  <c r="K789" i="4"/>
  <c r="L789" i="4"/>
  <c r="L809" i="4"/>
  <c r="K809" i="4"/>
  <c r="K837" i="4"/>
  <c r="L837" i="4"/>
  <c r="L857" i="4"/>
  <c r="K857" i="4"/>
  <c r="K885" i="4"/>
  <c r="L885" i="4"/>
  <c r="K901" i="4"/>
  <c r="L901" i="4"/>
  <c r="K917" i="4"/>
  <c r="L917" i="4"/>
  <c r="L925" i="4"/>
  <c r="K925" i="4"/>
  <c r="L941" i="4"/>
  <c r="K941" i="4"/>
  <c r="K965" i="4"/>
  <c r="L965" i="4"/>
  <c r="K981" i="4"/>
  <c r="L981" i="4"/>
  <c r="K997" i="4"/>
  <c r="L997" i="4"/>
  <c r="K1013" i="4"/>
  <c r="L1013" i="4"/>
  <c r="K1029" i="4"/>
  <c r="L1029" i="4"/>
  <c r="K1045" i="4"/>
  <c r="L1045" i="4"/>
  <c r="L1053" i="4"/>
  <c r="K1053" i="4"/>
  <c r="L1069" i="4"/>
  <c r="K1069" i="4"/>
  <c r="L1085" i="4"/>
  <c r="K1085" i="4"/>
  <c r="L1101" i="4"/>
  <c r="K1101" i="4"/>
  <c r="L1117" i="4"/>
  <c r="K1117" i="4"/>
  <c r="L1133" i="4"/>
  <c r="K1133" i="4"/>
  <c r="K1157" i="4"/>
  <c r="L1157" i="4"/>
  <c r="L1165" i="4"/>
  <c r="K1165" i="4"/>
  <c r="K1189" i="4"/>
  <c r="L1189" i="4"/>
  <c r="K1205" i="4"/>
  <c r="L1205" i="4"/>
  <c r="K1221" i="4"/>
  <c r="L1221" i="4"/>
  <c r="K1237" i="4"/>
  <c r="L1237" i="4"/>
  <c r="K1253" i="4"/>
  <c r="L1253" i="4"/>
  <c r="L1261" i="4"/>
  <c r="K1261" i="4"/>
  <c r="L1277" i="4"/>
  <c r="K1277" i="4"/>
  <c r="L1293" i="4"/>
  <c r="K1293" i="4"/>
  <c r="K1317" i="4"/>
  <c r="L1317" i="4"/>
  <c r="K1333" i="4"/>
  <c r="L1333" i="4"/>
  <c r="L1341" i="4"/>
  <c r="K1341" i="4"/>
  <c r="L1357" i="4"/>
  <c r="K1357" i="4"/>
  <c r="K1381" i="4"/>
  <c r="L1381" i="4"/>
  <c r="K1397" i="4"/>
  <c r="L1397" i="4"/>
  <c r="L1405" i="4"/>
  <c r="K1405" i="4"/>
  <c r="L1421" i="4"/>
  <c r="K1421" i="4"/>
  <c r="K1445" i="4"/>
  <c r="L1445" i="4"/>
  <c r="K1461" i="4"/>
  <c r="L1461" i="4"/>
  <c r="L1469" i="4"/>
  <c r="K1469" i="4"/>
  <c r="L103" i="4"/>
  <c r="K103" i="4"/>
  <c r="L319" i="4"/>
  <c r="K319" i="4"/>
  <c r="L527" i="4"/>
  <c r="K527" i="4"/>
  <c r="K743" i="4"/>
  <c r="L743" i="4"/>
  <c r="L1094" i="4"/>
  <c r="K1094" i="4"/>
  <c r="K1259" i="4"/>
  <c r="L1259" i="4"/>
  <c r="L1350" i="4"/>
  <c r="K1350" i="4"/>
  <c r="K1483" i="4"/>
  <c r="L1483" i="4"/>
  <c r="L22" i="4"/>
  <c r="K22" i="4"/>
  <c r="L54" i="4"/>
  <c r="K54" i="4"/>
  <c r="L90" i="4"/>
  <c r="K90" i="4"/>
  <c r="L130" i="4"/>
  <c r="K130" i="4"/>
  <c r="L190" i="4"/>
  <c r="K190" i="4"/>
  <c r="L226" i="4"/>
  <c r="K226" i="4"/>
  <c r="L258" i="4"/>
  <c r="K258" i="4"/>
  <c r="L286" i="4"/>
  <c r="K286" i="4"/>
  <c r="L306" i="4"/>
  <c r="K306" i="4"/>
  <c r="L346" i="4"/>
  <c r="K346" i="4"/>
  <c r="L382" i="4"/>
  <c r="K382" i="4"/>
  <c r="L422" i="4"/>
  <c r="K422" i="4"/>
  <c r="L454" i="4"/>
  <c r="K454" i="4"/>
  <c r="L490" i="4"/>
  <c r="K490" i="4"/>
  <c r="L530" i="4"/>
  <c r="K530" i="4"/>
  <c r="L586" i="4"/>
  <c r="K586" i="4"/>
  <c r="L646" i="4"/>
  <c r="K646" i="4"/>
  <c r="L938" i="4"/>
  <c r="K938" i="4"/>
  <c r="L1002" i="4"/>
  <c r="K1002" i="4"/>
  <c r="L135" i="4"/>
  <c r="K135" i="4"/>
  <c r="K711" i="4"/>
  <c r="L711" i="4"/>
  <c r="L966" i="4"/>
  <c r="K966" i="4"/>
  <c r="K1147" i="4"/>
  <c r="L1147" i="4"/>
  <c r="L1414" i="4"/>
  <c r="K1414" i="4"/>
  <c r="L18" i="4"/>
  <c r="K18" i="4"/>
  <c r="L70" i="4"/>
  <c r="K70" i="4"/>
  <c r="L126" i="4"/>
  <c r="K126" i="4"/>
  <c r="L166" i="4"/>
  <c r="K166" i="4"/>
  <c r="L230" i="4"/>
  <c r="K230" i="4"/>
  <c r="L266" i="4"/>
  <c r="K266" i="4"/>
  <c r="L310" i="4"/>
  <c r="K310" i="4"/>
  <c r="L350" i="4"/>
  <c r="K350" i="4"/>
  <c r="L394" i="4"/>
  <c r="K394" i="4"/>
  <c r="L426" i="4"/>
  <c r="K426" i="4"/>
  <c r="L486" i="4"/>
  <c r="K486" i="4"/>
  <c r="L526" i="4"/>
  <c r="K526" i="4"/>
  <c r="L562" i="4"/>
  <c r="K562" i="4"/>
  <c r="L606" i="4"/>
  <c r="K606" i="4"/>
  <c r="L742" i="4"/>
  <c r="K742" i="4"/>
  <c r="L806" i="4"/>
  <c r="K806" i="4"/>
  <c r="L894" i="4"/>
  <c r="K894" i="4"/>
  <c r="L24" i="4"/>
  <c r="K24" i="4"/>
  <c r="L88" i="4"/>
  <c r="K88" i="4"/>
  <c r="L152" i="4"/>
  <c r="K152" i="4"/>
  <c r="L216" i="4"/>
  <c r="K216" i="4"/>
  <c r="L280" i="4"/>
  <c r="K280" i="4"/>
  <c r="L344" i="4"/>
  <c r="K344" i="4"/>
  <c r="L408" i="4"/>
  <c r="K408" i="4"/>
  <c r="L472" i="4"/>
  <c r="K472" i="4"/>
  <c r="L536" i="4"/>
  <c r="K536" i="4"/>
  <c r="L600" i="4"/>
  <c r="K600" i="4"/>
  <c r="L664" i="4"/>
  <c r="K664" i="4"/>
  <c r="L728" i="4"/>
  <c r="K728" i="4"/>
  <c r="L792" i="4"/>
  <c r="K792" i="4"/>
  <c r="L856" i="4"/>
  <c r="K856" i="4"/>
  <c r="L888" i="4"/>
  <c r="K888" i="4"/>
  <c r="L956" i="4"/>
  <c r="K956" i="4"/>
  <c r="L1020" i="4"/>
  <c r="K1020" i="4"/>
  <c r="L1084" i="4"/>
  <c r="K1084" i="4"/>
  <c r="L1116" i="4"/>
  <c r="K1116" i="4"/>
  <c r="L1180" i="4"/>
  <c r="K1180" i="4"/>
  <c r="L1244" i="4"/>
  <c r="K1244" i="4"/>
  <c r="L1308" i="4"/>
  <c r="K1308" i="4"/>
  <c r="L1372" i="4"/>
  <c r="K1372" i="4"/>
  <c r="L1436" i="4"/>
  <c r="K1436" i="4"/>
  <c r="L1492" i="4"/>
  <c r="K1492" i="4"/>
  <c r="L1524" i="4"/>
  <c r="K1524" i="4"/>
  <c r="L1327" i="4"/>
  <c r="K1327" i="4"/>
  <c r="L1510" i="4"/>
  <c r="K1510" i="4"/>
  <c r="L191" i="4"/>
  <c r="K191" i="4"/>
  <c r="L415" i="4"/>
  <c r="K415" i="4"/>
  <c r="L607" i="4"/>
  <c r="K607" i="4"/>
  <c r="L1046" i="4"/>
  <c r="K1046" i="4"/>
  <c r="K1355" i="4"/>
  <c r="L1355" i="4"/>
  <c r="L42" i="4"/>
  <c r="K42" i="4"/>
  <c r="L106" i="4"/>
  <c r="K106" i="4"/>
  <c r="L138" i="4"/>
  <c r="K138" i="4"/>
  <c r="L218" i="4"/>
  <c r="K218" i="4"/>
  <c r="L294" i="4"/>
  <c r="K294" i="4"/>
  <c r="L386" i="4"/>
  <c r="K386" i="4"/>
  <c r="L434" i="4"/>
  <c r="K434" i="4"/>
  <c r="L538" i="4"/>
  <c r="K538" i="4"/>
  <c r="L654" i="4"/>
  <c r="K654" i="4"/>
  <c r="L782" i="4"/>
  <c r="K782" i="4"/>
  <c r="L11" i="4"/>
  <c r="K11" i="4"/>
  <c r="L75" i="4"/>
  <c r="K75" i="4"/>
  <c r="L171" i="4"/>
  <c r="K171" i="4"/>
  <c r="L235" i="4"/>
  <c r="K235" i="4"/>
  <c r="L299" i="4"/>
  <c r="K299" i="4"/>
  <c r="L363" i="4"/>
  <c r="K363" i="4"/>
  <c r="L427" i="4"/>
  <c r="K427" i="4"/>
  <c r="L491" i="4"/>
  <c r="K491" i="4"/>
  <c r="L555" i="4"/>
  <c r="K555" i="4"/>
  <c r="L619" i="4"/>
  <c r="K619" i="4"/>
  <c r="L683" i="4"/>
  <c r="K683" i="4"/>
  <c r="K747" i="4"/>
  <c r="L747" i="4"/>
  <c r="K811" i="4"/>
  <c r="L811" i="4"/>
  <c r="K875" i="4"/>
  <c r="L875" i="4"/>
  <c r="L926" i="4"/>
  <c r="K926" i="4"/>
  <c r="L968" i="4"/>
  <c r="K968" i="4"/>
  <c r="L1011" i="4"/>
  <c r="K1011" i="4"/>
  <c r="L1075" i="4"/>
  <c r="K1075" i="4"/>
  <c r="L1118" i="4"/>
  <c r="K1118" i="4"/>
  <c r="L1139" i="4"/>
  <c r="K1139" i="4"/>
  <c r="L1182" i="4"/>
  <c r="K1182" i="4"/>
  <c r="L1224" i="4"/>
  <c r="K1224" i="4"/>
  <c r="L1267" i="4"/>
  <c r="K1267" i="4"/>
  <c r="L1310" i="4"/>
  <c r="K1310" i="4"/>
  <c r="L1352" i="4"/>
  <c r="K1352" i="4"/>
  <c r="L1416" i="4"/>
  <c r="K1416" i="4"/>
  <c r="L1459" i="4"/>
  <c r="K1459" i="4"/>
  <c r="L1497" i="4"/>
  <c r="K1497" i="4"/>
  <c r="L1529" i="4"/>
  <c r="K1529" i="4"/>
  <c r="L1082" i="4"/>
  <c r="K1082" i="4"/>
  <c r="L1151" i="4"/>
  <c r="K1151" i="4"/>
  <c r="L1311" i="4"/>
  <c r="K1311" i="4"/>
  <c r="L1455" i="4"/>
  <c r="K1455" i="4"/>
  <c r="L1522" i="4"/>
  <c r="K1522" i="4"/>
  <c r="L343" i="4"/>
  <c r="K343" i="4"/>
  <c r="L551" i="4"/>
  <c r="K551" i="4"/>
  <c r="K855" i="4"/>
  <c r="L855" i="4"/>
  <c r="L1142" i="4"/>
  <c r="K1142" i="4"/>
  <c r="L40" i="4"/>
  <c r="K40" i="4"/>
  <c r="L72" i="4"/>
  <c r="K72" i="4"/>
  <c r="L104" i="4"/>
  <c r="K104" i="4"/>
  <c r="L136" i="4"/>
  <c r="K136" i="4"/>
  <c r="L168" i="4"/>
  <c r="K168" i="4"/>
  <c r="L200" i="4"/>
  <c r="K200" i="4"/>
  <c r="L232" i="4"/>
  <c r="K232" i="4"/>
  <c r="L264" i="4"/>
  <c r="K264" i="4"/>
  <c r="L296" i="4"/>
  <c r="K296" i="4"/>
  <c r="L328" i="4"/>
  <c r="K328" i="4"/>
  <c r="L360" i="4"/>
  <c r="K360" i="4"/>
  <c r="L392" i="4"/>
  <c r="K392" i="4"/>
  <c r="L424" i="4"/>
  <c r="K424" i="4"/>
  <c r="L456" i="4"/>
  <c r="K456" i="4"/>
  <c r="L488" i="4"/>
  <c r="K488" i="4"/>
  <c r="L520" i="4"/>
  <c r="K520" i="4"/>
  <c r="L552" i="4"/>
  <c r="K552" i="4"/>
  <c r="L584" i="4"/>
  <c r="K584" i="4"/>
  <c r="L616" i="4"/>
  <c r="K616" i="4"/>
  <c r="L648" i="4"/>
  <c r="K648" i="4"/>
  <c r="L680" i="4"/>
  <c r="K680" i="4"/>
  <c r="L712" i="4"/>
  <c r="K712" i="4"/>
  <c r="L744" i="4"/>
  <c r="K744" i="4"/>
  <c r="L776" i="4"/>
  <c r="K776" i="4"/>
  <c r="L808" i="4"/>
  <c r="K808" i="4"/>
  <c r="L840" i="4"/>
  <c r="K840" i="4"/>
  <c r="L872" i="4"/>
  <c r="K872" i="4"/>
  <c r="K908" i="4"/>
  <c r="L908" i="4"/>
  <c r="K940" i="4"/>
  <c r="L940" i="4"/>
  <c r="K972" i="4"/>
  <c r="L972" i="4"/>
  <c r="K1004" i="4"/>
  <c r="L1004" i="4"/>
  <c r="K1036" i="4"/>
  <c r="L1036" i="4"/>
  <c r="L1068" i="4"/>
  <c r="K1068" i="4"/>
  <c r="K1100" i="4"/>
  <c r="L1100" i="4"/>
  <c r="L1132" i="4"/>
  <c r="K1132" i="4"/>
  <c r="K1164" i="4"/>
  <c r="L1164" i="4"/>
  <c r="K1196" i="4"/>
  <c r="L1196" i="4"/>
  <c r="K1228" i="4"/>
  <c r="L1228" i="4"/>
  <c r="K1260" i="4"/>
  <c r="L1260" i="4"/>
  <c r="K1292" i="4"/>
  <c r="L1292" i="4"/>
  <c r="L1324" i="4"/>
  <c r="K1324" i="4"/>
  <c r="K1356" i="4"/>
  <c r="L1356" i="4"/>
  <c r="K1388" i="4"/>
  <c r="L1388" i="4"/>
  <c r="K1420" i="4"/>
  <c r="L1420" i="4"/>
  <c r="K1452" i="4"/>
  <c r="L1452" i="4"/>
  <c r="K1484" i="4"/>
  <c r="L1484" i="4"/>
  <c r="L1500" i="4"/>
  <c r="K1500" i="4"/>
  <c r="K1516" i="4"/>
  <c r="L1516" i="4"/>
  <c r="L1532" i="4"/>
  <c r="K1532" i="4"/>
  <c r="L1279" i="4"/>
  <c r="K1279" i="4"/>
  <c r="L1359" i="4"/>
  <c r="K1359" i="4"/>
  <c r="L1439" i="4"/>
  <c r="K1439" i="4"/>
  <c r="L1526" i="4"/>
  <c r="K1526" i="4"/>
  <c r="L47" i="4"/>
  <c r="K47" i="4"/>
  <c r="L143" i="4"/>
  <c r="K143" i="4"/>
  <c r="L239" i="4"/>
  <c r="K239" i="4"/>
  <c r="L367" i="4"/>
  <c r="K367" i="4"/>
  <c r="L463" i="4"/>
  <c r="K463" i="4"/>
  <c r="L559" i="4"/>
  <c r="K559" i="4"/>
  <c r="L655" i="4"/>
  <c r="K655" i="4"/>
  <c r="K759" i="4"/>
  <c r="L759" i="4"/>
  <c r="L895" i="4"/>
  <c r="K895" i="4"/>
  <c r="L1190" i="4"/>
  <c r="K1190" i="4"/>
  <c r="L1270" i="4"/>
  <c r="K1270" i="4"/>
  <c r="L1487" i="4"/>
  <c r="K1487" i="4"/>
  <c r="L26" i="4"/>
  <c r="K26" i="4"/>
  <c r="L58" i="4"/>
  <c r="K58" i="4"/>
  <c r="L94" i="4"/>
  <c r="K94" i="4"/>
  <c r="L118" i="4"/>
  <c r="K118" i="4"/>
  <c r="L158" i="4"/>
  <c r="K158" i="4"/>
  <c r="L202" i="4"/>
  <c r="K202" i="4"/>
  <c r="L238" i="4"/>
  <c r="K238" i="4"/>
  <c r="L274" i="4"/>
  <c r="K274" i="4"/>
  <c r="L314" i="4"/>
  <c r="K314" i="4"/>
  <c r="L362" i="4"/>
  <c r="K362" i="4"/>
  <c r="L410" i="4"/>
  <c r="K410" i="4"/>
  <c r="L462" i="4"/>
  <c r="K462" i="4"/>
  <c r="L514" i="4"/>
  <c r="K514" i="4"/>
  <c r="L566" i="4"/>
  <c r="K566" i="4"/>
  <c r="L622" i="4"/>
  <c r="K622" i="4"/>
  <c r="L814" i="4"/>
  <c r="K814" i="4"/>
  <c r="L878" i="4"/>
  <c r="K878" i="4"/>
  <c r="L27" i="4"/>
  <c r="K27" i="4"/>
  <c r="L59" i="4"/>
  <c r="K59" i="4"/>
  <c r="L91" i="4"/>
  <c r="K91" i="4"/>
  <c r="L123" i="4"/>
  <c r="K123" i="4"/>
  <c r="L155" i="4"/>
  <c r="K155" i="4"/>
  <c r="L187" i="4"/>
  <c r="K187" i="4"/>
  <c r="L219" i="4"/>
  <c r="K219" i="4"/>
  <c r="L251" i="4"/>
  <c r="K251" i="4"/>
  <c r="L283" i="4"/>
  <c r="K283" i="4"/>
  <c r="L315" i="4"/>
  <c r="K315" i="4"/>
  <c r="L347" i="4"/>
  <c r="K347" i="4"/>
  <c r="L379" i="4"/>
  <c r="K379" i="4"/>
  <c r="L411" i="4"/>
  <c r="K411" i="4"/>
  <c r="L443" i="4"/>
  <c r="K443" i="4"/>
  <c r="L475" i="4"/>
  <c r="K475" i="4"/>
  <c r="L507" i="4"/>
  <c r="K507" i="4"/>
  <c r="L539" i="4"/>
  <c r="K539" i="4"/>
  <c r="L571" i="4"/>
  <c r="K571" i="4"/>
  <c r="L603" i="4"/>
  <c r="K603" i="4"/>
  <c r="L635" i="4"/>
  <c r="K635" i="4"/>
  <c r="L667" i="4"/>
  <c r="K667" i="4"/>
  <c r="K699" i="4"/>
  <c r="L699" i="4"/>
  <c r="K731" i="4"/>
  <c r="L731" i="4"/>
  <c r="K763" i="4"/>
  <c r="L763" i="4"/>
  <c r="K795" i="4"/>
  <c r="L795" i="4"/>
  <c r="K827" i="4"/>
  <c r="L827" i="4"/>
  <c r="K859" i="4"/>
  <c r="L859" i="4"/>
  <c r="K891" i="4"/>
  <c r="L891" i="4"/>
  <c r="L915" i="4"/>
  <c r="K915" i="4"/>
  <c r="L936" i="4"/>
  <c r="K936" i="4"/>
  <c r="L958" i="4"/>
  <c r="K958" i="4"/>
  <c r="L979" i="4"/>
  <c r="K979" i="4"/>
  <c r="L1000" i="4"/>
  <c r="K1000" i="4"/>
  <c r="L1022" i="4"/>
  <c r="K1022" i="4"/>
  <c r="L1043" i="4"/>
  <c r="K1043" i="4"/>
  <c r="L1064" i="4"/>
  <c r="K1064" i="4"/>
  <c r="L1086" i="4"/>
  <c r="K1086" i="4"/>
  <c r="L1107" i="4"/>
  <c r="K1107" i="4"/>
  <c r="L1128" i="4"/>
  <c r="K1128" i="4"/>
  <c r="L1150" i="4"/>
  <c r="K1150" i="4"/>
  <c r="L1171" i="4"/>
  <c r="K1171" i="4"/>
  <c r="L1192" i="4"/>
  <c r="K1192" i="4"/>
  <c r="L1214" i="4"/>
  <c r="K1214" i="4"/>
  <c r="L1235" i="4"/>
  <c r="K1235" i="4"/>
  <c r="L1256" i="4"/>
  <c r="K1256" i="4"/>
  <c r="L1278" i="4"/>
  <c r="K1278" i="4"/>
  <c r="L1299" i="4"/>
  <c r="K1299" i="4"/>
  <c r="L1320" i="4"/>
  <c r="K1320" i="4"/>
  <c r="L1342" i="4"/>
  <c r="K1342" i="4"/>
  <c r="L1363" i="4"/>
  <c r="K1363" i="4"/>
  <c r="L1384" i="4"/>
  <c r="K1384" i="4"/>
  <c r="L1406" i="4"/>
  <c r="K1406" i="4"/>
  <c r="L1427" i="4"/>
  <c r="K1427" i="4"/>
  <c r="L1448" i="4"/>
  <c r="K1448" i="4"/>
  <c r="L1470" i="4"/>
  <c r="K1470" i="4"/>
  <c r="L1489" i="4"/>
  <c r="K1489" i="4"/>
  <c r="L1505" i="4"/>
  <c r="K1505" i="4"/>
  <c r="L1521" i="4"/>
  <c r="K1521" i="4"/>
  <c r="L1537" i="4"/>
  <c r="K1537" i="4"/>
  <c r="L1066" i="4"/>
  <c r="K1066" i="4"/>
  <c r="L1098" i="4"/>
  <c r="K1098" i="4"/>
  <c r="L1130" i="4"/>
  <c r="K1130" i="4"/>
  <c r="L1183" i="4"/>
  <c r="K1183" i="4"/>
  <c r="L1247" i="4"/>
  <c r="K1247" i="4"/>
  <c r="L1338" i="4"/>
  <c r="K1338" i="4"/>
  <c r="L1471" i="4"/>
  <c r="K1471" i="4"/>
  <c r="L1506" i="4"/>
  <c r="K1506" i="4"/>
  <c r="L1538" i="4"/>
  <c r="K1538" i="4"/>
  <c r="L55" i="4"/>
  <c r="K55" i="4"/>
  <c r="L175" i="4"/>
  <c r="K175" i="4"/>
  <c r="L279" i="4"/>
  <c r="K279" i="4"/>
  <c r="L383" i="4"/>
  <c r="K383" i="4"/>
  <c r="L471" i="4"/>
  <c r="K471" i="4"/>
  <c r="L639" i="4"/>
  <c r="K639" i="4"/>
  <c r="K727" i="4"/>
  <c r="L727" i="4"/>
  <c r="K823" i="4"/>
  <c r="L823" i="4"/>
  <c r="L934" i="4"/>
  <c r="K934" i="4"/>
  <c r="L1062" i="4"/>
  <c r="K1062" i="4"/>
  <c r="K1179" i="4"/>
  <c r="L1179" i="4"/>
  <c r="K1243" i="4"/>
  <c r="L1243" i="4"/>
  <c r="L1334" i="4"/>
  <c r="K1334" i="4"/>
  <c r="K1403" i="4"/>
  <c r="L1403" i="4"/>
  <c r="L1462" i="4"/>
  <c r="K1462" i="4"/>
  <c r="K1511" i="4"/>
  <c r="L1511" i="4"/>
  <c r="L927" i="4"/>
  <c r="K927" i="4"/>
  <c r="L959" i="4"/>
  <c r="K959" i="4"/>
  <c r="L991" i="4"/>
  <c r="K991" i="4"/>
  <c r="L1023" i="4"/>
  <c r="K1023" i="4"/>
  <c r="L111" i="4"/>
  <c r="K111" i="4"/>
  <c r="L351" i="4"/>
  <c r="K351" i="4"/>
  <c r="L599" i="4"/>
  <c r="K599" i="4"/>
  <c r="K839" i="4"/>
  <c r="L839" i="4"/>
  <c r="L950" i="4"/>
  <c r="K950" i="4"/>
  <c r="L1014" i="4"/>
  <c r="K1014" i="4"/>
  <c r="L1126" i="4"/>
  <c r="K1126" i="4"/>
  <c r="L1302" i="4"/>
  <c r="K1302" i="4"/>
  <c r="L1398" i="4"/>
  <c r="K1398" i="4"/>
  <c r="L1491" i="4"/>
  <c r="K1491" i="4"/>
  <c r="L1539" i="4"/>
  <c r="K1539" i="4"/>
  <c r="L5" i="4"/>
  <c r="K5" i="4"/>
  <c r="L3" i="4"/>
  <c r="K3" i="4"/>
  <c r="O2" i="4"/>
  <c r="Q2" i="4" s="1"/>
  <c r="L4" i="4"/>
  <c r="K4" i="4"/>
  <c r="K9" i="4"/>
  <c r="K7" i="4"/>
  <c r="L7" i="4"/>
  <c r="P2" i="4"/>
  <c r="R2" i="4" s="1"/>
  <c r="S6" i="1" l="1"/>
  <c r="T6" i="1" s="1"/>
  <c r="U6" i="1" s="1"/>
  <c r="S9" i="2"/>
  <c r="T9" i="2" s="1"/>
  <c r="U9" i="2" s="1"/>
  <c r="O626" i="4"/>
  <c r="Q626" i="4" s="1"/>
  <c r="P3" i="4"/>
  <c r="R3" i="4" s="1"/>
  <c r="S7" i="1"/>
  <c r="T7" i="1" s="1"/>
  <c r="U7" i="1" s="1"/>
  <c r="O6" i="4"/>
  <c r="Q6" i="4" s="1"/>
  <c r="O3" i="4"/>
  <c r="Q3" i="4" s="1"/>
  <c r="O1316" i="4"/>
  <c r="Q1316" i="4" s="1"/>
  <c r="O1060" i="4"/>
  <c r="Q1060" i="4" s="1"/>
  <c r="O932" i="4"/>
  <c r="Q932" i="4" s="1"/>
  <c r="O556" i="4"/>
  <c r="Q556" i="4" s="1"/>
  <c r="O300" i="4"/>
  <c r="Q300" i="4" s="1"/>
  <c r="O1468" i="4"/>
  <c r="Q1468" i="4" s="1"/>
  <c r="O1212" i="4"/>
  <c r="Q1212" i="4" s="1"/>
  <c r="O956" i="4"/>
  <c r="Q956" i="4" s="1"/>
  <c r="O604" i="4"/>
  <c r="Q604" i="4" s="1"/>
  <c r="O92" i="4"/>
  <c r="Q92" i="4" s="1"/>
  <c r="O1332" i="4"/>
  <c r="Q1332" i="4" s="1"/>
  <c r="O1076" i="4"/>
  <c r="Q1076" i="4" s="1"/>
  <c r="O791" i="4"/>
  <c r="Q791" i="4" s="1"/>
  <c r="O332" i="4"/>
  <c r="Q332" i="4" s="1"/>
  <c r="O1452" i="4"/>
  <c r="Q1452" i="4" s="1"/>
  <c r="O1196" i="4"/>
  <c r="Q1196" i="4" s="1"/>
  <c r="O940" i="4"/>
  <c r="Q940" i="4" s="1"/>
  <c r="O572" i="4"/>
  <c r="Q572" i="4" s="1"/>
  <c r="O60" i="4"/>
  <c r="Q60" i="4" s="1"/>
  <c r="O1483" i="4"/>
  <c r="Q1483" i="4" s="1"/>
  <c r="O1387" i="4"/>
  <c r="Q1387" i="4" s="1"/>
  <c r="O1323" i="4"/>
  <c r="Q1323" i="4" s="1"/>
  <c r="O1259" i="4"/>
  <c r="Q1259" i="4" s="1"/>
  <c r="O1195" i="4"/>
  <c r="Q1195" i="4" s="1"/>
  <c r="O1131" i="4"/>
  <c r="Q1131" i="4" s="1"/>
  <c r="O1067" i="4"/>
  <c r="Q1067" i="4" s="1"/>
  <c r="O1003" i="4"/>
  <c r="Q1003" i="4" s="1"/>
  <c r="O939" i="4"/>
  <c r="Q939" i="4" s="1"/>
  <c r="O864" i="4"/>
  <c r="Q864" i="4" s="1"/>
  <c r="O779" i="4"/>
  <c r="Q779" i="4" s="1"/>
  <c r="O694" i="4"/>
  <c r="Q694" i="4" s="1"/>
  <c r="O635" i="4"/>
  <c r="Q635" i="4" s="1"/>
  <c r="O507" i="4"/>
  <c r="Q507" i="4" s="1"/>
  <c r="O379" i="4"/>
  <c r="Q379" i="4" s="1"/>
  <c r="O251" i="4"/>
  <c r="Q251" i="4" s="1"/>
  <c r="O123" i="4"/>
  <c r="Q123" i="4" s="1"/>
  <c r="O1536" i="4"/>
  <c r="Q1536" i="4" s="1"/>
  <c r="O1472" i="4"/>
  <c r="Q1472" i="4" s="1"/>
  <c r="O1408" i="4"/>
  <c r="Q1408" i="4" s="1"/>
  <c r="O1344" i="4"/>
  <c r="Q1344" i="4" s="1"/>
  <c r="O1280" i="4"/>
  <c r="Q1280" i="4" s="1"/>
  <c r="O1216" i="4"/>
  <c r="Q1216" i="4" s="1"/>
  <c r="O1152" i="4"/>
  <c r="Q1152" i="4" s="1"/>
  <c r="O1088" i="4"/>
  <c r="Q1088" i="4" s="1"/>
  <c r="O992" i="4"/>
  <c r="Q992" i="4" s="1"/>
  <c r="O928" i="4"/>
  <c r="Q928" i="4" s="1"/>
  <c r="O850" i="4"/>
  <c r="Q850" i="4" s="1"/>
  <c r="O764" i="4"/>
  <c r="Q764" i="4" s="1"/>
  <c r="O676" i="4"/>
  <c r="Q676" i="4" s="1"/>
  <c r="O548" i="4"/>
  <c r="Q548" i="4" s="1"/>
  <c r="O420" i="4"/>
  <c r="Q420" i="4" s="1"/>
  <c r="O292" i="4"/>
  <c r="Q292" i="4" s="1"/>
  <c r="O164" i="4"/>
  <c r="Q164" i="4" s="1"/>
  <c r="O36" i="4"/>
  <c r="Q36" i="4" s="1"/>
  <c r="O1487" i="4"/>
  <c r="Q1487" i="4" s="1"/>
  <c r="O1423" i="4"/>
  <c r="Q1423" i="4" s="1"/>
  <c r="O1359" i="4"/>
  <c r="Q1359" i="4" s="1"/>
  <c r="O1295" i="4"/>
  <c r="Q1295" i="4" s="1"/>
  <c r="O1231" i="4"/>
  <c r="Q1231" i="4" s="1"/>
  <c r="O1167" i="4"/>
  <c r="Q1167" i="4" s="1"/>
  <c r="O1103" i="4"/>
  <c r="Q1103" i="4" s="1"/>
  <c r="O1007" i="4"/>
  <c r="Q1007" i="4" s="1"/>
  <c r="O943" i="4"/>
  <c r="Q943" i="4" s="1"/>
  <c r="O870" i="4"/>
  <c r="Q870" i="4" s="1"/>
  <c r="O784" i="4"/>
  <c r="Q784" i="4" s="1"/>
  <c r="O699" i="4"/>
  <c r="Q699" i="4" s="1"/>
  <c r="O579" i="4"/>
  <c r="Q579" i="4" s="1"/>
  <c r="O451" i="4"/>
  <c r="Q451" i="4" s="1"/>
  <c r="O323" i="4"/>
  <c r="Q323" i="4" s="1"/>
  <c r="O131" i="4"/>
  <c r="Q131" i="4" s="1"/>
  <c r="O1542" i="4"/>
  <c r="Q1542" i="4" s="1"/>
  <c r="O1510" i="4"/>
  <c r="Q1510" i="4" s="1"/>
  <c r="O1478" i="4"/>
  <c r="Q1478" i="4" s="1"/>
  <c r="O1446" i="4"/>
  <c r="Q1446" i="4" s="1"/>
  <c r="O1414" i="4"/>
  <c r="Q1414" i="4" s="1"/>
  <c r="O1382" i="4"/>
  <c r="Q1382" i="4" s="1"/>
  <c r="O1350" i="4"/>
  <c r="Q1350" i="4" s="1"/>
  <c r="O1318" i="4"/>
  <c r="Q1318" i="4" s="1"/>
  <c r="O1286" i="4"/>
  <c r="Q1286" i="4" s="1"/>
  <c r="O1254" i="4"/>
  <c r="Q1254" i="4" s="1"/>
  <c r="O1222" i="4"/>
  <c r="Q1222" i="4" s="1"/>
  <c r="O1190" i="4"/>
  <c r="Q1190" i="4" s="1"/>
  <c r="O1158" i="4"/>
  <c r="Q1158" i="4" s="1"/>
  <c r="O1126" i="4"/>
  <c r="Q1126" i="4" s="1"/>
  <c r="O1094" i="4"/>
  <c r="Q1094" i="4" s="1"/>
  <c r="O1062" i="4"/>
  <c r="Q1062" i="4" s="1"/>
  <c r="O1046" i="4"/>
  <c r="Q1046" i="4" s="1"/>
  <c r="O1014" i="4"/>
  <c r="Q1014" i="4" s="1"/>
  <c r="O982" i="4"/>
  <c r="Q982" i="4" s="1"/>
  <c r="O950" i="4"/>
  <c r="Q950" i="4" s="1"/>
  <c r="O918" i="4"/>
  <c r="Q918" i="4" s="1"/>
  <c r="O879" i="4"/>
  <c r="Q879" i="4" s="1"/>
  <c r="O836" i="4"/>
  <c r="Q836" i="4" s="1"/>
  <c r="O794" i="4"/>
  <c r="Q794" i="4" s="1"/>
  <c r="O751" i="4"/>
  <c r="Q751" i="4" s="1"/>
  <c r="O708" i="4"/>
  <c r="Q708" i="4" s="1"/>
  <c r="O656" i="4"/>
  <c r="Q656" i="4" s="1"/>
  <c r="O592" i="4"/>
  <c r="Q592" i="4" s="1"/>
  <c r="O528" i="4"/>
  <c r="Q528" i="4" s="1"/>
  <c r="O464" i="4"/>
  <c r="Q464" i="4" s="1"/>
  <c r="O400" i="4"/>
  <c r="Q400" i="4" s="1"/>
  <c r="O336" i="4"/>
  <c r="Q336" i="4" s="1"/>
  <c r="O272" i="4"/>
  <c r="Q272" i="4" s="1"/>
  <c r="O208" i="4"/>
  <c r="Q208" i="4" s="1"/>
  <c r="O144" i="4"/>
  <c r="Q144" i="4" s="1"/>
  <c r="O80" i="4"/>
  <c r="Q80" i="4" s="1"/>
  <c r="O16" i="4"/>
  <c r="Q16" i="4" s="1"/>
  <c r="O1513" i="4"/>
  <c r="Q1513" i="4" s="1"/>
  <c r="O1481" i="4"/>
  <c r="Q1481" i="4" s="1"/>
  <c r="O1449" i="4"/>
  <c r="Q1449" i="4" s="1"/>
  <c r="O1417" i="4"/>
  <c r="Q1417" i="4" s="1"/>
  <c r="O1385" i="4"/>
  <c r="Q1385" i="4" s="1"/>
  <c r="O1353" i="4"/>
  <c r="Q1353" i="4" s="1"/>
  <c r="O1321" i="4"/>
  <c r="Q1321" i="4" s="1"/>
  <c r="O1289" i="4"/>
  <c r="Q1289" i="4" s="1"/>
  <c r="O1257" i="4"/>
  <c r="Q1257" i="4" s="1"/>
  <c r="O1225" i="4"/>
  <c r="Q1225" i="4" s="1"/>
  <c r="O1193" i="4"/>
  <c r="Q1193" i="4" s="1"/>
  <c r="O1161" i="4"/>
  <c r="Q1161" i="4" s="1"/>
  <c r="O1129" i="4"/>
  <c r="Q1129" i="4" s="1"/>
  <c r="O1097" i="4"/>
  <c r="Q1097" i="4" s="1"/>
  <c r="O1065" i="4"/>
  <c r="Q1065" i="4" s="1"/>
  <c r="O1033" i="4"/>
  <c r="Q1033" i="4" s="1"/>
  <c r="O1017" i="4"/>
  <c r="Q1017" i="4" s="1"/>
  <c r="O985" i="4"/>
  <c r="Q985" i="4" s="1"/>
  <c r="O953" i="4"/>
  <c r="Q953" i="4" s="1"/>
  <c r="O921" i="4"/>
  <c r="Q921" i="4" s="1"/>
  <c r="O883" i="4"/>
  <c r="Q883" i="4" s="1"/>
  <c r="O840" i="4"/>
  <c r="Q840" i="4" s="1"/>
  <c r="O798" i="4"/>
  <c r="Q798" i="4" s="1"/>
  <c r="O755" i="4"/>
  <c r="Q755" i="4" s="1"/>
  <c r="O712" i="4"/>
  <c r="Q712" i="4" s="1"/>
  <c r="O663" i="4"/>
  <c r="Q663" i="4" s="1"/>
  <c r="O599" i="4"/>
  <c r="Q599" i="4" s="1"/>
  <c r="O535" i="4"/>
  <c r="Q535" i="4" s="1"/>
  <c r="O471" i="4"/>
  <c r="Q471" i="4" s="1"/>
  <c r="O407" i="4"/>
  <c r="Q407" i="4" s="1"/>
  <c r="O343" i="4"/>
  <c r="Q343" i="4" s="1"/>
  <c r="O279" i="4"/>
  <c r="Q279" i="4" s="1"/>
  <c r="O215" i="4"/>
  <c r="Q215" i="4" s="1"/>
  <c r="O151" i="4"/>
  <c r="Q151" i="4" s="1"/>
  <c r="O87" i="4"/>
  <c r="Q87" i="4" s="1"/>
  <c r="O23" i="4"/>
  <c r="Q23" i="4" s="1"/>
  <c r="O658" i="4"/>
  <c r="Q658" i="4" s="1"/>
  <c r="O594" i="4"/>
  <c r="Q594" i="4" s="1"/>
  <c r="O418" i="4"/>
  <c r="Q418" i="4" s="1"/>
  <c r="O1284" i="4"/>
  <c r="Q1284" i="4" s="1"/>
  <c r="O1028" i="4"/>
  <c r="Q1028" i="4" s="1"/>
  <c r="O727" i="4"/>
  <c r="Q727" i="4" s="1"/>
  <c r="O236" i="4"/>
  <c r="Q236" i="4" s="1"/>
  <c r="O1436" i="4"/>
  <c r="Q1436" i="4" s="1"/>
  <c r="O1180" i="4"/>
  <c r="Q1180" i="4" s="1"/>
  <c r="O924" i="4"/>
  <c r="Q924" i="4" s="1"/>
  <c r="O540" i="4"/>
  <c r="Q540" i="4" s="1"/>
  <c r="O28" i="4"/>
  <c r="Q28" i="4" s="1"/>
  <c r="O1300" i="4"/>
  <c r="Q1300" i="4" s="1"/>
  <c r="O1044" i="4"/>
  <c r="Q1044" i="4" s="1"/>
  <c r="O748" i="4"/>
  <c r="Q748" i="4" s="1"/>
  <c r="O268" i="4"/>
  <c r="Q268" i="4" s="1"/>
  <c r="O1420" i="4"/>
  <c r="Q1420" i="4" s="1"/>
  <c r="O1164" i="4"/>
  <c r="Q1164" i="4" s="1"/>
  <c r="O908" i="4"/>
  <c r="Q908" i="4" s="1"/>
  <c r="O508" i="4"/>
  <c r="Q508" i="4" s="1"/>
  <c r="O1539" i="4"/>
  <c r="Q1539" i="4" s="1"/>
  <c r="O1475" i="4"/>
  <c r="Q1475" i="4" s="1"/>
  <c r="O1411" i="4"/>
  <c r="Q1411" i="4" s="1"/>
  <c r="O1347" i="4"/>
  <c r="Q1347" i="4" s="1"/>
  <c r="O1283" i="4"/>
  <c r="Q1283" i="4" s="1"/>
  <c r="O1251" i="4"/>
  <c r="Q1251" i="4" s="1"/>
  <c r="O1187" i="4"/>
  <c r="Q1187" i="4" s="1"/>
  <c r="O1123" i="4"/>
  <c r="Q1123" i="4" s="1"/>
  <c r="O1059" i="4"/>
  <c r="Q1059" i="4" s="1"/>
  <c r="O995" i="4"/>
  <c r="Q995" i="4" s="1"/>
  <c r="O931" i="4"/>
  <c r="Q931" i="4" s="1"/>
  <c r="O854" i="4"/>
  <c r="Q854" i="4" s="1"/>
  <c r="O768" i="4"/>
  <c r="Q768" i="4" s="1"/>
  <c r="O683" i="4"/>
  <c r="Q683" i="4" s="1"/>
  <c r="O555" i="4"/>
  <c r="Q555" i="4" s="1"/>
  <c r="O427" i="4"/>
  <c r="Q427" i="4" s="1"/>
  <c r="O299" i="4"/>
  <c r="Q299" i="4" s="1"/>
  <c r="O171" i="4"/>
  <c r="Q171" i="4" s="1"/>
  <c r="O43" i="4"/>
  <c r="Q43" i="4" s="1"/>
  <c r="O1496" i="4"/>
  <c r="Q1496" i="4" s="1"/>
  <c r="O1432" i="4"/>
  <c r="Q1432" i="4" s="1"/>
  <c r="O1368" i="4"/>
  <c r="Q1368" i="4" s="1"/>
  <c r="O1304" i="4"/>
  <c r="Q1304" i="4" s="1"/>
  <c r="O1240" i="4"/>
  <c r="Q1240" i="4" s="1"/>
  <c r="O1176" i="4"/>
  <c r="Q1176" i="4" s="1"/>
  <c r="O1112" i="4"/>
  <c r="Q1112" i="4" s="1"/>
  <c r="O1048" i="4"/>
  <c r="Q1048" i="4" s="1"/>
  <c r="O984" i="4"/>
  <c r="Q984" i="4" s="1"/>
  <c r="O920" i="4"/>
  <c r="Q920" i="4" s="1"/>
  <c r="O839" i="4"/>
  <c r="Q839" i="4" s="1"/>
  <c r="O754" i="4"/>
  <c r="Q754" i="4" s="1"/>
  <c r="O660" i="4"/>
  <c r="Q660" i="4" s="1"/>
  <c r="O532" i="4"/>
  <c r="Q532" i="4" s="1"/>
  <c r="O404" i="4"/>
  <c r="Q404" i="4" s="1"/>
  <c r="O276" i="4"/>
  <c r="Q276" i="4" s="1"/>
  <c r="O148" i="4"/>
  <c r="Q148" i="4" s="1"/>
  <c r="O20" i="4"/>
  <c r="Q20" i="4" s="1"/>
  <c r="O1479" i="4"/>
  <c r="Q1479" i="4" s="1"/>
  <c r="O1415" i="4"/>
  <c r="Q1415" i="4" s="1"/>
  <c r="O1351" i="4"/>
  <c r="Q1351" i="4" s="1"/>
  <c r="O1287" i="4"/>
  <c r="Q1287" i="4" s="1"/>
  <c r="O1223" i="4"/>
  <c r="Q1223" i="4" s="1"/>
  <c r="O1159" i="4"/>
  <c r="Q1159" i="4" s="1"/>
  <c r="O1095" i="4"/>
  <c r="Q1095" i="4" s="1"/>
  <c r="O1031" i="4"/>
  <c r="Q1031" i="4" s="1"/>
  <c r="O967" i="4"/>
  <c r="Q967" i="4" s="1"/>
  <c r="O902" i="4"/>
  <c r="Q902" i="4" s="1"/>
  <c r="O816" i="4"/>
  <c r="Q816" i="4" s="1"/>
  <c r="O731" i="4"/>
  <c r="Q731" i="4" s="1"/>
  <c r="O627" i="4"/>
  <c r="Q627" i="4" s="1"/>
  <c r="O499" i="4"/>
  <c r="Q499" i="4" s="1"/>
  <c r="O371" i="4"/>
  <c r="Q371" i="4" s="1"/>
  <c r="O243" i="4"/>
  <c r="Q243" i="4" s="1"/>
  <c r="O115" i="4"/>
  <c r="Q115" i="4" s="1"/>
  <c r="O1538" i="4"/>
  <c r="Q1538" i="4" s="1"/>
  <c r="O1506" i="4"/>
  <c r="Q1506" i="4" s="1"/>
  <c r="O1474" i="4"/>
  <c r="Q1474" i="4" s="1"/>
  <c r="O1442" i="4"/>
  <c r="Q1442" i="4" s="1"/>
  <c r="O1410" i="4"/>
  <c r="Q1410" i="4" s="1"/>
  <c r="O1378" i="4"/>
  <c r="Q1378" i="4" s="1"/>
  <c r="O1346" i="4"/>
  <c r="Q1346" i="4" s="1"/>
  <c r="O1314" i="4"/>
  <c r="Q1314" i="4" s="1"/>
  <c r="O1282" i="4"/>
  <c r="Q1282" i="4" s="1"/>
  <c r="O1250" i="4"/>
  <c r="Q1250" i="4" s="1"/>
  <c r="O1218" i="4"/>
  <c r="Q1218" i="4" s="1"/>
  <c r="O1186" i="4"/>
  <c r="Q1186" i="4" s="1"/>
  <c r="O1154" i="4"/>
  <c r="Q1154" i="4" s="1"/>
  <c r="O1122" i="4"/>
  <c r="Q1122" i="4" s="1"/>
  <c r="O1090" i="4"/>
  <c r="Q1090" i="4" s="1"/>
  <c r="O1058" i="4"/>
  <c r="Q1058" i="4" s="1"/>
  <c r="O1026" i="4"/>
  <c r="Q1026" i="4" s="1"/>
  <c r="O994" i="4"/>
  <c r="Q994" i="4" s="1"/>
  <c r="O962" i="4"/>
  <c r="Q962" i="4" s="1"/>
  <c r="O930" i="4"/>
  <c r="Q930" i="4" s="1"/>
  <c r="O895" i="4"/>
  <c r="Q895" i="4" s="1"/>
  <c r="O852" i="4"/>
  <c r="Q852" i="4" s="1"/>
  <c r="O810" i="4"/>
  <c r="Q810" i="4" s="1"/>
  <c r="O767" i="4"/>
  <c r="Q767" i="4" s="1"/>
  <c r="O724" i="4"/>
  <c r="Q724" i="4" s="1"/>
  <c r="O680" i="4"/>
  <c r="Q680" i="4" s="1"/>
  <c r="O616" i="4"/>
  <c r="Q616" i="4" s="1"/>
  <c r="O552" i="4"/>
  <c r="Q552" i="4" s="1"/>
  <c r="O488" i="4"/>
  <c r="Q488" i="4" s="1"/>
  <c r="O424" i="4"/>
  <c r="Q424" i="4" s="1"/>
  <c r="O360" i="4"/>
  <c r="Q360" i="4" s="1"/>
  <c r="O296" i="4"/>
  <c r="Q296" i="4" s="1"/>
  <c r="O232" i="4"/>
  <c r="Q232" i="4" s="1"/>
  <c r="O168" i="4"/>
  <c r="Q168" i="4" s="1"/>
  <c r="O104" i="4"/>
  <c r="Q104" i="4" s="1"/>
  <c r="O40" i="4"/>
  <c r="Q40" i="4" s="1"/>
  <c r="O1525" i="4"/>
  <c r="Q1525" i="4" s="1"/>
  <c r="O1493" i="4"/>
  <c r="Q1493" i="4" s="1"/>
  <c r="O1461" i="4"/>
  <c r="Q1461" i="4" s="1"/>
  <c r="O1429" i="4"/>
  <c r="Q1429" i="4" s="1"/>
  <c r="O1397" i="4"/>
  <c r="Q1397" i="4" s="1"/>
  <c r="O1365" i="4"/>
  <c r="Q1365" i="4" s="1"/>
  <c r="O1333" i="4"/>
  <c r="Q1333" i="4" s="1"/>
  <c r="O1301" i="4"/>
  <c r="Q1301" i="4" s="1"/>
  <c r="O1269" i="4"/>
  <c r="Q1269" i="4" s="1"/>
  <c r="O1237" i="4"/>
  <c r="Q1237" i="4" s="1"/>
  <c r="O1205" i="4"/>
  <c r="Q1205" i="4" s="1"/>
  <c r="O1173" i="4"/>
  <c r="Q1173" i="4" s="1"/>
  <c r="O1141" i="4"/>
  <c r="Q1141" i="4" s="1"/>
  <c r="O1109" i="4"/>
  <c r="Q1109" i="4" s="1"/>
  <c r="O1077" i="4"/>
  <c r="Q1077" i="4" s="1"/>
  <c r="O1045" i="4"/>
  <c r="Q1045" i="4" s="1"/>
  <c r="O1013" i="4"/>
  <c r="Q1013" i="4" s="1"/>
  <c r="O981" i="4"/>
  <c r="Q981" i="4" s="1"/>
  <c r="O949" i="4"/>
  <c r="Q949" i="4" s="1"/>
  <c r="O917" i="4"/>
  <c r="Q917" i="4" s="1"/>
  <c r="O878" i="4"/>
  <c r="Q878" i="4" s="1"/>
  <c r="O835" i="4"/>
  <c r="Q835" i="4" s="1"/>
  <c r="O792" i="4"/>
  <c r="Q792" i="4" s="1"/>
  <c r="O750" i="4"/>
  <c r="Q750" i="4" s="1"/>
  <c r="O707" i="4"/>
  <c r="Q707" i="4" s="1"/>
  <c r="O655" i="4"/>
  <c r="Q655" i="4" s="1"/>
  <c r="O591" i="4"/>
  <c r="Q591" i="4" s="1"/>
  <c r="O527" i="4"/>
  <c r="Q527" i="4" s="1"/>
  <c r="O463" i="4"/>
  <c r="Q463" i="4" s="1"/>
  <c r="O399" i="4"/>
  <c r="Q399" i="4" s="1"/>
  <c r="O335" i="4"/>
  <c r="Q335" i="4" s="1"/>
  <c r="O271" i="4"/>
  <c r="Q271" i="4" s="1"/>
  <c r="O207" i="4"/>
  <c r="Q207" i="4" s="1"/>
  <c r="O143" i="4"/>
  <c r="Q143" i="4" s="1"/>
  <c r="O79" i="4"/>
  <c r="Q79" i="4" s="1"/>
  <c r="O15" i="4"/>
  <c r="Q15" i="4" s="1"/>
  <c r="O654" i="4"/>
  <c r="Q654" i="4" s="1"/>
  <c r="O606" i="4"/>
  <c r="Q606" i="4" s="1"/>
  <c r="O574" i="4"/>
  <c r="Q574" i="4" s="1"/>
  <c r="O542" i="4"/>
  <c r="Q542" i="4" s="1"/>
  <c r="O510" i="4"/>
  <c r="Q510" i="4" s="1"/>
  <c r="O478" i="4"/>
  <c r="Q478" i="4" s="1"/>
  <c r="O446" i="4"/>
  <c r="Q446" i="4" s="1"/>
  <c r="O414" i="4"/>
  <c r="Q414" i="4" s="1"/>
  <c r="O382" i="4"/>
  <c r="Q382" i="4" s="1"/>
  <c r="O350" i="4"/>
  <c r="Q350" i="4" s="1"/>
  <c r="O318" i="4"/>
  <c r="Q318" i="4" s="1"/>
  <c r="O286" i="4"/>
  <c r="Q286" i="4" s="1"/>
  <c r="O254" i="4"/>
  <c r="Q254" i="4" s="1"/>
  <c r="O222" i="4"/>
  <c r="Q222" i="4" s="1"/>
  <c r="O190" i="4"/>
  <c r="Q190" i="4" s="1"/>
  <c r="O158" i="4"/>
  <c r="Q158" i="4" s="1"/>
  <c r="O126" i="4"/>
  <c r="Q126" i="4" s="1"/>
  <c r="O94" i="4"/>
  <c r="Q94" i="4" s="1"/>
  <c r="O62" i="4"/>
  <c r="Q62" i="4" s="1"/>
  <c r="O30" i="4"/>
  <c r="Q30" i="4" s="1"/>
  <c r="O897" i="4"/>
  <c r="Q897" i="4" s="1"/>
  <c r="O865" i="4"/>
  <c r="Q865" i="4" s="1"/>
  <c r="O833" i="4"/>
  <c r="Q833" i="4" s="1"/>
  <c r="O801" i="4"/>
  <c r="Q801" i="4" s="1"/>
  <c r="O769" i="4"/>
  <c r="Q769" i="4" s="1"/>
  <c r="O737" i="4"/>
  <c r="Q737" i="4" s="1"/>
  <c r="O689" i="4"/>
  <c r="Q689" i="4" s="1"/>
  <c r="O657" i="4"/>
  <c r="Q657" i="4" s="1"/>
  <c r="O625" i="4"/>
  <c r="Q625" i="4" s="1"/>
  <c r="O593" i="4"/>
  <c r="Q593" i="4" s="1"/>
  <c r="O561" i="4"/>
  <c r="Q561" i="4" s="1"/>
  <c r="O529" i="4"/>
  <c r="Q529" i="4" s="1"/>
  <c r="O497" i="4"/>
  <c r="Q497" i="4" s="1"/>
  <c r="O465" i="4"/>
  <c r="Q465" i="4" s="1"/>
  <c r="O433" i="4"/>
  <c r="Q433" i="4" s="1"/>
  <c r="O401" i="4"/>
  <c r="Q401" i="4" s="1"/>
  <c r="O369" i="4"/>
  <c r="Q369" i="4" s="1"/>
  <c r="O337" i="4"/>
  <c r="Q337" i="4" s="1"/>
  <c r="O305" i="4"/>
  <c r="Q305" i="4" s="1"/>
  <c r="O273" i="4"/>
  <c r="Q273" i="4" s="1"/>
  <c r="O241" i="4"/>
  <c r="Q241" i="4" s="1"/>
  <c r="O209" i="4"/>
  <c r="Q209" i="4" s="1"/>
  <c r="O177" i="4"/>
  <c r="Q177" i="4" s="1"/>
  <c r="O145" i="4"/>
  <c r="Q145" i="4" s="1"/>
  <c r="O129" i="4"/>
  <c r="Q129" i="4" s="1"/>
  <c r="O97" i="4"/>
  <c r="Q97" i="4" s="1"/>
  <c r="O81" i="4"/>
  <c r="Q81" i="4" s="1"/>
  <c r="O65" i="4"/>
  <c r="Q65" i="4" s="1"/>
  <c r="O49" i="4"/>
  <c r="Q49" i="4" s="1"/>
  <c r="O33" i="4"/>
  <c r="Q33" i="4" s="1"/>
  <c r="O17" i="4"/>
  <c r="Q17" i="4" s="1"/>
  <c r="P1265" i="4"/>
  <c r="R1265" i="4" s="1"/>
  <c r="P925" i="4"/>
  <c r="R925" i="4" s="1"/>
  <c r="P231" i="4"/>
  <c r="R231" i="4" s="1"/>
  <c r="P199" i="4"/>
  <c r="R199" i="4" s="1"/>
  <c r="P167" i="4"/>
  <c r="R167" i="4" s="1"/>
  <c r="P135" i="4"/>
  <c r="R135" i="4" s="1"/>
  <c r="P103" i="4"/>
  <c r="R103" i="4" s="1"/>
  <c r="P71" i="4"/>
  <c r="R71" i="4" s="1"/>
  <c r="P39" i="4"/>
  <c r="R39" i="4" s="1"/>
  <c r="P1539" i="4"/>
  <c r="R1539" i="4" s="1"/>
  <c r="P1523" i="4"/>
  <c r="R1523" i="4" s="1"/>
  <c r="P1507" i="4"/>
  <c r="R1507" i="4" s="1"/>
  <c r="P1491" i="4"/>
  <c r="R1491" i="4" s="1"/>
  <c r="P1475" i="4"/>
  <c r="R1475" i="4" s="1"/>
  <c r="P1459" i="4"/>
  <c r="R1459" i="4" s="1"/>
  <c r="P1443" i="4"/>
  <c r="R1443" i="4" s="1"/>
  <c r="P1427" i="4"/>
  <c r="R1427" i="4" s="1"/>
  <c r="P1411" i="4"/>
  <c r="R1411" i="4" s="1"/>
  <c r="P1395" i="4"/>
  <c r="R1395" i="4" s="1"/>
  <c r="P1379" i="4"/>
  <c r="R1379" i="4" s="1"/>
  <c r="P1363" i="4"/>
  <c r="R1363" i="4" s="1"/>
  <c r="P1347" i="4"/>
  <c r="R1347" i="4" s="1"/>
  <c r="P1331" i="4"/>
  <c r="R1331" i="4" s="1"/>
  <c r="P1315" i="4"/>
  <c r="R1315" i="4" s="1"/>
  <c r="P1299" i="4"/>
  <c r="R1299" i="4" s="1"/>
  <c r="P1283" i="4"/>
  <c r="R1283" i="4" s="1"/>
  <c r="P1267" i="4"/>
  <c r="R1267" i="4" s="1"/>
  <c r="P1251" i="4"/>
  <c r="R1251" i="4" s="1"/>
  <c r="P1235" i="4"/>
  <c r="R1235" i="4" s="1"/>
  <c r="P1219" i="4"/>
  <c r="R1219" i="4" s="1"/>
  <c r="P1203" i="4"/>
  <c r="R1203" i="4" s="1"/>
  <c r="P1187" i="4"/>
  <c r="R1187" i="4" s="1"/>
  <c r="P1171" i="4"/>
  <c r="R1171" i="4" s="1"/>
  <c r="P1155" i="4"/>
  <c r="R1155" i="4" s="1"/>
  <c r="P1139" i="4"/>
  <c r="R1139" i="4" s="1"/>
  <c r="P1123" i="4"/>
  <c r="R1123" i="4" s="1"/>
  <c r="P1107" i="4"/>
  <c r="R1107" i="4" s="1"/>
  <c r="P1091" i="4"/>
  <c r="R1091" i="4" s="1"/>
  <c r="P1075" i="4"/>
  <c r="R1075" i="4" s="1"/>
  <c r="P1059" i="4"/>
  <c r="R1059" i="4" s="1"/>
  <c r="P1043" i="4"/>
  <c r="R1043" i="4" s="1"/>
  <c r="P1027" i="4"/>
  <c r="R1027" i="4" s="1"/>
  <c r="P1011" i="4"/>
  <c r="R1011" i="4" s="1"/>
  <c r="P995" i="4"/>
  <c r="R995" i="4" s="1"/>
  <c r="P979" i="4"/>
  <c r="R979" i="4" s="1"/>
  <c r="P963" i="4"/>
  <c r="R963" i="4" s="1"/>
  <c r="P947" i="4"/>
  <c r="R947" i="4" s="1"/>
  <c r="P931" i="4"/>
  <c r="R931" i="4" s="1"/>
  <c r="P915" i="4"/>
  <c r="R915" i="4" s="1"/>
  <c r="P899" i="4"/>
  <c r="R899" i="4" s="1"/>
  <c r="P883" i="4"/>
  <c r="R883" i="4" s="1"/>
  <c r="P867" i="4"/>
  <c r="R867" i="4" s="1"/>
  <c r="P851" i="4"/>
  <c r="R851" i="4" s="1"/>
  <c r="P819" i="4"/>
  <c r="R819" i="4" s="1"/>
  <c r="P803" i="4"/>
  <c r="R803" i="4" s="1"/>
  <c r="P787" i="4"/>
  <c r="R787" i="4" s="1"/>
  <c r="P771" i="4"/>
  <c r="R771" i="4" s="1"/>
  <c r="P755" i="4"/>
  <c r="R755" i="4" s="1"/>
  <c r="P739" i="4"/>
  <c r="R739" i="4" s="1"/>
  <c r="P723" i="4"/>
  <c r="R723" i="4" s="1"/>
  <c r="P707" i="4"/>
  <c r="R707" i="4" s="1"/>
  <c r="P691" i="4"/>
  <c r="R691" i="4" s="1"/>
  <c r="P675" i="4"/>
  <c r="R675" i="4" s="1"/>
  <c r="P659" i="4"/>
  <c r="R659" i="4" s="1"/>
  <c r="P643" i="4"/>
  <c r="R643" i="4" s="1"/>
  <c r="P627" i="4"/>
  <c r="R627" i="4" s="1"/>
  <c r="P611" i="4"/>
  <c r="R611" i="4" s="1"/>
  <c r="P595" i="4"/>
  <c r="R595" i="4" s="1"/>
  <c r="P579" i="4"/>
  <c r="R579" i="4" s="1"/>
  <c r="P563" i="4"/>
  <c r="R563" i="4" s="1"/>
  <c r="P547" i="4"/>
  <c r="R547" i="4" s="1"/>
  <c r="P531" i="4"/>
  <c r="R531" i="4" s="1"/>
  <c r="P515" i="4"/>
  <c r="R515" i="4" s="1"/>
  <c r="P499" i="4"/>
  <c r="R499" i="4" s="1"/>
  <c r="P483" i="4"/>
  <c r="R483" i="4" s="1"/>
  <c r="P467" i="4"/>
  <c r="R467" i="4" s="1"/>
  <c r="P451" i="4"/>
  <c r="R451" i="4" s="1"/>
  <c r="P430" i="4"/>
  <c r="R430" i="4" s="1"/>
  <c r="P398" i="4"/>
  <c r="R398" i="4" s="1"/>
  <c r="P366" i="4"/>
  <c r="R366" i="4" s="1"/>
  <c r="P334" i="4"/>
  <c r="R334" i="4" s="1"/>
  <c r="P302" i="4"/>
  <c r="R302" i="4" s="1"/>
  <c r="P270" i="4"/>
  <c r="R270" i="4" s="1"/>
  <c r="P238" i="4"/>
  <c r="R238" i="4" s="1"/>
  <c r="P206" i="4"/>
  <c r="R206" i="4" s="1"/>
  <c r="P174" i="4"/>
  <c r="R174" i="4" s="1"/>
  <c r="P142" i="4"/>
  <c r="R142" i="4" s="1"/>
  <c r="P110" i="4"/>
  <c r="R110" i="4" s="1"/>
  <c r="P78" i="4"/>
  <c r="R78" i="4" s="1"/>
  <c r="P46" i="4"/>
  <c r="R46" i="4" s="1"/>
  <c r="P14" i="4"/>
  <c r="R14" i="4" s="1"/>
  <c r="P1530" i="4"/>
  <c r="R1530" i="4" s="1"/>
  <c r="P1514" i="4"/>
  <c r="R1514" i="4" s="1"/>
  <c r="P1498" i="4"/>
  <c r="R1498" i="4" s="1"/>
  <c r="P1482" i="4"/>
  <c r="R1482" i="4" s="1"/>
  <c r="P1466" i="4"/>
  <c r="R1466" i="4" s="1"/>
  <c r="P1450" i="4"/>
  <c r="R1450" i="4" s="1"/>
  <c r="P1434" i="4"/>
  <c r="R1434" i="4" s="1"/>
  <c r="P1418" i="4"/>
  <c r="R1418" i="4" s="1"/>
  <c r="P1402" i="4"/>
  <c r="R1402" i="4" s="1"/>
  <c r="P1386" i="4"/>
  <c r="R1386" i="4" s="1"/>
  <c r="P1370" i="4"/>
  <c r="R1370" i="4" s="1"/>
  <c r="P1354" i="4"/>
  <c r="R1354" i="4" s="1"/>
  <c r="P1338" i="4"/>
  <c r="R1338" i="4" s="1"/>
  <c r="P1322" i="4"/>
  <c r="R1322" i="4" s="1"/>
  <c r="P1306" i="4"/>
  <c r="R1306" i="4" s="1"/>
  <c r="P1290" i="4"/>
  <c r="R1290" i="4" s="1"/>
  <c r="P1274" i="4"/>
  <c r="R1274" i="4" s="1"/>
  <c r="P1258" i="4"/>
  <c r="R1258" i="4" s="1"/>
  <c r="P1242" i="4"/>
  <c r="R1242" i="4" s="1"/>
  <c r="P1226" i="4"/>
  <c r="R1226" i="4" s="1"/>
  <c r="P1210" i="4"/>
  <c r="R1210" i="4" s="1"/>
  <c r="P1194" i="4"/>
  <c r="R1194" i="4" s="1"/>
  <c r="P1178" i="4"/>
  <c r="R1178" i="4" s="1"/>
  <c r="P1162" i="4"/>
  <c r="R1162" i="4" s="1"/>
  <c r="P1146" i="4"/>
  <c r="R1146" i="4" s="1"/>
  <c r="P1130" i="4"/>
  <c r="R1130" i="4" s="1"/>
  <c r="P1114" i="4"/>
  <c r="R1114" i="4" s="1"/>
  <c r="P1098" i="4"/>
  <c r="R1098" i="4" s="1"/>
  <c r="P1082" i="4"/>
  <c r="R1082" i="4" s="1"/>
  <c r="P1066" i="4"/>
  <c r="R1066" i="4" s="1"/>
  <c r="P1050" i="4"/>
  <c r="R1050" i="4" s="1"/>
  <c r="P1034" i="4"/>
  <c r="R1034" i="4" s="1"/>
  <c r="P1018" i="4"/>
  <c r="R1018" i="4" s="1"/>
  <c r="P1002" i="4"/>
  <c r="R1002" i="4" s="1"/>
  <c r="P986" i="4"/>
  <c r="R986" i="4" s="1"/>
  <c r="P970" i="4"/>
  <c r="R970" i="4" s="1"/>
  <c r="P954" i="4"/>
  <c r="R954" i="4" s="1"/>
  <c r="P938" i="4"/>
  <c r="R938" i="4" s="1"/>
  <c r="P922" i="4"/>
  <c r="R922" i="4" s="1"/>
  <c r="P906" i="4"/>
  <c r="R906" i="4" s="1"/>
  <c r="P890" i="4"/>
  <c r="R890" i="4" s="1"/>
  <c r="P874" i="4"/>
  <c r="R874" i="4" s="1"/>
  <c r="P858" i="4"/>
  <c r="R858" i="4" s="1"/>
  <c r="P842" i="4"/>
  <c r="R842" i="4" s="1"/>
  <c r="P826" i="4"/>
  <c r="R826" i="4" s="1"/>
  <c r="P810" i="4"/>
  <c r="R810" i="4" s="1"/>
  <c r="P794" i="4"/>
  <c r="R794" i="4" s="1"/>
  <c r="P778" i="4"/>
  <c r="R778" i="4" s="1"/>
  <c r="P762" i="4"/>
  <c r="R762" i="4" s="1"/>
  <c r="P746" i="4"/>
  <c r="R746" i="4" s="1"/>
  <c r="P730" i="4"/>
  <c r="R730" i="4" s="1"/>
  <c r="P714" i="4"/>
  <c r="R714" i="4" s="1"/>
  <c r="P698" i="4"/>
  <c r="R698" i="4" s="1"/>
  <c r="P682" i="4"/>
  <c r="R682" i="4" s="1"/>
  <c r="P666" i="4"/>
  <c r="R666" i="4" s="1"/>
  <c r="P650" i="4"/>
  <c r="R650" i="4" s="1"/>
  <c r="P634" i="4"/>
  <c r="R634" i="4" s="1"/>
  <c r="P618" i="4"/>
  <c r="R618" i="4" s="1"/>
  <c r="P602" i="4"/>
  <c r="R602" i="4" s="1"/>
  <c r="P586" i="4"/>
  <c r="R586" i="4" s="1"/>
  <c r="P570" i="4"/>
  <c r="R570" i="4" s="1"/>
  <c r="P554" i="4"/>
  <c r="R554" i="4" s="1"/>
  <c r="P538" i="4"/>
  <c r="R538" i="4" s="1"/>
  <c r="P522" i="4"/>
  <c r="R522" i="4" s="1"/>
  <c r="P506" i="4"/>
  <c r="R506" i="4" s="1"/>
  <c r="P490" i="4"/>
  <c r="R490" i="4" s="1"/>
  <c r="P474" i="4"/>
  <c r="R474" i="4" s="1"/>
  <c r="P458" i="4"/>
  <c r="R458" i="4" s="1"/>
  <c r="P442" i="4"/>
  <c r="R442" i="4" s="1"/>
  <c r="P411" i="4"/>
  <c r="R411" i="4" s="1"/>
  <c r="P379" i="4"/>
  <c r="R379" i="4" s="1"/>
  <c r="P347" i="4"/>
  <c r="R347" i="4" s="1"/>
  <c r="P315" i="4"/>
  <c r="R315" i="4" s="1"/>
  <c r="P283" i="4"/>
  <c r="R283" i="4" s="1"/>
  <c r="P251" i="4"/>
  <c r="R251" i="4" s="1"/>
  <c r="P219" i="4"/>
  <c r="R219" i="4" s="1"/>
  <c r="P187" i="4"/>
  <c r="R187" i="4" s="1"/>
  <c r="P155" i="4"/>
  <c r="R155" i="4" s="1"/>
  <c r="P123" i="4"/>
  <c r="R123" i="4" s="1"/>
  <c r="P91" i="4"/>
  <c r="R91" i="4" s="1"/>
  <c r="P59" i="4"/>
  <c r="R59" i="4" s="1"/>
  <c r="P27" i="4"/>
  <c r="R27" i="4" s="1"/>
  <c r="P433" i="4"/>
  <c r="R433" i="4" s="1"/>
  <c r="P417" i="4"/>
  <c r="R417" i="4" s="1"/>
  <c r="P401" i="4"/>
  <c r="R401" i="4" s="1"/>
  <c r="P385" i="4"/>
  <c r="R385" i="4" s="1"/>
  <c r="P369" i="4"/>
  <c r="R369" i="4" s="1"/>
  <c r="P353" i="4"/>
  <c r="R353" i="4" s="1"/>
  <c r="P337" i="4"/>
  <c r="R337" i="4" s="1"/>
  <c r="P321" i="4"/>
  <c r="R321" i="4" s="1"/>
  <c r="P305" i="4"/>
  <c r="R305" i="4" s="1"/>
  <c r="P289" i="4"/>
  <c r="R289" i="4" s="1"/>
  <c r="P273" i="4"/>
  <c r="R273" i="4" s="1"/>
  <c r="P257" i="4"/>
  <c r="R257" i="4" s="1"/>
  <c r="P241" i="4"/>
  <c r="R241" i="4" s="1"/>
  <c r="P225" i="4"/>
  <c r="R225" i="4" s="1"/>
  <c r="P209" i="4"/>
  <c r="R209" i="4" s="1"/>
  <c r="P193" i="4"/>
  <c r="R193" i="4" s="1"/>
  <c r="P177" i="4"/>
  <c r="R177" i="4" s="1"/>
  <c r="P161" i="4"/>
  <c r="R161" i="4" s="1"/>
  <c r="P145" i="4"/>
  <c r="R145" i="4" s="1"/>
  <c r="P129" i="4"/>
  <c r="R129" i="4" s="1"/>
  <c r="P113" i="4"/>
  <c r="R113" i="4" s="1"/>
  <c r="P97" i="4"/>
  <c r="R97" i="4" s="1"/>
  <c r="P81" i="4"/>
  <c r="R81" i="4" s="1"/>
  <c r="P65" i="4"/>
  <c r="R65" i="4" s="1"/>
  <c r="P49" i="4"/>
  <c r="R49" i="4" s="1"/>
  <c r="P33" i="4"/>
  <c r="R33" i="4" s="1"/>
  <c r="P17" i="4"/>
  <c r="R17" i="4" s="1"/>
  <c r="P436" i="4"/>
  <c r="R436" i="4" s="1"/>
  <c r="P420" i="4"/>
  <c r="R420" i="4" s="1"/>
  <c r="P404" i="4"/>
  <c r="R404" i="4" s="1"/>
  <c r="P388" i="4"/>
  <c r="R388" i="4" s="1"/>
  <c r="P372" i="4"/>
  <c r="R372" i="4" s="1"/>
  <c r="P356" i="4"/>
  <c r="R356" i="4" s="1"/>
  <c r="P340" i="4"/>
  <c r="R340" i="4" s="1"/>
  <c r="P324" i="4"/>
  <c r="R324" i="4" s="1"/>
  <c r="P308" i="4"/>
  <c r="R308" i="4" s="1"/>
  <c r="P292" i="4"/>
  <c r="R292" i="4" s="1"/>
  <c r="P276" i="4"/>
  <c r="R276" i="4" s="1"/>
  <c r="P260" i="4"/>
  <c r="R260" i="4" s="1"/>
  <c r="P244" i="4"/>
  <c r="R244" i="4" s="1"/>
  <c r="P228" i="4"/>
  <c r="R228" i="4" s="1"/>
  <c r="P212" i="4"/>
  <c r="R212" i="4" s="1"/>
  <c r="P196" i="4"/>
  <c r="R196" i="4" s="1"/>
  <c r="P180" i="4"/>
  <c r="R180" i="4" s="1"/>
  <c r="P148" i="4"/>
  <c r="R148" i="4" s="1"/>
  <c r="P116" i="4"/>
  <c r="R116" i="4" s="1"/>
  <c r="P84" i="4"/>
  <c r="R84" i="4" s="1"/>
  <c r="P68" i="4"/>
  <c r="R68" i="4" s="1"/>
  <c r="P36" i="4"/>
  <c r="R36" i="4" s="1"/>
  <c r="P20" i="4"/>
  <c r="R20" i="4" s="1"/>
  <c r="S4" i="2"/>
  <c r="T4" i="2" s="1"/>
  <c r="U4" i="2" s="1"/>
  <c r="P4" i="4"/>
  <c r="R4" i="4" s="1"/>
  <c r="O1540" i="4"/>
  <c r="Q1540" i="4" s="1"/>
  <c r="O1380" i="4"/>
  <c r="Q1380" i="4" s="1"/>
  <c r="O1252" i="4"/>
  <c r="Q1252" i="4" s="1"/>
  <c r="O1124" i="4"/>
  <c r="Q1124" i="4" s="1"/>
  <c r="O996" i="4"/>
  <c r="Q996" i="4" s="1"/>
  <c r="O855" i="4"/>
  <c r="Q855" i="4" s="1"/>
  <c r="O684" i="4"/>
  <c r="Q684" i="4" s="1"/>
  <c r="O428" i="4"/>
  <c r="Q428" i="4" s="1"/>
  <c r="O172" i="4"/>
  <c r="Q172" i="4" s="1"/>
  <c r="O1532" i="4"/>
  <c r="Q1532" i="4" s="1"/>
  <c r="O1404" i="4"/>
  <c r="Q1404" i="4" s="1"/>
  <c r="O1276" i="4"/>
  <c r="Q1276" i="4" s="1"/>
  <c r="O1148" i="4"/>
  <c r="Q1148" i="4" s="1"/>
  <c r="O1020" i="4"/>
  <c r="Q1020" i="4" s="1"/>
  <c r="O887" i="4"/>
  <c r="Q887" i="4" s="1"/>
  <c r="O716" i="4"/>
  <c r="Q716" i="4" s="1"/>
  <c r="O476" i="4"/>
  <c r="Q476" i="4" s="1"/>
  <c r="O220" i="4"/>
  <c r="Q220" i="4" s="1"/>
  <c r="O1524" i="4"/>
  <c r="Q1524" i="4" s="1"/>
  <c r="O1396" i="4"/>
  <c r="Q1396" i="4" s="1"/>
  <c r="O1268" i="4"/>
  <c r="Q1268" i="4" s="1"/>
  <c r="O1140" i="4"/>
  <c r="Q1140" i="4" s="1"/>
  <c r="O1012" i="4"/>
  <c r="Q1012" i="4" s="1"/>
  <c r="O876" i="4"/>
  <c r="Q876" i="4" s="1"/>
  <c r="O706" i="4"/>
  <c r="Q706" i="4" s="1"/>
  <c r="O460" i="4"/>
  <c r="Q460" i="4" s="1"/>
  <c r="O204" i="4"/>
  <c r="Q204" i="4" s="1"/>
  <c r="O1516" i="4"/>
  <c r="Q1516" i="4" s="1"/>
  <c r="O1388" i="4"/>
  <c r="Q1388" i="4" s="1"/>
  <c r="O1260" i="4"/>
  <c r="Q1260" i="4" s="1"/>
  <c r="O1132" i="4"/>
  <c r="Q1132" i="4" s="1"/>
  <c r="O1004" i="4"/>
  <c r="Q1004" i="4" s="1"/>
  <c r="O866" i="4"/>
  <c r="Q866" i="4" s="1"/>
  <c r="O695" i="4"/>
  <c r="Q695" i="4" s="1"/>
  <c r="O444" i="4"/>
  <c r="Q444" i="4" s="1"/>
  <c r="O188" i="4"/>
  <c r="Q188" i="4" s="1"/>
  <c r="O1531" i="4"/>
  <c r="Q1531" i="4" s="1"/>
  <c r="O1499" i="4"/>
  <c r="Q1499" i="4" s="1"/>
  <c r="O1467" i="4"/>
  <c r="Q1467" i="4" s="1"/>
  <c r="O1435" i="4"/>
  <c r="Q1435" i="4" s="1"/>
  <c r="O1403" i="4"/>
  <c r="Q1403" i="4" s="1"/>
  <c r="O1371" i="4"/>
  <c r="Q1371" i="4" s="1"/>
  <c r="O1339" i="4"/>
  <c r="Q1339" i="4" s="1"/>
  <c r="O1307" i="4"/>
  <c r="Q1307" i="4" s="1"/>
  <c r="O1275" i="4"/>
  <c r="Q1275" i="4" s="1"/>
  <c r="O1243" i="4"/>
  <c r="Q1243" i="4" s="1"/>
  <c r="O1211" i="4"/>
  <c r="Q1211" i="4" s="1"/>
  <c r="O1179" i="4"/>
  <c r="Q1179" i="4" s="1"/>
  <c r="O1147" i="4"/>
  <c r="Q1147" i="4" s="1"/>
  <c r="O1115" i="4"/>
  <c r="Q1115" i="4" s="1"/>
  <c r="O1083" i="4"/>
  <c r="Q1083" i="4" s="1"/>
  <c r="O1051" i="4"/>
  <c r="Q1051" i="4" s="1"/>
  <c r="O1019" i="4"/>
  <c r="Q1019" i="4" s="1"/>
  <c r="O987" i="4"/>
  <c r="Q987" i="4" s="1"/>
  <c r="O955" i="4"/>
  <c r="Q955" i="4" s="1"/>
  <c r="O923" i="4"/>
  <c r="Q923" i="4" s="1"/>
  <c r="O886" i="4"/>
  <c r="Q886" i="4" s="1"/>
  <c r="O843" i="4"/>
  <c r="Q843" i="4" s="1"/>
  <c r="O800" i="4"/>
  <c r="Q800" i="4" s="1"/>
  <c r="O758" i="4"/>
  <c r="Q758" i="4" s="1"/>
  <c r="O715" i="4"/>
  <c r="Q715" i="4" s="1"/>
  <c r="O667" i="4"/>
  <c r="Q667" i="4" s="1"/>
  <c r="O603" i="4"/>
  <c r="Q603" i="4" s="1"/>
  <c r="O539" i="4"/>
  <c r="Q539" i="4" s="1"/>
  <c r="O475" i="4"/>
  <c r="Q475" i="4" s="1"/>
  <c r="O411" i="4"/>
  <c r="Q411" i="4" s="1"/>
  <c r="O347" i="4"/>
  <c r="Q347" i="4" s="1"/>
  <c r="O283" i="4"/>
  <c r="Q283" i="4" s="1"/>
  <c r="O219" i="4"/>
  <c r="Q219" i="4" s="1"/>
  <c r="O155" i="4"/>
  <c r="Q155" i="4" s="1"/>
  <c r="O91" i="4"/>
  <c r="Q91" i="4" s="1"/>
  <c r="O27" i="4"/>
  <c r="Q27" i="4" s="1"/>
  <c r="O1520" i="4"/>
  <c r="Q1520" i="4" s="1"/>
  <c r="O1488" i="4"/>
  <c r="Q1488" i="4" s="1"/>
  <c r="O1456" i="4"/>
  <c r="Q1456" i="4" s="1"/>
  <c r="O1424" i="4"/>
  <c r="Q1424" i="4" s="1"/>
  <c r="O1392" i="4"/>
  <c r="Q1392" i="4" s="1"/>
  <c r="O1360" i="4"/>
  <c r="Q1360" i="4" s="1"/>
  <c r="O1328" i="4"/>
  <c r="Q1328" i="4" s="1"/>
  <c r="O1296" i="4"/>
  <c r="Q1296" i="4" s="1"/>
  <c r="O1264" i="4"/>
  <c r="Q1264" i="4" s="1"/>
  <c r="O1232" i="4"/>
  <c r="Q1232" i="4" s="1"/>
  <c r="O1200" i="4"/>
  <c r="Q1200" i="4" s="1"/>
  <c r="O1168" i="4"/>
  <c r="Q1168" i="4" s="1"/>
  <c r="O1136" i="4"/>
  <c r="Q1136" i="4" s="1"/>
  <c r="O1104" i="4"/>
  <c r="Q1104" i="4" s="1"/>
  <c r="O1072" i="4"/>
  <c r="Q1072" i="4" s="1"/>
  <c r="O1040" i="4"/>
  <c r="Q1040" i="4" s="1"/>
  <c r="O1008" i="4"/>
  <c r="Q1008" i="4" s="1"/>
  <c r="O976" i="4"/>
  <c r="Q976" i="4" s="1"/>
  <c r="O944" i="4"/>
  <c r="Q944" i="4" s="1"/>
  <c r="O912" i="4"/>
  <c r="Q912" i="4" s="1"/>
  <c r="O871" i="4"/>
  <c r="Q871" i="4" s="1"/>
  <c r="O828" i="4"/>
  <c r="Q828" i="4" s="1"/>
  <c r="O786" i="4"/>
  <c r="Q786" i="4" s="1"/>
  <c r="O743" i="4"/>
  <c r="Q743" i="4" s="1"/>
  <c r="O700" i="4"/>
  <c r="Q700" i="4" s="1"/>
  <c r="O644" i="4"/>
  <c r="Q644" i="4" s="1"/>
  <c r="O580" i="4"/>
  <c r="Q580" i="4" s="1"/>
  <c r="O516" i="4"/>
  <c r="Q516" i="4" s="1"/>
  <c r="O452" i="4"/>
  <c r="Q452" i="4" s="1"/>
  <c r="O388" i="4"/>
  <c r="Q388" i="4" s="1"/>
  <c r="O324" i="4"/>
  <c r="Q324" i="4" s="1"/>
  <c r="O260" i="4"/>
  <c r="Q260" i="4" s="1"/>
  <c r="O196" i="4"/>
  <c r="Q196" i="4" s="1"/>
  <c r="O132" i="4"/>
  <c r="Q132" i="4" s="1"/>
  <c r="O68" i="4"/>
  <c r="Q68" i="4" s="1"/>
  <c r="O1535" i="4"/>
  <c r="Q1535" i="4" s="1"/>
  <c r="O1503" i="4"/>
  <c r="Q1503" i="4" s="1"/>
  <c r="O1471" i="4"/>
  <c r="Q1471" i="4" s="1"/>
  <c r="O1439" i="4"/>
  <c r="Q1439" i="4" s="1"/>
  <c r="O1407" i="4"/>
  <c r="Q1407" i="4" s="1"/>
  <c r="O1375" i="4"/>
  <c r="Q1375" i="4" s="1"/>
  <c r="O1343" i="4"/>
  <c r="Q1343" i="4" s="1"/>
  <c r="O1311" i="4"/>
  <c r="Q1311" i="4" s="1"/>
  <c r="O1279" i="4"/>
  <c r="Q1279" i="4" s="1"/>
  <c r="O1247" i="4"/>
  <c r="Q1247" i="4" s="1"/>
  <c r="O1215" i="4"/>
  <c r="Q1215" i="4" s="1"/>
  <c r="O1183" i="4"/>
  <c r="Q1183" i="4" s="1"/>
  <c r="O1151" i="4"/>
  <c r="Q1151" i="4" s="1"/>
  <c r="O1119" i="4"/>
  <c r="Q1119" i="4" s="1"/>
  <c r="O1087" i="4"/>
  <c r="Q1087" i="4" s="1"/>
  <c r="O1055" i="4"/>
  <c r="Q1055" i="4" s="1"/>
  <c r="O1023" i="4"/>
  <c r="Q1023" i="4" s="1"/>
  <c r="O991" i="4"/>
  <c r="Q991" i="4" s="1"/>
  <c r="O959" i="4"/>
  <c r="Q959" i="4" s="1"/>
  <c r="O927" i="4"/>
  <c r="Q927" i="4" s="1"/>
  <c r="O891" i="4"/>
  <c r="Q891" i="4" s="1"/>
  <c r="O848" i="4"/>
  <c r="Q848" i="4" s="1"/>
  <c r="O806" i="4"/>
  <c r="Q806" i="4" s="1"/>
  <c r="O763" i="4"/>
  <c r="Q763" i="4" s="1"/>
  <c r="O720" i="4"/>
  <c r="Q720" i="4" s="1"/>
  <c r="O675" i="4"/>
  <c r="Q675" i="4" s="1"/>
  <c r="O611" i="4"/>
  <c r="Q611" i="4" s="1"/>
  <c r="O547" i="4"/>
  <c r="Q547" i="4" s="1"/>
  <c r="O483" i="4"/>
  <c r="Q483" i="4" s="1"/>
  <c r="O419" i="4"/>
  <c r="Q419" i="4" s="1"/>
  <c r="O355" i="4"/>
  <c r="Q355" i="4" s="1"/>
  <c r="O291" i="4"/>
  <c r="Q291" i="4" s="1"/>
  <c r="O227" i="4"/>
  <c r="Q227" i="4" s="1"/>
  <c r="O163" i="4"/>
  <c r="Q163" i="4" s="1"/>
  <c r="O99" i="4"/>
  <c r="Q99" i="4" s="1"/>
  <c r="O35" i="4"/>
  <c r="Q35" i="4" s="1"/>
  <c r="O1534" i="4"/>
  <c r="Q1534" i="4" s="1"/>
  <c r="O1518" i="4"/>
  <c r="Q1518" i="4" s="1"/>
  <c r="O1502" i="4"/>
  <c r="Q1502" i="4" s="1"/>
  <c r="O1486" i="4"/>
  <c r="Q1486" i="4" s="1"/>
  <c r="O1470" i="4"/>
  <c r="Q1470" i="4" s="1"/>
  <c r="O1454" i="4"/>
  <c r="Q1454" i="4" s="1"/>
  <c r="O1438" i="4"/>
  <c r="Q1438" i="4" s="1"/>
  <c r="O1422" i="4"/>
  <c r="Q1422" i="4" s="1"/>
  <c r="O1406" i="4"/>
  <c r="Q1406" i="4" s="1"/>
  <c r="O1390" i="4"/>
  <c r="Q1390" i="4" s="1"/>
  <c r="O1374" i="4"/>
  <c r="Q1374" i="4" s="1"/>
  <c r="O1358" i="4"/>
  <c r="Q1358" i="4" s="1"/>
  <c r="O1342" i="4"/>
  <c r="Q1342" i="4" s="1"/>
  <c r="O1326" i="4"/>
  <c r="Q1326" i="4" s="1"/>
  <c r="O1310" i="4"/>
  <c r="Q1310" i="4" s="1"/>
  <c r="O1294" i="4"/>
  <c r="Q1294" i="4" s="1"/>
  <c r="O1278" i="4"/>
  <c r="Q1278" i="4" s="1"/>
  <c r="O1262" i="4"/>
  <c r="Q1262" i="4" s="1"/>
  <c r="O1246" i="4"/>
  <c r="Q1246" i="4" s="1"/>
  <c r="O1230" i="4"/>
  <c r="Q1230" i="4" s="1"/>
  <c r="O1214" i="4"/>
  <c r="Q1214" i="4" s="1"/>
  <c r="O1198" i="4"/>
  <c r="Q1198" i="4" s="1"/>
  <c r="O1182" i="4"/>
  <c r="Q1182" i="4" s="1"/>
  <c r="O1166" i="4"/>
  <c r="Q1166" i="4" s="1"/>
  <c r="O1150" i="4"/>
  <c r="Q1150" i="4" s="1"/>
  <c r="O1134" i="4"/>
  <c r="Q1134" i="4" s="1"/>
  <c r="O1118" i="4"/>
  <c r="Q1118" i="4" s="1"/>
  <c r="O1102" i="4"/>
  <c r="Q1102" i="4" s="1"/>
  <c r="O1086" i="4"/>
  <c r="Q1086" i="4" s="1"/>
  <c r="O1070" i="4"/>
  <c r="Q1070" i="4" s="1"/>
  <c r="O1054" i="4"/>
  <c r="Q1054" i="4" s="1"/>
  <c r="O1038" i="4"/>
  <c r="Q1038" i="4" s="1"/>
  <c r="O1022" i="4"/>
  <c r="Q1022" i="4" s="1"/>
  <c r="O1006" i="4"/>
  <c r="Q1006" i="4" s="1"/>
  <c r="O990" i="4"/>
  <c r="Q990" i="4" s="1"/>
  <c r="O974" i="4"/>
  <c r="Q974" i="4" s="1"/>
  <c r="O958" i="4"/>
  <c r="Q958" i="4" s="1"/>
  <c r="O942" i="4"/>
  <c r="Q942" i="4" s="1"/>
  <c r="O926" i="4"/>
  <c r="Q926" i="4" s="1"/>
  <c r="O910" i="4"/>
  <c r="Q910" i="4" s="1"/>
  <c r="O890" i="4"/>
  <c r="Q890" i="4" s="1"/>
  <c r="O868" i="4"/>
  <c r="Q868" i="4" s="1"/>
  <c r="O847" i="4"/>
  <c r="Q847" i="4" s="1"/>
  <c r="O826" i="4"/>
  <c r="Q826" i="4" s="1"/>
  <c r="O804" i="4"/>
  <c r="Q804" i="4" s="1"/>
  <c r="O783" i="4"/>
  <c r="Q783" i="4" s="1"/>
  <c r="O762" i="4"/>
  <c r="Q762" i="4" s="1"/>
  <c r="O740" i="4"/>
  <c r="Q740" i="4" s="1"/>
  <c r="O719" i="4"/>
  <c r="Q719" i="4" s="1"/>
  <c r="O698" i="4"/>
  <c r="Q698" i="4" s="1"/>
  <c r="O672" i="4"/>
  <c r="Q672" i="4" s="1"/>
  <c r="O640" i="4"/>
  <c r="Q640" i="4" s="1"/>
  <c r="O608" i="4"/>
  <c r="Q608" i="4" s="1"/>
  <c r="O576" i="4"/>
  <c r="Q576" i="4" s="1"/>
  <c r="O544" i="4"/>
  <c r="Q544" i="4" s="1"/>
  <c r="O512" i="4"/>
  <c r="Q512" i="4" s="1"/>
  <c r="O480" i="4"/>
  <c r="Q480" i="4" s="1"/>
  <c r="O448" i="4"/>
  <c r="Q448" i="4" s="1"/>
  <c r="O416" i="4"/>
  <c r="Q416" i="4" s="1"/>
  <c r="O384" i="4"/>
  <c r="Q384" i="4" s="1"/>
  <c r="O352" i="4"/>
  <c r="Q352" i="4" s="1"/>
  <c r="O320" i="4"/>
  <c r="Q320" i="4" s="1"/>
  <c r="O288" i="4"/>
  <c r="Q288" i="4" s="1"/>
  <c r="O256" i="4"/>
  <c r="Q256" i="4" s="1"/>
  <c r="O224" i="4"/>
  <c r="Q224" i="4" s="1"/>
  <c r="O192" i="4"/>
  <c r="Q192" i="4" s="1"/>
  <c r="O160" i="4"/>
  <c r="Q160" i="4" s="1"/>
  <c r="O128" i="4"/>
  <c r="Q128" i="4" s="1"/>
  <c r="O96" i="4"/>
  <c r="Q96" i="4" s="1"/>
  <c r="O64" i="4"/>
  <c r="Q64" i="4" s="1"/>
  <c r="O32" i="4"/>
  <c r="Q32" i="4" s="1"/>
  <c r="O1537" i="4"/>
  <c r="Q1537" i="4" s="1"/>
  <c r="O1521" i="4"/>
  <c r="Q1521" i="4" s="1"/>
  <c r="O1505" i="4"/>
  <c r="Q1505" i="4" s="1"/>
  <c r="O1489" i="4"/>
  <c r="Q1489" i="4" s="1"/>
  <c r="O1473" i="4"/>
  <c r="Q1473" i="4" s="1"/>
  <c r="O1457" i="4"/>
  <c r="Q1457" i="4" s="1"/>
  <c r="O1441" i="4"/>
  <c r="Q1441" i="4" s="1"/>
  <c r="O1425" i="4"/>
  <c r="Q1425" i="4" s="1"/>
  <c r="O1409" i="4"/>
  <c r="Q1409" i="4" s="1"/>
  <c r="O1393" i="4"/>
  <c r="Q1393" i="4" s="1"/>
  <c r="O1377" i="4"/>
  <c r="Q1377" i="4" s="1"/>
  <c r="O1361" i="4"/>
  <c r="Q1361" i="4" s="1"/>
  <c r="O1345" i="4"/>
  <c r="Q1345" i="4" s="1"/>
  <c r="O1329" i="4"/>
  <c r="Q1329" i="4" s="1"/>
  <c r="O1313" i="4"/>
  <c r="Q1313" i="4" s="1"/>
  <c r="O1297" i="4"/>
  <c r="Q1297" i="4" s="1"/>
  <c r="O1281" i="4"/>
  <c r="Q1281" i="4" s="1"/>
  <c r="O1265" i="4"/>
  <c r="Q1265" i="4" s="1"/>
  <c r="O1249" i="4"/>
  <c r="Q1249" i="4" s="1"/>
  <c r="O1233" i="4"/>
  <c r="Q1233" i="4" s="1"/>
  <c r="O1217" i="4"/>
  <c r="Q1217" i="4" s="1"/>
  <c r="O1201" i="4"/>
  <c r="Q1201" i="4" s="1"/>
  <c r="O1185" i="4"/>
  <c r="Q1185" i="4" s="1"/>
  <c r="O1169" i="4"/>
  <c r="Q1169" i="4" s="1"/>
  <c r="O1153" i="4"/>
  <c r="Q1153" i="4" s="1"/>
  <c r="O1137" i="4"/>
  <c r="Q1137" i="4" s="1"/>
  <c r="O1121" i="4"/>
  <c r="Q1121" i="4" s="1"/>
  <c r="O1105" i="4"/>
  <c r="Q1105" i="4" s="1"/>
  <c r="O1089" i="4"/>
  <c r="Q1089" i="4" s="1"/>
  <c r="O1073" i="4"/>
  <c r="Q1073" i="4" s="1"/>
  <c r="O1057" i="4"/>
  <c r="Q1057" i="4" s="1"/>
  <c r="O1041" i="4"/>
  <c r="Q1041" i="4" s="1"/>
  <c r="O1025" i="4"/>
  <c r="Q1025" i="4" s="1"/>
  <c r="O1009" i="4"/>
  <c r="Q1009" i="4" s="1"/>
  <c r="O993" i="4"/>
  <c r="Q993" i="4" s="1"/>
  <c r="O977" i="4"/>
  <c r="Q977" i="4" s="1"/>
  <c r="O961" i="4"/>
  <c r="Q961" i="4" s="1"/>
  <c r="O945" i="4"/>
  <c r="Q945" i="4" s="1"/>
  <c r="O929" i="4"/>
  <c r="Q929" i="4" s="1"/>
  <c r="O913" i="4"/>
  <c r="Q913" i="4" s="1"/>
  <c r="O894" i="4"/>
  <c r="Q894" i="4" s="1"/>
  <c r="O872" i="4"/>
  <c r="Q872" i="4" s="1"/>
  <c r="O851" i="4"/>
  <c r="Q851" i="4" s="1"/>
  <c r="O830" i="4"/>
  <c r="Q830" i="4" s="1"/>
  <c r="O808" i="4"/>
  <c r="Q808" i="4" s="1"/>
  <c r="O787" i="4"/>
  <c r="Q787" i="4" s="1"/>
  <c r="O766" i="4"/>
  <c r="Q766" i="4" s="1"/>
  <c r="O744" i="4"/>
  <c r="Q744" i="4" s="1"/>
  <c r="O723" i="4"/>
  <c r="Q723" i="4" s="1"/>
  <c r="O702" i="4"/>
  <c r="Q702" i="4" s="1"/>
  <c r="O679" i="4"/>
  <c r="Q679" i="4" s="1"/>
  <c r="O647" i="4"/>
  <c r="Q647" i="4" s="1"/>
  <c r="O615" i="4"/>
  <c r="Q615" i="4" s="1"/>
  <c r="O583" i="4"/>
  <c r="Q583" i="4" s="1"/>
  <c r="O551" i="4"/>
  <c r="Q551" i="4" s="1"/>
  <c r="O519" i="4"/>
  <c r="Q519" i="4" s="1"/>
  <c r="O487" i="4"/>
  <c r="Q487" i="4" s="1"/>
  <c r="O455" i="4"/>
  <c r="Q455" i="4" s="1"/>
  <c r="O423" i="4"/>
  <c r="Q423" i="4" s="1"/>
  <c r="O391" i="4"/>
  <c r="Q391" i="4" s="1"/>
  <c r="O359" i="4"/>
  <c r="Q359" i="4" s="1"/>
  <c r="O327" i="4"/>
  <c r="Q327" i="4" s="1"/>
  <c r="O295" i="4"/>
  <c r="Q295" i="4" s="1"/>
  <c r="O263" i="4"/>
  <c r="Q263" i="4" s="1"/>
  <c r="O231" i="4"/>
  <c r="Q231" i="4" s="1"/>
  <c r="O199" i="4"/>
  <c r="Q199" i="4" s="1"/>
  <c r="O167" i="4"/>
  <c r="Q167" i="4" s="1"/>
  <c r="O135" i="4"/>
  <c r="Q135" i="4" s="1"/>
  <c r="O103" i="4"/>
  <c r="Q103" i="4" s="1"/>
  <c r="O71" i="4"/>
  <c r="Q71" i="4" s="1"/>
  <c r="O39" i="4"/>
  <c r="Q39" i="4" s="1"/>
  <c r="O682" i="4"/>
  <c r="Q682" i="4" s="1"/>
  <c r="O666" i="4"/>
  <c r="Q666" i="4" s="1"/>
  <c r="O650" i="4"/>
  <c r="Q650" i="4" s="1"/>
  <c r="O634" i="4"/>
  <c r="Q634" i="4" s="1"/>
  <c r="O618" i="4"/>
  <c r="Q618" i="4" s="1"/>
  <c r="O602" i="4"/>
  <c r="Q602" i="4" s="1"/>
  <c r="O586" i="4"/>
  <c r="Q586" i="4" s="1"/>
  <c r="O570" i="4"/>
  <c r="Q570" i="4" s="1"/>
  <c r="O554" i="4"/>
  <c r="Q554" i="4" s="1"/>
  <c r="O538" i="4"/>
  <c r="Q538" i="4" s="1"/>
  <c r="O522" i="4"/>
  <c r="Q522" i="4" s="1"/>
  <c r="O506" i="4"/>
  <c r="Q506" i="4" s="1"/>
  <c r="O490" i="4"/>
  <c r="Q490" i="4" s="1"/>
  <c r="O474" i="4"/>
  <c r="Q474" i="4" s="1"/>
  <c r="O458" i="4"/>
  <c r="Q458" i="4" s="1"/>
  <c r="O442" i="4"/>
  <c r="Q442" i="4" s="1"/>
  <c r="O426" i="4"/>
  <c r="Q426" i="4" s="1"/>
  <c r="O410" i="4"/>
  <c r="Q410" i="4" s="1"/>
  <c r="O394" i="4"/>
  <c r="Q394" i="4" s="1"/>
  <c r="O378" i="4"/>
  <c r="Q378" i="4" s="1"/>
  <c r="O362" i="4"/>
  <c r="Q362" i="4" s="1"/>
  <c r="O346" i="4"/>
  <c r="Q346" i="4" s="1"/>
  <c r="O330" i="4"/>
  <c r="Q330" i="4" s="1"/>
  <c r="O314" i="4"/>
  <c r="Q314" i="4" s="1"/>
  <c r="O298" i="4"/>
  <c r="Q298" i="4" s="1"/>
  <c r="O282" i="4"/>
  <c r="Q282" i="4" s="1"/>
  <c r="O266" i="4"/>
  <c r="Q266" i="4" s="1"/>
  <c r="O250" i="4"/>
  <c r="Q250" i="4" s="1"/>
  <c r="O234" i="4"/>
  <c r="Q234" i="4" s="1"/>
  <c r="O218" i="4"/>
  <c r="Q218" i="4" s="1"/>
  <c r="O202" i="4"/>
  <c r="Q202" i="4" s="1"/>
  <c r="O186" i="4"/>
  <c r="Q186" i="4" s="1"/>
  <c r="O170" i="4"/>
  <c r="Q170" i="4" s="1"/>
  <c r="O154" i="4"/>
  <c r="Q154" i="4" s="1"/>
  <c r="O138" i="4"/>
  <c r="Q138" i="4" s="1"/>
  <c r="O122" i="4"/>
  <c r="Q122" i="4" s="1"/>
  <c r="O106" i="4"/>
  <c r="Q106" i="4" s="1"/>
  <c r="O90" i="4"/>
  <c r="Q90" i="4" s="1"/>
  <c r="O74" i="4"/>
  <c r="Q74" i="4" s="1"/>
  <c r="O58" i="4"/>
  <c r="Q58" i="4" s="1"/>
  <c r="O42" i="4"/>
  <c r="Q42" i="4" s="1"/>
  <c r="O26" i="4"/>
  <c r="Q26" i="4" s="1"/>
  <c r="O10" i="4"/>
  <c r="Q10" i="4" s="1"/>
  <c r="O893" i="4"/>
  <c r="Q893" i="4" s="1"/>
  <c r="O877" i="4"/>
  <c r="Q877" i="4" s="1"/>
  <c r="O861" i="4"/>
  <c r="Q861" i="4" s="1"/>
  <c r="O845" i="4"/>
  <c r="Q845" i="4" s="1"/>
  <c r="O829" i="4"/>
  <c r="Q829" i="4" s="1"/>
  <c r="O813" i="4"/>
  <c r="Q813" i="4" s="1"/>
  <c r="O797" i="4"/>
  <c r="Q797" i="4" s="1"/>
  <c r="O781" i="4"/>
  <c r="Q781" i="4" s="1"/>
  <c r="O765" i="4"/>
  <c r="Q765" i="4" s="1"/>
  <c r="O749" i="4"/>
  <c r="Q749" i="4" s="1"/>
  <c r="O733" i="4"/>
  <c r="Q733" i="4" s="1"/>
  <c r="O717" i="4"/>
  <c r="Q717" i="4" s="1"/>
  <c r="O701" i="4"/>
  <c r="Q701" i="4" s="1"/>
  <c r="O685" i="4"/>
  <c r="Q685" i="4" s="1"/>
  <c r="O669" i="4"/>
  <c r="Q669" i="4" s="1"/>
  <c r="O653" i="4"/>
  <c r="Q653" i="4" s="1"/>
  <c r="O637" i="4"/>
  <c r="Q637" i="4" s="1"/>
  <c r="O621" i="4"/>
  <c r="Q621" i="4" s="1"/>
  <c r="O605" i="4"/>
  <c r="Q605" i="4" s="1"/>
  <c r="O589" i="4"/>
  <c r="Q589" i="4" s="1"/>
  <c r="O573" i="4"/>
  <c r="Q573" i="4" s="1"/>
  <c r="O557" i="4"/>
  <c r="Q557" i="4" s="1"/>
  <c r="O541" i="4"/>
  <c r="Q541" i="4" s="1"/>
  <c r="O525" i="4"/>
  <c r="Q525" i="4" s="1"/>
  <c r="O509" i="4"/>
  <c r="Q509" i="4" s="1"/>
  <c r="O493" i="4"/>
  <c r="Q493" i="4" s="1"/>
  <c r="O477" i="4"/>
  <c r="Q477" i="4" s="1"/>
  <c r="O461" i="4"/>
  <c r="Q461" i="4" s="1"/>
  <c r="O445" i="4"/>
  <c r="Q445" i="4" s="1"/>
  <c r="O429" i="4"/>
  <c r="Q429" i="4" s="1"/>
  <c r="O413" i="4"/>
  <c r="Q413" i="4" s="1"/>
  <c r="O397" i="4"/>
  <c r="Q397" i="4" s="1"/>
  <c r="O381" i="4"/>
  <c r="Q381" i="4" s="1"/>
  <c r="O365" i="4"/>
  <c r="Q365" i="4" s="1"/>
  <c r="O349" i="4"/>
  <c r="Q349" i="4" s="1"/>
  <c r="O333" i="4"/>
  <c r="Q333" i="4" s="1"/>
  <c r="O317" i="4"/>
  <c r="Q317" i="4" s="1"/>
  <c r="O301" i="4"/>
  <c r="Q301" i="4" s="1"/>
  <c r="O285" i="4"/>
  <c r="Q285" i="4" s="1"/>
  <c r="O269" i="4"/>
  <c r="Q269" i="4" s="1"/>
  <c r="O253" i="4"/>
  <c r="Q253" i="4" s="1"/>
  <c r="O237" i="4"/>
  <c r="Q237" i="4" s="1"/>
  <c r="O221" i="4"/>
  <c r="Q221" i="4" s="1"/>
  <c r="O205" i="4"/>
  <c r="Q205" i="4" s="1"/>
  <c r="O189" i="4"/>
  <c r="Q189" i="4" s="1"/>
  <c r="O173" i="4"/>
  <c r="Q173" i="4" s="1"/>
  <c r="O157" i="4"/>
  <c r="Q157" i="4" s="1"/>
  <c r="O141" i="4"/>
  <c r="Q141" i="4" s="1"/>
  <c r="O125" i="4"/>
  <c r="Q125" i="4" s="1"/>
  <c r="O109" i="4"/>
  <c r="Q109" i="4" s="1"/>
  <c r="O93" i="4"/>
  <c r="Q93" i="4" s="1"/>
  <c r="O77" i="4"/>
  <c r="Q77" i="4" s="1"/>
  <c r="O61" i="4"/>
  <c r="Q61" i="4" s="1"/>
  <c r="O45" i="4"/>
  <c r="Q45" i="4" s="1"/>
  <c r="O29" i="4"/>
  <c r="Q29" i="4" s="1"/>
  <c r="O13" i="4"/>
  <c r="Q13" i="4" s="1"/>
  <c r="S5" i="1"/>
  <c r="T5" i="1" s="1"/>
  <c r="U5" i="1" s="1"/>
  <c r="P1513" i="4"/>
  <c r="R1513" i="4" s="1"/>
  <c r="P1257" i="4"/>
  <c r="R1257" i="4" s="1"/>
  <c r="P1001" i="4"/>
  <c r="R1001" i="4" s="1"/>
  <c r="P745" i="4"/>
  <c r="R745" i="4" s="1"/>
  <c r="P1497" i="4"/>
  <c r="R1497" i="4" s="1"/>
  <c r="P1241" i="4"/>
  <c r="R1241" i="4" s="1"/>
  <c r="P985" i="4"/>
  <c r="R985" i="4" s="1"/>
  <c r="P729" i="4"/>
  <c r="R729" i="4" s="1"/>
  <c r="P66" i="4"/>
  <c r="R66" i="4" s="1"/>
  <c r="P1289" i="4"/>
  <c r="R1289" i="4" s="1"/>
  <c r="P1033" i="4"/>
  <c r="R1033" i="4" s="1"/>
  <c r="P777" i="4"/>
  <c r="R777" i="4" s="1"/>
  <c r="P258" i="4"/>
  <c r="R258" i="4" s="1"/>
  <c r="P1401" i="4"/>
  <c r="R1401" i="4" s="1"/>
  <c r="P1145" i="4"/>
  <c r="R1145" i="4" s="1"/>
  <c r="P889" i="4"/>
  <c r="R889" i="4" s="1"/>
  <c r="P573" i="4"/>
  <c r="R573" i="4" s="1"/>
  <c r="P1512" i="4"/>
  <c r="R1512" i="4" s="1"/>
  <c r="P1448" i="4"/>
  <c r="R1448" i="4" s="1"/>
  <c r="P1384" i="4"/>
  <c r="R1384" i="4" s="1"/>
  <c r="P1320" i="4"/>
  <c r="R1320" i="4" s="1"/>
  <c r="P1256" i="4"/>
  <c r="R1256" i="4" s="1"/>
  <c r="P1192" i="4"/>
  <c r="R1192" i="4" s="1"/>
  <c r="P1128" i="4"/>
  <c r="R1128" i="4" s="1"/>
  <c r="P1064" i="4"/>
  <c r="R1064" i="4" s="1"/>
  <c r="P1000" i="4"/>
  <c r="R1000" i="4" s="1"/>
  <c r="P936" i="4"/>
  <c r="R936" i="4" s="1"/>
  <c r="P872" i="4"/>
  <c r="R872" i="4" s="1"/>
  <c r="P808" i="4"/>
  <c r="R808" i="4" s="1"/>
  <c r="P744" i="4"/>
  <c r="R744" i="4" s="1"/>
  <c r="P665" i="4"/>
  <c r="R665" i="4" s="1"/>
  <c r="P537" i="4"/>
  <c r="R537" i="4" s="1"/>
  <c r="P378" i="4"/>
  <c r="R378" i="4" s="1"/>
  <c r="P122" i="4"/>
  <c r="R122" i="4" s="1"/>
  <c r="P1505" i="4"/>
  <c r="R1505" i="4" s="1"/>
  <c r="P1441" i="4"/>
  <c r="R1441" i="4" s="1"/>
  <c r="P1377" i="4"/>
  <c r="R1377" i="4" s="1"/>
  <c r="P1313" i="4"/>
  <c r="R1313" i="4" s="1"/>
  <c r="P1249" i="4"/>
  <c r="R1249" i="4" s="1"/>
  <c r="P1185" i="4"/>
  <c r="R1185" i="4" s="1"/>
  <c r="P1121" i="4"/>
  <c r="R1121" i="4" s="1"/>
  <c r="P1057" i="4"/>
  <c r="R1057" i="4" s="1"/>
  <c r="P993" i="4"/>
  <c r="R993" i="4" s="1"/>
  <c r="P929" i="4"/>
  <c r="R929" i="4" s="1"/>
  <c r="P865" i="4"/>
  <c r="R865" i="4" s="1"/>
  <c r="P801" i="4"/>
  <c r="R801" i="4" s="1"/>
  <c r="P737" i="4"/>
  <c r="R737" i="4" s="1"/>
  <c r="P653" i="4"/>
  <c r="R653" i="4" s="1"/>
  <c r="P525" i="4"/>
  <c r="R525" i="4" s="1"/>
  <c r="P354" i="4"/>
  <c r="R354" i="4" s="1"/>
  <c r="P98" i="4"/>
  <c r="R98" i="4" s="1"/>
  <c r="P1504" i="4"/>
  <c r="R1504" i="4" s="1"/>
  <c r="P1440" i="4"/>
  <c r="R1440" i="4" s="1"/>
  <c r="P1376" i="4"/>
  <c r="R1376" i="4" s="1"/>
  <c r="P1312" i="4"/>
  <c r="R1312" i="4" s="1"/>
  <c r="P1248" i="4"/>
  <c r="R1248" i="4" s="1"/>
  <c r="P1184" i="4"/>
  <c r="R1184" i="4" s="1"/>
  <c r="P1120" i="4"/>
  <c r="R1120" i="4" s="1"/>
  <c r="P1056" i="4"/>
  <c r="R1056" i="4" s="1"/>
  <c r="P992" i="4"/>
  <c r="R992" i="4" s="1"/>
  <c r="P928" i="4"/>
  <c r="R928" i="4" s="1"/>
  <c r="P864" i="4"/>
  <c r="R864" i="4" s="1"/>
  <c r="P800" i="4"/>
  <c r="R800" i="4" s="1"/>
  <c r="P736" i="4"/>
  <c r="R736" i="4" s="1"/>
  <c r="P649" i="4"/>
  <c r="R649" i="4" s="1"/>
  <c r="P521" i="4"/>
  <c r="R521" i="4" s="1"/>
  <c r="P346" i="4"/>
  <c r="R346" i="4" s="1"/>
  <c r="P90" i="4"/>
  <c r="R90" i="4" s="1"/>
  <c r="P1525" i="4"/>
  <c r="R1525" i="4" s="1"/>
  <c r="P1493" i="4"/>
  <c r="R1493" i="4" s="1"/>
  <c r="P1461" i="4"/>
  <c r="R1461" i="4" s="1"/>
  <c r="P1429" i="4"/>
  <c r="R1429" i="4" s="1"/>
  <c r="P1397" i="4"/>
  <c r="R1397" i="4" s="1"/>
  <c r="P1365" i="4"/>
  <c r="R1365" i="4" s="1"/>
  <c r="P1333" i="4"/>
  <c r="R1333" i="4" s="1"/>
  <c r="P1301" i="4"/>
  <c r="R1301" i="4" s="1"/>
  <c r="P1269" i="4"/>
  <c r="R1269" i="4" s="1"/>
  <c r="P1237" i="4"/>
  <c r="R1237" i="4" s="1"/>
  <c r="P1205" i="4"/>
  <c r="R1205" i="4" s="1"/>
  <c r="P1173" i="4"/>
  <c r="R1173" i="4" s="1"/>
  <c r="P1141" i="4"/>
  <c r="R1141" i="4" s="1"/>
  <c r="P1109" i="4"/>
  <c r="R1109" i="4" s="1"/>
  <c r="P1077" i="4"/>
  <c r="R1077" i="4" s="1"/>
  <c r="P1045" i="4"/>
  <c r="R1045" i="4" s="1"/>
  <c r="P1013" i="4"/>
  <c r="R1013" i="4" s="1"/>
  <c r="P981" i="4"/>
  <c r="R981" i="4" s="1"/>
  <c r="P949" i="4"/>
  <c r="R949" i="4" s="1"/>
  <c r="P917" i="4"/>
  <c r="R917" i="4" s="1"/>
  <c r="P885" i="4"/>
  <c r="R885" i="4" s="1"/>
  <c r="P853" i="4"/>
  <c r="R853" i="4" s="1"/>
  <c r="P821" i="4"/>
  <c r="R821" i="4" s="1"/>
  <c r="P789" i="4"/>
  <c r="R789" i="4" s="1"/>
  <c r="P757" i="4"/>
  <c r="R757" i="4" s="1"/>
  <c r="P725" i="4"/>
  <c r="R725" i="4" s="1"/>
  <c r="P693" i="4"/>
  <c r="R693" i="4" s="1"/>
  <c r="P629" i="4"/>
  <c r="R629" i="4" s="1"/>
  <c r="P565" i="4"/>
  <c r="R565" i="4" s="1"/>
  <c r="P501" i="4"/>
  <c r="R501" i="4" s="1"/>
  <c r="P434" i="4"/>
  <c r="R434" i="4" s="1"/>
  <c r="P306" i="4"/>
  <c r="R306" i="4" s="1"/>
  <c r="P178" i="4"/>
  <c r="R178" i="4" s="1"/>
  <c r="P50" i="4"/>
  <c r="R50" i="4" s="1"/>
  <c r="P1524" i="4"/>
  <c r="R1524" i="4" s="1"/>
  <c r="P1492" i="4"/>
  <c r="R1492" i="4" s="1"/>
  <c r="P1460" i="4"/>
  <c r="R1460" i="4" s="1"/>
  <c r="P1428" i="4"/>
  <c r="R1428" i="4" s="1"/>
  <c r="P1396" i="4"/>
  <c r="R1396" i="4" s="1"/>
  <c r="P1364" i="4"/>
  <c r="R1364" i="4" s="1"/>
  <c r="P1332" i="4"/>
  <c r="R1332" i="4" s="1"/>
  <c r="P1300" i="4"/>
  <c r="R1300" i="4" s="1"/>
  <c r="P1268" i="4"/>
  <c r="R1268" i="4" s="1"/>
  <c r="P1236" i="4"/>
  <c r="R1236" i="4" s="1"/>
  <c r="P1204" i="4"/>
  <c r="R1204" i="4" s="1"/>
  <c r="P1172" i="4"/>
  <c r="R1172" i="4" s="1"/>
  <c r="P1140" i="4"/>
  <c r="R1140" i="4" s="1"/>
  <c r="P1108" i="4"/>
  <c r="R1108" i="4" s="1"/>
  <c r="P1076" i="4"/>
  <c r="R1076" i="4" s="1"/>
  <c r="P1044" i="4"/>
  <c r="R1044" i="4" s="1"/>
  <c r="P1012" i="4"/>
  <c r="R1012" i="4" s="1"/>
  <c r="P980" i="4"/>
  <c r="R980" i="4" s="1"/>
  <c r="P948" i="4"/>
  <c r="R948" i="4" s="1"/>
  <c r="P916" i="4"/>
  <c r="R916" i="4" s="1"/>
  <c r="P884" i="4"/>
  <c r="R884" i="4" s="1"/>
  <c r="P852" i="4"/>
  <c r="R852" i="4" s="1"/>
  <c r="P820" i="4"/>
  <c r="R820" i="4" s="1"/>
  <c r="P788" i="4"/>
  <c r="R788" i="4" s="1"/>
  <c r="P756" i="4"/>
  <c r="R756" i="4" s="1"/>
  <c r="P724" i="4"/>
  <c r="R724" i="4" s="1"/>
  <c r="P689" i="4"/>
  <c r="R689" i="4" s="1"/>
  <c r="P625" i="4"/>
  <c r="R625" i="4" s="1"/>
  <c r="P561" i="4"/>
  <c r="R561" i="4" s="1"/>
  <c r="P497" i="4"/>
  <c r="R497" i="4" s="1"/>
  <c r="P426" i="4"/>
  <c r="R426" i="4" s="1"/>
  <c r="P298" i="4"/>
  <c r="R298" i="4" s="1"/>
  <c r="P170" i="4"/>
  <c r="R170" i="4" s="1"/>
  <c r="P42" i="4"/>
  <c r="R42" i="4" s="1"/>
  <c r="P684" i="4"/>
  <c r="R684" i="4" s="1"/>
  <c r="P668" i="4"/>
  <c r="R668" i="4" s="1"/>
  <c r="P652" i="4"/>
  <c r="R652" i="4" s="1"/>
  <c r="P636" i="4"/>
  <c r="R636" i="4" s="1"/>
  <c r="P620" i="4"/>
  <c r="R620" i="4" s="1"/>
  <c r="P604" i="4"/>
  <c r="R604" i="4" s="1"/>
  <c r="P588" i="4"/>
  <c r="R588" i="4" s="1"/>
  <c r="P572" i="4"/>
  <c r="R572" i="4" s="1"/>
  <c r="P556" i="4"/>
  <c r="R556" i="4" s="1"/>
  <c r="P540" i="4"/>
  <c r="R540" i="4" s="1"/>
  <c r="P524" i="4"/>
  <c r="R524" i="4" s="1"/>
  <c r="P508" i="4"/>
  <c r="R508" i="4" s="1"/>
  <c r="P492" i="4"/>
  <c r="R492" i="4" s="1"/>
  <c r="P476" i="4"/>
  <c r="R476" i="4" s="1"/>
  <c r="P460" i="4"/>
  <c r="R460" i="4" s="1"/>
  <c r="P444" i="4"/>
  <c r="R444" i="4" s="1"/>
  <c r="P415" i="4"/>
  <c r="R415" i="4" s="1"/>
  <c r="P383" i="4"/>
  <c r="R383" i="4" s="1"/>
  <c r="P351" i="4"/>
  <c r="R351" i="4" s="1"/>
  <c r="P319" i="4"/>
  <c r="R319" i="4" s="1"/>
  <c r="P287" i="4"/>
  <c r="R287" i="4" s="1"/>
  <c r="P255" i="4"/>
  <c r="R255" i="4" s="1"/>
  <c r="P223" i="4"/>
  <c r="R223" i="4" s="1"/>
  <c r="P191" i="4"/>
  <c r="R191" i="4" s="1"/>
  <c r="P159" i="4"/>
  <c r="R159" i="4" s="1"/>
  <c r="P127" i="4"/>
  <c r="R127" i="4" s="1"/>
  <c r="P95" i="4"/>
  <c r="R95" i="4" s="1"/>
  <c r="P63" i="4"/>
  <c r="R63" i="4" s="1"/>
  <c r="P31" i="4"/>
  <c r="R31" i="4" s="1"/>
  <c r="P1535" i="4"/>
  <c r="R1535" i="4" s="1"/>
  <c r="P1519" i="4"/>
  <c r="R1519" i="4" s="1"/>
  <c r="P1503" i="4"/>
  <c r="R1503" i="4" s="1"/>
  <c r="P1487" i="4"/>
  <c r="R1487" i="4" s="1"/>
  <c r="P1471" i="4"/>
  <c r="R1471" i="4" s="1"/>
  <c r="P1455" i="4"/>
  <c r="R1455" i="4" s="1"/>
  <c r="P1439" i="4"/>
  <c r="R1439" i="4" s="1"/>
  <c r="P1423" i="4"/>
  <c r="R1423" i="4" s="1"/>
  <c r="P1407" i="4"/>
  <c r="R1407" i="4" s="1"/>
  <c r="P1391" i="4"/>
  <c r="R1391" i="4" s="1"/>
  <c r="P1375" i="4"/>
  <c r="R1375" i="4" s="1"/>
  <c r="P1359" i="4"/>
  <c r="R1359" i="4" s="1"/>
  <c r="P1343" i="4"/>
  <c r="R1343" i="4" s="1"/>
  <c r="P1327" i="4"/>
  <c r="R1327" i="4" s="1"/>
  <c r="P1311" i="4"/>
  <c r="R1311" i="4" s="1"/>
  <c r="P1295" i="4"/>
  <c r="R1295" i="4" s="1"/>
  <c r="P1279" i="4"/>
  <c r="R1279" i="4" s="1"/>
  <c r="P1263" i="4"/>
  <c r="R1263" i="4" s="1"/>
  <c r="P1247" i="4"/>
  <c r="R1247" i="4" s="1"/>
  <c r="P1231" i="4"/>
  <c r="R1231" i="4" s="1"/>
  <c r="P1215" i="4"/>
  <c r="R1215" i="4" s="1"/>
  <c r="P1199" i="4"/>
  <c r="R1199" i="4" s="1"/>
  <c r="P1183" i="4"/>
  <c r="R1183" i="4" s="1"/>
  <c r="P1167" i="4"/>
  <c r="R1167" i="4" s="1"/>
  <c r="P1151" i="4"/>
  <c r="R1151" i="4" s="1"/>
  <c r="P1135" i="4"/>
  <c r="R1135" i="4" s="1"/>
  <c r="P1119" i="4"/>
  <c r="R1119" i="4" s="1"/>
  <c r="P1103" i="4"/>
  <c r="R1103" i="4" s="1"/>
  <c r="P1087" i="4"/>
  <c r="R1087" i="4" s="1"/>
  <c r="P1071" i="4"/>
  <c r="R1071" i="4" s="1"/>
  <c r="P1055" i="4"/>
  <c r="R1055" i="4" s="1"/>
  <c r="P1039" i="4"/>
  <c r="R1039" i="4" s="1"/>
  <c r="P1023" i="4"/>
  <c r="R1023" i="4" s="1"/>
  <c r="P1007" i="4"/>
  <c r="R1007" i="4" s="1"/>
  <c r="P991" i="4"/>
  <c r="R991" i="4" s="1"/>
  <c r="P975" i="4"/>
  <c r="R975" i="4" s="1"/>
  <c r="P959" i="4"/>
  <c r="R959" i="4" s="1"/>
  <c r="P943" i="4"/>
  <c r="R943" i="4" s="1"/>
  <c r="P927" i="4"/>
  <c r="R927" i="4" s="1"/>
  <c r="P911" i="4"/>
  <c r="R911" i="4" s="1"/>
  <c r="P895" i="4"/>
  <c r="R895" i="4" s="1"/>
  <c r="P879" i="4"/>
  <c r="R879" i="4" s="1"/>
  <c r="P863" i="4"/>
  <c r="R863" i="4" s="1"/>
  <c r="P847" i="4"/>
  <c r="R847" i="4" s="1"/>
  <c r="P831" i="4"/>
  <c r="R831" i="4" s="1"/>
  <c r="P815" i="4"/>
  <c r="R815" i="4" s="1"/>
  <c r="P799" i="4"/>
  <c r="R799" i="4" s="1"/>
  <c r="P783" i="4"/>
  <c r="R783" i="4" s="1"/>
  <c r="P767" i="4"/>
  <c r="R767" i="4" s="1"/>
  <c r="P751" i="4"/>
  <c r="R751" i="4" s="1"/>
  <c r="P735" i="4"/>
  <c r="R735" i="4" s="1"/>
  <c r="P719" i="4"/>
  <c r="R719" i="4" s="1"/>
  <c r="P703" i="4"/>
  <c r="R703" i="4" s="1"/>
  <c r="P687" i="4"/>
  <c r="R687" i="4" s="1"/>
  <c r="P671" i="4"/>
  <c r="R671" i="4" s="1"/>
  <c r="P655" i="4"/>
  <c r="R655" i="4" s="1"/>
  <c r="P639" i="4"/>
  <c r="R639" i="4" s="1"/>
  <c r="P623" i="4"/>
  <c r="R623" i="4" s="1"/>
  <c r="P607" i="4"/>
  <c r="R607" i="4" s="1"/>
  <c r="P591" i="4"/>
  <c r="R591" i="4" s="1"/>
  <c r="P575" i="4"/>
  <c r="R575" i="4" s="1"/>
  <c r="P559" i="4"/>
  <c r="R559" i="4" s="1"/>
  <c r="P543" i="4"/>
  <c r="R543" i="4" s="1"/>
  <c r="P527" i="4"/>
  <c r="R527" i="4" s="1"/>
  <c r="P511" i="4"/>
  <c r="R511" i="4" s="1"/>
  <c r="P495" i="4"/>
  <c r="R495" i="4" s="1"/>
  <c r="P479" i="4"/>
  <c r="R479" i="4" s="1"/>
  <c r="P463" i="4"/>
  <c r="R463" i="4" s="1"/>
  <c r="P447" i="4"/>
  <c r="R447" i="4" s="1"/>
  <c r="P422" i="4"/>
  <c r="R422" i="4" s="1"/>
  <c r="P390" i="4"/>
  <c r="R390" i="4" s="1"/>
  <c r="P358" i="4"/>
  <c r="R358" i="4" s="1"/>
  <c r="P326" i="4"/>
  <c r="R326" i="4" s="1"/>
  <c r="P294" i="4"/>
  <c r="R294" i="4" s="1"/>
  <c r="P262" i="4"/>
  <c r="R262" i="4" s="1"/>
  <c r="P230" i="4"/>
  <c r="R230" i="4" s="1"/>
  <c r="P198" i="4"/>
  <c r="R198" i="4" s="1"/>
  <c r="P166" i="4"/>
  <c r="R166" i="4" s="1"/>
  <c r="P134" i="4"/>
  <c r="R134" i="4" s="1"/>
  <c r="P102" i="4"/>
  <c r="R102" i="4" s="1"/>
  <c r="P70" i="4"/>
  <c r="R70" i="4" s="1"/>
  <c r="P38" i="4"/>
  <c r="R38" i="4" s="1"/>
  <c r="P1542" i="4"/>
  <c r="R1542" i="4" s="1"/>
  <c r="P1526" i="4"/>
  <c r="R1526" i="4" s="1"/>
  <c r="P1510" i="4"/>
  <c r="R1510" i="4" s="1"/>
  <c r="P1494" i="4"/>
  <c r="R1494" i="4" s="1"/>
  <c r="P1478" i="4"/>
  <c r="R1478" i="4" s="1"/>
  <c r="P1462" i="4"/>
  <c r="R1462" i="4" s="1"/>
  <c r="P1446" i="4"/>
  <c r="R1446" i="4" s="1"/>
  <c r="P1430" i="4"/>
  <c r="R1430" i="4" s="1"/>
  <c r="P1414" i="4"/>
  <c r="R1414" i="4" s="1"/>
  <c r="P1398" i="4"/>
  <c r="R1398" i="4" s="1"/>
  <c r="P1382" i="4"/>
  <c r="R1382" i="4" s="1"/>
  <c r="P1366" i="4"/>
  <c r="R1366" i="4" s="1"/>
  <c r="P1350" i="4"/>
  <c r="R1350" i="4" s="1"/>
  <c r="P1334" i="4"/>
  <c r="R1334" i="4" s="1"/>
  <c r="P1318" i="4"/>
  <c r="R1318" i="4" s="1"/>
  <c r="P1302" i="4"/>
  <c r="R1302" i="4" s="1"/>
  <c r="P1286" i="4"/>
  <c r="R1286" i="4" s="1"/>
  <c r="P1270" i="4"/>
  <c r="R1270" i="4" s="1"/>
  <c r="P1254" i="4"/>
  <c r="R1254" i="4" s="1"/>
  <c r="P1238" i="4"/>
  <c r="R1238" i="4" s="1"/>
  <c r="P1222" i="4"/>
  <c r="R1222" i="4" s="1"/>
  <c r="P1206" i="4"/>
  <c r="R1206" i="4" s="1"/>
  <c r="P1190" i="4"/>
  <c r="R1190" i="4" s="1"/>
  <c r="P1174" i="4"/>
  <c r="R1174" i="4" s="1"/>
  <c r="P1158" i="4"/>
  <c r="R1158" i="4" s="1"/>
  <c r="P1142" i="4"/>
  <c r="R1142" i="4" s="1"/>
  <c r="P1126" i="4"/>
  <c r="R1126" i="4" s="1"/>
  <c r="P1110" i="4"/>
  <c r="R1110" i="4" s="1"/>
  <c r="P1094" i="4"/>
  <c r="R1094" i="4" s="1"/>
  <c r="P1078" i="4"/>
  <c r="R1078" i="4" s="1"/>
  <c r="P1062" i="4"/>
  <c r="R1062" i="4" s="1"/>
  <c r="P1046" i="4"/>
  <c r="R1046" i="4" s="1"/>
  <c r="P1030" i="4"/>
  <c r="R1030" i="4" s="1"/>
  <c r="P1014" i="4"/>
  <c r="R1014" i="4" s="1"/>
  <c r="P998" i="4"/>
  <c r="R998" i="4" s="1"/>
  <c r="P982" i="4"/>
  <c r="R982" i="4" s="1"/>
  <c r="P966" i="4"/>
  <c r="R966" i="4" s="1"/>
  <c r="P950" i="4"/>
  <c r="R950" i="4" s="1"/>
  <c r="P934" i="4"/>
  <c r="R934" i="4" s="1"/>
  <c r="P918" i="4"/>
  <c r="R918" i="4" s="1"/>
  <c r="P902" i="4"/>
  <c r="R902" i="4" s="1"/>
  <c r="P886" i="4"/>
  <c r="R886" i="4" s="1"/>
  <c r="P870" i="4"/>
  <c r="R870" i="4" s="1"/>
  <c r="P854" i="4"/>
  <c r="R854" i="4" s="1"/>
  <c r="P838" i="4"/>
  <c r="R838" i="4" s="1"/>
  <c r="P822" i="4"/>
  <c r="R822" i="4" s="1"/>
  <c r="P806" i="4"/>
  <c r="R806" i="4" s="1"/>
  <c r="P790" i="4"/>
  <c r="R790" i="4" s="1"/>
  <c r="P774" i="4"/>
  <c r="R774" i="4" s="1"/>
  <c r="P758" i="4"/>
  <c r="R758" i="4" s="1"/>
  <c r="P742" i="4"/>
  <c r="R742" i="4" s="1"/>
  <c r="P726" i="4"/>
  <c r="R726" i="4" s="1"/>
  <c r="P710" i="4"/>
  <c r="R710" i="4" s="1"/>
  <c r="P694" i="4"/>
  <c r="R694" i="4" s="1"/>
  <c r="P678" i="4"/>
  <c r="R678" i="4" s="1"/>
  <c r="P662" i="4"/>
  <c r="R662" i="4" s="1"/>
  <c r="P646" i="4"/>
  <c r="R646" i="4" s="1"/>
  <c r="P630" i="4"/>
  <c r="R630" i="4" s="1"/>
  <c r="P614" i="4"/>
  <c r="R614" i="4" s="1"/>
  <c r="P598" i="4"/>
  <c r="R598" i="4" s="1"/>
  <c r="P582" i="4"/>
  <c r="R582" i="4" s="1"/>
  <c r="P566" i="4"/>
  <c r="R566" i="4" s="1"/>
  <c r="P550" i="4"/>
  <c r="R550" i="4" s="1"/>
  <c r="P534" i="4"/>
  <c r="R534" i="4" s="1"/>
  <c r="P518" i="4"/>
  <c r="R518" i="4" s="1"/>
  <c r="P502" i="4"/>
  <c r="R502" i="4" s="1"/>
  <c r="P486" i="4"/>
  <c r="R486" i="4" s="1"/>
  <c r="P470" i="4"/>
  <c r="R470" i="4" s="1"/>
  <c r="P454" i="4"/>
  <c r="R454" i="4" s="1"/>
  <c r="P435" i="4"/>
  <c r="R435" i="4" s="1"/>
  <c r="P403" i="4"/>
  <c r="R403" i="4" s="1"/>
  <c r="P371" i="4"/>
  <c r="R371" i="4" s="1"/>
  <c r="P339" i="4"/>
  <c r="R339" i="4" s="1"/>
  <c r="P307" i="4"/>
  <c r="R307" i="4" s="1"/>
  <c r="P275" i="4"/>
  <c r="R275" i="4" s="1"/>
  <c r="P243" i="4"/>
  <c r="R243" i="4" s="1"/>
  <c r="P211" i="4"/>
  <c r="R211" i="4" s="1"/>
  <c r="P179" i="4"/>
  <c r="R179" i="4" s="1"/>
  <c r="P147" i="4"/>
  <c r="R147" i="4" s="1"/>
  <c r="P115" i="4"/>
  <c r="R115" i="4" s="1"/>
  <c r="P83" i="4"/>
  <c r="R83" i="4" s="1"/>
  <c r="P51" i="4"/>
  <c r="R51" i="4" s="1"/>
  <c r="P19" i="4"/>
  <c r="R19" i="4" s="1"/>
  <c r="P429" i="4"/>
  <c r="R429" i="4" s="1"/>
  <c r="P413" i="4"/>
  <c r="R413" i="4" s="1"/>
  <c r="P397" i="4"/>
  <c r="R397" i="4" s="1"/>
  <c r="P381" i="4"/>
  <c r="R381" i="4" s="1"/>
  <c r="P365" i="4"/>
  <c r="R365" i="4" s="1"/>
  <c r="P349" i="4"/>
  <c r="R349" i="4" s="1"/>
  <c r="P333" i="4"/>
  <c r="R333" i="4" s="1"/>
  <c r="P317" i="4"/>
  <c r="R317" i="4" s="1"/>
  <c r="P301" i="4"/>
  <c r="R301" i="4" s="1"/>
  <c r="P285" i="4"/>
  <c r="R285" i="4" s="1"/>
  <c r="P269" i="4"/>
  <c r="R269" i="4" s="1"/>
  <c r="P253" i="4"/>
  <c r="R253" i="4" s="1"/>
  <c r="P237" i="4"/>
  <c r="R237" i="4" s="1"/>
  <c r="P221" i="4"/>
  <c r="R221" i="4" s="1"/>
  <c r="P205" i="4"/>
  <c r="R205" i="4" s="1"/>
  <c r="P189" i="4"/>
  <c r="R189" i="4" s="1"/>
  <c r="P173" i="4"/>
  <c r="R173" i="4" s="1"/>
  <c r="P157" i="4"/>
  <c r="R157" i="4" s="1"/>
  <c r="P141" i="4"/>
  <c r="R141" i="4" s="1"/>
  <c r="P125" i="4"/>
  <c r="R125" i="4" s="1"/>
  <c r="P109" i="4"/>
  <c r="R109" i="4" s="1"/>
  <c r="P93" i="4"/>
  <c r="R93" i="4" s="1"/>
  <c r="P77" i="4"/>
  <c r="R77" i="4" s="1"/>
  <c r="P61" i="4"/>
  <c r="R61" i="4" s="1"/>
  <c r="P45" i="4"/>
  <c r="R45" i="4" s="1"/>
  <c r="P29" i="4"/>
  <c r="R29" i="4" s="1"/>
  <c r="P13" i="4"/>
  <c r="R13" i="4" s="1"/>
  <c r="P432" i="4"/>
  <c r="R432" i="4" s="1"/>
  <c r="P416" i="4"/>
  <c r="R416" i="4" s="1"/>
  <c r="P400" i="4"/>
  <c r="R400" i="4" s="1"/>
  <c r="P384" i="4"/>
  <c r="R384" i="4" s="1"/>
  <c r="P368" i="4"/>
  <c r="R368" i="4" s="1"/>
  <c r="P352" i="4"/>
  <c r="R352" i="4" s="1"/>
  <c r="P336" i="4"/>
  <c r="R336" i="4" s="1"/>
  <c r="P320" i="4"/>
  <c r="R320" i="4" s="1"/>
  <c r="P304" i="4"/>
  <c r="R304" i="4" s="1"/>
  <c r="P288" i="4"/>
  <c r="R288" i="4" s="1"/>
  <c r="P272" i="4"/>
  <c r="R272" i="4" s="1"/>
  <c r="P256" i="4"/>
  <c r="R256" i="4" s="1"/>
  <c r="P240" i="4"/>
  <c r="R240" i="4" s="1"/>
  <c r="P224" i="4"/>
  <c r="R224" i="4" s="1"/>
  <c r="P208" i="4"/>
  <c r="R208" i="4" s="1"/>
  <c r="P192" i="4"/>
  <c r="R192" i="4" s="1"/>
  <c r="P176" i="4"/>
  <c r="R176" i="4" s="1"/>
  <c r="P160" i="4"/>
  <c r="R160" i="4" s="1"/>
  <c r="P144" i="4"/>
  <c r="R144" i="4" s="1"/>
  <c r="P128" i="4"/>
  <c r="R128" i="4" s="1"/>
  <c r="P112" i="4"/>
  <c r="R112" i="4" s="1"/>
  <c r="P96" i="4"/>
  <c r="R96" i="4" s="1"/>
  <c r="P80" i="4"/>
  <c r="R80" i="4" s="1"/>
  <c r="P64" i="4"/>
  <c r="R64" i="4" s="1"/>
  <c r="P48" i="4"/>
  <c r="R48" i="4" s="1"/>
  <c r="P32" i="4"/>
  <c r="R32" i="4" s="1"/>
  <c r="P16" i="4"/>
  <c r="R16" i="4" s="1"/>
  <c r="S8" i="2"/>
  <c r="T8" i="2" s="1"/>
  <c r="U8" i="2" s="1"/>
  <c r="S7" i="2"/>
  <c r="T7" i="2" s="1"/>
  <c r="U7" i="2" s="1"/>
  <c r="O1476" i="4"/>
  <c r="Q1476" i="4" s="1"/>
  <c r="O1188" i="4"/>
  <c r="Q1188" i="4" s="1"/>
  <c r="O770" i="4"/>
  <c r="Q770" i="4" s="1"/>
  <c r="O44" i="4"/>
  <c r="Q44" i="4" s="1"/>
  <c r="O1340" i="4"/>
  <c r="Q1340" i="4" s="1"/>
  <c r="O1084" i="4"/>
  <c r="Q1084" i="4" s="1"/>
  <c r="O802" i="4"/>
  <c r="Q802" i="4" s="1"/>
  <c r="O348" i="4"/>
  <c r="Q348" i="4" s="1"/>
  <c r="O1460" i="4"/>
  <c r="Q1460" i="4" s="1"/>
  <c r="O1204" i="4"/>
  <c r="Q1204" i="4" s="1"/>
  <c r="O948" i="4"/>
  <c r="Q948" i="4" s="1"/>
  <c r="O588" i="4"/>
  <c r="Q588" i="4" s="1"/>
  <c r="O76" i="4"/>
  <c r="Q76" i="4" s="1"/>
  <c r="O1324" i="4"/>
  <c r="Q1324" i="4" s="1"/>
  <c r="O1068" i="4"/>
  <c r="Q1068" i="4" s="1"/>
  <c r="O780" i="4"/>
  <c r="Q780" i="4" s="1"/>
  <c r="O316" i="4"/>
  <c r="Q316" i="4" s="1"/>
  <c r="O1515" i="4"/>
  <c r="Q1515" i="4" s="1"/>
  <c r="O1451" i="4"/>
  <c r="Q1451" i="4" s="1"/>
  <c r="O1419" i="4"/>
  <c r="Q1419" i="4" s="1"/>
  <c r="O1355" i="4"/>
  <c r="Q1355" i="4" s="1"/>
  <c r="O1291" i="4"/>
  <c r="Q1291" i="4" s="1"/>
  <c r="O1227" i="4"/>
  <c r="Q1227" i="4" s="1"/>
  <c r="O1163" i="4"/>
  <c r="Q1163" i="4" s="1"/>
  <c r="O1099" i="4"/>
  <c r="Q1099" i="4" s="1"/>
  <c r="O1035" i="4"/>
  <c r="Q1035" i="4" s="1"/>
  <c r="O971" i="4"/>
  <c r="Q971" i="4" s="1"/>
  <c r="O907" i="4"/>
  <c r="Q907" i="4" s="1"/>
  <c r="O822" i="4"/>
  <c r="Q822" i="4" s="1"/>
  <c r="O736" i="4"/>
  <c r="Q736" i="4" s="1"/>
  <c r="O571" i="4"/>
  <c r="Q571" i="4" s="1"/>
  <c r="O443" i="4"/>
  <c r="Q443" i="4" s="1"/>
  <c r="O315" i="4"/>
  <c r="Q315" i="4" s="1"/>
  <c r="O187" i="4"/>
  <c r="Q187" i="4" s="1"/>
  <c r="O59" i="4"/>
  <c r="Q59" i="4" s="1"/>
  <c r="O1504" i="4"/>
  <c r="Q1504" i="4" s="1"/>
  <c r="O1440" i="4"/>
  <c r="Q1440" i="4" s="1"/>
  <c r="O1376" i="4"/>
  <c r="Q1376" i="4" s="1"/>
  <c r="O1312" i="4"/>
  <c r="Q1312" i="4" s="1"/>
  <c r="O1248" i="4"/>
  <c r="Q1248" i="4" s="1"/>
  <c r="O1184" i="4"/>
  <c r="Q1184" i="4" s="1"/>
  <c r="O1120" i="4"/>
  <c r="Q1120" i="4" s="1"/>
  <c r="O1056" i="4"/>
  <c r="Q1056" i="4" s="1"/>
  <c r="O1024" i="4"/>
  <c r="Q1024" i="4" s="1"/>
  <c r="O960" i="4"/>
  <c r="Q960" i="4" s="1"/>
  <c r="O892" i="4"/>
  <c r="Q892" i="4" s="1"/>
  <c r="O807" i="4"/>
  <c r="Q807" i="4" s="1"/>
  <c r="O722" i="4"/>
  <c r="Q722" i="4" s="1"/>
  <c r="O612" i="4"/>
  <c r="Q612" i="4" s="1"/>
  <c r="O484" i="4"/>
  <c r="Q484" i="4" s="1"/>
  <c r="O356" i="4"/>
  <c r="Q356" i="4" s="1"/>
  <c r="O228" i="4"/>
  <c r="Q228" i="4" s="1"/>
  <c r="O100" i="4"/>
  <c r="Q100" i="4" s="1"/>
  <c r="O1519" i="4"/>
  <c r="Q1519" i="4" s="1"/>
  <c r="O1455" i="4"/>
  <c r="Q1455" i="4" s="1"/>
  <c r="O1391" i="4"/>
  <c r="Q1391" i="4" s="1"/>
  <c r="O1327" i="4"/>
  <c r="Q1327" i="4" s="1"/>
  <c r="O1263" i="4"/>
  <c r="Q1263" i="4" s="1"/>
  <c r="O1199" i="4"/>
  <c r="Q1199" i="4" s="1"/>
  <c r="O1135" i="4"/>
  <c r="Q1135" i="4" s="1"/>
  <c r="O1071" i="4"/>
  <c r="Q1071" i="4" s="1"/>
  <c r="O1039" i="4"/>
  <c r="Q1039" i="4" s="1"/>
  <c r="O975" i="4"/>
  <c r="Q975" i="4" s="1"/>
  <c r="O911" i="4"/>
  <c r="Q911" i="4" s="1"/>
  <c r="O827" i="4"/>
  <c r="Q827" i="4" s="1"/>
  <c r="O742" i="4"/>
  <c r="Q742" i="4" s="1"/>
  <c r="O643" i="4"/>
  <c r="Q643" i="4" s="1"/>
  <c r="O515" i="4"/>
  <c r="Q515" i="4" s="1"/>
  <c r="O387" i="4"/>
  <c r="Q387" i="4" s="1"/>
  <c r="O259" i="4"/>
  <c r="Q259" i="4" s="1"/>
  <c r="O195" i="4"/>
  <c r="Q195" i="4" s="1"/>
  <c r="O67" i="4"/>
  <c r="Q67" i="4" s="1"/>
  <c r="O1526" i="4"/>
  <c r="Q1526" i="4" s="1"/>
  <c r="O1494" i="4"/>
  <c r="Q1494" i="4" s="1"/>
  <c r="O1462" i="4"/>
  <c r="Q1462" i="4" s="1"/>
  <c r="O1430" i="4"/>
  <c r="Q1430" i="4" s="1"/>
  <c r="O1398" i="4"/>
  <c r="Q1398" i="4" s="1"/>
  <c r="O1366" i="4"/>
  <c r="Q1366" i="4" s="1"/>
  <c r="O1334" i="4"/>
  <c r="Q1334" i="4" s="1"/>
  <c r="O1302" i="4"/>
  <c r="Q1302" i="4" s="1"/>
  <c r="O1270" i="4"/>
  <c r="Q1270" i="4" s="1"/>
  <c r="O1238" i="4"/>
  <c r="Q1238" i="4" s="1"/>
  <c r="O1206" i="4"/>
  <c r="Q1206" i="4" s="1"/>
  <c r="O1174" i="4"/>
  <c r="Q1174" i="4" s="1"/>
  <c r="O1142" i="4"/>
  <c r="Q1142" i="4" s="1"/>
  <c r="O1110" i="4"/>
  <c r="Q1110" i="4" s="1"/>
  <c r="O1078" i="4"/>
  <c r="Q1078" i="4" s="1"/>
  <c r="O1030" i="4"/>
  <c r="Q1030" i="4" s="1"/>
  <c r="O998" i="4"/>
  <c r="Q998" i="4" s="1"/>
  <c r="O966" i="4"/>
  <c r="Q966" i="4" s="1"/>
  <c r="O934" i="4"/>
  <c r="Q934" i="4" s="1"/>
  <c r="O900" i="4"/>
  <c r="Q900" i="4" s="1"/>
  <c r="O858" i="4"/>
  <c r="Q858" i="4" s="1"/>
  <c r="O815" i="4"/>
  <c r="Q815" i="4" s="1"/>
  <c r="O772" i="4"/>
  <c r="Q772" i="4" s="1"/>
  <c r="O730" i="4"/>
  <c r="Q730" i="4" s="1"/>
  <c r="O687" i="4"/>
  <c r="Q687" i="4" s="1"/>
  <c r="O624" i="4"/>
  <c r="Q624" i="4" s="1"/>
  <c r="O560" i="4"/>
  <c r="Q560" i="4" s="1"/>
  <c r="O496" i="4"/>
  <c r="Q496" i="4" s="1"/>
  <c r="O432" i="4"/>
  <c r="Q432" i="4" s="1"/>
  <c r="O368" i="4"/>
  <c r="Q368" i="4" s="1"/>
  <c r="O304" i="4"/>
  <c r="Q304" i="4" s="1"/>
  <c r="O240" i="4"/>
  <c r="Q240" i="4" s="1"/>
  <c r="O176" i="4"/>
  <c r="Q176" i="4" s="1"/>
  <c r="O112" i="4"/>
  <c r="Q112" i="4" s="1"/>
  <c r="O48" i="4"/>
  <c r="Q48" i="4" s="1"/>
  <c r="O1529" i="4"/>
  <c r="Q1529" i="4" s="1"/>
  <c r="O1497" i="4"/>
  <c r="Q1497" i="4" s="1"/>
  <c r="O1465" i="4"/>
  <c r="Q1465" i="4" s="1"/>
  <c r="O1433" i="4"/>
  <c r="Q1433" i="4" s="1"/>
  <c r="O1401" i="4"/>
  <c r="Q1401" i="4" s="1"/>
  <c r="O1369" i="4"/>
  <c r="Q1369" i="4" s="1"/>
  <c r="O1337" i="4"/>
  <c r="Q1337" i="4" s="1"/>
  <c r="O1305" i="4"/>
  <c r="Q1305" i="4" s="1"/>
  <c r="O1273" i="4"/>
  <c r="Q1273" i="4" s="1"/>
  <c r="O1241" i="4"/>
  <c r="Q1241" i="4" s="1"/>
  <c r="O1209" i="4"/>
  <c r="Q1209" i="4" s="1"/>
  <c r="O1177" i="4"/>
  <c r="Q1177" i="4" s="1"/>
  <c r="O1145" i="4"/>
  <c r="Q1145" i="4" s="1"/>
  <c r="O1113" i="4"/>
  <c r="Q1113" i="4" s="1"/>
  <c r="O1081" i="4"/>
  <c r="Q1081" i="4" s="1"/>
  <c r="O1049" i="4"/>
  <c r="Q1049" i="4" s="1"/>
  <c r="O1001" i="4"/>
  <c r="Q1001" i="4" s="1"/>
  <c r="O969" i="4"/>
  <c r="Q969" i="4" s="1"/>
  <c r="O937" i="4"/>
  <c r="Q937" i="4" s="1"/>
  <c r="O904" i="4"/>
  <c r="Q904" i="4" s="1"/>
  <c r="O862" i="4"/>
  <c r="Q862" i="4" s="1"/>
  <c r="O819" i="4"/>
  <c r="Q819" i="4" s="1"/>
  <c r="O776" i="4"/>
  <c r="Q776" i="4" s="1"/>
  <c r="O734" i="4"/>
  <c r="Q734" i="4" s="1"/>
  <c r="O691" i="4"/>
  <c r="Q691" i="4" s="1"/>
  <c r="O631" i="4"/>
  <c r="Q631" i="4" s="1"/>
  <c r="O567" i="4"/>
  <c r="Q567" i="4" s="1"/>
  <c r="O503" i="4"/>
  <c r="Q503" i="4" s="1"/>
  <c r="O439" i="4"/>
  <c r="Q439" i="4" s="1"/>
  <c r="O375" i="4"/>
  <c r="Q375" i="4" s="1"/>
  <c r="O311" i="4"/>
  <c r="Q311" i="4" s="1"/>
  <c r="O247" i="4"/>
  <c r="Q247" i="4" s="1"/>
  <c r="O183" i="4"/>
  <c r="Q183" i="4" s="1"/>
  <c r="O119" i="4"/>
  <c r="Q119" i="4" s="1"/>
  <c r="O55" i="4"/>
  <c r="Q55" i="4" s="1"/>
  <c r="O674" i="4"/>
  <c r="Q674" i="4" s="1"/>
  <c r="O642" i="4"/>
  <c r="Q642" i="4" s="1"/>
  <c r="O610" i="4"/>
  <c r="Q610" i="4" s="1"/>
  <c r="O402" i="4"/>
  <c r="Q402" i="4" s="1"/>
  <c r="O1412" i="4"/>
  <c r="Q1412" i="4" s="1"/>
  <c r="O1156" i="4"/>
  <c r="Q1156" i="4" s="1"/>
  <c r="O898" i="4"/>
  <c r="Q898" i="4" s="1"/>
  <c r="O492" i="4"/>
  <c r="Q492" i="4" s="1"/>
  <c r="O1444" i="4"/>
  <c r="Q1444" i="4" s="1"/>
  <c r="O1308" i="4"/>
  <c r="Q1308" i="4" s="1"/>
  <c r="O1052" i="4"/>
  <c r="Q1052" i="4" s="1"/>
  <c r="O759" i="4"/>
  <c r="Q759" i="4" s="1"/>
  <c r="O284" i="4"/>
  <c r="Q284" i="4" s="1"/>
  <c r="O1428" i="4"/>
  <c r="Q1428" i="4" s="1"/>
  <c r="O1172" i="4"/>
  <c r="Q1172" i="4" s="1"/>
  <c r="O916" i="4"/>
  <c r="Q916" i="4" s="1"/>
  <c r="O524" i="4"/>
  <c r="Q524" i="4" s="1"/>
  <c r="O12" i="4"/>
  <c r="Q12" i="4" s="1"/>
  <c r="O1292" i="4"/>
  <c r="Q1292" i="4" s="1"/>
  <c r="O1036" i="4"/>
  <c r="Q1036" i="4" s="1"/>
  <c r="O738" i="4"/>
  <c r="Q738" i="4" s="1"/>
  <c r="O252" i="4"/>
  <c r="Q252" i="4" s="1"/>
  <c r="O1507" i="4"/>
  <c r="Q1507" i="4" s="1"/>
  <c r="O1443" i="4"/>
  <c r="Q1443" i="4" s="1"/>
  <c r="O1379" i="4"/>
  <c r="Q1379" i="4" s="1"/>
  <c r="O1315" i="4"/>
  <c r="Q1315" i="4" s="1"/>
  <c r="O1219" i="4"/>
  <c r="Q1219" i="4" s="1"/>
  <c r="O1155" i="4"/>
  <c r="Q1155" i="4" s="1"/>
  <c r="O1091" i="4"/>
  <c r="Q1091" i="4" s="1"/>
  <c r="O1027" i="4"/>
  <c r="Q1027" i="4" s="1"/>
  <c r="O963" i="4"/>
  <c r="Q963" i="4" s="1"/>
  <c r="O896" i="4"/>
  <c r="Q896" i="4" s="1"/>
  <c r="O811" i="4"/>
  <c r="Q811" i="4" s="1"/>
  <c r="O726" i="4"/>
  <c r="Q726" i="4" s="1"/>
  <c r="O619" i="4"/>
  <c r="Q619" i="4" s="1"/>
  <c r="O491" i="4"/>
  <c r="Q491" i="4" s="1"/>
  <c r="O363" i="4"/>
  <c r="Q363" i="4" s="1"/>
  <c r="O235" i="4"/>
  <c r="Q235" i="4" s="1"/>
  <c r="O107" i="4"/>
  <c r="Q107" i="4" s="1"/>
  <c r="O1528" i="4"/>
  <c r="Q1528" i="4" s="1"/>
  <c r="O1464" i="4"/>
  <c r="Q1464" i="4" s="1"/>
  <c r="O1400" i="4"/>
  <c r="Q1400" i="4" s="1"/>
  <c r="O1336" i="4"/>
  <c r="Q1336" i="4" s="1"/>
  <c r="O1272" i="4"/>
  <c r="Q1272" i="4" s="1"/>
  <c r="O1208" i="4"/>
  <c r="Q1208" i="4" s="1"/>
  <c r="O1144" i="4"/>
  <c r="Q1144" i="4" s="1"/>
  <c r="O1080" i="4"/>
  <c r="Q1080" i="4" s="1"/>
  <c r="O1016" i="4"/>
  <c r="Q1016" i="4" s="1"/>
  <c r="O952" i="4"/>
  <c r="Q952" i="4" s="1"/>
  <c r="O882" i="4"/>
  <c r="Q882" i="4" s="1"/>
  <c r="O796" i="4"/>
  <c r="Q796" i="4" s="1"/>
  <c r="O711" i="4"/>
  <c r="Q711" i="4" s="1"/>
  <c r="O596" i="4"/>
  <c r="Q596" i="4" s="1"/>
  <c r="O468" i="4"/>
  <c r="Q468" i="4" s="1"/>
  <c r="O340" i="4"/>
  <c r="Q340" i="4" s="1"/>
  <c r="O212" i="4"/>
  <c r="Q212" i="4" s="1"/>
  <c r="O84" i="4"/>
  <c r="Q84" i="4" s="1"/>
  <c r="O1511" i="4"/>
  <c r="Q1511" i="4" s="1"/>
  <c r="O1447" i="4"/>
  <c r="Q1447" i="4" s="1"/>
  <c r="O1383" i="4"/>
  <c r="Q1383" i="4" s="1"/>
  <c r="O1319" i="4"/>
  <c r="Q1319" i="4" s="1"/>
  <c r="O1255" i="4"/>
  <c r="Q1255" i="4" s="1"/>
  <c r="O1191" i="4"/>
  <c r="Q1191" i="4" s="1"/>
  <c r="O1127" i="4"/>
  <c r="Q1127" i="4" s="1"/>
  <c r="O1063" i="4"/>
  <c r="Q1063" i="4" s="1"/>
  <c r="O999" i="4"/>
  <c r="Q999" i="4" s="1"/>
  <c r="O935" i="4"/>
  <c r="Q935" i="4" s="1"/>
  <c r="O859" i="4"/>
  <c r="Q859" i="4" s="1"/>
  <c r="O774" i="4"/>
  <c r="Q774" i="4" s="1"/>
  <c r="O688" i="4"/>
  <c r="Q688" i="4" s="1"/>
  <c r="O563" i="4"/>
  <c r="Q563" i="4" s="1"/>
  <c r="O435" i="4"/>
  <c r="Q435" i="4" s="1"/>
  <c r="O307" i="4"/>
  <c r="Q307" i="4" s="1"/>
  <c r="O179" i="4"/>
  <c r="Q179" i="4" s="1"/>
  <c r="O51" i="4"/>
  <c r="Q51" i="4" s="1"/>
  <c r="O1522" i="4"/>
  <c r="Q1522" i="4" s="1"/>
  <c r="O1490" i="4"/>
  <c r="Q1490" i="4" s="1"/>
  <c r="O1458" i="4"/>
  <c r="Q1458" i="4" s="1"/>
  <c r="O1426" i="4"/>
  <c r="Q1426" i="4" s="1"/>
  <c r="O1394" i="4"/>
  <c r="Q1394" i="4" s="1"/>
  <c r="O1362" i="4"/>
  <c r="Q1362" i="4" s="1"/>
  <c r="O1330" i="4"/>
  <c r="Q1330" i="4" s="1"/>
  <c r="O1298" i="4"/>
  <c r="Q1298" i="4" s="1"/>
  <c r="O1266" i="4"/>
  <c r="Q1266" i="4" s="1"/>
  <c r="O1234" i="4"/>
  <c r="Q1234" i="4" s="1"/>
  <c r="O1202" i="4"/>
  <c r="Q1202" i="4" s="1"/>
  <c r="O1170" i="4"/>
  <c r="Q1170" i="4" s="1"/>
  <c r="O1138" i="4"/>
  <c r="Q1138" i="4" s="1"/>
  <c r="O1106" i="4"/>
  <c r="Q1106" i="4" s="1"/>
  <c r="O1074" i="4"/>
  <c r="Q1074" i="4" s="1"/>
  <c r="O1042" i="4"/>
  <c r="Q1042" i="4" s="1"/>
  <c r="O1010" i="4"/>
  <c r="Q1010" i="4" s="1"/>
  <c r="O978" i="4"/>
  <c r="Q978" i="4" s="1"/>
  <c r="O946" i="4"/>
  <c r="Q946" i="4" s="1"/>
  <c r="O914" i="4"/>
  <c r="Q914" i="4" s="1"/>
  <c r="O874" i="4"/>
  <c r="Q874" i="4" s="1"/>
  <c r="O831" i="4"/>
  <c r="Q831" i="4" s="1"/>
  <c r="O788" i="4"/>
  <c r="Q788" i="4" s="1"/>
  <c r="O746" i="4"/>
  <c r="Q746" i="4" s="1"/>
  <c r="O703" i="4"/>
  <c r="Q703" i="4" s="1"/>
  <c r="O648" i="4"/>
  <c r="Q648" i="4" s="1"/>
  <c r="O584" i="4"/>
  <c r="Q584" i="4" s="1"/>
  <c r="O520" i="4"/>
  <c r="Q520" i="4" s="1"/>
  <c r="O456" i="4"/>
  <c r="Q456" i="4" s="1"/>
  <c r="O392" i="4"/>
  <c r="Q392" i="4" s="1"/>
  <c r="O328" i="4"/>
  <c r="Q328" i="4" s="1"/>
  <c r="O264" i="4"/>
  <c r="Q264" i="4" s="1"/>
  <c r="O200" i="4"/>
  <c r="Q200" i="4" s="1"/>
  <c r="O136" i="4"/>
  <c r="Q136" i="4" s="1"/>
  <c r="O72" i="4"/>
  <c r="Q72" i="4" s="1"/>
  <c r="O1541" i="4"/>
  <c r="Q1541" i="4" s="1"/>
  <c r="O1509" i="4"/>
  <c r="Q1509" i="4" s="1"/>
  <c r="O1477" i="4"/>
  <c r="Q1477" i="4" s="1"/>
  <c r="O1445" i="4"/>
  <c r="Q1445" i="4" s="1"/>
  <c r="O1413" i="4"/>
  <c r="Q1413" i="4" s="1"/>
  <c r="O1381" i="4"/>
  <c r="Q1381" i="4" s="1"/>
  <c r="O1349" i="4"/>
  <c r="Q1349" i="4" s="1"/>
  <c r="O1317" i="4"/>
  <c r="Q1317" i="4" s="1"/>
  <c r="O1285" i="4"/>
  <c r="Q1285" i="4" s="1"/>
  <c r="O1253" i="4"/>
  <c r="Q1253" i="4" s="1"/>
  <c r="O1221" i="4"/>
  <c r="Q1221" i="4" s="1"/>
  <c r="O1189" i="4"/>
  <c r="Q1189" i="4" s="1"/>
  <c r="O1157" i="4"/>
  <c r="Q1157" i="4" s="1"/>
  <c r="O1125" i="4"/>
  <c r="Q1125" i="4" s="1"/>
  <c r="O1093" i="4"/>
  <c r="Q1093" i="4" s="1"/>
  <c r="O1061" i="4"/>
  <c r="Q1061" i="4" s="1"/>
  <c r="O1029" i="4"/>
  <c r="Q1029" i="4" s="1"/>
  <c r="O997" i="4"/>
  <c r="Q997" i="4" s="1"/>
  <c r="O965" i="4"/>
  <c r="Q965" i="4" s="1"/>
  <c r="O933" i="4"/>
  <c r="Q933" i="4" s="1"/>
  <c r="O899" i="4"/>
  <c r="Q899" i="4" s="1"/>
  <c r="O856" i="4"/>
  <c r="Q856" i="4" s="1"/>
  <c r="O814" i="4"/>
  <c r="Q814" i="4" s="1"/>
  <c r="O771" i="4"/>
  <c r="Q771" i="4" s="1"/>
  <c r="O728" i="4"/>
  <c r="Q728" i="4" s="1"/>
  <c r="O686" i="4"/>
  <c r="Q686" i="4" s="1"/>
  <c r="O623" i="4"/>
  <c r="Q623" i="4" s="1"/>
  <c r="O559" i="4"/>
  <c r="Q559" i="4" s="1"/>
  <c r="O495" i="4"/>
  <c r="Q495" i="4" s="1"/>
  <c r="O431" i="4"/>
  <c r="Q431" i="4" s="1"/>
  <c r="O367" i="4"/>
  <c r="Q367" i="4" s="1"/>
  <c r="O303" i="4"/>
  <c r="Q303" i="4" s="1"/>
  <c r="O239" i="4"/>
  <c r="Q239" i="4" s="1"/>
  <c r="O175" i="4"/>
  <c r="Q175" i="4" s="1"/>
  <c r="O111" i="4"/>
  <c r="Q111" i="4" s="1"/>
  <c r="O47" i="4"/>
  <c r="Q47" i="4" s="1"/>
  <c r="O670" i="4"/>
  <c r="Q670" i="4" s="1"/>
  <c r="O638" i="4"/>
  <c r="Q638" i="4" s="1"/>
  <c r="O622" i="4"/>
  <c r="Q622" i="4" s="1"/>
  <c r="O590" i="4"/>
  <c r="Q590" i="4" s="1"/>
  <c r="O558" i="4"/>
  <c r="Q558" i="4" s="1"/>
  <c r="O526" i="4"/>
  <c r="Q526" i="4" s="1"/>
  <c r="O494" i="4"/>
  <c r="Q494" i="4" s="1"/>
  <c r="O462" i="4"/>
  <c r="Q462" i="4" s="1"/>
  <c r="O430" i="4"/>
  <c r="Q430" i="4" s="1"/>
  <c r="O398" i="4"/>
  <c r="Q398" i="4" s="1"/>
  <c r="O366" i="4"/>
  <c r="Q366" i="4" s="1"/>
  <c r="O334" i="4"/>
  <c r="Q334" i="4" s="1"/>
  <c r="O302" i="4"/>
  <c r="Q302" i="4" s="1"/>
  <c r="O270" i="4"/>
  <c r="Q270" i="4" s="1"/>
  <c r="O238" i="4"/>
  <c r="Q238" i="4" s="1"/>
  <c r="O206" i="4"/>
  <c r="Q206" i="4" s="1"/>
  <c r="O174" i="4"/>
  <c r="Q174" i="4" s="1"/>
  <c r="O142" i="4"/>
  <c r="Q142" i="4" s="1"/>
  <c r="O110" i="4"/>
  <c r="Q110" i="4" s="1"/>
  <c r="O78" i="4"/>
  <c r="Q78" i="4" s="1"/>
  <c r="O46" i="4"/>
  <c r="Q46" i="4" s="1"/>
  <c r="O14" i="4"/>
  <c r="Q14" i="4" s="1"/>
  <c r="O881" i="4"/>
  <c r="Q881" i="4" s="1"/>
  <c r="O849" i="4"/>
  <c r="Q849" i="4" s="1"/>
  <c r="O817" i="4"/>
  <c r="Q817" i="4" s="1"/>
  <c r="O785" i="4"/>
  <c r="Q785" i="4" s="1"/>
  <c r="O753" i="4"/>
  <c r="Q753" i="4" s="1"/>
  <c r="O721" i="4"/>
  <c r="Q721" i="4" s="1"/>
  <c r="O705" i="4"/>
  <c r="Q705" i="4" s="1"/>
  <c r="O673" i="4"/>
  <c r="Q673" i="4" s="1"/>
  <c r="O641" i="4"/>
  <c r="Q641" i="4" s="1"/>
  <c r="O609" i="4"/>
  <c r="Q609" i="4" s="1"/>
  <c r="O577" i="4"/>
  <c r="Q577" i="4" s="1"/>
  <c r="O545" i="4"/>
  <c r="Q545" i="4" s="1"/>
  <c r="O513" i="4"/>
  <c r="Q513" i="4" s="1"/>
  <c r="O481" i="4"/>
  <c r="Q481" i="4" s="1"/>
  <c r="O449" i="4"/>
  <c r="Q449" i="4" s="1"/>
  <c r="O417" i="4"/>
  <c r="Q417" i="4" s="1"/>
  <c r="O385" i="4"/>
  <c r="Q385" i="4" s="1"/>
  <c r="O353" i="4"/>
  <c r="Q353" i="4" s="1"/>
  <c r="O321" i="4"/>
  <c r="Q321" i="4" s="1"/>
  <c r="O289" i="4"/>
  <c r="Q289" i="4" s="1"/>
  <c r="O257" i="4"/>
  <c r="Q257" i="4" s="1"/>
  <c r="O225" i="4"/>
  <c r="Q225" i="4" s="1"/>
  <c r="O193" i="4"/>
  <c r="Q193" i="4" s="1"/>
  <c r="O161" i="4"/>
  <c r="Q161" i="4" s="1"/>
  <c r="O113" i="4"/>
  <c r="Q113" i="4" s="1"/>
  <c r="S4" i="1"/>
  <c r="T4" i="1" s="1"/>
  <c r="U4" i="1" s="1"/>
  <c r="P1321" i="4"/>
  <c r="R1321" i="4" s="1"/>
  <c r="P1065" i="4"/>
  <c r="R1065" i="4" s="1"/>
  <c r="P809" i="4"/>
  <c r="R809" i="4" s="1"/>
  <c r="P386" i="4"/>
  <c r="R386" i="4" s="1"/>
  <c r="P1305" i="4"/>
  <c r="R1305" i="4" s="1"/>
  <c r="P1049" i="4"/>
  <c r="R1049" i="4" s="1"/>
  <c r="P793" i="4"/>
  <c r="R793" i="4" s="1"/>
  <c r="P322" i="4"/>
  <c r="R322" i="4" s="1"/>
  <c r="P1353" i="4"/>
  <c r="R1353" i="4" s="1"/>
  <c r="P1097" i="4"/>
  <c r="R1097" i="4" s="1"/>
  <c r="P841" i="4"/>
  <c r="R841" i="4" s="1"/>
  <c r="P477" i="4"/>
  <c r="R477" i="4" s="1"/>
  <c r="P1465" i="4"/>
  <c r="R1465" i="4" s="1"/>
  <c r="P1209" i="4"/>
  <c r="R1209" i="4" s="1"/>
  <c r="P953" i="4"/>
  <c r="R953" i="4" s="1"/>
  <c r="P697" i="4"/>
  <c r="R697" i="4" s="1"/>
  <c r="P1528" i="4"/>
  <c r="R1528" i="4" s="1"/>
  <c r="P1464" i="4"/>
  <c r="R1464" i="4" s="1"/>
  <c r="P1400" i="4"/>
  <c r="R1400" i="4" s="1"/>
  <c r="P1336" i="4"/>
  <c r="R1336" i="4" s="1"/>
  <c r="P1272" i="4"/>
  <c r="R1272" i="4" s="1"/>
  <c r="P1208" i="4"/>
  <c r="R1208" i="4" s="1"/>
  <c r="P1144" i="4"/>
  <c r="R1144" i="4" s="1"/>
  <c r="P1080" i="4"/>
  <c r="R1080" i="4" s="1"/>
  <c r="P1016" i="4"/>
  <c r="R1016" i="4" s="1"/>
  <c r="P952" i="4"/>
  <c r="R952" i="4" s="1"/>
  <c r="P888" i="4"/>
  <c r="R888" i="4" s="1"/>
  <c r="P824" i="4"/>
  <c r="R824" i="4" s="1"/>
  <c r="P760" i="4"/>
  <c r="R760" i="4" s="1"/>
  <c r="P696" i="4"/>
  <c r="R696" i="4" s="1"/>
  <c r="P569" i="4"/>
  <c r="R569" i="4" s="1"/>
  <c r="P441" i="4"/>
  <c r="R441" i="4" s="1"/>
  <c r="P186" i="4"/>
  <c r="R186" i="4" s="1"/>
  <c r="P1521" i="4"/>
  <c r="R1521" i="4" s="1"/>
  <c r="P1457" i="4"/>
  <c r="R1457" i="4" s="1"/>
  <c r="P1393" i="4"/>
  <c r="R1393" i="4" s="1"/>
  <c r="P1329" i="4"/>
  <c r="R1329" i="4" s="1"/>
  <c r="P1201" i="4"/>
  <c r="R1201" i="4" s="1"/>
  <c r="P1137" i="4"/>
  <c r="R1137" i="4" s="1"/>
  <c r="P1073" i="4"/>
  <c r="R1073" i="4" s="1"/>
  <c r="P1009" i="4"/>
  <c r="R1009" i="4" s="1"/>
  <c r="P945" i="4"/>
  <c r="R945" i="4" s="1"/>
  <c r="P881" i="4"/>
  <c r="R881" i="4" s="1"/>
  <c r="P817" i="4"/>
  <c r="R817" i="4" s="1"/>
  <c r="P753" i="4"/>
  <c r="R753" i="4" s="1"/>
  <c r="P685" i="4"/>
  <c r="R685" i="4" s="1"/>
  <c r="P557" i="4"/>
  <c r="R557" i="4" s="1"/>
  <c r="P418" i="4"/>
  <c r="R418" i="4" s="1"/>
  <c r="P162" i="4"/>
  <c r="R162" i="4" s="1"/>
  <c r="P1520" i="4"/>
  <c r="R1520" i="4" s="1"/>
  <c r="P1456" i="4"/>
  <c r="R1456" i="4" s="1"/>
  <c r="P1392" i="4"/>
  <c r="R1392" i="4" s="1"/>
  <c r="P1328" i="4"/>
  <c r="R1328" i="4" s="1"/>
  <c r="P1264" i="4"/>
  <c r="R1264" i="4" s="1"/>
  <c r="P1200" i="4"/>
  <c r="R1200" i="4" s="1"/>
  <c r="P1136" i="4"/>
  <c r="R1136" i="4" s="1"/>
  <c r="P1072" i="4"/>
  <c r="R1072" i="4" s="1"/>
  <c r="P1008" i="4"/>
  <c r="R1008" i="4" s="1"/>
  <c r="P944" i="4"/>
  <c r="R944" i="4" s="1"/>
  <c r="P880" i="4"/>
  <c r="R880" i="4" s="1"/>
  <c r="P816" i="4"/>
  <c r="R816" i="4" s="1"/>
  <c r="P752" i="4"/>
  <c r="R752" i="4" s="1"/>
  <c r="P681" i="4"/>
  <c r="R681" i="4" s="1"/>
  <c r="P553" i="4"/>
  <c r="R553" i="4" s="1"/>
  <c r="P410" i="4"/>
  <c r="R410" i="4" s="1"/>
  <c r="P154" i="4"/>
  <c r="R154" i="4" s="1"/>
  <c r="P1533" i="4"/>
  <c r="R1533" i="4" s="1"/>
  <c r="P1501" i="4"/>
  <c r="R1501" i="4" s="1"/>
  <c r="P1469" i="4"/>
  <c r="R1469" i="4" s="1"/>
  <c r="P1437" i="4"/>
  <c r="R1437" i="4" s="1"/>
  <c r="P1405" i="4"/>
  <c r="R1405" i="4" s="1"/>
  <c r="P1373" i="4"/>
  <c r="R1373" i="4" s="1"/>
  <c r="P1341" i="4"/>
  <c r="R1341" i="4" s="1"/>
  <c r="P1309" i="4"/>
  <c r="R1309" i="4" s="1"/>
  <c r="P1277" i="4"/>
  <c r="R1277" i="4" s="1"/>
  <c r="P1245" i="4"/>
  <c r="R1245" i="4" s="1"/>
  <c r="P1213" i="4"/>
  <c r="R1213" i="4" s="1"/>
  <c r="P1181" i="4"/>
  <c r="R1181" i="4" s="1"/>
  <c r="P1149" i="4"/>
  <c r="R1149" i="4" s="1"/>
  <c r="P1117" i="4"/>
  <c r="R1117" i="4" s="1"/>
  <c r="P1085" i="4"/>
  <c r="R1085" i="4" s="1"/>
  <c r="P1053" i="4"/>
  <c r="R1053" i="4" s="1"/>
  <c r="P1021" i="4"/>
  <c r="R1021" i="4" s="1"/>
  <c r="P989" i="4"/>
  <c r="R989" i="4" s="1"/>
  <c r="P957" i="4"/>
  <c r="R957" i="4" s="1"/>
  <c r="P893" i="4"/>
  <c r="R893" i="4" s="1"/>
  <c r="P861" i="4"/>
  <c r="R861" i="4" s="1"/>
  <c r="P829" i="4"/>
  <c r="R829" i="4" s="1"/>
  <c r="P797" i="4"/>
  <c r="R797" i="4" s="1"/>
  <c r="P765" i="4"/>
  <c r="R765" i="4" s="1"/>
  <c r="P733" i="4"/>
  <c r="R733" i="4" s="1"/>
  <c r="P701" i="4"/>
  <c r="R701" i="4" s="1"/>
  <c r="P645" i="4"/>
  <c r="R645" i="4" s="1"/>
  <c r="P581" i="4"/>
  <c r="R581" i="4" s="1"/>
  <c r="P517" i="4"/>
  <c r="R517" i="4" s="1"/>
  <c r="P453" i="4"/>
  <c r="R453" i="4" s="1"/>
  <c r="P338" i="4"/>
  <c r="R338" i="4" s="1"/>
  <c r="P210" i="4"/>
  <c r="R210" i="4" s="1"/>
  <c r="P82" i="4"/>
  <c r="R82" i="4" s="1"/>
  <c r="P1532" i="4"/>
  <c r="R1532" i="4" s="1"/>
  <c r="P1500" i="4"/>
  <c r="R1500" i="4" s="1"/>
  <c r="P1468" i="4"/>
  <c r="R1468" i="4" s="1"/>
  <c r="P1436" i="4"/>
  <c r="R1436" i="4" s="1"/>
  <c r="P1404" i="4"/>
  <c r="R1404" i="4" s="1"/>
  <c r="P1372" i="4"/>
  <c r="R1372" i="4" s="1"/>
  <c r="P1340" i="4"/>
  <c r="R1340" i="4" s="1"/>
  <c r="P1308" i="4"/>
  <c r="R1308" i="4" s="1"/>
  <c r="P1276" i="4"/>
  <c r="R1276" i="4" s="1"/>
  <c r="P1244" i="4"/>
  <c r="R1244" i="4" s="1"/>
  <c r="P1212" i="4"/>
  <c r="R1212" i="4" s="1"/>
  <c r="P1180" i="4"/>
  <c r="R1180" i="4" s="1"/>
  <c r="P1148" i="4"/>
  <c r="R1148" i="4" s="1"/>
  <c r="P1116" i="4"/>
  <c r="R1116" i="4" s="1"/>
  <c r="P1084" i="4"/>
  <c r="R1084" i="4" s="1"/>
  <c r="P1052" i="4"/>
  <c r="R1052" i="4" s="1"/>
  <c r="P1020" i="4"/>
  <c r="R1020" i="4" s="1"/>
  <c r="P988" i="4"/>
  <c r="R988" i="4" s="1"/>
  <c r="P956" i="4"/>
  <c r="R956" i="4" s="1"/>
  <c r="P924" i="4"/>
  <c r="R924" i="4" s="1"/>
  <c r="P892" i="4"/>
  <c r="R892" i="4" s="1"/>
  <c r="P860" i="4"/>
  <c r="R860" i="4" s="1"/>
  <c r="P828" i="4"/>
  <c r="R828" i="4" s="1"/>
  <c r="P796" i="4"/>
  <c r="R796" i="4" s="1"/>
  <c r="P764" i="4"/>
  <c r="R764" i="4" s="1"/>
  <c r="P732" i="4"/>
  <c r="R732" i="4" s="1"/>
  <c r="P700" i="4"/>
  <c r="R700" i="4" s="1"/>
  <c r="P641" i="4"/>
  <c r="R641" i="4" s="1"/>
  <c r="P577" i="4"/>
  <c r="R577" i="4" s="1"/>
  <c r="P513" i="4"/>
  <c r="R513" i="4" s="1"/>
  <c r="P449" i="4"/>
  <c r="R449" i="4" s="1"/>
  <c r="P330" i="4"/>
  <c r="R330" i="4" s="1"/>
  <c r="P202" i="4"/>
  <c r="R202" i="4" s="1"/>
  <c r="P74" i="4"/>
  <c r="R74" i="4" s="1"/>
  <c r="P688" i="4"/>
  <c r="R688" i="4" s="1"/>
  <c r="P672" i="4"/>
  <c r="R672" i="4" s="1"/>
  <c r="P656" i="4"/>
  <c r="R656" i="4" s="1"/>
  <c r="P640" i="4"/>
  <c r="R640" i="4" s="1"/>
  <c r="P624" i="4"/>
  <c r="R624" i="4" s="1"/>
  <c r="P608" i="4"/>
  <c r="R608" i="4" s="1"/>
  <c r="P592" i="4"/>
  <c r="R592" i="4" s="1"/>
  <c r="P576" i="4"/>
  <c r="R576" i="4" s="1"/>
  <c r="P560" i="4"/>
  <c r="R560" i="4" s="1"/>
  <c r="P544" i="4"/>
  <c r="R544" i="4" s="1"/>
  <c r="P528" i="4"/>
  <c r="R528" i="4" s="1"/>
  <c r="P512" i="4"/>
  <c r="R512" i="4" s="1"/>
  <c r="P496" i="4"/>
  <c r="R496" i="4" s="1"/>
  <c r="P480" i="4"/>
  <c r="R480" i="4" s="1"/>
  <c r="P464" i="4"/>
  <c r="R464" i="4" s="1"/>
  <c r="P448" i="4"/>
  <c r="R448" i="4" s="1"/>
  <c r="P423" i="4"/>
  <c r="R423" i="4" s="1"/>
  <c r="P391" i="4"/>
  <c r="R391" i="4" s="1"/>
  <c r="P359" i="4"/>
  <c r="R359" i="4" s="1"/>
  <c r="P327" i="4"/>
  <c r="R327" i="4" s="1"/>
  <c r="P295" i="4"/>
  <c r="R295" i="4" s="1"/>
  <c r="P263" i="4"/>
  <c r="R263" i="4" s="1"/>
  <c r="P835" i="4"/>
  <c r="R835" i="4" s="1"/>
  <c r="P164" i="4"/>
  <c r="R164" i="4" s="1"/>
  <c r="P132" i="4"/>
  <c r="R132" i="4" s="1"/>
  <c r="P100" i="4"/>
  <c r="R100" i="4" s="1"/>
  <c r="P52" i="4"/>
  <c r="R52" i="4" s="1"/>
  <c r="S6" i="2"/>
  <c r="T6" i="2" s="1"/>
  <c r="U6" i="2" s="1"/>
  <c r="O1508" i="4"/>
  <c r="Q1508" i="4" s="1"/>
  <c r="O1348" i="4"/>
  <c r="Q1348" i="4" s="1"/>
  <c r="O1220" i="4"/>
  <c r="Q1220" i="4" s="1"/>
  <c r="O1092" i="4"/>
  <c r="Q1092" i="4" s="1"/>
  <c r="O964" i="4"/>
  <c r="Q964" i="4" s="1"/>
  <c r="O812" i="4"/>
  <c r="Q812" i="4" s="1"/>
  <c r="O620" i="4"/>
  <c r="Q620" i="4" s="1"/>
  <c r="O364" i="4"/>
  <c r="Q364" i="4" s="1"/>
  <c r="O108" i="4"/>
  <c r="Q108" i="4" s="1"/>
  <c r="O1500" i="4"/>
  <c r="Q1500" i="4" s="1"/>
  <c r="O1372" i="4"/>
  <c r="Q1372" i="4" s="1"/>
  <c r="O1244" i="4"/>
  <c r="Q1244" i="4" s="1"/>
  <c r="O1116" i="4"/>
  <c r="Q1116" i="4" s="1"/>
  <c r="O988" i="4"/>
  <c r="Q988" i="4" s="1"/>
  <c r="O844" i="4"/>
  <c r="Q844" i="4" s="1"/>
  <c r="O668" i="4"/>
  <c r="Q668" i="4" s="1"/>
  <c r="O412" i="4"/>
  <c r="Q412" i="4" s="1"/>
  <c r="O156" i="4"/>
  <c r="Q156" i="4" s="1"/>
  <c r="O1492" i="4"/>
  <c r="Q1492" i="4" s="1"/>
  <c r="O1364" i="4"/>
  <c r="Q1364" i="4" s="1"/>
  <c r="O1236" i="4"/>
  <c r="Q1236" i="4" s="1"/>
  <c r="O1108" i="4"/>
  <c r="Q1108" i="4" s="1"/>
  <c r="O980" i="4"/>
  <c r="Q980" i="4" s="1"/>
  <c r="O834" i="4"/>
  <c r="Q834" i="4" s="1"/>
  <c r="O652" i="4"/>
  <c r="Q652" i="4" s="1"/>
  <c r="O396" i="4"/>
  <c r="Q396" i="4" s="1"/>
  <c r="O140" i="4"/>
  <c r="Q140" i="4" s="1"/>
  <c r="O1484" i="4"/>
  <c r="Q1484" i="4" s="1"/>
  <c r="O1356" i="4"/>
  <c r="Q1356" i="4" s="1"/>
  <c r="O1228" i="4"/>
  <c r="Q1228" i="4" s="1"/>
  <c r="O1100" i="4"/>
  <c r="Q1100" i="4" s="1"/>
  <c r="O972" i="4"/>
  <c r="Q972" i="4" s="1"/>
  <c r="O823" i="4"/>
  <c r="Q823" i="4" s="1"/>
  <c r="O636" i="4"/>
  <c r="Q636" i="4" s="1"/>
  <c r="O380" i="4"/>
  <c r="Q380" i="4" s="1"/>
  <c r="O124" i="4"/>
  <c r="Q124" i="4" s="1"/>
  <c r="O1523" i="4"/>
  <c r="Q1523" i="4" s="1"/>
  <c r="O1491" i="4"/>
  <c r="Q1491" i="4" s="1"/>
  <c r="O1459" i="4"/>
  <c r="Q1459" i="4" s="1"/>
  <c r="O1427" i="4"/>
  <c r="Q1427" i="4" s="1"/>
  <c r="O1395" i="4"/>
  <c r="Q1395" i="4" s="1"/>
  <c r="O1363" i="4"/>
  <c r="Q1363" i="4" s="1"/>
  <c r="O1331" i="4"/>
  <c r="Q1331" i="4" s="1"/>
  <c r="O1299" i="4"/>
  <c r="Q1299" i="4" s="1"/>
  <c r="O1267" i="4"/>
  <c r="Q1267" i="4" s="1"/>
  <c r="O1235" i="4"/>
  <c r="Q1235" i="4" s="1"/>
  <c r="O1203" i="4"/>
  <c r="Q1203" i="4" s="1"/>
  <c r="O1171" i="4"/>
  <c r="Q1171" i="4" s="1"/>
  <c r="O1139" i="4"/>
  <c r="Q1139" i="4" s="1"/>
  <c r="O1107" i="4"/>
  <c r="Q1107" i="4" s="1"/>
  <c r="O1075" i="4"/>
  <c r="Q1075" i="4" s="1"/>
  <c r="O1043" i="4"/>
  <c r="Q1043" i="4" s="1"/>
  <c r="O1011" i="4"/>
  <c r="Q1011" i="4" s="1"/>
  <c r="O979" i="4"/>
  <c r="Q979" i="4" s="1"/>
  <c r="O947" i="4"/>
  <c r="Q947" i="4" s="1"/>
  <c r="O915" i="4"/>
  <c r="Q915" i="4" s="1"/>
  <c r="O875" i="4"/>
  <c r="Q875" i="4" s="1"/>
  <c r="O832" i="4"/>
  <c r="Q832" i="4" s="1"/>
  <c r="O790" i="4"/>
  <c r="Q790" i="4" s="1"/>
  <c r="O747" i="4"/>
  <c r="Q747" i="4" s="1"/>
  <c r="O704" i="4"/>
  <c r="Q704" i="4" s="1"/>
  <c r="O651" i="4"/>
  <c r="Q651" i="4" s="1"/>
  <c r="O587" i="4"/>
  <c r="Q587" i="4" s="1"/>
  <c r="O523" i="4"/>
  <c r="Q523" i="4" s="1"/>
  <c r="O459" i="4"/>
  <c r="Q459" i="4" s="1"/>
  <c r="O395" i="4"/>
  <c r="Q395" i="4" s="1"/>
  <c r="O331" i="4"/>
  <c r="Q331" i="4" s="1"/>
  <c r="O267" i="4"/>
  <c r="Q267" i="4" s="1"/>
  <c r="O203" i="4"/>
  <c r="Q203" i="4" s="1"/>
  <c r="O139" i="4"/>
  <c r="Q139" i="4" s="1"/>
  <c r="O75" i="4"/>
  <c r="Q75" i="4" s="1"/>
  <c r="O11" i="4"/>
  <c r="Q11" i="4" s="1"/>
  <c r="O1512" i="4"/>
  <c r="Q1512" i="4" s="1"/>
  <c r="O1480" i="4"/>
  <c r="Q1480" i="4" s="1"/>
  <c r="O1448" i="4"/>
  <c r="Q1448" i="4" s="1"/>
  <c r="O1416" i="4"/>
  <c r="Q1416" i="4" s="1"/>
  <c r="O1384" i="4"/>
  <c r="Q1384" i="4" s="1"/>
  <c r="O1352" i="4"/>
  <c r="Q1352" i="4" s="1"/>
  <c r="O1320" i="4"/>
  <c r="Q1320" i="4" s="1"/>
  <c r="O1288" i="4"/>
  <c r="Q1288" i="4" s="1"/>
  <c r="O1256" i="4"/>
  <c r="Q1256" i="4" s="1"/>
  <c r="O1224" i="4"/>
  <c r="Q1224" i="4" s="1"/>
  <c r="O1192" i="4"/>
  <c r="Q1192" i="4" s="1"/>
  <c r="O1160" i="4"/>
  <c r="Q1160" i="4" s="1"/>
  <c r="O1128" i="4"/>
  <c r="Q1128" i="4" s="1"/>
  <c r="O1096" i="4"/>
  <c r="Q1096" i="4" s="1"/>
  <c r="O1064" i="4"/>
  <c r="Q1064" i="4" s="1"/>
  <c r="O1032" i="4"/>
  <c r="Q1032" i="4" s="1"/>
  <c r="O1000" i="4"/>
  <c r="Q1000" i="4" s="1"/>
  <c r="O968" i="4"/>
  <c r="Q968" i="4" s="1"/>
  <c r="O936" i="4"/>
  <c r="Q936" i="4" s="1"/>
  <c r="O903" i="4"/>
  <c r="Q903" i="4" s="1"/>
  <c r="O860" i="4"/>
  <c r="Q860" i="4" s="1"/>
  <c r="O818" i="4"/>
  <c r="Q818" i="4" s="1"/>
  <c r="O775" i="4"/>
  <c r="Q775" i="4" s="1"/>
  <c r="O732" i="4"/>
  <c r="Q732" i="4" s="1"/>
  <c r="O690" i="4"/>
  <c r="Q690" i="4" s="1"/>
  <c r="O628" i="4"/>
  <c r="Q628" i="4" s="1"/>
  <c r="O564" i="4"/>
  <c r="Q564" i="4" s="1"/>
  <c r="O500" i="4"/>
  <c r="Q500" i="4" s="1"/>
  <c r="O436" i="4"/>
  <c r="Q436" i="4" s="1"/>
  <c r="O372" i="4"/>
  <c r="Q372" i="4" s="1"/>
  <c r="O308" i="4"/>
  <c r="Q308" i="4" s="1"/>
  <c r="O244" i="4"/>
  <c r="Q244" i="4" s="1"/>
  <c r="O180" i="4"/>
  <c r="Q180" i="4" s="1"/>
  <c r="O116" i="4"/>
  <c r="Q116" i="4" s="1"/>
  <c r="O52" i="4"/>
  <c r="Q52" i="4" s="1"/>
  <c r="O1527" i="4"/>
  <c r="Q1527" i="4" s="1"/>
  <c r="O1495" i="4"/>
  <c r="Q1495" i="4" s="1"/>
  <c r="O1463" i="4"/>
  <c r="Q1463" i="4" s="1"/>
  <c r="O1431" i="4"/>
  <c r="Q1431" i="4" s="1"/>
  <c r="O1399" i="4"/>
  <c r="Q1399" i="4" s="1"/>
  <c r="O1367" i="4"/>
  <c r="Q1367" i="4" s="1"/>
  <c r="O1335" i="4"/>
  <c r="Q1335" i="4" s="1"/>
  <c r="O1303" i="4"/>
  <c r="Q1303" i="4" s="1"/>
  <c r="O1271" i="4"/>
  <c r="Q1271" i="4" s="1"/>
  <c r="O1239" i="4"/>
  <c r="Q1239" i="4" s="1"/>
  <c r="O1207" i="4"/>
  <c r="Q1207" i="4" s="1"/>
  <c r="O1175" i="4"/>
  <c r="Q1175" i="4" s="1"/>
  <c r="O1143" i="4"/>
  <c r="Q1143" i="4" s="1"/>
  <c r="O1111" i="4"/>
  <c r="Q1111" i="4" s="1"/>
  <c r="O1079" i="4"/>
  <c r="Q1079" i="4" s="1"/>
  <c r="O1047" i="4"/>
  <c r="Q1047" i="4" s="1"/>
  <c r="O1015" i="4"/>
  <c r="Q1015" i="4" s="1"/>
  <c r="O983" i="4"/>
  <c r="Q983" i="4" s="1"/>
  <c r="O951" i="4"/>
  <c r="Q951" i="4" s="1"/>
  <c r="O919" i="4"/>
  <c r="Q919" i="4" s="1"/>
  <c r="O880" i="4"/>
  <c r="Q880" i="4" s="1"/>
  <c r="O838" i="4"/>
  <c r="Q838" i="4" s="1"/>
  <c r="O795" i="4"/>
  <c r="Q795" i="4" s="1"/>
  <c r="O752" i="4"/>
  <c r="Q752" i="4" s="1"/>
  <c r="O710" i="4"/>
  <c r="Q710" i="4" s="1"/>
  <c r="O659" i="4"/>
  <c r="Q659" i="4" s="1"/>
  <c r="O595" i="4"/>
  <c r="Q595" i="4" s="1"/>
  <c r="O531" i="4"/>
  <c r="Q531" i="4" s="1"/>
  <c r="O467" i="4"/>
  <c r="Q467" i="4" s="1"/>
  <c r="O403" i="4"/>
  <c r="Q403" i="4" s="1"/>
  <c r="O339" i="4"/>
  <c r="Q339" i="4" s="1"/>
  <c r="O275" i="4"/>
  <c r="Q275" i="4" s="1"/>
  <c r="O211" i="4"/>
  <c r="Q211" i="4" s="1"/>
  <c r="O147" i="4"/>
  <c r="Q147" i="4" s="1"/>
  <c r="O83" i="4"/>
  <c r="Q83" i="4" s="1"/>
  <c r="O19" i="4"/>
  <c r="Q19" i="4" s="1"/>
  <c r="O1530" i="4"/>
  <c r="Q1530" i="4" s="1"/>
  <c r="O1514" i="4"/>
  <c r="Q1514" i="4" s="1"/>
  <c r="O1498" i="4"/>
  <c r="Q1498" i="4" s="1"/>
  <c r="O1482" i="4"/>
  <c r="Q1482" i="4" s="1"/>
  <c r="O1466" i="4"/>
  <c r="Q1466" i="4" s="1"/>
  <c r="O1450" i="4"/>
  <c r="Q1450" i="4" s="1"/>
  <c r="O1434" i="4"/>
  <c r="Q1434" i="4" s="1"/>
  <c r="O1418" i="4"/>
  <c r="Q1418" i="4" s="1"/>
  <c r="O1402" i="4"/>
  <c r="Q1402" i="4" s="1"/>
  <c r="O1386" i="4"/>
  <c r="Q1386" i="4" s="1"/>
  <c r="O1370" i="4"/>
  <c r="Q1370" i="4" s="1"/>
  <c r="O1354" i="4"/>
  <c r="Q1354" i="4" s="1"/>
  <c r="O1338" i="4"/>
  <c r="Q1338" i="4" s="1"/>
  <c r="O1322" i="4"/>
  <c r="Q1322" i="4" s="1"/>
  <c r="O1306" i="4"/>
  <c r="Q1306" i="4" s="1"/>
  <c r="O1290" i="4"/>
  <c r="Q1290" i="4" s="1"/>
  <c r="O1274" i="4"/>
  <c r="Q1274" i="4" s="1"/>
  <c r="O1258" i="4"/>
  <c r="Q1258" i="4" s="1"/>
  <c r="O1242" i="4"/>
  <c r="Q1242" i="4" s="1"/>
  <c r="O1226" i="4"/>
  <c r="Q1226" i="4" s="1"/>
  <c r="O1210" i="4"/>
  <c r="Q1210" i="4" s="1"/>
  <c r="O1194" i="4"/>
  <c r="Q1194" i="4" s="1"/>
  <c r="O1178" i="4"/>
  <c r="Q1178" i="4" s="1"/>
  <c r="O1162" i="4"/>
  <c r="Q1162" i="4" s="1"/>
  <c r="O1146" i="4"/>
  <c r="Q1146" i="4" s="1"/>
  <c r="O1130" i="4"/>
  <c r="Q1130" i="4" s="1"/>
  <c r="O1114" i="4"/>
  <c r="Q1114" i="4" s="1"/>
  <c r="O1098" i="4"/>
  <c r="Q1098" i="4" s="1"/>
  <c r="O1082" i="4"/>
  <c r="Q1082" i="4" s="1"/>
  <c r="O1066" i="4"/>
  <c r="Q1066" i="4" s="1"/>
  <c r="O1050" i="4"/>
  <c r="Q1050" i="4" s="1"/>
  <c r="O1034" i="4"/>
  <c r="Q1034" i="4" s="1"/>
  <c r="O1018" i="4"/>
  <c r="Q1018" i="4" s="1"/>
  <c r="O1002" i="4"/>
  <c r="Q1002" i="4" s="1"/>
  <c r="O986" i="4"/>
  <c r="Q986" i="4" s="1"/>
  <c r="O970" i="4"/>
  <c r="Q970" i="4" s="1"/>
  <c r="O954" i="4"/>
  <c r="Q954" i="4" s="1"/>
  <c r="O938" i="4"/>
  <c r="Q938" i="4" s="1"/>
  <c r="O922" i="4"/>
  <c r="Q922" i="4" s="1"/>
  <c r="O906" i="4"/>
  <c r="Q906" i="4" s="1"/>
  <c r="O884" i="4"/>
  <c r="Q884" i="4" s="1"/>
  <c r="O863" i="4"/>
  <c r="Q863" i="4" s="1"/>
  <c r="O842" i="4"/>
  <c r="Q842" i="4" s="1"/>
  <c r="O820" i="4"/>
  <c r="Q820" i="4" s="1"/>
  <c r="O799" i="4"/>
  <c r="Q799" i="4" s="1"/>
  <c r="O778" i="4"/>
  <c r="Q778" i="4" s="1"/>
  <c r="O756" i="4"/>
  <c r="Q756" i="4" s="1"/>
  <c r="O735" i="4"/>
  <c r="Q735" i="4" s="1"/>
  <c r="O714" i="4"/>
  <c r="Q714" i="4" s="1"/>
  <c r="O692" i="4"/>
  <c r="Q692" i="4" s="1"/>
  <c r="O664" i="4"/>
  <c r="Q664" i="4" s="1"/>
  <c r="O632" i="4"/>
  <c r="Q632" i="4" s="1"/>
  <c r="O600" i="4"/>
  <c r="Q600" i="4" s="1"/>
  <c r="O568" i="4"/>
  <c r="Q568" i="4" s="1"/>
  <c r="O536" i="4"/>
  <c r="Q536" i="4" s="1"/>
  <c r="O504" i="4"/>
  <c r="Q504" i="4" s="1"/>
  <c r="O472" i="4"/>
  <c r="Q472" i="4" s="1"/>
  <c r="O440" i="4"/>
  <c r="Q440" i="4" s="1"/>
  <c r="O408" i="4"/>
  <c r="Q408" i="4" s="1"/>
  <c r="O376" i="4"/>
  <c r="Q376" i="4" s="1"/>
  <c r="O344" i="4"/>
  <c r="Q344" i="4" s="1"/>
  <c r="O312" i="4"/>
  <c r="Q312" i="4" s="1"/>
  <c r="O280" i="4"/>
  <c r="Q280" i="4" s="1"/>
  <c r="O248" i="4"/>
  <c r="Q248" i="4" s="1"/>
  <c r="O216" i="4"/>
  <c r="Q216" i="4" s="1"/>
  <c r="O184" i="4"/>
  <c r="Q184" i="4" s="1"/>
  <c r="O152" i="4"/>
  <c r="Q152" i="4" s="1"/>
  <c r="O120" i="4"/>
  <c r="Q120" i="4" s="1"/>
  <c r="O88" i="4"/>
  <c r="Q88" i="4" s="1"/>
  <c r="O56" i="4"/>
  <c r="Q56" i="4" s="1"/>
  <c r="O24" i="4"/>
  <c r="Q24" i="4" s="1"/>
  <c r="O1533" i="4"/>
  <c r="Q1533" i="4" s="1"/>
  <c r="O1517" i="4"/>
  <c r="Q1517" i="4" s="1"/>
  <c r="O1501" i="4"/>
  <c r="Q1501" i="4" s="1"/>
  <c r="O1485" i="4"/>
  <c r="Q1485" i="4" s="1"/>
  <c r="O1469" i="4"/>
  <c r="Q1469" i="4" s="1"/>
  <c r="O1453" i="4"/>
  <c r="Q1453" i="4" s="1"/>
  <c r="O1437" i="4"/>
  <c r="Q1437" i="4" s="1"/>
  <c r="O1421" i="4"/>
  <c r="Q1421" i="4" s="1"/>
  <c r="O1405" i="4"/>
  <c r="Q1405" i="4" s="1"/>
  <c r="O1389" i="4"/>
  <c r="Q1389" i="4" s="1"/>
  <c r="O1373" i="4"/>
  <c r="Q1373" i="4" s="1"/>
  <c r="O1357" i="4"/>
  <c r="Q1357" i="4" s="1"/>
  <c r="O1341" i="4"/>
  <c r="Q1341" i="4" s="1"/>
  <c r="O1325" i="4"/>
  <c r="Q1325" i="4" s="1"/>
  <c r="O1309" i="4"/>
  <c r="Q1309" i="4" s="1"/>
  <c r="O1293" i="4"/>
  <c r="Q1293" i="4" s="1"/>
  <c r="O1277" i="4"/>
  <c r="Q1277" i="4" s="1"/>
  <c r="O1261" i="4"/>
  <c r="Q1261" i="4" s="1"/>
  <c r="O1245" i="4"/>
  <c r="Q1245" i="4" s="1"/>
  <c r="O1229" i="4"/>
  <c r="Q1229" i="4" s="1"/>
  <c r="O1213" i="4"/>
  <c r="Q1213" i="4" s="1"/>
  <c r="O1197" i="4"/>
  <c r="Q1197" i="4" s="1"/>
  <c r="O1181" i="4"/>
  <c r="Q1181" i="4" s="1"/>
  <c r="O1165" i="4"/>
  <c r="Q1165" i="4" s="1"/>
  <c r="O1149" i="4"/>
  <c r="Q1149" i="4" s="1"/>
  <c r="O1133" i="4"/>
  <c r="Q1133" i="4" s="1"/>
  <c r="O1117" i="4"/>
  <c r="Q1117" i="4" s="1"/>
  <c r="O1101" i="4"/>
  <c r="Q1101" i="4" s="1"/>
  <c r="O1085" i="4"/>
  <c r="Q1085" i="4" s="1"/>
  <c r="O1069" i="4"/>
  <c r="Q1069" i="4" s="1"/>
  <c r="O1053" i="4"/>
  <c r="Q1053" i="4" s="1"/>
  <c r="O1037" i="4"/>
  <c r="Q1037" i="4" s="1"/>
  <c r="O1021" i="4"/>
  <c r="Q1021" i="4" s="1"/>
  <c r="O1005" i="4"/>
  <c r="Q1005" i="4" s="1"/>
  <c r="O989" i="4"/>
  <c r="Q989" i="4" s="1"/>
  <c r="O973" i="4"/>
  <c r="Q973" i="4" s="1"/>
  <c r="O957" i="4"/>
  <c r="Q957" i="4" s="1"/>
  <c r="O941" i="4"/>
  <c r="Q941" i="4" s="1"/>
  <c r="O925" i="4"/>
  <c r="Q925" i="4" s="1"/>
  <c r="O909" i="4"/>
  <c r="Q909" i="4" s="1"/>
  <c r="O888" i="4"/>
  <c r="Q888" i="4" s="1"/>
  <c r="O867" i="4"/>
  <c r="Q867" i="4" s="1"/>
  <c r="O846" i="4"/>
  <c r="Q846" i="4" s="1"/>
  <c r="O824" i="4"/>
  <c r="Q824" i="4" s="1"/>
  <c r="O803" i="4"/>
  <c r="Q803" i="4" s="1"/>
  <c r="O782" i="4"/>
  <c r="Q782" i="4" s="1"/>
  <c r="O760" i="4"/>
  <c r="Q760" i="4" s="1"/>
  <c r="O739" i="4"/>
  <c r="Q739" i="4" s="1"/>
  <c r="O718" i="4"/>
  <c r="Q718" i="4" s="1"/>
  <c r="O696" i="4"/>
  <c r="Q696" i="4" s="1"/>
  <c r="O671" i="4"/>
  <c r="Q671" i="4" s="1"/>
  <c r="O639" i="4"/>
  <c r="Q639" i="4" s="1"/>
  <c r="O607" i="4"/>
  <c r="Q607" i="4" s="1"/>
  <c r="O575" i="4"/>
  <c r="Q575" i="4" s="1"/>
  <c r="O543" i="4"/>
  <c r="Q543" i="4" s="1"/>
  <c r="O511" i="4"/>
  <c r="Q511" i="4" s="1"/>
  <c r="O479" i="4"/>
  <c r="Q479" i="4" s="1"/>
  <c r="O447" i="4"/>
  <c r="Q447" i="4" s="1"/>
  <c r="O415" i="4"/>
  <c r="Q415" i="4" s="1"/>
  <c r="O383" i="4"/>
  <c r="Q383" i="4" s="1"/>
  <c r="O351" i="4"/>
  <c r="Q351" i="4" s="1"/>
  <c r="O319" i="4"/>
  <c r="Q319" i="4" s="1"/>
  <c r="O287" i="4"/>
  <c r="Q287" i="4" s="1"/>
  <c r="O255" i="4"/>
  <c r="Q255" i="4" s="1"/>
  <c r="O223" i="4"/>
  <c r="Q223" i="4" s="1"/>
  <c r="O191" i="4"/>
  <c r="Q191" i="4" s="1"/>
  <c r="O159" i="4"/>
  <c r="Q159" i="4" s="1"/>
  <c r="O127" i="4"/>
  <c r="Q127" i="4" s="1"/>
  <c r="O95" i="4"/>
  <c r="Q95" i="4" s="1"/>
  <c r="O63" i="4"/>
  <c r="Q63" i="4" s="1"/>
  <c r="O31" i="4"/>
  <c r="Q31" i="4" s="1"/>
  <c r="O678" i="4"/>
  <c r="Q678" i="4" s="1"/>
  <c r="O662" i="4"/>
  <c r="Q662" i="4" s="1"/>
  <c r="O646" i="4"/>
  <c r="Q646" i="4" s="1"/>
  <c r="O630" i="4"/>
  <c r="Q630" i="4" s="1"/>
  <c r="O614" i="4"/>
  <c r="Q614" i="4" s="1"/>
  <c r="O598" i="4"/>
  <c r="Q598" i="4" s="1"/>
  <c r="O582" i="4"/>
  <c r="Q582" i="4" s="1"/>
  <c r="O566" i="4"/>
  <c r="Q566" i="4" s="1"/>
  <c r="O550" i="4"/>
  <c r="Q550" i="4" s="1"/>
  <c r="O534" i="4"/>
  <c r="Q534" i="4" s="1"/>
  <c r="O518" i="4"/>
  <c r="Q518" i="4" s="1"/>
  <c r="O502" i="4"/>
  <c r="Q502" i="4" s="1"/>
  <c r="O486" i="4"/>
  <c r="Q486" i="4" s="1"/>
  <c r="O470" i="4"/>
  <c r="Q470" i="4" s="1"/>
  <c r="O454" i="4"/>
  <c r="Q454" i="4" s="1"/>
  <c r="O438" i="4"/>
  <c r="Q438" i="4" s="1"/>
  <c r="O422" i="4"/>
  <c r="Q422" i="4" s="1"/>
  <c r="O406" i="4"/>
  <c r="Q406" i="4" s="1"/>
  <c r="O390" i="4"/>
  <c r="Q390" i="4" s="1"/>
  <c r="O374" i="4"/>
  <c r="Q374" i="4" s="1"/>
  <c r="O358" i="4"/>
  <c r="Q358" i="4" s="1"/>
  <c r="O342" i="4"/>
  <c r="Q342" i="4" s="1"/>
  <c r="O326" i="4"/>
  <c r="Q326" i="4" s="1"/>
  <c r="O310" i="4"/>
  <c r="Q310" i="4" s="1"/>
  <c r="O294" i="4"/>
  <c r="Q294" i="4" s="1"/>
  <c r="O278" i="4"/>
  <c r="Q278" i="4" s="1"/>
  <c r="O262" i="4"/>
  <c r="Q262" i="4" s="1"/>
  <c r="O246" i="4"/>
  <c r="Q246" i="4" s="1"/>
  <c r="O230" i="4"/>
  <c r="Q230" i="4" s="1"/>
  <c r="O214" i="4"/>
  <c r="Q214" i="4" s="1"/>
  <c r="O198" i="4"/>
  <c r="Q198" i="4" s="1"/>
  <c r="O182" i="4"/>
  <c r="Q182" i="4" s="1"/>
  <c r="O166" i="4"/>
  <c r="Q166" i="4" s="1"/>
  <c r="O150" i="4"/>
  <c r="Q150" i="4" s="1"/>
  <c r="O134" i="4"/>
  <c r="Q134" i="4" s="1"/>
  <c r="O118" i="4"/>
  <c r="Q118" i="4" s="1"/>
  <c r="O102" i="4"/>
  <c r="Q102" i="4" s="1"/>
  <c r="O86" i="4"/>
  <c r="Q86" i="4" s="1"/>
  <c r="O70" i="4"/>
  <c r="Q70" i="4" s="1"/>
  <c r="O54" i="4"/>
  <c r="Q54" i="4" s="1"/>
  <c r="O38" i="4"/>
  <c r="Q38" i="4" s="1"/>
  <c r="O22" i="4"/>
  <c r="Q22" i="4" s="1"/>
  <c r="O905" i="4"/>
  <c r="Q905" i="4" s="1"/>
  <c r="O889" i="4"/>
  <c r="Q889" i="4" s="1"/>
  <c r="O873" i="4"/>
  <c r="Q873" i="4" s="1"/>
  <c r="O857" i="4"/>
  <c r="Q857" i="4" s="1"/>
  <c r="O841" i="4"/>
  <c r="Q841" i="4" s="1"/>
  <c r="O825" i="4"/>
  <c r="Q825" i="4" s="1"/>
  <c r="O809" i="4"/>
  <c r="Q809" i="4" s="1"/>
  <c r="O793" i="4"/>
  <c r="Q793" i="4" s="1"/>
  <c r="O777" i="4"/>
  <c r="Q777" i="4" s="1"/>
  <c r="O761" i="4"/>
  <c r="Q761" i="4" s="1"/>
  <c r="O745" i="4"/>
  <c r="Q745" i="4" s="1"/>
  <c r="O729" i="4"/>
  <c r="Q729" i="4" s="1"/>
  <c r="O713" i="4"/>
  <c r="Q713" i="4" s="1"/>
  <c r="O697" i="4"/>
  <c r="Q697" i="4" s="1"/>
  <c r="O681" i="4"/>
  <c r="Q681" i="4" s="1"/>
  <c r="O665" i="4"/>
  <c r="Q665" i="4" s="1"/>
  <c r="O649" i="4"/>
  <c r="Q649" i="4" s="1"/>
  <c r="O633" i="4"/>
  <c r="Q633" i="4" s="1"/>
  <c r="O617" i="4"/>
  <c r="Q617" i="4" s="1"/>
  <c r="O601" i="4"/>
  <c r="Q601" i="4" s="1"/>
  <c r="O585" i="4"/>
  <c r="Q585" i="4" s="1"/>
  <c r="O569" i="4"/>
  <c r="Q569" i="4" s="1"/>
  <c r="O553" i="4"/>
  <c r="Q553" i="4" s="1"/>
  <c r="O537" i="4"/>
  <c r="Q537" i="4" s="1"/>
  <c r="O521" i="4"/>
  <c r="Q521" i="4" s="1"/>
  <c r="O505" i="4"/>
  <c r="Q505" i="4" s="1"/>
  <c r="O489" i="4"/>
  <c r="Q489" i="4" s="1"/>
  <c r="O473" i="4"/>
  <c r="Q473" i="4" s="1"/>
  <c r="O457" i="4"/>
  <c r="Q457" i="4" s="1"/>
  <c r="O441" i="4"/>
  <c r="Q441" i="4" s="1"/>
  <c r="O425" i="4"/>
  <c r="Q425" i="4" s="1"/>
  <c r="O409" i="4"/>
  <c r="Q409" i="4" s="1"/>
  <c r="O393" i="4"/>
  <c r="Q393" i="4" s="1"/>
  <c r="O377" i="4"/>
  <c r="Q377" i="4" s="1"/>
  <c r="O361" i="4"/>
  <c r="Q361" i="4" s="1"/>
  <c r="O345" i="4"/>
  <c r="Q345" i="4" s="1"/>
  <c r="O329" i="4"/>
  <c r="Q329" i="4" s="1"/>
  <c r="O313" i="4"/>
  <c r="Q313" i="4" s="1"/>
  <c r="O297" i="4"/>
  <c r="Q297" i="4" s="1"/>
  <c r="O281" i="4"/>
  <c r="Q281" i="4" s="1"/>
  <c r="O265" i="4"/>
  <c r="Q265" i="4" s="1"/>
  <c r="O249" i="4"/>
  <c r="Q249" i="4" s="1"/>
  <c r="O233" i="4"/>
  <c r="Q233" i="4" s="1"/>
  <c r="O217" i="4"/>
  <c r="Q217" i="4" s="1"/>
  <c r="O201" i="4"/>
  <c r="Q201" i="4" s="1"/>
  <c r="O185" i="4"/>
  <c r="Q185" i="4" s="1"/>
  <c r="O169" i="4"/>
  <c r="Q169" i="4" s="1"/>
  <c r="O153" i="4"/>
  <c r="Q153" i="4" s="1"/>
  <c r="O137" i="4"/>
  <c r="Q137" i="4" s="1"/>
  <c r="O121" i="4"/>
  <c r="Q121" i="4" s="1"/>
  <c r="O105" i="4"/>
  <c r="Q105" i="4" s="1"/>
  <c r="O89" i="4"/>
  <c r="Q89" i="4" s="1"/>
  <c r="O73" i="4"/>
  <c r="Q73" i="4" s="1"/>
  <c r="O57" i="4"/>
  <c r="Q57" i="4" s="1"/>
  <c r="O41" i="4"/>
  <c r="Q41" i="4" s="1"/>
  <c r="O25" i="4"/>
  <c r="Q25" i="4" s="1"/>
  <c r="K1543" i="4"/>
  <c r="B15" i="1" s="1"/>
  <c r="P1449" i="4"/>
  <c r="R1449" i="4" s="1"/>
  <c r="P1193" i="4"/>
  <c r="R1193" i="4" s="1"/>
  <c r="P937" i="4"/>
  <c r="R937" i="4" s="1"/>
  <c r="P669" i="4"/>
  <c r="R669" i="4" s="1"/>
  <c r="P1433" i="4"/>
  <c r="R1433" i="4" s="1"/>
  <c r="P1177" i="4"/>
  <c r="R1177" i="4" s="1"/>
  <c r="P921" i="4"/>
  <c r="R921" i="4" s="1"/>
  <c r="P637" i="4"/>
  <c r="R637" i="4" s="1"/>
  <c r="P1481" i="4"/>
  <c r="R1481" i="4" s="1"/>
  <c r="P1225" i="4"/>
  <c r="R1225" i="4" s="1"/>
  <c r="P969" i="4"/>
  <c r="R969" i="4" s="1"/>
  <c r="P713" i="4"/>
  <c r="R713" i="4" s="1"/>
  <c r="P130" i="4"/>
  <c r="R130" i="4" s="1"/>
  <c r="P1337" i="4"/>
  <c r="R1337" i="4" s="1"/>
  <c r="P1081" i="4"/>
  <c r="R1081" i="4" s="1"/>
  <c r="P825" i="4"/>
  <c r="R825" i="4" s="1"/>
  <c r="P445" i="4"/>
  <c r="R445" i="4" s="1"/>
  <c r="P1496" i="4"/>
  <c r="R1496" i="4" s="1"/>
  <c r="P1432" i="4"/>
  <c r="R1432" i="4" s="1"/>
  <c r="P1368" i="4"/>
  <c r="R1368" i="4" s="1"/>
  <c r="P1304" i="4"/>
  <c r="R1304" i="4" s="1"/>
  <c r="P1240" i="4"/>
  <c r="R1240" i="4" s="1"/>
  <c r="P1176" i="4"/>
  <c r="R1176" i="4" s="1"/>
  <c r="P1112" i="4"/>
  <c r="R1112" i="4" s="1"/>
  <c r="P1048" i="4"/>
  <c r="R1048" i="4" s="1"/>
  <c r="P984" i="4"/>
  <c r="R984" i="4" s="1"/>
  <c r="P920" i="4"/>
  <c r="R920" i="4" s="1"/>
  <c r="P856" i="4"/>
  <c r="R856" i="4" s="1"/>
  <c r="P792" i="4"/>
  <c r="R792" i="4" s="1"/>
  <c r="P728" i="4"/>
  <c r="R728" i="4" s="1"/>
  <c r="P633" i="4"/>
  <c r="R633" i="4" s="1"/>
  <c r="P505" i="4"/>
  <c r="R505" i="4" s="1"/>
  <c r="P314" i="4"/>
  <c r="R314" i="4" s="1"/>
  <c r="P58" i="4"/>
  <c r="R58" i="4" s="1"/>
  <c r="P1489" i="4"/>
  <c r="R1489" i="4" s="1"/>
  <c r="P1425" i="4"/>
  <c r="R1425" i="4" s="1"/>
  <c r="P1361" i="4"/>
  <c r="R1361" i="4" s="1"/>
  <c r="P1297" i="4"/>
  <c r="R1297" i="4" s="1"/>
  <c r="P1233" i="4"/>
  <c r="R1233" i="4" s="1"/>
  <c r="P1169" i="4"/>
  <c r="R1169" i="4" s="1"/>
  <c r="P1105" i="4"/>
  <c r="R1105" i="4" s="1"/>
  <c r="P1041" i="4"/>
  <c r="R1041" i="4" s="1"/>
  <c r="P977" i="4"/>
  <c r="R977" i="4" s="1"/>
  <c r="P913" i="4"/>
  <c r="R913" i="4" s="1"/>
  <c r="P849" i="4"/>
  <c r="R849" i="4" s="1"/>
  <c r="P785" i="4"/>
  <c r="R785" i="4" s="1"/>
  <c r="P721" i="4"/>
  <c r="R721" i="4" s="1"/>
  <c r="P621" i="4"/>
  <c r="R621" i="4" s="1"/>
  <c r="P493" i="4"/>
  <c r="R493" i="4" s="1"/>
  <c r="P290" i="4"/>
  <c r="R290" i="4" s="1"/>
  <c r="P34" i="4"/>
  <c r="R34" i="4" s="1"/>
  <c r="P1488" i="4"/>
  <c r="R1488" i="4" s="1"/>
  <c r="P1424" i="4"/>
  <c r="R1424" i="4" s="1"/>
  <c r="P1360" i="4"/>
  <c r="R1360" i="4" s="1"/>
  <c r="P1296" i="4"/>
  <c r="R1296" i="4" s="1"/>
  <c r="P1232" i="4"/>
  <c r="R1232" i="4" s="1"/>
  <c r="P1168" i="4"/>
  <c r="R1168" i="4" s="1"/>
  <c r="P1104" i="4"/>
  <c r="R1104" i="4" s="1"/>
  <c r="P1040" i="4"/>
  <c r="R1040" i="4" s="1"/>
  <c r="P976" i="4"/>
  <c r="R976" i="4" s="1"/>
  <c r="P912" i="4"/>
  <c r="R912" i="4" s="1"/>
  <c r="P848" i="4"/>
  <c r="R848" i="4" s="1"/>
  <c r="P784" i="4"/>
  <c r="R784" i="4" s="1"/>
  <c r="P720" i="4"/>
  <c r="R720" i="4" s="1"/>
  <c r="P617" i="4"/>
  <c r="R617" i="4" s="1"/>
  <c r="P489" i="4"/>
  <c r="R489" i="4" s="1"/>
  <c r="P282" i="4"/>
  <c r="R282" i="4" s="1"/>
  <c r="P26" i="4"/>
  <c r="R26" i="4" s="1"/>
  <c r="P1517" i="4"/>
  <c r="R1517" i="4" s="1"/>
  <c r="P1485" i="4"/>
  <c r="R1485" i="4" s="1"/>
  <c r="P1453" i="4"/>
  <c r="R1453" i="4" s="1"/>
  <c r="P1421" i="4"/>
  <c r="R1421" i="4" s="1"/>
  <c r="P1389" i="4"/>
  <c r="R1389" i="4" s="1"/>
  <c r="P1357" i="4"/>
  <c r="R1357" i="4" s="1"/>
  <c r="P1325" i="4"/>
  <c r="R1325" i="4" s="1"/>
  <c r="P1293" i="4"/>
  <c r="R1293" i="4" s="1"/>
  <c r="P1261" i="4"/>
  <c r="R1261" i="4" s="1"/>
  <c r="P1229" i="4"/>
  <c r="R1229" i="4" s="1"/>
  <c r="P1197" i="4"/>
  <c r="R1197" i="4" s="1"/>
  <c r="P1165" i="4"/>
  <c r="R1165" i="4" s="1"/>
  <c r="P1133" i="4"/>
  <c r="R1133" i="4" s="1"/>
  <c r="P1101" i="4"/>
  <c r="R1101" i="4" s="1"/>
  <c r="P1069" i="4"/>
  <c r="R1069" i="4" s="1"/>
  <c r="P1037" i="4"/>
  <c r="R1037" i="4" s="1"/>
  <c r="P1005" i="4"/>
  <c r="R1005" i="4" s="1"/>
  <c r="P973" i="4"/>
  <c r="R973" i="4" s="1"/>
  <c r="P941" i="4"/>
  <c r="R941" i="4" s="1"/>
  <c r="P909" i="4"/>
  <c r="R909" i="4" s="1"/>
  <c r="P877" i="4"/>
  <c r="R877" i="4" s="1"/>
  <c r="P845" i="4"/>
  <c r="R845" i="4" s="1"/>
  <c r="P813" i="4"/>
  <c r="R813" i="4" s="1"/>
  <c r="P781" i="4"/>
  <c r="R781" i="4" s="1"/>
  <c r="P749" i="4"/>
  <c r="R749" i="4" s="1"/>
  <c r="P717" i="4"/>
  <c r="R717" i="4" s="1"/>
  <c r="P677" i="4"/>
  <c r="R677" i="4" s="1"/>
  <c r="P613" i="4"/>
  <c r="R613" i="4" s="1"/>
  <c r="P549" i="4"/>
  <c r="R549" i="4" s="1"/>
  <c r="P485" i="4"/>
  <c r="R485" i="4" s="1"/>
  <c r="P402" i="4"/>
  <c r="R402" i="4" s="1"/>
  <c r="P274" i="4"/>
  <c r="R274" i="4" s="1"/>
  <c r="P146" i="4"/>
  <c r="R146" i="4" s="1"/>
  <c r="P18" i="4"/>
  <c r="R18" i="4" s="1"/>
  <c r="P1516" i="4"/>
  <c r="R1516" i="4" s="1"/>
  <c r="P1484" i="4"/>
  <c r="R1484" i="4" s="1"/>
  <c r="P1452" i="4"/>
  <c r="R1452" i="4" s="1"/>
  <c r="P1420" i="4"/>
  <c r="R1420" i="4" s="1"/>
  <c r="P1388" i="4"/>
  <c r="R1388" i="4" s="1"/>
  <c r="P1356" i="4"/>
  <c r="R1356" i="4" s="1"/>
  <c r="P1324" i="4"/>
  <c r="R1324" i="4" s="1"/>
  <c r="P1292" i="4"/>
  <c r="R1292" i="4" s="1"/>
  <c r="P1260" i="4"/>
  <c r="R1260" i="4" s="1"/>
  <c r="P1228" i="4"/>
  <c r="R1228" i="4" s="1"/>
  <c r="P1196" i="4"/>
  <c r="R1196" i="4" s="1"/>
  <c r="P1164" i="4"/>
  <c r="R1164" i="4" s="1"/>
  <c r="P1132" i="4"/>
  <c r="R1132" i="4" s="1"/>
  <c r="P1100" i="4"/>
  <c r="R1100" i="4" s="1"/>
  <c r="P1068" i="4"/>
  <c r="R1068" i="4" s="1"/>
  <c r="P1036" i="4"/>
  <c r="R1036" i="4" s="1"/>
  <c r="P1004" i="4"/>
  <c r="R1004" i="4" s="1"/>
  <c r="P972" i="4"/>
  <c r="R972" i="4" s="1"/>
  <c r="P940" i="4"/>
  <c r="R940" i="4" s="1"/>
  <c r="P908" i="4"/>
  <c r="R908" i="4" s="1"/>
  <c r="P876" i="4"/>
  <c r="R876" i="4" s="1"/>
  <c r="P844" i="4"/>
  <c r="R844" i="4" s="1"/>
  <c r="P812" i="4"/>
  <c r="R812" i="4" s="1"/>
  <c r="P780" i="4"/>
  <c r="R780" i="4" s="1"/>
  <c r="P748" i="4"/>
  <c r="R748" i="4" s="1"/>
  <c r="P716" i="4"/>
  <c r="R716" i="4" s="1"/>
  <c r="P673" i="4"/>
  <c r="R673" i="4" s="1"/>
  <c r="P609" i="4"/>
  <c r="R609" i="4" s="1"/>
  <c r="P545" i="4"/>
  <c r="R545" i="4" s="1"/>
  <c r="P481" i="4"/>
  <c r="R481" i="4" s="1"/>
  <c r="P394" i="4"/>
  <c r="R394" i="4" s="1"/>
  <c r="P266" i="4"/>
  <c r="R266" i="4" s="1"/>
  <c r="P138" i="4"/>
  <c r="R138" i="4" s="1"/>
  <c r="P10" i="4"/>
  <c r="R10" i="4" s="1"/>
  <c r="P680" i="4"/>
  <c r="R680" i="4" s="1"/>
  <c r="P664" i="4"/>
  <c r="R664" i="4" s="1"/>
  <c r="P648" i="4"/>
  <c r="R648" i="4" s="1"/>
  <c r="P632" i="4"/>
  <c r="R632" i="4" s="1"/>
  <c r="P616" i="4"/>
  <c r="R616" i="4" s="1"/>
  <c r="P600" i="4"/>
  <c r="R600" i="4" s="1"/>
  <c r="P584" i="4"/>
  <c r="R584" i="4" s="1"/>
  <c r="P568" i="4"/>
  <c r="R568" i="4" s="1"/>
  <c r="P552" i="4"/>
  <c r="R552" i="4" s="1"/>
  <c r="P536" i="4"/>
  <c r="R536" i="4" s="1"/>
  <c r="P520" i="4"/>
  <c r="R520" i="4" s="1"/>
  <c r="P504" i="4"/>
  <c r="R504" i="4" s="1"/>
  <c r="P488" i="4"/>
  <c r="R488" i="4" s="1"/>
  <c r="P472" i="4"/>
  <c r="R472" i="4" s="1"/>
  <c r="P456" i="4"/>
  <c r="R456" i="4" s="1"/>
  <c r="P439" i="4"/>
  <c r="R439" i="4" s="1"/>
  <c r="P407" i="4"/>
  <c r="R407" i="4" s="1"/>
  <c r="P375" i="4"/>
  <c r="R375" i="4" s="1"/>
  <c r="P343" i="4"/>
  <c r="R343" i="4" s="1"/>
  <c r="P311" i="4"/>
  <c r="R311" i="4" s="1"/>
  <c r="P279" i="4"/>
  <c r="R279" i="4" s="1"/>
  <c r="P247" i="4"/>
  <c r="R247" i="4" s="1"/>
  <c r="P215" i="4"/>
  <c r="R215" i="4" s="1"/>
  <c r="P183" i="4"/>
  <c r="R183" i="4" s="1"/>
  <c r="P151" i="4"/>
  <c r="R151" i="4" s="1"/>
  <c r="P119" i="4"/>
  <c r="R119" i="4" s="1"/>
  <c r="P87" i="4"/>
  <c r="R87" i="4" s="1"/>
  <c r="P55" i="4"/>
  <c r="R55" i="4" s="1"/>
  <c r="P23" i="4"/>
  <c r="R23" i="4" s="1"/>
  <c r="P1531" i="4"/>
  <c r="R1531" i="4" s="1"/>
  <c r="P1515" i="4"/>
  <c r="R1515" i="4" s="1"/>
  <c r="P1499" i="4"/>
  <c r="R1499" i="4" s="1"/>
  <c r="P1483" i="4"/>
  <c r="R1483" i="4" s="1"/>
  <c r="P1467" i="4"/>
  <c r="R1467" i="4" s="1"/>
  <c r="P1451" i="4"/>
  <c r="R1451" i="4" s="1"/>
  <c r="P1435" i="4"/>
  <c r="R1435" i="4" s="1"/>
  <c r="P1419" i="4"/>
  <c r="R1419" i="4" s="1"/>
  <c r="P1403" i="4"/>
  <c r="R1403" i="4" s="1"/>
  <c r="P1387" i="4"/>
  <c r="R1387" i="4" s="1"/>
  <c r="P1371" i="4"/>
  <c r="R1371" i="4" s="1"/>
  <c r="P1355" i="4"/>
  <c r="R1355" i="4" s="1"/>
  <c r="P1339" i="4"/>
  <c r="R1339" i="4" s="1"/>
  <c r="P1323" i="4"/>
  <c r="R1323" i="4" s="1"/>
  <c r="P1307" i="4"/>
  <c r="R1307" i="4" s="1"/>
  <c r="P1291" i="4"/>
  <c r="R1291" i="4" s="1"/>
  <c r="P1275" i="4"/>
  <c r="R1275" i="4" s="1"/>
  <c r="P1259" i="4"/>
  <c r="R1259" i="4" s="1"/>
  <c r="P1243" i="4"/>
  <c r="R1243" i="4" s="1"/>
  <c r="P1227" i="4"/>
  <c r="R1227" i="4" s="1"/>
  <c r="P1211" i="4"/>
  <c r="R1211" i="4" s="1"/>
  <c r="P1195" i="4"/>
  <c r="R1195" i="4" s="1"/>
  <c r="P1179" i="4"/>
  <c r="R1179" i="4" s="1"/>
  <c r="P1163" i="4"/>
  <c r="R1163" i="4" s="1"/>
  <c r="P1147" i="4"/>
  <c r="R1147" i="4" s="1"/>
  <c r="P1131" i="4"/>
  <c r="R1131" i="4" s="1"/>
  <c r="P1115" i="4"/>
  <c r="R1115" i="4" s="1"/>
  <c r="P1099" i="4"/>
  <c r="R1099" i="4" s="1"/>
  <c r="P1083" i="4"/>
  <c r="R1083" i="4" s="1"/>
  <c r="P1067" i="4"/>
  <c r="R1067" i="4" s="1"/>
  <c r="P1051" i="4"/>
  <c r="R1051" i="4" s="1"/>
  <c r="P1035" i="4"/>
  <c r="R1035" i="4" s="1"/>
  <c r="P1019" i="4"/>
  <c r="R1019" i="4" s="1"/>
  <c r="P1003" i="4"/>
  <c r="R1003" i="4" s="1"/>
  <c r="P987" i="4"/>
  <c r="R987" i="4" s="1"/>
  <c r="P971" i="4"/>
  <c r="R971" i="4" s="1"/>
  <c r="P955" i="4"/>
  <c r="R955" i="4" s="1"/>
  <c r="P939" i="4"/>
  <c r="R939" i="4" s="1"/>
  <c r="P923" i="4"/>
  <c r="R923" i="4" s="1"/>
  <c r="P907" i="4"/>
  <c r="R907" i="4" s="1"/>
  <c r="P891" i="4"/>
  <c r="R891" i="4" s="1"/>
  <c r="P875" i="4"/>
  <c r="R875" i="4" s="1"/>
  <c r="P859" i="4"/>
  <c r="R859" i="4" s="1"/>
  <c r="P843" i="4"/>
  <c r="R843" i="4" s="1"/>
  <c r="P827" i="4"/>
  <c r="R827" i="4" s="1"/>
  <c r="P811" i="4"/>
  <c r="R811" i="4" s="1"/>
  <c r="P795" i="4"/>
  <c r="R795" i="4" s="1"/>
  <c r="P779" i="4"/>
  <c r="R779" i="4" s="1"/>
  <c r="P763" i="4"/>
  <c r="R763" i="4" s="1"/>
  <c r="P747" i="4"/>
  <c r="R747" i="4" s="1"/>
  <c r="P731" i="4"/>
  <c r="R731" i="4" s="1"/>
  <c r="P715" i="4"/>
  <c r="R715" i="4" s="1"/>
  <c r="P699" i="4"/>
  <c r="R699" i="4" s="1"/>
  <c r="P683" i="4"/>
  <c r="R683" i="4" s="1"/>
  <c r="P667" i="4"/>
  <c r="R667" i="4" s="1"/>
  <c r="P651" i="4"/>
  <c r="R651" i="4" s="1"/>
  <c r="P635" i="4"/>
  <c r="R635" i="4" s="1"/>
  <c r="P619" i="4"/>
  <c r="R619" i="4" s="1"/>
  <c r="P603" i="4"/>
  <c r="R603" i="4" s="1"/>
  <c r="P587" i="4"/>
  <c r="R587" i="4" s="1"/>
  <c r="P571" i="4"/>
  <c r="R571" i="4" s="1"/>
  <c r="P555" i="4"/>
  <c r="R555" i="4" s="1"/>
  <c r="P539" i="4"/>
  <c r="R539" i="4" s="1"/>
  <c r="P523" i="4"/>
  <c r="R523" i="4" s="1"/>
  <c r="P507" i="4"/>
  <c r="R507" i="4" s="1"/>
  <c r="P491" i="4"/>
  <c r="R491" i="4" s="1"/>
  <c r="P475" i="4"/>
  <c r="R475" i="4" s="1"/>
  <c r="P459" i="4"/>
  <c r="R459" i="4" s="1"/>
  <c r="P443" i="4"/>
  <c r="R443" i="4" s="1"/>
  <c r="P414" i="4"/>
  <c r="R414" i="4" s="1"/>
  <c r="P382" i="4"/>
  <c r="R382" i="4" s="1"/>
  <c r="P350" i="4"/>
  <c r="R350" i="4" s="1"/>
  <c r="P318" i="4"/>
  <c r="R318" i="4" s="1"/>
  <c r="P286" i="4"/>
  <c r="R286" i="4" s="1"/>
  <c r="P254" i="4"/>
  <c r="R254" i="4" s="1"/>
  <c r="P222" i="4"/>
  <c r="R222" i="4" s="1"/>
  <c r="P190" i="4"/>
  <c r="R190" i="4" s="1"/>
  <c r="P158" i="4"/>
  <c r="R158" i="4" s="1"/>
  <c r="P126" i="4"/>
  <c r="R126" i="4" s="1"/>
  <c r="P94" i="4"/>
  <c r="R94" i="4" s="1"/>
  <c r="P62" i="4"/>
  <c r="R62" i="4" s="1"/>
  <c r="P30" i="4"/>
  <c r="R30" i="4" s="1"/>
  <c r="P1538" i="4"/>
  <c r="R1538" i="4" s="1"/>
  <c r="P1522" i="4"/>
  <c r="R1522" i="4" s="1"/>
  <c r="P1506" i="4"/>
  <c r="R1506" i="4" s="1"/>
  <c r="P1490" i="4"/>
  <c r="R1490" i="4" s="1"/>
  <c r="P1474" i="4"/>
  <c r="R1474" i="4" s="1"/>
  <c r="P1458" i="4"/>
  <c r="R1458" i="4" s="1"/>
  <c r="P1442" i="4"/>
  <c r="R1442" i="4" s="1"/>
  <c r="P1426" i="4"/>
  <c r="R1426" i="4" s="1"/>
  <c r="P1410" i="4"/>
  <c r="R1410" i="4" s="1"/>
  <c r="P1394" i="4"/>
  <c r="R1394" i="4" s="1"/>
  <c r="P1378" i="4"/>
  <c r="R1378" i="4" s="1"/>
  <c r="P1362" i="4"/>
  <c r="R1362" i="4" s="1"/>
  <c r="P1346" i="4"/>
  <c r="R1346" i="4" s="1"/>
  <c r="P1330" i="4"/>
  <c r="R1330" i="4" s="1"/>
  <c r="P1314" i="4"/>
  <c r="R1314" i="4" s="1"/>
  <c r="P1298" i="4"/>
  <c r="R1298" i="4" s="1"/>
  <c r="P1282" i="4"/>
  <c r="R1282" i="4" s="1"/>
  <c r="P1266" i="4"/>
  <c r="R1266" i="4" s="1"/>
  <c r="P1250" i="4"/>
  <c r="R1250" i="4" s="1"/>
  <c r="P1234" i="4"/>
  <c r="R1234" i="4" s="1"/>
  <c r="P1218" i="4"/>
  <c r="R1218" i="4" s="1"/>
  <c r="P1202" i="4"/>
  <c r="R1202" i="4" s="1"/>
  <c r="P1186" i="4"/>
  <c r="R1186" i="4" s="1"/>
  <c r="P1170" i="4"/>
  <c r="R1170" i="4" s="1"/>
  <c r="P1154" i="4"/>
  <c r="R1154" i="4" s="1"/>
  <c r="P1138" i="4"/>
  <c r="R1138" i="4" s="1"/>
  <c r="P1122" i="4"/>
  <c r="R1122" i="4" s="1"/>
  <c r="P1106" i="4"/>
  <c r="R1106" i="4" s="1"/>
  <c r="P1090" i="4"/>
  <c r="R1090" i="4" s="1"/>
  <c r="P1074" i="4"/>
  <c r="R1074" i="4" s="1"/>
  <c r="P1058" i="4"/>
  <c r="R1058" i="4" s="1"/>
  <c r="P1042" i="4"/>
  <c r="R1042" i="4" s="1"/>
  <c r="P1026" i="4"/>
  <c r="R1026" i="4" s="1"/>
  <c r="P1010" i="4"/>
  <c r="R1010" i="4" s="1"/>
  <c r="P994" i="4"/>
  <c r="R994" i="4" s="1"/>
  <c r="P978" i="4"/>
  <c r="R978" i="4" s="1"/>
  <c r="P962" i="4"/>
  <c r="R962" i="4" s="1"/>
  <c r="P946" i="4"/>
  <c r="R946" i="4" s="1"/>
  <c r="P930" i="4"/>
  <c r="R930" i="4" s="1"/>
  <c r="P914" i="4"/>
  <c r="R914" i="4" s="1"/>
  <c r="P898" i="4"/>
  <c r="R898" i="4" s="1"/>
  <c r="P882" i="4"/>
  <c r="R882" i="4" s="1"/>
  <c r="P866" i="4"/>
  <c r="R866" i="4" s="1"/>
  <c r="P850" i="4"/>
  <c r="R850" i="4" s="1"/>
  <c r="P834" i="4"/>
  <c r="R834" i="4" s="1"/>
  <c r="P818" i="4"/>
  <c r="R818" i="4" s="1"/>
  <c r="P802" i="4"/>
  <c r="R802" i="4" s="1"/>
  <c r="P786" i="4"/>
  <c r="R786" i="4" s="1"/>
  <c r="P770" i="4"/>
  <c r="R770" i="4" s="1"/>
  <c r="P754" i="4"/>
  <c r="R754" i="4" s="1"/>
  <c r="P738" i="4"/>
  <c r="R738" i="4" s="1"/>
  <c r="P722" i="4"/>
  <c r="R722" i="4" s="1"/>
  <c r="P706" i="4"/>
  <c r="R706" i="4" s="1"/>
  <c r="P690" i="4"/>
  <c r="R690" i="4" s="1"/>
  <c r="P674" i="4"/>
  <c r="R674" i="4" s="1"/>
  <c r="P658" i="4"/>
  <c r="R658" i="4" s="1"/>
  <c r="P642" i="4"/>
  <c r="R642" i="4" s="1"/>
  <c r="P626" i="4"/>
  <c r="R626" i="4" s="1"/>
  <c r="P610" i="4"/>
  <c r="R610" i="4" s="1"/>
  <c r="P594" i="4"/>
  <c r="R594" i="4" s="1"/>
  <c r="P578" i="4"/>
  <c r="R578" i="4" s="1"/>
  <c r="P562" i="4"/>
  <c r="R562" i="4" s="1"/>
  <c r="P546" i="4"/>
  <c r="R546" i="4" s="1"/>
  <c r="P530" i="4"/>
  <c r="R530" i="4" s="1"/>
  <c r="P514" i="4"/>
  <c r="R514" i="4" s="1"/>
  <c r="P498" i="4"/>
  <c r="R498" i="4" s="1"/>
  <c r="P482" i="4"/>
  <c r="R482" i="4" s="1"/>
  <c r="P466" i="4"/>
  <c r="R466" i="4" s="1"/>
  <c r="P450" i="4"/>
  <c r="R450" i="4" s="1"/>
  <c r="P427" i="4"/>
  <c r="R427" i="4" s="1"/>
  <c r="P395" i="4"/>
  <c r="R395" i="4" s="1"/>
  <c r="P363" i="4"/>
  <c r="R363" i="4" s="1"/>
  <c r="P331" i="4"/>
  <c r="R331" i="4" s="1"/>
  <c r="P299" i="4"/>
  <c r="R299" i="4" s="1"/>
  <c r="P267" i="4"/>
  <c r="R267" i="4" s="1"/>
  <c r="P235" i="4"/>
  <c r="R235" i="4" s="1"/>
  <c r="P203" i="4"/>
  <c r="R203" i="4" s="1"/>
  <c r="P171" i="4"/>
  <c r="R171" i="4" s="1"/>
  <c r="P139" i="4"/>
  <c r="R139" i="4" s="1"/>
  <c r="P107" i="4"/>
  <c r="R107" i="4" s="1"/>
  <c r="P75" i="4"/>
  <c r="R75" i="4" s="1"/>
  <c r="P43" i="4"/>
  <c r="R43" i="4" s="1"/>
  <c r="P11" i="4"/>
  <c r="R11" i="4" s="1"/>
  <c r="P425" i="4"/>
  <c r="R425" i="4" s="1"/>
  <c r="P409" i="4"/>
  <c r="R409" i="4" s="1"/>
  <c r="P393" i="4"/>
  <c r="R393" i="4" s="1"/>
  <c r="P377" i="4"/>
  <c r="R377" i="4" s="1"/>
  <c r="P361" i="4"/>
  <c r="R361" i="4" s="1"/>
  <c r="P345" i="4"/>
  <c r="R345" i="4" s="1"/>
  <c r="P329" i="4"/>
  <c r="R329" i="4" s="1"/>
  <c r="P313" i="4"/>
  <c r="R313" i="4" s="1"/>
  <c r="P297" i="4"/>
  <c r="R297" i="4" s="1"/>
  <c r="P281" i="4"/>
  <c r="R281" i="4" s="1"/>
  <c r="P265" i="4"/>
  <c r="R265" i="4" s="1"/>
  <c r="P249" i="4"/>
  <c r="R249" i="4" s="1"/>
  <c r="P233" i="4"/>
  <c r="R233" i="4" s="1"/>
  <c r="P217" i="4"/>
  <c r="R217" i="4" s="1"/>
  <c r="P201" i="4"/>
  <c r="R201" i="4" s="1"/>
  <c r="P185" i="4"/>
  <c r="R185" i="4" s="1"/>
  <c r="P169" i="4"/>
  <c r="R169" i="4" s="1"/>
  <c r="P153" i="4"/>
  <c r="R153" i="4" s="1"/>
  <c r="P137" i="4"/>
  <c r="R137" i="4" s="1"/>
  <c r="P121" i="4"/>
  <c r="R121" i="4" s="1"/>
  <c r="P105" i="4"/>
  <c r="R105" i="4" s="1"/>
  <c r="P89" i="4"/>
  <c r="R89" i="4" s="1"/>
  <c r="P73" i="4"/>
  <c r="R73" i="4" s="1"/>
  <c r="P57" i="4"/>
  <c r="R57" i="4" s="1"/>
  <c r="P41" i="4"/>
  <c r="R41" i="4" s="1"/>
  <c r="P25" i="4"/>
  <c r="R25" i="4" s="1"/>
  <c r="P9" i="4"/>
  <c r="R9" i="4" s="1"/>
  <c r="P428" i="4"/>
  <c r="R428" i="4" s="1"/>
  <c r="P412" i="4"/>
  <c r="R412" i="4" s="1"/>
  <c r="P396" i="4"/>
  <c r="R396" i="4" s="1"/>
  <c r="P380" i="4"/>
  <c r="R380" i="4" s="1"/>
  <c r="P364" i="4"/>
  <c r="R364" i="4" s="1"/>
  <c r="P348" i="4"/>
  <c r="R348" i="4" s="1"/>
  <c r="P332" i="4"/>
  <c r="R332" i="4" s="1"/>
  <c r="P316" i="4"/>
  <c r="R316" i="4" s="1"/>
  <c r="P300" i="4"/>
  <c r="R300" i="4" s="1"/>
  <c r="P284" i="4"/>
  <c r="R284" i="4" s="1"/>
  <c r="P268" i="4"/>
  <c r="R268" i="4" s="1"/>
  <c r="P252" i="4"/>
  <c r="R252" i="4" s="1"/>
  <c r="P236" i="4"/>
  <c r="R236" i="4" s="1"/>
  <c r="P220" i="4"/>
  <c r="R220" i="4" s="1"/>
  <c r="P204" i="4"/>
  <c r="R204" i="4" s="1"/>
  <c r="P188" i="4"/>
  <c r="R188" i="4" s="1"/>
  <c r="P172" i="4"/>
  <c r="R172" i="4" s="1"/>
  <c r="P156" i="4"/>
  <c r="R156" i="4" s="1"/>
  <c r="P140" i="4"/>
  <c r="R140" i="4" s="1"/>
  <c r="P124" i="4"/>
  <c r="R124" i="4" s="1"/>
  <c r="P108" i="4"/>
  <c r="R108" i="4" s="1"/>
  <c r="P92" i="4"/>
  <c r="R92" i="4" s="1"/>
  <c r="P76" i="4"/>
  <c r="R76" i="4" s="1"/>
  <c r="P60" i="4"/>
  <c r="R60" i="4" s="1"/>
  <c r="P44" i="4"/>
  <c r="R44" i="4" s="1"/>
  <c r="P28" i="4"/>
  <c r="R28" i="4" s="1"/>
  <c r="P12" i="4"/>
  <c r="R12" i="4" s="1"/>
  <c r="S5" i="2"/>
  <c r="T5" i="2" s="1"/>
  <c r="U5" i="2" s="1"/>
  <c r="O578" i="4"/>
  <c r="Q578" i="4" s="1"/>
  <c r="O562" i="4"/>
  <c r="Q562" i="4" s="1"/>
  <c r="O546" i="4"/>
  <c r="Q546" i="4" s="1"/>
  <c r="O530" i="4"/>
  <c r="Q530" i="4" s="1"/>
  <c r="O514" i="4"/>
  <c r="Q514" i="4" s="1"/>
  <c r="O498" i="4"/>
  <c r="Q498" i="4" s="1"/>
  <c r="O482" i="4"/>
  <c r="Q482" i="4" s="1"/>
  <c r="O466" i="4"/>
  <c r="Q466" i="4" s="1"/>
  <c r="O450" i="4"/>
  <c r="Q450" i="4" s="1"/>
  <c r="O434" i="4"/>
  <c r="Q434" i="4" s="1"/>
  <c r="O386" i="4"/>
  <c r="Q386" i="4" s="1"/>
  <c r="O370" i="4"/>
  <c r="Q370" i="4" s="1"/>
  <c r="O354" i="4"/>
  <c r="Q354" i="4" s="1"/>
  <c r="O338" i="4"/>
  <c r="Q338" i="4" s="1"/>
  <c r="O322" i="4"/>
  <c r="Q322" i="4" s="1"/>
  <c r="O306" i="4"/>
  <c r="Q306" i="4" s="1"/>
  <c r="O290" i="4"/>
  <c r="Q290" i="4" s="1"/>
  <c r="O274" i="4"/>
  <c r="Q274" i="4" s="1"/>
  <c r="O258" i="4"/>
  <c r="Q258" i="4" s="1"/>
  <c r="O242" i="4"/>
  <c r="Q242" i="4" s="1"/>
  <c r="O226" i="4"/>
  <c r="Q226" i="4" s="1"/>
  <c r="O210" i="4"/>
  <c r="Q210" i="4" s="1"/>
  <c r="O194" i="4"/>
  <c r="Q194" i="4" s="1"/>
  <c r="O178" i="4"/>
  <c r="Q178" i="4" s="1"/>
  <c r="O162" i="4"/>
  <c r="Q162" i="4" s="1"/>
  <c r="O146" i="4"/>
  <c r="Q146" i="4" s="1"/>
  <c r="O130" i="4"/>
  <c r="Q130" i="4" s="1"/>
  <c r="O114" i="4"/>
  <c r="Q114" i="4" s="1"/>
  <c r="O98" i="4"/>
  <c r="Q98" i="4" s="1"/>
  <c r="O82" i="4"/>
  <c r="Q82" i="4" s="1"/>
  <c r="O66" i="4"/>
  <c r="Q66" i="4" s="1"/>
  <c r="O50" i="4"/>
  <c r="Q50" i="4" s="1"/>
  <c r="O34" i="4"/>
  <c r="Q34" i="4" s="1"/>
  <c r="O18" i="4"/>
  <c r="Q18" i="4" s="1"/>
  <c r="O901" i="4"/>
  <c r="Q901" i="4" s="1"/>
  <c r="O885" i="4"/>
  <c r="Q885" i="4" s="1"/>
  <c r="O869" i="4"/>
  <c r="Q869" i="4" s="1"/>
  <c r="O853" i="4"/>
  <c r="Q853" i="4" s="1"/>
  <c r="O837" i="4"/>
  <c r="Q837" i="4" s="1"/>
  <c r="O821" i="4"/>
  <c r="Q821" i="4" s="1"/>
  <c r="O805" i="4"/>
  <c r="Q805" i="4" s="1"/>
  <c r="O789" i="4"/>
  <c r="Q789" i="4" s="1"/>
  <c r="O773" i="4"/>
  <c r="Q773" i="4" s="1"/>
  <c r="O757" i="4"/>
  <c r="Q757" i="4" s="1"/>
  <c r="O741" i="4"/>
  <c r="Q741" i="4" s="1"/>
  <c r="O725" i="4"/>
  <c r="Q725" i="4" s="1"/>
  <c r="O709" i="4"/>
  <c r="Q709" i="4" s="1"/>
  <c r="O693" i="4"/>
  <c r="Q693" i="4" s="1"/>
  <c r="O677" i="4"/>
  <c r="Q677" i="4" s="1"/>
  <c r="O661" i="4"/>
  <c r="Q661" i="4" s="1"/>
  <c r="O645" i="4"/>
  <c r="Q645" i="4" s="1"/>
  <c r="O629" i="4"/>
  <c r="Q629" i="4" s="1"/>
  <c r="O613" i="4"/>
  <c r="Q613" i="4" s="1"/>
  <c r="O597" i="4"/>
  <c r="Q597" i="4" s="1"/>
  <c r="O581" i="4"/>
  <c r="Q581" i="4" s="1"/>
  <c r="O565" i="4"/>
  <c r="Q565" i="4" s="1"/>
  <c r="O549" i="4"/>
  <c r="Q549" i="4" s="1"/>
  <c r="O533" i="4"/>
  <c r="Q533" i="4" s="1"/>
  <c r="O517" i="4"/>
  <c r="Q517" i="4" s="1"/>
  <c r="O501" i="4"/>
  <c r="Q501" i="4" s="1"/>
  <c r="O485" i="4"/>
  <c r="Q485" i="4" s="1"/>
  <c r="O469" i="4"/>
  <c r="Q469" i="4" s="1"/>
  <c r="O453" i="4"/>
  <c r="Q453" i="4" s="1"/>
  <c r="O437" i="4"/>
  <c r="Q437" i="4" s="1"/>
  <c r="O421" i="4"/>
  <c r="Q421" i="4" s="1"/>
  <c r="O405" i="4"/>
  <c r="Q405" i="4" s="1"/>
  <c r="O389" i="4"/>
  <c r="Q389" i="4" s="1"/>
  <c r="O373" i="4"/>
  <c r="Q373" i="4" s="1"/>
  <c r="O357" i="4"/>
  <c r="Q357" i="4" s="1"/>
  <c r="O341" i="4"/>
  <c r="Q341" i="4" s="1"/>
  <c r="O325" i="4"/>
  <c r="Q325" i="4" s="1"/>
  <c r="O309" i="4"/>
  <c r="Q309" i="4" s="1"/>
  <c r="O293" i="4"/>
  <c r="Q293" i="4" s="1"/>
  <c r="O277" i="4"/>
  <c r="Q277" i="4" s="1"/>
  <c r="O261" i="4"/>
  <c r="Q261" i="4" s="1"/>
  <c r="O245" i="4"/>
  <c r="Q245" i="4" s="1"/>
  <c r="O229" i="4"/>
  <c r="Q229" i="4" s="1"/>
  <c r="O213" i="4"/>
  <c r="Q213" i="4" s="1"/>
  <c r="O197" i="4"/>
  <c r="Q197" i="4" s="1"/>
  <c r="O181" i="4"/>
  <c r="Q181" i="4" s="1"/>
  <c r="O165" i="4"/>
  <c r="Q165" i="4" s="1"/>
  <c r="O149" i="4"/>
  <c r="Q149" i="4" s="1"/>
  <c r="O133" i="4"/>
  <c r="Q133" i="4" s="1"/>
  <c r="O117" i="4"/>
  <c r="Q117" i="4" s="1"/>
  <c r="O101" i="4"/>
  <c r="Q101" i="4" s="1"/>
  <c r="O85" i="4"/>
  <c r="Q85" i="4" s="1"/>
  <c r="O69" i="4"/>
  <c r="Q69" i="4" s="1"/>
  <c r="O53" i="4"/>
  <c r="Q53" i="4" s="1"/>
  <c r="O37" i="4"/>
  <c r="Q37" i="4" s="1"/>
  <c r="O21" i="4"/>
  <c r="Q21" i="4" s="1"/>
  <c r="S8" i="1"/>
  <c r="T8" i="1" s="1"/>
  <c r="U8" i="1" s="1"/>
  <c r="P1385" i="4"/>
  <c r="R1385" i="4" s="1"/>
  <c r="P1129" i="4"/>
  <c r="R1129" i="4" s="1"/>
  <c r="P873" i="4"/>
  <c r="R873" i="4" s="1"/>
  <c r="P541" i="4"/>
  <c r="R541" i="4" s="1"/>
  <c r="P1369" i="4"/>
  <c r="R1369" i="4" s="1"/>
  <c r="P1113" i="4"/>
  <c r="R1113" i="4" s="1"/>
  <c r="P857" i="4"/>
  <c r="R857" i="4" s="1"/>
  <c r="P509" i="4"/>
  <c r="R509" i="4" s="1"/>
  <c r="P1417" i="4"/>
  <c r="R1417" i="4" s="1"/>
  <c r="P1161" i="4"/>
  <c r="R1161" i="4" s="1"/>
  <c r="P905" i="4"/>
  <c r="R905" i="4" s="1"/>
  <c r="P605" i="4"/>
  <c r="R605" i="4" s="1"/>
  <c r="P1529" i="4"/>
  <c r="R1529" i="4" s="1"/>
  <c r="P1273" i="4"/>
  <c r="R1273" i="4" s="1"/>
  <c r="P1017" i="4"/>
  <c r="R1017" i="4" s="1"/>
  <c r="P761" i="4"/>
  <c r="R761" i="4" s="1"/>
  <c r="P194" i="4"/>
  <c r="R194" i="4" s="1"/>
  <c r="P1480" i="4"/>
  <c r="R1480" i="4" s="1"/>
  <c r="P1416" i="4"/>
  <c r="R1416" i="4" s="1"/>
  <c r="P1352" i="4"/>
  <c r="R1352" i="4" s="1"/>
  <c r="P1288" i="4"/>
  <c r="R1288" i="4" s="1"/>
  <c r="P1224" i="4"/>
  <c r="R1224" i="4" s="1"/>
  <c r="P1160" i="4"/>
  <c r="R1160" i="4" s="1"/>
  <c r="P1096" i="4"/>
  <c r="R1096" i="4" s="1"/>
  <c r="P1032" i="4"/>
  <c r="R1032" i="4" s="1"/>
  <c r="P968" i="4"/>
  <c r="R968" i="4" s="1"/>
  <c r="P904" i="4"/>
  <c r="R904" i="4" s="1"/>
  <c r="P840" i="4"/>
  <c r="R840" i="4" s="1"/>
  <c r="P776" i="4"/>
  <c r="R776" i="4" s="1"/>
  <c r="P712" i="4"/>
  <c r="R712" i="4" s="1"/>
  <c r="P601" i="4"/>
  <c r="R601" i="4" s="1"/>
  <c r="P473" i="4"/>
  <c r="R473" i="4" s="1"/>
  <c r="P250" i="4"/>
  <c r="R250" i="4" s="1"/>
  <c r="P1537" i="4"/>
  <c r="R1537" i="4" s="1"/>
  <c r="P1473" i="4"/>
  <c r="R1473" i="4" s="1"/>
  <c r="P1409" i="4"/>
  <c r="R1409" i="4" s="1"/>
  <c r="P1345" i="4"/>
  <c r="R1345" i="4" s="1"/>
  <c r="P1281" i="4"/>
  <c r="R1281" i="4" s="1"/>
  <c r="P1217" i="4"/>
  <c r="R1217" i="4" s="1"/>
  <c r="P1153" i="4"/>
  <c r="R1153" i="4" s="1"/>
  <c r="P1089" i="4"/>
  <c r="R1089" i="4" s="1"/>
  <c r="P1025" i="4"/>
  <c r="R1025" i="4" s="1"/>
  <c r="P961" i="4"/>
  <c r="R961" i="4" s="1"/>
  <c r="P897" i="4"/>
  <c r="R897" i="4" s="1"/>
  <c r="P833" i="4"/>
  <c r="R833" i="4" s="1"/>
  <c r="P769" i="4"/>
  <c r="R769" i="4" s="1"/>
  <c r="P705" i="4"/>
  <c r="R705" i="4" s="1"/>
  <c r="P589" i="4"/>
  <c r="R589" i="4" s="1"/>
  <c r="P461" i="4"/>
  <c r="R461" i="4" s="1"/>
  <c r="P226" i="4"/>
  <c r="R226" i="4" s="1"/>
  <c r="P1536" i="4"/>
  <c r="R1536" i="4" s="1"/>
  <c r="P1472" i="4"/>
  <c r="R1472" i="4" s="1"/>
  <c r="P1408" i="4"/>
  <c r="R1408" i="4" s="1"/>
  <c r="P1344" i="4"/>
  <c r="R1344" i="4" s="1"/>
  <c r="P1280" i="4"/>
  <c r="R1280" i="4" s="1"/>
  <c r="P1216" i="4"/>
  <c r="R1216" i="4" s="1"/>
  <c r="P1152" i="4"/>
  <c r="R1152" i="4" s="1"/>
  <c r="P1088" i="4"/>
  <c r="R1088" i="4" s="1"/>
  <c r="P1024" i="4"/>
  <c r="R1024" i="4" s="1"/>
  <c r="P960" i="4"/>
  <c r="R960" i="4" s="1"/>
  <c r="P896" i="4"/>
  <c r="R896" i="4" s="1"/>
  <c r="P832" i="4"/>
  <c r="R832" i="4" s="1"/>
  <c r="P768" i="4"/>
  <c r="R768" i="4" s="1"/>
  <c r="P704" i="4"/>
  <c r="R704" i="4" s="1"/>
  <c r="P585" i="4"/>
  <c r="R585" i="4" s="1"/>
  <c r="P457" i="4"/>
  <c r="R457" i="4" s="1"/>
  <c r="P218" i="4"/>
  <c r="R218" i="4" s="1"/>
  <c r="P1541" i="4"/>
  <c r="R1541" i="4" s="1"/>
  <c r="P1509" i="4"/>
  <c r="R1509" i="4" s="1"/>
  <c r="P1477" i="4"/>
  <c r="R1477" i="4" s="1"/>
  <c r="P1445" i="4"/>
  <c r="R1445" i="4" s="1"/>
  <c r="P1413" i="4"/>
  <c r="R1413" i="4" s="1"/>
  <c r="P1381" i="4"/>
  <c r="R1381" i="4" s="1"/>
  <c r="P1349" i="4"/>
  <c r="R1349" i="4" s="1"/>
  <c r="P1317" i="4"/>
  <c r="R1317" i="4" s="1"/>
  <c r="P1285" i="4"/>
  <c r="R1285" i="4" s="1"/>
  <c r="P1253" i="4"/>
  <c r="R1253" i="4" s="1"/>
  <c r="P1221" i="4"/>
  <c r="R1221" i="4" s="1"/>
  <c r="P1189" i="4"/>
  <c r="R1189" i="4" s="1"/>
  <c r="P1157" i="4"/>
  <c r="R1157" i="4" s="1"/>
  <c r="P1125" i="4"/>
  <c r="R1125" i="4" s="1"/>
  <c r="P1093" i="4"/>
  <c r="R1093" i="4" s="1"/>
  <c r="P1061" i="4"/>
  <c r="R1061" i="4" s="1"/>
  <c r="P1029" i="4"/>
  <c r="R1029" i="4" s="1"/>
  <c r="P997" i="4"/>
  <c r="R997" i="4" s="1"/>
  <c r="P965" i="4"/>
  <c r="R965" i="4" s="1"/>
  <c r="P933" i="4"/>
  <c r="R933" i="4" s="1"/>
  <c r="P901" i="4"/>
  <c r="R901" i="4" s="1"/>
  <c r="P869" i="4"/>
  <c r="R869" i="4" s="1"/>
  <c r="P837" i="4"/>
  <c r="R837" i="4" s="1"/>
  <c r="P805" i="4"/>
  <c r="R805" i="4" s="1"/>
  <c r="P773" i="4"/>
  <c r="R773" i="4" s="1"/>
  <c r="P741" i="4"/>
  <c r="R741" i="4" s="1"/>
  <c r="P709" i="4"/>
  <c r="R709" i="4" s="1"/>
  <c r="P661" i="4"/>
  <c r="R661" i="4" s="1"/>
  <c r="P597" i="4"/>
  <c r="R597" i="4" s="1"/>
  <c r="P533" i="4"/>
  <c r="R533" i="4" s="1"/>
  <c r="P469" i="4"/>
  <c r="R469" i="4" s="1"/>
  <c r="P370" i="4"/>
  <c r="R370" i="4" s="1"/>
  <c r="P242" i="4"/>
  <c r="R242" i="4" s="1"/>
  <c r="P114" i="4"/>
  <c r="R114" i="4" s="1"/>
  <c r="P1540" i="4"/>
  <c r="R1540" i="4" s="1"/>
  <c r="P1508" i="4"/>
  <c r="R1508" i="4" s="1"/>
  <c r="P1476" i="4"/>
  <c r="R1476" i="4" s="1"/>
  <c r="P1444" i="4"/>
  <c r="R1444" i="4" s="1"/>
  <c r="P1412" i="4"/>
  <c r="R1412" i="4" s="1"/>
  <c r="P1380" i="4"/>
  <c r="R1380" i="4" s="1"/>
  <c r="P1348" i="4"/>
  <c r="R1348" i="4" s="1"/>
  <c r="P1316" i="4"/>
  <c r="R1316" i="4" s="1"/>
  <c r="P1284" i="4"/>
  <c r="R1284" i="4" s="1"/>
  <c r="P1252" i="4"/>
  <c r="R1252" i="4" s="1"/>
  <c r="P1220" i="4"/>
  <c r="R1220" i="4" s="1"/>
  <c r="P1188" i="4"/>
  <c r="R1188" i="4" s="1"/>
  <c r="P1156" i="4"/>
  <c r="R1156" i="4" s="1"/>
  <c r="P1124" i="4"/>
  <c r="R1124" i="4" s="1"/>
  <c r="P1092" i="4"/>
  <c r="R1092" i="4" s="1"/>
  <c r="P1060" i="4"/>
  <c r="R1060" i="4" s="1"/>
  <c r="P1028" i="4"/>
  <c r="R1028" i="4" s="1"/>
  <c r="P996" i="4"/>
  <c r="R996" i="4" s="1"/>
  <c r="P964" i="4"/>
  <c r="R964" i="4" s="1"/>
  <c r="P932" i="4"/>
  <c r="R932" i="4" s="1"/>
  <c r="P900" i="4"/>
  <c r="R900" i="4" s="1"/>
  <c r="P868" i="4"/>
  <c r="R868" i="4" s="1"/>
  <c r="P836" i="4"/>
  <c r="R836" i="4" s="1"/>
  <c r="P804" i="4"/>
  <c r="R804" i="4" s="1"/>
  <c r="P772" i="4"/>
  <c r="R772" i="4" s="1"/>
  <c r="P740" i="4"/>
  <c r="R740" i="4" s="1"/>
  <c r="P708" i="4"/>
  <c r="R708" i="4" s="1"/>
  <c r="P657" i="4"/>
  <c r="R657" i="4" s="1"/>
  <c r="P593" i="4"/>
  <c r="R593" i="4" s="1"/>
  <c r="P529" i="4"/>
  <c r="R529" i="4" s="1"/>
  <c r="P465" i="4"/>
  <c r="R465" i="4" s="1"/>
  <c r="P362" i="4"/>
  <c r="R362" i="4" s="1"/>
  <c r="P234" i="4"/>
  <c r="R234" i="4" s="1"/>
  <c r="P106" i="4"/>
  <c r="R106" i="4" s="1"/>
  <c r="P692" i="4"/>
  <c r="R692" i="4" s="1"/>
  <c r="P676" i="4"/>
  <c r="R676" i="4" s="1"/>
  <c r="P660" i="4"/>
  <c r="R660" i="4" s="1"/>
  <c r="P644" i="4"/>
  <c r="R644" i="4" s="1"/>
  <c r="P628" i="4"/>
  <c r="R628" i="4" s="1"/>
  <c r="P612" i="4"/>
  <c r="R612" i="4" s="1"/>
  <c r="P596" i="4"/>
  <c r="R596" i="4" s="1"/>
  <c r="P580" i="4"/>
  <c r="R580" i="4" s="1"/>
  <c r="P564" i="4"/>
  <c r="R564" i="4" s="1"/>
  <c r="P548" i="4"/>
  <c r="R548" i="4" s="1"/>
  <c r="P532" i="4"/>
  <c r="R532" i="4" s="1"/>
  <c r="P516" i="4"/>
  <c r="R516" i="4" s="1"/>
  <c r="P500" i="4"/>
  <c r="R500" i="4" s="1"/>
  <c r="P484" i="4"/>
  <c r="R484" i="4" s="1"/>
  <c r="P468" i="4"/>
  <c r="R468" i="4" s="1"/>
  <c r="P452" i="4"/>
  <c r="R452" i="4" s="1"/>
  <c r="P431" i="4"/>
  <c r="R431" i="4" s="1"/>
  <c r="P399" i="4"/>
  <c r="R399" i="4" s="1"/>
  <c r="P367" i="4"/>
  <c r="R367" i="4" s="1"/>
  <c r="P335" i="4"/>
  <c r="R335" i="4" s="1"/>
  <c r="P303" i="4"/>
  <c r="R303" i="4" s="1"/>
  <c r="P271" i="4"/>
  <c r="R271" i="4" s="1"/>
  <c r="P239" i="4"/>
  <c r="R239" i="4" s="1"/>
  <c r="P207" i="4"/>
  <c r="R207" i="4" s="1"/>
  <c r="P175" i="4"/>
  <c r="R175" i="4" s="1"/>
  <c r="P143" i="4"/>
  <c r="R143" i="4" s="1"/>
  <c r="P111" i="4"/>
  <c r="R111" i="4" s="1"/>
  <c r="P79" i="4"/>
  <c r="R79" i="4" s="1"/>
  <c r="P47" i="4"/>
  <c r="R47" i="4" s="1"/>
  <c r="P15" i="4"/>
  <c r="R15" i="4" s="1"/>
  <c r="P1527" i="4"/>
  <c r="R1527" i="4" s="1"/>
  <c r="P1511" i="4"/>
  <c r="R1511" i="4" s="1"/>
  <c r="P1495" i="4"/>
  <c r="R1495" i="4" s="1"/>
  <c r="P1479" i="4"/>
  <c r="R1479" i="4" s="1"/>
  <c r="P1463" i="4"/>
  <c r="R1463" i="4" s="1"/>
  <c r="P1447" i="4"/>
  <c r="R1447" i="4" s="1"/>
  <c r="P1431" i="4"/>
  <c r="R1431" i="4" s="1"/>
  <c r="P1415" i="4"/>
  <c r="R1415" i="4" s="1"/>
  <c r="P1399" i="4"/>
  <c r="R1399" i="4" s="1"/>
  <c r="P1383" i="4"/>
  <c r="R1383" i="4" s="1"/>
  <c r="P1367" i="4"/>
  <c r="R1367" i="4" s="1"/>
  <c r="P1351" i="4"/>
  <c r="R1351" i="4" s="1"/>
  <c r="P1335" i="4"/>
  <c r="R1335" i="4" s="1"/>
  <c r="P1319" i="4"/>
  <c r="R1319" i="4" s="1"/>
  <c r="P1303" i="4"/>
  <c r="R1303" i="4" s="1"/>
  <c r="P1287" i="4"/>
  <c r="R1287" i="4" s="1"/>
  <c r="P1271" i="4"/>
  <c r="R1271" i="4" s="1"/>
  <c r="P1255" i="4"/>
  <c r="R1255" i="4" s="1"/>
  <c r="P1239" i="4"/>
  <c r="R1239" i="4" s="1"/>
  <c r="P1223" i="4"/>
  <c r="R1223" i="4" s="1"/>
  <c r="P1207" i="4"/>
  <c r="R1207" i="4" s="1"/>
  <c r="P1191" i="4"/>
  <c r="R1191" i="4" s="1"/>
  <c r="P1175" i="4"/>
  <c r="R1175" i="4" s="1"/>
  <c r="P1159" i="4"/>
  <c r="R1159" i="4" s="1"/>
  <c r="P1143" i="4"/>
  <c r="R1143" i="4" s="1"/>
  <c r="P1127" i="4"/>
  <c r="R1127" i="4" s="1"/>
  <c r="P1111" i="4"/>
  <c r="R1111" i="4" s="1"/>
  <c r="P1095" i="4"/>
  <c r="R1095" i="4" s="1"/>
  <c r="P1079" i="4"/>
  <c r="R1079" i="4" s="1"/>
  <c r="P1063" i="4"/>
  <c r="R1063" i="4" s="1"/>
  <c r="P1047" i="4"/>
  <c r="R1047" i="4" s="1"/>
  <c r="P1031" i="4"/>
  <c r="R1031" i="4" s="1"/>
  <c r="P1015" i="4"/>
  <c r="R1015" i="4" s="1"/>
  <c r="P999" i="4"/>
  <c r="R999" i="4" s="1"/>
  <c r="P983" i="4"/>
  <c r="R983" i="4" s="1"/>
  <c r="P967" i="4"/>
  <c r="R967" i="4" s="1"/>
  <c r="P951" i="4"/>
  <c r="R951" i="4" s="1"/>
  <c r="P935" i="4"/>
  <c r="R935" i="4" s="1"/>
  <c r="P919" i="4"/>
  <c r="R919" i="4" s="1"/>
  <c r="P903" i="4"/>
  <c r="R903" i="4" s="1"/>
  <c r="P887" i="4"/>
  <c r="R887" i="4" s="1"/>
  <c r="P871" i="4"/>
  <c r="R871" i="4" s="1"/>
  <c r="P855" i="4"/>
  <c r="R855" i="4" s="1"/>
  <c r="P839" i="4"/>
  <c r="R839" i="4" s="1"/>
  <c r="P823" i="4"/>
  <c r="R823" i="4" s="1"/>
  <c r="P807" i="4"/>
  <c r="R807" i="4" s="1"/>
  <c r="P791" i="4"/>
  <c r="R791" i="4" s="1"/>
  <c r="P775" i="4"/>
  <c r="R775" i="4" s="1"/>
  <c r="P759" i="4"/>
  <c r="R759" i="4" s="1"/>
  <c r="P743" i="4"/>
  <c r="R743" i="4" s="1"/>
  <c r="P727" i="4"/>
  <c r="R727" i="4" s="1"/>
  <c r="P711" i="4"/>
  <c r="R711" i="4" s="1"/>
  <c r="P695" i="4"/>
  <c r="R695" i="4" s="1"/>
  <c r="P679" i="4"/>
  <c r="R679" i="4" s="1"/>
  <c r="P663" i="4"/>
  <c r="R663" i="4" s="1"/>
  <c r="P647" i="4"/>
  <c r="R647" i="4" s="1"/>
  <c r="P631" i="4"/>
  <c r="R631" i="4" s="1"/>
  <c r="P615" i="4"/>
  <c r="R615" i="4" s="1"/>
  <c r="P599" i="4"/>
  <c r="R599" i="4" s="1"/>
  <c r="P583" i="4"/>
  <c r="R583" i="4" s="1"/>
  <c r="P567" i="4"/>
  <c r="R567" i="4" s="1"/>
  <c r="P551" i="4"/>
  <c r="R551" i="4" s="1"/>
  <c r="P535" i="4"/>
  <c r="R535" i="4" s="1"/>
  <c r="P519" i="4"/>
  <c r="R519" i="4" s="1"/>
  <c r="P503" i="4"/>
  <c r="R503" i="4" s="1"/>
  <c r="P487" i="4"/>
  <c r="R487" i="4" s="1"/>
  <c r="P471" i="4"/>
  <c r="R471" i="4" s="1"/>
  <c r="P455" i="4"/>
  <c r="R455" i="4" s="1"/>
  <c r="P438" i="4"/>
  <c r="R438" i="4" s="1"/>
  <c r="P406" i="4"/>
  <c r="R406" i="4" s="1"/>
  <c r="P374" i="4"/>
  <c r="R374" i="4" s="1"/>
  <c r="P342" i="4"/>
  <c r="R342" i="4" s="1"/>
  <c r="P310" i="4"/>
  <c r="R310" i="4" s="1"/>
  <c r="P278" i="4"/>
  <c r="R278" i="4" s="1"/>
  <c r="P246" i="4"/>
  <c r="R246" i="4" s="1"/>
  <c r="P214" i="4"/>
  <c r="R214" i="4" s="1"/>
  <c r="P182" i="4"/>
  <c r="R182" i="4" s="1"/>
  <c r="P150" i="4"/>
  <c r="R150" i="4" s="1"/>
  <c r="P118" i="4"/>
  <c r="R118" i="4" s="1"/>
  <c r="P86" i="4"/>
  <c r="R86" i="4" s="1"/>
  <c r="P54" i="4"/>
  <c r="R54" i="4" s="1"/>
  <c r="P22" i="4"/>
  <c r="R22" i="4" s="1"/>
  <c r="P1534" i="4"/>
  <c r="R1534" i="4" s="1"/>
  <c r="P1518" i="4"/>
  <c r="R1518" i="4" s="1"/>
  <c r="P1502" i="4"/>
  <c r="R1502" i="4" s="1"/>
  <c r="P1486" i="4"/>
  <c r="R1486" i="4" s="1"/>
  <c r="P1470" i="4"/>
  <c r="R1470" i="4" s="1"/>
  <c r="P1454" i="4"/>
  <c r="R1454" i="4" s="1"/>
  <c r="P1438" i="4"/>
  <c r="R1438" i="4" s="1"/>
  <c r="P1422" i="4"/>
  <c r="R1422" i="4" s="1"/>
  <c r="P1406" i="4"/>
  <c r="R1406" i="4" s="1"/>
  <c r="P1390" i="4"/>
  <c r="R1390" i="4" s="1"/>
  <c r="P1374" i="4"/>
  <c r="R1374" i="4" s="1"/>
  <c r="P1358" i="4"/>
  <c r="R1358" i="4" s="1"/>
  <c r="P1342" i="4"/>
  <c r="R1342" i="4" s="1"/>
  <c r="P1326" i="4"/>
  <c r="R1326" i="4" s="1"/>
  <c r="P1310" i="4"/>
  <c r="R1310" i="4" s="1"/>
  <c r="P1294" i="4"/>
  <c r="R1294" i="4" s="1"/>
  <c r="P1278" i="4"/>
  <c r="R1278" i="4" s="1"/>
  <c r="P1262" i="4"/>
  <c r="R1262" i="4" s="1"/>
  <c r="P1246" i="4"/>
  <c r="R1246" i="4" s="1"/>
  <c r="P1230" i="4"/>
  <c r="R1230" i="4" s="1"/>
  <c r="P1214" i="4"/>
  <c r="R1214" i="4" s="1"/>
  <c r="P1198" i="4"/>
  <c r="R1198" i="4" s="1"/>
  <c r="P1182" i="4"/>
  <c r="R1182" i="4" s="1"/>
  <c r="P1166" i="4"/>
  <c r="R1166" i="4" s="1"/>
  <c r="P1150" i="4"/>
  <c r="R1150" i="4" s="1"/>
  <c r="P1134" i="4"/>
  <c r="R1134" i="4" s="1"/>
  <c r="P1118" i="4"/>
  <c r="R1118" i="4" s="1"/>
  <c r="P1102" i="4"/>
  <c r="R1102" i="4" s="1"/>
  <c r="P1086" i="4"/>
  <c r="R1086" i="4" s="1"/>
  <c r="P1070" i="4"/>
  <c r="R1070" i="4" s="1"/>
  <c r="P1054" i="4"/>
  <c r="R1054" i="4" s="1"/>
  <c r="P1038" i="4"/>
  <c r="R1038" i="4" s="1"/>
  <c r="P1022" i="4"/>
  <c r="R1022" i="4" s="1"/>
  <c r="P1006" i="4"/>
  <c r="R1006" i="4" s="1"/>
  <c r="P990" i="4"/>
  <c r="R990" i="4" s="1"/>
  <c r="P974" i="4"/>
  <c r="R974" i="4" s="1"/>
  <c r="P958" i="4"/>
  <c r="R958" i="4" s="1"/>
  <c r="P942" i="4"/>
  <c r="R942" i="4" s="1"/>
  <c r="P926" i="4"/>
  <c r="R926" i="4" s="1"/>
  <c r="P910" i="4"/>
  <c r="R910" i="4" s="1"/>
  <c r="P894" i="4"/>
  <c r="R894" i="4" s="1"/>
  <c r="P878" i="4"/>
  <c r="R878" i="4" s="1"/>
  <c r="P862" i="4"/>
  <c r="R862" i="4" s="1"/>
  <c r="P846" i="4"/>
  <c r="R846" i="4" s="1"/>
  <c r="P830" i="4"/>
  <c r="R830" i="4" s="1"/>
  <c r="P814" i="4"/>
  <c r="R814" i="4" s="1"/>
  <c r="P798" i="4"/>
  <c r="R798" i="4" s="1"/>
  <c r="P782" i="4"/>
  <c r="R782" i="4" s="1"/>
  <c r="P766" i="4"/>
  <c r="R766" i="4" s="1"/>
  <c r="P750" i="4"/>
  <c r="R750" i="4" s="1"/>
  <c r="P734" i="4"/>
  <c r="R734" i="4" s="1"/>
  <c r="P718" i="4"/>
  <c r="R718" i="4" s="1"/>
  <c r="P702" i="4"/>
  <c r="R702" i="4" s="1"/>
  <c r="P686" i="4"/>
  <c r="R686" i="4" s="1"/>
  <c r="P670" i="4"/>
  <c r="R670" i="4" s="1"/>
  <c r="P654" i="4"/>
  <c r="R654" i="4" s="1"/>
  <c r="P638" i="4"/>
  <c r="R638" i="4" s="1"/>
  <c r="P622" i="4"/>
  <c r="R622" i="4" s="1"/>
  <c r="P606" i="4"/>
  <c r="R606" i="4" s="1"/>
  <c r="P590" i="4"/>
  <c r="R590" i="4" s="1"/>
  <c r="P574" i="4"/>
  <c r="R574" i="4" s="1"/>
  <c r="P558" i="4"/>
  <c r="R558" i="4" s="1"/>
  <c r="P542" i="4"/>
  <c r="R542" i="4" s="1"/>
  <c r="P526" i="4"/>
  <c r="R526" i="4" s="1"/>
  <c r="P510" i="4"/>
  <c r="R510" i="4" s="1"/>
  <c r="P494" i="4"/>
  <c r="R494" i="4" s="1"/>
  <c r="P478" i="4"/>
  <c r="R478" i="4" s="1"/>
  <c r="P462" i="4"/>
  <c r="R462" i="4" s="1"/>
  <c r="P446" i="4"/>
  <c r="R446" i="4" s="1"/>
  <c r="P419" i="4"/>
  <c r="R419" i="4" s="1"/>
  <c r="P387" i="4"/>
  <c r="R387" i="4" s="1"/>
  <c r="P355" i="4"/>
  <c r="R355" i="4" s="1"/>
  <c r="P323" i="4"/>
  <c r="R323" i="4" s="1"/>
  <c r="P291" i="4"/>
  <c r="R291" i="4" s="1"/>
  <c r="P259" i="4"/>
  <c r="R259" i="4" s="1"/>
  <c r="P227" i="4"/>
  <c r="R227" i="4" s="1"/>
  <c r="P195" i="4"/>
  <c r="R195" i="4" s="1"/>
  <c r="P163" i="4"/>
  <c r="R163" i="4" s="1"/>
  <c r="P131" i="4"/>
  <c r="R131" i="4" s="1"/>
  <c r="P99" i="4"/>
  <c r="R99" i="4" s="1"/>
  <c r="P67" i="4"/>
  <c r="R67" i="4" s="1"/>
  <c r="P35" i="4"/>
  <c r="R35" i="4" s="1"/>
  <c r="P437" i="4"/>
  <c r="R437" i="4" s="1"/>
  <c r="P421" i="4"/>
  <c r="R421" i="4" s="1"/>
  <c r="P405" i="4"/>
  <c r="R405" i="4" s="1"/>
  <c r="P389" i="4"/>
  <c r="R389" i="4" s="1"/>
  <c r="P373" i="4"/>
  <c r="R373" i="4" s="1"/>
  <c r="P357" i="4"/>
  <c r="R357" i="4" s="1"/>
  <c r="P341" i="4"/>
  <c r="R341" i="4" s="1"/>
  <c r="P325" i="4"/>
  <c r="R325" i="4" s="1"/>
  <c r="P309" i="4"/>
  <c r="R309" i="4" s="1"/>
  <c r="P293" i="4"/>
  <c r="R293" i="4" s="1"/>
  <c r="P277" i="4"/>
  <c r="R277" i="4" s="1"/>
  <c r="P261" i="4"/>
  <c r="R261" i="4" s="1"/>
  <c r="P245" i="4"/>
  <c r="R245" i="4" s="1"/>
  <c r="P229" i="4"/>
  <c r="R229" i="4" s="1"/>
  <c r="P213" i="4"/>
  <c r="R213" i="4" s="1"/>
  <c r="P197" i="4"/>
  <c r="R197" i="4" s="1"/>
  <c r="P181" i="4"/>
  <c r="R181" i="4" s="1"/>
  <c r="P165" i="4"/>
  <c r="R165" i="4" s="1"/>
  <c r="P149" i="4"/>
  <c r="R149" i="4" s="1"/>
  <c r="P133" i="4"/>
  <c r="R133" i="4" s="1"/>
  <c r="P117" i="4"/>
  <c r="R117" i="4" s="1"/>
  <c r="P101" i="4"/>
  <c r="R101" i="4" s="1"/>
  <c r="P85" i="4"/>
  <c r="R85" i="4" s="1"/>
  <c r="P69" i="4"/>
  <c r="R69" i="4" s="1"/>
  <c r="P53" i="4"/>
  <c r="R53" i="4" s="1"/>
  <c r="P37" i="4"/>
  <c r="R37" i="4" s="1"/>
  <c r="P21" i="4"/>
  <c r="R21" i="4" s="1"/>
  <c r="P440" i="4"/>
  <c r="R440" i="4" s="1"/>
  <c r="P424" i="4"/>
  <c r="R424" i="4" s="1"/>
  <c r="P408" i="4"/>
  <c r="R408" i="4" s="1"/>
  <c r="P392" i="4"/>
  <c r="R392" i="4" s="1"/>
  <c r="P376" i="4"/>
  <c r="R376" i="4" s="1"/>
  <c r="P360" i="4"/>
  <c r="R360" i="4" s="1"/>
  <c r="P344" i="4"/>
  <c r="R344" i="4" s="1"/>
  <c r="P328" i="4"/>
  <c r="R328" i="4" s="1"/>
  <c r="P312" i="4"/>
  <c r="R312" i="4" s="1"/>
  <c r="P296" i="4"/>
  <c r="R296" i="4" s="1"/>
  <c r="P280" i="4"/>
  <c r="R280" i="4" s="1"/>
  <c r="P264" i="4"/>
  <c r="R264" i="4" s="1"/>
  <c r="P248" i="4"/>
  <c r="R248" i="4" s="1"/>
  <c r="P232" i="4"/>
  <c r="R232" i="4" s="1"/>
  <c r="P216" i="4"/>
  <c r="R216" i="4" s="1"/>
  <c r="P200" i="4"/>
  <c r="R200" i="4" s="1"/>
  <c r="P184" i="4"/>
  <c r="R184" i="4" s="1"/>
  <c r="P168" i="4"/>
  <c r="R168" i="4" s="1"/>
  <c r="P152" i="4"/>
  <c r="R152" i="4" s="1"/>
  <c r="P136" i="4"/>
  <c r="R136" i="4" s="1"/>
  <c r="P120" i="4"/>
  <c r="R120" i="4" s="1"/>
  <c r="P104" i="4"/>
  <c r="R104" i="4" s="1"/>
  <c r="P88" i="4"/>
  <c r="R88" i="4" s="1"/>
  <c r="P72" i="4"/>
  <c r="R72" i="4" s="1"/>
  <c r="P56" i="4"/>
  <c r="R56" i="4" s="1"/>
  <c r="P40" i="4"/>
  <c r="R40" i="4" s="1"/>
  <c r="P24" i="4"/>
  <c r="R24" i="4" s="1"/>
  <c r="L1543" i="4"/>
  <c r="B16" i="2" s="1"/>
  <c r="B17" i="2" s="1"/>
  <c r="P6" i="4"/>
  <c r="R6" i="4" s="1"/>
  <c r="P7" i="4"/>
  <c r="R7" i="4" s="1"/>
  <c r="O5" i="4"/>
  <c r="Q5" i="4" s="1"/>
  <c r="O9" i="4"/>
  <c r="Q9" i="4" s="1"/>
  <c r="O8" i="4"/>
  <c r="Q8" i="4" s="1"/>
  <c r="P8" i="4"/>
  <c r="R8" i="4" s="1"/>
  <c r="P5" i="4"/>
  <c r="R5" i="4" s="1"/>
  <c r="O4" i="4"/>
  <c r="Q4" i="4" s="1"/>
  <c r="O7" i="4"/>
  <c r="Q7" i="4" s="1"/>
  <c r="B21" i="2" l="1"/>
  <c r="B23" i="2" s="1"/>
  <c r="B16" i="1"/>
  <c r="B20" i="1"/>
  <c r="B22" i="1" s="1"/>
  <c r="S9" i="1"/>
  <c r="T9" i="1" s="1"/>
  <c r="U9" i="1" s="1"/>
  <c r="C9" i="2"/>
  <c r="W9" i="2" s="1"/>
  <c r="C7" i="1"/>
  <c r="W7" i="1" s="1"/>
  <c r="C8" i="1"/>
  <c r="W8" i="1" s="1"/>
  <c r="C9" i="1"/>
  <c r="W9" i="1" s="1"/>
  <c r="C7" i="2"/>
  <c r="W7" i="2" s="1"/>
  <c r="C8" i="2"/>
  <c r="W8" i="2" s="1"/>
  <c r="B17" i="1" l="1"/>
  <c r="B18" i="1"/>
  <c r="C18" i="1" s="1"/>
  <c r="B18" i="2"/>
  <c r="B19" i="2"/>
  <c r="C19" i="2" s="1"/>
  <c r="C6" i="2"/>
  <c r="W6" i="2" s="1"/>
  <c r="C5" i="2"/>
  <c r="W5" i="2" s="1"/>
  <c r="C4" i="2"/>
  <c r="W4" i="2" s="1"/>
  <c r="C6" i="1"/>
  <c r="W6" i="1" s="1"/>
  <c r="C18" i="2" l="1"/>
  <c r="B20" i="2"/>
  <c r="C20" i="2" s="1"/>
  <c r="C17" i="1"/>
  <c r="B19" i="1"/>
  <c r="C19" i="1" s="1"/>
  <c r="C5" i="1"/>
  <c r="W5" i="1" s="1"/>
  <c r="C4" i="1"/>
  <c r="W4" i="1" s="1"/>
</calcChain>
</file>

<file path=xl/sharedStrings.xml><?xml version="1.0" encoding="utf-8"?>
<sst xmlns="http://schemas.openxmlformats.org/spreadsheetml/2006/main" count="209" uniqueCount="78">
  <si>
    <t>R1</t>
  </si>
  <si>
    <t>Temps (jours)</t>
  </si>
  <si>
    <t>C2</t>
  </si>
  <si>
    <t>C3</t>
  </si>
  <si>
    <t>IC4</t>
  </si>
  <si>
    <t>C4</t>
  </si>
  <si>
    <t>C5</t>
  </si>
  <si>
    <t>C6</t>
  </si>
  <si>
    <t>T0</t>
  </si>
  <si>
    <t>T1</t>
  </si>
  <si>
    <t>IC5</t>
  </si>
  <si>
    <t>Lactose</t>
  </si>
  <si>
    <t>Glucose</t>
  </si>
  <si>
    <t>Succinate</t>
  </si>
  <si>
    <t>Lactate</t>
  </si>
  <si>
    <t>Formate</t>
  </si>
  <si>
    <t>Butanol</t>
  </si>
  <si>
    <t>time/d</t>
  </si>
  <si>
    <t>time/s</t>
  </si>
  <si>
    <t>∆t/s</t>
  </si>
  <si>
    <t>&lt;R1&gt;/C</t>
  </si>
  <si>
    <t>&lt;R2&gt;/C</t>
  </si>
  <si>
    <t>&lt;R1&gt;/mol e-</t>
  </si>
  <si>
    <t>&lt;R2&gt;/mol e-</t>
  </si>
  <si>
    <t>R1 mmol e-</t>
  </si>
  <si>
    <t>R2 mmol e-</t>
  </si>
  <si>
    <t>Electrode surface</t>
  </si>
  <si>
    <t>m2</t>
  </si>
  <si>
    <t>Faraday constant</t>
  </si>
  <si>
    <t>C/mol e-</t>
  </si>
  <si>
    <t>Total cons g/l</t>
  </si>
  <si>
    <t>mM</t>
  </si>
  <si>
    <t>mmol</t>
  </si>
  <si>
    <t>mmole-eq</t>
  </si>
  <si>
    <t>mol H2</t>
  </si>
  <si>
    <t>FaradayC/C/mole-</t>
  </si>
  <si>
    <t>total</t>
  </si>
  <si>
    <t xml:space="preserve">mmole- </t>
  </si>
  <si>
    <t>A*s (C)</t>
  </si>
  <si>
    <t>CE</t>
  </si>
  <si>
    <t>rCat</t>
  </si>
  <si>
    <t>rH2</t>
  </si>
  <si>
    <t>Vol H2 téorique</t>
  </si>
  <si>
    <t>Vol H2 real</t>
  </si>
  <si>
    <t>Inicial</t>
  </si>
  <si>
    <t>Final</t>
  </si>
  <si>
    <t>%unconsumed electrons</t>
  </si>
  <si>
    <t>% consummed</t>
  </si>
  <si>
    <t>ButOH</t>
  </si>
  <si>
    <t>EtOH</t>
  </si>
  <si>
    <t>R2</t>
  </si>
  <si>
    <t>%</t>
  </si>
  <si>
    <t>Time (days)</t>
  </si>
  <si>
    <t>H2 real (R2)</t>
  </si>
  <si>
    <t>H2 theorical (R2)</t>
  </si>
  <si>
    <t>Ewe/V</t>
  </si>
  <si>
    <t>Electron equivalents</t>
  </si>
  <si>
    <t>Hydrogen (L)</t>
  </si>
  <si>
    <t>R2 metabolites g/l</t>
  </si>
  <si>
    <t>MEC 2 performance</t>
  </si>
  <si>
    <t>R2 metabolites in mM</t>
  </si>
  <si>
    <t>R2 metabolites in COD/L</t>
  </si>
  <si>
    <t xml:space="preserve">Somme </t>
  </si>
  <si>
    <t>BA1_C</t>
  </si>
  <si>
    <t>BA2_C</t>
  </si>
  <si>
    <t>&lt;--CV_beggining</t>
  </si>
  <si>
    <t>T2</t>
  </si>
  <si>
    <t>T3</t>
  </si>
  <si>
    <t>T4</t>
  </si>
  <si>
    <t>T5</t>
  </si>
  <si>
    <t>T6</t>
  </si>
  <si>
    <t>H2 real (R1)</t>
  </si>
  <si>
    <t>Accumulated Q</t>
  </si>
  <si>
    <t>Yields</t>
  </si>
  <si>
    <t>Somme</t>
  </si>
  <si>
    <t>H2 theorical R1)</t>
  </si>
  <si>
    <t>R1 metabolites in mM</t>
  </si>
  <si>
    <t>R1 metabolites in COD/L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</si>
</sst>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3" fillId="5" borderId="1" applyNumberFormat="0" applyAlignment="0" applyProtection="0"/>
    <xf numFmtId="0" fontId="4" fillId="6" borderId="2" applyNumberFormat="0" applyAlignment="0" applyProtection="0"/>
    <xf numFmtId="0" fontId="5" fillId="0" borderId="3" applyNumberFormat="0" applyFill="0" applyAlignment="0" applyProtection="0"/>
    <xf numFmtId="9" fontId="7" fillId="0" borderId="0" applyFont="0" applyFill="0" applyBorder="0" applyAlignment="0" applyProtection="0"/>
    <xf numFmtId="0" fontId="8" fillId="8" borderId="0" applyNumberFormat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4" borderId="0" xfId="0" applyFill="1"/>
    <xf numFmtId="0" fontId="1" fillId="4" borderId="0" xfId="0" applyFont="1" applyFill="1"/>
    <xf numFmtId="165" fontId="0" fillId="0" borderId="0" xfId="0" applyNumberFormat="1"/>
    <xf numFmtId="0" fontId="2" fillId="0" borderId="0" xfId="0" applyFont="1" applyAlignment="1">
      <alignment vertical="center" wrapText="1"/>
    </xf>
    <xf numFmtId="0" fontId="6" fillId="0" borderId="0" xfId="0" applyFont="1"/>
    <xf numFmtId="14" fontId="6" fillId="0" borderId="0" xfId="0" applyNumberFormat="1" applyFont="1"/>
    <xf numFmtId="0" fontId="4" fillId="6" borderId="2" xfId="2"/>
    <xf numFmtId="2" fontId="4" fillId="6" borderId="2" xfId="2" applyNumberFormat="1"/>
    <xf numFmtId="0" fontId="3" fillId="5" borderId="1" xfId="1"/>
    <xf numFmtId="2" fontId="3" fillId="5" borderId="1" xfId="1" applyNumberFormat="1"/>
    <xf numFmtId="0" fontId="5" fillId="0" borderId="3" xfId="3" applyFill="1"/>
    <xf numFmtId="2" fontId="5" fillId="0" borderId="3" xfId="3" applyNumberFormat="1" applyFill="1"/>
    <xf numFmtId="165" fontId="3" fillId="5" borderId="1" xfId="1" applyNumberFormat="1"/>
    <xf numFmtId="1" fontId="3" fillId="5" borderId="1" xfId="1" applyNumberFormat="1"/>
    <xf numFmtId="165" fontId="4" fillId="6" borderId="2" xfId="2" applyNumberFormat="1"/>
    <xf numFmtId="0" fontId="0" fillId="7" borderId="0" xfId="0" applyFill="1"/>
    <xf numFmtId="0" fontId="5" fillId="0" borderId="3" xfId="3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  <xf numFmtId="165" fontId="0" fillId="0" borderId="0" xfId="0" applyNumberFormat="1" applyFill="1"/>
    <xf numFmtId="0" fontId="1" fillId="0" borderId="0" xfId="0" applyFont="1" applyFill="1"/>
    <xf numFmtId="2" fontId="0" fillId="0" borderId="0" xfId="0" applyNumberFormat="1" applyFill="1" applyAlignment="1">
      <alignment horizontal="left"/>
    </xf>
    <xf numFmtId="0" fontId="2" fillId="0" borderId="0" xfId="0" applyFont="1" applyFill="1" applyAlignment="1">
      <alignment vertical="center" wrapText="1"/>
    </xf>
    <xf numFmtId="1" fontId="0" fillId="0" borderId="0" xfId="0" applyNumberFormat="1" applyFill="1"/>
    <xf numFmtId="166" fontId="0" fillId="0" borderId="0" xfId="0" applyNumberFormat="1" applyFill="1"/>
    <xf numFmtId="1" fontId="0" fillId="0" borderId="0" xfId="0" applyNumberFormat="1" applyFill="1" applyAlignment="1">
      <alignment horizontal="left"/>
    </xf>
    <xf numFmtId="166" fontId="0" fillId="0" borderId="0" xfId="0" applyNumberFormat="1" applyFill="1" applyAlignment="1">
      <alignment horizontal="left"/>
    </xf>
    <xf numFmtId="0" fontId="8" fillId="8" borderId="0" xfId="5"/>
    <xf numFmtId="165" fontId="8" fillId="8" borderId="0" xfId="5" applyNumberFormat="1"/>
    <xf numFmtId="0" fontId="0" fillId="0" borderId="0" xfId="0" applyAlignment="1"/>
    <xf numFmtId="9" fontId="5" fillId="0" borderId="3" xfId="4" applyFont="1" applyFill="1" applyBorder="1"/>
    <xf numFmtId="10" fontId="5" fillId="0" borderId="3" xfId="3" applyNumberFormat="1" applyFill="1"/>
    <xf numFmtId="0" fontId="0" fillId="10" borderId="0" xfId="0" applyFill="1"/>
    <xf numFmtId="2" fontId="3" fillId="5" borderId="1" xfId="1" applyNumberFormat="1" applyAlignment="1">
      <alignment horizontal="left"/>
    </xf>
    <xf numFmtId="165" fontId="3" fillId="5" borderId="1" xfId="1" applyNumberFormat="1" applyAlignment="1">
      <alignment horizontal="left"/>
    </xf>
    <xf numFmtId="164" fontId="0" fillId="0" borderId="0" xfId="0" applyNumberFormat="1" applyFill="1"/>
    <xf numFmtId="0" fontId="4" fillId="6" borderId="4" xfId="2" applyBorder="1" applyAlignment="1">
      <alignment horizontal="center"/>
    </xf>
    <xf numFmtId="0" fontId="4" fillId="6" borderId="5" xfId="2" applyBorder="1" applyAlignment="1">
      <alignment horizontal="center"/>
    </xf>
    <xf numFmtId="0" fontId="4" fillId="6" borderId="6" xfId="2" applyBorder="1" applyAlignment="1">
      <alignment horizontal="center"/>
    </xf>
    <xf numFmtId="0" fontId="0" fillId="0" borderId="0" xfId="0" applyFill="1" applyAlignment="1">
      <alignment horizontal="center"/>
    </xf>
    <xf numFmtId="0" fontId="5" fillId="9" borderId="3" xfId="3" applyFill="1" applyAlignment="1">
      <alignment horizontal="center"/>
    </xf>
    <xf numFmtId="0" fontId="4" fillId="6" borderId="2" xfId="2" applyAlignment="1">
      <alignment horizontal="center"/>
    </xf>
    <xf numFmtId="0" fontId="0" fillId="0" borderId="0" xfId="0" applyAlignment="1">
      <alignment horizontal="center"/>
    </xf>
  </cellXfs>
  <cellStyles count="6">
    <cellStyle name="Calcul" xfId="1" builtinId="22"/>
    <cellStyle name="Neutre" xfId="5" builtinId="28"/>
    <cellStyle name="Normal" xfId="0" builtinId="0"/>
    <cellStyle name="Pourcentage" xfId="4" builtinId="5"/>
    <cellStyle name="Total" xfId="3" builtinId="25"/>
    <cellStyle name="Vérificatio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85354407467882"/>
          <c:y val="4.8245614035087717E-2"/>
          <c:w val="0.81713973139474927"/>
          <c:h val="0.840336372427130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'R1'!$R$2</c:f>
              <c:strCache>
                <c:ptCount val="1"/>
                <c:pt idx="0">
                  <c:v>H2 real (R1)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'R1'!$C$3:$C$9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'R1'!$R$3:$R$9</c:f>
              <c:numCache>
                <c:formatCode>General</c:formatCode>
                <c:ptCount val="7"/>
                <c:pt idx="0">
                  <c:v>0</c:v>
                </c:pt>
                <c:pt idx="1">
                  <c:v>0.33251999999999998</c:v>
                </c:pt>
                <c:pt idx="2">
                  <c:v>0.74979999999999991</c:v>
                </c:pt>
                <c:pt idx="3">
                  <c:v>1.0823199999999999</c:v>
                </c:pt>
                <c:pt idx="4">
                  <c:v>1.76366</c:v>
                </c:pt>
                <c:pt idx="5">
                  <c:v>2.02772</c:v>
                </c:pt>
                <c:pt idx="6">
                  <c:v>2.0788899999999999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4D-404A-A479-11BCBE4B6186}"/>
            </c:ext>
          </c:extLst>
        </c:ser>
        <c:ser>
          <c:idx val="1"/>
          <c:order val="1"/>
          <c:tx>
            <c:strRef>
              <c:f>'R1'!$T$2</c:f>
              <c:strCache>
                <c:ptCount val="1"/>
                <c:pt idx="0">
                  <c:v>H2 theorical R1)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'R1'!$C$3:$C$9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'R1'!$T$3:$T$9</c:f>
              <c:numCache>
                <c:formatCode>General</c:formatCode>
                <c:ptCount val="7"/>
                <c:pt idx="0">
                  <c:v>0</c:v>
                </c:pt>
                <c:pt idx="1">
                  <c:v>0.43300997453842421</c:v>
                </c:pt>
                <c:pt idx="2">
                  <c:v>0.85664308385935928</c:v>
                </c:pt>
                <c:pt idx="3">
                  <c:v>1.2069091492280706</c:v>
                </c:pt>
                <c:pt idx="4">
                  <c:v>1.923264304461701</c:v>
                </c:pt>
                <c:pt idx="5">
                  <c:v>2.2654805319538061</c:v>
                </c:pt>
                <c:pt idx="6">
                  <c:v>2.3422225045888183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4D-404A-A479-11BCBE4B6186}"/>
            </c:ext>
          </c:extLst>
        </c:ser>
        <c:ser>
          <c:idx val="2"/>
          <c:order val="2"/>
          <c:tx>
            <c:strRef>
              <c:f>'R2'!$R$2</c:f>
              <c:strCache>
                <c:ptCount val="1"/>
                <c:pt idx="0">
                  <c:v>H2 real (R2)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'R2'!$C$3:$C$9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'R2'!$R$3:$R$9</c:f>
              <c:numCache>
                <c:formatCode>General</c:formatCode>
                <c:ptCount val="7"/>
                <c:pt idx="0">
                  <c:v>0</c:v>
                </c:pt>
                <c:pt idx="1">
                  <c:v>0.37629000000000001</c:v>
                </c:pt>
                <c:pt idx="2">
                  <c:v>0.79253999999999991</c:v>
                </c:pt>
                <c:pt idx="3">
                  <c:v>1.1588399999999999</c:v>
                </c:pt>
                <c:pt idx="4">
                  <c:v>1.9114200000000001</c:v>
                </c:pt>
                <c:pt idx="5">
                  <c:v>2.2077900000000001</c:v>
                </c:pt>
                <c:pt idx="6">
                  <c:v>2.2810300000000003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4D-404A-A479-11BCBE4B6186}"/>
            </c:ext>
          </c:extLst>
        </c:ser>
        <c:ser>
          <c:idx val="3"/>
          <c:order val="3"/>
          <c:tx>
            <c:strRef>
              <c:f>'R2'!$T$2</c:f>
              <c:strCache>
                <c:ptCount val="1"/>
                <c:pt idx="0">
                  <c:v>H2 theorical (R2)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'R2'!$C$3:$C$9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'R2'!$T$3:$T$9</c:f>
              <c:numCache>
                <c:formatCode>General</c:formatCode>
                <c:ptCount val="7"/>
                <c:pt idx="0">
                  <c:v>0</c:v>
                </c:pt>
                <c:pt idx="1">
                  <c:v>0.44595817836511947</c:v>
                </c:pt>
                <c:pt idx="2">
                  <c:v>0.88690883334354886</c:v>
                </c:pt>
                <c:pt idx="3">
                  <c:v>1.2764945702571069</c:v>
                </c:pt>
                <c:pt idx="4">
                  <c:v>2.0796864870027281</c:v>
                </c:pt>
                <c:pt idx="5">
                  <c:v>2.4439510944910361</c:v>
                </c:pt>
                <c:pt idx="6">
                  <c:v>2.5441892409324511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4D-404A-A479-11BCBE4B6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83775"/>
        <c:axId val="1043086687"/>
      </c:scatterChart>
      <c:valAx>
        <c:axId val="104308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3086687"/>
        <c:crosses val="autoZero"/>
        <c:crossBetween val="midCat"/>
      </c:valAx>
      <c:valAx>
        <c:axId val="10430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H2</a:t>
                </a:r>
                <a:r>
                  <a:rPr lang="fr-FR" baseline="0"/>
                  <a:t> (L)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308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859816095905124"/>
          <c:y val="0.47477966569968227"/>
          <c:w val="0.43857337301791227"/>
          <c:h val="0.29605470368835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'R1'!$X$2</c:f>
              <c:strCache>
                <c:ptCount val="1"/>
                <c:pt idx="0">
                  <c:v>EtOH</c:v>
                </c:pt>
              </c:strCache>
            </c:strRef>
          </c:tx>
          <c:spPr>
            <a:ln w="222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'R1'!$X$3:$X$9</c:f>
              <c:numCache>
                <c:formatCode>0.0</c:formatCode>
                <c:ptCount val="7"/>
                <c:pt idx="0">
                  <c:v>3.4782608695652177</c:v>
                </c:pt>
                <c:pt idx="1">
                  <c:v>3.4782608695652177</c:v>
                </c:pt>
                <c:pt idx="2">
                  <c:v>3.3695652173913042</c:v>
                </c:pt>
                <c:pt idx="3">
                  <c:v>3.2608695652173911</c:v>
                </c:pt>
                <c:pt idx="4">
                  <c:v>2.1739130434782608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8-406B-BA99-627E18381093}"/>
            </c:ext>
          </c:extLst>
        </c:ser>
        <c:ser>
          <c:idx val="1"/>
          <c:order val="1"/>
          <c:tx>
            <c:strRef>
              <c:f>'R1'!$Y$2</c:f>
              <c:strCache>
                <c:ptCount val="1"/>
                <c:pt idx="0">
                  <c:v>Succinate</c:v>
                </c:pt>
              </c:strCache>
            </c:strRef>
          </c:tx>
          <c:spPr>
            <a:ln w="222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'R1'!$Y$3:$Y$9</c:f>
              <c:numCache>
                <c:formatCode>0.0</c:formatCode>
                <c:ptCount val="7"/>
                <c:pt idx="0">
                  <c:v>9.3749117904423187</c:v>
                </c:pt>
                <c:pt idx="1">
                  <c:v>6.1033957151325264</c:v>
                </c:pt>
                <c:pt idx="2">
                  <c:v>3.107799136252011</c:v>
                </c:pt>
                <c:pt idx="3">
                  <c:v>0.11220255737149631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8-406B-BA99-627E18381093}"/>
            </c:ext>
          </c:extLst>
        </c:ser>
        <c:ser>
          <c:idx val="2"/>
          <c:order val="2"/>
          <c:tx>
            <c:strRef>
              <c:f>'R1'!$Z$2</c:f>
              <c:strCache>
                <c:ptCount val="1"/>
                <c:pt idx="0">
                  <c:v>Lactate</c:v>
                </c:pt>
              </c:strCache>
            </c:strRef>
          </c:tx>
          <c:spPr>
            <a:ln w="2222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'R1'!$Z$3:$Z$9</c:f>
              <c:numCache>
                <c:formatCode>0.0</c:formatCode>
                <c:ptCount val="7"/>
                <c:pt idx="0">
                  <c:v>2.1917839413398919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8-406B-BA99-627E18381093}"/>
            </c:ext>
          </c:extLst>
        </c:ser>
        <c:ser>
          <c:idx val="3"/>
          <c:order val="3"/>
          <c:tx>
            <c:strRef>
              <c:f>'R1'!$AA$2</c:f>
              <c:strCache>
                <c:ptCount val="1"/>
                <c:pt idx="0">
                  <c:v>Formate</c:v>
                </c:pt>
              </c:strCache>
            </c:strRef>
          </c:tx>
          <c:spPr>
            <a:ln w="2222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'R1'!$AA$3:$AA$9</c:f>
              <c:numCache>
                <c:formatCode>0.0</c:formatCode>
                <c:ptCount val="7"/>
                <c:pt idx="0">
                  <c:v>6.764679668220837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8-406B-BA99-627E18381093}"/>
            </c:ext>
          </c:extLst>
        </c:ser>
        <c:ser>
          <c:idx val="4"/>
          <c:order val="4"/>
          <c:tx>
            <c:strRef>
              <c:f>'R1'!$AB$2</c:f>
              <c:strCache>
                <c:ptCount val="1"/>
                <c:pt idx="0">
                  <c:v>C2</c:v>
                </c:pt>
              </c:strCache>
            </c:strRef>
          </c:tx>
          <c:spPr>
            <a:ln w="22225" cap="rnd">
              <a:solidFill>
                <a:schemeClr val="accent5">
                  <a:alpha val="5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'R1'!$AB$3:$AB$9</c:f>
              <c:numCache>
                <c:formatCode>0.0</c:formatCode>
                <c:ptCount val="7"/>
                <c:pt idx="0">
                  <c:v>20.999465811965813</c:v>
                </c:pt>
                <c:pt idx="1">
                  <c:v>20.866666666666664</c:v>
                </c:pt>
                <c:pt idx="2">
                  <c:v>16.383333333333333</c:v>
                </c:pt>
                <c:pt idx="3">
                  <c:v>10.5</c:v>
                </c:pt>
                <c:pt idx="4">
                  <c:v>2.0500000000000003</c:v>
                </c:pt>
                <c:pt idx="5">
                  <c:v>0.30208333333333337</c:v>
                </c:pt>
                <c:pt idx="6">
                  <c:v>0.30208333333333337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F8-406B-BA99-627E18381093}"/>
            </c:ext>
          </c:extLst>
        </c:ser>
        <c:ser>
          <c:idx val="5"/>
          <c:order val="5"/>
          <c:tx>
            <c:strRef>
              <c:f>'R1'!$AC$2</c:f>
              <c:strCache>
                <c:ptCount val="1"/>
                <c:pt idx="0">
                  <c:v>C3</c:v>
                </c:pt>
              </c:strCache>
            </c:strRef>
          </c:tx>
          <c:spPr>
            <a:ln w="22225" cap="rnd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'R1'!$AC$3:$AC$9</c:f>
              <c:numCache>
                <c:formatCode>0.0</c:formatCode>
                <c:ptCount val="7"/>
                <c:pt idx="0">
                  <c:v>4.731544553358809</c:v>
                </c:pt>
                <c:pt idx="1">
                  <c:v>7.9373650107991356</c:v>
                </c:pt>
                <c:pt idx="2">
                  <c:v>13.377429805615552</c:v>
                </c:pt>
                <c:pt idx="3">
                  <c:v>13.228941684665227</c:v>
                </c:pt>
                <c:pt idx="4">
                  <c:v>12.864470842332613</c:v>
                </c:pt>
                <c:pt idx="5">
                  <c:v>11.263161447084233</c:v>
                </c:pt>
                <c:pt idx="6">
                  <c:v>12.255332073434126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F8-406B-BA99-627E18381093}"/>
            </c:ext>
          </c:extLst>
        </c:ser>
        <c:ser>
          <c:idx val="6"/>
          <c:order val="6"/>
          <c:tx>
            <c:strRef>
              <c:f>'R1'!$AD$2</c:f>
              <c:strCache>
                <c:ptCount val="1"/>
                <c:pt idx="0">
                  <c:v>C4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'R1'!$AD$3:$AD$9</c:f>
              <c:numCache>
                <c:formatCode>0.0</c:formatCode>
                <c:ptCount val="7"/>
                <c:pt idx="0">
                  <c:v>2.7238678924072182</c:v>
                </c:pt>
                <c:pt idx="1">
                  <c:v>2.4968789013732833</c:v>
                </c:pt>
                <c:pt idx="2">
                  <c:v>3.1210986267166043</c:v>
                </c:pt>
                <c:pt idx="3">
                  <c:v>2.6103733968902514</c:v>
                </c:pt>
                <c:pt idx="4">
                  <c:v>2.6103733968902514</c:v>
                </c:pt>
                <c:pt idx="5">
                  <c:v>2.950856883441153</c:v>
                </c:pt>
                <c:pt idx="6">
                  <c:v>2.6884008625581659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F8-406B-BA99-627E18381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47648"/>
        <c:axId val="517541888"/>
      </c:scatterChart>
      <c:scatterChart>
        <c:scatterStyle val="lineMarker"/>
        <c:varyColors val="0"/>
        <c:ser>
          <c:idx val="7"/>
          <c:order val="7"/>
          <c:tx>
            <c:strRef>
              <c:f>'R1'!$AF$2</c:f>
              <c:strCache>
                <c:ptCount val="1"/>
                <c:pt idx="0">
                  <c:v>C5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'R1'!$W$3:$W$9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'R1'!$AF$3:$AF$9</c:f>
              <c:numCache>
                <c:formatCode>0.0</c:formatCode>
                <c:ptCount val="7"/>
                <c:pt idx="0">
                  <c:v>0.39573745879434713</c:v>
                </c:pt>
                <c:pt idx="1">
                  <c:v>0.44061490257514929</c:v>
                </c:pt>
                <c:pt idx="2">
                  <c:v>0.44061490257514929</c:v>
                </c:pt>
                <c:pt idx="3">
                  <c:v>0.47978067169294042</c:v>
                </c:pt>
                <c:pt idx="4">
                  <c:v>0.69519240184079112</c:v>
                </c:pt>
                <c:pt idx="5">
                  <c:v>0.70008812298051515</c:v>
                </c:pt>
                <c:pt idx="6">
                  <c:v>0.68417702927641233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A-4853-BC8E-93F2F319D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312783"/>
        <c:axId val="1300161791"/>
      </c:scatterChart>
      <c:valAx>
        <c:axId val="51754764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541888"/>
        <c:crosses val="autoZero"/>
        <c:crossBetween val="midCat"/>
      </c:valAx>
      <c:valAx>
        <c:axId val="517541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547648"/>
        <c:crosses val="autoZero"/>
        <c:crossBetween val="midCat"/>
      </c:valAx>
      <c:valAx>
        <c:axId val="13001617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mM C5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5312783"/>
        <c:crosses val="max"/>
        <c:crossBetween val="midCat"/>
      </c:valAx>
      <c:valAx>
        <c:axId val="1195312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016179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'R1'!$X$25</c:f>
              <c:strCache>
                <c:ptCount val="1"/>
                <c:pt idx="0">
                  <c:v>EtOH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'R1'!$X$26:$X$32</c:f>
              <c:numCache>
                <c:formatCode>0.0</c:formatCode>
                <c:ptCount val="7"/>
                <c:pt idx="0">
                  <c:v>0.33392000000000005</c:v>
                </c:pt>
                <c:pt idx="1">
                  <c:v>0.33392000000000005</c:v>
                </c:pt>
                <c:pt idx="2">
                  <c:v>0.32348500000000002</c:v>
                </c:pt>
                <c:pt idx="3">
                  <c:v>0.31304999999999999</c:v>
                </c:pt>
                <c:pt idx="4">
                  <c:v>0.20870000000000002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5-42FB-8AB6-38BB5C11074C}"/>
            </c:ext>
          </c:extLst>
        </c:ser>
        <c:ser>
          <c:idx val="1"/>
          <c:order val="1"/>
          <c:tx>
            <c:strRef>
              <c:f>'R1'!$Y$25</c:f>
              <c:strCache>
                <c:ptCount val="1"/>
                <c:pt idx="0">
                  <c:v>Succinate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'R1'!$Y$26:$Y$32</c:f>
              <c:numCache>
                <c:formatCode>0.00</c:formatCode>
                <c:ptCount val="7"/>
                <c:pt idx="0">
                  <c:v>1.049515</c:v>
                </c:pt>
                <c:pt idx="1">
                  <c:v>0.68327099999999996</c:v>
                </c:pt>
                <c:pt idx="2">
                  <c:v>0.347916</c:v>
                </c:pt>
                <c:pt idx="3">
                  <c:v>1.2560999999999999E-2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5-42FB-8AB6-38BB5C11074C}"/>
            </c:ext>
          </c:extLst>
        </c:ser>
        <c:ser>
          <c:idx val="2"/>
          <c:order val="2"/>
          <c:tx>
            <c:strRef>
              <c:f>'R1'!$Z$25</c:f>
              <c:strCache>
                <c:ptCount val="1"/>
                <c:pt idx="0">
                  <c:v>Lactate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'R1'!$Z$26:$Z$32</c:f>
              <c:numCache>
                <c:formatCode>0.0</c:formatCode>
                <c:ptCount val="7"/>
                <c:pt idx="0">
                  <c:v>0.21066410256410262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5-42FB-8AB6-38BB5C11074C}"/>
            </c:ext>
          </c:extLst>
        </c:ser>
        <c:ser>
          <c:idx val="3"/>
          <c:order val="3"/>
          <c:tx>
            <c:strRef>
              <c:f>'R1'!$AA$25</c:f>
              <c:strCache>
                <c:ptCount val="1"/>
                <c:pt idx="0">
                  <c:v>Formate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'R1'!$AA$26:$AA$32</c:f>
              <c:numCache>
                <c:formatCode>0.0</c:formatCode>
                <c:ptCount val="7"/>
                <c:pt idx="0">
                  <c:v>0.43281570512820511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5-42FB-8AB6-38BB5C11074C}"/>
            </c:ext>
          </c:extLst>
        </c:ser>
        <c:ser>
          <c:idx val="4"/>
          <c:order val="4"/>
          <c:tx>
            <c:strRef>
              <c:f>'R1'!$AB$25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'R1'!$AB$26:$AB$32</c:f>
              <c:numCache>
                <c:formatCode>0.0</c:formatCode>
                <c:ptCount val="7"/>
                <c:pt idx="0">
                  <c:v>1.3443858012820511</c:v>
                </c:pt>
                <c:pt idx="1">
                  <c:v>1.3358839999999998</c:v>
                </c:pt>
                <c:pt idx="2">
                  <c:v>1.048861</c:v>
                </c:pt>
                <c:pt idx="3">
                  <c:v>0.67220999999999997</c:v>
                </c:pt>
                <c:pt idx="4">
                  <c:v>0.131241</c:v>
                </c:pt>
                <c:pt idx="5">
                  <c:v>1.9339375000000002E-2</c:v>
                </c:pt>
                <c:pt idx="6">
                  <c:v>1.9339375000000002E-2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95-42FB-8AB6-38BB5C11074C}"/>
            </c:ext>
          </c:extLst>
        </c:ser>
        <c:ser>
          <c:idx val="5"/>
          <c:order val="5"/>
          <c:tx>
            <c:strRef>
              <c:f>'R1'!$AC$25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'R1'!$AC$26:$AC$32</c:f>
              <c:numCache>
                <c:formatCode>0.0</c:formatCode>
                <c:ptCount val="7"/>
                <c:pt idx="0">
                  <c:v>0.52927435897435904</c:v>
                </c:pt>
                <c:pt idx="1">
                  <c:v>0.88788</c:v>
                </c:pt>
                <c:pt idx="2">
                  <c:v>1.49641</c:v>
                </c:pt>
                <c:pt idx="3">
                  <c:v>1.4798</c:v>
                </c:pt>
                <c:pt idx="4">
                  <c:v>1.43903</c:v>
                </c:pt>
                <c:pt idx="5">
                  <c:v>1.25990625</c:v>
                </c:pt>
                <c:pt idx="6">
                  <c:v>1.3708912499999999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95-42FB-8AB6-38BB5C11074C}"/>
            </c:ext>
          </c:extLst>
        </c:ser>
        <c:ser>
          <c:idx val="6"/>
          <c:order val="6"/>
          <c:tx>
            <c:strRef>
              <c:f>'R1'!$AD$25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'R1'!$AD$26:$AD$32</c:f>
              <c:numCache>
                <c:formatCode>0.0</c:formatCode>
                <c:ptCount val="7"/>
                <c:pt idx="0">
                  <c:v>0.43631999999999999</c:v>
                </c:pt>
                <c:pt idx="1">
                  <c:v>0.39996000000000004</c:v>
                </c:pt>
                <c:pt idx="2">
                  <c:v>0.49995000000000006</c:v>
                </c:pt>
                <c:pt idx="3">
                  <c:v>0.41814000000000001</c:v>
                </c:pt>
                <c:pt idx="4">
                  <c:v>0.41814000000000001</c:v>
                </c:pt>
                <c:pt idx="5">
                  <c:v>0.47268000000000004</c:v>
                </c:pt>
                <c:pt idx="6">
                  <c:v>0.43063875000000001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95-42FB-8AB6-38BB5C11074C}"/>
            </c:ext>
          </c:extLst>
        </c:ser>
        <c:ser>
          <c:idx val="8"/>
          <c:order val="7"/>
          <c:tx>
            <c:strRef>
              <c:f>'R1'!$AF$25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'R1'!$W$26:$W$32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'R1'!$AF$26:$AF$32</c:f>
              <c:numCache>
                <c:formatCode>0.0</c:formatCode>
                <c:ptCount val="7"/>
                <c:pt idx="0">
                  <c:v>8.2045833333333332E-2</c:v>
                </c:pt>
                <c:pt idx="1">
                  <c:v>9.1349999999999987E-2</c:v>
                </c:pt>
                <c:pt idx="2">
                  <c:v>9.1349999999999987E-2</c:v>
                </c:pt>
                <c:pt idx="3">
                  <c:v>9.9469999999999989E-2</c:v>
                </c:pt>
                <c:pt idx="4">
                  <c:v>0.14412999999999998</c:v>
                </c:pt>
                <c:pt idx="5">
                  <c:v>0.145145</c:v>
                </c:pt>
                <c:pt idx="6">
                  <c:v>0.14184624999999998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095-42FB-8AB6-38BB5C110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896816"/>
        <c:axId val="963898752"/>
      </c:scatterChart>
      <c:valAx>
        <c:axId val="67589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(d)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898752"/>
        <c:crosses val="autoZero"/>
        <c:crossBetween val="midCat"/>
      </c:valAx>
      <c:valAx>
        <c:axId val="9638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gCOD/L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589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'R2'!$X$2</c:f>
              <c:strCache>
                <c:ptCount val="1"/>
                <c:pt idx="0">
                  <c:v>EtOH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'R2'!$X$3:$X$9</c:f>
              <c:numCache>
                <c:formatCode>0.0</c:formatCode>
                <c:ptCount val="7"/>
                <c:pt idx="0">
                  <c:v>3.4782608695652177</c:v>
                </c:pt>
                <c:pt idx="1">
                  <c:v>2.9701086956521738</c:v>
                </c:pt>
                <c:pt idx="2">
                  <c:v>3.347826086956522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D-47A7-BFE9-A3137EB5EC99}"/>
            </c:ext>
          </c:extLst>
        </c:ser>
        <c:ser>
          <c:idx val="1"/>
          <c:order val="1"/>
          <c:tx>
            <c:strRef>
              <c:f>'R2'!$Y$2</c:f>
              <c:strCache>
                <c:ptCount val="1"/>
                <c:pt idx="0">
                  <c:v>Succinate</c:v>
                </c:pt>
              </c:strCache>
            </c:strRef>
          </c:tx>
          <c:spPr>
            <a:ln w="222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'R2'!$Y$3:$Y$9</c:f>
              <c:numCache>
                <c:formatCode>0.0</c:formatCode>
                <c:ptCount val="7"/>
                <c:pt idx="0">
                  <c:v>9.3749117904423187</c:v>
                </c:pt>
                <c:pt idx="1">
                  <c:v>5.5085104581251576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FD-47A7-BFE9-A3137EB5EC99}"/>
            </c:ext>
          </c:extLst>
        </c:ser>
        <c:ser>
          <c:idx val="2"/>
          <c:order val="2"/>
          <c:tx>
            <c:strRef>
              <c:f>'R2'!$Z$2</c:f>
              <c:strCache>
                <c:ptCount val="1"/>
                <c:pt idx="0">
                  <c:v>Lactate</c:v>
                </c:pt>
              </c:strCache>
            </c:strRef>
          </c:tx>
          <c:spPr>
            <a:ln w="2222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'R2'!$Z$3:$Z$9</c:f>
              <c:numCache>
                <c:formatCode>0.0</c:formatCode>
                <c:ptCount val="7"/>
                <c:pt idx="0">
                  <c:v>2.1917839413398919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FD-47A7-BFE9-A3137EB5EC99}"/>
            </c:ext>
          </c:extLst>
        </c:ser>
        <c:ser>
          <c:idx val="3"/>
          <c:order val="3"/>
          <c:tx>
            <c:strRef>
              <c:f>'R2'!$AA$2</c:f>
              <c:strCache>
                <c:ptCount val="1"/>
                <c:pt idx="0">
                  <c:v>Formate</c:v>
                </c:pt>
              </c:strCache>
            </c:strRef>
          </c:tx>
          <c:spPr>
            <a:ln w="2222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'R2'!$AA$3:$AA$9</c:f>
              <c:numCache>
                <c:formatCode>0.0</c:formatCode>
                <c:ptCount val="7"/>
                <c:pt idx="0">
                  <c:v>6.764679668220837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FD-47A7-BFE9-A3137EB5EC99}"/>
            </c:ext>
          </c:extLst>
        </c:ser>
        <c:ser>
          <c:idx val="4"/>
          <c:order val="4"/>
          <c:tx>
            <c:strRef>
              <c:f>'R2'!$AB$2</c:f>
              <c:strCache>
                <c:ptCount val="1"/>
                <c:pt idx="0">
                  <c:v>C2</c:v>
                </c:pt>
              </c:strCache>
            </c:strRef>
          </c:tx>
          <c:spPr>
            <a:ln w="22225" cap="rnd">
              <a:solidFill>
                <a:schemeClr val="accent5">
                  <a:alpha val="5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'R2'!$AB$3:$AB$9</c:f>
              <c:numCache>
                <c:formatCode>0.0</c:formatCode>
                <c:ptCount val="7"/>
                <c:pt idx="0">
                  <c:v>20.999465811965813</c:v>
                </c:pt>
                <c:pt idx="1">
                  <c:v>20.266666666666666</c:v>
                </c:pt>
                <c:pt idx="2">
                  <c:v>15.4</c:v>
                </c:pt>
                <c:pt idx="3">
                  <c:v>9.3000000000000007</c:v>
                </c:pt>
                <c:pt idx="4">
                  <c:v>0.9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FD-47A7-BFE9-A3137EB5EC99}"/>
            </c:ext>
          </c:extLst>
        </c:ser>
        <c:ser>
          <c:idx val="5"/>
          <c:order val="5"/>
          <c:tx>
            <c:strRef>
              <c:f>'R2'!$AC$2</c:f>
              <c:strCache>
                <c:ptCount val="1"/>
                <c:pt idx="0">
                  <c:v>C3</c:v>
                </c:pt>
              </c:strCache>
            </c:strRef>
          </c:tx>
          <c:spPr>
            <a:ln w="22225" cap="rnd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'R2'!$AC$3:$AC$9</c:f>
              <c:numCache>
                <c:formatCode>0.0</c:formatCode>
                <c:ptCount val="7"/>
                <c:pt idx="0">
                  <c:v>4.731544553358809</c:v>
                </c:pt>
                <c:pt idx="1">
                  <c:v>8.3963282937365022</c:v>
                </c:pt>
                <c:pt idx="2">
                  <c:v>13.606911447084233</c:v>
                </c:pt>
                <c:pt idx="3">
                  <c:v>12.014038876889851</c:v>
                </c:pt>
                <c:pt idx="4">
                  <c:v>11.717062634989201</c:v>
                </c:pt>
                <c:pt idx="5">
                  <c:v>10.220369870410369</c:v>
                </c:pt>
                <c:pt idx="6">
                  <c:v>9.6432910367170628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FD-47A7-BFE9-A3137EB5EC99}"/>
            </c:ext>
          </c:extLst>
        </c:ser>
        <c:ser>
          <c:idx val="6"/>
          <c:order val="6"/>
          <c:tx>
            <c:strRef>
              <c:f>'R2'!$AD$2</c:f>
              <c:strCache>
                <c:ptCount val="1"/>
                <c:pt idx="0">
                  <c:v>C4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'R2'!$AD$3:$AD$9</c:f>
              <c:numCache>
                <c:formatCode>0.0</c:formatCode>
                <c:ptCount val="7"/>
                <c:pt idx="0">
                  <c:v>2.7238678924072182</c:v>
                </c:pt>
                <c:pt idx="1">
                  <c:v>3.9950062421972534</c:v>
                </c:pt>
                <c:pt idx="2">
                  <c:v>3.2459425717852683</c:v>
                </c:pt>
                <c:pt idx="3">
                  <c:v>3.9723073430938594</c:v>
                </c:pt>
                <c:pt idx="4">
                  <c:v>2.8600612870275794</c:v>
                </c:pt>
                <c:pt idx="5">
                  <c:v>2.6046986721144028</c:v>
                </c:pt>
                <c:pt idx="6">
                  <c:v>2.600442628532516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FD-47A7-BFE9-A3137EB5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60232"/>
        <c:axId val="509356272"/>
      </c:scatterChart>
      <c:scatterChart>
        <c:scatterStyle val="lineMarker"/>
        <c:varyColors val="0"/>
        <c:ser>
          <c:idx val="7"/>
          <c:order val="7"/>
          <c:tx>
            <c:strRef>
              <c:f>'R2'!$AF$2</c:f>
              <c:strCache>
                <c:ptCount val="1"/>
                <c:pt idx="0">
                  <c:v>C5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'R2'!$W$3:$W$9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'R2'!$AF$3:$AF$9</c:f>
              <c:numCache>
                <c:formatCode>0.0</c:formatCode>
                <c:ptCount val="7"/>
                <c:pt idx="0">
                  <c:v>0.39573745879434713</c:v>
                </c:pt>
                <c:pt idx="1">
                  <c:v>0.39165769117791055</c:v>
                </c:pt>
                <c:pt idx="2">
                  <c:v>0.43082346029570157</c:v>
                </c:pt>
                <c:pt idx="3">
                  <c:v>0.55811220992852251</c:v>
                </c:pt>
                <c:pt idx="4">
                  <c:v>1.2141388426515225</c:v>
                </c:pt>
                <c:pt idx="5">
                  <c:v>1.1970038186624889</c:v>
                </c:pt>
                <c:pt idx="6">
                  <c:v>1.2435131694898658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7D-49AB-A4F7-A51B5968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44911"/>
        <c:axId val="1296829807"/>
      </c:scatterChart>
      <c:valAx>
        <c:axId val="509360232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356272"/>
        <c:crosses val="autoZero"/>
        <c:crossBetween val="midCat"/>
      </c:valAx>
      <c:valAx>
        <c:axId val="509356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360232"/>
        <c:crosses val="autoZero"/>
        <c:crossBetween val="midCat"/>
      </c:valAx>
      <c:valAx>
        <c:axId val="12968298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mM C5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9744911"/>
        <c:crosses val="max"/>
        <c:crossBetween val="midCat"/>
      </c:valAx>
      <c:valAx>
        <c:axId val="1199744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682980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'R2'!$X$26</c:f>
              <c:strCache>
                <c:ptCount val="1"/>
                <c:pt idx="0">
                  <c:v>EtOH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'R2'!$X$27:$X$33</c:f>
              <c:numCache>
                <c:formatCode>0.0</c:formatCode>
                <c:ptCount val="7"/>
                <c:pt idx="0">
                  <c:v>0.33392000000000005</c:v>
                </c:pt>
                <c:pt idx="1">
                  <c:v>0.285136375</c:v>
                </c:pt>
                <c:pt idx="2">
                  <c:v>0.32139800000000002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8-480E-95C2-50A375F2C814}"/>
            </c:ext>
          </c:extLst>
        </c:ser>
        <c:ser>
          <c:idx val="1"/>
          <c:order val="1"/>
          <c:tx>
            <c:strRef>
              <c:f>'R2'!$Y$26</c:f>
              <c:strCache>
                <c:ptCount val="1"/>
                <c:pt idx="0">
                  <c:v>Succinate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'R2'!$Y$27:$Y$33</c:f>
              <c:numCache>
                <c:formatCode>0.00</c:formatCode>
                <c:ptCount val="7"/>
                <c:pt idx="0">
                  <c:v>1.049515</c:v>
                </c:pt>
                <c:pt idx="1">
                  <c:v>0.61667399999999994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8-480E-95C2-50A375F2C814}"/>
            </c:ext>
          </c:extLst>
        </c:ser>
        <c:ser>
          <c:idx val="2"/>
          <c:order val="2"/>
          <c:tx>
            <c:strRef>
              <c:f>'R2'!$Z$26</c:f>
              <c:strCache>
                <c:ptCount val="1"/>
                <c:pt idx="0">
                  <c:v>Lactate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'R2'!$Z$27:$Z$33</c:f>
              <c:numCache>
                <c:formatCode>0.0</c:formatCode>
                <c:ptCount val="7"/>
                <c:pt idx="0">
                  <c:v>0.21066410256410262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B8-480E-95C2-50A375F2C814}"/>
            </c:ext>
          </c:extLst>
        </c:ser>
        <c:ser>
          <c:idx val="3"/>
          <c:order val="3"/>
          <c:tx>
            <c:strRef>
              <c:f>'R2'!$AA$26</c:f>
              <c:strCache>
                <c:ptCount val="1"/>
                <c:pt idx="0">
                  <c:v>Formate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'R2'!$AA$27:$AA$33</c:f>
              <c:numCache>
                <c:formatCode>0.0</c:formatCode>
                <c:ptCount val="7"/>
                <c:pt idx="0">
                  <c:v>0.43281570512820511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B8-480E-95C2-50A375F2C814}"/>
            </c:ext>
          </c:extLst>
        </c:ser>
        <c:ser>
          <c:idx val="4"/>
          <c:order val="4"/>
          <c:tx>
            <c:strRef>
              <c:f>'R2'!$AB$26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'R2'!$AB$27:$AB$33</c:f>
              <c:numCache>
                <c:formatCode>0.0</c:formatCode>
                <c:ptCount val="7"/>
                <c:pt idx="0">
                  <c:v>1.3443858012820511</c:v>
                </c:pt>
                <c:pt idx="1">
                  <c:v>1.297472</c:v>
                </c:pt>
                <c:pt idx="2">
                  <c:v>0.98590800000000001</c:v>
                </c:pt>
                <c:pt idx="3">
                  <c:v>0.59538599999999997</c:v>
                </c:pt>
                <c:pt idx="4">
                  <c:v>5.7617999999999996E-2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B8-480E-95C2-50A375F2C814}"/>
            </c:ext>
          </c:extLst>
        </c:ser>
        <c:ser>
          <c:idx val="5"/>
          <c:order val="5"/>
          <c:tx>
            <c:strRef>
              <c:f>'R2'!$AC$26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'R2'!$AC$27:$AC$33</c:f>
              <c:numCache>
                <c:formatCode>0.0</c:formatCode>
                <c:ptCount val="7"/>
                <c:pt idx="0">
                  <c:v>0.52927435897435904</c:v>
                </c:pt>
                <c:pt idx="1">
                  <c:v>0.93922000000000005</c:v>
                </c:pt>
                <c:pt idx="2">
                  <c:v>1.5220800000000001</c:v>
                </c:pt>
                <c:pt idx="3">
                  <c:v>1.3439000000000001</c:v>
                </c:pt>
                <c:pt idx="4">
                  <c:v>1.3106800000000001</c:v>
                </c:pt>
                <c:pt idx="5">
                  <c:v>1.14325875</c:v>
                </c:pt>
                <c:pt idx="6">
                  <c:v>1.07870625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B8-480E-95C2-50A375F2C814}"/>
            </c:ext>
          </c:extLst>
        </c:ser>
        <c:ser>
          <c:idx val="6"/>
          <c:order val="6"/>
          <c:tx>
            <c:strRef>
              <c:f>'R2'!$AD$26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'R2'!$AD$27:$AD$33</c:f>
              <c:numCache>
                <c:formatCode>0.0</c:formatCode>
                <c:ptCount val="7"/>
                <c:pt idx="0">
                  <c:v>0.43631999999999999</c:v>
                </c:pt>
                <c:pt idx="1">
                  <c:v>0.63993599999999995</c:v>
                </c:pt>
                <c:pt idx="2">
                  <c:v>0.51994799999999997</c:v>
                </c:pt>
                <c:pt idx="3">
                  <c:v>0.63629999999999998</c:v>
                </c:pt>
                <c:pt idx="4">
                  <c:v>0.45813600000000004</c:v>
                </c:pt>
                <c:pt idx="5">
                  <c:v>0.41723100000000002</c:v>
                </c:pt>
                <c:pt idx="6">
                  <c:v>0.41654924999999998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B8-480E-95C2-50A375F2C814}"/>
            </c:ext>
          </c:extLst>
        </c:ser>
        <c:ser>
          <c:idx val="8"/>
          <c:order val="7"/>
          <c:tx>
            <c:strRef>
              <c:f>'R2'!$AF$26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'R2'!$W$27:$W$33</c:f>
              <c:numCache>
                <c:formatCode>General</c:formatCode>
                <c:ptCount val="7"/>
                <c:pt idx="0">
                  <c:v>0</c:v>
                </c:pt>
                <c:pt idx="1">
                  <c:v>2.75</c:v>
                </c:pt>
                <c:pt idx="2">
                  <c:v>3.75</c:v>
                </c:pt>
                <c:pt idx="3">
                  <c:v>4.75</c:v>
                </c:pt>
                <c:pt idx="4">
                  <c:v>6.75</c:v>
                </c:pt>
                <c:pt idx="5">
                  <c:v>9.75</c:v>
                </c:pt>
                <c:pt idx="6">
                  <c:v>10.75</c:v>
                </c:pt>
              </c:numCache>
            </c:numRef>
          </c:xVal>
          <c:yVal>
            <c:numRef>
              <c:f>'R2'!$AF$27:$AF$33</c:f>
              <c:numCache>
                <c:formatCode>0.0</c:formatCode>
                <c:ptCount val="7"/>
                <c:pt idx="0">
                  <c:v>8.2045833333333332E-2</c:v>
                </c:pt>
                <c:pt idx="1">
                  <c:v>8.1199999999999994E-2</c:v>
                </c:pt>
                <c:pt idx="2">
                  <c:v>8.9319999999999983E-2</c:v>
                </c:pt>
                <c:pt idx="3">
                  <c:v>0.11570999999999999</c:v>
                </c:pt>
                <c:pt idx="4">
                  <c:v>0.25172</c:v>
                </c:pt>
                <c:pt idx="5">
                  <c:v>0.24816749999999996</c:v>
                </c:pt>
                <c:pt idx="6">
                  <c:v>0.25780999999999998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B8-480E-95C2-50A375F2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833264"/>
        <c:axId val="910832432"/>
      </c:scatterChart>
      <c:valAx>
        <c:axId val="91083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(d)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832432"/>
        <c:crosses val="autoZero"/>
        <c:crossBetween val="midCat"/>
      </c:valAx>
      <c:valAx>
        <c:axId val="91083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gDCO/L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83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Chronoamperometries!$B$1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Chronoamperometries!$A$2:$A$1543</c:f>
              <c:numCache>
                <c:formatCode>General</c:formatCode>
                <c:ptCount val="1542"/>
                <c:pt idx="0">
                  <c:v>9.0287255227677998E-2</c:v>
                </c:pt>
                <c:pt idx="1">
                  <c:v>9.7231701902859E-2</c:v>
                </c:pt>
                <c:pt idx="2">
                  <c:v>0.104176148578041</c:v>
                </c:pt>
                <c:pt idx="3">
                  <c:v>0.111120595253222</c:v>
                </c:pt>
                <c:pt idx="4">
                  <c:v>0.118065041928404</c:v>
                </c:pt>
                <c:pt idx="5">
                  <c:v>0.12500948860358599</c:v>
                </c:pt>
                <c:pt idx="6">
                  <c:v>0.131953935278767</c:v>
                </c:pt>
                <c:pt idx="7">
                  <c:v>0.13889838195394799</c:v>
                </c:pt>
                <c:pt idx="8">
                  <c:v>0.14584282862913001</c:v>
                </c:pt>
                <c:pt idx="9">
                  <c:v>0.15278727530431099</c:v>
                </c:pt>
                <c:pt idx="10">
                  <c:v>0.15973172197949301</c:v>
                </c:pt>
                <c:pt idx="11">
                  <c:v>0.166676168654674</c:v>
                </c:pt>
                <c:pt idx="12">
                  <c:v>0.17362061532985601</c:v>
                </c:pt>
                <c:pt idx="13">
                  <c:v>0.180565062005037</c:v>
                </c:pt>
                <c:pt idx="14">
                  <c:v>0.18750950868021901</c:v>
                </c:pt>
                <c:pt idx="15">
                  <c:v>0.1944539553554</c:v>
                </c:pt>
                <c:pt idx="16">
                  <c:v>0.20139840203058201</c:v>
                </c:pt>
                <c:pt idx="17">
                  <c:v>0.208342848705763</c:v>
                </c:pt>
                <c:pt idx="18">
                  <c:v>0.21528729538094499</c:v>
                </c:pt>
                <c:pt idx="19">
                  <c:v>0.222231742056126</c:v>
                </c:pt>
                <c:pt idx="20">
                  <c:v>0.22917618873130799</c:v>
                </c:pt>
                <c:pt idx="21">
                  <c:v>0.236120635406489</c:v>
                </c:pt>
                <c:pt idx="22">
                  <c:v>0.24306508208167099</c:v>
                </c:pt>
                <c:pt idx="23">
                  <c:v>0.25000952875685201</c:v>
                </c:pt>
                <c:pt idx="24">
                  <c:v>0.25695397543203402</c:v>
                </c:pt>
                <c:pt idx="25">
                  <c:v>0.26389842210721498</c:v>
                </c:pt>
                <c:pt idx="26">
                  <c:v>0.27084286878239699</c:v>
                </c:pt>
                <c:pt idx="27">
                  <c:v>0.27778731545757801</c:v>
                </c:pt>
                <c:pt idx="28">
                  <c:v>0.28473176213276002</c:v>
                </c:pt>
                <c:pt idx="29">
                  <c:v>0.29167620880794098</c:v>
                </c:pt>
                <c:pt idx="30">
                  <c:v>0.298620655483123</c:v>
                </c:pt>
                <c:pt idx="31">
                  <c:v>0.30556510215830401</c:v>
                </c:pt>
                <c:pt idx="32">
                  <c:v>0.31250954883348597</c:v>
                </c:pt>
                <c:pt idx="33">
                  <c:v>0.31945399550866699</c:v>
                </c:pt>
                <c:pt idx="34">
                  <c:v>0.326398442183849</c:v>
                </c:pt>
                <c:pt idx="35">
                  <c:v>0.33334288885903002</c:v>
                </c:pt>
                <c:pt idx="36">
                  <c:v>0.34028733553421198</c:v>
                </c:pt>
                <c:pt idx="37">
                  <c:v>0.34723178220939299</c:v>
                </c:pt>
                <c:pt idx="38">
                  <c:v>0.35417622888457501</c:v>
                </c:pt>
                <c:pt idx="39">
                  <c:v>0.36112067555975602</c:v>
                </c:pt>
                <c:pt idx="40">
                  <c:v>0.36806512223493798</c:v>
                </c:pt>
                <c:pt idx="41">
                  <c:v>0.375009568910119</c:v>
                </c:pt>
                <c:pt idx="42">
                  <c:v>0.38195401562294701</c:v>
                </c:pt>
                <c:pt idx="43">
                  <c:v>0.38889846008032602</c:v>
                </c:pt>
                <c:pt idx="44">
                  <c:v>0.39584290453770599</c:v>
                </c:pt>
                <c:pt idx="45">
                  <c:v>0.402787348995085</c:v>
                </c:pt>
                <c:pt idx="46">
                  <c:v>0.40973179345246502</c:v>
                </c:pt>
                <c:pt idx="47">
                  <c:v>0.41667623790984398</c:v>
                </c:pt>
                <c:pt idx="48">
                  <c:v>0.423620682367224</c:v>
                </c:pt>
                <c:pt idx="49">
                  <c:v>0.43056512682460302</c:v>
                </c:pt>
                <c:pt idx="50">
                  <c:v>0.43750957128198298</c:v>
                </c:pt>
                <c:pt idx="51">
                  <c:v>0.444454015739362</c:v>
                </c:pt>
                <c:pt idx="52">
                  <c:v>0.45139846019674201</c:v>
                </c:pt>
                <c:pt idx="53">
                  <c:v>0.45834290465412098</c:v>
                </c:pt>
                <c:pt idx="54">
                  <c:v>0.46528734911149999</c:v>
                </c:pt>
                <c:pt idx="55">
                  <c:v>0.47223179356888001</c:v>
                </c:pt>
                <c:pt idx="56">
                  <c:v>0.47917623802625903</c:v>
                </c:pt>
                <c:pt idx="57">
                  <c:v>0.48612068248363899</c:v>
                </c:pt>
                <c:pt idx="58">
                  <c:v>0.49306512694101801</c:v>
                </c:pt>
                <c:pt idx="59">
                  <c:v>0.50000957139839797</c:v>
                </c:pt>
                <c:pt idx="60">
                  <c:v>0.50695401585577704</c:v>
                </c:pt>
                <c:pt idx="61">
                  <c:v>0.513898460313157</c:v>
                </c:pt>
                <c:pt idx="62">
                  <c:v>0.52084290477053796</c:v>
                </c:pt>
                <c:pt idx="63">
                  <c:v>0.52778734922791704</c:v>
                </c:pt>
                <c:pt idx="64">
                  <c:v>0.534731793685297</c:v>
                </c:pt>
                <c:pt idx="65">
                  <c:v>0.54167623814267596</c:v>
                </c:pt>
                <c:pt idx="66">
                  <c:v>0.54862068260005603</c:v>
                </c:pt>
                <c:pt idx="67">
                  <c:v>0.55556512705743499</c:v>
                </c:pt>
                <c:pt idx="68">
                  <c:v>0.56250957151481495</c:v>
                </c:pt>
                <c:pt idx="69">
                  <c:v>0.56945401597219403</c:v>
                </c:pt>
                <c:pt idx="70">
                  <c:v>0.57639846042957399</c:v>
                </c:pt>
                <c:pt idx="71">
                  <c:v>0.58334290488695295</c:v>
                </c:pt>
                <c:pt idx="72">
                  <c:v>0.59028734934433202</c:v>
                </c:pt>
                <c:pt idx="73">
                  <c:v>0.59723179380171199</c:v>
                </c:pt>
                <c:pt idx="74">
                  <c:v>0.60417623825909095</c:v>
                </c:pt>
                <c:pt idx="75">
                  <c:v>0.61112068271647102</c:v>
                </c:pt>
                <c:pt idx="76">
                  <c:v>0.61806512717384998</c:v>
                </c:pt>
                <c:pt idx="77">
                  <c:v>0.62500957163123005</c:v>
                </c:pt>
                <c:pt idx="78">
                  <c:v>0.63195401608860902</c:v>
                </c:pt>
                <c:pt idx="79">
                  <c:v>0.63889846054598898</c:v>
                </c:pt>
                <c:pt idx="80">
                  <c:v>0.64584290500336805</c:v>
                </c:pt>
                <c:pt idx="81">
                  <c:v>0.65278734946074801</c:v>
                </c:pt>
                <c:pt idx="82">
                  <c:v>0.65973179391812697</c:v>
                </c:pt>
                <c:pt idx="83">
                  <c:v>0.66667623837550705</c:v>
                </c:pt>
                <c:pt idx="84">
                  <c:v>0.67362068283288601</c:v>
                </c:pt>
                <c:pt idx="85">
                  <c:v>0.68056512729026597</c:v>
                </c:pt>
                <c:pt idx="86">
                  <c:v>0.68750957174764504</c:v>
                </c:pt>
                <c:pt idx="87">
                  <c:v>0.694454016205025</c:v>
                </c:pt>
                <c:pt idx="88">
                  <c:v>0.70139846066240397</c:v>
                </c:pt>
                <c:pt idx="89">
                  <c:v>0.70834290511978404</c:v>
                </c:pt>
                <c:pt idx="90">
                  <c:v>0.715287349577163</c:v>
                </c:pt>
                <c:pt idx="91">
                  <c:v>0.72223179403454296</c:v>
                </c:pt>
                <c:pt idx="92">
                  <c:v>0.72917623849192204</c:v>
                </c:pt>
                <c:pt idx="93">
                  <c:v>0.736120682949302</c:v>
                </c:pt>
                <c:pt idx="94">
                  <c:v>0.74306512740668096</c:v>
                </c:pt>
                <c:pt idx="95">
                  <c:v>0.75000957186406003</c:v>
                </c:pt>
                <c:pt idx="96">
                  <c:v>0.75695401632143999</c:v>
                </c:pt>
                <c:pt idx="97">
                  <c:v>0.76389846181078902</c:v>
                </c:pt>
                <c:pt idx="98">
                  <c:v>0.770842906927661</c:v>
                </c:pt>
                <c:pt idx="99">
                  <c:v>0.77778735204385596</c:v>
                </c:pt>
                <c:pt idx="100">
                  <c:v>0.78473179716068198</c:v>
                </c:pt>
                <c:pt idx="101">
                  <c:v>0.79167624227741995</c:v>
                </c:pt>
                <c:pt idx="102">
                  <c:v>0.79862068739362502</c:v>
                </c:pt>
                <c:pt idx="103">
                  <c:v>0.80556513251059103</c:v>
                </c:pt>
                <c:pt idx="104">
                  <c:v>0.81250957762717302</c:v>
                </c:pt>
                <c:pt idx="105">
                  <c:v>0.81945402274349499</c:v>
                </c:pt>
                <c:pt idx="106">
                  <c:v>0.82639846786050097</c:v>
                </c:pt>
                <c:pt idx="107">
                  <c:v>0.83334291297693097</c:v>
                </c:pt>
                <c:pt idx="108">
                  <c:v>0.84028735809339405</c:v>
                </c:pt>
                <c:pt idx="109">
                  <c:v>0.84723180321040203</c:v>
                </c:pt>
                <c:pt idx="110">
                  <c:v>0.85417624832669004</c:v>
                </c:pt>
                <c:pt idx="111">
                  <c:v>0.86112069344329201</c:v>
                </c:pt>
                <c:pt idx="112">
                  <c:v>0.86806513856026202</c:v>
                </c:pt>
                <c:pt idx="113">
                  <c:v>0.87500958367645898</c:v>
                </c:pt>
                <c:pt idx="114">
                  <c:v>0.88195402879318596</c:v>
                </c:pt>
                <c:pt idx="115">
                  <c:v>0.88889847391001497</c:v>
                </c:pt>
                <c:pt idx="116">
                  <c:v>0.89584291902622004</c:v>
                </c:pt>
                <c:pt idx="117">
                  <c:v>0.90278736414308403</c:v>
                </c:pt>
                <c:pt idx="118">
                  <c:v>0.90973180925977304</c:v>
                </c:pt>
                <c:pt idx="119">
                  <c:v>0.91667625437598899</c:v>
                </c:pt>
                <c:pt idx="120">
                  <c:v>0.92362069949298797</c:v>
                </c:pt>
                <c:pt idx="121">
                  <c:v>0.930565144609526</c:v>
                </c:pt>
                <c:pt idx="122">
                  <c:v>0.93750958972588605</c:v>
                </c:pt>
                <c:pt idx="123">
                  <c:v>0.94445403484289503</c:v>
                </c:pt>
                <c:pt idx="124">
                  <c:v>0.95139847995927895</c:v>
                </c:pt>
                <c:pt idx="125">
                  <c:v>0.958342925075785</c:v>
                </c:pt>
                <c:pt idx="126">
                  <c:v>0.96528737019279898</c:v>
                </c:pt>
                <c:pt idx="127">
                  <c:v>0.97223181530904301</c:v>
                </c:pt>
                <c:pt idx="128">
                  <c:v>0.97917626042568395</c:v>
                </c:pt>
                <c:pt idx="129">
                  <c:v>0.98612070554261499</c:v>
                </c:pt>
                <c:pt idx="130">
                  <c:v>0.99306515065880996</c:v>
                </c:pt>
                <c:pt idx="131">
                  <c:v>1.0000095957755699</c:v>
                </c:pt>
                <c:pt idx="132">
                  <c:v>1.0069540408923601</c:v>
                </c:pt>
                <c:pt idx="133">
                  <c:v>1.01389848600857</c:v>
                </c:pt>
                <c:pt idx="134">
                  <c:v>1.0208429311254801</c:v>
                </c:pt>
                <c:pt idx="135">
                  <c:v>1.0277873762421199</c:v>
                </c:pt>
                <c:pt idx="136">
                  <c:v>1.03473182135839</c:v>
                </c:pt>
                <c:pt idx="137">
                  <c:v>1.04167626647539</c:v>
                </c:pt>
                <c:pt idx="138">
                  <c:v>1.04862071159188</c:v>
                </c:pt>
                <c:pt idx="139">
                  <c:v>1.05556515670828</c:v>
                </c:pt>
                <c:pt idx="140">
                  <c:v>1.06250960182529</c:v>
                </c:pt>
                <c:pt idx="141">
                  <c:v>1.06945404694164</c:v>
                </c:pt>
                <c:pt idx="142">
                  <c:v>1.0763984920581799</c:v>
                </c:pt>
                <c:pt idx="143">
                  <c:v>1.0833429371751999</c:v>
                </c:pt>
                <c:pt idx="144">
                  <c:v>1.0902873822914101</c:v>
                </c:pt>
                <c:pt idx="145">
                  <c:v>1.0972318274080799</c:v>
                </c:pt>
                <c:pt idx="146">
                  <c:v>1.10417627252497</c:v>
                </c:pt>
                <c:pt idx="147">
                  <c:v>1.1111207176411699</c:v>
                </c:pt>
                <c:pt idx="148">
                  <c:v>1.1180651627579801</c:v>
                </c:pt>
                <c:pt idx="149">
                  <c:v>1.12500960787472</c:v>
                </c:pt>
                <c:pt idx="150">
                  <c:v>1.13195405299094</c:v>
                </c:pt>
                <c:pt idx="151">
                  <c:v>1.13889849810788</c:v>
                </c:pt>
                <c:pt idx="152">
                  <c:v>1.1458429432244699</c:v>
                </c:pt>
                <c:pt idx="153">
                  <c:v>1.15278738834078</c:v>
                </c:pt>
                <c:pt idx="154">
                  <c:v>1.15973183345778</c:v>
                </c:pt>
                <c:pt idx="155">
                  <c:v>1.16667627857423</c:v>
                </c:pt>
                <c:pt idx="156">
                  <c:v>1.1736207236906699</c:v>
                </c:pt>
                <c:pt idx="157">
                  <c:v>1.1805651688076899</c:v>
                </c:pt>
                <c:pt idx="158">
                  <c:v>1.187509613924</c:v>
                </c:pt>
                <c:pt idx="159">
                  <c:v>1.1944540590405599</c:v>
                </c:pt>
                <c:pt idx="160">
                  <c:v>1.2013985041575601</c:v>
                </c:pt>
                <c:pt idx="161">
                  <c:v>1.2083429492737601</c:v>
                </c:pt>
                <c:pt idx="162">
                  <c:v>1.2152873943904601</c:v>
                </c:pt>
                <c:pt idx="163">
                  <c:v>1.22223183950731</c:v>
                </c:pt>
                <c:pt idx="164">
                  <c:v>1.2291762846235199</c:v>
                </c:pt>
                <c:pt idx="165">
                  <c:v>1.23612072974037</c:v>
                </c:pt>
                <c:pt idx="166">
                  <c:v>1.24306517485707</c:v>
                </c:pt>
                <c:pt idx="167">
                  <c:v>1.25000961997328</c:v>
                </c:pt>
                <c:pt idx="168">
                  <c:v>1.25695406509027</c:v>
                </c:pt>
                <c:pt idx="169">
                  <c:v>1.2638985102068201</c:v>
                </c:pt>
                <c:pt idx="170">
                  <c:v>1.2708429553231699</c:v>
                </c:pt>
                <c:pt idx="171">
                  <c:v>1.2777874004401799</c:v>
                </c:pt>
                <c:pt idx="172">
                  <c:v>1.2847318455565899</c:v>
                </c:pt>
                <c:pt idx="173">
                  <c:v>1.2916762906730599</c:v>
                </c:pt>
                <c:pt idx="174">
                  <c:v>1.2986207357900801</c:v>
                </c:pt>
                <c:pt idx="175">
                  <c:v>1.30556518090635</c:v>
                </c:pt>
                <c:pt idx="176">
                  <c:v>1.3125096260229601</c:v>
                </c:pt>
                <c:pt idx="177">
                  <c:v>1.3194540711399101</c:v>
                </c:pt>
                <c:pt idx="178">
                  <c:v>1.32639851625611</c:v>
                </c:pt>
                <c:pt idx="179">
                  <c:v>1.33334296137286</c:v>
                </c:pt>
                <c:pt idx="180">
                  <c:v>1.3402874064896699</c:v>
                </c:pt>
                <c:pt idx="181">
                  <c:v>1.3472318516058801</c:v>
                </c:pt>
                <c:pt idx="182">
                  <c:v>1.35417629672277</c:v>
                </c:pt>
                <c:pt idx="183">
                  <c:v>1.36112074183942</c:v>
                </c:pt>
                <c:pt idx="184">
                  <c:v>1.3680651869556599</c:v>
                </c:pt>
                <c:pt idx="185">
                  <c:v>1.3750096320726799</c:v>
                </c:pt>
                <c:pt idx="186">
                  <c:v>1.3819540771891801</c:v>
                </c:pt>
                <c:pt idx="187">
                  <c:v>1.3888985223055601</c:v>
                </c:pt>
                <c:pt idx="188">
                  <c:v>1.3958429674225801</c:v>
                </c:pt>
                <c:pt idx="189">
                  <c:v>1.4027874125389399</c:v>
                </c:pt>
                <c:pt idx="190">
                  <c:v>1.4097318576554501</c:v>
                </c:pt>
                <c:pt idx="191">
                  <c:v>1.41667630277248</c:v>
                </c:pt>
                <c:pt idx="192">
                  <c:v>1.42362074788871</c:v>
                </c:pt>
                <c:pt idx="193">
                  <c:v>1.43056519300535</c:v>
                </c:pt>
                <c:pt idx="194">
                  <c:v>1.4375096381222501</c:v>
                </c:pt>
                <c:pt idx="195">
                  <c:v>1.44445408323847</c:v>
                </c:pt>
                <c:pt idx="196">
                  <c:v>1.45139852835525</c:v>
                </c:pt>
                <c:pt idx="197">
                  <c:v>1.4583429734720099</c:v>
                </c:pt>
                <c:pt idx="198">
                  <c:v>1.4652874185882301</c:v>
                </c:pt>
                <c:pt idx="199">
                  <c:v>1.4722318637051599</c:v>
                </c:pt>
                <c:pt idx="200">
                  <c:v>1.47917630882176</c:v>
                </c:pt>
                <c:pt idx="201">
                  <c:v>1.4861207539380501</c:v>
                </c:pt>
                <c:pt idx="202">
                  <c:v>1.4930651990550701</c:v>
                </c:pt>
                <c:pt idx="203">
                  <c:v>1.50000964417153</c:v>
                </c:pt>
                <c:pt idx="204">
                  <c:v>1.50695408928795</c:v>
                </c:pt>
                <c:pt idx="205">
                  <c:v>1.51389853440497</c:v>
                </c:pt>
                <c:pt idx="206">
                  <c:v>1.5208429810172901</c:v>
                </c:pt>
                <c:pt idx="207">
                  <c:v>1.52778742654828</c:v>
                </c:pt>
                <c:pt idx="208">
                  <c:v>1.53473187207926</c:v>
                </c:pt>
                <c:pt idx="209">
                  <c:v>1.5416763176102499</c:v>
                </c:pt>
                <c:pt idx="210">
                  <c:v>1.5486207631412301</c:v>
                </c:pt>
                <c:pt idx="211">
                  <c:v>1.55556520867222</c:v>
                </c:pt>
                <c:pt idx="212">
                  <c:v>1.5625096542032</c:v>
                </c:pt>
                <c:pt idx="213">
                  <c:v>1.5694540997341899</c:v>
                </c:pt>
                <c:pt idx="214">
                  <c:v>1.5763985452651801</c:v>
                </c:pt>
                <c:pt idx="215">
                  <c:v>1.58334299079616</c:v>
                </c:pt>
                <c:pt idx="216">
                  <c:v>1.59028743632715</c:v>
                </c:pt>
                <c:pt idx="217">
                  <c:v>1.5972318818581299</c:v>
                </c:pt>
                <c:pt idx="218">
                  <c:v>1.6041763273891101</c:v>
                </c:pt>
                <c:pt idx="219">
                  <c:v>1.6111207729201</c:v>
                </c:pt>
                <c:pt idx="220">
                  <c:v>1.61806521845108</c:v>
                </c:pt>
                <c:pt idx="221">
                  <c:v>1.6250096639820699</c:v>
                </c:pt>
                <c:pt idx="222">
                  <c:v>1.6319541095130501</c:v>
                </c:pt>
                <c:pt idx="223">
                  <c:v>1.63889855504404</c:v>
                </c:pt>
                <c:pt idx="224">
                  <c:v>1.64584300057502</c:v>
                </c:pt>
                <c:pt idx="225">
                  <c:v>1.6527874461060099</c:v>
                </c:pt>
                <c:pt idx="226">
                  <c:v>1.6597318916369901</c:v>
                </c:pt>
                <c:pt idx="227">
                  <c:v>1.66667633716798</c:v>
                </c:pt>
                <c:pt idx="228">
                  <c:v>1.67362078269896</c:v>
                </c:pt>
                <c:pt idx="229">
                  <c:v>1.6805652282299399</c:v>
                </c:pt>
                <c:pt idx="230">
                  <c:v>1.6875096737609301</c:v>
                </c:pt>
                <c:pt idx="231">
                  <c:v>1.69445411929192</c:v>
                </c:pt>
                <c:pt idx="232">
                  <c:v>1.7013985648229</c:v>
                </c:pt>
                <c:pt idx="233">
                  <c:v>1.7083430103538799</c:v>
                </c:pt>
                <c:pt idx="234">
                  <c:v>1.7152874558848701</c:v>
                </c:pt>
                <c:pt idx="235">
                  <c:v>1.72223190141585</c:v>
                </c:pt>
                <c:pt idx="236">
                  <c:v>1.72917634694684</c:v>
                </c:pt>
                <c:pt idx="237">
                  <c:v>1.7361207924778199</c:v>
                </c:pt>
                <c:pt idx="238">
                  <c:v>1.7430652380088001</c:v>
                </c:pt>
                <c:pt idx="239">
                  <c:v>1.75000968353979</c:v>
                </c:pt>
                <c:pt idx="240">
                  <c:v>1.75695412907077</c:v>
                </c:pt>
                <c:pt idx="241">
                  <c:v>1.7638985746017599</c:v>
                </c:pt>
                <c:pt idx="242">
                  <c:v>1.7708430201327401</c:v>
                </c:pt>
                <c:pt idx="243">
                  <c:v>1.77778746566373</c:v>
                </c:pt>
                <c:pt idx="244">
                  <c:v>1.78473191119472</c:v>
                </c:pt>
                <c:pt idx="245">
                  <c:v>1.7916763567256999</c:v>
                </c:pt>
                <c:pt idx="246">
                  <c:v>1.7986208022566901</c:v>
                </c:pt>
                <c:pt idx="247">
                  <c:v>1.80556524778767</c:v>
                </c:pt>
                <c:pt idx="248">
                  <c:v>1.81250969331866</c:v>
                </c:pt>
                <c:pt idx="249">
                  <c:v>1.8194541388496399</c:v>
                </c:pt>
                <c:pt idx="250">
                  <c:v>1.8263985843806301</c:v>
                </c:pt>
                <c:pt idx="251">
                  <c:v>1.83334302991161</c:v>
                </c:pt>
                <c:pt idx="252">
                  <c:v>1.8402874754426</c:v>
                </c:pt>
                <c:pt idx="253">
                  <c:v>1.8472319209735799</c:v>
                </c:pt>
                <c:pt idx="254">
                  <c:v>1.8541763665045701</c:v>
                </c:pt>
                <c:pt idx="255">
                  <c:v>1.86112081203555</c:v>
                </c:pt>
                <c:pt idx="256">
                  <c:v>1.86806525756654</c:v>
                </c:pt>
                <c:pt idx="257">
                  <c:v>1.8750097030975199</c:v>
                </c:pt>
                <c:pt idx="258">
                  <c:v>1.8819541486285101</c:v>
                </c:pt>
                <c:pt idx="259">
                  <c:v>1.88889859415949</c:v>
                </c:pt>
                <c:pt idx="260">
                  <c:v>1.89584303969047</c:v>
                </c:pt>
                <c:pt idx="261">
                  <c:v>1.9027874852214599</c:v>
                </c:pt>
                <c:pt idx="262">
                  <c:v>1.9097319307524401</c:v>
                </c:pt>
                <c:pt idx="263">
                  <c:v>1.91667637628343</c:v>
                </c:pt>
                <c:pt idx="264">
                  <c:v>1.92362082181441</c:v>
                </c:pt>
                <c:pt idx="265">
                  <c:v>1.9305652673453999</c:v>
                </c:pt>
                <c:pt idx="266">
                  <c:v>1.9375097128763801</c:v>
                </c:pt>
                <c:pt idx="267">
                  <c:v>1.94445415840737</c:v>
                </c:pt>
                <c:pt idx="268">
                  <c:v>1.95139860393835</c:v>
                </c:pt>
                <c:pt idx="269">
                  <c:v>1.9583430494693399</c:v>
                </c:pt>
                <c:pt idx="270">
                  <c:v>1.9652874950003201</c:v>
                </c:pt>
                <c:pt idx="271">
                  <c:v>1.97223194053131</c:v>
                </c:pt>
                <c:pt idx="272">
                  <c:v>1.97917638606229</c:v>
                </c:pt>
                <c:pt idx="273">
                  <c:v>1.9861208315932799</c:v>
                </c:pt>
                <c:pt idx="274">
                  <c:v>1.9930652771242601</c:v>
                </c:pt>
                <c:pt idx="275">
                  <c:v>2.0000097226552498</c:v>
                </c:pt>
                <c:pt idx="276">
                  <c:v>2.0069541681862302</c:v>
                </c:pt>
                <c:pt idx="277">
                  <c:v>2.0138986137172101</c:v>
                </c:pt>
                <c:pt idx="278">
                  <c:v>2.0208430592481998</c:v>
                </c:pt>
                <c:pt idx="279">
                  <c:v>2.0277875047791798</c:v>
                </c:pt>
                <c:pt idx="280">
                  <c:v>2.0347319503101602</c:v>
                </c:pt>
                <c:pt idx="281">
                  <c:v>2.0416763958411499</c:v>
                </c:pt>
                <c:pt idx="282">
                  <c:v>2.0486208413721299</c:v>
                </c:pt>
                <c:pt idx="283">
                  <c:v>2.0555652869031098</c:v>
                </c:pt>
                <c:pt idx="284">
                  <c:v>2.0625097324341</c:v>
                </c:pt>
                <c:pt idx="285">
                  <c:v>2.0694541779650799</c:v>
                </c:pt>
                <c:pt idx="286">
                  <c:v>2.0763986234960599</c:v>
                </c:pt>
                <c:pt idx="287">
                  <c:v>2.08334306902705</c:v>
                </c:pt>
                <c:pt idx="288">
                  <c:v>2.09028751455803</c:v>
                </c:pt>
                <c:pt idx="289">
                  <c:v>2.0972319600890099</c:v>
                </c:pt>
                <c:pt idx="290">
                  <c:v>2.1041764056200001</c:v>
                </c:pt>
                <c:pt idx="291">
                  <c:v>2.11112085115098</c:v>
                </c:pt>
                <c:pt idx="292">
                  <c:v>2.1180652966819702</c:v>
                </c:pt>
                <c:pt idx="293">
                  <c:v>2.1250097422129501</c:v>
                </c:pt>
                <c:pt idx="294">
                  <c:v>2.1319541877439399</c:v>
                </c:pt>
                <c:pt idx="295">
                  <c:v>2.1388986332749198</c:v>
                </c:pt>
                <c:pt idx="296">
                  <c:v>2.1458430788059002</c:v>
                </c:pt>
                <c:pt idx="297">
                  <c:v>2.1527875243368899</c:v>
                </c:pt>
                <c:pt idx="298">
                  <c:v>2.1597319698678699</c:v>
                </c:pt>
                <c:pt idx="299">
                  <c:v>2.16667641539886</c:v>
                </c:pt>
                <c:pt idx="300">
                  <c:v>2.17362086092984</c:v>
                </c:pt>
                <c:pt idx="301">
                  <c:v>2.1805653064608301</c:v>
                </c:pt>
                <c:pt idx="302">
                  <c:v>2.1875097519918101</c:v>
                </c:pt>
                <c:pt idx="303">
                  <c:v>2.19445419752279</c:v>
                </c:pt>
                <c:pt idx="304">
                  <c:v>2.2013986430537802</c:v>
                </c:pt>
                <c:pt idx="305">
                  <c:v>2.2083430885847601</c:v>
                </c:pt>
                <c:pt idx="306">
                  <c:v>2.2152875341157401</c:v>
                </c:pt>
                <c:pt idx="307">
                  <c:v>2.2222319796467298</c:v>
                </c:pt>
                <c:pt idx="308">
                  <c:v>2.22917642517772</c:v>
                </c:pt>
                <c:pt idx="309">
                  <c:v>2.2361208707086999</c:v>
                </c:pt>
                <c:pt idx="310">
                  <c:v>2.2430653162396901</c:v>
                </c:pt>
                <c:pt idx="311">
                  <c:v>2.25000976177067</c:v>
                </c:pt>
                <c:pt idx="312">
                  <c:v>2.25695420730165</c:v>
                </c:pt>
                <c:pt idx="313">
                  <c:v>2.2638986528326401</c:v>
                </c:pt>
                <c:pt idx="314">
                  <c:v>2.2708430983636201</c:v>
                </c:pt>
                <c:pt idx="315">
                  <c:v>2.2777875438946</c:v>
                </c:pt>
                <c:pt idx="316">
                  <c:v>2.2847319894255902</c:v>
                </c:pt>
                <c:pt idx="317">
                  <c:v>2.2916764349565701</c:v>
                </c:pt>
                <c:pt idx="318">
                  <c:v>2.2986208804875599</c:v>
                </c:pt>
                <c:pt idx="319">
                  <c:v>2.3055653260185398</c:v>
                </c:pt>
                <c:pt idx="320">
                  <c:v>2.31250977154953</c:v>
                </c:pt>
                <c:pt idx="321">
                  <c:v>2.3194542170805099</c:v>
                </c:pt>
                <c:pt idx="322">
                  <c:v>2.3263986626114899</c:v>
                </c:pt>
                <c:pt idx="323">
                  <c:v>2.33334310814248</c:v>
                </c:pt>
                <c:pt idx="324">
                  <c:v>2.34028755367346</c:v>
                </c:pt>
                <c:pt idx="325">
                  <c:v>2.3472319992044501</c:v>
                </c:pt>
                <c:pt idx="326">
                  <c:v>2.3541764447354301</c:v>
                </c:pt>
                <c:pt idx="327">
                  <c:v>2.3611208902664198</c:v>
                </c:pt>
                <c:pt idx="328">
                  <c:v>2.3680653357974002</c:v>
                </c:pt>
                <c:pt idx="329">
                  <c:v>2.3750097813283801</c:v>
                </c:pt>
                <c:pt idx="330">
                  <c:v>2.3819542268593699</c:v>
                </c:pt>
                <c:pt idx="331">
                  <c:v>2.3888986723903498</c:v>
                </c:pt>
                <c:pt idx="332">
                  <c:v>2.39584311792134</c:v>
                </c:pt>
                <c:pt idx="333">
                  <c:v>2.4027875634523199</c:v>
                </c:pt>
                <c:pt idx="334">
                  <c:v>2.4097320089832999</c:v>
                </c:pt>
                <c:pt idx="335">
                  <c:v>2.41667645451429</c:v>
                </c:pt>
                <c:pt idx="336">
                  <c:v>2.42362090004527</c:v>
                </c:pt>
                <c:pt idx="337">
                  <c:v>2.4305653455762601</c:v>
                </c:pt>
                <c:pt idx="338">
                  <c:v>2.4375097911072401</c:v>
                </c:pt>
                <c:pt idx="339">
                  <c:v>2.44445423663822</c:v>
                </c:pt>
                <c:pt idx="340">
                  <c:v>2.4513986821692</c:v>
                </c:pt>
                <c:pt idx="341">
                  <c:v>2.4583431277001901</c:v>
                </c:pt>
                <c:pt idx="342">
                  <c:v>2.4652875732311799</c:v>
                </c:pt>
                <c:pt idx="343">
                  <c:v>2.4722320187621598</c:v>
                </c:pt>
                <c:pt idx="344">
                  <c:v>2.4791764642931402</c:v>
                </c:pt>
                <c:pt idx="345">
                  <c:v>2.4861209098241299</c:v>
                </c:pt>
                <c:pt idx="346">
                  <c:v>2.4930653553551099</c:v>
                </c:pt>
                <c:pt idx="347">
                  <c:v>2.5000098008860898</c:v>
                </c:pt>
                <c:pt idx="348">
                  <c:v>2.50695424641708</c:v>
                </c:pt>
                <c:pt idx="349">
                  <c:v>2.5138986919480599</c:v>
                </c:pt>
                <c:pt idx="350">
                  <c:v>2.5208431374790501</c:v>
                </c:pt>
                <c:pt idx="351">
                  <c:v>2.52778758301003</c:v>
                </c:pt>
                <c:pt idx="352">
                  <c:v>2.53473202854101</c:v>
                </c:pt>
                <c:pt idx="353">
                  <c:v>2.5416764740719899</c:v>
                </c:pt>
                <c:pt idx="354">
                  <c:v>2.5486209196029801</c:v>
                </c:pt>
                <c:pt idx="355">
                  <c:v>2.55556536513396</c:v>
                </c:pt>
                <c:pt idx="356">
                  <c:v>2.5625098106649502</c:v>
                </c:pt>
                <c:pt idx="357">
                  <c:v>2.5694542561959302</c:v>
                </c:pt>
                <c:pt idx="358">
                  <c:v>2.5763987017269199</c:v>
                </c:pt>
                <c:pt idx="359">
                  <c:v>2.5833431472578998</c:v>
                </c:pt>
                <c:pt idx="360">
                  <c:v>2.59028759278889</c:v>
                </c:pt>
                <c:pt idx="361">
                  <c:v>2.5972320383198699</c:v>
                </c:pt>
                <c:pt idx="362">
                  <c:v>2.6041764838508499</c:v>
                </c:pt>
                <c:pt idx="363">
                  <c:v>2.61112092938184</c:v>
                </c:pt>
                <c:pt idx="364">
                  <c:v>2.61806537491282</c:v>
                </c:pt>
                <c:pt idx="365">
                  <c:v>2.6250098204438101</c:v>
                </c:pt>
                <c:pt idx="366">
                  <c:v>2.6319542659747901</c:v>
                </c:pt>
                <c:pt idx="367">
                  <c:v>2.6388987115057798</c:v>
                </c:pt>
                <c:pt idx="368">
                  <c:v>2.6458431570367602</c:v>
                </c:pt>
                <c:pt idx="369">
                  <c:v>2.6527876025677499</c:v>
                </c:pt>
                <c:pt idx="370">
                  <c:v>2.6597320480987299</c:v>
                </c:pt>
                <c:pt idx="371">
                  <c:v>2.66667649362972</c:v>
                </c:pt>
                <c:pt idx="372">
                  <c:v>2.6736209391607</c:v>
                </c:pt>
                <c:pt idx="373">
                  <c:v>2.6805653846916901</c:v>
                </c:pt>
                <c:pt idx="374">
                  <c:v>2.6875098302226799</c:v>
                </c:pt>
                <c:pt idx="375">
                  <c:v>2.6944542757536598</c:v>
                </c:pt>
                <c:pt idx="376">
                  <c:v>2.70139872128465</c:v>
                </c:pt>
                <c:pt idx="377">
                  <c:v>2.7083431668156299</c:v>
                </c:pt>
                <c:pt idx="378">
                  <c:v>2.7152876123466201</c:v>
                </c:pt>
                <c:pt idx="379">
                  <c:v>2.7222320578776</c:v>
                </c:pt>
                <c:pt idx="380">
                  <c:v>2.7291765034085902</c:v>
                </c:pt>
                <c:pt idx="381">
                  <c:v>2.7361209489395701</c:v>
                </c:pt>
                <c:pt idx="382">
                  <c:v>2.7430653944705599</c:v>
                </c:pt>
                <c:pt idx="383">
                  <c:v>2.7500098400015398</c:v>
                </c:pt>
                <c:pt idx="384">
                  <c:v>2.7569542855325202</c:v>
                </c:pt>
                <c:pt idx="385">
                  <c:v>2.7638987310635099</c:v>
                </c:pt>
                <c:pt idx="386">
                  <c:v>2.7708431765944899</c:v>
                </c:pt>
                <c:pt idx="387">
                  <c:v>2.77778762212548</c:v>
                </c:pt>
                <c:pt idx="388">
                  <c:v>2.78473206765646</c:v>
                </c:pt>
                <c:pt idx="389">
                  <c:v>2.7916765131874501</c:v>
                </c:pt>
                <c:pt idx="390">
                  <c:v>2.7986209587184301</c:v>
                </c:pt>
                <c:pt idx="391">
                  <c:v>2.8055654042494198</c:v>
                </c:pt>
                <c:pt idx="392">
                  <c:v>2.8125098497804002</c:v>
                </c:pt>
                <c:pt idx="393">
                  <c:v>2.8194542953113899</c:v>
                </c:pt>
                <c:pt idx="394">
                  <c:v>2.8263987408423699</c:v>
                </c:pt>
                <c:pt idx="395">
                  <c:v>2.83334318637336</c:v>
                </c:pt>
                <c:pt idx="396">
                  <c:v>2.84028763190434</c:v>
                </c:pt>
                <c:pt idx="397">
                  <c:v>2.8472320774353301</c:v>
                </c:pt>
                <c:pt idx="398">
                  <c:v>2.8541765229663101</c:v>
                </c:pt>
                <c:pt idx="399">
                  <c:v>2.86112096849729</c:v>
                </c:pt>
                <c:pt idx="400">
                  <c:v>2.8680654140282802</c:v>
                </c:pt>
                <c:pt idx="401">
                  <c:v>2.8750098595592601</c:v>
                </c:pt>
                <c:pt idx="402">
                  <c:v>2.8819543050902499</c:v>
                </c:pt>
                <c:pt idx="403">
                  <c:v>2.8888987506212298</c:v>
                </c:pt>
                <c:pt idx="404">
                  <c:v>2.89584319615222</c:v>
                </c:pt>
                <c:pt idx="405">
                  <c:v>2.9027876416831999</c:v>
                </c:pt>
                <c:pt idx="406">
                  <c:v>2.9097320872141901</c:v>
                </c:pt>
                <c:pt idx="407">
                  <c:v>2.91667653274517</c:v>
                </c:pt>
                <c:pt idx="408">
                  <c:v>2.9236209782761602</c:v>
                </c:pt>
                <c:pt idx="409">
                  <c:v>2.9305654238071401</c:v>
                </c:pt>
                <c:pt idx="410">
                  <c:v>2.9375098693381299</c:v>
                </c:pt>
                <c:pt idx="411">
                  <c:v>2.9444543148691098</c:v>
                </c:pt>
                <c:pt idx="412">
                  <c:v>2.9513987604001</c:v>
                </c:pt>
                <c:pt idx="413">
                  <c:v>2.9583432059310799</c:v>
                </c:pt>
                <c:pt idx="414">
                  <c:v>2.9652876514620701</c:v>
                </c:pt>
                <c:pt idx="415">
                  <c:v>2.97223209699305</c:v>
                </c:pt>
                <c:pt idx="416">
                  <c:v>2.9791765425240402</c:v>
                </c:pt>
                <c:pt idx="417">
                  <c:v>2.9861209880550201</c:v>
                </c:pt>
                <c:pt idx="418">
                  <c:v>2.9930654335860098</c:v>
                </c:pt>
                <c:pt idx="419">
                  <c:v>3.0000098791169898</c:v>
                </c:pt>
                <c:pt idx="420">
                  <c:v>3.00695432464798</c:v>
                </c:pt>
                <c:pt idx="421">
                  <c:v>3.0138987701789599</c:v>
                </c:pt>
                <c:pt idx="422">
                  <c:v>3.0208432157099501</c:v>
                </c:pt>
                <c:pt idx="423">
                  <c:v>3.02778766124093</c:v>
                </c:pt>
                <c:pt idx="424">
                  <c:v>3.03473210617874</c:v>
                </c:pt>
                <c:pt idx="425">
                  <c:v>3.0416765523936</c:v>
                </c:pt>
                <c:pt idx="426">
                  <c:v>3.04862099860846</c:v>
                </c:pt>
                <c:pt idx="427">
                  <c:v>3.05556544482332</c:v>
                </c:pt>
                <c:pt idx="428">
                  <c:v>3.0625098910381898</c:v>
                </c:pt>
                <c:pt idx="429">
                  <c:v>3.0694543372530498</c:v>
                </c:pt>
                <c:pt idx="430">
                  <c:v>3.0763987834679098</c:v>
                </c:pt>
                <c:pt idx="431">
                  <c:v>3.0833432296827801</c:v>
                </c:pt>
                <c:pt idx="432">
                  <c:v>3.0902876758976401</c:v>
                </c:pt>
                <c:pt idx="433">
                  <c:v>3.0972321221125001</c:v>
                </c:pt>
                <c:pt idx="434">
                  <c:v>3.1041765683273601</c:v>
                </c:pt>
                <c:pt idx="435">
                  <c:v>3.1111210145422299</c:v>
                </c:pt>
                <c:pt idx="436">
                  <c:v>3.1180654607570899</c:v>
                </c:pt>
                <c:pt idx="437">
                  <c:v>3.1250099069719499</c:v>
                </c:pt>
                <c:pt idx="438">
                  <c:v>3.1319543531868099</c:v>
                </c:pt>
                <c:pt idx="439">
                  <c:v>3.1388987994016802</c:v>
                </c:pt>
                <c:pt idx="440">
                  <c:v>3.1458432456165402</c:v>
                </c:pt>
                <c:pt idx="441">
                  <c:v>3.1527876918314002</c:v>
                </c:pt>
                <c:pt idx="442">
                  <c:v>3.15973213804627</c:v>
                </c:pt>
                <c:pt idx="443">
                  <c:v>3.16667658426113</c:v>
                </c:pt>
                <c:pt idx="444">
                  <c:v>3.17362103047599</c:v>
                </c:pt>
                <c:pt idx="445">
                  <c:v>3.18056547669085</c:v>
                </c:pt>
                <c:pt idx="446">
                  <c:v>3.1875099229057202</c:v>
                </c:pt>
                <c:pt idx="447">
                  <c:v>3.1944543691205798</c:v>
                </c:pt>
                <c:pt idx="448">
                  <c:v>3.2013988153354398</c:v>
                </c:pt>
                <c:pt idx="449">
                  <c:v>3.20834326155031</c:v>
                </c:pt>
                <c:pt idx="450">
                  <c:v>3.21528770776517</c:v>
                </c:pt>
                <c:pt idx="451">
                  <c:v>3.22223215398003</c:v>
                </c:pt>
                <c:pt idx="452">
                  <c:v>3.2291766001948901</c:v>
                </c:pt>
                <c:pt idx="453">
                  <c:v>3.2361210464097598</c:v>
                </c:pt>
                <c:pt idx="454">
                  <c:v>3.2430654926246198</c:v>
                </c:pt>
                <c:pt idx="455">
                  <c:v>3.2500099388394799</c:v>
                </c:pt>
                <c:pt idx="456">
                  <c:v>3.2569543850543399</c:v>
                </c:pt>
                <c:pt idx="457">
                  <c:v>3.2638988312692101</c:v>
                </c:pt>
                <c:pt idx="458">
                  <c:v>3.2708432774840701</c:v>
                </c:pt>
                <c:pt idx="459">
                  <c:v>3.2777877236989301</c:v>
                </c:pt>
                <c:pt idx="460">
                  <c:v>3.2847321699137999</c:v>
                </c:pt>
                <c:pt idx="461">
                  <c:v>3.2916766161286599</c:v>
                </c:pt>
                <c:pt idx="462">
                  <c:v>3.2986210623435199</c:v>
                </c:pt>
                <c:pt idx="463">
                  <c:v>3.3055655085583799</c:v>
                </c:pt>
                <c:pt idx="464">
                  <c:v>3.3125099547732502</c:v>
                </c:pt>
                <c:pt idx="465">
                  <c:v>3.3194544009881102</c:v>
                </c:pt>
                <c:pt idx="466">
                  <c:v>3.3263988472029702</c:v>
                </c:pt>
                <c:pt idx="467">
                  <c:v>3.33334329341784</c:v>
                </c:pt>
                <c:pt idx="468">
                  <c:v>3.3402877396327</c:v>
                </c:pt>
                <c:pt idx="469">
                  <c:v>3.34723218584756</c:v>
                </c:pt>
                <c:pt idx="470">
                  <c:v>3.35417663206242</c:v>
                </c:pt>
                <c:pt idx="471">
                  <c:v>3.3611210782772898</c:v>
                </c:pt>
                <c:pt idx="472">
                  <c:v>3.3680655244921498</c:v>
                </c:pt>
                <c:pt idx="473">
                  <c:v>3.3750099707070098</c:v>
                </c:pt>
                <c:pt idx="474">
                  <c:v>3.38195441692188</c:v>
                </c:pt>
                <c:pt idx="475">
                  <c:v>3.38889886313674</c:v>
                </c:pt>
                <c:pt idx="476">
                  <c:v>3.3958433093516001</c:v>
                </c:pt>
                <c:pt idx="477">
                  <c:v>3.4027877555664601</c:v>
                </c:pt>
                <c:pt idx="478">
                  <c:v>3.4097322017813299</c:v>
                </c:pt>
                <c:pt idx="479">
                  <c:v>3.4166766479961899</c:v>
                </c:pt>
                <c:pt idx="480">
                  <c:v>3.4236210942110499</c:v>
                </c:pt>
                <c:pt idx="481">
                  <c:v>3.4305655404259099</c:v>
                </c:pt>
                <c:pt idx="482">
                  <c:v>3.4375099866407801</c:v>
                </c:pt>
                <c:pt idx="483">
                  <c:v>3.4444544328556401</c:v>
                </c:pt>
                <c:pt idx="484">
                  <c:v>3.4513988790705001</c:v>
                </c:pt>
                <c:pt idx="485">
                  <c:v>3.4583433252853699</c:v>
                </c:pt>
                <c:pt idx="486">
                  <c:v>3.4652877715002299</c:v>
                </c:pt>
                <c:pt idx="487">
                  <c:v>3.4722322177150899</c:v>
                </c:pt>
                <c:pt idx="488">
                  <c:v>3.47917666392995</c:v>
                </c:pt>
                <c:pt idx="489">
                  <c:v>3.4861211101448202</c:v>
                </c:pt>
                <c:pt idx="490">
                  <c:v>3.4930655563596802</c:v>
                </c:pt>
                <c:pt idx="491">
                  <c:v>3.5000100025745402</c:v>
                </c:pt>
                <c:pt idx="492">
                  <c:v>3.50695444878941</c:v>
                </c:pt>
                <c:pt idx="493">
                  <c:v>3.51389889500427</c:v>
                </c:pt>
                <c:pt idx="494">
                  <c:v>3.52084334121913</c:v>
                </c:pt>
                <c:pt idx="495">
                  <c:v>3.52778778743399</c:v>
                </c:pt>
                <c:pt idx="496">
                  <c:v>3.5347322336488598</c:v>
                </c:pt>
                <c:pt idx="497">
                  <c:v>3.5416766798637198</c:v>
                </c:pt>
                <c:pt idx="498">
                  <c:v>3.5486211260785798</c:v>
                </c:pt>
                <c:pt idx="499">
                  <c:v>3.5555655722934398</c:v>
                </c:pt>
                <c:pt idx="500">
                  <c:v>3.5625100185083101</c:v>
                </c:pt>
                <c:pt idx="501">
                  <c:v>3.5694544647231701</c:v>
                </c:pt>
                <c:pt idx="502">
                  <c:v>3.5763989109380301</c:v>
                </c:pt>
                <c:pt idx="503">
                  <c:v>3.5833433571528999</c:v>
                </c:pt>
                <c:pt idx="504">
                  <c:v>3.5902878033677599</c:v>
                </c:pt>
                <c:pt idx="505">
                  <c:v>3.5972322495826199</c:v>
                </c:pt>
                <c:pt idx="506">
                  <c:v>3.6041766957974799</c:v>
                </c:pt>
                <c:pt idx="507">
                  <c:v>3.6111211420123501</c:v>
                </c:pt>
                <c:pt idx="508">
                  <c:v>3.6180655882272101</c:v>
                </c:pt>
                <c:pt idx="509">
                  <c:v>3.6250100344420702</c:v>
                </c:pt>
                <c:pt idx="510">
                  <c:v>3.6319544806569399</c:v>
                </c:pt>
                <c:pt idx="511">
                  <c:v>3.6388989268717999</c:v>
                </c:pt>
                <c:pt idx="512">
                  <c:v>3.6458433730866702</c:v>
                </c:pt>
                <c:pt idx="513">
                  <c:v>3.65278781930154</c:v>
                </c:pt>
                <c:pt idx="514">
                  <c:v>3.6597322655164</c:v>
                </c:pt>
                <c:pt idx="515">
                  <c:v>3.6666767117312702</c:v>
                </c:pt>
                <c:pt idx="516">
                  <c:v>3.67362115794614</c:v>
                </c:pt>
                <c:pt idx="517">
                  <c:v>3.6805656041610102</c:v>
                </c:pt>
                <c:pt idx="518">
                  <c:v>3.6875100503758702</c:v>
                </c:pt>
                <c:pt idx="519">
                  <c:v>3.69445449659074</c:v>
                </c:pt>
                <c:pt idx="520">
                  <c:v>3.7013989428056102</c:v>
                </c:pt>
                <c:pt idx="521">
                  <c:v>3.7083433890204698</c:v>
                </c:pt>
                <c:pt idx="522">
                  <c:v>3.71528783523534</c:v>
                </c:pt>
                <c:pt idx="523">
                  <c:v>3.7222322814502098</c:v>
                </c:pt>
                <c:pt idx="524">
                  <c:v>3.7291767276650698</c:v>
                </c:pt>
                <c:pt idx="525">
                  <c:v>3.73612117387994</c:v>
                </c:pt>
                <c:pt idx="526">
                  <c:v>3.7430656200948</c:v>
                </c:pt>
                <c:pt idx="527">
                  <c:v>3.7500100663096698</c:v>
                </c:pt>
                <c:pt idx="528">
                  <c:v>3.75695451252454</c:v>
                </c:pt>
                <c:pt idx="529">
                  <c:v>3.7638989587394098</c:v>
                </c:pt>
                <c:pt idx="530">
                  <c:v>3.7708434049542801</c:v>
                </c:pt>
                <c:pt idx="531">
                  <c:v>3.7777878511691401</c:v>
                </c:pt>
                <c:pt idx="532">
                  <c:v>3.7847322973840098</c:v>
                </c:pt>
                <c:pt idx="533">
                  <c:v>3.7916767435988801</c:v>
                </c:pt>
                <c:pt idx="534">
                  <c:v>3.7986211898137401</c:v>
                </c:pt>
                <c:pt idx="535">
                  <c:v>3.8055656360286099</c:v>
                </c:pt>
                <c:pt idx="536">
                  <c:v>3.8125100822434699</c:v>
                </c:pt>
                <c:pt idx="537">
                  <c:v>3.8194545284583401</c:v>
                </c:pt>
                <c:pt idx="538">
                  <c:v>3.8263989746732099</c:v>
                </c:pt>
                <c:pt idx="539">
                  <c:v>3.8333434208880699</c:v>
                </c:pt>
                <c:pt idx="540">
                  <c:v>3.8402878671029299</c:v>
                </c:pt>
                <c:pt idx="541">
                  <c:v>3.8472323133178001</c:v>
                </c:pt>
                <c:pt idx="542">
                  <c:v>3.8541767595326699</c:v>
                </c:pt>
                <c:pt idx="543">
                  <c:v>3.8611212057475299</c:v>
                </c:pt>
                <c:pt idx="544">
                  <c:v>3.8680656519623899</c:v>
                </c:pt>
                <c:pt idx="545">
                  <c:v>3.8750100981772602</c:v>
                </c:pt>
                <c:pt idx="546">
                  <c:v>3.8819545443921299</c:v>
                </c:pt>
                <c:pt idx="547">
                  <c:v>3.88889899060699</c:v>
                </c:pt>
                <c:pt idx="548">
                  <c:v>3.89584343682185</c:v>
                </c:pt>
                <c:pt idx="549">
                  <c:v>3.9027878830367202</c:v>
                </c:pt>
                <c:pt idx="550">
                  <c:v>3.90973232925159</c:v>
                </c:pt>
                <c:pt idx="551">
                  <c:v>3.91667677546645</c:v>
                </c:pt>
                <c:pt idx="552">
                  <c:v>3.92362122168131</c:v>
                </c:pt>
                <c:pt idx="553">
                  <c:v>3.9305656678961798</c:v>
                </c:pt>
                <c:pt idx="554">
                  <c:v>3.93751011411105</c:v>
                </c:pt>
                <c:pt idx="555">
                  <c:v>3.9444545603259198</c:v>
                </c:pt>
                <c:pt idx="556">
                  <c:v>3.9513990065407798</c:v>
                </c:pt>
                <c:pt idx="557">
                  <c:v>3.9583434527556398</c:v>
                </c:pt>
                <c:pt idx="558">
                  <c:v>3.96528789897051</c:v>
                </c:pt>
                <c:pt idx="559">
                  <c:v>3.9722323451853798</c:v>
                </c:pt>
                <c:pt idx="560">
                  <c:v>3.9791767914002398</c:v>
                </c:pt>
                <c:pt idx="561">
                  <c:v>3.9861212376151101</c:v>
                </c:pt>
                <c:pt idx="562">
                  <c:v>3.9930656838299798</c:v>
                </c:pt>
                <c:pt idx="563">
                  <c:v>4.0000101300448403</c:v>
                </c:pt>
                <c:pt idx="564">
                  <c:v>4.0069545762597096</c:v>
                </c:pt>
                <c:pt idx="565">
                  <c:v>4.0138990224745701</c:v>
                </c:pt>
                <c:pt idx="566">
                  <c:v>4.0208434686894403</c:v>
                </c:pt>
                <c:pt idx="567">
                  <c:v>4.0277879149043097</c:v>
                </c:pt>
                <c:pt idx="568">
                  <c:v>4.0347323611191701</c:v>
                </c:pt>
                <c:pt idx="569">
                  <c:v>4.0416768073340297</c:v>
                </c:pt>
                <c:pt idx="570">
                  <c:v>4.0486212535488999</c:v>
                </c:pt>
                <c:pt idx="571">
                  <c:v>4.0555656997637701</c:v>
                </c:pt>
                <c:pt idx="572">
                  <c:v>4.0625101459786297</c:v>
                </c:pt>
                <c:pt idx="573">
                  <c:v>4.0694545921934999</c:v>
                </c:pt>
                <c:pt idx="574">
                  <c:v>4.0763990384083604</c:v>
                </c:pt>
                <c:pt idx="575">
                  <c:v>4.0833434846232297</c:v>
                </c:pt>
                <c:pt idx="576">
                  <c:v>4.0902879308380999</c:v>
                </c:pt>
                <c:pt idx="577">
                  <c:v>4.0972323770529604</c:v>
                </c:pt>
                <c:pt idx="578">
                  <c:v>4.10417682326782</c:v>
                </c:pt>
                <c:pt idx="579">
                  <c:v>4.1111212694826902</c:v>
                </c:pt>
                <c:pt idx="580">
                  <c:v>4.1180657156975498</c:v>
                </c:pt>
                <c:pt idx="581">
                  <c:v>4.12501016191242</c:v>
                </c:pt>
                <c:pt idx="582">
                  <c:v>4.1319546081272804</c:v>
                </c:pt>
                <c:pt idx="583">
                  <c:v>4.1388990543421498</c:v>
                </c:pt>
                <c:pt idx="584">
                  <c:v>4.14584350055702</c:v>
                </c:pt>
                <c:pt idx="585">
                  <c:v>4.1527879467718796</c:v>
                </c:pt>
                <c:pt idx="586">
                  <c:v>4.15973239298674</c:v>
                </c:pt>
                <c:pt idx="587">
                  <c:v>4.1666768392016102</c:v>
                </c:pt>
                <c:pt idx="588">
                  <c:v>4.1736212854164796</c:v>
                </c:pt>
                <c:pt idx="589">
                  <c:v>4.18056573163134</c:v>
                </c:pt>
                <c:pt idx="590">
                  <c:v>4.1875101778462103</c:v>
                </c:pt>
                <c:pt idx="591">
                  <c:v>4.1944546240610698</c:v>
                </c:pt>
                <c:pt idx="592">
                  <c:v>4.2013990702759401</c:v>
                </c:pt>
                <c:pt idx="593">
                  <c:v>4.2083435164908103</c:v>
                </c:pt>
                <c:pt idx="594">
                  <c:v>4.2152879627056699</c:v>
                </c:pt>
                <c:pt idx="595">
                  <c:v>4.2222324089205401</c:v>
                </c:pt>
                <c:pt idx="596">
                  <c:v>4.2291768551354103</c:v>
                </c:pt>
                <c:pt idx="597">
                  <c:v>4.2361213013502796</c:v>
                </c:pt>
                <c:pt idx="598">
                  <c:v>4.2430657475651499</c:v>
                </c:pt>
                <c:pt idx="599">
                  <c:v>4.2500101937800103</c:v>
                </c:pt>
                <c:pt idx="600">
                  <c:v>4.2569546399948797</c:v>
                </c:pt>
                <c:pt idx="601">
                  <c:v>4.2638990862097499</c:v>
                </c:pt>
                <c:pt idx="602">
                  <c:v>4.2708435324246103</c:v>
                </c:pt>
                <c:pt idx="603">
                  <c:v>4.2777879786394797</c:v>
                </c:pt>
                <c:pt idx="604">
                  <c:v>4.2847324248543401</c:v>
                </c:pt>
                <c:pt idx="605">
                  <c:v>4.2916768710692104</c:v>
                </c:pt>
                <c:pt idx="606">
                  <c:v>4.2986213172840797</c:v>
                </c:pt>
                <c:pt idx="607">
                  <c:v>4.3055657634989402</c:v>
                </c:pt>
                <c:pt idx="608">
                  <c:v>4.3125102097138104</c:v>
                </c:pt>
                <c:pt idx="609">
                  <c:v>4.3194546559286797</c:v>
                </c:pt>
                <c:pt idx="610">
                  <c:v>4.3263991021435499</c:v>
                </c:pt>
                <c:pt idx="611">
                  <c:v>4.3333435483584104</c:v>
                </c:pt>
                <c:pt idx="612">
                  <c:v>4.3402879945732797</c:v>
                </c:pt>
                <c:pt idx="613">
                  <c:v>4.34723244078815</c:v>
                </c:pt>
                <c:pt idx="614">
                  <c:v>4.3541768870030104</c:v>
                </c:pt>
                <c:pt idx="615">
                  <c:v>4.36112133321787</c:v>
                </c:pt>
                <c:pt idx="616">
                  <c:v>4.3680657794327402</c:v>
                </c:pt>
                <c:pt idx="617">
                  <c:v>4.3750102256475998</c:v>
                </c:pt>
                <c:pt idx="618">
                  <c:v>4.3819546718624602</c:v>
                </c:pt>
                <c:pt idx="619">
                  <c:v>4.3888991180773198</c:v>
                </c:pt>
                <c:pt idx="620">
                  <c:v>4.39584356429219</c:v>
                </c:pt>
                <c:pt idx="621">
                  <c:v>4.4027880105070496</c:v>
                </c:pt>
                <c:pt idx="622">
                  <c:v>4.4097324567219101</c:v>
                </c:pt>
                <c:pt idx="623">
                  <c:v>4.4166769029367803</c:v>
                </c:pt>
                <c:pt idx="624">
                  <c:v>4.4236213491516398</c:v>
                </c:pt>
                <c:pt idx="625">
                  <c:v>4.4305657953665003</c:v>
                </c:pt>
                <c:pt idx="626">
                  <c:v>4.4375102415813599</c:v>
                </c:pt>
                <c:pt idx="627">
                  <c:v>4.4444546877962301</c:v>
                </c:pt>
                <c:pt idx="628">
                  <c:v>4.4513991340110897</c:v>
                </c:pt>
                <c:pt idx="629">
                  <c:v>4.4583435802259501</c:v>
                </c:pt>
                <c:pt idx="630">
                  <c:v>4.4652880264408097</c:v>
                </c:pt>
                <c:pt idx="631">
                  <c:v>4.4722324726556799</c:v>
                </c:pt>
                <c:pt idx="632">
                  <c:v>4.4791769188705404</c:v>
                </c:pt>
                <c:pt idx="633">
                  <c:v>4.4861213650853999</c:v>
                </c:pt>
                <c:pt idx="634">
                  <c:v>4.4930658113002702</c:v>
                </c:pt>
                <c:pt idx="635">
                  <c:v>4.5000102575151297</c:v>
                </c:pt>
                <c:pt idx="636">
                  <c:v>4.5069547037299902</c:v>
                </c:pt>
                <c:pt idx="637">
                  <c:v>4.5138991499448498</c:v>
                </c:pt>
                <c:pt idx="638">
                  <c:v>4.52084359615972</c:v>
                </c:pt>
                <c:pt idx="639">
                  <c:v>4.5277880423745804</c:v>
                </c:pt>
                <c:pt idx="640">
                  <c:v>4.53473248858944</c:v>
                </c:pt>
                <c:pt idx="641">
                  <c:v>4.5416769348043102</c:v>
                </c:pt>
                <c:pt idx="642">
                  <c:v>4.5486213810191698</c:v>
                </c:pt>
                <c:pt idx="643">
                  <c:v>4.5555658272340303</c:v>
                </c:pt>
                <c:pt idx="644">
                  <c:v>4.5625102734488898</c:v>
                </c:pt>
                <c:pt idx="645">
                  <c:v>4.56945471966376</c:v>
                </c:pt>
                <c:pt idx="646">
                  <c:v>4.5763991658786196</c:v>
                </c:pt>
                <c:pt idx="647">
                  <c:v>4.5833436120934801</c:v>
                </c:pt>
                <c:pt idx="648">
                  <c:v>4.5902880583083396</c:v>
                </c:pt>
                <c:pt idx="649">
                  <c:v>4.5972325045232099</c:v>
                </c:pt>
                <c:pt idx="650">
                  <c:v>4.6041769507380703</c:v>
                </c:pt>
                <c:pt idx="651">
                  <c:v>4.6111213969529299</c:v>
                </c:pt>
                <c:pt idx="652">
                  <c:v>4.6180658431678001</c:v>
                </c:pt>
                <c:pt idx="653">
                  <c:v>4.6250102893826597</c:v>
                </c:pt>
                <c:pt idx="654">
                  <c:v>4.6319547355975201</c:v>
                </c:pt>
                <c:pt idx="655">
                  <c:v>4.6388991818123797</c:v>
                </c:pt>
                <c:pt idx="656">
                  <c:v>4.6458436280272499</c:v>
                </c:pt>
                <c:pt idx="657">
                  <c:v>4.6527880742421104</c:v>
                </c:pt>
                <c:pt idx="658">
                  <c:v>4.65973252045697</c:v>
                </c:pt>
                <c:pt idx="659">
                  <c:v>4.6666769666718402</c:v>
                </c:pt>
                <c:pt idx="660">
                  <c:v>4.6736214128866997</c:v>
                </c:pt>
                <c:pt idx="661">
                  <c:v>4.6805658591015602</c:v>
                </c:pt>
                <c:pt idx="662">
                  <c:v>4.6875103053164198</c:v>
                </c:pt>
                <c:pt idx="663">
                  <c:v>4.69445475153129</c:v>
                </c:pt>
                <c:pt idx="664">
                  <c:v>4.7013991977461496</c:v>
                </c:pt>
                <c:pt idx="665">
                  <c:v>4.70834364396101</c:v>
                </c:pt>
                <c:pt idx="666">
                  <c:v>4.7152880901758802</c:v>
                </c:pt>
                <c:pt idx="667">
                  <c:v>4.7222325363907398</c:v>
                </c:pt>
                <c:pt idx="668">
                  <c:v>4.7291769826056003</c:v>
                </c:pt>
                <c:pt idx="669">
                  <c:v>4.7361214288204598</c:v>
                </c:pt>
                <c:pt idx="670">
                  <c:v>4.7430658750353301</c:v>
                </c:pt>
                <c:pt idx="671">
                  <c:v>4.7500103212501896</c:v>
                </c:pt>
                <c:pt idx="672">
                  <c:v>4.7569547674650501</c:v>
                </c:pt>
                <c:pt idx="673">
                  <c:v>4.7638992136799096</c:v>
                </c:pt>
                <c:pt idx="674">
                  <c:v>4.7708436598947799</c:v>
                </c:pt>
                <c:pt idx="675">
                  <c:v>4.7777881061096403</c:v>
                </c:pt>
                <c:pt idx="676">
                  <c:v>4.7847325523244999</c:v>
                </c:pt>
                <c:pt idx="677">
                  <c:v>4.7916769985393701</c:v>
                </c:pt>
                <c:pt idx="678">
                  <c:v>4.7986214447542297</c:v>
                </c:pt>
                <c:pt idx="679">
                  <c:v>4.8055658909690901</c:v>
                </c:pt>
                <c:pt idx="680">
                  <c:v>4.8125103371839497</c:v>
                </c:pt>
                <c:pt idx="681">
                  <c:v>4.8194547833988199</c:v>
                </c:pt>
                <c:pt idx="682">
                  <c:v>4.8263992296136804</c:v>
                </c:pt>
                <c:pt idx="683">
                  <c:v>4.83334367582854</c:v>
                </c:pt>
                <c:pt idx="684">
                  <c:v>4.8402881220434102</c:v>
                </c:pt>
                <c:pt idx="685">
                  <c:v>4.8472325682582698</c:v>
                </c:pt>
                <c:pt idx="686">
                  <c:v>4.8541770144731302</c:v>
                </c:pt>
                <c:pt idx="687">
                  <c:v>4.8611214606879898</c:v>
                </c:pt>
                <c:pt idx="688">
                  <c:v>4.86806590690286</c:v>
                </c:pt>
                <c:pt idx="689">
                  <c:v>4.8750103531177196</c:v>
                </c:pt>
                <c:pt idx="690">
                  <c:v>4.88195479933258</c:v>
                </c:pt>
                <c:pt idx="691">
                  <c:v>4.8888992455474396</c:v>
                </c:pt>
                <c:pt idx="692">
                  <c:v>4.8958436917623098</c:v>
                </c:pt>
                <c:pt idx="693">
                  <c:v>4.9027881379771703</c:v>
                </c:pt>
                <c:pt idx="694">
                  <c:v>4.9097325841920298</c:v>
                </c:pt>
                <c:pt idx="695">
                  <c:v>4.9166770304069001</c:v>
                </c:pt>
                <c:pt idx="696">
                  <c:v>4.9236214766217596</c:v>
                </c:pt>
                <c:pt idx="697">
                  <c:v>4.9305659228366201</c:v>
                </c:pt>
                <c:pt idx="698">
                  <c:v>4.9375103690514797</c:v>
                </c:pt>
                <c:pt idx="699">
                  <c:v>4.9444548152663499</c:v>
                </c:pt>
                <c:pt idx="700">
                  <c:v>4.9513992614812103</c:v>
                </c:pt>
                <c:pt idx="701">
                  <c:v>4.9583437076960699</c:v>
                </c:pt>
                <c:pt idx="702">
                  <c:v>4.9652881539109401</c:v>
                </c:pt>
                <c:pt idx="703">
                  <c:v>4.9722326001257997</c:v>
                </c:pt>
                <c:pt idx="704">
                  <c:v>4.9791770463406602</c:v>
                </c:pt>
                <c:pt idx="705">
                  <c:v>4.9861214925555197</c:v>
                </c:pt>
                <c:pt idx="706">
                  <c:v>4.99306593877039</c:v>
                </c:pt>
                <c:pt idx="707">
                  <c:v>5.0000103849852504</c:v>
                </c:pt>
                <c:pt idx="708">
                  <c:v>5.00695483120011</c:v>
                </c:pt>
                <c:pt idx="709">
                  <c:v>5.0138992774149704</c:v>
                </c:pt>
                <c:pt idx="710">
                  <c:v>5.0208437236298398</c:v>
                </c:pt>
                <c:pt idx="711">
                  <c:v>5.0277881698447002</c:v>
                </c:pt>
                <c:pt idx="712">
                  <c:v>5.0347326160595598</c:v>
                </c:pt>
                <c:pt idx="713">
                  <c:v>5.04167706227443</c:v>
                </c:pt>
                <c:pt idx="714">
                  <c:v>5.0486215084892896</c:v>
                </c:pt>
                <c:pt idx="715">
                  <c:v>5.0555659547041598</c:v>
                </c:pt>
                <c:pt idx="716">
                  <c:v>5.06251040091903</c:v>
                </c:pt>
                <c:pt idx="717">
                  <c:v>5.0694548471338896</c:v>
                </c:pt>
                <c:pt idx="718">
                  <c:v>5.0763992933487598</c:v>
                </c:pt>
                <c:pt idx="719">
                  <c:v>5.0833437395636203</c:v>
                </c:pt>
                <c:pt idx="720">
                  <c:v>5.0902881857784896</c:v>
                </c:pt>
                <c:pt idx="721">
                  <c:v>5.0972326319933599</c:v>
                </c:pt>
                <c:pt idx="722">
                  <c:v>5.1041770782082203</c:v>
                </c:pt>
                <c:pt idx="723">
                  <c:v>5.1111215244230896</c:v>
                </c:pt>
                <c:pt idx="724">
                  <c:v>5.1180659706379599</c:v>
                </c:pt>
                <c:pt idx="725">
                  <c:v>5.1250104168528203</c:v>
                </c:pt>
                <c:pt idx="726">
                  <c:v>5.1319548630676897</c:v>
                </c:pt>
                <c:pt idx="727">
                  <c:v>5.1388993092825599</c:v>
                </c:pt>
                <c:pt idx="728">
                  <c:v>5.1458437554974301</c:v>
                </c:pt>
                <c:pt idx="729">
                  <c:v>5.1527882017122897</c:v>
                </c:pt>
                <c:pt idx="730">
                  <c:v>5.1597326479271599</c:v>
                </c:pt>
                <c:pt idx="731">
                  <c:v>5.1666770941420301</c:v>
                </c:pt>
                <c:pt idx="732">
                  <c:v>5.1736215403568897</c:v>
                </c:pt>
                <c:pt idx="733">
                  <c:v>5.1805659865717599</c:v>
                </c:pt>
                <c:pt idx="734">
                  <c:v>5.1875104327866302</c:v>
                </c:pt>
                <c:pt idx="735">
                  <c:v>5.1944548790014897</c:v>
                </c:pt>
                <c:pt idx="736">
                  <c:v>5.2013993252163599</c:v>
                </c:pt>
                <c:pt idx="737">
                  <c:v>5.2083437714312302</c:v>
                </c:pt>
                <c:pt idx="738">
                  <c:v>5.2152882176460897</c:v>
                </c:pt>
                <c:pt idx="739">
                  <c:v>5.22223266386096</c:v>
                </c:pt>
                <c:pt idx="740">
                  <c:v>5.2291771100758302</c:v>
                </c:pt>
                <c:pt idx="741">
                  <c:v>5.2361215562907004</c:v>
                </c:pt>
                <c:pt idx="742">
                  <c:v>5.2430660025055502</c:v>
                </c:pt>
                <c:pt idx="743">
                  <c:v>5.2500104487204204</c:v>
                </c:pt>
                <c:pt idx="744">
                  <c:v>5.2569548949352898</c:v>
                </c:pt>
                <c:pt idx="745">
                  <c:v>5.2638993411501502</c:v>
                </c:pt>
                <c:pt idx="746">
                  <c:v>5.2708437873650098</c:v>
                </c:pt>
                <c:pt idx="747">
                  <c:v>5.27778823357988</c:v>
                </c:pt>
                <c:pt idx="748">
                  <c:v>5.2847326797947503</c:v>
                </c:pt>
                <c:pt idx="749">
                  <c:v>5.2916771260096098</c:v>
                </c:pt>
                <c:pt idx="750">
                  <c:v>5.29862157222448</c:v>
                </c:pt>
                <c:pt idx="751">
                  <c:v>5.3055660184393396</c:v>
                </c:pt>
                <c:pt idx="752">
                  <c:v>5.3125104646542001</c:v>
                </c:pt>
                <c:pt idx="753">
                  <c:v>5.3194549108690703</c:v>
                </c:pt>
                <c:pt idx="754">
                  <c:v>5.3263993570839396</c:v>
                </c:pt>
                <c:pt idx="755">
                  <c:v>5.3333438032988001</c:v>
                </c:pt>
                <c:pt idx="756">
                  <c:v>5.3402882495136703</c:v>
                </c:pt>
                <c:pt idx="757">
                  <c:v>5.3472326957285397</c:v>
                </c:pt>
                <c:pt idx="758">
                  <c:v>5.3541771419434001</c:v>
                </c:pt>
                <c:pt idx="759">
                  <c:v>5.3611215881582597</c:v>
                </c:pt>
                <c:pt idx="760">
                  <c:v>5.3680660343731299</c:v>
                </c:pt>
                <c:pt idx="761">
                  <c:v>5.3750104805880001</c:v>
                </c:pt>
                <c:pt idx="762">
                  <c:v>5.3819549268028704</c:v>
                </c:pt>
                <c:pt idx="763">
                  <c:v>5.3888993730177299</c:v>
                </c:pt>
                <c:pt idx="764">
                  <c:v>5.3958438192325904</c:v>
                </c:pt>
                <c:pt idx="765">
                  <c:v>5.4027882654474597</c:v>
                </c:pt>
                <c:pt idx="766">
                  <c:v>5.4097327116623299</c:v>
                </c:pt>
                <c:pt idx="767">
                  <c:v>5.4166771578772002</c:v>
                </c:pt>
                <c:pt idx="768">
                  <c:v>5.4236216040920597</c:v>
                </c:pt>
                <c:pt idx="769">
                  <c:v>5.4305660503069202</c:v>
                </c:pt>
                <c:pt idx="770">
                  <c:v>5.4375104965217904</c:v>
                </c:pt>
                <c:pt idx="771">
                  <c:v>5.4444549427366598</c:v>
                </c:pt>
                <c:pt idx="772">
                  <c:v>5.4513993889515202</c:v>
                </c:pt>
                <c:pt idx="773">
                  <c:v>5.4583438351663904</c:v>
                </c:pt>
                <c:pt idx="774">
                  <c:v>5.4652882813812598</c:v>
                </c:pt>
                <c:pt idx="775">
                  <c:v>5.4722327275961202</c:v>
                </c:pt>
                <c:pt idx="776">
                  <c:v>5.4791771738109798</c:v>
                </c:pt>
                <c:pt idx="777">
                  <c:v>5.48612162002585</c:v>
                </c:pt>
                <c:pt idx="778">
                  <c:v>5.4930660662407202</c:v>
                </c:pt>
                <c:pt idx="779">
                  <c:v>5.5000105124555798</c:v>
                </c:pt>
                <c:pt idx="780">
                  <c:v>5.5069549586704403</c:v>
                </c:pt>
                <c:pt idx="781">
                  <c:v>5.5138994048853096</c:v>
                </c:pt>
                <c:pt idx="782">
                  <c:v>5.5208438511001798</c:v>
                </c:pt>
                <c:pt idx="783">
                  <c:v>5.5277882973150403</c:v>
                </c:pt>
                <c:pt idx="784">
                  <c:v>5.5347327435299096</c:v>
                </c:pt>
                <c:pt idx="785">
                  <c:v>5.5416771897447701</c:v>
                </c:pt>
                <c:pt idx="786">
                  <c:v>5.5486216359596403</c:v>
                </c:pt>
                <c:pt idx="787">
                  <c:v>5.5555660821744999</c:v>
                </c:pt>
                <c:pt idx="788">
                  <c:v>5.5625105283893701</c:v>
                </c:pt>
                <c:pt idx="789">
                  <c:v>5.5694549746042297</c:v>
                </c:pt>
                <c:pt idx="790">
                  <c:v>5.5763994208190999</c:v>
                </c:pt>
                <c:pt idx="791">
                  <c:v>5.5833438670339604</c:v>
                </c:pt>
                <c:pt idx="792">
                  <c:v>5.5902883132488297</c:v>
                </c:pt>
                <c:pt idx="793">
                  <c:v>5.5972327594636901</c:v>
                </c:pt>
                <c:pt idx="794">
                  <c:v>5.6041772056785604</c:v>
                </c:pt>
                <c:pt idx="795">
                  <c:v>5.6111216518934297</c:v>
                </c:pt>
                <c:pt idx="796">
                  <c:v>5.6180660981082999</c:v>
                </c:pt>
                <c:pt idx="797">
                  <c:v>5.6250105443231604</c:v>
                </c:pt>
                <c:pt idx="798">
                  <c:v>5.6319549905380297</c:v>
                </c:pt>
                <c:pt idx="799">
                  <c:v>5.6388994367529</c:v>
                </c:pt>
                <c:pt idx="800">
                  <c:v>5.6458438829677604</c:v>
                </c:pt>
                <c:pt idx="801">
                  <c:v>5.6527883291826297</c:v>
                </c:pt>
                <c:pt idx="802">
                  <c:v>5.6597327753974902</c:v>
                </c:pt>
                <c:pt idx="803">
                  <c:v>5.6666772216123604</c:v>
                </c:pt>
                <c:pt idx="804">
                  <c:v>5.6736216678272298</c:v>
                </c:pt>
                <c:pt idx="805">
                  <c:v>5.6805661140421</c:v>
                </c:pt>
                <c:pt idx="806">
                  <c:v>5.6875105602569596</c:v>
                </c:pt>
                <c:pt idx="807">
                  <c:v>5.6944550064718298</c:v>
                </c:pt>
                <c:pt idx="808">
                  <c:v>5.7013994526867</c:v>
                </c:pt>
                <c:pt idx="809">
                  <c:v>5.7083438989015702</c:v>
                </c:pt>
                <c:pt idx="810">
                  <c:v>5.7152883451164298</c:v>
                </c:pt>
                <c:pt idx="811">
                  <c:v>5.7222327913313</c:v>
                </c:pt>
                <c:pt idx="812">
                  <c:v>5.7291772375461703</c:v>
                </c:pt>
                <c:pt idx="813">
                  <c:v>5.7361216837610298</c:v>
                </c:pt>
                <c:pt idx="814">
                  <c:v>5.7430661299759</c:v>
                </c:pt>
                <c:pt idx="815">
                  <c:v>5.7500105761907596</c:v>
                </c:pt>
                <c:pt idx="816">
                  <c:v>5.7569550224056298</c:v>
                </c:pt>
                <c:pt idx="817">
                  <c:v>5.7638994686205001</c:v>
                </c:pt>
                <c:pt idx="818">
                  <c:v>5.7708439148353596</c:v>
                </c:pt>
                <c:pt idx="819">
                  <c:v>5.7777883610502299</c:v>
                </c:pt>
                <c:pt idx="820">
                  <c:v>5.7847328072650903</c:v>
                </c:pt>
                <c:pt idx="821">
                  <c:v>5.7916772534799499</c:v>
                </c:pt>
                <c:pt idx="822">
                  <c:v>5.7986216996948201</c:v>
                </c:pt>
                <c:pt idx="823">
                  <c:v>5.8055661459096797</c:v>
                </c:pt>
                <c:pt idx="824">
                  <c:v>5.8125105921245401</c:v>
                </c:pt>
                <c:pt idx="825">
                  <c:v>5.8194550383393997</c:v>
                </c:pt>
                <c:pt idx="826">
                  <c:v>5.8263994845542699</c:v>
                </c:pt>
                <c:pt idx="827">
                  <c:v>5.8333439307691304</c:v>
                </c:pt>
                <c:pt idx="828">
                  <c:v>5.8402883769839899</c:v>
                </c:pt>
                <c:pt idx="829">
                  <c:v>5.8472328231988504</c:v>
                </c:pt>
                <c:pt idx="830">
                  <c:v>5.8541772694137197</c:v>
                </c:pt>
                <c:pt idx="831">
                  <c:v>5.8611217156285802</c:v>
                </c:pt>
                <c:pt idx="832">
                  <c:v>5.8680661618434398</c:v>
                </c:pt>
                <c:pt idx="833">
                  <c:v>5.87501060805831</c:v>
                </c:pt>
                <c:pt idx="834">
                  <c:v>5.8819550542731696</c:v>
                </c:pt>
                <c:pt idx="835">
                  <c:v>5.88889950048803</c:v>
                </c:pt>
                <c:pt idx="836">
                  <c:v>5.8958439467028896</c:v>
                </c:pt>
                <c:pt idx="837">
                  <c:v>5.9027883929177598</c:v>
                </c:pt>
                <c:pt idx="838">
                  <c:v>5.9097328391326203</c:v>
                </c:pt>
                <c:pt idx="839">
                  <c:v>5.9166772853474798</c:v>
                </c:pt>
                <c:pt idx="840">
                  <c:v>5.9236217315623501</c:v>
                </c:pt>
                <c:pt idx="841">
                  <c:v>5.9305661777772096</c:v>
                </c:pt>
                <c:pt idx="842">
                  <c:v>5.9375106239920701</c:v>
                </c:pt>
                <c:pt idx="843">
                  <c:v>5.9444550702069296</c:v>
                </c:pt>
                <c:pt idx="844">
                  <c:v>5.9513995164217999</c:v>
                </c:pt>
                <c:pt idx="845">
                  <c:v>5.9583439626366603</c:v>
                </c:pt>
                <c:pt idx="846">
                  <c:v>5.9652884088515199</c:v>
                </c:pt>
                <c:pt idx="847">
                  <c:v>5.9722328550663804</c:v>
                </c:pt>
                <c:pt idx="848">
                  <c:v>5.9791773012812497</c:v>
                </c:pt>
                <c:pt idx="849">
                  <c:v>5.9861217474961101</c:v>
                </c:pt>
                <c:pt idx="850">
                  <c:v>5.9930661937109697</c:v>
                </c:pt>
                <c:pt idx="851">
                  <c:v>6.0000106399258399</c:v>
                </c:pt>
                <c:pt idx="852">
                  <c:v>6.0069550861407004</c:v>
                </c:pt>
                <c:pt idx="853">
                  <c:v>6.01389953235556</c:v>
                </c:pt>
                <c:pt idx="854">
                  <c:v>6.0208439785704204</c:v>
                </c:pt>
                <c:pt idx="855">
                  <c:v>6.0277884247852898</c:v>
                </c:pt>
                <c:pt idx="856">
                  <c:v>6.0347328710001502</c:v>
                </c:pt>
                <c:pt idx="857">
                  <c:v>6.0416773172150098</c:v>
                </c:pt>
                <c:pt idx="858">
                  <c:v>6.04862176342988</c:v>
                </c:pt>
                <c:pt idx="859">
                  <c:v>6.0555662096447396</c:v>
                </c:pt>
                <c:pt idx="860">
                  <c:v>6.0625106558596</c:v>
                </c:pt>
                <c:pt idx="861">
                  <c:v>6.0694551014511697</c:v>
                </c:pt>
                <c:pt idx="862">
                  <c:v>6.07639954666947</c:v>
                </c:pt>
                <c:pt idx="863">
                  <c:v>6.0833439918877801</c:v>
                </c:pt>
                <c:pt idx="864">
                  <c:v>6.0902884371060804</c:v>
                </c:pt>
                <c:pt idx="865">
                  <c:v>6.0972328823243904</c:v>
                </c:pt>
                <c:pt idx="866">
                  <c:v>6.1041773275426898</c:v>
                </c:pt>
                <c:pt idx="867">
                  <c:v>6.1111217727609901</c:v>
                </c:pt>
                <c:pt idx="868">
                  <c:v>6.1180662179793002</c:v>
                </c:pt>
                <c:pt idx="869">
                  <c:v>6.1250106631975996</c:v>
                </c:pt>
                <c:pt idx="870">
                  <c:v>6.1319551084159096</c:v>
                </c:pt>
                <c:pt idx="871">
                  <c:v>6.1388995536342099</c:v>
                </c:pt>
                <c:pt idx="872">
                  <c:v>6.14584399885252</c:v>
                </c:pt>
                <c:pt idx="873">
                  <c:v>6.1527884440708203</c:v>
                </c:pt>
                <c:pt idx="874">
                  <c:v>6.1597328892891303</c:v>
                </c:pt>
                <c:pt idx="875">
                  <c:v>6.1666773345074297</c:v>
                </c:pt>
                <c:pt idx="876">
                  <c:v>6.1736217797257398</c:v>
                </c:pt>
                <c:pt idx="877">
                  <c:v>6.1805662249440401</c:v>
                </c:pt>
                <c:pt idx="878">
                  <c:v>6.1875106701623404</c:v>
                </c:pt>
                <c:pt idx="879">
                  <c:v>6.1944551153806504</c:v>
                </c:pt>
                <c:pt idx="880">
                  <c:v>6.2013995605989498</c:v>
                </c:pt>
                <c:pt idx="881">
                  <c:v>6.2083440058172599</c:v>
                </c:pt>
                <c:pt idx="882">
                  <c:v>6.2152884510355602</c:v>
                </c:pt>
                <c:pt idx="883">
                  <c:v>6.2222328962538702</c:v>
                </c:pt>
                <c:pt idx="884">
                  <c:v>6.2291773414721696</c:v>
                </c:pt>
                <c:pt idx="885">
                  <c:v>6.2361217866904797</c:v>
                </c:pt>
                <c:pt idx="886">
                  <c:v>6.24306623190878</c:v>
                </c:pt>
                <c:pt idx="887">
                  <c:v>6.25001067712709</c:v>
                </c:pt>
                <c:pt idx="888">
                  <c:v>6.2569551223453903</c:v>
                </c:pt>
                <c:pt idx="889">
                  <c:v>6.2638995675636897</c:v>
                </c:pt>
                <c:pt idx="890">
                  <c:v>6.2708440127819998</c:v>
                </c:pt>
                <c:pt idx="891">
                  <c:v>6.2777884580003001</c:v>
                </c:pt>
                <c:pt idx="892">
                  <c:v>6.2847329032186101</c:v>
                </c:pt>
                <c:pt idx="893">
                  <c:v>6.2916773484369104</c:v>
                </c:pt>
                <c:pt idx="894">
                  <c:v>6.2986217936552196</c:v>
                </c:pt>
                <c:pt idx="895">
                  <c:v>6.3055662388735199</c:v>
                </c:pt>
                <c:pt idx="896">
                  <c:v>6.3125106840918299</c:v>
                </c:pt>
                <c:pt idx="897">
                  <c:v>6.3194551293101302</c:v>
                </c:pt>
                <c:pt idx="898">
                  <c:v>6.3263995745284296</c:v>
                </c:pt>
                <c:pt idx="899">
                  <c:v>6.3333440197467397</c:v>
                </c:pt>
                <c:pt idx="900">
                  <c:v>6.3402884649650399</c:v>
                </c:pt>
                <c:pt idx="901">
                  <c:v>6.34723291018335</c:v>
                </c:pt>
                <c:pt idx="902">
                  <c:v>6.3541773554016503</c:v>
                </c:pt>
                <c:pt idx="903">
                  <c:v>6.3611218006199604</c:v>
                </c:pt>
                <c:pt idx="904">
                  <c:v>6.3680662458382598</c:v>
                </c:pt>
                <c:pt idx="905">
                  <c:v>6.3750106910565698</c:v>
                </c:pt>
                <c:pt idx="906">
                  <c:v>6.3819551362748701</c:v>
                </c:pt>
                <c:pt idx="907">
                  <c:v>6.3888995814931802</c:v>
                </c:pt>
                <c:pt idx="908">
                  <c:v>6.3958440267114796</c:v>
                </c:pt>
                <c:pt idx="909">
                  <c:v>6.4027884719297798</c:v>
                </c:pt>
                <c:pt idx="910">
                  <c:v>6.4097329171480899</c:v>
                </c:pt>
                <c:pt idx="911">
                  <c:v>6.4166773623663902</c:v>
                </c:pt>
                <c:pt idx="912">
                  <c:v>6.4236218075847002</c:v>
                </c:pt>
                <c:pt idx="913">
                  <c:v>6.4305662528029996</c:v>
                </c:pt>
                <c:pt idx="914">
                  <c:v>6.4375106980213097</c:v>
                </c:pt>
                <c:pt idx="915">
                  <c:v>6.44445514323961</c:v>
                </c:pt>
                <c:pt idx="916">
                  <c:v>6.4513995884579201</c:v>
                </c:pt>
                <c:pt idx="917">
                  <c:v>6.4583440336762203</c:v>
                </c:pt>
                <c:pt idx="918">
                  <c:v>6.4652884788945304</c:v>
                </c:pt>
                <c:pt idx="919">
                  <c:v>6.4722329241128298</c:v>
                </c:pt>
                <c:pt idx="920">
                  <c:v>6.4791773693311301</c:v>
                </c:pt>
                <c:pt idx="921">
                  <c:v>6.4861218145494401</c:v>
                </c:pt>
                <c:pt idx="922">
                  <c:v>6.4930662597677404</c:v>
                </c:pt>
                <c:pt idx="923">
                  <c:v>6.5000107049860496</c:v>
                </c:pt>
                <c:pt idx="924">
                  <c:v>6.5069551502043499</c:v>
                </c:pt>
                <c:pt idx="925">
                  <c:v>6.5138995954226599</c:v>
                </c:pt>
                <c:pt idx="926">
                  <c:v>6.5208440406409602</c:v>
                </c:pt>
                <c:pt idx="927">
                  <c:v>6.5277884858592703</c:v>
                </c:pt>
                <c:pt idx="928">
                  <c:v>6.5347329310775697</c:v>
                </c:pt>
                <c:pt idx="929">
                  <c:v>6.5416773762958798</c:v>
                </c:pt>
                <c:pt idx="930">
                  <c:v>6.54862182151418</c:v>
                </c:pt>
                <c:pt idx="931">
                  <c:v>6.5555662667324803</c:v>
                </c:pt>
                <c:pt idx="932">
                  <c:v>6.5625107119507904</c:v>
                </c:pt>
                <c:pt idx="933">
                  <c:v>6.5694551571690898</c:v>
                </c:pt>
                <c:pt idx="934">
                  <c:v>6.5763996023873998</c:v>
                </c:pt>
                <c:pt idx="935">
                  <c:v>6.5833440476057001</c:v>
                </c:pt>
                <c:pt idx="936">
                  <c:v>6.5902884928240102</c:v>
                </c:pt>
                <c:pt idx="937">
                  <c:v>6.5972329380423096</c:v>
                </c:pt>
                <c:pt idx="938">
                  <c:v>6.6041773832606196</c:v>
                </c:pt>
                <c:pt idx="939">
                  <c:v>6.6111218284789199</c:v>
                </c:pt>
                <c:pt idx="940">
                  <c:v>6.6180662736972202</c:v>
                </c:pt>
                <c:pt idx="941">
                  <c:v>6.6250107189155303</c:v>
                </c:pt>
                <c:pt idx="942">
                  <c:v>6.6319551641338297</c:v>
                </c:pt>
                <c:pt idx="943">
                  <c:v>6.6388996093521397</c:v>
                </c:pt>
                <c:pt idx="944">
                  <c:v>6.64584405457044</c:v>
                </c:pt>
                <c:pt idx="945">
                  <c:v>6.6527884997887501</c:v>
                </c:pt>
                <c:pt idx="946">
                  <c:v>6.6597329450070504</c:v>
                </c:pt>
                <c:pt idx="947">
                  <c:v>6.6666773902253604</c:v>
                </c:pt>
                <c:pt idx="948">
                  <c:v>6.6736218354436598</c:v>
                </c:pt>
                <c:pt idx="949">
                  <c:v>6.6805662806619699</c:v>
                </c:pt>
                <c:pt idx="950">
                  <c:v>6.6875107258802702</c:v>
                </c:pt>
                <c:pt idx="951">
                  <c:v>6.6944551710985696</c:v>
                </c:pt>
                <c:pt idx="952">
                  <c:v>6.7013996163168796</c:v>
                </c:pt>
                <c:pt idx="953">
                  <c:v>6.7083440615351799</c:v>
                </c:pt>
                <c:pt idx="954">
                  <c:v>6.71528850675349</c:v>
                </c:pt>
                <c:pt idx="955">
                  <c:v>6.7222329519717903</c:v>
                </c:pt>
                <c:pt idx="956">
                  <c:v>6.7291773971901003</c:v>
                </c:pt>
                <c:pt idx="957">
                  <c:v>6.7361218424083997</c:v>
                </c:pt>
                <c:pt idx="958">
                  <c:v>6.7430662876267098</c:v>
                </c:pt>
                <c:pt idx="959">
                  <c:v>6.7500107328450101</c:v>
                </c:pt>
                <c:pt idx="960">
                  <c:v>6.7569551780633104</c:v>
                </c:pt>
                <c:pt idx="961">
                  <c:v>6.7638996232816204</c:v>
                </c:pt>
                <c:pt idx="962">
                  <c:v>6.7708440684999198</c:v>
                </c:pt>
                <c:pt idx="963">
                  <c:v>6.7777885137182299</c:v>
                </c:pt>
                <c:pt idx="964">
                  <c:v>6.7847329589365302</c:v>
                </c:pt>
                <c:pt idx="965">
                  <c:v>6.7916774041548402</c:v>
                </c:pt>
                <c:pt idx="966">
                  <c:v>6.7986218493731396</c:v>
                </c:pt>
                <c:pt idx="967">
                  <c:v>6.8055662945914497</c:v>
                </c:pt>
                <c:pt idx="968">
                  <c:v>6.81251073980975</c:v>
                </c:pt>
                <c:pt idx="969">
                  <c:v>6.81945518502806</c:v>
                </c:pt>
                <c:pt idx="970">
                  <c:v>6.8263996302463603</c:v>
                </c:pt>
                <c:pt idx="971">
                  <c:v>6.8333440754646597</c:v>
                </c:pt>
                <c:pt idx="972">
                  <c:v>6.8402885206829698</c:v>
                </c:pt>
                <c:pt idx="973">
                  <c:v>6.8472329659012701</c:v>
                </c:pt>
                <c:pt idx="974">
                  <c:v>6.8541774111195801</c:v>
                </c:pt>
                <c:pt idx="975">
                  <c:v>6.8611218563378804</c:v>
                </c:pt>
                <c:pt idx="976">
                  <c:v>6.8680663015561896</c:v>
                </c:pt>
                <c:pt idx="977">
                  <c:v>6.8750107467744899</c:v>
                </c:pt>
                <c:pt idx="978">
                  <c:v>6.8819551919927999</c:v>
                </c:pt>
                <c:pt idx="979">
                  <c:v>6.8888996372111002</c:v>
                </c:pt>
                <c:pt idx="980">
                  <c:v>6.8958440824293996</c:v>
                </c:pt>
                <c:pt idx="981">
                  <c:v>6.9027885276477097</c:v>
                </c:pt>
                <c:pt idx="982">
                  <c:v>6.90973297286601</c:v>
                </c:pt>
                <c:pt idx="983">
                  <c:v>6.91667741808432</c:v>
                </c:pt>
                <c:pt idx="984">
                  <c:v>6.9236218633026203</c:v>
                </c:pt>
                <c:pt idx="985">
                  <c:v>6.9305663085209304</c:v>
                </c:pt>
                <c:pt idx="986">
                  <c:v>6.9375107537392298</c:v>
                </c:pt>
                <c:pt idx="987">
                  <c:v>6.9444551989575398</c:v>
                </c:pt>
                <c:pt idx="988">
                  <c:v>6.9513996441758401</c:v>
                </c:pt>
                <c:pt idx="989">
                  <c:v>6.9583440893941502</c:v>
                </c:pt>
                <c:pt idx="990">
                  <c:v>6.9652885346124496</c:v>
                </c:pt>
                <c:pt idx="991">
                  <c:v>6.9722329798307596</c:v>
                </c:pt>
                <c:pt idx="992">
                  <c:v>6.9791774250490599</c:v>
                </c:pt>
                <c:pt idx="993">
                  <c:v>6.9861218702673602</c:v>
                </c:pt>
                <c:pt idx="994">
                  <c:v>6.9930663154856703</c:v>
                </c:pt>
                <c:pt idx="995">
                  <c:v>7.0000107607039803</c:v>
                </c:pt>
                <c:pt idx="996">
                  <c:v>7.0069552059222797</c:v>
                </c:pt>
                <c:pt idx="997">
                  <c:v>7.0138996511405898</c:v>
                </c:pt>
                <c:pt idx="998">
                  <c:v>7.0208440963588998</c:v>
                </c:pt>
                <c:pt idx="999">
                  <c:v>7.0277885415772001</c:v>
                </c:pt>
                <c:pt idx="1000">
                  <c:v>7.0347329867955102</c:v>
                </c:pt>
                <c:pt idx="1001">
                  <c:v>7.0416774320138202</c:v>
                </c:pt>
                <c:pt idx="1002">
                  <c:v>7.0486218772321196</c:v>
                </c:pt>
                <c:pt idx="1003">
                  <c:v>7.0555663224504297</c:v>
                </c:pt>
                <c:pt idx="1004">
                  <c:v>7.0625107676687398</c:v>
                </c:pt>
                <c:pt idx="1005">
                  <c:v>7.06945521288704</c:v>
                </c:pt>
                <c:pt idx="1006">
                  <c:v>7.0763996581053403</c:v>
                </c:pt>
                <c:pt idx="1007">
                  <c:v>7.0833441033236504</c:v>
                </c:pt>
                <c:pt idx="1008">
                  <c:v>7.0902885485419596</c:v>
                </c:pt>
                <c:pt idx="1009">
                  <c:v>7.0972329937602598</c:v>
                </c:pt>
                <c:pt idx="1010">
                  <c:v>7.1041774389785699</c:v>
                </c:pt>
                <c:pt idx="1011">
                  <c:v>7.11112188419688</c:v>
                </c:pt>
                <c:pt idx="1012">
                  <c:v>7.1180663294151802</c:v>
                </c:pt>
                <c:pt idx="1013">
                  <c:v>7.1250107746334903</c:v>
                </c:pt>
                <c:pt idx="1014">
                  <c:v>7.1319552198518004</c:v>
                </c:pt>
                <c:pt idx="1015">
                  <c:v>7.1388996650700998</c:v>
                </c:pt>
                <c:pt idx="1016">
                  <c:v>7.1458441102884098</c:v>
                </c:pt>
                <c:pt idx="1017">
                  <c:v>7.1527885555067199</c:v>
                </c:pt>
                <c:pt idx="1018">
                  <c:v>7.1597330007250202</c:v>
                </c:pt>
                <c:pt idx="1019">
                  <c:v>7.1666774459433302</c:v>
                </c:pt>
                <c:pt idx="1020">
                  <c:v>7.1736218911616296</c:v>
                </c:pt>
                <c:pt idx="1021">
                  <c:v>7.1805663363799397</c:v>
                </c:pt>
                <c:pt idx="1022">
                  <c:v>7.1875107815982497</c:v>
                </c:pt>
                <c:pt idx="1023">
                  <c:v>7.19445522681655</c:v>
                </c:pt>
                <c:pt idx="1024">
                  <c:v>7.2013996720348601</c:v>
                </c:pt>
                <c:pt idx="1025">
                  <c:v>7.2083441172531701</c:v>
                </c:pt>
                <c:pt idx="1026">
                  <c:v>7.2152885624714704</c:v>
                </c:pt>
                <c:pt idx="1027">
                  <c:v>7.2222330076897796</c:v>
                </c:pt>
                <c:pt idx="1028">
                  <c:v>7.2291774529080897</c:v>
                </c:pt>
                <c:pt idx="1029">
                  <c:v>7.23612189812639</c:v>
                </c:pt>
                <c:pt idx="1030">
                  <c:v>7.2430663433447</c:v>
                </c:pt>
                <c:pt idx="1031">
                  <c:v>7.2500107885630101</c:v>
                </c:pt>
                <c:pt idx="1032">
                  <c:v>7.2569552337813104</c:v>
                </c:pt>
                <c:pt idx="1033">
                  <c:v>7.2638996789996204</c:v>
                </c:pt>
                <c:pt idx="1034">
                  <c:v>7.2708441242179198</c:v>
                </c:pt>
                <c:pt idx="1035">
                  <c:v>7.2777885694362299</c:v>
                </c:pt>
                <c:pt idx="1036">
                  <c:v>7.2847330146545302</c:v>
                </c:pt>
                <c:pt idx="1037">
                  <c:v>7.2916774598728402</c:v>
                </c:pt>
                <c:pt idx="1038">
                  <c:v>7.2986219050911503</c:v>
                </c:pt>
                <c:pt idx="1039">
                  <c:v>7.3055663503094497</c:v>
                </c:pt>
                <c:pt idx="1040">
                  <c:v>7.3125107955277597</c:v>
                </c:pt>
                <c:pt idx="1041">
                  <c:v>7.3194552407460698</c:v>
                </c:pt>
                <c:pt idx="1042">
                  <c:v>7.3263996859643701</c:v>
                </c:pt>
                <c:pt idx="1043">
                  <c:v>7.3333441311826801</c:v>
                </c:pt>
                <c:pt idx="1044">
                  <c:v>7.3402885764009902</c:v>
                </c:pt>
                <c:pt idx="1045">
                  <c:v>7.3472330216192896</c:v>
                </c:pt>
                <c:pt idx="1046">
                  <c:v>7.3541774668375997</c:v>
                </c:pt>
                <c:pt idx="1047">
                  <c:v>7.3611219120559097</c:v>
                </c:pt>
                <c:pt idx="1048">
                  <c:v>7.36806635727421</c:v>
                </c:pt>
                <c:pt idx="1049">
                  <c:v>7.3750108024925201</c:v>
                </c:pt>
                <c:pt idx="1050">
                  <c:v>7.3819552477108203</c:v>
                </c:pt>
                <c:pt idx="1051">
                  <c:v>7.3888996929291304</c:v>
                </c:pt>
                <c:pt idx="1052">
                  <c:v>7.3958441381474396</c:v>
                </c:pt>
                <c:pt idx="1053">
                  <c:v>7.4027885833657399</c:v>
                </c:pt>
                <c:pt idx="1054">
                  <c:v>7.4097330285840401</c:v>
                </c:pt>
                <c:pt idx="1055">
                  <c:v>7.4166774738023502</c:v>
                </c:pt>
                <c:pt idx="1056">
                  <c:v>7.4236219190206603</c:v>
                </c:pt>
                <c:pt idx="1057">
                  <c:v>7.4305663642389597</c:v>
                </c:pt>
                <c:pt idx="1058">
                  <c:v>7.4375108094572697</c:v>
                </c:pt>
                <c:pt idx="1059">
                  <c:v>7.44445525467557</c:v>
                </c:pt>
                <c:pt idx="1060">
                  <c:v>7.4513996998938801</c:v>
                </c:pt>
                <c:pt idx="1061">
                  <c:v>7.4583441451121901</c:v>
                </c:pt>
                <c:pt idx="1062">
                  <c:v>7.4652885903304904</c:v>
                </c:pt>
                <c:pt idx="1063">
                  <c:v>7.4722330355487898</c:v>
                </c:pt>
                <c:pt idx="1064">
                  <c:v>7.4791774807670999</c:v>
                </c:pt>
                <c:pt idx="1065">
                  <c:v>7.4861219259854099</c:v>
                </c:pt>
                <c:pt idx="1066">
                  <c:v>7.4930663712037102</c:v>
                </c:pt>
                <c:pt idx="1067">
                  <c:v>7.5000108164220203</c:v>
                </c:pt>
                <c:pt idx="1068">
                  <c:v>7.5069552616403197</c:v>
                </c:pt>
                <c:pt idx="1069">
                  <c:v>7.5138997068586297</c:v>
                </c:pt>
                <c:pt idx="1070">
                  <c:v>7.5208441520769398</c:v>
                </c:pt>
                <c:pt idx="1071">
                  <c:v>7.5277885972952401</c:v>
                </c:pt>
                <c:pt idx="1072">
                  <c:v>7.5347330425135404</c:v>
                </c:pt>
                <c:pt idx="1073">
                  <c:v>7.5416774877318504</c:v>
                </c:pt>
                <c:pt idx="1074">
                  <c:v>7.5486219329501498</c:v>
                </c:pt>
                <c:pt idx="1075">
                  <c:v>7.5555663781684599</c:v>
                </c:pt>
                <c:pt idx="1076">
                  <c:v>7.5625108233867699</c:v>
                </c:pt>
                <c:pt idx="1077">
                  <c:v>7.5694552686050702</c:v>
                </c:pt>
                <c:pt idx="1078">
                  <c:v>7.5763997138233696</c:v>
                </c:pt>
                <c:pt idx="1079">
                  <c:v>7.5833441590416797</c:v>
                </c:pt>
                <c:pt idx="1080">
                  <c:v>7.5902886042599897</c:v>
                </c:pt>
                <c:pt idx="1081">
                  <c:v>7.59723304947829</c:v>
                </c:pt>
                <c:pt idx="1082">
                  <c:v>7.6041774946966001</c:v>
                </c:pt>
                <c:pt idx="1083">
                  <c:v>7.6111219399149004</c:v>
                </c:pt>
                <c:pt idx="1084">
                  <c:v>7.6180663851332104</c:v>
                </c:pt>
                <c:pt idx="1085">
                  <c:v>7.6250108303515196</c:v>
                </c:pt>
                <c:pt idx="1086">
                  <c:v>7.6319552755698199</c:v>
                </c:pt>
                <c:pt idx="1087">
                  <c:v>7.63889972078813</c:v>
                </c:pt>
                <c:pt idx="1088">
                  <c:v>7.64584416600644</c:v>
                </c:pt>
                <c:pt idx="1089">
                  <c:v>7.6527886112247403</c:v>
                </c:pt>
                <c:pt idx="1090">
                  <c:v>7.6597330564430397</c:v>
                </c:pt>
                <c:pt idx="1091">
                  <c:v>7.6666775016613498</c:v>
                </c:pt>
                <c:pt idx="1092">
                  <c:v>7.6736219468796598</c:v>
                </c:pt>
                <c:pt idx="1093">
                  <c:v>7.6805663920979601</c:v>
                </c:pt>
                <c:pt idx="1094">
                  <c:v>7.6875108373162702</c:v>
                </c:pt>
                <c:pt idx="1095">
                  <c:v>7.6944552825345696</c:v>
                </c:pt>
                <c:pt idx="1096">
                  <c:v>7.7013997277528796</c:v>
                </c:pt>
                <c:pt idx="1097">
                  <c:v>7.7083441729711897</c:v>
                </c:pt>
                <c:pt idx="1098">
                  <c:v>7.71528861818949</c:v>
                </c:pt>
                <c:pt idx="1099">
                  <c:v>7.7222330634078</c:v>
                </c:pt>
                <c:pt idx="1100">
                  <c:v>7.7291775086261101</c:v>
                </c:pt>
                <c:pt idx="1101">
                  <c:v>7.7361219538444104</c:v>
                </c:pt>
                <c:pt idx="1102">
                  <c:v>7.7430663990627098</c:v>
                </c:pt>
                <c:pt idx="1103">
                  <c:v>7.7500108442810198</c:v>
                </c:pt>
                <c:pt idx="1104">
                  <c:v>7.7569552894993299</c:v>
                </c:pt>
                <c:pt idx="1105">
                  <c:v>7.7638997347176302</c:v>
                </c:pt>
                <c:pt idx="1106">
                  <c:v>7.7708441799359402</c:v>
                </c:pt>
                <c:pt idx="1107">
                  <c:v>7.7777886251542396</c:v>
                </c:pt>
                <c:pt idx="1108">
                  <c:v>7.7847330703725497</c:v>
                </c:pt>
                <c:pt idx="1109">
                  <c:v>7.7916775155908597</c:v>
                </c:pt>
                <c:pt idx="1110">
                  <c:v>7.79862196080916</c:v>
                </c:pt>
                <c:pt idx="1111">
                  <c:v>7.8055664060274701</c:v>
                </c:pt>
                <c:pt idx="1112">
                  <c:v>7.8125108512457802</c:v>
                </c:pt>
                <c:pt idx="1113">
                  <c:v>7.8194552964640804</c:v>
                </c:pt>
                <c:pt idx="1114">
                  <c:v>7.8263997416823798</c:v>
                </c:pt>
                <c:pt idx="1115">
                  <c:v>7.8333441869006997</c:v>
                </c:pt>
                <c:pt idx="1116">
                  <c:v>7.840288632119</c:v>
                </c:pt>
                <c:pt idx="1117">
                  <c:v>7.8472330773373002</c:v>
                </c:pt>
                <c:pt idx="1118">
                  <c:v>7.8541775225556103</c:v>
                </c:pt>
                <c:pt idx="1119">
                  <c:v>7.8611219677739097</c:v>
                </c:pt>
                <c:pt idx="1120">
                  <c:v>7.8680664129922198</c:v>
                </c:pt>
                <c:pt idx="1121">
                  <c:v>7.8750108582105298</c:v>
                </c:pt>
                <c:pt idx="1122">
                  <c:v>7.8819553034288301</c:v>
                </c:pt>
                <c:pt idx="1123">
                  <c:v>7.8888997486471402</c:v>
                </c:pt>
                <c:pt idx="1124">
                  <c:v>7.8958441938654502</c:v>
                </c:pt>
                <c:pt idx="1125">
                  <c:v>7.9027886390837496</c:v>
                </c:pt>
                <c:pt idx="1126">
                  <c:v>7.9097330843020499</c:v>
                </c:pt>
                <c:pt idx="1127">
                  <c:v>7.91667752952036</c:v>
                </c:pt>
                <c:pt idx="1128">
                  <c:v>7.92362197473867</c:v>
                </c:pt>
                <c:pt idx="1129">
                  <c:v>7.9305664199569703</c:v>
                </c:pt>
                <c:pt idx="1130">
                  <c:v>7.9375108651752804</c:v>
                </c:pt>
                <c:pt idx="1131">
                  <c:v>7.9444553103935798</c:v>
                </c:pt>
                <c:pt idx="1132">
                  <c:v>7.9513997556118898</c:v>
                </c:pt>
                <c:pt idx="1133">
                  <c:v>7.9583442008301999</c:v>
                </c:pt>
                <c:pt idx="1134">
                  <c:v>7.9652886460485002</c:v>
                </c:pt>
                <c:pt idx="1135">
                  <c:v>7.9722330912668102</c:v>
                </c:pt>
                <c:pt idx="1136">
                  <c:v>7.9791775364851203</c:v>
                </c:pt>
                <c:pt idx="1137">
                  <c:v>7.9861219817034197</c:v>
                </c:pt>
                <c:pt idx="1138">
                  <c:v>7.99306642692172</c:v>
                </c:pt>
                <c:pt idx="1139">
                  <c:v>8.0000108721400398</c:v>
                </c:pt>
                <c:pt idx="1140">
                  <c:v>8.0069553173583401</c:v>
                </c:pt>
                <c:pt idx="1141">
                  <c:v>8.0138997625766404</c:v>
                </c:pt>
                <c:pt idx="1142">
                  <c:v>8.0208442077949496</c:v>
                </c:pt>
                <c:pt idx="1143">
                  <c:v>8.0277886530132498</c:v>
                </c:pt>
                <c:pt idx="1144">
                  <c:v>8.0347330982315608</c:v>
                </c:pt>
                <c:pt idx="1145">
                  <c:v>8.04167754344987</c:v>
                </c:pt>
                <c:pt idx="1146">
                  <c:v>8.0486219886681702</c:v>
                </c:pt>
                <c:pt idx="1147">
                  <c:v>8.0555664338864794</c:v>
                </c:pt>
                <c:pt idx="1148">
                  <c:v>8.0625108791047904</c:v>
                </c:pt>
                <c:pt idx="1149">
                  <c:v>8.0694553243230907</c:v>
                </c:pt>
                <c:pt idx="1150">
                  <c:v>8.0763997695413892</c:v>
                </c:pt>
                <c:pt idx="1151">
                  <c:v>8.0833442147597001</c:v>
                </c:pt>
                <c:pt idx="1152">
                  <c:v>8.0902886599780004</c:v>
                </c:pt>
                <c:pt idx="1153">
                  <c:v>8.0972331051963096</c:v>
                </c:pt>
                <c:pt idx="1154">
                  <c:v>8.1041775504146205</c:v>
                </c:pt>
                <c:pt idx="1155">
                  <c:v>8.1111219956329208</c:v>
                </c:pt>
                <c:pt idx="1156">
                  <c:v>8.11806644085123</c:v>
                </c:pt>
                <c:pt idx="1157">
                  <c:v>8.1250108860695303</c:v>
                </c:pt>
                <c:pt idx="1158">
                  <c:v>8.1319553312878305</c:v>
                </c:pt>
                <c:pt idx="1159">
                  <c:v>8.1388997765061397</c:v>
                </c:pt>
                <c:pt idx="1160">
                  <c:v>8.1458442217244507</c:v>
                </c:pt>
                <c:pt idx="1161">
                  <c:v>8.1527886669427492</c:v>
                </c:pt>
                <c:pt idx="1162">
                  <c:v>8.1597331121610601</c:v>
                </c:pt>
                <c:pt idx="1163">
                  <c:v>8.1666775573793693</c:v>
                </c:pt>
                <c:pt idx="1164">
                  <c:v>8.1736220025976696</c:v>
                </c:pt>
                <c:pt idx="1165">
                  <c:v>8.1805664478159805</c:v>
                </c:pt>
                <c:pt idx="1166">
                  <c:v>8.1875108930342808</c:v>
                </c:pt>
                <c:pt idx="1167">
                  <c:v>8.1944553382525793</c:v>
                </c:pt>
                <c:pt idx="1168">
                  <c:v>8.2013997834708903</c:v>
                </c:pt>
                <c:pt idx="1169">
                  <c:v>8.2083442286891994</c:v>
                </c:pt>
                <c:pt idx="1170">
                  <c:v>8.2152886739074997</c:v>
                </c:pt>
                <c:pt idx="1171">
                  <c:v>8.2222331191258107</c:v>
                </c:pt>
                <c:pt idx="1172">
                  <c:v>8.2291775643441198</c:v>
                </c:pt>
                <c:pt idx="1173">
                  <c:v>8.2361220095624201</c:v>
                </c:pt>
                <c:pt idx="1174">
                  <c:v>8.2430664547807293</c:v>
                </c:pt>
                <c:pt idx="1175">
                  <c:v>8.2500108999990296</c:v>
                </c:pt>
                <c:pt idx="1176">
                  <c:v>8.2569553452173405</c:v>
                </c:pt>
                <c:pt idx="1177">
                  <c:v>8.2638997904356497</c:v>
                </c:pt>
                <c:pt idx="1178">
                  <c:v>8.27084423565395</c:v>
                </c:pt>
                <c:pt idx="1179">
                  <c:v>8.2777886808722592</c:v>
                </c:pt>
                <c:pt idx="1180">
                  <c:v>8.2847331260905701</c:v>
                </c:pt>
                <c:pt idx="1181">
                  <c:v>8.2916775713088704</c:v>
                </c:pt>
                <c:pt idx="1182">
                  <c:v>8.2986220165271796</c:v>
                </c:pt>
                <c:pt idx="1183">
                  <c:v>8.3055664617454905</c:v>
                </c:pt>
                <c:pt idx="1184">
                  <c:v>8.3125109069637908</c:v>
                </c:pt>
                <c:pt idx="1185">
                  <c:v>8.3194553521821</c:v>
                </c:pt>
                <c:pt idx="1186">
                  <c:v>8.3263997974004003</c:v>
                </c:pt>
                <c:pt idx="1187">
                  <c:v>8.3333442426187094</c:v>
                </c:pt>
                <c:pt idx="1188">
                  <c:v>8.3402886878370097</c:v>
                </c:pt>
                <c:pt idx="1189">
                  <c:v>8.3472331330553207</c:v>
                </c:pt>
                <c:pt idx="1190">
                  <c:v>8.3541775782736298</c:v>
                </c:pt>
                <c:pt idx="1191">
                  <c:v>8.3611220234919301</c:v>
                </c:pt>
                <c:pt idx="1192">
                  <c:v>8.3680664687102393</c:v>
                </c:pt>
                <c:pt idx="1193">
                  <c:v>8.3750109139285502</c:v>
                </c:pt>
                <c:pt idx="1194">
                  <c:v>8.3819553591468505</c:v>
                </c:pt>
                <c:pt idx="1195">
                  <c:v>8.3888998043651597</c:v>
                </c:pt>
                <c:pt idx="1196">
                  <c:v>8.3958442495834706</c:v>
                </c:pt>
                <c:pt idx="1197">
                  <c:v>8.4027886948017692</c:v>
                </c:pt>
                <c:pt idx="1198">
                  <c:v>8.4097331400200801</c:v>
                </c:pt>
                <c:pt idx="1199">
                  <c:v>8.4166775852383804</c:v>
                </c:pt>
                <c:pt idx="1200">
                  <c:v>8.4236220304566896</c:v>
                </c:pt>
                <c:pt idx="1201">
                  <c:v>8.4305664756750005</c:v>
                </c:pt>
                <c:pt idx="1202">
                  <c:v>8.4375109208933097</c:v>
                </c:pt>
                <c:pt idx="1203">
                  <c:v>8.44445536611161</c:v>
                </c:pt>
                <c:pt idx="1204">
                  <c:v>8.4513998113299191</c:v>
                </c:pt>
                <c:pt idx="1205">
                  <c:v>8.4583442565482194</c:v>
                </c:pt>
                <c:pt idx="1206">
                  <c:v>8.4652887017665304</c:v>
                </c:pt>
                <c:pt idx="1207">
                  <c:v>8.4722331469848395</c:v>
                </c:pt>
                <c:pt idx="1208">
                  <c:v>8.4791775922031398</c:v>
                </c:pt>
                <c:pt idx="1209">
                  <c:v>8.4861220374214508</c:v>
                </c:pt>
                <c:pt idx="1210">
                  <c:v>8.4930664826397599</c:v>
                </c:pt>
                <c:pt idx="1211">
                  <c:v>8.5000109278580602</c:v>
                </c:pt>
                <c:pt idx="1212">
                  <c:v>8.5069553730763605</c:v>
                </c:pt>
                <c:pt idx="1213">
                  <c:v>8.5138998182946803</c:v>
                </c:pt>
                <c:pt idx="1214">
                  <c:v>8.5208442635129806</c:v>
                </c:pt>
                <c:pt idx="1215">
                  <c:v>8.5277887087312898</c:v>
                </c:pt>
                <c:pt idx="1216">
                  <c:v>8.5347331539495901</c:v>
                </c:pt>
                <c:pt idx="1217">
                  <c:v>8.5416775991678993</c:v>
                </c:pt>
                <c:pt idx="1218">
                  <c:v>8.5486220443861995</c:v>
                </c:pt>
                <c:pt idx="1219">
                  <c:v>8.5555664896045105</c:v>
                </c:pt>
                <c:pt idx="1220">
                  <c:v>8.5625109348228197</c:v>
                </c:pt>
                <c:pt idx="1221">
                  <c:v>8.56945538004112</c:v>
                </c:pt>
                <c:pt idx="1222">
                  <c:v>8.5763998252594291</c:v>
                </c:pt>
                <c:pt idx="1223">
                  <c:v>8.5833442704777401</c:v>
                </c:pt>
                <c:pt idx="1224">
                  <c:v>8.5902887156960404</c:v>
                </c:pt>
                <c:pt idx="1225">
                  <c:v>8.5972331609143495</c:v>
                </c:pt>
                <c:pt idx="1226">
                  <c:v>8.6041776061326605</c:v>
                </c:pt>
                <c:pt idx="1227">
                  <c:v>8.6111220513509608</c:v>
                </c:pt>
                <c:pt idx="1228">
                  <c:v>8.6180664965692699</c:v>
                </c:pt>
                <c:pt idx="1229">
                  <c:v>8.6250109417875702</c:v>
                </c:pt>
                <c:pt idx="1230">
                  <c:v>8.6319553870058794</c:v>
                </c:pt>
                <c:pt idx="1231">
                  <c:v>8.6388998322241797</c:v>
                </c:pt>
                <c:pt idx="1232">
                  <c:v>8.6458442774424906</c:v>
                </c:pt>
                <c:pt idx="1233">
                  <c:v>8.6527887226607891</c:v>
                </c:pt>
                <c:pt idx="1234">
                  <c:v>8.6597331678791001</c:v>
                </c:pt>
                <c:pt idx="1235">
                  <c:v>8.6666776130974004</c:v>
                </c:pt>
                <c:pt idx="1236">
                  <c:v>8.6736220583157095</c:v>
                </c:pt>
                <c:pt idx="1237">
                  <c:v>8.6805665035340098</c:v>
                </c:pt>
                <c:pt idx="1238">
                  <c:v>8.6875109487523208</c:v>
                </c:pt>
                <c:pt idx="1239">
                  <c:v>8.6944553939706193</c:v>
                </c:pt>
                <c:pt idx="1240">
                  <c:v>8.7013998391889196</c:v>
                </c:pt>
                <c:pt idx="1241">
                  <c:v>8.7083442844072305</c:v>
                </c:pt>
                <c:pt idx="1242">
                  <c:v>8.7152887296255308</c:v>
                </c:pt>
                <c:pt idx="1243">
                  <c:v>8.72223317484384</c:v>
                </c:pt>
                <c:pt idx="1244">
                  <c:v>8.7291776200621403</c:v>
                </c:pt>
                <c:pt idx="1245">
                  <c:v>8.7361220652804494</c:v>
                </c:pt>
                <c:pt idx="1246">
                  <c:v>8.7430665104987497</c:v>
                </c:pt>
                <c:pt idx="1247">
                  <c:v>8.7500109557170607</c:v>
                </c:pt>
                <c:pt idx="1248">
                  <c:v>8.7569554009353592</c:v>
                </c:pt>
                <c:pt idx="1249">
                  <c:v>8.7638998461536701</c:v>
                </c:pt>
                <c:pt idx="1250">
                  <c:v>8.7708442913719704</c:v>
                </c:pt>
                <c:pt idx="1251">
                  <c:v>8.7777887365902707</c:v>
                </c:pt>
                <c:pt idx="1252">
                  <c:v>8.7847331818085799</c:v>
                </c:pt>
                <c:pt idx="1253">
                  <c:v>8.7916776270268802</c:v>
                </c:pt>
                <c:pt idx="1254">
                  <c:v>8.7986220722451893</c:v>
                </c:pt>
                <c:pt idx="1255">
                  <c:v>8.8055665174634896</c:v>
                </c:pt>
                <c:pt idx="1256">
                  <c:v>8.8125109626818006</c:v>
                </c:pt>
                <c:pt idx="1257">
                  <c:v>8.8194554079001009</c:v>
                </c:pt>
                <c:pt idx="1258">
                  <c:v>8.82639985311841</c:v>
                </c:pt>
                <c:pt idx="1259">
                  <c:v>8.8333442983367103</c:v>
                </c:pt>
                <c:pt idx="1260">
                  <c:v>8.8402887435550106</c:v>
                </c:pt>
                <c:pt idx="1261">
                  <c:v>8.8472331887733198</c:v>
                </c:pt>
                <c:pt idx="1262">
                  <c:v>8.8541776339916201</c:v>
                </c:pt>
                <c:pt idx="1263">
                  <c:v>8.8611220792099292</c:v>
                </c:pt>
                <c:pt idx="1264">
                  <c:v>8.8680665244282295</c:v>
                </c:pt>
                <c:pt idx="1265">
                  <c:v>8.8750109696465405</c:v>
                </c:pt>
                <c:pt idx="1266">
                  <c:v>8.8819554148648407</c:v>
                </c:pt>
                <c:pt idx="1267">
                  <c:v>8.8888998600831499</c:v>
                </c:pt>
                <c:pt idx="1268">
                  <c:v>8.8958443053014502</c:v>
                </c:pt>
                <c:pt idx="1269">
                  <c:v>8.9027887505197505</c:v>
                </c:pt>
                <c:pt idx="1270">
                  <c:v>8.9097331957380597</c:v>
                </c:pt>
                <c:pt idx="1271">
                  <c:v>8.91667764095636</c:v>
                </c:pt>
                <c:pt idx="1272">
                  <c:v>8.9236220861746691</c:v>
                </c:pt>
                <c:pt idx="1273">
                  <c:v>8.9305665313929694</c:v>
                </c:pt>
                <c:pt idx="1274">
                  <c:v>8.9375109766112804</c:v>
                </c:pt>
                <c:pt idx="1275">
                  <c:v>8.9444554218295806</c:v>
                </c:pt>
                <c:pt idx="1276">
                  <c:v>8.9513998670478898</c:v>
                </c:pt>
                <c:pt idx="1277">
                  <c:v>8.9583443122661901</c:v>
                </c:pt>
                <c:pt idx="1278">
                  <c:v>8.9652887574844993</c:v>
                </c:pt>
                <c:pt idx="1279">
                  <c:v>8.9722332027027996</c:v>
                </c:pt>
                <c:pt idx="1280">
                  <c:v>8.9791776479211105</c:v>
                </c:pt>
                <c:pt idx="1281">
                  <c:v>8.9861220931394108</c:v>
                </c:pt>
                <c:pt idx="1282">
                  <c:v>8.9930665383577093</c:v>
                </c:pt>
                <c:pt idx="1283">
                  <c:v>9.0000109835760203</c:v>
                </c:pt>
                <c:pt idx="1284">
                  <c:v>9.0069554287943205</c:v>
                </c:pt>
                <c:pt idx="1285">
                  <c:v>9.0138998740126297</c:v>
                </c:pt>
                <c:pt idx="1286">
                  <c:v>9.02084431923093</c:v>
                </c:pt>
                <c:pt idx="1287">
                  <c:v>9.0277887644492392</c:v>
                </c:pt>
                <c:pt idx="1288">
                  <c:v>9.0347332096675395</c:v>
                </c:pt>
                <c:pt idx="1289">
                  <c:v>9.0416776548858504</c:v>
                </c:pt>
                <c:pt idx="1290">
                  <c:v>9.0486221001041507</c:v>
                </c:pt>
                <c:pt idx="1291">
                  <c:v>9.0555665453224599</c:v>
                </c:pt>
                <c:pt idx="1292">
                  <c:v>9.0625109905407601</c:v>
                </c:pt>
                <c:pt idx="1293">
                  <c:v>9.0694554357590604</c:v>
                </c:pt>
                <c:pt idx="1294">
                  <c:v>9.0763998809773696</c:v>
                </c:pt>
                <c:pt idx="1295">
                  <c:v>9.0833443261956699</c:v>
                </c:pt>
                <c:pt idx="1296">
                  <c:v>9.0902887714139808</c:v>
                </c:pt>
                <c:pt idx="1297">
                  <c:v>9.0972332166322794</c:v>
                </c:pt>
                <c:pt idx="1298">
                  <c:v>9.1041776618505903</c:v>
                </c:pt>
                <c:pt idx="1299">
                  <c:v>9.1111221070688906</c:v>
                </c:pt>
                <c:pt idx="1300">
                  <c:v>9.1180665522871998</c:v>
                </c:pt>
                <c:pt idx="1301">
                  <c:v>9.1250109975055</c:v>
                </c:pt>
                <c:pt idx="1302">
                  <c:v>9.1319554427238003</c:v>
                </c:pt>
                <c:pt idx="1303">
                  <c:v>9.1388998879421095</c:v>
                </c:pt>
                <c:pt idx="1304">
                  <c:v>9.1458443331604098</c:v>
                </c:pt>
                <c:pt idx="1305">
                  <c:v>9.1527887783787207</c:v>
                </c:pt>
                <c:pt idx="1306">
                  <c:v>9.1597332235970192</c:v>
                </c:pt>
                <c:pt idx="1307">
                  <c:v>9.1666776688153302</c:v>
                </c:pt>
                <c:pt idx="1308">
                  <c:v>9.1736221140336305</c:v>
                </c:pt>
                <c:pt idx="1309">
                  <c:v>9.1805665592519397</c:v>
                </c:pt>
                <c:pt idx="1310">
                  <c:v>9.1875110044702399</c:v>
                </c:pt>
                <c:pt idx="1311">
                  <c:v>9.1944554496885402</c:v>
                </c:pt>
                <c:pt idx="1312">
                  <c:v>9.2013998949068494</c:v>
                </c:pt>
                <c:pt idx="1313">
                  <c:v>9.2083443401251497</c:v>
                </c:pt>
                <c:pt idx="1314">
                  <c:v>9.2152887853434606</c:v>
                </c:pt>
                <c:pt idx="1315">
                  <c:v>9.2222332305617591</c:v>
                </c:pt>
                <c:pt idx="1316">
                  <c:v>9.2291776757800701</c:v>
                </c:pt>
                <c:pt idx="1317">
                  <c:v>9.2361221209983704</c:v>
                </c:pt>
                <c:pt idx="1318">
                  <c:v>9.2430665662166795</c:v>
                </c:pt>
                <c:pt idx="1319">
                  <c:v>9.2500110114349798</c:v>
                </c:pt>
                <c:pt idx="1320">
                  <c:v>9.2569554566532908</c:v>
                </c:pt>
                <c:pt idx="1321">
                  <c:v>9.2638999018715893</c:v>
                </c:pt>
                <c:pt idx="1322">
                  <c:v>9.2708443470899002</c:v>
                </c:pt>
                <c:pt idx="1323">
                  <c:v>9.2777887923082005</c:v>
                </c:pt>
                <c:pt idx="1324">
                  <c:v>9.2847332375265008</c:v>
                </c:pt>
                <c:pt idx="1325">
                  <c:v>9.29167768274481</c:v>
                </c:pt>
                <c:pt idx="1326">
                  <c:v>9.2986221279631103</c:v>
                </c:pt>
                <c:pt idx="1327">
                  <c:v>9.3055665731814194</c:v>
                </c:pt>
                <c:pt idx="1328">
                  <c:v>9.3125110183997197</c:v>
                </c:pt>
                <c:pt idx="1329">
                  <c:v>9.3194554636180307</c:v>
                </c:pt>
                <c:pt idx="1330">
                  <c:v>9.3263999088363292</c:v>
                </c:pt>
                <c:pt idx="1331">
                  <c:v>9.3333443540546401</c:v>
                </c:pt>
                <c:pt idx="1332">
                  <c:v>9.3402887992729404</c:v>
                </c:pt>
                <c:pt idx="1333">
                  <c:v>9.3472332444912496</c:v>
                </c:pt>
                <c:pt idx="1334">
                  <c:v>9.3541776897095499</c:v>
                </c:pt>
                <c:pt idx="1335">
                  <c:v>9.3611221349278502</c:v>
                </c:pt>
                <c:pt idx="1336">
                  <c:v>9.3680665801461593</c:v>
                </c:pt>
                <c:pt idx="1337">
                  <c:v>9.3750110253644596</c:v>
                </c:pt>
                <c:pt idx="1338">
                  <c:v>9.3819554705827706</c:v>
                </c:pt>
                <c:pt idx="1339">
                  <c:v>9.3888999158010709</c:v>
                </c:pt>
                <c:pt idx="1340">
                  <c:v>9.39584436101938</c:v>
                </c:pt>
                <c:pt idx="1341">
                  <c:v>9.4027888062376803</c:v>
                </c:pt>
                <c:pt idx="1342">
                  <c:v>9.4097332514559806</c:v>
                </c:pt>
                <c:pt idx="1343">
                  <c:v>9.4166776966742898</c:v>
                </c:pt>
                <c:pt idx="1344">
                  <c:v>9.4236221418925901</c:v>
                </c:pt>
                <c:pt idx="1345">
                  <c:v>9.4305665871108992</c:v>
                </c:pt>
                <c:pt idx="1346">
                  <c:v>9.4375110323291995</c:v>
                </c:pt>
                <c:pt idx="1347">
                  <c:v>9.4444554775475105</c:v>
                </c:pt>
                <c:pt idx="1348">
                  <c:v>9.4513999227658108</c:v>
                </c:pt>
                <c:pt idx="1349">
                  <c:v>9.4583443679841199</c:v>
                </c:pt>
                <c:pt idx="1350">
                  <c:v>9.4652888132024202</c:v>
                </c:pt>
                <c:pt idx="1351">
                  <c:v>9.4722332584207294</c:v>
                </c:pt>
                <c:pt idx="1352">
                  <c:v>9.4791777036390297</c:v>
                </c:pt>
                <c:pt idx="1353">
                  <c:v>9.48612214885733</c:v>
                </c:pt>
                <c:pt idx="1354">
                  <c:v>9.4930665940756391</c:v>
                </c:pt>
                <c:pt idx="1355">
                  <c:v>9.5000110392939394</c:v>
                </c:pt>
                <c:pt idx="1356">
                  <c:v>9.5069554845122504</c:v>
                </c:pt>
                <c:pt idx="1357">
                  <c:v>9.5138999297305507</c:v>
                </c:pt>
                <c:pt idx="1358">
                  <c:v>9.5208443749488598</c:v>
                </c:pt>
                <c:pt idx="1359">
                  <c:v>9.5277888201671601</c:v>
                </c:pt>
                <c:pt idx="1360">
                  <c:v>9.5347332653854693</c:v>
                </c:pt>
                <c:pt idx="1361">
                  <c:v>9.5416777106037696</c:v>
                </c:pt>
                <c:pt idx="1362">
                  <c:v>9.5486221558220805</c:v>
                </c:pt>
                <c:pt idx="1363">
                  <c:v>9.5555666010403808</c:v>
                </c:pt>
                <c:pt idx="1364">
                  <c:v>9.5625110462586793</c:v>
                </c:pt>
                <c:pt idx="1365">
                  <c:v>9.5694554914769903</c:v>
                </c:pt>
                <c:pt idx="1366">
                  <c:v>9.5763999366952905</c:v>
                </c:pt>
                <c:pt idx="1367">
                  <c:v>9.5833443819135997</c:v>
                </c:pt>
                <c:pt idx="1368">
                  <c:v>9.5902888271319</c:v>
                </c:pt>
                <c:pt idx="1369">
                  <c:v>9.5972332723502092</c:v>
                </c:pt>
                <c:pt idx="1370">
                  <c:v>9.6041777175685095</c:v>
                </c:pt>
                <c:pt idx="1371">
                  <c:v>9.6111221627868204</c:v>
                </c:pt>
                <c:pt idx="1372">
                  <c:v>9.6180666080051207</c:v>
                </c:pt>
                <c:pt idx="1373">
                  <c:v>9.6250110532234299</c:v>
                </c:pt>
                <c:pt idx="1374">
                  <c:v>9.6319554984417302</c:v>
                </c:pt>
                <c:pt idx="1375">
                  <c:v>9.6388999436600304</c:v>
                </c:pt>
                <c:pt idx="1376">
                  <c:v>9.6458443888783396</c:v>
                </c:pt>
                <c:pt idx="1377">
                  <c:v>9.6527888340966399</c:v>
                </c:pt>
                <c:pt idx="1378">
                  <c:v>9.6597332793149508</c:v>
                </c:pt>
                <c:pt idx="1379">
                  <c:v>9.6666777245332494</c:v>
                </c:pt>
                <c:pt idx="1380">
                  <c:v>9.6736221697515603</c:v>
                </c:pt>
                <c:pt idx="1381">
                  <c:v>9.6805666149698606</c:v>
                </c:pt>
                <c:pt idx="1382">
                  <c:v>9.6875110601881698</c:v>
                </c:pt>
                <c:pt idx="1383">
                  <c:v>9.6944555054064701</c:v>
                </c:pt>
                <c:pt idx="1384">
                  <c:v>9.7013999506247703</c:v>
                </c:pt>
                <c:pt idx="1385">
                  <c:v>9.7083443958430795</c:v>
                </c:pt>
                <c:pt idx="1386">
                  <c:v>9.7152888410613798</c:v>
                </c:pt>
                <c:pt idx="1387">
                  <c:v>9.7222332862796907</c:v>
                </c:pt>
                <c:pt idx="1388">
                  <c:v>9.7291777314979893</c:v>
                </c:pt>
                <c:pt idx="1389">
                  <c:v>9.7361221767163002</c:v>
                </c:pt>
                <c:pt idx="1390">
                  <c:v>9.7430666219346005</c:v>
                </c:pt>
                <c:pt idx="1391">
                  <c:v>9.7500110671529097</c:v>
                </c:pt>
                <c:pt idx="1392">
                  <c:v>9.7569555123712099</c:v>
                </c:pt>
                <c:pt idx="1393">
                  <c:v>9.7638999575895191</c:v>
                </c:pt>
                <c:pt idx="1394">
                  <c:v>9.7708444028078194</c:v>
                </c:pt>
                <c:pt idx="1395">
                  <c:v>9.7777888480261197</c:v>
                </c:pt>
                <c:pt idx="1396">
                  <c:v>9.7847332932444306</c:v>
                </c:pt>
                <c:pt idx="1397">
                  <c:v>9.7916777384627292</c:v>
                </c:pt>
                <c:pt idx="1398">
                  <c:v>9.7986221836810401</c:v>
                </c:pt>
                <c:pt idx="1399">
                  <c:v>9.8055666288993404</c:v>
                </c:pt>
                <c:pt idx="1400">
                  <c:v>9.8125110741176496</c:v>
                </c:pt>
                <c:pt idx="1401">
                  <c:v>9.8194555193359498</c:v>
                </c:pt>
                <c:pt idx="1402">
                  <c:v>9.8263999645542608</c:v>
                </c:pt>
                <c:pt idx="1403">
                  <c:v>9.8333444097725593</c:v>
                </c:pt>
                <c:pt idx="1404">
                  <c:v>9.8402888549908702</c:v>
                </c:pt>
                <c:pt idx="1405">
                  <c:v>9.8472333002091705</c:v>
                </c:pt>
                <c:pt idx="1406">
                  <c:v>9.8541777454274708</c:v>
                </c:pt>
                <c:pt idx="1407">
                  <c:v>9.86112219064578</c:v>
                </c:pt>
                <c:pt idx="1408">
                  <c:v>9.8680666358640803</c:v>
                </c:pt>
                <c:pt idx="1409">
                  <c:v>9.8750110810823895</c:v>
                </c:pt>
                <c:pt idx="1410">
                  <c:v>9.8819555263006897</c:v>
                </c:pt>
                <c:pt idx="1411">
                  <c:v>9.8888999715190007</c:v>
                </c:pt>
                <c:pt idx="1412">
                  <c:v>9.8958444167372992</c:v>
                </c:pt>
                <c:pt idx="1413">
                  <c:v>9.9027888619556101</c:v>
                </c:pt>
                <c:pt idx="1414">
                  <c:v>9.9097333071739104</c:v>
                </c:pt>
                <c:pt idx="1415">
                  <c:v>9.9166777523922196</c:v>
                </c:pt>
                <c:pt idx="1416">
                  <c:v>9.9236221976105199</c:v>
                </c:pt>
                <c:pt idx="1417">
                  <c:v>9.9305666428288202</c:v>
                </c:pt>
                <c:pt idx="1418">
                  <c:v>9.9375110880471293</c:v>
                </c:pt>
                <c:pt idx="1419">
                  <c:v>9.9444555332654296</c:v>
                </c:pt>
                <c:pt idx="1420">
                  <c:v>9.9513999784837406</c:v>
                </c:pt>
                <c:pt idx="1421">
                  <c:v>9.9583444237020409</c:v>
                </c:pt>
                <c:pt idx="1422">
                  <c:v>9.96528886892035</c:v>
                </c:pt>
                <c:pt idx="1423">
                  <c:v>9.9722333141386503</c:v>
                </c:pt>
                <c:pt idx="1424">
                  <c:v>9.9791777593569595</c:v>
                </c:pt>
                <c:pt idx="1425">
                  <c:v>9.9861222045752598</c:v>
                </c:pt>
                <c:pt idx="1426">
                  <c:v>9.9930666497935601</c:v>
                </c:pt>
                <c:pt idx="1427">
                  <c:v>10.0000110950118</c:v>
                </c:pt>
                <c:pt idx="1428">
                  <c:v>10.0069555402301</c:v>
                </c:pt>
                <c:pt idx="1429">
                  <c:v>10.013899985448401</c:v>
                </c:pt>
                <c:pt idx="1430">
                  <c:v>10.020844430666701</c:v>
                </c:pt>
                <c:pt idx="1431">
                  <c:v>10.027788875884999</c:v>
                </c:pt>
                <c:pt idx="1432">
                  <c:v>10.0347333211033</c:v>
                </c:pt>
                <c:pt idx="1433">
                  <c:v>10.041677766321699</c:v>
                </c:pt>
                <c:pt idx="1434">
                  <c:v>10.04862221154</c:v>
                </c:pt>
                <c:pt idx="1435">
                  <c:v>10.0555666567583</c:v>
                </c:pt>
                <c:pt idx="1436">
                  <c:v>10.0625111019766</c:v>
                </c:pt>
                <c:pt idx="1437">
                  <c:v>10.069455547194901</c:v>
                </c:pt>
                <c:pt idx="1438">
                  <c:v>10.076399992413201</c:v>
                </c:pt>
                <c:pt idx="1439">
                  <c:v>10.083342706151999</c:v>
                </c:pt>
                <c:pt idx="1440">
                  <c:v>10.0902871606296</c:v>
                </c:pt>
                <c:pt idx="1441">
                  <c:v>10.097231605847901</c:v>
                </c:pt>
                <c:pt idx="1442">
                  <c:v>10.104176051066201</c:v>
                </c:pt>
                <c:pt idx="1443">
                  <c:v>10.111120496284499</c:v>
                </c:pt>
                <c:pt idx="1444">
                  <c:v>10.1180649415028</c:v>
                </c:pt>
                <c:pt idx="1445">
                  <c:v>10.1250093867211</c:v>
                </c:pt>
                <c:pt idx="1446">
                  <c:v>10.1319538319394</c:v>
                </c:pt>
                <c:pt idx="1447">
                  <c:v>10.138898277157701</c:v>
                </c:pt>
                <c:pt idx="1448">
                  <c:v>10.145842722376001</c:v>
                </c:pt>
                <c:pt idx="1449">
                  <c:v>10.152787167594299</c:v>
                </c:pt>
                <c:pt idx="1450">
                  <c:v>10.1597316128126</c:v>
                </c:pt>
                <c:pt idx="1451">
                  <c:v>10.1666760580309</c:v>
                </c:pt>
                <c:pt idx="1452">
                  <c:v>10.1736205032493</c:v>
                </c:pt>
                <c:pt idx="1453">
                  <c:v>10.1805649484676</c:v>
                </c:pt>
                <c:pt idx="1454">
                  <c:v>10.1875093936859</c:v>
                </c:pt>
                <c:pt idx="1455">
                  <c:v>10.194453838904201</c:v>
                </c:pt>
                <c:pt idx="1456">
                  <c:v>10.201398284122501</c:v>
                </c:pt>
                <c:pt idx="1457">
                  <c:v>10.208342729340799</c:v>
                </c:pt>
                <c:pt idx="1458">
                  <c:v>10.2152871745591</c:v>
                </c:pt>
                <c:pt idx="1459">
                  <c:v>10.2222316197774</c:v>
                </c:pt>
                <c:pt idx="1460">
                  <c:v>10.2291760649957</c:v>
                </c:pt>
                <c:pt idx="1461">
                  <c:v>10.236120510214</c:v>
                </c:pt>
                <c:pt idx="1462">
                  <c:v>10.243064955432301</c:v>
                </c:pt>
                <c:pt idx="1463">
                  <c:v>10.250009400650599</c:v>
                </c:pt>
                <c:pt idx="1464">
                  <c:v>10.2569538458689</c:v>
                </c:pt>
                <c:pt idx="1465">
                  <c:v>10.2638982910872</c:v>
                </c:pt>
                <c:pt idx="1466">
                  <c:v>10.2708427363055</c:v>
                </c:pt>
                <c:pt idx="1467">
                  <c:v>10.2777871815238</c:v>
                </c:pt>
                <c:pt idx="1468">
                  <c:v>10.2847316267422</c:v>
                </c:pt>
                <c:pt idx="1469">
                  <c:v>10.2916760719605</c:v>
                </c:pt>
                <c:pt idx="1470">
                  <c:v>10.298620517178801</c:v>
                </c:pt>
                <c:pt idx="1471">
                  <c:v>10.305564962397099</c:v>
                </c:pt>
                <c:pt idx="1472">
                  <c:v>10.3125094076154</c:v>
                </c:pt>
                <c:pt idx="1473">
                  <c:v>10.3194538528337</c:v>
                </c:pt>
                <c:pt idx="1474">
                  <c:v>10.326398298052</c:v>
                </c:pt>
                <c:pt idx="1475">
                  <c:v>10.3333427432703</c:v>
                </c:pt>
                <c:pt idx="1476">
                  <c:v>10.340287188488601</c:v>
                </c:pt>
                <c:pt idx="1477">
                  <c:v>10.347231633706899</c:v>
                </c:pt>
                <c:pt idx="1478">
                  <c:v>10.3541760789252</c:v>
                </c:pt>
                <c:pt idx="1479">
                  <c:v>10.3611205241435</c:v>
                </c:pt>
                <c:pt idx="1480">
                  <c:v>10.3680649693618</c:v>
                </c:pt>
                <c:pt idx="1481">
                  <c:v>10.3750094145801</c:v>
                </c:pt>
                <c:pt idx="1482">
                  <c:v>10.381953859798401</c:v>
                </c:pt>
                <c:pt idx="1483">
                  <c:v>10.388898305016699</c:v>
                </c:pt>
                <c:pt idx="1484">
                  <c:v>10.395842750234999</c:v>
                </c:pt>
                <c:pt idx="1485">
                  <c:v>10.4027871954533</c:v>
                </c:pt>
                <c:pt idx="1486">
                  <c:v>10.4097316406717</c:v>
                </c:pt>
                <c:pt idx="1487">
                  <c:v>10.41667608589</c:v>
                </c:pt>
                <c:pt idx="1488">
                  <c:v>10.4236205311083</c:v>
                </c:pt>
                <c:pt idx="1489">
                  <c:v>10.4305649763266</c:v>
                </c:pt>
                <c:pt idx="1490">
                  <c:v>10.437509421544901</c:v>
                </c:pt>
                <c:pt idx="1491">
                  <c:v>10.444453866763199</c:v>
                </c:pt>
                <c:pt idx="1492">
                  <c:v>10.451398311981499</c:v>
                </c:pt>
                <c:pt idx="1493">
                  <c:v>10.4583427571998</c:v>
                </c:pt>
                <c:pt idx="1494">
                  <c:v>10.4652872024181</c:v>
                </c:pt>
                <c:pt idx="1495">
                  <c:v>10.4722316476364</c:v>
                </c:pt>
                <c:pt idx="1496">
                  <c:v>10.479176092854701</c:v>
                </c:pt>
                <c:pt idx="1497">
                  <c:v>10.486120538072999</c:v>
                </c:pt>
                <c:pt idx="1498">
                  <c:v>10.493064983291299</c:v>
                </c:pt>
                <c:pt idx="1499">
                  <c:v>10.5000094285096</c:v>
                </c:pt>
                <c:pt idx="1500">
                  <c:v>10.5069538737279</c:v>
                </c:pt>
                <c:pt idx="1501">
                  <c:v>10.5138983189462</c:v>
                </c:pt>
                <c:pt idx="1502">
                  <c:v>10.520842764164501</c:v>
                </c:pt>
                <c:pt idx="1503">
                  <c:v>10.5277872093829</c:v>
                </c:pt>
                <c:pt idx="1504">
                  <c:v>10.534731654601201</c:v>
                </c:pt>
                <c:pt idx="1505">
                  <c:v>10.541676099819499</c:v>
                </c:pt>
                <c:pt idx="1506">
                  <c:v>10.548620545037799</c:v>
                </c:pt>
                <c:pt idx="1507">
                  <c:v>10.5555649902561</c:v>
                </c:pt>
                <c:pt idx="1508">
                  <c:v>10.5625094354744</c:v>
                </c:pt>
                <c:pt idx="1509">
                  <c:v>10.5694538806927</c:v>
                </c:pt>
                <c:pt idx="1510">
                  <c:v>10.576398325911001</c:v>
                </c:pt>
                <c:pt idx="1511">
                  <c:v>10.583342771129301</c:v>
                </c:pt>
                <c:pt idx="1512">
                  <c:v>10.590287216347599</c:v>
                </c:pt>
                <c:pt idx="1513">
                  <c:v>10.5972316615659</c:v>
                </c:pt>
                <c:pt idx="1514">
                  <c:v>10.6041761067842</c:v>
                </c:pt>
                <c:pt idx="1515">
                  <c:v>10.6111205520025</c:v>
                </c:pt>
                <c:pt idx="1516">
                  <c:v>10.618064997220801</c:v>
                </c:pt>
                <c:pt idx="1517">
                  <c:v>10.625009442439101</c:v>
                </c:pt>
                <c:pt idx="1518">
                  <c:v>10.631953887657399</c:v>
                </c:pt>
                <c:pt idx="1519">
                  <c:v>10.6388983328757</c:v>
                </c:pt>
                <c:pt idx="1520">
                  <c:v>10.645842778094</c:v>
                </c:pt>
                <c:pt idx="1521">
                  <c:v>10.6527872233124</c:v>
                </c:pt>
                <c:pt idx="1522">
                  <c:v>10.6597316685307</c:v>
                </c:pt>
                <c:pt idx="1523">
                  <c:v>10.666676113749</c:v>
                </c:pt>
                <c:pt idx="1524">
                  <c:v>10.673620558967301</c:v>
                </c:pt>
                <c:pt idx="1525">
                  <c:v>10.680565004185601</c:v>
                </c:pt>
                <c:pt idx="1526">
                  <c:v>10.687509449403899</c:v>
                </c:pt>
                <c:pt idx="1527">
                  <c:v>10.6944538946222</c:v>
                </c:pt>
                <c:pt idx="1528">
                  <c:v>10.7013983398405</c:v>
                </c:pt>
                <c:pt idx="1529">
                  <c:v>10.7083427850588</c:v>
                </c:pt>
                <c:pt idx="1530">
                  <c:v>10.715287230277101</c:v>
                </c:pt>
                <c:pt idx="1531">
                  <c:v>10.722231675495401</c:v>
                </c:pt>
                <c:pt idx="1532">
                  <c:v>10.729176120713699</c:v>
                </c:pt>
                <c:pt idx="1533">
                  <c:v>10.736120565932</c:v>
                </c:pt>
                <c:pt idx="1534">
                  <c:v>10.7430650111503</c:v>
                </c:pt>
                <c:pt idx="1535">
                  <c:v>10.7500094563686</c:v>
                </c:pt>
                <c:pt idx="1536">
                  <c:v>10.7569539015869</c:v>
                </c:pt>
                <c:pt idx="1537">
                  <c:v>10.763898346805201</c:v>
                </c:pt>
                <c:pt idx="1538">
                  <c:v>10.770842792023601</c:v>
                </c:pt>
                <c:pt idx="1539">
                  <c:v>10.777787237241901</c:v>
                </c:pt>
                <c:pt idx="1540">
                  <c:v>10.781970623333899</c:v>
                </c:pt>
              </c:numCache>
            </c:numRef>
          </c:xVal>
          <c:yVal>
            <c:numRef>
              <c:f>Chronoamperometries!$B$2:$B$1543</c:f>
              <c:numCache>
                <c:formatCode>General</c:formatCode>
                <c:ptCount val="1542"/>
                <c:pt idx="0">
                  <c:v>13.131314856297299</c:v>
                </c:pt>
                <c:pt idx="1">
                  <c:v>11.9596952871821</c:v>
                </c:pt>
                <c:pt idx="2">
                  <c:v>11.5172191757131</c:v>
                </c:pt>
                <c:pt idx="3">
                  <c:v>11.4391113155139</c:v>
                </c:pt>
                <c:pt idx="4">
                  <c:v>11.4056261462366</c:v>
                </c:pt>
                <c:pt idx="5">
                  <c:v>11.3357381384257</c:v>
                </c:pt>
                <c:pt idx="6">
                  <c:v>11.314038897687199</c:v>
                </c:pt>
                <c:pt idx="7">
                  <c:v>11.2743645004232</c:v>
                </c:pt>
                <c:pt idx="8">
                  <c:v>11.2072660708554</c:v>
                </c:pt>
                <c:pt idx="9">
                  <c:v>11.138147120313301</c:v>
                </c:pt>
                <c:pt idx="10">
                  <c:v>11.097065144143601</c:v>
                </c:pt>
                <c:pt idx="11">
                  <c:v>11.0303168826481</c:v>
                </c:pt>
                <c:pt idx="12">
                  <c:v>10.968304052523999</c:v>
                </c:pt>
                <c:pt idx="13">
                  <c:v>10.9013720807962</c:v>
                </c:pt>
                <c:pt idx="14">
                  <c:v>10.8220651233681</c:v>
                </c:pt>
                <c:pt idx="15">
                  <c:v>10.716212218325699</c:v>
                </c:pt>
                <c:pt idx="16">
                  <c:v>10.5911553525569</c:v>
                </c:pt>
                <c:pt idx="17">
                  <c:v>10.4915702056024</c:v>
                </c:pt>
                <c:pt idx="18">
                  <c:v>10.3137193795486</c:v>
                </c:pt>
                <c:pt idx="19">
                  <c:v>10.2109301418252</c:v>
                </c:pt>
                <c:pt idx="20">
                  <c:v>10.1235235950179</c:v>
                </c:pt>
                <c:pt idx="21">
                  <c:v>10.057577381750299</c:v>
                </c:pt>
                <c:pt idx="22">
                  <c:v>9.9889846523394699</c:v>
                </c:pt>
                <c:pt idx="23">
                  <c:v>9.9320135167003691</c:v>
                </c:pt>
                <c:pt idx="24">
                  <c:v>9.8587529581059297</c:v>
                </c:pt>
                <c:pt idx="25">
                  <c:v>9.7739669785736005</c:v>
                </c:pt>
                <c:pt idx="26">
                  <c:v>9.7019520907003898</c:v>
                </c:pt>
                <c:pt idx="27">
                  <c:v>9.6307904125900503</c:v>
                </c:pt>
                <c:pt idx="28">
                  <c:v>9.5467933044238702</c:v>
                </c:pt>
                <c:pt idx="29">
                  <c:v>9.4593233965582595</c:v>
                </c:pt>
                <c:pt idx="30">
                  <c:v>9.3721934227526198</c:v>
                </c:pt>
                <c:pt idx="31">
                  <c:v>9.2967416943075101</c:v>
                </c:pt>
                <c:pt idx="32">
                  <c:v>9.2028346791651696</c:v>
                </c:pt>
                <c:pt idx="33">
                  <c:v>9.1002207183059394</c:v>
                </c:pt>
                <c:pt idx="34">
                  <c:v>8.9906850916810992</c:v>
                </c:pt>
                <c:pt idx="35">
                  <c:v>8.8894093461576897</c:v>
                </c:pt>
                <c:pt idx="36">
                  <c:v>8.7830717212888807</c:v>
                </c:pt>
                <c:pt idx="37">
                  <c:v>8.65362035094922</c:v>
                </c:pt>
                <c:pt idx="38">
                  <c:v>8.5364628652110799</c:v>
                </c:pt>
                <c:pt idx="39">
                  <c:v>8.3981297211479493</c:v>
                </c:pt>
                <c:pt idx="40">
                  <c:v>8.2684599709682001</c:v>
                </c:pt>
                <c:pt idx="41">
                  <c:v>8.1365959084802597</c:v>
                </c:pt>
                <c:pt idx="42">
                  <c:v>7.9941264638601801</c:v>
                </c:pt>
                <c:pt idx="43">
                  <c:v>7.8543624812652197</c:v>
                </c:pt>
                <c:pt idx="44">
                  <c:v>7.7088445440987403</c:v>
                </c:pt>
                <c:pt idx="45">
                  <c:v>7.5729856225838903</c:v>
                </c:pt>
                <c:pt idx="46">
                  <c:v>7.4341875015217296</c:v>
                </c:pt>
                <c:pt idx="47">
                  <c:v>7.2822833331339902</c:v>
                </c:pt>
                <c:pt idx="48">
                  <c:v>7.1473850676091901</c:v>
                </c:pt>
                <c:pt idx="49">
                  <c:v>7.00872452323354</c:v>
                </c:pt>
                <c:pt idx="50">
                  <c:v>6.8779290647187903</c:v>
                </c:pt>
                <c:pt idx="51">
                  <c:v>6.7419288319125998</c:v>
                </c:pt>
                <c:pt idx="52">
                  <c:v>6.6045604838936702</c:v>
                </c:pt>
                <c:pt idx="53">
                  <c:v>6.4811077717812502</c:v>
                </c:pt>
                <c:pt idx="54">
                  <c:v>6.3542367118340097</c:v>
                </c:pt>
                <c:pt idx="55">
                  <c:v>6.2504186426849699</c:v>
                </c:pt>
                <c:pt idx="56">
                  <c:v>6.1536581524237697</c:v>
                </c:pt>
                <c:pt idx="57">
                  <c:v>6.0563219927451799</c:v>
                </c:pt>
                <c:pt idx="58">
                  <c:v>5.9629380048321696</c:v>
                </c:pt>
                <c:pt idx="59">
                  <c:v>5.8734658733670297</c:v>
                </c:pt>
                <c:pt idx="60">
                  <c:v>5.7873779517882804</c:v>
                </c:pt>
                <c:pt idx="61">
                  <c:v>5.7002746816492698</c:v>
                </c:pt>
                <c:pt idx="62">
                  <c:v>5.6147066637085103</c:v>
                </c:pt>
                <c:pt idx="63">
                  <c:v>5.5310149983223003</c:v>
                </c:pt>
                <c:pt idx="64">
                  <c:v>5.4445930529151703</c:v>
                </c:pt>
                <c:pt idx="65">
                  <c:v>5.3617224368779599</c:v>
                </c:pt>
                <c:pt idx="66">
                  <c:v>5.2700306747932197</c:v>
                </c:pt>
                <c:pt idx="67">
                  <c:v>5.1914659791088198</c:v>
                </c:pt>
                <c:pt idx="68">
                  <c:v>5.1117477994801703</c:v>
                </c:pt>
                <c:pt idx="69">
                  <c:v>5.0307867916366504</c:v>
                </c:pt>
                <c:pt idx="70">
                  <c:v>4.9578940713386999</c:v>
                </c:pt>
                <c:pt idx="71">
                  <c:v>4.8815108455686804</c:v>
                </c:pt>
                <c:pt idx="72">
                  <c:v>4.8020327000495104</c:v>
                </c:pt>
                <c:pt idx="73">
                  <c:v>4.7239054779305496</c:v>
                </c:pt>
                <c:pt idx="74">
                  <c:v>4.6576860220554996</c:v>
                </c:pt>
                <c:pt idx="75">
                  <c:v>4.5919990290965096</c:v>
                </c:pt>
                <c:pt idx="76">
                  <c:v>4.5223182635688302</c:v>
                </c:pt>
                <c:pt idx="77">
                  <c:v>4.4520993289595499</c:v>
                </c:pt>
                <c:pt idx="78">
                  <c:v>4.38524346803014</c:v>
                </c:pt>
                <c:pt idx="79">
                  <c:v>4.31957159864531</c:v>
                </c:pt>
                <c:pt idx="80">
                  <c:v>4.2568801150496203</c:v>
                </c:pt>
                <c:pt idx="81">
                  <c:v>4.1880305669249598</c:v>
                </c:pt>
                <c:pt idx="82">
                  <c:v>4.1253389014125599</c:v>
                </c:pt>
                <c:pt idx="83">
                  <c:v>4.0603247552099502</c:v>
                </c:pt>
                <c:pt idx="84">
                  <c:v>3.99975051026904</c:v>
                </c:pt>
                <c:pt idx="85">
                  <c:v>3.9384369944632098</c:v>
                </c:pt>
                <c:pt idx="86">
                  <c:v>3.8734235560129302</c:v>
                </c:pt>
                <c:pt idx="87">
                  <c:v>3.8139221449401401</c:v>
                </c:pt>
                <c:pt idx="88">
                  <c:v>3.7562236447166</c:v>
                </c:pt>
                <c:pt idx="89">
                  <c:v>3.7003220275526698</c:v>
                </c:pt>
                <c:pt idx="90">
                  <c:v>3.6466532498847601</c:v>
                </c:pt>
                <c:pt idx="91">
                  <c:v>3.5919840857862502</c:v>
                </c:pt>
                <c:pt idx="92">
                  <c:v>3.53967299974224</c:v>
                </c:pt>
                <c:pt idx="93">
                  <c:v>3.4864870976669602</c:v>
                </c:pt>
                <c:pt idx="94">
                  <c:v>3.4356550604913698</c:v>
                </c:pt>
                <c:pt idx="95">
                  <c:v>3.3850924247634699</c:v>
                </c:pt>
                <c:pt idx="96">
                  <c:v>3.3308123916906198</c:v>
                </c:pt>
                <c:pt idx="97">
                  <c:v>3.2808757352363598</c:v>
                </c:pt>
                <c:pt idx="98">
                  <c:v>3.2325605718131101</c:v>
                </c:pt>
                <c:pt idx="99">
                  <c:v>3.1847017592122402</c:v>
                </c:pt>
                <c:pt idx="100">
                  <c:v>3.1348781699952699</c:v>
                </c:pt>
                <c:pt idx="101">
                  <c:v>3.0893218353079499</c:v>
                </c:pt>
                <c:pt idx="102">
                  <c:v>3.0414611533608298</c:v>
                </c:pt>
                <c:pt idx="103">
                  <c:v>2.9940324393497999</c:v>
                </c:pt>
                <c:pt idx="104">
                  <c:v>2.9522484020497002</c:v>
                </c:pt>
                <c:pt idx="105">
                  <c:v>2.9080291247180998</c:v>
                </c:pt>
                <c:pt idx="106">
                  <c:v>2.8647941147521001</c:v>
                </c:pt>
                <c:pt idx="107">
                  <c:v>2.8246731633192201</c:v>
                </c:pt>
                <c:pt idx="108">
                  <c:v>2.7849575838261802</c:v>
                </c:pt>
                <c:pt idx="109">
                  <c:v>2.7482760718502002</c:v>
                </c:pt>
                <c:pt idx="110">
                  <c:v>2.7109481614961899</c:v>
                </c:pt>
                <c:pt idx="111">
                  <c:v>2.6754929748410401</c:v>
                </c:pt>
                <c:pt idx="112">
                  <c:v>2.63826256198938</c:v>
                </c:pt>
                <c:pt idx="113">
                  <c:v>2.6017401960128002</c:v>
                </c:pt>
                <c:pt idx="114">
                  <c:v>2.5655929288729098</c:v>
                </c:pt>
                <c:pt idx="115">
                  <c:v>2.5295792802904198</c:v>
                </c:pt>
                <c:pt idx="116">
                  <c:v>2.4949606457860201</c:v>
                </c:pt>
                <c:pt idx="117">
                  <c:v>2.46283590507685</c:v>
                </c:pt>
                <c:pt idx="118">
                  <c:v>2.4304481209059099</c:v>
                </c:pt>
                <c:pt idx="119">
                  <c:v>2.3980917358512901</c:v>
                </c:pt>
                <c:pt idx="120">
                  <c:v>2.3684138751506101</c:v>
                </c:pt>
                <c:pt idx="121">
                  <c:v>2.3387620616278699</c:v>
                </c:pt>
                <c:pt idx="122">
                  <c:v>2.3087436717901899</c:v>
                </c:pt>
                <c:pt idx="123">
                  <c:v>2.28102228494377</c:v>
                </c:pt>
                <c:pt idx="124">
                  <c:v>2.2517973180451998</c:v>
                </c:pt>
                <c:pt idx="125">
                  <c:v>2.2240616157933499</c:v>
                </c:pt>
                <c:pt idx="126">
                  <c:v>2.1966741254825499</c:v>
                </c:pt>
                <c:pt idx="127">
                  <c:v>2.16851576094126</c:v>
                </c:pt>
                <c:pt idx="128">
                  <c:v>2.1410738288540299</c:v>
                </c:pt>
                <c:pt idx="129">
                  <c:v>2.1146346186216101</c:v>
                </c:pt>
                <c:pt idx="130">
                  <c:v>2.0887431143558501</c:v>
                </c:pt>
                <c:pt idx="131">
                  <c:v>2.0620883502107401</c:v>
                </c:pt>
                <c:pt idx="132">
                  <c:v>2.0378459098215802</c:v>
                </c:pt>
                <c:pt idx="133">
                  <c:v>2.01245465657931</c:v>
                </c:pt>
                <c:pt idx="134">
                  <c:v>1.9887116143296</c:v>
                </c:pt>
                <c:pt idx="135">
                  <c:v>1.9657449335558299</c:v>
                </c:pt>
                <c:pt idx="136">
                  <c:v>1.94185369565204</c:v>
                </c:pt>
                <c:pt idx="137">
                  <c:v>1.9185787287009299</c:v>
                </c:pt>
                <c:pt idx="138">
                  <c:v>1.8971612391911601</c:v>
                </c:pt>
                <c:pt idx="139">
                  <c:v>1.8748849497737901</c:v>
                </c:pt>
                <c:pt idx="140">
                  <c:v>1.85252278005157</c:v>
                </c:pt>
                <c:pt idx="141">
                  <c:v>1.8317290460093301</c:v>
                </c:pt>
                <c:pt idx="142">
                  <c:v>1.8113895848207799</c:v>
                </c:pt>
                <c:pt idx="143">
                  <c:v>1.7920218083987201</c:v>
                </c:pt>
                <c:pt idx="144">
                  <c:v>1.7718294172300399</c:v>
                </c:pt>
                <c:pt idx="145">
                  <c:v>1.75271089657865</c:v>
                </c:pt>
                <c:pt idx="146">
                  <c:v>1.73328387803405</c:v>
                </c:pt>
                <c:pt idx="147">
                  <c:v>1.7140690490226</c:v>
                </c:pt>
                <c:pt idx="148">
                  <c:v>1.6947514999079401</c:v>
                </c:pt>
                <c:pt idx="149">
                  <c:v>1.67738668513601</c:v>
                </c:pt>
                <c:pt idx="150">
                  <c:v>1.65924463827493</c:v>
                </c:pt>
                <c:pt idx="151">
                  <c:v>1.6404565173247501</c:v>
                </c:pt>
                <c:pt idx="152">
                  <c:v>1.62208615777925</c:v>
                </c:pt>
                <c:pt idx="153">
                  <c:v>1.60456452699442</c:v>
                </c:pt>
                <c:pt idx="154">
                  <c:v>1.5879257715810999</c:v>
                </c:pt>
                <c:pt idx="155">
                  <c:v>1.57145150883594</c:v>
                </c:pt>
                <c:pt idx="156">
                  <c:v>1.55446813832254</c:v>
                </c:pt>
                <c:pt idx="157">
                  <c:v>1.5378871426587699</c:v>
                </c:pt>
                <c:pt idx="158">
                  <c:v>1.5217139514454101</c:v>
                </c:pt>
                <c:pt idx="159">
                  <c:v>1.5052623343051801</c:v>
                </c:pt>
                <c:pt idx="160">
                  <c:v>1.4903554140038799</c:v>
                </c:pt>
                <c:pt idx="161">
                  <c:v>1.4758525820994901</c:v>
                </c:pt>
                <c:pt idx="162">
                  <c:v>1.46048566528915</c:v>
                </c:pt>
                <c:pt idx="163">
                  <c:v>1.44630910348774</c:v>
                </c:pt>
                <c:pt idx="164">
                  <c:v>1.43157762404638</c:v>
                </c:pt>
                <c:pt idx="165">
                  <c:v>1.41780502311353</c:v>
                </c:pt>
                <c:pt idx="166">
                  <c:v>1.4042136752382399</c:v>
                </c:pt>
                <c:pt idx="167">
                  <c:v>1.39026018396712</c:v>
                </c:pt>
                <c:pt idx="168">
                  <c:v>1.3762384954509601</c:v>
                </c:pt>
                <c:pt idx="169">
                  <c:v>1.36333234049406</c:v>
                </c:pt>
                <c:pt idx="170">
                  <c:v>1.34949206305647</c:v>
                </c:pt>
                <c:pt idx="171">
                  <c:v>1.3363152210945</c:v>
                </c:pt>
                <c:pt idx="172">
                  <c:v>1.323883020984</c:v>
                </c:pt>
                <c:pt idx="173">
                  <c:v>1.3115934852129301</c:v>
                </c:pt>
                <c:pt idx="174">
                  <c:v>1.2990792324162099</c:v>
                </c:pt>
                <c:pt idx="175">
                  <c:v>1.28654799303881</c:v>
                </c:pt>
                <c:pt idx="176">
                  <c:v>1.2749170160871399</c:v>
                </c:pt>
                <c:pt idx="177">
                  <c:v>1.2634457105528101</c:v>
                </c:pt>
                <c:pt idx="178">
                  <c:v>1.2518914426029899</c:v>
                </c:pt>
                <c:pt idx="179">
                  <c:v>1.2408498125551899</c:v>
                </c:pt>
                <c:pt idx="180">
                  <c:v>1.22888305418836</c:v>
                </c:pt>
                <c:pt idx="181">
                  <c:v>1.2174195915452199</c:v>
                </c:pt>
                <c:pt idx="182">
                  <c:v>1.2056911243620501</c:v>
                </c:pt>
                <c:pt idx="183">
                  <c:v>1.1955508045715599</c:v>
                </c:pt>
                <c:pt idx="184">
                  <c:v>1.18460615335062</c:v>
                </c:pt>
                <c:pt idx="185">
                  <c:v>1.1735207679789501</c:v>
                </c:pt>
                <c:pt idx="186">
                  <c:v>1.1630356063337699</c:v>
                </c:pt>
                <c:pt idx="187">
                  <c:v>1.15281519746311</c:v>
                </c:pt>
                <c:pt idx="188">
                  <c:v>1.1427476549287201</c:v>
                </c:pt>
                <c:pt idx="189">
                  <c:v>1.1327579888124799</c:v>
                </c:pt>
                <c:pt idx="190">
                  <c:v>1.1225295208614801</c:v>
                </c:pt>
                <c:pt idx="191">
                  <c:v>1.11290990655258</c:v>
                </c:pt>
                <c:pt idx="192">
                  <c:v>1.10279933187108</c:v>
                </c:pt>
                <c:pt idx="193">
                  <c:v>1.09364914325829</c:v>
                </c:pt>
                <c:pt idx="194">
                  <c:v>1.0840279459592299</c:v>
                </c:pt>
                <c:pt idx="195">
                  <c:v>1.07356066889622</c:v>
                </c:pt>
                <c:pt idx="196">
                  <c:v>1.06389957643736</c:v>
                </c:pt>
                <c:pt idx="197">
                  <c:v>1.0547251007952101</c:v>
                </c:pt>
                <c:pt idx="198">
                  <c:v>1.0461613384510799</c:v>
                </c:pt>
                <c:pt idx="199">
                  <c:v>1.03499400263941</c:v>
                </c:pt>
                <c:pt idx="200">
                  <c:v>1.02712111811241</c:v>
                </c:pt>
                <c:pt idx="201">
                  <c:v>1.0181372109518301</c:v>
                </c:pt>
                <c:pt idx="202">
                  <c:v>1.0092406140660599</c:v>
                </c:pt>
                <c:pt idx="203">
                  <c:v>1.00079413232193</c:v>
                </c:pt>
                <c:pt idx="204">
                  <c:v>0.99321406249181199</c:v>
                </c:pt>
                <c:pt idx="205">
                  <c:v>0.98552075088980595</c:v>
                </c:pt>
                <c:pt idx="206">
                  <c:v>0.97783014023429105</c:v>
                </c:pt>
                <c:pt idx="207">
                  <c:v>0.97009777571248201</c:v>
                </c:pt>
                <c:pt idx="208">
                  <c:v>0.96201693084134998</c:v>
                </c:pt>
                <c:pt idx="209">
                  <c:v>0.95371984553015499</c:v>
                </c:pt>
                <c:pt idx="210">
                  <c:v>0.94580959938803699</c:v>
                </c:pt>
                <c:pt idx="211">
                  <c:v>0.93854675354264805</c:v>
                </c:pt>
                <c:pt idx="212">
                  <c:v>0.93167825766471002</c:v>
                </c:pt>
                <c:pt idx="213">
                  <c:v>0.92475378770739303</c:v>
                </c:pt>
                <c:pt idx="214">
                  <c:v>0.91711524800474697</c:v>
                </c:pt>
                <c:pt idx="215">
                  <c:v>0.90952361535860904</c:v>
                </c:pt>
                <c:pt idx="216">
                  <c:v>0.90254394794489501</c:v>
                </c:pt>
                <c:pt idx="217">
                  <c:v>0.89525442732940097</c:v>
                </c:pt>
                <c:pt idx="218">
                  <c:v>0.88875322778627097</c:v>
                </c:pt>
                <c:pt idx="219">
                  <c:v>0.88206977948397003</c:v>
                </c:pt>
                <c:pt idx="220">
                  <c:v>0.87566831790069599</c:v>
                </c:pt>
                <c:pt idx="221">
                  <c:v>0.86865593700983301</c:v>
                </c:pt>
                <c:pt idx="222">
                  <c:v>0.86235244627061203</c:v>
                </c:pt>
                <c:pt idx="223">
                  <c:v>0.85620950408260699</c:v>
                </c:pt>
                <c:pt idx="224">
                  <c:v>0.84954251578758799</c:v>
                </c:pt>
                <c:pt idx="225">
                  <c:v>0.84290610029547997</c:v>
                </c:pt>
                <c:pt idx="226">
                  <c:v>0.83691882702857101</c:v>
                </c:pt>
                <c:pt idx="227">
                  <c:v>0.830613441782177</c:v>
                </c:pt>
                <c:pt idx="228">
                  <c:v>0.824894507334201</c:v>
                </c:pt>
                <c:pt idx="229">
                  <c:v>0.81869487948446795</c:v>
                </c:pt>
                <c:pt idx="230">
                  <c:v>0.81270134906892599</c:v>
                </c:pt>
                <c:pt idx="231">
                  <c:v>0.80681919740564301</c:v>
                </c:pt>
                <c:pt idx="232">
                  <c:v>0.80093550123617097</c:v>
                </c:pt>
                <c:pt idx="233">
                  <c:v>0.79538335709888597</c:v>
                </c:pt>
                <c:pt idx="234">
                  <c:v>0.78994980758093603</c:v>
                </c:pt>
                <c:pt idx="235">
                  <c:v>0.78446172127046898</c:v>
                </c:pt>
                <c:pt idx="236">
                  <c:v>0.77590634434358996</c:v>
                </c:pt>
                <c:pt idx="237">
                  <c:v>0.77317085876688796</c:v>
                </c:pt>
                <c:pt idx="238">
                  <c:v>0.76732283374501298</c:v>
                </c:pt>
                <c:pt idx="239">
                  <c:v>0.76207580461134405</c:v>
                </c:pt>
                <c:pt idx="240">
                  <c:v>0.75667236367135604</c:v>
                </c:pt>
                <c:pt idx="241">
                  <c:v>0.75148388249006204</c:v>
                </c:pt>
                <c:pt idx="242">
                  <c:v>0.74639833846149495</c:v>
                </c:pt>
                <c:pt idx="243">
                  <c:v>0.74079853168631304</c:v>
                </c:pt>
                <c:pt idx="244">
                  <c:v>0.73564466033779996</c:v>
                </c:pt>
                <c:pt idx="245">
                  <c:v>0.73105903587392296</c:v>
                </c:pt>
                <c:pt idx="246">
                  <c:v>0.726389470172776</c:v>
                </c:pt>
                <c:pt idx="247">
                  <c:v>0.72176575277881805</c:v>
                </c:pt>
                <c:pt idx="248">
                  <c:v>0.71721188432511196</c:v>
                </c:pt>
                <c:pt idx="249">
                  <c:v>0.71234883762563495</c:v>
                </c:pt>
                <c:pt idx="250">
                  <c:v>0.70773345425248302</c:v>
                </c:pt>
                <c:pt idx="251">
                  <c:v>0.70272985986497005</c:v>
                </c:pt>
                <c:pt idx="252">
                  <c:v>0.69819275522528301</c:v>
                </c:pt>
                <c:pt idx="253">
                  <c:v>0.69394818758332</c:v>
                </c:pt>
                <c:pt idx="254">
                  <c:v>0.68931770307696605</c:v>
                </c:pt>
                <c:pt idx="255">
                  <c:v>0.68490776864451197</c:v>
                </c:pt>
                <c:pt idx="256">
                  <c:v>0.68063985969097696</c:v>
                </c:pt>
                <c:pt idx="257">
                  <c:v>0.67662247515192597</c:v>
                </c:pt>
                <c:pt idx="258">
                  <c:v>0.67208059569203504</c:v>
                </c:pt>
                <c:pt idx="259">
                  <c:v>0.66777160853221396</c:v>
                </c:pt>
                <c:pt idx="260">
                  <c:v>0.66361727261681402</c:v>
                </c:pt>
                <c:pt idx="261">
                  <c:v>0.65968679243501904</c:v>
                </c:pt>
                <c:pt idx="262">
                  <c:v>0.65548119947850103</c:v>
                </c:pt>
                <c:pt idx="263">
                  <c:v>0.65149217723499198</c:v>
                </c:pt>
                <c:pt idx="264">
                  <c:v>0.64757908093173</c:v>
                </c:pt>
                <c:pt idx="265">
                  <c:v>0.64380753747824804</c:v>
                </c:pt>
                <c:pt idx="266">
                  <c:v>0.63976029353438801</c:v>
                </c:pt>
                <c:pt idx="267">
                  <c:v>0.63586730223677901</c:v>
                </c:pt>
                <c:pt idx="268">
                  <c:v>0.63221039529705003</c:v>
                </c:pt>
                <c:pt idx="269">
                  <c:v>0.62833667527821102</c:v>
                </c:pt>
                <c:pt idx="270">
                  <c:v>0.62435060057501501</c:v>
                </c:pt>
                <c:pt idx="271">
                  <c:v>0.62062064047899901</c:v>
                </c:pt>
                <c:pt idx="272">
                  <c:v>0.61698495606753601</c:v>
                </c:pt>
                <c:pt idx="273">
                  <c:v>0.61316381641449702</c:v>
                </c:pt>
                <c:pt idx="274">
                  <c:v>0.60972366404962397</c:v>
                </c:pt>
                <c:pt idx="275">
                  <c:v>0.60635669369248901</c:v>
                </c:pt>
                <c:pt idx="276">
                  <c:v>0.60281573695833901</c:v>
                </c:pt>
                <c:pt idx="277">
                  <c:v>0.59944669845955001</c:v>
                </c:pt>
                <c:pt idx="278">
                  <c:v>0.59593106816862296</c:v>
                </c:pt>
                <c:pt idx="279">
                  <c:v>0.59261659861243898</c:v>
                </c:pt>
                <c:pt idx="280">
                  <c:v>0.58928238842523395</c:v>
                </c:pt>
                <c:pt idx="281">
                  <c:v>0.58589598662458797</c:v>
                </c:pt>
                <c:pt idx="282">
                  <c:v>0.58255458915268699</c:v>
                </c:pt>
                <c:pt idx="283">
                  <c:v>0.57909950085918205</c:v>
                </c:pt>
                <c:pt idx="284">
                  <c:v>0.575834845010047</c:v>
                </c:pt>
                <c:pt idx="285">
                  <c:v>0.57264706712785196</c:v>
                </c:pt>
                <c:pt idx="286">
                  <c:v>0.56945596585357705</c:v>
                </c:pt>
                <c:pt idx="287">
                  <c:v>0.565149060410709</c:v>
                </c:pt>
                <c:pt idx="288">
                  <c:v>0.56359016273030604</c:v>
                </c:pt>
                <c:pt idx="289">
                  <c:v>0.56052687898713605</c:v>
                </c:pt>
                <c:pt idx="290">
                  <c:v>0.55744250397091999</c:v>
                </c:pt>
                <c:pt idx="291">
                  <c:v>0.55431846578238397</c:v>
                </c:pt>
                <c:pt idx="292">
                  <c:v>0.55144987030850701</c:v>
                </c:pt>
                <c:pt idx="293">
                  <c:v>0.54840448164369304</c:v>
                </c:pt>
                <c:pt idx="294">
                  <c:v>0.54541322836879802</c:v>
                </c:pt>
                <c:pt idx="295">
                  <c:v>0.54255904964193102</c:v>
                </c:pt>
                <c:pt idx="296">
                  <c:v>0.53975535036175903</c:v>
                </c:pt>
                <c:pt idx="297">
                  <c:v>0.53697407580571499</c:v>
                </c:pt>
                <c:pt idx="298">
                  <c:v>0.53414181881616596</c:v>
                </c:pt>
                <c:pt idx="299">
                  <c:v>0.53134443688611699</c:v>
                </c:pt>
                <c:pt idx="300">
                  <c:v>0.52855698580688204</c:v>
                </c:pt>
                <c:pt idx="301">
                  <c:v>0.52581348423830998</c:v>
                </c:pt>
                <c:pt idx="302">
                  <c:v>0.52318201716921597</c:v>
                </c:pt>
                <c:pt idx="303">
                  <c:v>0.52052657795020996</c:v>
                </c:pt>
                <c:pt idx="304">
                  <c:v>0.51770219939746498</c:v>
                </c:pt>
                <c:pt idx="305">
                  <c:v>0.51517306913349703</c:v>
                </c:pt>
                <c:pt idx="306">
                  <c:v>0.51288313394262397</c:v>
                </c:pt>
                <c:pt idx="307">
                  <c:v>0.51045696076242997</c:v>
                </c:pt>
                <c:pt idx="308">
                  <c:v>0.50783152445458402</c:v>
                </c:pt>
                <c:pt idx="309">
                  <c:v>0.50489611723023997</c:v>
                </c:pt>
                <c:pt idx="310">
                  <c:v>0.502604218121117</c:v>
                </c:pt>
                <c:pt idx="311">
                  <c:v>0.50016496897252705</c:v>
                </c:pt>
                <c:pt idx="312">
                  <c:v>0.49759118826815502</c:v>
                </c:pt>
                <c:pt idx="313">
                  <c:v>0.49526846856065598</c:v>
                </c:pt>
                <c:pt idx="314">
                  <c:v>0.49288391775648199</c:v>
                </c:pt>
                <c:pt idx="315">
                  <c:v>0.49052211763811499</c:v>
                </c:pt>
                <c:pt idx="316">
                  <c:v>0.48818960437553499</c:v>
                </c:pt>
                <c:pt idx="317">
                  <c:v>0.48594477353675702</c:v>
                </c:pt>
                <c:pt idx="318">
                  <c:v>0.48351241298688002</c:v>
                </c:pt>
                <c:pt idx="319">
                  <c:v>0.48147794051965298</c:v>
                </c:pt>
                <c:pt idx="320">
                  <c:v>0.47930350286956502</c:v>
                </c:pt>
                <c:pt idx="321">
                  <c:v>0.47715998496939899</c:v>
                </c:pt>
                <c:pt idx="322">
                  <c:v>0.47479951246139801</c:v>
                </c:pt>
                <c:pt idx="323">
                  <c:v>0.47281153346472199</c:v>
                </c:pt>
                <c:pt idx="324">
                  <c:v>0.47053350538892103</c:v>
                </c:pt>
                <c:pt idx="325">
                  <c:v>0.46832857604768502</c:v>
                </c:pt>
                <c:pt idx="326">
                  <c:v>0.466264023856237</c:v>
                </c:pt>
                <c:pt idx="327">
                  <c:v>0.46422200948678399</c:v>
                </c:pt>
                <c:pt idx="328">
                  <c:v>0.46217395454082899</c:v>
                </c:pt>
                <c:pt idx="329">
                  <c:v>0.46029427322831101</c:v>
                </c:pt>
                <c:pt idx="330">
                  <c:v>0.45837218006403802</c:v>
                </c:pt>
                <c:pt idx="331">
                  <c:v>0.45607803464834201</c:v>
                </c:pt>
                <c:pt idx="332">
                  <c:v>0.45463383628360798</c:v>
                </c:pt>
                <c:pt idx="333">
                  <c:v>0.45286761841524598</c:v>
                </c:pt>
                <c:pt idx="334">
                  <c:v>0.45104903876443603</c:v>
                </c:pt>
                <c:pt idx="335">
                  <c:v>0.44929548954809401</c:v>
                </c:pt>
                <c:pt idx="336">
                  <c:v>0.44738439514574102</c:v>
                </c:pt>
                <c:pt idx="337">
                  <c:v>0.44485051905629402</c:v>
                </c:pt>
                <c:pt idx="338">
                  <c:v>0.44371723592579099</c:v>
                </c:pt>
                <c:pt idx="339">
                  <c:v>0.44195427686431099</c:v>
                </c:pt>
                <c:pt idx="340">
                  <c:v>0.44034097202837202</c:v>
                </c:pt>
                <c:pt idx="341">
                  <c:v>0.438815411792498</c:v>
                </c:pt>
                <c:pt idx="342">
                  <c:v>0.43699500317929502</c:v>
                </c:pt>
                <c:pt idx="343">
                  <c:v>0.43538828417217201</c:v>
                </c:pt>
                <c:pt idx="344">
                  <c:v>0.43388049733707001</c:v>
                </c:pt>
                <c:pt idx="345">
                  <c:v>0.43216256611675502</c:v>
                </c:pt>
                <c:pt idx="346">
                  <c:v>0.43061169292364099</c:v>
                </c:pt>
                <c:pt idx="347">
                  <c:v>0.42902822434841498</c:v>
                </c:pt>
                <c:pt idx="348">
                  <c:v>0.427510426377955</c:v>
                </c:pt>
                <c:pt idx="349">
                  <c:v>0.42617056183619101</c:v>
                </c:pt>
                <c:pt idx="350">
                  <c:v>0.42457003277480398</c:v>
                </c:pt>
                <c:pt idx="351">
                  <c:v>0.42291373129204801</c:v>
                </c:pt>
                <c:pt idx="352">
                  <c:v>0.42099859243210003</c:v>
                </c:pt>
                <c:pt idx="353">
                  <c:v>0.418987332018113</c:v>
                </c:pt>
                <c:pt idx="354">
                  <c:v>0.41725310780013802</c:v>
                </c:pt>
                <c:pt idx="355">
                  <c:v>0.41594712195251698</c:v>
                </c:pt>
                <c:pt idx="356">
                  <c:v>0.41462361279071502</c:v>
                </c:pt>
                <c:pt idx="357">
                  <c:v>0.41314070690321603</c:v>
                </c:pt>
                <c:pt idx="358">
                  <c:v>0.411783366614764</c:v>
                </c:pt>
                <c:pt idx="359">
                  <c:v>0.41070778530701202</c:v>
                </c:pt>
                <c:pt idx="360">
                  <c:v>0.40954501175809899</c:v>
                </c:pt>
                <c:pt idx="361">
                  <c:v>0.40830510025616201</c:v>
                </c:pt>
                <c:pt idx="362">
                  <c:v>0.407081641498795</c:v>
                </c:pt>
                <c:pt idx="363">
                  <c:v>0.40579690731541901</c:v>
                </c:pt>
                <c:pt idx="364">
                  <c:v>0.40452983082965899</c:v>
                </c:pt>
                <c:pt idx="365">
                  <c:v>0.40347151672918102</c:v>
                </c:pt>
                <c:pt idx="366">
                  <c:v>0.40239602272401997</c:v>
                </c:pt>
                <c:pt idx="367">
                  <c:v>0.40135268332558099</c:v>
                </c:pt>
                <c:pt idx="368">
                  <c:v>0.40022763826608398</c:v>
                </c:pt>
                <c:pt idx="369">
                  <c:v>0.39896948076659899</c:v>
                </c:pt>
                <c:pt idx="370">
                  <c:v>0.39787806856797397</c:v>
                </c:pt>
                <c:pt idx="371">
                  <c:v>0.39684756853722403</c:v>
                </c:pt>
                <c:pt idx="372">
                  <c:v>0.395881761401361</c:v>
                </c:pt>
                <c:pt idx="373">
                  <c:v>0.39487147686547103</c:v>
                </c:pt>
                <c:pt idx="374">
                  <c:v>0.39399086057095001</c:v>
                </c:pt>
                <c:pt idx="375">
                  <c:v>0.39300988001669501</c:v>
                </c:pt>
                <c:pt idx="376">
                  <c:v>0.39204731038409002</c:v>
                </c:pt>
                <c:pt idx="377">
                  <c:v>0.39131787148249603</c:v>
                </c:pt>
                <c:pt idx="378">
                  <c:v>0.390573511450508</c:v>
                </c:pt>
                <c:pt idx="379">
                  <c:v>0.38981190193402998</c:v>
                </c:pt>
                <c:pt idx="380">
                  <c:v>0.38890717025933702</c:v>
                </c:pt>
                <c:pt idx="381">
                  <c:v>0.38796081573075403</c:v>
                </c:pt>
                <c:pt idx="382">
                  <c:v>0.38716251906855498</c:v>
                </c:pt>
                <c:pt idx="383">
                  <c:v>0.386286252374198</c:v>
                </c:pt>
                <c:pt idx="384">
                  <c:v>0.38547869796798401</c:v>
                </c:pt>
                <c:pt idx="385">
                  <c:v>0.38455691218516402</c:v>
                </c:pt>
                <c:pt idx="386">
                  <c:v>0.38369795703257198</c:v>
                </c:pt>
                <c:pt idx="387">
                  <c:v>0.38290764232124502</c:v>
                </c:pt>
                <c:pt idx="388">
                  <c:v>0.38230336307745599</c:v>
                </c:pt>
                <c:pt idx="389">
                  <c:v>0.38159238562261399</c:v>
                </c:pt>
                <c:pt idx="390">
                  <c:v>0.38090041537650499</c:v>
                </c:pt>
                <c:pt idx="391">
                  <c:v>0.38052944210819201</c:v>
                </c:pt>
                <c:pt idx="392">
                  <c:v>2.6744712623258802</c:v>
                </c:pt>
                <c:pt idx="393">
                  <c:v>4.9684881562322296</c:v>
                </c:pt>
                <c:pt idx="394">
                  <c:v>6.52151847800803</c:v>
                </c:pt>
                <c:pt idx="395">
                  <c:v>7.4113087011956198</c:v>
                </c:pt>
                <c:pt idx="396">
                  <c:v>7.9696196130435197</c:v>
                </c:pt>
                <c:pt idx="397">
                  <c:v>8.3981903360309698</c:v>
                </c:pt>
                <c:pt idx="398">
                  <c:v>8.7715877247492404</c:v>
                </c:pt>
                <c:pt idx="399">
                  <c:v>9.10925271157239</c:v>
                </c:pt>
                <c:pt idx="400">
                  <c:v>9.4155202940833007</c:v>
                </c:pt>
                <c:pt idx="401">
                  <c:v>9.8527913012486099</c:v>
                </c:pt>
                <c:pt idx="402">
                  <c:v>10.570662908841101</c:v>
                </c:pt>
                <c:pt idx="403">
                  <c:v>10.7540431127031</c:v>
                </c:pt>
                <c:pt idx="404">
                  <c:v>10.882998569668599</c:v>
                </c:pt>
                <c:pt idx="405">
                  <c:v>11.010618069109301</c:v>
                </c:pt>
                <c:pt idx="406">
                  <c:v>11.109151996963501</c:v>
                </c:pt>
                <c:pt idx="407">
                  <c:v>11.1999073855355</c:v>
                </c:pt>
                <c:pt idx="408">
                  <c:v>11.2716942351193</c:v>
                </c:pt>
                <c:pt idx="409">
                  <c:v>11.3371979901756</c:v>
                </c:pt>
                <c:pt idx="410">
                  <c:v>11.3874032856745</c:v>
                </c:pt>
                <c:pt idx="411">
                  <c:v>11.4230745507843</c:v>
                </c:pt>
                <c:pt idx="412">
                  <c:v>11.4372719921795</c:v>
                </c:pt>
                <c:pt idx="413">
                  <c:v>11.4668503664775</c:v>
                </c:pt>
                <c:pt idx="414">
                  <c:v>11.479289664175599</c:v>
                </c:pt>
                <c:pt idx="415">
                  <c:v>11.5272719823085</c:v>
                </c:pt>
                <c:pt idx="416">
                  <c:v>11.5509486970221</c:v>
                </c:pt>
                <c:pt idx="417">
                  <c:v>11.560275091665201</c:v>
                </c:pt>
                <c:pt idx="418">
                  <c:v>11.552256647360499</c:v>
                </c:pt>
                <c:pt idx="419">
                  <c:v>11.5319471873618</c:v>
                </c:pt>
                <c:pt idx="420">
                  <c:v>11.5089566967336</c:v>
                </c:pt>
                <c:pt idx="421">
                  <c:v>11.4881277807388</c:v>
                </c:pt>
                <c:pt idx="422">
                  <c:v>11.472192770516999</c:v>
                </c:pt>
                <c:pt idx="423">
                  <c:v>11.448548995184201</c:v>
                </c:pt>
                <c:pt idx="424">
                  <c:v>11.4369113860125</c:v>
                </c:pt>
                <c:pt idx="425">
                  <c:v>11.422242864359999</c:v>
                </c:pt>
                <c:pt idx="426">
                  <c:v>11.406024081115699</c:v>
                </c:pt>
                <c:pt idx="427">
                  <c:v>11.386838610353699</c:v>
                </c:pt>
                <c:pt idx="428">
                  <c:v>11.370684010192599</c:v>
                </c:pt>
                <c:pt idx="429">
                  <c:v>11.3522652229599</c:v>
                </c:pt>
                <c:pt idx="430">
                  <c:v>11.3245821920023</c:v>
                </c:pt>
                <c:pt idx="431">
                  <c:v>11.298147633434899</c:v>
                </c:pt>
                <c:pt idx="432">
                  <c:v>11.2642020342966</c:v>
                </c:pt>
                <c:pt idx="433">
                  <c:v>11.2253460984687</c:v>
                </c:pt>
                <c:pt idx="434">
                  <c:v>11.180314234079701</c:v>
                </c:pt>
                <c:pt idx="435">
                  <c:v>11.1431497226544</c:v>
                </c:pt>
                <c:pt idx="436">
                  <c:v>11.099035041060899</c:v>
                </c:pt>
                <c:pt idx="437">
                  <c:v>11.0586926834079</c:v>
                </c:pt>
                <c:pt idx="438">
                  <c:v>11.008410281575401</c:v>
                </c:pt>
                <c:pt idx="439">
                  <c:v>10.948147046464801</c:v>
                </c:pt>
                <c:pt idx="440">
                  <c:v>10.897503837220899</c:v>
                </c:pt>
                <c:pt idx="441">
                  <c:v>10.7923456485522</c:v>
                </c:pt>
                <c:pt idx="442">
                  <c:v>10.732389767007501</c:v>
                </c:pt>
                <c:pt idx="443">
                  <c:v>10.678748790757</c:v>
                </c:pt>
                <c:pt idx="444">
                  <c:v>10.6060858883049</c:v>
                </c:pt>
                <c:pt idx="445">
                  <c:v>10.5238577515134</c:v>
                </c:pt>
                <c:pt idx="446">
                  <c:v>10.438253897909901</c:v>
                </c:pt>
                <c:pt idx="447">
                  <c:v>10.341993840825101</c:v>
                </c:pt>
                <c:pt idx="448">
                  <c:v>10.2388485161239</c:v>
                </c:pt>
                <c:pt idx="449">
                  <c:v>10.1225829685558</c:v>
                </c:pt>
                <c:pt idx="450">
                  <c:v>9.9818586625649299</c:v>
                </c:pt>
                <c:pt idx="451">
                  <c:v>9.8088183490841807</c:v>
                </c:pt>
                <c:pt idx="452">
                  <c:v>9.5956853784014893</c:v>
                </c:pt>
                <c:pt idx="453">
                  <c:v>9.4374199061187998</c:v>
                </c:pt>
                <c:pt idx="454">
                  <c:v>9.3021593755340799</c:v>
                </c:pt>
                <c:pt idx="455">
                  <c:v>9.1975123001689294</c:v>
                </c:pt>
                <c:pt idx="456">
                  <c:v>9.1231772582773498</c:v>
                </c:pt>
                <c:pt idx="457">
                  <c:v>9.0419001989491203</c:v>
                </c:pt>
                <c:pt idx="458">
                  <c:v>8.9617430547070001</c:v>
                </c:pt>
                <c:pt idx="459">
                  <c:v>8.8939889724404306</c:v>
                </c:pt>
                <c:pt idx="460">
                  <c:v>8.8228104564638894</c:v>
                </c:pt>
                <c:pt idx="461">
                  <c:v>8.7521840884670095</c:v>
                </c:pt>
                <c:pt idx="462">
                  <c:v>8.6803322845749395</c:v>
                </c:pt>
                <c:pt idx="463">
                  <c:v>8.6164489354953009</c:v>
                </c:pt>
                <c:pt idx="464">
                  <c:v>8.5372851815264994</c:v>
                </c:pt>
                <c:pt idx="465">
                  <c:v>8.4762426076417299</c:v>
                </c:pt>
                <c:pt idx="466">
                  <c:v>8.4098887908840005</c:v>
                </c:pt>
                <c:pt idx="467">
                  <c:v>8.3282434187450498</c:v>
                </c:pt>
                <c:pt idx="468">
                  <c:v>8.2504279918053101</c:v>
                </c:pt>
                <c:pt idx="469">
                  <c:v>8.1788113727834606</c:v>
                </c:pt>
                <c:pt idx="470">
                  <c:v>8.1158753328984208</c:v>
                </c:pt>
                <c:pt idx="471">
                  <c:v>8.0498520101375703</c:v>
                </c:pt>
                <c:pt idx="472">
                  <c:v>7.97108641272591</c:v>
                </c:pt>
                <c:pt idx="473">
                  <c:v>7.8933533138934298</c:v>
                </c:pt>
                <c:pt idx="474">
                  <c:v>7.8145816011384097</c:v>
                </c:pt>
                <c:pt idx="475">
                  <c:v>7.7426629183881399</c:v>
                </c:pt>
                <c:pt idx="476">
                  <c:v>7.6728266734717803</c:v>
                </c:pt>
                <c:pt idx="477">
                  <c:v>7.6018195528261803</c:v>
                </c:pt>
                <c:pt idx="478">
                  <c:v>7.5240663458039903</c:v>
                </c:pt>
                <c:pt idx="479">
                  <c:v>7.4470525328636503</c:v>
                </c:pt>
                <c:pt idx="480">
                  <c:v>7.3770299143264202</c:v>
                </c:pt>
                <c:pt idx="481">
                  <c:v>7.2998855653974104</c:v>
                </c:pt>
                <c:pt idx="482">
                  <c:v>7.2326145740242698</c:v>
                </c:pt>
                <c:pt idx="483">
                  <c:v>7.1554700323298501</c:v>
                </c:pt>
                <c:pt idx="484">
                  <c:v>7.0887837316456501</c:v>
                </c:pt>
                <c:pt idx="485">
                  <c:v>7.0160445433073404</c:v>
                </c:pt>
                <c:pt idx="486">
                  <c:v>6.9447719524632001</c:v>
                </c:pt>
                <c:pt idx="487">
                  <c:v>6.8659490782316999</c:v>
                </c:pt>
                <c:pt idx="488">
                  <c:v>6.7972497990716603</c:v>
                </c:pt>
                <c:pt idx="489">
                  <c:v>6.7304411599574197</c:v>
                </c:pt>
                <c:pt idx="490">
                  <c:v>6.6554528416199297</c:v>
                </c:pt>
                <c:pt idx="491">
                  <c:v>6.5917922334667196</c:v>
                </c:pt>
                <c:pt idx="492">
                  <c:v>6.5132741073024798</c:v>
                </c:pt>
                <c:pt idx="493">
                  <c:v>6.4391312225596797</c:v>
                </c:pt>
                <c:pt idx="494">
                  <c:v>6.3740103993376298</c:v>
                </c:pt>
                <c:pt idx="495">
                  <c:v>6.3007065322289701</c:v>
                </c:pt>
                <c:pt idx="496">
                  <c:v>6.2289456208356304</c:v>
                </c:pt>
                <c:pt idx="497">
                  <c:v>6.1659130373204798</c:v>
                </c:pt>
                <c:pt idx="498">
                  <c:v>6.0985814901011803</c:v>
                </c:pt>
                <c:pt idx="499">
                  <c:v>6.0358263828362801</c:v>
                </c:pt>
                <c:pt idx="500">
                  <c:v>5.9726043805776801</c:v>
                </c:pt>
                <c:pt idx="501">
                  <c:v>5.9054827484474197</c:v>
                </c:pt>
                <c:pt idx="502">
                  <c:v>5.83431673580733</c:v>
                </c:pt>
                <c:pt idx="503">
                  <c:v>5.7673119554992702</c:v>
                </c:pt>
                <c:pt idx="504">
                  <c:v>5.7014286262593199</c:v>
                </c:pt>
                <c:pt idx="505">
                  <c:v>5.63770921344718</c:v>
                </c:pt>
                <c:pt idx="506">
                  <c:v>5.5808386204927398</c:v>
                </c:pt>
                <c:pt idx="507">
                  <c:v>5.5223613040256501</c:v>
                </c:pt>
                <c:pt idx="508">
                  <c:v>5.45767936490358</c:v>
                </c:pt>
                <c:pt idx="509">
                  <c:v>5.4003999053580003</c:v>
                </c:pt>
                <c:pt idx="510">
                  <c:v>5.3491333417414797</c:v>
                </c:pt>
                <c:pt idx="511">
                  <c:v>5.2931837486987101</c:v>
                </c:pt>
                <c:pt idx="512">
                  <c:v>5.23455180553667</c:v>
                </c:pt>
                <c:pt idx="513">
                  <c:v>5.1794695268950699</c:v>
                </c:pt>
                <c:pt idx="514">
                  <c:v>5.1181602245002704</c:v>
                </c:pt>
                <c:pt idx="515">
                  <c:v>5.0625400379808303</c:v>
                </c:pt>
                <c:pt idx="516">
                  <c:v>5.0043154820516902</c:v>
                </c:pt>
                <c:pt idx="517">
                  <c:v>4.9494814538856797</c:v>
                </c:pt>
                <c:pt idx="518">
                  <c:v>4.9007476429908303</c:v>
                </c:pt>
                <c:pt idx="519">
                  <c:v>4.8459598296074802</c:v>
                </c:pt>
                <c:pt idx="520">
                  <c:v>4.7938174159917999</c:v>
                </c:pt>
                <c:pt idx="521">
                  <c:v>4.7348170773382696</c:v>
                </c:pt>
                <c:pt idx="522">
                  <c:v>4.6843681458043598</c:v>
                </c:pt>
                <c:pt idx="523">
                  <c:v>4.6359486931616596</c:v>
                </c:pt>
                <c:pt idx="524">
                  <c:v>4.5849284565716601</c:v>
                </c:pt>
                <c:pt idx="525">
                  <c:v>4.5312139352812402</c:v>
                </c:pt>
                <c:pt idx="526">
                  <c:v>4.4821423145727204</c:v>
                </c:pt>
                <c:pt idx="527">
                  <c:v>4.4333880238174102</c:v>
                </c:pt>
                <c:pt idx="528">
                  <c:v>4.3849957655127101</c:v>
                </c:pt>
                <c:pt idx="529">
                  <c:v>4.3361791994299299</c:v>
                </c:pt>
                <c:pt idx="530">
                  <c:v>4.2879942923398202</c:v>
                </c:pt>
                <c:pt idx="531">
                  <c:v>4.2390453215347303</c:v>
                </c:pt>
                <c:pt idx="532">
                  <c:v>5.9638617826892899</c:v>
                </c:pt>
                <c:pt idx="533">
                  <c:v>10.340544019539299</c:v>
                </c:pt>
                <c:pt idx="534">
                  <c:v>10.9049513065362</c:v>
                </c:pt>
                <c:pt idx="535">
                  <c:v>10.9715301740766</c:v>
                </c:pt>
                <c:pt idx="536">
                  <c:v>10.968770604550899</c:v>
                </c:pt>
                <c:pt idx="537">
                  <c:v>10.936472006865401</c:v>
                </c:pt>
                <c:pt idx="538">
                  <c:v>10.897893751998801</c:v>
                </c:pt>
                <c:pt idx="539">
                  <c:v>10.871771276711099</c:v>
                </c:pt>
                <c:pt idx="540">
                  <c:v>10.843433703025299</c:v>
                </c:pt>
                <c:pt idx="541">
                  <c:v>10.798229365056701</c:v>
                </c:pt>
                <c:pt idx="542">
                  <c:v>10.761111068697099</c:v>
                </c:pt>
                <c:pt idx="543">
                  <c:v>10.7190802098691</c:v>
                </c:pt>
                <c:pt idx="544">
                  <c:v>10.6807430808789</c:v>
                </c:pt>
                <c:pt idx="545">
                  <c:v>10.637090471483701</c:v>
                </c:pt>
                <c:pt idx="546">
                  <c:v>10.5835256879782</c:v>
                </c:pt>
                <c:pt idx="547">
                  <c:v>10.5267368353203</c:v>
                </c:pt>
                <c:pt idx="548">
                  <c:v>10.473650653108599</c:v>
                </c:pt>
                <c:pt idx="549">
                  <c:v>10.405166275024699</c:v>
                </c:pt>
                <c:pt idx="550">
                  <c:v>10.342014899701701</c:v>
                </c:pt>
                <c:pt idx="551">
                  <c:v>10.279462840638599</c:v>
                </c:pt>
                <c:pt idx="552">
                  <c:v>10.206326478770199</c:v>
                </c:pt>
                <c:pt idx="553">
                  <c:v>10.1378049525492</c:v>
                </c:pt>
                <c:pt idx="554">
                  <c:v>10.0417325998921</c:v>
                </c:pt>
                <c:pt idx="555">
                  <c:v>9.94836883991624</c:v>
                </c:pt>
                <c:pt idx="556">
                  <c:v>9.8539865548319199</c:v>
                </c:pt>
                <c:pt idx="557">
                  <c:v>9.7408802248765909</c:v>
                </c:pt>
                <c:pt idx="558">
                  <c:v>9.6421064666459806</c:v>
                </c:pt>
                <c:pt idx="559">
                  <c:v>9.5343118312068498</c:v>
                </c:pt>
                <c:pt idx="560">
                  <c:v>9.4500879613828506</c:v>
                </c:pt>
                <c:pt idx="561">
                  <c:v>9.3659742953966294</c:v>
                </c:pt>
                <c:pt idx="562">
                  <c:v>9.2900727944162593</c:v>
                </c:pt>
                <c:pt idx="563">
                  <c:v>9.1987154198793792</c:v>
                </c:pt>
                <c:pt idx="564">
                  <c:v>9.1176910205777109</c:v>
                </c:pt>
                <c:pt idx="565">
                  <c:v>9.0407878615916495</c:v>
                </c:pt>
                <c:pt idx="566">
                  <c:v>8.9624875050947708</c:v>
                </c:pt>
                <c:pt idx="567">
                  <c:v>8.8824632936012105</c:v>
                </c:pt>
                <c:pt idx="568">
                  <c:v>8.8010288858772405</c:v>
                </c:pt>
                <c:pt idx="569">
                  <c:v>8.7208734791631901</c:v>
                </c:pt>
                <c:pt idx="570">
                  <c:v>8.6460118344115209</c:v>
                </c:pt>
                <c:pt idx="571">
                  <c:v>8.5627511458875603</c:v>
                </c:pt>
                <c:pt idx="572">
                  <c:v>8.4844588638787499</c:v>
                </c:pt>
                <c:pt idx="573">
                  <c:v>8.4021909562080896</c:v>
                </c:pt>
                <c:pt idx="574">
                  <c:v>8.3233144488494109</c:v>
                </c:pt>
                <c:pt idx="575">
                  <c:v>8.2482201729025295</c:v>
                </c:pt>
                <c:pt idx="576">
                  <c:v>8.1691079736439995</c:v>
                </c:pt>
                <c:pt idx="577">
                  <c:v>8.0846375948650699</c:v>
                </c:pt>
                <c:pt idx="578">
                  <c:v>8.0207041435387492</c:v>
                </c:pt>
                <c:pt idx="579">
                  <c:v>7.9435704264252101</c:v>
                </c:pt>
                <c:pt idx="580">
                  <c:v>7.8713745823104402</c:v>
                </c:pt>
                <c:pt idx="581">
                  <c:v>7.7990581748501899</c:v>
                </c:pt>
                <c:pt idx="582">
                  <c:v>7.7204860536230502</c:v>
                </c:pt>
                <c:pt idx="583">
                  <c:v>7.6432512633857597</c:v>
                </c:pt>
                <c:pt idx="584">
                  <c:v>7.5635403887424104</c:v>
                </c:pt>
                <c:pt idx="585">
                  <c:v>7.4939375151137799</c:v>
                </c:pt>
                <c:pt idx="586">
                  <c:v>7.4224324555606298</c:v>
                </c:pt>
                <c:pt idx="587">
                  <c:v>7.3407204268678603</c:v>
                </c:pt>
                <c:pt idx="588">
                  <c:v>7.26415660997991</c:v>
                </c:pt>
                <c:pt idx="589">
                  <c:v>7.18419536262929</c:v>
                </c:pt>
                <c:pt idx="590">
                  <c:v>7.1071271954022901</c:v>
                </c:pt>
                <c:pt idx="591">
                  <c:v>7.0330263063033698</c:v>
                </c:pt>
                <c:pt idx="592">
                  <c:v>6.9586403862355599</c:v>
                </c:pt>
                <c:pt idx="593">
                  <c:v>6.8871222636993297</c:v>
                </c:pt>
                <c:pt idx="594">
                  <c:v>6.8137145136736299</c:v>
                </c:pt>
                <c:pt idx="595">
                  <c:v>6.7397615963421904</c:v>
                </c:pt>
                <c:pt idx="596">
                  <c:v>6.6768200244510902</c:v>
                </c:pt>
                <c:pt idx="597">
                  <c:v>6.6158167104034202</c:v>
                </c:pt>
                <c:pt idx="598">
                  <c:v>6.5425413286801204</c:v>
                </c:pt>
                <c:pt idx="599">
                  <c:v>6.4727832867939599</c:v>
                </c:pt>
                <c:pt idx="600">
                  <c:v>6.4052505666621098</c:v>
                </c:pt>
                <c:pt idx="601">
                  <c:v>6.3353176142904903</c:v>
                </c:pt>
                <c:pt idx="602">
                  <c:v>6.2656474370338699</c:v>
                </c:pt>
                <c:pt idx="603">
                  <c:v>6.2036803793633899</c:v>
                </c:pt>
                <c:pt idx="604">
                  <c:v>6.1346778791574597</c:v>
                </c:pt>
                <c:pt idx="605">
                  <c:v>6.0690269306274596</c:v>
                </c:pt>
                <c:pt idx="606">
                  <c:v>6.0107870431356698</c:v>
                </c:pt>
                <c:pt idx="607">
                  <c:v>5.9469480593603201</c:v>
                </c:pt>
                <c:pt idx="608">
                  <c:v>5.8823817666791802</c:v>
                </c:pt>
                <c:pt idx="609">
                  <c:v>5.8197680578508804</c:v>
                </c:pt>
                <c:pt idx="610">
                  <c:v>5.7533137259059703</c:v>
                </c:pt>
                <c:pt idx="611">
                  <c:v>5.6946214647743796</c:v>
                </c:pt>
                <c:pt idx="612">
                  <c:v>5.63318386488874</c:v>
                </c:pt>
                <c:pt idx="613">
                  <c:v>5.5718673028398502</c:v>
                </c:pt>
                <c:pt idx="614">
                  <c:v>5.5216903905161496</c:v>
                </c:pt>
                <c:pt idx="615">
                  <c:v>5.4599374000364902</c:v>
                </c:pt>
                <c:pt idx="616">
                  <c:v>5.3993156620282301</c:v>
                </c:pt>
                <c:pt idx="617">
                  <c:v>5.3368075125188703</c:v>
                </c:pt>
                <c:pt idx="618">
                  <c:v>5.2824160411635104</c:v>
                </c:pt>
                <c:pt idx="619">
                  <c:v>5.2263766455226204</c:v>
                </c:pt>
                <c:pt idx="620">
                  <c:v>5.17038352471564</c:v>
                </c:pt>
                <c:pt idx="621">
                  <c:v>5.1209130499525797</c:v>
                </c:pt>
                <c:pt idx="622">
                  <c:v>5.0681369595081698</c:v>
                </c:pt>
                <c:pt idx="623">
                  <c:v>5.0147983114230099</c:v>
                </c:pt>
                <c:pt idx="624">
                  <c:v>4.9644265084914103</c:v>
                </c:pt>
                <c:pt idx="625">
                  <c:v>4.9113078163406003</c:v>
                </c:pt>
                <c:pt idx="626">
                  <c:v>4.8599426959020402</c:v>
                </c:pt>
                <c:pt idx="627">
                  <c:v>4.8128479536677702</c:v>
                </c:pt>
                <c:pt idx="628">
                  <c:v>4.7677779749170002</c:v>
                </c:pt>
                <c:pt idx="629">
                  <c:v>4.7196715486768799</c:v>
                </c:pt>
                <c:pt idx="630">
                  <c:v>4.66906076050065</c:v>
                </c:pt>
                <c:pt idx="631">
                  <c:v>4.62281399836787</c:v>
                </c:pt>
                <c:pt idx="632">
                  <c:v>4.5793277650580002</c:v>
                </c:pt>
                <c:pt idx="633">
                  <c:v>4.5315636453312402</c:v>
                </c:pt>
                <c:pt idx="634">
                  <c:v>4.4834173984779104</c:v>
                </c:pt>
                <c:pt idx="635">
                  <c:v>4.4381478454391097</c:v>
                </c:pt>
                <c:pt idx="636">
                  <c:v>4.3956914403867096</c:v>
                </c:pt>
                <c:pt idx="637">
                  <c:v>4.3521150176499699</c:v>
                </c:pt>
                <c:pt idx="638">
                  <c:v>4.3091424457623004</c:v>
                </c:pt>
                <c:pt idx="639">
                  <c:v>4.2683227176624898</c:v>
                </c:pt>
                <c:pt idx="640">
                  <c:v>4.22705779842964</c:v>
                </c:pt>
                <c:pt idx="641">
                  <c:v>4.1864353541053001</c:v>
                </c:pt>
                <c:pt idx="642">
                  <c:v>4.1461202190548203</c:v>
                </c:pt>
                <c:pt idx="643">
                  <c:v>4.1051562879926298</c:v>
                </c:pt>
                <c:pt idx="644">
                  <c:v>4.0640480929739597</c:v>
                </c:pt>
                <c:pt idx="645">
                  <c:v>4.0211619284384703</c:v>
                </c:pt>
                <c:pt idx="646">
                  <c:v>3.9826340341975901</c:v>
                </c:pt>
                <c:pt idx="647">
                  <c:v>3.9455494003533298</c:v>
                </c:pt>
                <c:pt idx="648">
                  <c:v>3.9052913750637201</c:v>
                </c:pt>
                <c:pt idx="649">
                  <c:v>3.8653586946454599</c:v>
                </c:pt>
                <c:pt idx="650">
                  <c:v>3.8255981944133701</c:v>
                </c:pt>
                <c:pt idx="651">
                  <c:v>3.7861184603922302</c:v>
                </c:pt>
                <c:pt idx="652">
                  <c:v>3.74870234285881</c:v>
                </c:pt>
                <c:pt idx="653">
                  <c:v>3.70910714892119</c:v>
                </c:pt>
                <c:pt idx="654">
                  <c:v>3.67172280174593</c:v>
                </c:pt>
                <c:pt idx="655">
                  <c:v>3.6312569449418999</c:v>
                </c:pt>
                <c:pt idx="656">
                  <c:v>3.5967384237765501</c:v>
                </c:pt>
                <c:pt idx="657">
                  <c:v>3.56193888246611</c:v>
                </c:pt>
                <c:pt idx="658">
                  <c:v>3.5266927120665299</c:v>
                </c:pt>
                <c:pt idx="659">
                  <c:v>3.4906242591328902</c:v>
                </c:pt>
                <c:pt idx="660">
                  <c:v>3.4572190712725401</c:v>
                </c:pt>
                <c:pt idx="661">
                  <c:v>3.4232928417097601</c:v>
                </c:pt>
                <c:pt idx="662">
                  <c:v>3.3920721989148199</c:v>
                </c:pt>
                <c:pt idx="663">
                  <c:v>3.3608792906652498</c:v>
                </c:pt>
                <c:pt idx="664">
                  <c:v>3.3267028812888499</c:v>
                </c:pt>
                <c:pt idx="665">
                  <c:v>3.29410080887736</c:v>
                </c:pt>
                <c:pt idx="666">
                  <c:v>3.2629679608891502</c:v>
                </c:pt>
                <c:pt idx="667">
                  <c:v>3.2314595839268399</c:v>
                </c:pt>
                <c:pt idx="668">
                  <c:v>3.1991108589097501</c:v>
                </c:pt>
                <c:pt idx="669">
                  <c:v>3.1681757796474002</c:v>
                </c:pt>
                <c:pt idx="670">
                  <c:v>3.1367331466668902</c:v>
                </c:pt>
                <c:pt idx="671">
                  <c:v>3.1031229546447698</c:v>
                </c:pt>
                <c:pt idx="672">
                  <c:v>3.07112218981367</c:v>
                </c:pt>
                <c:pt idx="673">
                  <c:v>3.0406834851929099</c:v>
                </c:pt>
                <c:pt idx="674">
                  <c:v>3.0087894440659602</c:v>
                </c:pt>
                <c:pt idx="675">
                  <c:v>2.9810979944758</c:v>
                </c:pt>
                <c:pt idx="676">
                  <c:v>2.9527918328734399</c:v>
                </c:pt>
                <c:pt idx="677">
                  <c:v>2.92386678790881</c:v>
                </c:pt>
                <c:pt idx="678">
                  <c:v>2.8944888666317801</c:v>
                </c:pt>
                <c:pt idx="679">
                  <c:v>3.4939562556381598</c:v>
                </c:pt>
                <c:pt idx="680">
                  <c:v>8.4716204527939105</c:v>
                </c:pt>
                <c:pt idx="681">
                  <c:v>10.603219125986501</c:v>
                </c:pt>
                <c:pt idx="682">
                  <c:v>10.9480784177803</c:v>
                </c:pt>
                <c:pt idx="683">
                  <c:v>10.983561484741999</c:v>
                </c:pt>
                <c:pt idx="684">
                  <c:v>10.9749248791203</c:v>
                </c:pt>
                <c:pt idx="685">
                  <c:v>10.9463173563112</c:v>
                </c:pt>
                <c:pt idx="686">
                  <c:v>10.9140904747715</c:v>
                </c:pt>
                <c:pt idx="687">
                  <c:v>10.8821848247188</c:v>
                </c:pt>
                <c:pt idx="688">
                  <c:v>10.837107315820999</c:v>
                </c:pt>
                <c:pt idx="689">
                  <c:v>10.7828258964055</c:v>
                </c:pt>
                <c:pt idx="690">
                  <c:v>10.739492322894501</c:v>
                </c:pt>
                <c:pt idx="691">
                  <c:v>10.7058381765628</c:v>
                </c:pt>
                <c:pt idx="692">
                  <c:v>10.6670673380758</c:v>
                </c:pt>
                <c:pt idx="693">
                  <c:v>10.617484779114999</c:v>
                </c:pt>
                <c:pt idx="694">
                  <c:v>10.559902436648899</c:v>
                </c:pt>
                <c:pt idx="695">
                  <c:v>10.511151890122701</c:v>
                </c:pt>
                <c:pt idx="696">
                  <c:v>10.4513448462908</c:v>
                </c:pt>
                <c:pt idx="697">
                  <c:v>10.394465033509899</c:v>
                </c:pt>
                <c:pt idx="698">
                  <c:v>10.3449139972798</c:v>
                </c:pt>
                <c:pt idx="699">
                  <c:v>10.2831019966093</c:v>
                </c:pt>
                <c:pt idx="700">
                  <c:v>10.211671462346199</c:v>
                </c:pt>
                <c:pt idx="701">
                  <c:v>10.121528491458999</c:v>
                </c:pt>
                <c:pt idx="702">
                  <c:v>10.0344751140301</c:v>
                </c:pt>
                <c:pt idx="703">
                  <c:v>9.9394763320523793</c:v>
                </c:pt>
                <c:pt idx="704">
                  <c:v>9.8610498141734499</c:v>
                </c:pt>
                <c:pt idx="705">
                  <c:v>9.7800502300872907</c:v>
                </c:pt>
                <c:pt idx="706">
                  <c:v>9.7177339115239896</c:v>
                </c:pt>
                <c:pt idx="707">
                  <c:v>9.6325296274372096</c:v>
                </c:pt>
                <c:pt idx="708">
                  <c:v>9.5654122892874707</c:v>
                </c:pt>
                <c:pt idx="709">
                  <c:v>9.5015139624435498</c:v>
                </c:pt>
                <c:pt idx="710">
                  <c:v>9.4269730132012501</c:v>
                </c:pt>
                <c:pt idx="711">
                  <c:v>9.3475169548565802</c:v>
                </c:pt>
                <c:pt idx="712">
                  <c:v>9.2838470753789402</c:v>
                </c:pt>
                <c:pt idx="713">
                  <c:v>9.2174520728161102</c:v>
                </c:pt>
                <c:pt idx="714">
                  <c:v>9.1480065603413401</c:v>
                </c:pt>
                <c:pt idx="715">
                  <c:v>9.0773144681464295</c:v>
                </c:pt>
                <c:pt idx="716">
                  <c:v>9.0126841243943598</c:v>
                </c:pt>
                <c:pt idx="717">
                  <c:v>8.9350020076998806</c:v>
                </c:pt>
                <c:pt idx="718">
                  <c:v>8.8678480282199796</c:v>
                </c:pt>
                <c:pt idx="719">
                  <c:v>8.8016986179301</c:v>
                </c:pt>
                <c:pt idx="720">
                  <c:v>8.7392018745998392</c:v>
                </c:pt>
                <c:pt idx="721">
                  <c:v>8.6650627337309896</c:v>
                </c:pt>
                <c:pt idx="722">
                  <c:v>8.5981048278889602</c:v>
                </c:pt>
                <c:pt idx="723">
                  <c:v>8.5422974328503294</c:v>
                </c:pt>
                <c:pt idx="724">
                  <c:v>8.4849732563186997</c:v>
                </c:pt>
                <c:pt idx="725">
                  <c:v>8.4187291535225093</c:v>
                </c:pt>
                <c:pt idx="726">
                  <c:v>8.3499997408992801</c:v>
                </c:pt>
                <c:pt idx="727">
                  <c:v>8.2936185627478505</c:v>
                </c:pt>
                <c:pt idx="728">
                  <c:v>8.2395421149333199</c:v>
                </c:pt>
                <c:pt idx="729">
                  <c:v>8.1708896256356507</c:v>
                </c:pt>
                <c:pt idx="730">
                  <c:v>8.09932205769916</c:v>
                </c:pt>
                <c:pt idx="731">
                  <c:v>8.0348988326121393</c:v>
                </c:pt>
                <c:pt idx="732">
                  <c:v>7.9690905471828399</c:v>
                </c:pt>
                <c:pt idx="733">
                  <c:v>7.9028950851581596</c:v>
                </c:pt>
                <c:pt idx="734">
                  <c:v>7.8428096379358996</c:v>
                </c:pt>
                <c:pt idx="735">
                  <c:v>7.7723350202057002</c:v>
                </c:pt>
                <c:pt idx="736">
                  <c:v>7.6995196505027401</c:v>
                </c:pt>
                <c:pt idx="737">
                  <c:v>7.6327480744553702</c:v>
                </c:pt>
                <c:pt idx="738">
                  <c:v>7.5756546510635001</c:v>
                </c:pt>
                <c:pt idx="739">
                  <c:v>7.5107927332325399</c:v>
                </c:pt>
                <c:pt idx="740">
                  <c:v>7.4454189996519604</c:v>
                </c:pt>
                <c:pt idx="741">
                  <c:v>7.3831134194334096</c:v>
                </c:pt>
                <c:pt idx="742">
                  <c:v>7.3245217589819704</c:v>
                </c:pt>
                <c:pt idx="743">
                  <c:v>7.2692111244162101</c:v>
                </c:pt>
                <c:pt idx="744">
                  <c:v>7.20839672037037</c:v>
                </c:pt>
                <c:pt idx="745">
                  <c:v>7.1539182974594304</c:v>
                </c:pt>
                <c:pt idx="746">
                  <c:v>7.0891838390395696</c:v>
                </c:pt>
                <c:pt idx="747">
                  <c:v>7.02012696405047</c:v>
                </c:pt>
                <c:pt idx="748">
                  <c:v>6.9570524071573203</c:v>
                </c:pt>
                <c:pt idx="749">
                  <c:v>6.90207517278448</c:v>
                </c:pt>
                <c:pt idx="750">
                  <c:v>6.8476353082025598</c:v>
                </c:pt>
                <c:pt idx="751">
                  <c:v>6.7874538143732304</c:v>
                </c:pt>
                <c:pt idx="752">
                  <c:v>6.7278469473177598</c:v>
                </c:pt>
                <c:pt idx="753">
                  <c:v>6.6708811197227398</c:v>
                </c:pt>
                <c:pt idx="754">
                  <c:v>6.6175813139451103</c:v>
                </c:pt>
                <c:pt idx="755">
                  <c:v>6.5605299473719603</c:v>
                </c:pt>
                <c:pt idx="756">
                  <c:v>6.5042084145151096</c:v>
                </c:pt>
                <c:pt idx="757">
                  <c:v>6.4483284519145698</c:v>
                </c:pt>
                <c:pt idx="758">
                  <c:v>6.3940585350128902</c:v>
                </c:pt>
                <c:pt idx="759">
                  <c:v>6.3369222690036802</c:v>
                </c:pt>
                <c:pt idx="760">
                  <c:v>6.2794589328695896</c:v>
                </c:pt>
                <c:pt idx="761">
                  <c:v>6.2327406592414798</c:v>
                </c:pt>
                <c:pt idx="762">
                  <c:v>6.1827629817230996</c:v>
                </c:pt>
                <c:pt idx="763">
                  <c:v>6.1352068711527998</c:v>
                </c:pt>
                <c:pt idx="764">
                  <c:v>6.0840545820318201</c:v>
                </c:pt>
                <c:pt idx="765">
                  <c:v>6.0338492708820599</c:v>
                </c:pt>
                <c:pt idx="766">
                  <c:v>5.9823442266147904</c:v>
                </c:pt>
                <c:pt idx="767">
                  <c:v>5.93343673000685</c:v>
                </c:pt>
                <c:pt idx="768">
                  <c:v>5.8865803750930796</c:v>
                </c:pt>
                <c:pt idx="769">
                  <c:v>5.8395986634280401</c:v>
                </c:pt>
                <c:pt idx="770">
                  <c:v>5.79378341182084</c:v>
                </c:pt>
                <c:pt idx="771">
                  <c:v>5.7472204323125897</c:v>
                </c:pt>
                <c:pt idx="772">
                  <c:v>5.7017567168032803</c:v>
                </c:pt>
                <c:pt idx="773">
                  <c:v>5.6594664175676597</c:v>
                </c:pt>
                <c:pt idx="774">
                  <c:v>5.6139285331487896</c:v>
                </c:pt>
                <c:pt idx="775">
                  <c:v>5.5648621447216602</c:v>
                </c:pt>
                <c:pt idx="776">
                  <c:v>5.5194397665776496</c:v>
                </c:pt>
                <c:pt idx="777">
                  <c:v>5.4714890386059203</c:v>
                </c:pt>
                <c:pt idx="778">
                  <c:v>5.4268250150862496</c:v>
                </c:pt>
                <c:pt idx="779">
                  <c:v>5.3826912011121602</c:v>
                </c:pt>
                <c:pt idx="780">
                  <c:v>5.3393885588864203</c:v>
                </c:pt>
                <c:pt idx="781">
                  <c:v>5.2902487626607897</c:v>
                </c:pt>
                <c:pt idx="782">
                  <c:v>5.2450643691921499</c:v>
                </c:pt>
                <c:pt idx="783">
                  <c:v>5.2011520610716699</c:v>
                </c:pt>
                <c:pt idx="784">
                  <c:v>5.1563864455607797</c:v>
                </c:pt>
                <c:pt idx="785">
                  <c:v>5.1129529397111098</c:v>
                </c:pt>
                <c:pt idx="786">
                  <c:v>5.0709024536428897</c:v>
                </c:pt>
                <c:pt idx="787">
                  <c:v>5.03233952163641</c:v>
                </c:pt>
                <c:pt idx="788">
                  <c:v>4.9919923148120704</c:v>
                </c:pt>
                <c:pt idx="789">
                  <c:v>4.9471995627001899</c:v>
                </c:pt>
                <c:pt idx="790">
                  <c:v>4.9095176291721803</c:v>
                </c:pt>
                <c:pt idx="791">
                  <c:v>4.8692419647228302</c:v>
                </c:pt>
                <c:pt idx="792">
                  <c:v>4.8311198942708602</c:v>
                </c:pt>
                <c:pt idx="793">
                  <c:v>4.7878019807451704</c:v>
                </c:pt>
                <c:pt idx="794">
                  <c:v>4.7469990067775001</c:v>
                </c:pt>
                <c:pt idx="795">
                  <c:v>4.7076374277963096</c:v>
                </c:pt>
                <c:pt idx="796">
                  <c:v>4.66418647275606</c:v>
                </c:pt>
                <c:pt idx="797">
                  <c:v>4.6235725882034897</c:v>
                </c:pt>
                <c:pt idx="798">
                  <c:v>4.5839263325224104</c:v>
                </c:pt>
                <c:pt idx="799">
                  <c:v>4.5431810490754003</c:v>
                </c:pt>
                <c:pt idx="800">
                  <c:v>4.5008277613545298</c:v>
                </c:pt>
                <c:pt idx="801">
                  <c:v>4.4610904214387199</c:v>
                </c:pt>
                <c:pt idx="802">
                  <c:v>4.4188225551727003</c:v>
                </c:pt>
                <c:pt idx="803">
                  <c:v>4.3797127462770797</c:v>
                </c:pt>
                <c:pt idx="804">
                  <c:v>4.3424698686027803</c:v>
                </c:pt>
                <c:pt idx="805">
                  <c:v>4.3043408863299799</c:v>
                </c:pt>
                <c:pt idx="806">
                  <c:v>4.2669750575135996</c:v>
                </c:pt>
                <c:pt idx="807">
                  <c:v>4.2326361576590399</c:v>
                </c:pt>
                <c:pt idx="808">
                  <c:v>4.1955897003367602</c:v>
                </c:pt>
                <c:pt idx="809">
                  <c:v>4.1613679121822997</c:v>
                </c:pt>
                <c:pt idx="810">
                  <c:v>4.1275664850790097</c:v>
                </c:pt>
                <c:pt idx="811">
                  <c:v>4.0897563304284796</c:v>
                </c:pt>
                <c:pt idx="812">
                  <c:v>4.0541238471368501</c:v>
                </c:pt>
                <c:pt idx="813">
                  <c:v>4.0212444468721502</c:v>
                </c:pt>
                <c:pt idx="814">
                  <c:v>3.9891481824705499</c:v>
                </c:pt>
                <c:pt idx="815">
                  <c:v>3.9564264903345201</c:v>
                </c:pt>
                <c:pt idx="816">
                  <c:v>3.9212153510575698</c:v>
                </c:pt>
                <c:pt idx="817">
                  <c:v>3.88813262056577</c:v>
                </c:pt>
                <c:pt idx="818">
                  <c:v>3.8563792696583499</c:v>
                </c:pt>
                <c:pt idx="819">
                  <c:v>3.8253429133322401</c:v>
                </c:pt>
                <c:pt idx="820">
                  <c:v>3.7895338274295498</c:v>
                </c:pt>
                <c:pt idx="821">
                  <c:v>3.7720799806237602</c:v>
                </c:pt>
                <c:pt idx="822">
                  <c:v>3.74345348901555</c:v>
                </c:pt>
                <c:pt idx="823">
                  <c:v>5.0433631455029904</c:v>
                </c:pt>
                <c:pt idx="824">
                  <c:v>7.7556850630756697</c:v>
                </c:pt>
                <c:pt idx="825">
                  <c:v>8.7126820768529605</c:v>
                </c:pt>
                <c:pt idx="826">
                  <c:v>8.9823354774195199</c:v>
                </c:pt>
                <c:pt idx="827">
                  <c:v>9.0363138202044908</c:v>
                </c:pt>
                <c:pt idx="828">
                  <c:v>9.03318909664298</c:v>
                </c:pt>
                <c:pt idx="829">
                  <c:v>8.9532320964860297</c:v>
                </c:pt>
                <c:pt idx="830">
                  <c:v>9.11468317174063</c:v>
                </c:pt>
                <c:pt idx="831">
                  <c:v>9.1038339100026704</c:v>
                </c:pt>
                <c:pt idx="832">
                  <c:v>9.0777272155761697</c:v>
                </c:pt>
                <c:pt idx="833">
                  <c:v>9.0674584005426802</c:v>
                </c:pt>
                <c:pt idx="834">
                  <c:v>9.0643309221811794</c:v>
                </c:pt>
                <c:pt idx="835">
                  <c:v>9.0504405337039007</c:v>
                </c:pt>
                <c:pt idx="836">
                  <c:v>9.0320846775413202</c:v>
                </c:pt>
                <c:pt idx="837">
                  <c:v>9.0159603664872296</c:v>
                </c:pt>
                <c:pt idx="838">
                  <c:v>8.9913167173694806</c:v>
                </c:pt>
                <c:pt idx="839">
                  <c:v>8.9649581347174294</c:v>
                </c:pt>
                <c:pt idx="840">
                  <c:v>8.9410698501311092</c:v>
                </c:pt>
                <c:pt idx="841">
                  <c:v>8.9103322930101108</c:v>
                </c:pt>
                <c:pt idx="842">
                  <c:v>8.8788958446444894</c:v>
                </c:pt>
                <c:pt idx="843">
                  <c:v>8.8520591531166097</c:v>
                </c:pt>
                <c:pt idx="844">
                  <c:v>8.8183404460335595</c:v>
                </c:pt>
                <c:pt idx="845">
                  <c:v>8.78054407559876</c:v>
                </c:pt>
                <c:pt idx="846">
                  <c:v>8.7489275882585904</c:v>
                </c:pt>
                <c:pt idx="847">
                  <c:v>8.7114721569028397</c:v>
                </c:pt>
                <c:pt idx="848">
                  <c:v>8.6725549595941107</c:v>
                </c:pt>
                <c:pt idx="849">
                  <c:v>8.6369274585570803</c:v>
                </c:pt>
                <c:pt idx="850">
                  <c:v>8.6023572101132704</c:v>
                </c:pt>
                <c:pt idx="851">
                  <c:v>8.5615591995205698</c:v>
                </c:pt>
                <c:pt idx="852">
                  <c:v>8.52173069234202</c:v>
                </c:pt>
                <c:pt idx="853">
                  <c:v>8.4798528590342404</c:v>
                </c:pt>
                <c:pt idx="854">
                  <c:v>8.4394547767407495</c:v>
                </c:pt>
                <c:pt idx="855">
                  <c:v>8.3977755818523203</c:v>
                </c:pt>
                <c:pt idx="856">
                  <c:v>8.3581679129578497</c:v>
                </c:pt>
                <c:pt idx="857">
                  <c:v>8.3160552655821398</c:v>
                </c:pt>
                <c:pt idx="858">
                  <c:v>8.2755471271920893</c:v>
                </c:pt>
                <c:pt idx="859">
                  <c:v>8.2274235153300594</c:v>
                </c:pt>
                <c:pt idx="860">
                  <c:v>8.1802348735826005</c:v>
                </c:pt>
                <c:pt idx="861">
                  <c:v>8.13696743896279</c:v>
                </c:pt>
                <c:pt idx="862">
                  <c:v>8.0929003776193404</c:v>
                </c:pt>
                <c:pt idx="863">
                  <c:v>8.05111822179013</c:v>
                </c:pt>
                <c:pt idx="864">
                  <c:v>8.00164792450955</c:v>
                </c:pt>
                <c:pt idx="865">
                  <c:v>7.9508408026878801</c:v>
                </c:pt>
                <c:pt idx="866">
                  <c:v>7.9118692727823801</c:v>
                </c:pt>
                <c:pt idx="867">
                  <c:v>7.8623700841614701</c:v>
                </c:pt>
                <c:pt idx="868">
                  <c:v>7.8134431335516803</c:v>
                </c:pt>
                <c:pt idx="869">
                  <c:v>7.7691321697801099</c:v>
                </c:pt>
                <c:pt idx="870">
                  <c:v>7.7255963339497802</c:v>
                </c:pt>
                <c:pt idx="871">
                  <c:v>7.6770671937339401</c:v>
                </c:pt>
                <c:pt idx="872">
                  <c:v>7.6329157890614203</c:v>
                </c:pt>
                <c:pt idx="873">
                  <c:v>7.5970993905787498</c:v>
                </c:pt>
                <c:pt idx="874">
                  <c:v>7.55022203490417</c:v>
                </c:pt>
                <c:pt idx="875">
                  <c:v>7.49912723112128</c:v>
                </c:pt>
                <c:pt idx="876">
                  <c:v>7.45578501153385</c:v>
                </c:pt>
                <c:pt idx="877">
                  <c:v>7.4062861680341197</c:v>
                </c:pt>
                <c:pt idx="878">
                  <c:v>7.3660764650575103</c:v>
                </c:pt>
                <c:pt idx="879">
                  <c:v>7.32325119773484</c:v>
                </c:pt>
                <c:pt idx="880">
                  <c:v>7.2736786366796498</c:v>
                </c:pt>
                <c:pt idx="881">
                  <c:v>7.2293191123865901</c:v>
                </c:pt>
                <c:pt idx="882">
                  <c:v>7.1810182549069204</c:v>
                </c:pt>
                <c:pt idx="883">
                  <c:v>7.1372739564795102</c:v>
                </c:pt>
                <c:pt idx="884">
                  <c:v>7.09362993350212</c:v>
                </c:pt>
                <c:pt idx="885">
                  <c:v>7.0460018976479999</c:v>
                </c:pt>
                <c:pt idx="886">
                  <c:v>7.0049135597613201</c:v>
                </c:pt>
                <c:pt idx="887">
                  <c:v>6.95815217823883</c:v>
                </c:pt>
                <c:pt idx="888">
                  <c:v>6.9094161612040601</c:v>
                </c:pt>
                <c:pt idx="889">
                  <c:v>6.86370574838734</c:v>
                </c:pt>
                <c:pt idx="890">
                  <c:v>6.8238682265731603</c:v>
                </c:pt>
                <c:pt idx="891">
                  <c:v>6.7812983801253202</c:v>
                </c:pt>
                <c:pt idx="892">
                  <c:v>6.7342802386198501</c:v>
                </c:pt>
                <c:pt idx="893">
                  <c:v>6.6898133867418101</c:v>
                </c:pt>
                <c:pt idx="894">
                  <c:v>6.6424421766037698</c:v>
                </c:pt>
                <c:pt idx="895">
                  <c:v>6.59575090093775</c:v>
                </c:pt>
                <c:pt idx="896">
                  <c:v>6.5463169712913398</c:v>
                </c:pt>
                <c:pt idx="897">
                  <c:v>6.4965592008701396</c:v>
                </c:pt>
                <c:pt idx="898">
                  <c:v>6.4507078927787198</c:v>
                </c:pt>
                <c:pt idx="899">
                  <c:v>6.40119609187159</c:v>
                </c:pt>
                <c:pt idx="900">
                  <c:v>6.3501852312485498</c:v>
                </c:pt>
                <c:pt idx="901">
                  <c:v>6.2958076989512302</c:v>
                </c:pt>
                <c:pt idx="902">
                  <c:v>6.2442599911469197</c:v>
                </c:pt>
                <c:pt idx="903">
                  <c:v>6.2038959881871101</c:v>
                </c:pt>
                <c:pt idx="904">
                  <c:v>6.1609015723269396</c:v>
                </c:pt>
                <c:pt idx="905">
                  <c:v>6.1105227577072299</c:v>
                </c:pt>
                <c:pt idx="906">
                  <c:v>6.0532466806516396</c:v>
                </c:pt>
                <c:pt idx="907">
                  <c:v>5.9990882892056199</c:v>
                </c:pt>
                <c:pt idx="908">
                  <c:v>5.94316910875252</c:v>
                </c:pt>
                <c:pt idx="909">
                  <c:v>5.8889259093310704</c:v>
                </c:pt>
                <c:pt idx="910">
                  <c:v>5.8307283420902802</c:v>
                </c:pt>
                <c:pt idx="911">
                  <c:v>5.7741990929219096</c:v>
                </c:pt>
                <c:pt idx="912">
                  <c:v>5.71577138565151</c:v>
                </c:pt>
                <c:pt idx="913">
                  <c:v>5.6519174387585203</c:v>
                </c:pt>
                <c:pt idx="914">
                  <c:v>5.5938012969070199</c:v>
                </c:pt>
                <c:pt idx="915">
                  <c:v>5.5324276633904299</c:v>
                </c:pt>
                <c:pt idx="916">
                  <c:v>5.4711828874645496</c:v>
                </c:pt>
                <c:pt idx="917">
                  <c:v>5.4139178185174597</c:v>
                </c:pt>
                <c:pt idx="918">
                  <c:v>5.3536765435056104</c:v>
                </c:pt>
                <c:pt idx="919">
                  <c:v>5.2975920272266901</c:v>
                </c:pt>
                <c:pt idx="920">
                  <c:v>5.2404785103718003</c:v>
                </c:pt>
                <c:pt idx="921">
                  <c:v>5.1837828510265602</c:v>
                </c:pt>
                <c:pt idx="922">
                  <c:v>5.1316817222627797</c:v>
                </c:pt>
                <c:pt idx="923">
                  <c:v>5.0786933642468401</c:v>
                </c:pt>
                <c:pt idx="924">
                  <c:v>5.0276898272104003</c:v>
                </c:pt>
                <c:pt idx="925">
                  <c:v>4.9788443800388897</c:v>
                </c:pt>
                <c:pt idx="926">
                  <c:v>4.9307056352069099</c:v>
                </c:pt>
                <c:pt idx="927">
                  <c:v>4.8811134912661798</c:v>
                </c:pt>
                <c:pt idx="928">
                  <c:v>4.8329618878172198</c:v>
                </c:pt>
                <c:pt idx="929">
                  <c:v>4.7884321519872</c:v>
                </c:pt>
                <c:pt idx="930">
                  <c:v>4.7397979453159396</c:v>
                </c:pt>
                <c:pt idx="931">
                  <c:v>4.7009990925790399</c:v>
                </c:pt>
                <c:pt idx="932">
                  <c:v>4.6589834744583003</c:v>
                </c:pt>
                <c:pt idx="933">
                  <c:v>4.6169121832159403</c:v>
                </c:pt>
                <c:pt idx="934">
                  <c:v>4.5762715366471696</c:v>
                </c:pt>
                <c:pt idx="935">
                  <c:v>4.5354648541392102</c:v>
                </c:pt>
                <c:pt idx="936">
                  <c:v>4.4962452146479501</c:v>
                </c:pt>
                <c:pt idx="937">
                  <c:v>4.4561104452390303</c:v>
                </c:pt>
                <c:pt idx="938">
                  <c:v>4.4172366146397799</c:v>
                </c:pt>
                <c:pt idx="939">
                  <c:v>4.37997691361823</c:v>
                </c:pt>
                <c:pt idx="940">
                  <c:v>4.3449269958955901</c:v>
                </c:pt>
                <c:pt idx="941">
                  <c:v>4.3075484575244198</c:v>
                </c:pt>
                <c:pt idx="942">
                  <c:v>4.2698441948549899</c:v>
                </c:pt>
                <c:pt idx="943">
                  <c:v>4.2346183524516698</c:v>
                </c:pt>
                <c:pt idx="944">
                  <c:v>4.1958301456838099</c:v>
                </c:pt>
                <c:pt idx="945">
                  <c:v>4.1588489780306803</c:v>
                </c:pt>
                <c:pt idx="946">
                  <c:v>4.1255807537126001</c:v>
                </c:pt>
                <c:pt idx="947">
                  <c:v>4.09212630497617</c:v>
                </c:pt>
                <c:pt idx="948">
                  <c:v>4.0580473583896497</c:v>
                </c:pt>
                <c:pt idx="949">
                  <c:v>4.02150070889964</c:v>
                </c:pt>
                <c:pt idx="950">
                  <c:v>3.9876026887010001</c:v>
                </c:pt>
                <c:pt idx="951">
                  <c:v>3.9560856547713898</c:v>
                </c:pt>
                <c:pt idx="952">
                  <c:v>3.9226824071012998</c:v>
                </c:pt>
                <c:pt idx="953">
                  <c:v>3.89061720436926</c:v>
                </c:pt>
                <c:pt idx="954">
                  <c:v>3.8559095815797502</c:v>
                </c:pt>
                <c:pt idx="955">
                  <c:v>3.8214654537752302</c:v>
                </c:pt>
                <c:pt idx="956">
                  <c:v>3.78940294856617</c:v>
                </c:pt>
                <c:pt idx="957">
                  <c:v>3.75691905219611</c:v>
                </c:pt>
                <c:pt idx="958">
                  <c:v>3.7261978782803298</c:v>
                </c:pt>
                <c:pt idx="959">
                  <c:v>3.69826802430872</c:v>
                </c:pt>
                <c:pt idx="960">
                  <c:v>3.6703168439427398</c:v>
                </c:pt>
                <c:pt idx="961">
                  <c:v>3.6402113665542299</c:v>
                </c:pt>
                <c:pt idx="962">
                  <c:v>3.6102329987961199</c:v>
                </c:pt>
                <c:pt idx="963">
                  <c:v>3.5804353789308601</c:v>
                </c:pt>
                <c:pt idx="964">
                  <c:v>3.5544861659606699</c:v>
                </c:pt>
                <c:pt idx="965">
                  <c:v>3.5258399918860399</c:v>
                </c:pt>
                <c:pt idx="966">
                  <c:v>3.4976940086671799</c:v>
                </c:pt>
                <c:pt idx="967">
                  <c:v>3.56642214741135</c:v>
                </c:pt>
                <c:pt idx="968">
                  <c:v>4.6976136750635202</c:v>
                </c:pt>
                <c:pt idx="969">
                  <c:v>5.1594625016104496</c:v>
                </c:pt>
                <c:pt idx="970">
                  <c:v>5.3203295184723904</c:v>
                </c:pt>
                <c:pt idx="971">
                  <c:v>5.3934183295382896</c:v>
                </c:pt>
                <c:pt idx="972">
                  <c:v>5.4166459561982299</c:v>
                </c:pt>
                <c:pt idx="973">
                  <c:v>5.4213014207494998</c:v>
                </c:pt>
                <c:pt idx="974">
                  <c:v>5.4023941689827799</c:v>
                </c:pt>
                <c:pt idx="975">
                  <c:v>5.3903269054961296</c:v>
                </c:pt>
                <c:pt idx="976">
                  <c:v>5.3751062256296303</c:v>
                </c:pt>
                <c:pt idx="977">
                  <c:v>5.3518234308911596</c:v>
                </c:pt>
                <c:pt idx="978">
                  <c:v>5.3240632822641496</c:v>
                </c:pt>
                <c:pt idx="979">
                  <c:v>5.2942986425794798</c:v>
                </c:pt>
                <c:pt idx="980">
                  <c:v>5.2694495121828302</c:v>
                </c:pt>
                <c:pt idx="981">
                  <c:v>5.2508736240581104</c:v>
                </c:pt>
                <c:pt idx="982">
                  <c:v>5.2268355429057101</c:v>
                </c:pt>
                <c:pt idx="983">
                  <c:v>5.1899270611746502</c:v>
                </c:pt>
                <c:pt idx="984">
                  <c:v>5.1558119644694802</c:v>
                </c:pt>
                <c:pt idx="985">
                  <c:v>5.1443226690920403</c:v>
                </c:pt>
                <c:pt idx="986">
                  <c:v>5.1232521729098401</c:v>
                </c:pt>
                <c:pt idx="987">
                  <c:v>5.1127823394822096</c:v>
                </c:pt>
                <c:pt idx="988">
                  <c:v>5.08122830490578</c:v>
                </c:pt>
                <c:pt idx="989">
                  <c:v>5.0525763591025799</c:v>
                </c:pt>
                <c:pt idx="990">
                  <c:v>5.0276217775551499</c:v>
                </c:pt>
                <c:pt idx="991">
                  <c:v>5.0035442499501599</c:v>
                </c:pt>
                <c:pt idx="992">
                  <c:v>4.9839954056087397</c:v>
                </c:pt>
                <c:pt idx="993">
                  <c:v>4.9660614916660899</c:v>
                </c:pt>
                <c:pt idx="994">
                  <c:v>4.9432240324993604</c:v>
                </c:pt>
                <c:pt idx="995">
                  <c:v>4.9251502984118698</c:v>
                </c:pt>
                <c:pt idx="996">
                  <c:v>4.8987691299260403</c:v>
                </c:pt>
                <c:pt idx="997">
                  <c:v>4.8743520250243302</c:v>
                </c:pt>
                <c:pt idx="998">
                  <c:v>4.8557254070607296</c:v>
                </c:pt>
                <c:pt idx="999">
                  <c:v>4.8297237965250899</c:v>
                </c:pt>
                <c:pt idx="1000">
                  <c:v>4.80225186107916</c:v>
                </c:pt>
                <c:pt idx="1001">
                  <c:v>4.7760002677722104</c:v>
                </c:pt>
                <c:pt idx="1002">
                  <c:v>4.7487705685960497</c:v>
                </c:pt>
                <c:pt idx="1003">
                  <c:v>4.7203671026539196</c:v>
                </c:pt>
                <c:pt idx="1004">
                  <c:v>4.6914448933985904</c:v>
                </c:pt>
                <c:pt idx="1005">
                  <c:v>4.6650512412824501</c:v>
                </c:pt>
                <c:pt idx="1006">
                  <c:v>4.6376126731078102</c:v>
                </c:pt>
                <c:pt idx="1007">
                  <c:v>4.6095462656063502</c:v>
                </c:pt>
                <c:pt idx="1008">
                  <c:v>4.5830412950823298</c:v>
                </c:pt>
                <c:pt idx="1009">
                  <c:v>4.5539113876060497</c:v>
                </c:pt>
                <c:pt idx="1010">
                  <c:v>4.5222174915543096</c:v>
                </c:pt>
                <c:pt idx="1011">
                  <c:v>4.4962880828517999</c:v>
                </c:pt>
                <c:pt idx="1012">
                  <c:v>4.4681129782170199</c:v>
                </c:pt>
                <c:pt idx="1013">
                  <c:v>4.4390815072108802</c:v>
                </c:pt>
                <c:pt idx="1014">
                  <c:v>4.4131930938261901</c:v>
                </c:pt>
                <c:pt idx="1015">
                  <c:v>4.3799135762420303</c:v>
                </c:pt>
                <c:pt idx="1016">
                  <c:v>4.3545921478744702</c:v>
                </c:pt>
                <c:pt idx="1017">
                  <c:v>4.3270281210170101</c:v>
                </c:pt>
                <c:pt idx="1018">
                  <c:v>4.2949537978242898</c:v>
                </c:pt>
                <c:pt idx="1019">
                  <c:v>4.2638335403558498</c:v>
                </c:pt>
                <c:pt idx="1020">
                  <c:v>4.2442734434973701</c:v>
                </c:pt>
                <c:pt idx="1021">
                  <c:v>4.2100970687739201</c:v>
                </c:pt>
                <c:pt idx="1022">
                  <c:v>4.18254975966925</c:v>
                </c:pt>
                <c:pt idx="1023">
                  <c:v>4.1534730302462899</c:v>
                </c:pt>
                <c:pt idx="1024">
                  <c:v>4.1255200154532803</c:v>
                </c:pt>
                <c:pt idx="1025">
                  <c:v>4.0942549379819502</c:v>
                </c:pt>
                <c:pt idx="1026">
                  <c:v>4.06784211445156</c:v>
                </c:pt>
                <c:pt idx="1027">
                  <c:v>4.0362822761906596</c:v>
                </c:pt>
                <c:pt idx="1028">
                  <c:v>4.0142764249203804</c:v>
                </c:pt>
                <c:pt idx="1029">
                  <c:v>3.98752521767145</c:v>
                </c:pt>
                <c:pt idx="1030">
                  <c:v>3.9580782915862001</c:v>
                </c:pt>
                <c:pt idx="1031">
                  <c:v>3.9264589053938299</c:v>
                </c:pt>
                <c:pt idx="1032">
                  <c:v>3.90073077670288</c:v>
                </c:pt>
                <c:pt idx="1033">
                  <c:v>3.8720007556282501</c:v>
                </c:pt>
                <c:pt idx="1034">
                  <c:v>3.8467179021856399</c:v>
                </c:pt>
                <c:pt idx="1035">
                  <c:v>3.8166997773455602</c:v>
                </c:pt>
                <c:pt idx="1036">
                  <c:v>3.7964055612655199</c:v>
                </c:pt>
                <c:pt idx="1037">
                  <c:v>3.7636138748359098</c:v>
                </c:pt>
                <c:pt idx="1038">
                  <c:v>3.7359094627215002</c:v>
                </c:pt>
                <c:pt idx="1039">
                  <c:v>3.7119680225760399</c:v>
                </c:pt>
                <c:pt idx="1040">
                  <c:v>3.6845254439190498</c:v>
                </c:pt>
                <c:pt idx="1041">
                  <c:v>3.6591629729741002</c:v>
                </c:pt>
                <c:pt idx="1042">
                  <c:v>3.6300756164715802</c:v>
                </c:pt>
                <c:pt idx="1043">
                  <c:v>3.60806092258917</c:v>
                </c:pt>
                <c:pt idx="1044">
                  <c:v>3.5847529877293098</c:v>
                </c:pt>
                <c:pt idx="1045">
                  <c:v>3.5575383048284102</c:v>
                </c:pt>
                <c:pt idx="1046">
                  <c:v>3.5324363880005598</c:v>
                </c:pt>
                <c:pt idx="1047">
                  <c:v>3.5088128011339399</c:v>
                </c:pt>
                <c:pt idx="1048">
                  <c:v>3.4860015830103199</c:v>
                </c:pt>
                <c:pt idx="1049">
                  <c:v>3.4608234389871</c:v>
                </c:pt>
                <c:pt idx="1050">
                  <c:v>3.43623128983899</c:v>
                </c:pt>
                <c:pt idx="1051">
                  <c:v>3.41341287076059</c:v>
                </c:pt>
                <c:pt idx="1052">
                  <c:v>3.3918070413861101</c:v>
                </c:pt>
                <c:pt idx="1053">
                  <c:v>3.36671682216488</c:v>
                </c:pt>
                <c:pt idx="1054">
                  <c:v>3.3437216130660401</c:v>
                </c:pt>
                <c:pt idx="1055">
                  <c:v>3.31709512853072</c:v>
                </c:pt>
                <c:pt idx="1056">
                  <c:v>3.2925155967485198</c:v>
                </c:pt>
                <c:pt idx="1057">
                  <c:v>3.2716066843326201</c:v>
                </c:pt>
                <c:pt idx="1058">
                  <c:v>3.2455049811701802</c:v>
                </c:pt>
                <c:pt idx="1059">
                  <c:v>3.22342627358627</c:v>
                </c:pt>
                <c:pt idx="1060">
                  <c:v>3.2042080341288899</c:v>
                </c:pt>
                <c:pt idx="1061">
                  <c:v>3.1787007798674298</c:v>
                </c:pt>
                <c:pt idx="1062">
                  <c:v>3.1575421878483101</c:v>
                </c:pt>
                <c:pt idx="1063">
                  <c:v>3.1370640902128302</c:v>
                </c:pt>
                <c:pt idx="1064">
                  <c:v>3.1158405614167801</c:v>
                </c:pt>
                <c:pt idx="1065">
                  <c:v>3.0944886112051302</c:v>
                </c:pt>
                <c:pt idx="1066">
                  <c:v>3.07236444096299</c:v>
                </c:pt>
                <c:pt idx="1067">
                  <c:v>3.0498199461784101</c:v>
                </c:pt>
                <c:pt idx="1068">
                  <c:v>3.02924489743965</c:v>
                </c:pt>
                <c:pt idx="1069">
                  <c:v>3.0079623484565801</c:v>
                </c:pt>
                <c:pt idx="1070">
                  <c:v>2.9891553243075699</c:v>
                </c:pt>
                <c:pt idx="1071">
                  <c:v>2.9686539506026102</c:v>
                </c:pt>
                <c:pt idx="1072">
                  <c:v>2.9506804077216402</c:v>
                </c:pt>
                <c:pt idx="1073">
                  <c:v>2.9307240818089402</c:v>
                </c:pt>
                <c:pt idx="1074">
                  <c:v>2.9094742029310798</c:v>
                </c:pt>
                <c:pt idx="1075">
                  <c:v>2.89175519941683</c:v>
                </c:pt>
                <c:pt idx="1076">
                  <c:v>2.8727809949427501</c:v>
                </c:pt>
                <c:pt idx="1077">
                  <c:v>2.8533629407949799</c:v>
                </c:pt>
                <c:pt idx="1078">
                  <c:v>2.83058175098475</c:v>
                </c:pt>
                <c:pt idx="1079">
                  <c:v>2.8129067703237198</c:v>
                </c:pt>
                <c:pt idx="1080">
                  <c:v>2.7939223093752799</c:v>
                </c:pt>
                <c:pt idx="1081">
                  <c:v>2.7782114095742401</c:v>
                </c:pt>
                <c:pt idx="1082">
                  <c:v>2.7612200095344699</c:v>
                </c:pt>
                <c:pt idx="1083">
                  <c:v>2.7445473776739</c:v>
                </c:pt>
                <c:pt idx="1084">
                  <c:v>2.7262141148200798</c:v>
                </c:pt>
                <c:pt idx="1085">
                  <c:v>2.7066842660429402</c:v>
                </c:pt>
                <c:pt idx="1086">
                  <c:v>2.6902761735884302</c:v>
                </c:pt>
                <c:pt idx="1087">
                  <c:v>2.67287415647864</c:v>
                </c:pt>
                <c:pt idx="1088">
                  <c:v>2.6563195516301601</c:v>
                </c:pt>
                <c:pt idx="1089">
                  <c:v>2.6373201080106301</c:v>
                </c:pt>
                <c:pt idx="1090">
                  <c:v>2.6211739172750201</c:v>
                </c:pt>
                <c:pt idx="1091">
                  <c:v>2.6046108954193699</c:v>
                </c:pt>
                <c:pt idx="1092">
                  <c:v>2.5886636290609699</c:v>
                </c:pt>
                <c:pt idx="1093">
                  <c:v>2.5734715393362899</c:v>
                </c:pt>
                <c:pt idx="1094">
                  <c:v>2.5564618357421298</c:v>
                </c:pt>
                <c:pt idx="1095">
                  <c:v>2.53901590451833</c:v>
                </c:pt>
                <c:pt idx="1096">
                  <c:v>2.5238840670204201</c:v>
                </c:pt>
                <c:pt idx="1097">
                  <c:v>2.5068918952263002</c:v>
                </c:pt>
                <c:pt idx="1098">
                  <c:v>2.4907081318452202</c:v>
                </c:pt>
                <c:pt idx="1099">
                  <c:v>2.4751898995606201</c:v>
                </c:pt>
                <c:pt idx="1100">
                  <c:v>2.4589150044819901</c:v>
                </c:pt>
                <c:pt idx="1101">
                  <c:v>2.4435999946789799</c:v>
                </c:pt>
                <c:pt idx="1102">
                  <c:v>2.4298597081565498</c:v>
                </c:pt>
                <c:pt idx="1103">
                  <c:v>2.4129890938780001</c:v>
                </c:pt>
                <c:pt idx="1104">
                  <c:v>2.3984078854012498</c:v>
                </c:pt>
                <c:pt idx="1105">
                  <c:v>2.38336763919428</c:v>
                </c:pt>
                <c:pt idx="1106">
                  <c:v>2.36755731681487</c:v>
                </c:pt>
                <c:pt idx="1107">
                  <c:v>2.3513051196324399</c:v>
                </c:pt>
                <c:pt idx="1108">
                  <c:v>2.3358715702288699</c:v>
                </c:pt>
                <c:pt idx="1109">
                  <c:v>2.3210326123770999</c:v>
                </c:pt>
                <c:pt idx="1110">
                  <c:v>2.3060213310849802</c:v>
                </c:pt>
                <c:pt idx="1111">
                  <c:v>2.2920847481026798</c:v>
                </c:pt>
                <c:pt idx="1112">
                  <c:v>2.2765222793958602</c:v>
                </c:pt>
                <c:pt idx="1113">
                  <c:v>2.26191521737403</c:v>
                </c:pt>
                <c:pt idx="1114">
                  <c:v>2.2480154568824702</c:v>
                </c:pt>
                <c:pt idx="1115">
                  <c:v>2.23426628559407</c:v>
                </c:pt>
                <c:pt idx="1116">
                  <c:v>2.2200776064708898</c:v>
                </c:pt>
                <c:pt idx="1117">
                  <c:v>2.2060747582906002</c:v>
                </c:pt>
                <c:pt idx="1118">
                  <c:v>2.1938524530967101</c:v>
                </c:pt>
                <c:pt idx="1119">
                  <c:v>2.1806515681604499</c:v>
                </c:pt>
                <c:pt idx="1120">
                  <c:v>2.16649944064363</c:v>
                </c:pt>
                <c:pt idx="1121">
                  <c:v>2.1537569975861302</c:v>
                </c:pt>
                <c:pt idx="1122">
                  <c:v>2.1402097189870202</c:v>
                </c:pt>
                <c:pt idx="1123">
                  <c:v>2.1286473229684901</c:v>
                </c:pt>
                <c:pt idx="1124">
                  <c:v>2.1157237470384702</c:v>
                </c:pt>
                <c:pt idx="1125">
                  <c:v>2.10359999754907</c:v>
                </c:pt>
                <c:pt idx="1126">
                  <c:v>2.0913136232319398</c:v>
                </c:pt>
                <c:pt idx="1127">
                  <c:v>2.07862784300502</c:v>
                </c:pt>
                <c:pt idx="1128">
                  <c:v>2.06744213089488</c:v>
                </c:pt>
                <c:pt idx="1129">
                  <c:v>2.0543573333601901</c:v>
                </c:pt>
                <c:pt idx="1130">
                  <c:v>2.0418581071825601</c:v>
                </c:pt>
                <c:pt idx="1131">
                  <c:v>2.0311703835711801</c:v>
                </c:pt>
                <c:pt idx="1132">
                  <c:v>2.01866940571065</c:v>
                </c:pt>
                <c:pt idx="1133">
                  <c:v>2.0060946802939301</c:v>
                </c:pt>
                <c:pt idx="1134">
                  <c:v>1.9948867339955201</c:v>
                </c:pt>
                <c:pt idx="1135">
                  <c:v>1.98389081287547</c:v>
                </c:pt>
                <c:pt idx="1136">
                  <c:v>1.97035342559265</c:v>
                </c:pt>
                <c:pt idx="1137">
                  <c:v>1.95953120451189</c:v>
                </c:pt>
                <c:pt idx="1138">
                  <c:v>1.94913084127402</c:v>
                </c:pt>
                <c:pt idx="1139">
                  <c:v>1.9375977452701001</c:v>
                </c:pt>
                <c:pt idx="1140">
                  <c:v>1.92811023832907</c:v>
                </c:pt>
                <c:pt idx="1141">
                  <c:v>1.91765149829162</c:v>
                </c:pt>
                <c:pt idx="1142">
                  <c:v>1.90614533448659</c:v>
                </c:pt>
                <c:pt idx="1143">
                  <c:v>1.89555471804013</c:v>
                </c:pt>
                <c:pt idx="1144">
                  <c:v>1.885992538519</c:v>
                </c:pt>
                <c:pt idx="1145">
                  <c:v>1.8752758467097099</c:v>
                </c:pt>
                <c:pt idx="1146">
                  <c:v>1.86495485390534</c:v>
                </c:pt>
                <c:pt idx="1147">
                  <c:v>1.8542824057521901</c:v>
                </c:pt>
                <c:pt idx="1148">
                  <c:v>1.8440588514632901</c:v>
                </c:pt>
                <c:pt idx="1149">
                  <c:v>1.83415932287325</c:v>
                </c:pt>
                <c:pt idx="1150">
                  <c:v>1.82357857594704</c:v>
                </c:pt>
                <c:pt idx="1151">
                  <c:v>1.8125317593513901</c:v>
                </c:pt>
                <c:pt idx="1152">
                  <c:v>1.8032626980302999</c:v>
                </c:pt>
                <c:pt idx="1153">
                  <c:v>1.7940317701085899</c:v>
                </c:pt>
                <c:pt idx="1154">
                  <c:v>1.7838933375667301</c:v>
                </c:pt>
                <c:pt idx="1155">
                  <c:v>1.7748097531998901</c:v>
                </c:pt>
                <c:pt idx="1156">
                  <c:v>1.7655017442590599</c:v>
                </c:pt>
                <c:pt idx="1157">
                  <c:v>1.75509968333426</c:v>
                </c:pt>
                <c:pt idx="1158">
                  <c:v>1.74489464388164</c:v>
                </c:pt>
                <c:pt idx="1159">
                  <c:v>1.73615017227957</c:v>
                </c:pt>
                <c:pt idx="1160">
                  <c:v>1.7272826286829099</c:v>
                </c:pt>
                <c:pt idx="1161">
                  <c:v>1.71741371719376</c:v>
                </c:pt>
                <c:pt idx="1162">
                  <c:v>1.7073459618201501</c:v>
                </c:pt>
                <c:pt idx="1163">
                  <c:v>1.69876796703168</c:v>
                </c:pt>
                <c:pt idx="1164">
                  <c:v>1.68841991477617</c:v>
                </c:pt>
                <c:pt idx="1165">
                  <c:v>1.6795469551436699</c:v>
                </c:pt>
                <c:pt idx="1166">
                  <c:v>1.6712570630511601</c:v>
                </c:pt>
                <c:pt idx="1167">
                  <c:v>1.66254579178433</c:v>
                </c:pt>
                <c:pt idx="1168">
                  <c:v>1.65356501407136</c:v>
                </c:pt>
                <c:pt idx="1169">
                  <c:v>1.64531991464607</c:v>
                </c:pt>
                <c:pt idx="1170">
                  <c:v>1.63584911243728</c:v>
                </c:pt>
                <c:pt idx="1171">
                  <c:v>1.6282601699964001</c:v>
                </c:pt>
                <c:pt idx="1172">
                  <c:v>1.6187791647780301</c:v>
                </c:pt>
                <c:pt idx="1173">
                  <c:v>1.61063007383872</c:v>
                </c:pt>
                <c:pt idx="1174">
                  <c:v>1.60243079795286</c:v>
                </c:pt>
                <c:pt idx="1175">
                  <c:v>1.5946854475933701</c:v>
                </c:pt>
                <c:pt idx="1176">
                  <c:v>1.5866493971745601</c:v>
                </c:pt>
                <c:pt idx="1177">
                  <c:v>1.57844837121163</c:v>
                </c:pt>
                <c:pt idx="1178">
                  <c:v>1.5707006063476501</c:v>
                </c:pt>
                <c:pt idx="1179">
                  <c:v>1.5636775575550099</c:v>
                </c:pt>
                <c:pt idx="1180">
                  <c:v>1.55551780421052</c:v>
                </c:pt>
                <c:pt idx="1181">
                  <c:v>1.547910682346</c:v>
                </c:pt>
                <c:pt idx="1182">
                  <c:v>1.5408744905723499</c:v>
                </c:pt>
                <c:pt idx="1183">
                  <c:v>1.53384621259232</c:v>
                </c:pt>
                <c:pt idx="1184">
                  <c:v>1.52556345503599</c:v>
                </c:pt>
                <c:pt idx="1185">
                  <c:v>1.5180813807956099</c:v>
                </c:pt>
                <c:pt idx="1186">
                  <c:v>1.5106200365620801</c:v>
                </c:pt>
                <c:pt idx="1187">
                  <c:v>1.50338794783534</c:v>
                </c:pt>
                <c:pt idx="1188">
                  <c:v>1.49709051176222</c:v>
                </c:pt>
                <c:pt idx="1189">
                  <c:v>1.4889827079048401</c:v>
                </c:pt>
                <c:pt idx="1190">
                  <c:v>1.4816922409272599</c:v>
                </c:pt>
                <c:pt idx="1191">
                  <c:v>1.4749297540692099</c:v>
                </c:pt>
                <c:pt idx="1192">
                  <c:v>1.46842966504109</c:v>
                </c:pt>
                <c:pt idx="1193">
                  <c:v>1.4611431676015001</c:v>
                </c:pt>
                <c:pt idx="1194">
                  <c:v>1.4535215349350099</c:v>
                </c:pt>
                <c:pt idx="1195">
                  <c:v>1.4464526141066101</c:v>
                </c:pt>
                <c:pt idx="1196">
                  <c:v>1.43915801355471</c:v>
                </c:pt>
                <c:pt idx="1197">
                  <c:v>1.43189261828002</c:v>
                </c:pt>
                <c:pt idx="1198">
                  <c:v>1.4249346497531601</c:v>
                </c:pt>
                <c:pt idx="1199">
                  <c:v>1.4184187013324601</c:v>
                </c:pt>
                <c:pt idx="1200">
                  <c:v>1.41233652861255</c:v>
                </c:pt>
                <c:pt idx="1201">
                  <c:v>1.4055883044603401</c:v>
                </c:pt>
                <c:pt idx="1202">
                  <c:v>1.3989575679075199</c:v>
                </c:pt>
                <c:pt idx="1203">
                  <c:v>1.39247553959989</c:v>
                </c:pt>
                <c:pt idx="1204">
                  <c:v>1.3860025600108801</c:v>
                </c:pt>
                <c:pt idx="1205">
                  <c:v>1.3796622131696099</c:v>
                </c:pt>
                <c:pt idx="1206">
                  <c:v>1.3734049329275499</c:v>
                </c:pt>
                <c:pt idx="1207">
                  <c:v>1.36698185767438</c:v>
                </c:pt>
                <c:pt idx="1208">
                  <c:v>1.3604146423612</c:v>
                </c:pt>
                <c:pt idx="1209">
                  <c:v>1.3544792128194401</c:v>
                </c:pt>
                <c:pt idx="1210">
                  <c:v>1.3484348382662299</c:v>
                </c:pt>
                <c:pt idx="1211">
                  <c:v>1.3422027162830099</c:v>
                </c:pt>
                <c:pt idx="1212">
                  <c:v>1.3356040888716101</c:v>
                </c:pt>
                <c:pt idx="1213">
                  <c:v>1.3297410241721499</c:v>
                </c:pt>
                <c:pt idx="1214">
                  <c:v>1.32373990406468</c:v>
                </c:pt>
                <c:pt idx="1215">
                  <c:v>1.31832298302113</c:v>
                </c:pt>
                <c:pt idx="1216">
                  <c:v>1.3116750583963199</c:v>
                </c:pt>
                <c:pt idx="1217">
                  <c:v>1.30562147873274</c:v>
                </c:pt>
                <c:pt idx="1218">
                  <c:v>1.29963317967864</c:v>
                </c:pt>
                <c:pt idx="1219">
                  <c:v>1.29390032438142</c:v>
                </c:pt>
                <c:pt idx="1220">
                  <c:v>1.2881790589462301</c:v>
                </c:pt>
                <c:pt idx="1221">
                  <c:v>1.2828332033560601</c:v>
                </c:pt>
                <c:pt idx="1222">
                  <c:v>1.27684441043571</c:v>
                </c:pt>
                <c:pt idx="1223">
                  <c:v>1.27136203665952</c:v>
                </c:pt>
                <c:pt idx="1224">
                  <c:v>1.26585314048664</c:v>
                </c:pt>
                <c:pt idx="1225">
                  <c:v>1.2602616578924899</c:v>
                </c:pt>
                <c:pt idx="1226">
                  <c:v>1.2550082404829901</c:v>
                </c:pt>
                <c:pt idx="1227">
                  <c:v>1.2500844652399501</c:v>
                </c:pt>
                <c:pt idx="1228">
                  <c:v>1.24490295900449</c:v>
                </c:pt>
                <c:pt idx="1229">
                  <c:v>1.24001086174893</c:v>
                </c:pt>
                <c:pt idx="1230">
                  <c:v>1.2349681069156699</c:v>
                </c:pt>
                <c:pt idx="1231">
                  <c:v>1.22979694342218</c:v>
                </c:pt>
                <c:pt idx="1232">
                  <c:v>1.22491557320564</c:v>
                </c:pt>
                <c:pt idx="1233">
                  <c:v>1.2194219795047301</c:v>
                </c:pt>
                <c:pt idx="1234">
                  <c:v>1.2142581390326199</c:v>
                </c:pt>
                <c:pt idx="1235">
                  <c:v>1.20923384795195</c:v>
                </c:pt>
                <c:pt idx="1236">
                  <c:v>1.20415833742697</c:v>
                </c:pt>
                <c:pt idx="1237">
                  <c:v>1.1992276504642201</c:v>
                </c:pt>
                <c:pt idx="1238">
                  <c:v>1.1944423119466101</c:v>
                </c:pt>
                <c:pt idx="1239">
                  <c:v>1.1900793216302901</c:v>
                </c:pt>
                <c:pt idx="1240">
                  <c:v>1.18511490099267</c:v>
                </c:pt>
                <c:pt idx="1241">
                  <c:v>1.1799223687589999</c:v>
                </c:pt>
                <c:pt idx="1242">
                  <c:v>1.1758137757690501</c:v>
                </c:pt>
                <c:pt idx="1243">
                  <c:v>1.17112239162834</c:v>
                </c:pt>
                <c:pt idx="1244">
                  <c:v>1.1665144434836601</c:v>
                </c:pt>
                <c:pt idx="1245">
                  <c:v>1.1622351362138801</c:v>
                </c:pt>
                <c:pt idx="1246">
                  <c:v>1.1572015808454399</c:v>
                </c:pt>
                <c:pt idx="1247">
                  <c:v>1.1529319945935801</c:v>
                </c:pt>
                <c:pt idx="1248">
                  <c:v>1.1485498507930401</c:v>
                </c:pt>
                <c:pt idx="1249">
                  <c:v>1.14420828549417</c:v>
                </c:pt>
                <c:pt idx="1250">
                  <c:v>1.13958810173784</c:v>
                </c:pt>
                <c:pt idx="1251">
                  <c:v>1.13512624159733</c:v>
                </c:pt>
                <c:pt idx="1252">
                  <c:v>1.1308671130666299</c:v>
                </c:pt>
                <c:pt idx="1253">
                  <c:v>1.1263797253622401</c:v>
                </c:pt>
                <c:pt idx="1254">
                  <c:v>1.12184541736094</c:v>
                </c:pt>
                <c:pt idx="1255">
                  <c:v>1.11775262682364</c:v>
                </c:pt>
                <c:pt idx="1256">
                  <c:v>1.1137149626765701</c:v>
                </c:pt>
                <c:pt idx="1257">
                  <c:v>1.10972257411484</c:v>
                </c:pt>
                <c:pt idx="1258">
                  <c:v>1.1059627741757401</c:v>
                </c:pt>
                <c:pt idx="1259">
                  <c:v>1.1020466256427</c:v>
                </c:pt>
                <c:pt idx="1260">
                  <c:v>1.09864386981316</c:v>
                </c:pt>
                <c:pt idx="1261">
                  <c:v>1.09497258202061</c:v>
                </c:pt>
                <c:pt idx="1262">
                  <c:v>1.0911220105970101</c:v>
                </c:pt>
                <c:pt idx="1263">
                  <c:v>1.0874192144013199</c:v>
                </c:pt>
                <c:pt idx="1264">
                  <c:v>1.0836028949918901</c:v>
                </c:pt>
                <c:pt idx="1265">
                  <c:v>1.07925798668559</c:v>
                </c:pt>
                <c:pt idx="1266">
                  <c:v>1.0756309015860801</c:v>
                </c:pt>
                <c:pt idx="1267">
                  <c:v>1.07201514482857</c:v>
                </c:pt>
                <c:pt idx="1268">
                  <c:v>1.06853818517698</c:v>
                </c:pt>
                <c:pt idx="1269">
                  <c:v>1.0648059713220901</c:v>
                </c:pt>
                <c:pt idx="1270">
                  <c:v>1.0610674593468199</c:v>
                </c:pt>
                <c:pt idx="1271">
                  <c:v>1.0576947276517601</c:v>
                </c:pt>
                <c:pt idx="1272">
                  <c:v>1.05376374210796</c:v>
                </c:pt>
                <c:pt idx="1273">
                  <c:v>1.0504699012779799</c:v>
                </c:pt>
                <c:pt idx="1274">
                  <c:v>1.04699436343951</c:v>
                </c:pt>
                <c:pt idx="1275">
                  <c:v>1.04421907321814</c:v>
                </c:pt>
                <c:pt idx="1276">
                  <c:v>1.0411928986772401</c:v>
                </c:pt>
                <c:pt idx="1277">
                  <c:v>1.03573541471471</c:v>
                </c:pt>
                <c:pt idx="1278">
                  <c:v>1.03434814964417</c:v>
                </c:pt>
                <c:pt idx="1279">
                  <c:v>1.03095455919774</c:v>
                </c:pt>
                <c:pt idx="1280">
                  <c:v>1.02701324236666</c:v>
                </c:pt>
                <c:pt idx="1281">
                  <c:v>1.0240721777261499</c:v>
                </c:pt>
                <c:pt idx="1282">
                  <c:v>1.0209206172409799</c:v>
                </c:pt>
                <c:pt idx="1283">
                  <c:v>1.0171035930701</c:v>
                </c:pt>
                <c:pt idx="1284">
                  <c:v>1.0142283594522601</c:v>
                </c:pt>
                <c:pt idx="1285">
                  <c:v>1.01102064847608</c:v>
                </c:pt>
                <c:pt idx="1286">
                  <c:v>1.0082392840780201</c:v>
                </c:pt>
                <c:pt idx="1287">
                  <c:v>1.00498396640497</c:v>
                </c:pt>
                <c:pt idx="1288">
                  <c:v>1.00194545433219</c:v>
                </c:pt>
                <c:pt idx="1289">
                  <c:v>0.99850469241132001</c:v>
                </c:pt>
                <c:pt idx="1290">
                  <c:v>0.99553762283438096</c:v>
                </c:pt>
                <c:pt idx="1291">
                  <c:v>0.99257651561870597</c:v>
                </c:pt>
                <c:pt idx="1292">
                  <c:v>0.98983704301990505</c:v>
                </c:pt>
                <c:pt idx="1293">
                  <c:v>0.98650647116732804</c:v>
                </c:pt>
                <c:pt idx="1294">
                  <c:v>0.98350926229906799</c:v>
                </c:pt>
                <c:pt idx="1295">
                  <c:v>0.98048199583199902</c:v>
                </c:pt>
                <c:pt idx="1296">
                  <c:v>0.97754965380466396</c:v>
                </c:pt>
                <c:pt idx="1297">
                  <c:v>0.97454798340369497</c:v>
                </c:pt>
                <c:pt idx="1298">
                  <c:v>0.97124247932501795</c:v>
                </c:pt>
                <c:pt idx="1299">
                  <c:v>0.96840126163250295</c:v>
                </c:pt>
                <c:pt idx="1300">
                  <c:v>0.96574686265373699</c:v>
                </c:pt>
                <c:pt idx="1301">
                  <c:v>0.963016009052169</c:v>
                </c:pt>
                <c:pt idx="1302">
                  <c:v>0.96045990139562898</c:v>
                </c:pt>
                <c:pt idx="1303">
                  <c:v>0.95614026374106198</c:v>
                </c:pt>
                <c:pt idx="1304">
                  <c:v>0.95469766593765204</c:v>
                </c:pt>
                <c:pt idx="1305">
                  <c:v>0.95191148984033203</c:v>
                </c:pt>
                <c:pt idx="1306">
                  <c:v>0.94892754058420403</c:v>
                </c:pt>
                <c:pt idx="1307">
                  <c:v>0.94622702619945298</c:v>
                </c:pt>
                <c:pt idx="1308">
                  <c:v>0.94367168597273199</c:v>
                </c:pt>
                <c:pt idx="1309">
                  <c:v>0.94090740203603795</c:v>
                </c:pt>
                <c:pt idx="1310">
                  <c:v>0.93835038470652699</c:v>
                </c:pt>
                <c:pt idx="1311">
                  <c:v>0.93569713424978496</c:v>
                </c:pt>
                <c:pt idx="1312">
                  <c:v>0.93294848253099405</c:v>
                </c:pt>
                <c:pt idx="1313">
                  <c:v>0.93014822494418603</c:v>
                </c:pt>
                <c:pt idx="1314">
                  <c:v>0.92736200929469204</c:v>
                </c:pt>
                <c:pt idx="1315">
                  <c:v>0.92482276315876299</c:v>
                </c:pt>
                <c:pt idx="1316">
                  <c:v>0.92251655266255095</c:v>
                </c:pt>
                <c:pt idx="1317">
                  <c:v>0.91977667369883298</c:v>
                </c:pt>
                <c:pt idx="1318">
                  <c:v>0.91759304716413603</c:v>
                </c:pt>
                <c:pt idx="1319">
                  <c:v>0.91462943970011001</c:v>
                </c:pt>
                <c:pt idx="1320">
                  <c:v>0.91226226693462298</c:v>
                </c:pt>
                <c:pt idx="1321">
                  <c:v>0.90998676967980896</c:v>
                </c:pt>
                <c:pt idx="1322">
                  <c:v>0.90757102165061199</c:v>
                </c:pt>
                <c:pt idx="1323">
                  <c:v>0.90531180462085203</c:v>
                </c:pt>
                <c:pt idx="1324">
                  <c:v>0.90281159272920797</c:v>
                </c:pt>
                <c:pt idx="1325">
                  <c:v>0.90001649985347099</c:v>
                </c:pt>
                <c:pt idx="1326">
                  <c:v>0.89774532421017095</c:v>
                </c:pt>
                <c:pt idx="1327">
                  <c:v>0.89552500001327195</c:v>
                </c:pt>
                <c:pt idx="1328">
                  <c:v>0.89329451704287799</c:v>
                </c:pt>
                <c:pt idx="1329">
                  <c:v>0.89099628825674604</c:v>
                </c:pt>
                <c:pt idx="1330">
                  <c:v>0.88887646740170301</c:v>
                </c:pt>
                <c:pt idx="1331">
                  <c:v>0.88646194661324595</c:v>
                </c:pt>
                <c:pt idx="1332">
                  <c:v>0.88402573304017995</c:v>
                </c:pt>
                <c:pt idx="1333">
                  <c:v>0.882018164148338</c:v>
                </c:pt>
                <c:pt idx="1334">
                  <c:v>0.879557353136588</c:v>
                </c:pt>
                <c:pt idx="1335">
                  <c:v>0.87746085814907804</c:v>
                </c:pt>
                <c:pt idx="1336">
                  <c:v>0.87527512035349597</c:v>
                </c:pt>
                <c:pt idx="1337">
                  <c:v>0.87333694336175904</c:v>
                </c:pt>
                <c:pt idx="1338">
                  <c:v>0.87129642013370101</c:v>
                </c:pt>
                <c:pt idx="1339">
                  <c:v>0.86938475395308101</c:v>
                </c:pt>
                <c:pt idx="1340">
                  <c:v>0.86715073891190197</c:v>
                </c:pt>
                <c:pt idx="1341">
                  <c:v>0.86499609042652703</c:v>
                </c:pt>
                <c:pt idx="1342">
                  <c:v>0.86304707976973105</c:v>
                </c:pt>
                <c:pt idx="1343">
                  <c:v>0.86119577836518602</c:v>
                </c:pt>
                <c:pt idx="1344">
                  <c:v>0.85861550306345902</c:v>
                </c:pt>
                <c:pt idx="1345">
                  <c:v>0.85674630411966102</c:v>
                </c:pt>
                <c:pt idx="1346">
                  <c:v>0.85466479894269698</c:v>
                </c:pt>
                <c:pt idx="1347">
                  <c:v>0.85274428656104895</c:v>
                </c:pt>
                <c:pt idx="1348">
                  <c:v>0.85069174004739301</c:v>
                </c:pt>
                <c:pt idx="1349">
                  <c:v>0.84841680379334306</c:v>
                </c:pt>
                <c:pt idx="1350">
                  <c:v>0.84661534719940901</c:v>
                </c:pt>
                <c:pt idx="1351">
                  <c:v>0.84493734598743198</c:v>
                </c:pt>
                <c:pt idx="1352">
                  <c:v>0.84342986243654905</c:v>
                </c:pt>
                <c:pt idx="1353">
                  <c:v>0.84160227737922499</c:v>
                </c:pt>
                <c:pt idx="1354">
                  <c:v>0.83997218063470802</c:v>
                </c:pt>
                <c:pt idx="1355">
                  <c:v>0.83824354369659804</c:v>
                </c:pt>
                <c:pt idx="1356">
                  <c:v>0.83644333176660401</c:v>
                </c:pt>
                <c:pt idx="1357">
                  <c:v>0.83473914934350602</c:v>
                </c:pt>
                <c:pt idx="1358">
                  <c:v>0.83295537197987501</c:v>
                </c:pt>
                <c:pt idx="1359">
                  <c:v>0.83110416873337201</c:v>
                </c:pt>
                <c:pt idx="1360">
                  <c:v>0.82944574055526399</c:v>
                </c:pt>
                <c:pt idx="1361">
                  <c:v>0.82786092411744905</c:v>
                </c:pt>
                <c:pt idx="1362">
                  <c:v>0.82585719449308703</c:v>
                </c:pt>
                <c:pt idx="1363">
                  <c:v>0.82441978069121102</c:v>
                </c:pt>
                <c:pt idx="1364">
                  <c:v>0.822557213986567</c:v>
                </c:pt>
                <c:pt idx="1365">
                  <c:v>0.82096825773386095</c:v>
                </c:pt>
                <c:pt idx="1366">
                  <c:v>0.81929932652312099</c:v>
                </c:pt>
                <c:pt idx="1367">
                  <c:v>0.81771484138150397</c:v>
                </c:pt>
                <c:pt idx="1368">
                  <c:v>0.81610965837006999</c:v>
                </c:pt>
                <c:pt idx="1369">
                  <c:v>0.81472974255612196</c:v>
                </c:pt>
                <c:pt idx="1370">
                  <c:v>0.81308484094734701</c:v>
                </c:pt>
                <c:pt idx="1371">
                  <c:v>0.81135033622535901</c:v>
                </c:pt>
                <c:pt idx="1372">
                  <c:v>0.80976842698375395</c:v>
                </c:pt>
                <c:pt idx="1373">
                  <c:v>0.80852350481355195</c:v>
                </c:pt>
                <c:pt idx="1374">
                  <c:v>0.80672344070848701</c:v>
                </c:pt>
                <c:pt idx="1375">
                  <c:v>0.80542631384580299</c:v>
                </c:pt>
                <c:pt idx="1376">
                  <c:v>0.80373054976554303</c:v>
                </c:pt>
                <c:pt idx="1377">
                  <c:v>0.80229387929857998</c:v>
                </c:pt>
                <c:pt idx="1378">
                  <c:v>0.80072893107396104</c:v>
                </c:pt>
                <c:pt idx="1379">
                  <c:v>0.79941760562528996</c:v>
                </c:pt>
                <c:pt idx="1380">
                  <c:v>0.79791153726516495</c:v>
                </c:pt>
                <c:pt idx="1381">
                  <c:v>0.79642083325108304</c:v>
                </c:pt>
                <c:pt idx="1382">
                  <c:v>0.794938695559264</c:v>
                </c:pt>
                <c:pt idx="1383">
                  <c:v>0.79386451319358398</c:v>
                </c:pt>
                <c:pt idx="1384">
                  <c:v>0.79231238918200997</c:v>
                </c:pt>
                <c:pt idx="1385">
                  <c:v>0.79096155380838495</c:v>
                </c:pt>
                <c:pt idx="1386">
                  <c:v>0.78967559971420798</c:v>
                </c:pt>
                <c:pt idx="1387">
                  <c:v>0.78836761214443596</c:v>
                </c:pt>
                <c:pt idx="1388">
                  <c:v>0.78705974836937898</c:v>
                </c:pt>
                <c:pt idx="1389">
                  <c:v>0.78583164978843401</c:v>
                </c:pt>
                <c:pt idx="1390">
                  <c:v>0.784708414108376</c:v>
                </c:pt>
                <c:pt idx="1391">
                  <c:v>0.78333826517509497</c:v>
                </c:pt>
                <c:pt idx="1392">
                  <c:v>0.78129444005236204</c:v>
                </c:pt>
                <c:pt idx="1393">
                  <c:v>0.77987445715342496</c:v>
                </c:pt>
                <c:pt idx="1394">
                  <c:v>0.77869151133068004</c:v>
                </c:pt>
                <c:pt idx="1395">
                  <c:v>0.77409964433789702</c:v>
                </c:pt>
                <c:pt idx="1396">
                  <c:v>0.781701931722939</c:v>
                </c:pt>
                <c:pt idx="1397">
                  <c:v>0.79152678331620896</c:v>
                </c:pt>
                <c:pt idx="1398">
                  <c:v>0.79209971827316805</c:v>
                </c:pt>
                <c:pt idx="1399">
                  <c:v>0.79173543629335996</c:v>
                </c:pt>
                <c:pt idx="1400">
                  <c:v>0.79120732331872001</c:v>
                </c:pt>
                <c:pt idx="1401">
                  <c:v>0.85426041718967705</c:v>
                </c:pt>
                <c:pt idx="1402">
                  <c:v>1.07420340796277</c:v>
                </c:pt>
                <c:pt idx="1403">
                  <c:v>1.1809507010843801</c:v>
                </c:pt>
                <c:pt idx="1404">
                  <c:v>1.2592222804656901</c:v>
                </c:pt>
                <c:pt idx="1405">
                  <c:v>1.3233536439993101</c:v>
                </c:pt>
                <c:pt idx="1406">
                  <c:v>1.3759252297981901</c:v>
                </c:pt>
                <c:pt idx="1407">
                  <c:v>1.41671018236041</c:v>
                </c:pt>
                <c:pt idx="1408">
                  <c:v>1.4463628863412401</c:v>
                </c:pt>
                <c:pt idx="1409">
                  <c:v>1.4696896201594301</c:v>
                </c:pt>
                <c:pt idx="1410">
                  <c:v>1.4877590672530101</c:v>
                </c:pt>
                <c:pt idx="1411">
                  <c:v>1.50064333145873</c:v>
                </c:pt>
                <c:pt idx="1412">
                  <c:v>1.5113270008884601</c:v>
                </c:pt>
                <c:pt idx="1413">
                  <c:v>1.5198288091560199</c:v>
                </c:pt>
                <c:pt idx="1414">
                  <c:v>1.52571604562593</c:v>
                </c:pt>
                <c:pt idx="1415">
                  <c:v>1.53075669391269</c:v>
                </c:pt>
                <c:pt idx="1416">
                  <c:v>1.5346494536292099</c:v>
                </c:pt>
                <c:pt idx="1417">
                  <c:v>1.5368383083414501</c:v>
                </c:pt>
                <c:pt idx="1418">
                  <c:v>1.5388405031599901</c:v>
                </c:pt>
                <c:pt idx="1419">
                  <c:v>1.5402028077261201</c:v>
                </c:pt>
                <c:pt idx="1420">
                  <c:v>1.54088241720466</c:v>
                </c:pt>
                <c:pt idx="1421">
                  <c:v>1.5411652035908601</c:v>
                </c:pt>
                <c:pt idx="1422">
                  <c:v>1.5411824150586</c:v>
                </c:pt>
                <c:pt idx="1423">
                  <c:v>1.54272687618883</c:v>
                </c:pt>
                <c:pt idx="1424">
                  <c:v>1.5428904560125001</c:v>
                </c:pt>
                <c:pt idx="1425">
                  <c:v>1.5430828650958801</c:v>
                </c:pt>
                <c:pt idx="1426">
                  <c:v>1.5421071401064601</c:v>
                </c:pt>
                <c:pt idx="1427">
                  <c:v>1.5415925017679599</c:v>
                </c:pt>
                <c:pt idx="1428">
                  <c:v>1.54180675564901</c:v>
                </c:pt>
                <c:pt idx="1429">
                  <c:v>1.54113229406254</c:v>
                </c:pt>
                <c:pt idx="1430">
                  <c:v>1.5401130581301401</c:v>
                </c:pt>
                <c:pt idx="1431">
                  <c:v>1.53923955802719</c:v>
                </c:pt>
                <c:pt idx="1432">
                  <c:v>1.5383476332141901</c:v>
                </c:pt>
                <c:pt idx="1433">
                  <c:v>1.5376955909074801</c:v>
                </c:pt>
                <c:pt idx="1434">
                  <c:v>1.5377483459261001</c:v>
                </c:pt>
                <c:pt idx="1435">
                  <c:v>1.5367412510331</c:v>
                </c:pt>
                <c:pt idx="1436">
                  <c:v>1.53415318550261</c:v>
                </c:pt>
                <c:pt idx="1437">
                  <c:v>1.53299735947826</c:v>
                </c:pt>
                <c:pt idx="1438">
                  <c:v>1.5319255589437899</c:v>
                </c:pt>
                <c:pt idx="1439">
                  <c:v>1.5314732788261201</c:v>
                </c:pt>
                <c:pt idx="1440">
                  <c:v>1.5305502912347999</c:v>
                </c:pt>
                <c:pt idx="1441">
                  <c:v>1.52937497507147</c:v>
                </c:pt>
                <c:pt idx="1442">
                  <c:v>1.52771653429483</c:v>
                </c:pt>
                <c:pt idx="1443">
                  <c:v>1.52642925033985</c:v>
                </c:pt>
                <c:pt idx="1444">
                  <c:v>1.5256980334633401</c:v>
                </c:pt>
                <c:pt idx="1445">
                  <c:v>1.5243775298417901</c:v>
                </c:pt>
                <c:pt idx="1446">
                  <c:v>1.5224182490018401</c:v>
                </c:pt>
                <c:pt idx="1447">
                  <c:v>1.52066104227938</c:v>
                </c:pt>
                <c:pt idx="1448">
                  <c:v>1.51846387260236</c:v>
                </c:pt>
                <c:pt idx="1449">
                  <c:v>1.5173858773520099</c:v>
                </c:pt>
                <c:pt idx="1450">
                  <c:v>1.5162251635711099</c:v>
                </c:pt>
                <c:pt idx="1451">
                  <c:v>1.51539591833146</c:v>
                </c:pt>
                <c:pt idx="1452">
                  <c:v>1.5135901485961301</c:v>
                </c:pt>
                <c:pt idx="1453">
                  <c:v>1.5119507860699599</c:v>
                </c:pt>
                <c:pt idx="1454">
                  <c:v>1.51000377656064</c:v>
                </c:pt>
                <c:pt idx="1455">
                  <c:v>1.50822938613166</c:v>
                </c:pt>
                <c:pt idx="1456">
                  <c:v>1.5073225000503101</c:v>
                </c:pt>
                <c:pt idx="1457">
                  <c:v>1.5052346135818</c:v>
                </c:pt>
                <c:pt idx="1458">
                  <c:v>1.50266948339731</c:v>
                </c:pt>
                <c:pt idx="1459">
                  <c:v>1.5008373159225801</c:v>
                </c:pt>
                <c:pt idx="1460">
                  <c:v>1.49893149239845</c:v>
                </c:pt>
                <c:pt idx="1461">
                  <c:v>1.49712193743134</c:v>
                </c:pt>
                <c:pt idx="1462">
                  <c:v>1.49594509978263</c:v>
                </c:pt>
                <c:pt idx="1463">
                  <c:v>1.4940503371498099</c:v>
                </c:pt>
                <c:pt idx="1464">
                  <c:v>1.49161476178213</c:v>
                </c:pt>
                <c:pt idx="1465">
                  <c:v>1.4904383466831801</c:v>
                </c:pt>
                <c:pt idx="1466">
                  <c:v>1.4888090085769099</c:v>
                </c:pt>
                <c:pt idx="1467">
                  <c:v>1.4861808660570901</c:v>
                </c:pt>
                <c:pt idx="1468">
                  <c:v>1.4836523062218701</c:v>
                </c:pt>
                <c:pt idx="1469">
                  <c:v>1.48173783962364</c:v>
                </c:pt>
                <c:pt idx="1470">
                  <c:v>1.4804848892116</c:v>
                </c:pt>
                <c:pt idx="1471">
                  <c:v>1.47815537678776</c:v>
                </c:pt>
                <c:pt idx="1472">
                  <c:v>1.47572423349582</c:v>
                </c:pt>
                <c:pt idx="1473">
                  <c:v>1.4740468418086701</c:v>
                </c:pt>
                <c:pt idx="1474">
                  <c:v>1.47263118253924</c:v>
                </c:pt>
                <c:pt idx="1475">
                  <c:v>1.46964973365644</c:v>
                </c:pt>
                <c:pt idx="1476">
                  <c:v>1.46702225121751</c:v>
                </c:pt>
                <c:pt idx="1477">
                  <c:v>1.4650724729509801</c:v>
                </c:pt>
                <c:pt idx="1478">
                  <c:v>1.4628270805547801</c:v>
                </c:pt>
                <c:pt idx="1479">
                  <c:v>1.4608809825264299</c:v>
                </c:pt>
                <c:pt idx="1480">
                  <c:v>1.4584164428136701</c:v>
                </c:pt>
                <c:pt idx="1481">
                  <c:v>1.45607861223859</c:v>
                </c:pt>
                <c:pt idx="1482">
                  <c:v>1.45378938442337</c:v>
                </c:pt>
                <c:pt idx="1483">
                  <c:v>1.45152766377767</c:v>
                </c:pt>
                <c:pt idx="1484">
                  <c:v>1.44887616692629</c:v>
                </c:pt>
                <c:pt idx="1485">
                  <c:v>1.4466995440927499</c:v>
                </c:pt>
                <c:pt idx="1486">
                  <c:v>1.44445469521218</c:v>
                </c:pt>
                <c:pt idx="1487">
                  <c:v>1.44147524338383</c:v>
                </c:pt>
                <c:pt idx="1488">
                  <c:v>1.43951856634282</c:v>
                </c:pt>
                <c:pt idx="1489">
                  <c:v>1.43662332008589</c:v>
                </c:pt>
                <c:pt idx="1490">
                  <c:v>1.4342893287823899</c:v>
                </c:pt>
                <c:pt idx="1491">
                  <c:v>1.43072532471618</c:v>
                </c:pt>
                <c:pt idx="1492">
                  <c:v>1.42774829810816</c:v>
                </c:pt>
                <c:pt idx="1493">
                  <c:v>1.42505093207894</c:v>
                </c:pt>
                <c:pt idx="1494">
                  <c:v>1.4219848564486599</c:v>
                </c:pt>
                <c:pt idx="1495">
                  <c:v>1.41874350490981</c:v>
                </c:pt>
                <c:pt idx="1496">
                  <c:v>1.41683379543204</c:v>
                </c:pt>
                <c:pt idx="1497">
                  <c:v>1.41452762591877</c:v>
                </c:pt>
                <c:pt idx="1498">
                  <c:v>1.41250185956372</c:v>
                </c:pt>
                <c:pt idx="1499">
                  <c:v>1.4096140059370099</c:v>
                </c:pt>
                <c:pt idx="1500">
                  <c:v>1.40678574931193</c:v>
                </c:pt>
                <c:pt idx="1501">
                  <c:v>1.40380327586979</c:v>
                </c:pt>
                <c:pt idx="1502">
                  <c:v>1.40095125452505</c:v>
                </c:pt>
                <c:pt idx="1503">
                  <c:v>1.3983136581437601</c:v>
                </c:pt>
                <c:pt idx="1504">
                  <c:v>1.39573274896002</c:v>
                </c:pt>
                <c:pt idx="1505">
                  <c:v>1.3932622315479199</c:v>
                </c:pt>
                <c:pt idx="1506">
                  <c:v>1.39052400247481</c:v>
                </c:pt>
                <c:pt idx="1507">
                  <c:v>1.38712999052126</c:v>
                </c:pt>
                <c:pt idx="1508">
                  <c:v>1.3848203407926201</c:v>
                </c:pt>
                <c:pt idx="1509">
                  <c:v>1.3816297402022399</c:v>
                </c:pt>
                <c:pt idx="1510">
                  <c:v>1.3789742569758701</c:v>
                </c:pt>
                <c:pt idx="1511">
                  <c:v>1.37554124760128</c:v>
                </c:pt>
                <c:pt idx="1512">
                  <c:v>1.37272007317105</c:v>
                </c:pt>
                <c:pt idx="1513">
                  <c:v>1.3699109134721299</c:v>
                </c:pt>
                <c:pt idx="1514">
                  <c:v>1.36685423832251</c:v>
                </c:pt>
                <c:pt idx="1515">
                  <c:v>1.36448208431312</c:v>
                </c:pt>
                <c:pt idx="1516">
                  <c:v>1.3615465041741901</c:v>
                </c:pt>
                <c:pt idx="1517">
                  <c:v>1.3576477135104299</c:v>
                </c:pt>
                <c:pt idx="1518">
                  <c:v>1.3548803033038099</c:v>
                </c:pt>
                <c:pt idx="1519">
                  <c:v>1.3515739185912099</c:v>
                </c:pt>
                <c:pt idx="1520">
                  <c:v>1.3481632690208301</c:v>
                </c:pt>
                <c:pt idx="1521">
                  <c:v>1.345093433705</c:v>
                </c:pt>
                <c:pt idx="1522">
                  <c:v>1.3413625765558299</c:v>
                </c:pt>
                <c:pt idx="1523">
                  <c:v>1.3383614372181201</c:v>
                </c:pt>
                <c:pt idx="1524">
                  <c:v>1.3352337241858201</c:v>
                </c:pt>
                <c:pt idx="1525">
                  <c:v>1.3322423814827999</c:v>
                </c:pt>
                <c:pt idx="1526">
                  <c:v>1.3290638325425499</c:v>
                </c:pt>
                <c:pt idx="1527">
                  <c:v>1.3255626708338799</c:v>
                </c:pt>
                <c:pt idx="1528">
                  <c:v>1.3219911832687301</c:v>
                </c:pt>
                <c:pt idx="1529">
                  <c:v>1.3188668128754499</c:v>
                </c:pt>
                <c:pt idx="1530">
                  <c:v>1.31502637410651</c:v>
                </c:pt>
                <c:pt idx="1531">
                  <c:v>1.3117156755508601</c:v>
                </c:pt>
                <c:pt idx="1532">
                  <c:v>1.3091848218223801</c:v>
                </c:pt>
                <c:pt idx="1533">
                  <c:v>1.30540649425174</c:v>
                </c:pt>
                <c:pt idx="1534">
                  <c:v>1.3016042743312899</c:v>
                </c:pt>
                <c:pt idx="1535">
                  <c:v>1.2987256820005</c:v>
                </c:pt>
                <c:pt idx="1536">
                  <c:v>1.2951383858256</c:v>
                </c:pt>
                <c:pt idx="1537">
                  <c:v>1.2912289128536101</c:v>
                </c:pt>
                <c:pt idx="1538">
                  <c:v>1.28714935455826</c:v>
                </c:pt>
                <c:pt idx="1539">
                  <c:v>1.2837220550120301</c:v>
                </c:pt>
                <c:pt idx="1540">
                  <c:v>1.28136157839515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B-470C-9368-50F298F960FB}"/>
            </c:ext>
          </c:extLst>
        </c:ser>
        <c:ser>
          <c:idx val="1"/>
          <c:order val="1"/>
          <c:tx>
            <c:strRef>
              <c:f>Chronoamperometries!$C$1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Chronoamperometries!$A$2:$A$1543</c:f>
              <c:numCache>
                <c:formatCode>General</c:formatCode>
                <c:ptCount val="1542"/>
                <c:pt idx="0">
                  <c:v>9.0287255227677998E-2</c:v>
                </c:pt>
                <c:pt idx="1">
                  <c:v>9.7231701902859E-2</c:v>
                </c:pt>
                <c:pt idx="2">
                  <c:v>0.104176148578041</c:v>
                </c:pt>
                <c:pt idx="3">
                  <c:v>0.111120595253222</c:v>
                </c:pt>
                <c:pt idx="4">
                  <c:v>0.118065041928404</c:v>
                </c:pt>
                <c:pt idx="5">
                  <c:v>0.12500948860358599</c:v>
                </c:pt>
                <c:pt idx="6">
                  <c:v>0.131953935278767</c:v>
                </c:pt>
                <c:pt idx="7">
                  <c:v>0.13889838195394799</c:v>
                </c:pt>
                <c:pt idx="8">
                  <c:v>0.14584282862913001</c:v>
                </c:pt>
                <c:pt idx="9">
                  <c:v>0.15278727530431099</c:v>
                </c:pt>
                <c:pt idx="10">
                  <c:v>0.15973172197949301</c:v>
                </c:pt>
                <c:pt idx="11">
                  <c:v>0.166676168654674</c:v>
                </c:pt>
                <c:pt idx="12">
                  <c:v>0.17362061532985601</c:v>
                </c:pt>
                <c:pt idx="13">
                  <c:v>0.180565062005037</c:v>
                </c:pt>
                <c:pt idx="14">
                  <c:v>0.18750950868021901</c:v>
                </c:pt>
                <c:pt idx="15">
                  <c:v>0.1944539553554</c:v>
                </c:pt>
                <c:pt idx="16">
                  <c:v>0.20139840203058201</c:v>
                </c:pt>
                <c:pt idx="17">
                  <c:v>0.208342848705763</c:v>
                </c:pt>
                <c:pt idx="18">
                  <c:v>0.21528729538094499</c:v>
                </c:pt>
                <c:pt idx="19">
                  <c:v>0.222231742056126</c:v>
                </c:pt>
                <c:pt idx="20">
                  <c:v>0.22917618873130799</c:v>
                </c:pt>
                <c:pt idx="21">
                  <c:v>0.236120635406489</c:v>
                </c:pt>
                <c:pt idx="22">
                  <c:v>0.24306508208167099</c:v>
                </c:pt>
                <c:pt idx="23">
                  <c:v>0.25000952875685201</c:v>
                </c:pt>
                <c:pt idx="24">
                  <c:v>0.25695397543203402</c:v>
                </c:pt>
                <c:pt idx="25">
                  <c:v>0.26389842210721498</c:v>
                </c:pt>
                <c:pt idx="26">
                  <c:v>0.27084286878239699</c:v>
                </c:pt>
                <c:pt idx="27">
                  <c:v>0.27778731545757801</c:v>
                </c:pt>
                <c:pt idx="28">
                  <c:v>0.28473176213276002</c:v>
                </c:pt>
                <c:pt idx="29">
                  <c:v>0.29167620880794098</c:v>
                </c:pt>
                <c:pt idx="30">
                  <c:v>0.298620655483123</c:v>
                </c:pt>
                <c:pt idx="31">
                  <c:v>0.30556510215830401</c:v>
                </c:pt>
                <c:pt idx="32">
                  <c:v>0.31250954883348597</c:v>
                </c:pt>
                <c:pt idx="33">
                  <c:v>0.31945399550866699</c:v>
                </c:pt>
                <c:pt idx="34">
                  <c:v>0.326398442183849</c:v>
                </c:pt>
                <c:pt idx="35">
                  <c:v>0.33334288885903002</c:v>
                </c:pt>
                <c:pt idx="36">
                  <c:v>0.34028733553421198</c:v>
                </c:pt>
                <c:pt idx="37">
                  <c:v>0.34723178220939299</c:v>
                </c:pt>
                <c:pt idx="38">
                  <c:v>0.35417622888457501</c:v>
                </c:pt>
                <c:pt idx="39">
                  <c:v>0.36112067555975602</c:v>
                </c:pt>
                <c:pt idx="40">
                  <c:v>0.36806512223493798</c:v>
                </c:pt>
                <c:pt idx="41">
                  <c:v>0.375009568910119</c:v>
                </c:pt>
                <c:pt idx="42">
                  <c:v>0.38195401562294701</c:v>
                </c:pt>
                <c:pt idx="43">
                  <c:v>0.38889846008032602</c:v>
                </c:pt>
                <c:pt idx="44">
                  <c:v>0.39584290453770599</c:v>
                </c:pt>
                <c:pt idx="45">
                  <c:v>0.402787348995085</c:v>
                </c:pt>
                <c:pt idx="46">
                  <c:v>0.40973179345246502</c:v>
                </c:pt>
                <c:pt idx="47">
                  <c:v>0.41667623790984398</c:v>
                </c:pt>
                <c:pt idx="48">
                  <c:v>0.423620682367224</c:v>
                </c:pt>
                <c:pt idx="49">
                  <c:v>0.43056512682460302</c:v>
                </c:pt>
                <c:pt idx="50">
                  <c:v>0.43750957128198298</c:v>
                </c:pt>
                <c:pt idx="51">
                  <c:v>0.444454015739362</c:v>
                </c:pt>
                <c:pt idx="52">
                  <c:v>0.45139846019674201</c:v>
                </c:pt>
                <c:pt idx="53">
                  <c:v>0.45834290465412098</c:v>
                </c:pt>
                <c:pt idx="54">
                  <c:v>0.46528734911149999</c:v>
                </c:pt>
                <c:pt idx="55">
                  <c:v>0.47223179356888001</c:v>
                </c:pt>
                <c:pt idx="56">
                  <c:v>0.47917623802625903</c:v>
                </c:pt>
                <c:pt idx="57">
                  <c:v>0.48612068248363899</c:v>
                </c:pt>
                <c:pt idx="58">
                  <c:v>0.49306512694101801</c:v>
                </c:pt>
                <c:pt idx="59">
                  <c:v>0.50000957139839797</c:v>
                </c:pt>
                <c:pt idx="60">
                  <c:v>0.50695401585577704</c:v>
                </c:pt>
                <c:pt idx="61">
                  <c:v>0.513898460313157</c:v>
                </c:pt>
                <c:pt idx="62">
                  <c:v>0.52084290477053796</c:v>
                </c:pt>
                <c:pt idx="63">
                  <c:v>0.52778734922791704</c:v>
                </c:pt>
                <c:pt idx="64">
                  <c:v>0.534731793685297</c:v>
                </c:pt>
                <c:pt idx="65">
                  <c:v>0.54167623814267596</c:v>
                </c:pt>
                <c:pt idx="66">
                  <c:v>0.54862068260005603</c:v>
                </c:pt>
                <c:pt idx="67">
                  <c:v>0.55556512705743499</c:v>
                </c:pt>
                <c:pt idx="68">
                  <c:v>0.56250957151481495</c:v>
                </c:pt>
                <c:pt idx="69">
                  <c:v>0.56945401597219403</c:v>
                </c:pt>
                <c:pt idx="70">
                  <c:v>0.57639846042957399</c:v>
                </c:pt>
                <c:pt idx="71">
                  <c:v>0.58334290488695295</c:v>
                </c:pt>
                <c:pt idx="72">
                  <c:v>0.59028734934433202</c:v>
                </c:pt>
                <c:pt idx="73">
                  <c:v>0.59723179380171199</c:v>
                </c:pt>
                <c:pt idx="74">
                  <c:v>0.60417623825909095</c:v>
                </c:pt>
                <c:pt idx="75">
                  <c:v>0.61112068271647102</c:v>
                </c:pt>
                <c:pt idx="76">
                  <c:v>0.61806512717384998</c:v>
                </c:pt>
                <c:pt idx="77">
                  <c:v>0.62500957163123005</c:v>
                </c:pt>
                <c:pt idx="78">
                  <c:v>0.63195401608860902</c:v>
                </c:pt>
                <c:pt idx="79">
                  <c:v>0.63889846054598898</c:v>
                </c:pt>
                <c:pt idx="80">
                  <c:v>0.64584290500336805</c:v>
                </c:pt>
                <c:pt idx="81">
                  <c:v>0.65278734946074801</c:v>
                </c:pt>
                <c:pt idx="82">
                  <c:v>0.65973179391812697</c:v>
                </c:pt>
                <c:pt idx="83">
                  <c:v>0.66667623837550705</c:v>
                </c:pt>
                <c:pt idx="84">
                  <c:v>0.67362068283288601</c:v>
                </c:pt>
                <c:pt idx="85">
                  <c:v>0.68056512729026597</c:v>
                </c:pt>
                <c:pt idx="86">
                  <c:v>0.68750957174764504</c:v>
                </c:pt>
                <c:pt idx="87">
                  <c:v>0.694454016205025</c:v>
                </c:pt>
                <c:pt idx="88">
                  <c:v>0.70139846066240397</c:v>
                </c:pt>
                <c:pt idx="89">
                  <c:v>0.70834290511978404</c:v>
                </c:pt>
                <c:pt idx="90">
                  <c:v>0.715287349577163</c:v>
                </c:pt>
                <c:pt idx="91">
                  <c:v>0.72223179403454296</c:v>
                </c:pt>
                <c:pt idx="92">
                  <c:v>0.72917623849192204</c:v>
                </c:pt>
                <c:pt idx="93">
                  <c:v>0.736120682949302</c:v>
                </c:pt>
                <c:pt idx="94">
                  <c:v>0.74306512740668096</c:v>
                </c:pt>
                <c:pt idx="95">
                  <c:v>0.75000957186406003</c:v>
                </c:pt>
                <c:pt idx="96">
                  <c:v>0.75695401632143999</c:v>
                </c:pt>
                <c:pt idx="97">
                  <c:v>0.76389846181078902</c:v>
                </c:pt>
                <c:pt idx="98">
                  <c:v>0.770842906927661</c:v>
                </c:pt>
                <c:pt idx="99">
                  <c:v>0.77778735204385596</c:v>
                </c:pt>
                <c:pt idx="100">
                  <c:v>0.78473179716068198</c:v>
                </c:pt>
                <c:pt idx="101">
                  <c:v>0.79167624227741995</c:v>
                </c:pt>
                <c:pt idx="102">
                  <c:v>0.79862068739362502</c:v>
                </c:pt>
                <c:pt idx="103">
                  <c:v>0.80556513251059103</c:v>
                </c:pt>
                <c:pt idx="104">
                  <c:v>0.81250957762717302</c:v>
                </c:pt>
                <c:pt idx="105">
                  <c:v>0.81945402274349499</c:v>
                </c:pt>
                <c:pt idx="106">
                  <c:v>0.82639846786050097</c:v>
                </c:pt>
                <c:pt idx="107">
                  <c:v>0.83334291297693097</c:v>
                </c:pt>
                <c:pt idx="108">
                  <c:v>0.84028735809339405</c:v>
                </c:pt>
                <c:pt idx="109">
                  <c:v>0.84723180321040203</c:v>
                </c:pt>
                <c:pt idx="110">
                  <c:v>0.85417624832669004</c:v>
                </c:pt>
                <c:pt idx="111">
                  <c:v>0.86112069344329201</c:v>
                </c:pt>
                <c:pt idx="112">
                  <c:v>0.86806513856026202</c:v>
                </c:pt>
                <c:pt idx="113">
                  <c:v>0.87500958367645898</c:v>
                </c:pt>
                <c:pt idx="114">
                  <c:v>0.88195402879318596</c:v>
                </c:pt>
                <c:pt idx="115">
                  <c:v>0.88889847391001497</c:v>
                </c:pt>
                <c:pt idx="116">
                  <c:v>0.89584291902622004</c:v>
                </c:pt>
                <c:pt idx="117">
                  <c:v>0.90278736414308403</c:v>
                </c:pt>
                <c:pt idx="118">
                  <c:v>0.90973180925977304</c:v>
                </c:pt>
                <c:pt idx="119">
                  <c:v>0.91667625437598899</c:v>
                </c:pt>
                <c:pt idx="120">
                  <c:v>0.92362069949298797</c:v>
                </c:pt>
                <c:pt idx="121">
                  <c:v>0.930565144609526</c:v>
                </c:pt>
                <c:pt idx="122">
                  <c:v>0.93750958972588605</c:v>
                </c:pt>
                <c:pt idx="123">
                  <c:v>0.94445403484289503</c:v>
                </c:pt>
                <c:pt idx="124">
                  <c:v>0.95139847995927895</c:v>
                </c:pt>
                <c:pt idx="125">
                  <c:v>0.958342925075785</c:v>
                </c:pt>
                <c:pt idx="126">
                  <c:v>0.96528737019279898</c:v>
                </c:pt>
                <c:pt idx="127">
                  <c:v>0.97223181530904301</c:v>
                </c:pt>
                <c:pt idx="128">
                  <c:v>0.97917626042568395</c:v>
                </c:pt>
                <c:pt idx="129">
                  <c:v>0.98612070554261499</c:v>
                </c:pt>
                <c:pt idx="130">
                  <c:v>0.99306515065880996</c:v>
                </c:pt>
                <c:pt idx="131">
                  <c:v>1.0000095957755699</c:v>
                </c:pt>
                <c:pt idx="132">
                  <c:v>1.0069540408923601</c:v>
                </c:pt>
                <c:pt idx="133">
                  <c:v>1.01389848600857</c:v>
                </c:pt>
                <c:pt idx="134">
                  <c:v>1.0208429311254801</c:v>
                </c:pt>
                <c:pt idx="135">
                  <c:v>1.0277873762421199</c:v>
                </c:pt>
                <c:pt idx="136">
                  <c:v>1.03473182135839</c:v>
                </c:pt>
                <c:pt idx="137">
                  <c:v>1.04167626647539</c:v>
                </c:pt>
                <c:pt idx="138">
                  <c:v>1.04862071159188</c:v>
                </c:pt>
                <c:pt idx="139">
                  <c:v>1.05556515670828</c:v>
                </c:pt>
                <c:pt idx="140">
                  <c:v>1.06250960182529</c:v>
                </c:pt>
                <c:pt idx="141">
                  <c:v>1.06945404694164</c:v>
                </c:pt>
                <c:pt idx="142">
                  <c:v>1.0763984920581799</c:v>
                </c:pt>
                <c:pt idx="143">
                  <c:v>1.0833429371751999</c:v>
                </c:pt>
                <c:pt idx="144">
                  <c:v>1.0902873822914101</c:v>
                </c:pt>
                <c:pt idx="145">
                  <c:v>1.0972318274080799</c:v>
                </c:pt>
                <c:pt idx="146">
                  <c:v>1.10417627252497</c:v>
                </c:pt>
                <c:pt idx="147">
                  <c:v>1.1111207176411699</c:v>
                </c:pt>
                <c:pt idx="148">
                  <c:v>1.1180651627579801</c:v>
                </c:pt>
                <c:pt idx="149">
                  <c:v>1.12500960787472</c:v>
                </c:pt>
                <c:pt idx="150">
                  <c:v>1.13195405299094</c:v>
                </c:pt>
                <c:pt idx="151">
                  <c:v>1.13889849810788</c:v>
                </c:pt>
                <c:pt idx="152">
                  <c:v>1.1458429432244699</c:v>
                </c:pt>
                <c:pt idx="153">
                  <c:v>1.15278738834078</c:v>
                </c:pt>
                <c:pt idx="154">
                  <c:v>1.15973183345778</c:v>
                </c:pt>
                <c:pt idx="155">
                  <c:v>1.16667627857423</c:v>
                </c:pt>
                <c:pt idx="156">
                  <c:v>1.1736207236906699</c:v>
                </c:pt>
                <c:pt idx="157">
                  <c:v>1.1805651688076899</c:v>
                </c:pt>
                <c:pt idx="158">
                  <c:v>1.187509613924</c:v>
                </c:pt>
                <c:pt idx="159">
                  <c:v>1.1944540590405599</c:v>
                </c:pt>
                <c:pt idx="160">
                  <c:v>1.2013985041575601</c:v>
                </c:pt>
                <c:pt idx="161">
                  <c:v>1.2083429492737601</c:v>
                </c:pt>
                <c:pt idx="162">
                  <c:v>1.2152873943904601</c:v>
                </c:pt>
                <c:pt idx="163">
                  <c:v>1.22223183950731</c:v>
                </c:pt>
                <c:pt idx="164">
                  <c:v>1.2291762846235199</c:v>
                </c:pt>
                <c:pt idx="165">
                  <c:v>1.23612072974037</c:v>
                </c:pt>
                <c:pt idx="166">
                  <c:v>1.24306517485707</c:v>
                </c:pt>
                <c:pt idx="167">
                  <c:v>1.25000961997328</c:v>
                </c:pt>
                <c:pt idx="168">
                  <c:v>1.25695406509027</c:v>
                </c:pt>
                <c:pt idx="169">
                  <c:v>1.2638985102068201</c:v>
                </c:pt>
                <c:pt idx="170">
                  <c:v>1.2708429553231699</c:v>
                </c:pt>
                <c:pt idx="171">
                  <c:v>1.2777874004401799</c:v>
                </c:pt>
                <c:pt idx="172">
                  <c:v>1.2847318455565899</c:v>
                </c:pt>
                <c:pt idx="173">
                  <c:v>1.2916762906730599</c:v>
                </c:pt>
                <c:pt idx="174">
                  <c:v>1.2986207357900801</c:v>
                </c:pt>
                <c:pt idx="175">
                  <c:v>1.30556518090635</c:v>
                </c:pt>
                <c:pt idx="176">
                  <c:v>1.3125096260229601</c:v>
                </c:pt>
                <c:pt idx="177">
                  <c:v>1.3194540711399101</c:v>
                </c:pt>
                <c:pt idx="178">
                  <c:v>1.32639851625611</c:v>
                </c:pt>
                <c:pt idx="179">
                  <c:v>1.33334296137286</c:v>
                </c:pt>
                <c:pt idx="180">
                  <c:v>1.3402874064896699</c:v>
                </c:pt>
                <c:pt idx="181">
                  <c:v>1.3472318516058801</c:v>
                </c:pt>
                <c:pt idx="182">
                  <c:v>1.35417629672277</c:v>
                </c:pt>
                <c:pt idx="183">
                  <c:v>1.36112074183942</c:v>
                </c:pt>
                <c:pt idx="184">
                  <c:v>1.3680651869556599</c:v>
                </c:pt>
                <c:pt idx="185">
                  <c:v>1.3750096320726799</c:v>
                </c:pt>
                <c:pt idx="186">
                  <c:v>1.3819540771891801</c:v>
                </c:pt>
                <c:pt idx="187">
                  <c:v>1.3888985223055601</c:v>
                </c:pt>
                <c:pt idx="188">
                  <c:v>1.3958429674225801</c:v>
                </c:pt>
                <c:pt idx="189">
                  <c:v>1.4027874125389399</c:v>
                </c:pt>
                <c:pt idx="190">
                  <c:v>1.4097318576554501</c:v>
                </c:pt>
                <c:pt idx="191">
                  <c:v>1.41667630277248</c:v>
                </c:pt>
                <c:pt idx="192">
                  <c:v>1.42362074788871</c:v>
                </c:pt>
                <c:pt idx="193">
                  <c:v>1.43056519300535</c:v>
                </c:pt>
                <c:pt idx="194">
                  <c:v>1.4375096381222501</c:v>
                </c:pt>
                <c:pt idx="195">
                  <c:v>1.44445408323847</c:v>
                </c:pt>
                <c:pt idx="196">
                  <c:v>1.45139852835525</c:v>
                </c:pt>
                <c:pt idx="197">
                  <c:v>1.4583429734720099</c:v>
                </c:pt>
                <c:pt idx="198">
                  <c:v>1.4652874185882301</c:v>
                </c:pt>
                <c:pt idx="199">
                  <c:v>1.4722318637051599</c:v>
                </c:pt>
                <c:pt idx="200">
                  <c:v>1.47917630882176</c:v>
                </c:pt>
                <c:pt idx="201">
                  <c:v>1.4861207539380501</c:v>
                </c:pt>
                <c:pt idx="202">
                  <c:v>1.4930651990550701</c:v>
                </c:pt>
                <c:pt idx="203">
                  <c:v>1.50000964417153</c:v>
                </c:pt>
                <c:pt idx="204">
                  <c:v>1.50695408928795</c:v>
                </c:pt>
                <c:pt idx="205">
                  <c:v>1.51389853440497</c:v>
                </c:pt>
                <c:pt idx="206">
                  <c:v>1.5208429810172901</c:v>
                </c:pt>
                <c:pt idx="207">
                  <c:v>1.52778742654828</c:v>
                </c:pt>
                <c:pt idx="208">
                  <c:v>1.53473187207926</c:v>
                </c:pt>
                <c:pt idx="209">
                  <c:v>1.5416763176102499</c:v>
                </c:pt>
                <c:pt idx="210">
                  <c:v>1.5486207631412301</c:v>
                </c:pt>
                <c:pt idx="211">
                  <c:v>1.55556520867222</c:v>
                </c:pt>
                <c:pt idx="212">
                  <c:v>1.5625096542032</c:v>
                </c:pt>
                <c:pt idx="213">
                  <c:v>1.5694540997341899</c:v>
                </c:pt>
                <c:pt idx="214">
                  <c:v>1.5763985452651801</c:v>
                </c:pt>
                <c:pt idx="215">
                  <c:v>1.58334299079616</c:v>
                </c:pt>
                <c:pt idx="216">
                  <c:v>1.59028743632715</c:v>
                </c:pt>
                <c:pt idx="217">
                  <c:v>1.5972318818581299</c:v>
                </c:pt>
                <c:pt idx="218">
                  <c:v>1.6041763273891101</c:v>
                </c:pt>
                <c:pt idx="219">
                  <c:v>1.6111207729201</c:v>
                </c:pt>
                <c:pt idx="220">
                  <c:v>1.61806521845108</c:v>
                </c:pt>
                <c:pt idx="221">
                  <c:v>1.6250096639820699</c:v>
                </c:pt>
                <c:pt idx="222">
                  <c:v>1.6319541095130501</c:v>
                </c:pt>
                <c:pt idx="223">
                  <c:v>1.63889855504404</c:v>
                </c:pt>
                <c:pt idx="224">
                  <c:v>1.64584300057502</c:v>
                </c:pt>
                <c:pt idx="225">
                  <c:v>1.6527874461060099</c:v>
                </c:pt>
                <c:pt idx="226">
                  <c:v>1.6597318916369901</c:v>
                </c:pt>
                <c:pt idx="227">
                  <c:v>1.66667633716798</c:v>
                </c:pt>
                <c:pt idx="228">
                  <c:v>1.67362078269896</c:v>
                </c:pt>
                <c:pt idx="229">
                  <c:v>1.6805652282299399</c:v>
                </c:pt>
                <c:pt idx="230">
                  <c:v>1.6875096737609301</c:v>
                </c:pt>
                <c:pt idx="231">
                  <c:v>1.69445411929192</c:v>
                </c:pt>
                <c:pt idx="232">
                  <c:v>1.7013985648229</c:v>
                </c:pt>
                <c:pt idx="233">
                  <c:v>1.7083430103538799</c:v>
                </c:pt>
                <c:pt idx="234">
                  <c:v>1.7152874558848701</c:v>
                </c:pt>
                <c:pt idx="235">
                  <c:v>1.72223190141585</c:v>
                </c:pt>
                <c:pt idx="236">
                  <c:v>1.72917634694684</c:v>
                </c:pt>
                <c:pt idx="237">
                  <c:v>1.7361207924778199</c:v>
                </c:pt>
                <c:pt idx="238">
                  <c:v>1.7430652380088001</c:v>
                </c:pt>
                <c:pt idx="239">
                  <c:v>1.75000968353979</c:v>
                </c:pt>
                <c:pt idx="240">
                  <c:v>1.75695412907077</c:v>
                </c:pt>
                <c:pt idx="241">
                  <c:v>1.7638985746017599</c:v>
                </c:pt>
                <c:pt idx="242">
                  <c:v>1.7708430201327401</c:v>
                </c:pt>
                <c:pt idx="243">
                  <c:v>1.77778746566373</c:v>
                </c:pt>
                <c:pt idx="244">
                  <c:v>1.78473191119472</c:v>
                </c:pt>
                <c:pt idx="245">
                  <c:v>1.7916763567256999</c:v>
                </c:pt>
                <c:pt idx="246">
                  <c:v>1.7986208022566901</c:v>
                </c:pt>
                <c:pt idx="247">
                  <c:v>1.80556524778767</c:v>
                </c:pt>
                <c:pt idx="248">
                  <c:v>1.81250969331866</c:v>
                </c:pt>
                <c:pt idx="249">
                  <c:v>1.8194541388496399</c:v>
                </c:pt>
                <c:pt idx="250">
                  <c:v>1.8263985843806301</c:v>
                </c:pt>
                <c:pt idx="251">
                  <c:v>1.83334302991161</c:v>
                </c:pt>
                <c:pt idx="252">
                  <c:v>1.8402874754426</c:v>
                </c:pt>
                <c:pt idx="253">
                  <c:v>1.8472319209735799</c:v>
                </c:pt>
                <c:pt idx="254">
                  <c:v>1.8541763665045701</c:v>
                </c:pt>
                <c:pt idx="255">
                  <c:v>1.86112081203555</c:v>
                </c:pt>
                <c:pt idx="256">
                  <c:v>1.86806525756654</c:v>
                </c:pt>
                <c:pt idx="257">
                  <c:v>1.8750097030975199</c:v>
                </c:pt>
                <c:pt idx="258">
                  <c:v>1.8819541486285101</c:v>
                </c:pt>
                <c:pt idx="259">
                  <c:v>1.88889859415949</c:v>
                </c:pt>
                <c:pt idx="260">
                  <c:v>1.89584303969047</c:v>
                </c:pt>
                <c:pt idx="261">
                  <c:v>1.9027874852214599</c:v>
                </c:pt>
                <c:pt idx="262">
                  <c:v>1.9097319307524401</c:v>
                </c:pt>
                <c:pt idx="263">
                  <c:v>1.91667637628343</c:v>
                </c:pt>
                <c:pt idx="264">
                  <c:v>1.92362082181441</c:v>
                </c:pt>
                <c:pt idx="265">
                  <c:v>1.9305652673453999</c:v>
                </c:pt>
                <c:pt idx="266">
                  <c:v>1.9375097128763801</c:v>
                </c:pt>
                <c:pt idx="267">
                  <c:v>1.94445415840737</c:v>
                </c:pt>
                <c:pt idx="268">
                  <c:v>1.95139860393835</c:v>
                </c:pt>
                <c:pt idx="269">
                  <c:v>1.9583430494693399</c:v>
                </c:pt>
                <c:pt idx="270">
                  <c:v>1.9652874950003201</c:v>
                </c:pt>
                <c:pt idx="271">
                  <c:v>1.97223194053131</c:v>
                </c:pt>
                <c:pt idx="272">
                  <c:v>1.97917638606229</c:v>
                </c:pt>
                <c:pt idx="273">
                  <c:v>1.9861208315932799</c:v>
                </c:pt>
                <c:pt idx="274">
                  <c:v>1.9930652771242601</c:v>
                </c:pt>
                <c:pt idx="275">
                  <c:v>2.0000097226552498</c:v>
                </c:pt>
                <c:pt idx="276">
                  <c:v>2.0069541681862302</c:v>
                </c:pt>
                <c:pt idx="277">
                  <c:v>2.0138986137172101</c:v>
                </c:pt>
                <c:pt idx="278">
                  <c:v>2.0208430592481998</c:v>
                </c:pt>
                <c:pt idx="279">
                  <c:v>2.0277875047791798</c:v>
                </c:pt>
                <c:pt idx="280">
                  <c:v>2.0347319503101602</c:v>
                </c:pt>
                <c:pt idx="281">
                  <c:v>2.0416763958411499</c:v>
                </c:pt>
                <c:pt idx="282">
                  <c:v>2.0486208413721299</c:v>
                </c:pt>
                <c:pt idx="283">
                  <c:v>2.0555652869031098</c:v>
                </c:pt>
                <c:pt idx="284">
                  <c:v>2.0625097324341</c:v>
                </c:pt>
                <c:pt idx="285">
                  <c:v>2.0694541779650799</c:v>
                </c:pt>
                <c:pt idx="286">
                  <c:v>2.0763986234960599</c:v>
                </c:pt>
                <c:pt idx="287">
                  <c:v>2.08334306902705</c:v>
                </c:pt>
                <c:pt idx="288">
                  <c:v>2.09028751455803</c:v>
                </c:pt>
                <c:pt idx="289">
                  <c:v>2.0972319600890099</c:v>
                </c:pt>
                <c:pt idx="290">
                  <c:v>2.1041764056200001</c:v>
                </c:pt>
                <c:pt idx="291">
                  <c:v>2.11112085115098</c:v>
                </c:pt>
                <c:pt idx="292">
                  <c:v>2.1180652966819702</c:v>
                </c:pt>
                <c:pt idx="293">
                  <c:v>2.1250097422129501</c:v>
                </c:pt>
                <c:pt idx="294">
                  <c:v>2.1319541877439399</c:v>
                </c:pt>
                <c:pt idx="295">
                  <c:v>2.1388986332749198</c:v>
                </c:pt>
                <c:pt idx="296">
                  <c:v>2.1458430788059002</c:v>
                </c:pt>
                <c:pt idx="297">
                  <c:v>2.1527875243368899</c:v>
                </c:pt>
                <c:pt idx="298">
                  <c:v>2.1597319698678699</c:v>
                </c:pt>
                <c:pt idx="299">
                  <c:v>2.16667641539886</c:v>
                </c:pt>
                <c:pt idx="300">
                  <c:v>2.17362086092984</c:v>
                </c:pt>
                <c:pt idx="301">
                  <c:v>2.1805653064608301</c:v>
                </c:pt>
                <c:pt idx="302">
                  <c:v>2.1875097519918101</c:v>
                </c:pt>
                <c:pt idx="303">
                  <c:v>2.19445419752279</c:v>
                </c:pt>
                <c:pt idx="304">
                  <c:v>2.2013986430537802</c:v>
                </c:pt>
                <c:pt idx="305">
                  <c:v>2.2083430885847601</c:v>
                </c:pt>
                <c:pt idx="306">
                  <c:v>2.2152875341157401</c:v>
                </c:pt>
                <c:pt idx="307">
                  <c:v>2.2222319796467298</c:v>
                </c:pt>
                <c:pt idx="308">
                  <c:v>2.22917642517772</c:v>
                </c:pt>
                <c:pt idx="309">
                  <c:v>2.2361208707086999</c:v>
                </c:pt>
                <c:pt idx="310">
                  <c:v>2.2430653162396901</c:v>
                </c:pt>
                <c:pt idx="311">
                  <c:v>2.25000976177067</c:v>
                </c:pt>
                <c:pt idx="312">
                  <c:v>2.25695420730165</c:v>
                </c:pt>
                <c:pt idx="313">
                  <c:v>2.2638986528326401</c:v>
                </c:pt>
                <c:pt idx="314">
                  <c:v>2.2708430983636201</c:v>
                </c:pt>
                <c:pt idx="315">
                  <c:v>2.2777875438946</c:v>
                </c:pt>
                <c:pt idx="316">
                  <c:v>2.2847319894255902</c:v>
                </c:pt>
                <c:pt idx="317">
                  <c:v>2.2916764349565701</c:v>
                </c:pt>
                <c:pt idx="318">
                  <c:v>2.2986208804875599</c:v>
                </c:pt>
                <c:pt idx="319">
                  <c:v>2.3055653260185398</c:v>
                </c:pt>
                <c:pt idx="320">
                  <c:v>2.31250977154953</c:v>
                </c:pt>
                <c:pt idx="321">
                  <c:v>2.3194542170805099</c:v>
                </c:pt>
                <c:pt idx="322">
                  <c:v>2.3263986626114899</c:v>
                </c:pt>
                <c:pt idx="323">
                  <c:v>2.33334310814248</c:v>
                </c:pt>
                <c:pt idx="324">
                  <c:v>2.34028755367346</c:v>
                </c:pt>
                <c:pt idx="325">
                  <c:v>2.3472319992044501</c:v>
                </c:pt>
                <c:pt idx="326">
                  <c:v>2.3541764447354301</c:v>
                </c:pt>
                <c:pt idx="327">
                  <c:v>2.3611208902664198</c:v>
                </c:pt>
                <c:pt idx="328">
                  <c:v>2.3680653357974002</c:v>
                </c:pt>
                <c:pt idx="329">
                  <c:v>2.3750097813283801</c:v>
                </c:pt>
                <c:pt idx="330">
                  <c:v>2.3819542268593699</c:v>
                </c:pt>
                <c:pt idx="331">
                  <c:v>2.3888986723903498</c:v>
                </c:pt>
                <c:pt idx="332">
                  <c:v>2.39584311792134</c:v>
                </c:pt>
                <c:pt idx="333">
                  <c:v>2.4027875634523199</c:v>
                </c:pt>
                <c:pt idx="334">
                  <c:v>2.4097320089832999</c:v>
                </c:pt>
                <c:pt idx="335">
                  <c:v>2.41667645451429</c:v>
                </c:pt>
                <c:pt idx="336">
                  <c:v>2.42362090004527</c:v>
                </c:pt>
                <c:pt idx="337">
                  <c:v>2.4305653455762601</c:v>
                </c:pt>
                <c:pt idx="338">
                  <c:v>2.4375097911072401</c:v>
                </c:pt>
                <c:pt idx="339">
                  <c:v>2.44445423663822</c:v>
                </c:pt>
                <c:pt idx="340">
                  <c:v>2.4513986821692</c:v>
                </c:pt>
                <c:pt idx="341">
                  <c:v>2.4583431277001901</c:v>
                </c:pt>
                <c:pt idx="342">
                  <c:v>2.4652875732311799</c:v>
                </c:pt>
                <c:pt idx="343">
                  <c:v>2.4722320187621598</c:v>
                </c:pt>
                <c:pt idx="344">
                  <c:v>2.4791764642931402</c:v>
                </c:pt>
                <c:pt idx="345">
                  <c:v>2.4861209098241299</c:v>
                </c:pt>
                <c:pt idx="346">
                  <c:v>2.4930653553551099</c:v>
                </c:pt>
                <c:pt idx="347">
                  <c:v>2.5000098008860898</c:v>
                </c:pt>
                <c:pt idx="348">
                  <c:v>2.50695424641708</c:v>
                </c:pt>
                <c:pt idx="349">
                  <c:v>2.5138986919480599</c:v>
                </c:pt>
                <c:pt idx="350">
                  <c:v>2.5208431374790501</c:v>
                </c:pt>
                <c:pt idx="351">
                  <c:v>2.52778758301003</c:v>
                </c:pt>
                <c:pt idx="352">
                  <c:v>2.53473202854101</c:v>
                </c:pt>
                <c:pt idx="353">
                  <c:v>2.5416764740719899</c:v>
                </c:pt>
                <c:pt idx="354">
                  <c:v>2.5486209196029801</c:v>
                </c:pt>
                <c:pt idx="355">
                  <c:v>2.55556536513396</c:v>
                </c:pt>
                <c:pt idx="356">
                  <c:v>2.5625098106649502</c:v>
                </c:pt>
                <c:pt idx="357">
                  <c:v>2.5694542561959302</c:v>
                </c:pt>
                <c:pt idx="358">
                  <c:v>2.5763987017269199</c:v>
                </c:pt>
                <c:pt idx="359">
                  <c:v>2.5833431472578998</c:v>
                </c:pt>
                <c:pt idx="360">
                  <c:v>2.59028759278889</c:v>
                </c:pt>
                <c:pt idx="361">
                  <c:v>2.5972320383198699</c:v>
                </c:pt>
                <c:pt idx="362">
                  <c:v>2.6041764838508499</c:v>
                </c:pt>
                <c:pt idx="363">
                  <c:v>2.61112092938184</c:v>
                </c:pt>
                <c:pt idx="364">
                  <c:v>2.61806537491282</c:v>
                </c:pt>
                <c:pt idx="365">
                  <c:v>2.6250098204438101</c:v>
                </c:pt>
                <c:pt idx="366">
                  <c:v>2.6319542659747901</c:v>
                </c:pt>
                <c:pt idx="367">
                  <c:v>2.6388987115057798</c:v>
                </c:pt>
                <c:pt idx="368">
                  <c:v>2.6458431570367602</c:v>
                </c:pt>
                <c:pt idx="369">
                  <c:v>2.6527876025677499</c:v>
                </c:pt>
                <c:pt idx="370">
                  <c:v>2.6597320480987299</c:v>
                </c:pt>
                <c:pt idx="371">
                  <c:v>2.66667649362972</c:v>
                </c:pt>
                <c:pt idx="372">
                  <c:v>2.6736209391607</c:v>
                </c:pt>
                <c:pt idx="373">
                  <c:v>2.6805653846916901</c:v>
                </c:pt>
                <c:pt idx="374">
                  <c:v>2.6875098302226799</c:v>
                </c:pt>
                <c:pt idx="375">
                  <c:v>2.6944542757536598</c:v>
                </c:pt>
                <c:pt idx="376">
                  <c:v>2.70139872128465</c:v>
                </c:pt>
                <c:pt idx="377">
                  <c:v>2.7083431668156299</c:v>
                </c:pt>
                <c:pt idx="378">
                  <c:v>2.7152876123466201</c:v>
                </c:pt>
                <c:pt idx="379">
                  <c:v>2.7222320578776</c:v>
                </c:pt>
                <c:pt idx="380">
                  <c:v>2.7291765034085902</c:v>
                </c:pt>
                <c:pt idx="381">
                  <c:v>2.7361209489395701</c:v>
                </c:pt>
                <c:pt idx="382">
                  <c:v>2.7430653944705599</c:v>
                </c:pt>
                <c:pt idx="383">
                  <c:v>2.7500098400015398</c:v>
                </c:pt>
                <c:pt idx="384">
                  <c:v>2.7569542855325202</c:v>
                </c:pt>
                <c:pt idx="385">
                  <c:v>2.7638987310635099</c:v>
                </c:pt>
                <c:pt idx="386">
                  <c:v>2.7708431765944899</c:v>
                </c:pt>
                <c:pt idx="387">
                  <c:v>2.77778762212548</c:v>
                </c:pt>
                <c:pt idx="388">
                  <c:v>2.78473206765646</c:v>
                </c:pt>
                <c:pt idx="389">
                  <c:v>2.7916765131874501</c:v>
                </c:pt>
                <c:pt idx="390">
                  <c:v>2.7986209587184301</c:v>
                </c:pt>
                <c:pt idx="391">
                  <c:v>2.8055654042494198</c:v>
                </c:pt>
                <c:pt idx="392">
                  <c:v>2.8125098497804002</c:v>
                </c:pt>
                <c:pt idx="393">
                  <c:v>2.8194542953113899</c:v>
                </c:pt>
                <c:pt idx="394">
                  <c:v>2.8263987408423699</c:v>
                </c:pt>
                <c:pt idx="395">
                  <c:v>2.83334318637336</c:v>
                </c:pt>
                <c:pt idx="396">
                  <c:v>2.84028763190434</c:v>
                </c:pt>
                <c:pt idx="397">
                  <c:v>2.8472320774353301</c:v>
                </c:pt>
                <c:pt idx="398">
                  <c:v>2.8541765229663101</c:v>
                </c:pt>
                <c:pt idx="399">
                  <c:v>2.86112096849729</c:v>
                </c:pt>
                <c:pt idx="400">
                  <c:v>2.8680654140282802</c:v>
                </c:pt>
                <c:pt idx="401">
                  <c:v>2.8750098595592601</c:v>
                </c:pt>
                <c:pt idx="402">
                  <c:v>2.8819543050902499</c:v>
                </c:pt>
                <c:pt idx="403">
                  <c:v>2.8888987506212298</c:v>
                </c:pt>
                <c:pt idx="404">
                  <c:v>2.89584319615222</c:v>
                </c:pt>
                <c:pt idx="405">
                  <c:v>2.9027876416831999</c:v>
                </c:pt>
                <c:pt idx="406">
                  <c:v>2.9097320872141901</c:v>
                </c:pt>
                <c:pt idx="407">
                  <c:v>2.91667653274517</c:v>
                </c:pt>
                <c:pt idx="408">
                  <c:v>2.9236209782761602</c:v>
                </c:pt>
                <c:pt idx="409">
                  <c:v>2.9305654238071401</c:v>
                </c:pt>
                <c:pt idx="410">
                  <c:v>2.9375098693381299</c:v>
                </c:pt>
                <c:pt idx="411">
                  <c:v>2.9444543148691098</c:v>
                </c:pt>
                <c:pt idx="412">
                  <c:v>2.9513987604001</c:v>
                </c:pt>
                <c:pt idx="413">
                  <c:v>2.9583432059310799</c:v>
                </c:pt>
                <c:pt idx="414">
                  <c:v>2.9652876514620701</c:v>
                </c:pt>
                <c:pt idx="415">
                  <c:v>2.97223209699305</c:v>
                </c:pt>
                <c:pt idx="416">
                  <c:v>2.9791765425240402</c:v>
                </c:pt>
                <c:pt idx="417">
                  <c:v>2.9861209880550201</c:v>
                </c:pt>
                <c:pt idx="418">
                  <c:v>2.9930654335860098</c:v>
                </c:pt>
                <c:pt idx="419">
                  <c:v>3.0000098791169898</c:v>
                </c:pt>
                <c:pt idx="420">
                  <c:v>3.00695432464798</c:v>
                </c:pt>
                <c:pt idx="421">
                  <c:v>3.0138987701789599</c:v>
                </c:pt>
                <c:pt idx="422">
                  <c:v>3.0208432157099501</c:v>
                </c:pt>
                <c:pt idx="423">
                  <c:v>3.02778766124093</c:v>
                </c:pt>
                <c:pt idx="424">
                  <c:v>3.03473210617874</c:v>
                </c:pt>
                <c:pt idx="425">
                  <c:v>3.0416765523936</c:v>
                </c:pt>
                <c:pt idx="426">
                  <c:v>3.04862099860846</c:v>
                </c:pt>
                <c:pt idx="427">
                  <c:v>3.05556544482332</c:v>
                </c:pt>
                <c:pt idx="428">
                  <c:v>3.0625098910381898</c:v>
                </c:pt>
                <c:pt idx="429">
                  <c:v>3.0694543372530498</c:v>
                </c:pt>
                <c:pt idx="430">
                  <c:v>3.0763987834679098</c:v>
                </c:pt>
                <c:pt idx="431">
                  <c:v>3.0833432296827801</c:v>
                </c:pt>
                <c:pt idx="432">
                  <c:v>3.0902876758976401</c:v>
                </c:pt>
                <c:pt idx="433">
                  <c:v>3.0972321221125001</c:v>
                </c:pt>
                <c:pt idx="434">
                  <c:v>3.1041765683273601</c:v>
                </c:pt>
                <c:pt idx="435">
                  <c:v>3.1111210145422299</c:v>
                </c:pt>
                <c:pt idx="436">
                  <c:v>3.1180654607570899</c:v>
                </c:pt>
                <c:pt idx="437">
                  <c:v>3.1250099069719499</c:v>
                </c:pt>
                <c:pt idx="438">
                  <c:v>3.1319543531868099</c:v>
                </c:pt>
                <c:pt idx="439">
                  <c:v>3.1388987994016802</c:v>
                </c:pt>
                <c:pt idx="440">
                  <c:v>3.1458432456165402</c:v>
                </c:pt>
                <c:pt idx="441">
                  <c:v>3.1527876918314002</c:v>
                </c:pt>
                <c:pt idx="442">
                  <c:v>3.15973213804627</c:v>
                </c:pt>
                <c:pt idx="443">
                  <c:v>3.16667658426113</c:v>
                </c:pt>
                <c:pt idx="444">
                  <c:v>3.17362103047599</c:v>
                </c:pt>
                <c:pt idx="445">
                  <c:v>3.18056547669085</c:v>
                </c:pt>
                <c:pt idx="446">
                  <c:v>3.1875099229057202</c:v>
                </c:pt>
                <c:pt idx="447">
                  <c:v>3.1944543691205798</c:v>
                </c:pt>
                <c:pt idx="448">
                  <c:v>3.2013988153354398</c:v>
                </c:pt>
                <c:pt idx="449">
                  <c:v>3.20834326155031</c:v>
                </c:pt>
                <c:pt idx="450">
                  <c:v>3.21528770776517</c:v>
                </c:pt>
                <c:pt idx="451">
                  <c:v>3.22223215398003</c:v>
                </c:pt>
                <c:pt idx="452">
                  <c:v>3.2291766001948901</c:v>
                </c:pt>
                <c:pt idx="453">
                  <c:v>3.2361210464097598</c:v>
                </c:pt>
                <c:pt idx="454">
                  <c:v>3.2430654926246198</c:v>
                </c:pt>
                <c:pt idx="455">
                  <c:v>3.2500099388394799</c:v>
                </c:pt>
                <c:pt idx="456">
                  <c:v>3.2569543850543399</c:v>
                </c:pt>
                <c:pt idx="457">
                  <c:v>3.2638988312692101</c:v>
                </c:pt>
                <c:pt idx="458">
                  <c:v>3.2708432774840701</c:v>
                </c:pt>
                <c:pt idx="459">
                  <c:v>3.2777877236989301</c:v>
                </c:pt>
                <c:pt idx="460">
                  <c:v>3.2847321699137999</c:v>
                </c:pt>
                <c:pt idx="461">
                  <c:v>3.2916766161286599</c:v>
                </c:pt>
                <c:pt idx="462">
                  <c:v>3.2986210623435199</c:v>
                </c:pt>
                <c:pt idx="463">
                  <c:v>3.3055655085583799</c:v>
                </c:pt>
                <c:pt idx="464">
                  <c:v>3.3125099547732502</c:v>
                </c:pt>
                <c:pt idx="465">
                  <c:v>3.3194544009881102</c:v>
                </c:pt>
                <c:pt idx="466">
                  <c:v>3.3263988472029702</c:v>
                </c:pt>
                <c:pt idx="467">
                  <c:v>3.33334329341784</c:v>
                </c:pt>
                <c:pt idx="468">
                  <c:v>3.3402877396327</c:v>
                </c:pt>
                <c:pt idx="469">
                  <c:v>3.34723218584756</c:v>
                </c:pt>
                <c:pt idx="470">
                  <c:v>3.35417663206242</c:v>
                </c:pt>
                <c:pt idx="471">
                  <c:v>3.3611210782772898</c:v>
                </c:pt>
                <c:pt idx="472">
                  <c:v>3.3680655244921498</c:v>
                </c:pt>
                <c:pt idx="473">
                  <c:v>3.3750099707070098</c:v>
                </c:pt>
                <c:pt idx="474">
                  <c:v>3.38195441692188</c:v>
                </c:pt>
                <c:pt idx="475">
                  <c:v>3.38889886313674</c:v>
                </c:pt>
                <c:pt idx="476">
                  <c:v>3.3958433093516001</c:v>
                </c:pt>
                <c:pt idx="477">
                  <c:v>3.4027877555664601</c:v>
                </c:pt>
                <c:pt idx="478">
                  <c:v>3.4097322017813299</c:v>
                </c:pt>
                <c:pt idx="479">
                  <c:v>3.4166766479961899</c:v>
                </c:pt>
                <c:pt idx="480">
                  <c:v>3.4236210942110499</c:v>
                </c:pt>
                <c:pt idx="481">
                  <c:v>3.4305655404259099</c:v>
                </c:pt>
                <c:pt idx="482">
                  <c:v>3.4375099866407801</c:v>
                </c:pt>
                <c:pt idx="483">
                  <c:v>3.4444544328556401</c:v>
                </c:pt>
                <c:pt idx="484">
                  <c:v>3.4513988790705001</c:v>
                </c:pt>
                <c:pt idx="485">
                  <c:v>3.4583433252853699</c:v>
                </c:pt>
                <c:pt idx="486">
                  <c:v>3.4652877715002299</c:v>
                </c:pt>
                <c:pt idx="487">
                  <c:v>3.4722322177150899</c:v>
                </c:pt>
                <c:pt idx="488">
                  <c:v>3.47917666392995</c:v>
                </c:pt>
                <c:pt idx="489">
                  <c:v>3.4861211101448202</c:v>
                </c:pt>
                <c:pt idx="490">
                  <c:v>3.4930655563596802</c:v>
                </c:pt>
                <c:pt idx="491">
                  <c:v>3.5000100025745402</c:v>
                </c:pt>
                <c:pt idx="492">
                  <c:v>3.50695444878941</c:v>
                </c:pt>
                <c:pt idx="493">
                  <c:v>3.51389889500427</c:v>
                </c:pt>
                <c:pt idx="494">
                  <c:v>3.52084334121913</c:v>
                </c:pt>
                <c:pt idx="495">
                  <c:v>3.52778778743399</c:v>
                </c:pt>
                <c:pt idx="496">
                  <c:v>3.5347322336488598</c:v>
                </c:pt>
                <c:pt idx="497">
                  <c:v>3.5416766798637198</c:v>
                </c:pt>
                <c:pt idx="498">
                  <c:v>3.5486211260785798</c:v>
                </c:pt>
                <c:pt idx="499">
                  <c:v>3.5555655722934398</c:v>
                </c:pt>
                <c:pt idx="500">
                  <c:v>3.5625100185083101</c:v>
                </c:pt>
                <c:pt idx="501">
                  <c:v>3.5694544647231701</c:v>
                </c:pt>
                <c:pt idx="502">
                  <c:v>3.5763989109380301</c:v>
                </c:pt>
                <c:pt idx="503">
                  <c:v>3.5833433571528999</c:v>
                </c:pt>
                <c:pt idx="504">
                  <c:v>3.5902878033677599</c:v>
                </c:pt>
                <c:pt idx="505">
                  <c:v>3.5972322495826199</c:v>
                </c:pt>
                <c:pt idx="506">
                  <c:v>3.6041766957974799</c:v>
                </c:pt>
                <c:pt idx="507">
                  <c:v>3.6111211420123501</c:v>
                </c:pt>
                <c:pt idx="508">
                  <c:v>3.6180655882272101</c:v>
                </c:pt>
                <c:pt idx="509">
                  <c:v>3.6250100344420702</c:v>
                </c:pt>
                <c:pt idx="510">
                  <c:v>3.6319544806569399</c:v>
                </c:pt>
                <c:pt idx="511">
                  <c:v>3.6388989268717999</c:v>
                </c:pt>
                <c:pt idx="512">
                  <c:v>3.6458433730866702</c:v>
                </c:pt>
                <c:pt idx="513">
                  <c:v>3.65278781930154</c:v>
                </c:pt>
                <c:pt idx="514">
                  <c:v>3.6597322655164</c:v>
                </c:pt>
                <c:pt idx="515">
                  <c:v>3.6666767117312702</c:v>
                </c:pt>
                <c:pt idx="516">
                  <c:v>3.67362115794614</c:v>
                </c:pt>
                <c:pt idx="517">
                  <c:v>3.6805656041610102</c:v>
                </c:pt>
                <c:pt idx="518">
                  <c:v>3.6875100503758702</c:v>
                </c:pt>
                <c:pt idx="519">
                  <c:v>3.69445449659074</c:v>
                </c:pt>
                <c:pt idx="520">
                  <c:v>3.7013989428056102</c:v>
                </c:pt>
                <c:pt idx="521">
                  <c:v>3.7083433890204698</c:v>
                </c:pt>
                <c:pt idx="522">
                  <c:v>3.71528783523534</c:v>
                </c:pt>
                <c:pt idx="523">
                  <c:v>3.7222322814502098</c:v>
                </c:pt>
                <c:pt idx="524">
                  <c:v>3.7291767276650698</c:v>
                </c:pt>
                <c:pt idx="525">
                  <c:v>3.73612117387994</c:v>
                </c:pt>
                <c:pt idx="526">
                  <c:v>3.7430656200948</c:v>
                </c:pt>
                <c:pt idx="527">
                  <c:v>3.7500100663096698</c:v>
                </c:pt>
                <c:pt idx="528">
                  <c:v>3.75695451252454</c:v>
                </c:pt>
                <c:pt idx="529">
                  <c:v>3.7638989587394098</c:v>
                </c:pt>
                <c:pt idx="530">
                  <c:v>3.7708434049542801</c:v>
                </c:pt>
                <c:pt idx="531">
                  <c:v>3.7777878511691401</c:v>
                </c:pt>
                <c:pt idx="532">
                  <c:v>3.7847322973840098</c:v>
                </c:pt>
                <c:pt idx="533">
                  <c:v>3.7916767435988801</c:v>
                </c:pt>
                <c:pt idx="534">
                  <c:v>3.7986211898137401</c:v>
                </c:pt>
                <c:pt idx="535">
                  <c:v>3.8055656360286099</c:v>
                </c:pt>
                <c:pt idx="536">
                  <c:v>3.8125100822434699</c:v>
                </c:pt>
                <c:pt idx="537">
                  <c:v>3.8194545284583401</c:v>
                </c:pt>
                <c:pt idx="538">
                  <c:v>3.8263989746732099</c:v>
                </c:pt>
                <c:pt idx="539">
                  <c:v>3.8333434208880699</c:v>
                </c:pt>
                <c:pt idx="540">
                  <c:v>3.8402878671029299</c:v>
                </c:pt>
                <c:pt idx="541">
                  <c:v>3.8472323133178001</c:v>
                </c:pt>
                <c:pt idx="542">
                  <c:v>3.8541767595326699</c:v>
                </c:pt>
                <c:pt idx="543">
                  <c:v>3.8611212057475299</c:v>
                </c:pt>
                <c:pt idx="544">
                  <c:v>3.8680656519623899</c:v>
                </c:pt>
                <c:pt idx="545">
                  <c:v>3.8750100981772602</c:v>
                </c:pt>
                <c:pt idx="546">
                  <c:v>3.8819545443921299</c:v>
                </c:pt>
                <c:pt idx="547">
                  <c:v>3.88889899060699</c:v>
                </c:pt>
                <c:pt idx="548">
                  <c:v>3.89584343682185</c:v>
                </c:pt>
                <c:pt idx="549">
                  <c:v>3.9027878830367202</c:v>
                </c:pt>
                <c:pt idx="550">
                  <c:v>3.90973232925159</c:v>
                </c:pt>
                <c:pt idx="551">
                  <c:v>3.91667677546645</c:v>
                </c:pt>
                <c:pt idx="552">
                  <c:v>3.92362122168131</c:v>
                </c:pt>
                <c:pt idx="553">
                  <c:v>3.9305656678961798</c:v>
                </c:pt>
                <c:pt idx="554">
                  <c:v>3.93751011411105</c:v>
                </c:pt>
                <c:pt idx="555">
                  <c:v>3.9444545603259198</c:v>
                </c:pt>
                <c:pt idx="556">
                  <c:v>3.9513990065407798</c:v>
                </c:pt>
                <c:pt idx="557">
                  <c:v>3.9583434527556398</c:v>
                </c:pt>
                <c:pt idx="558">
                  <c:v>3.96528789897051</c:v>
                </c:pt>
                <c:pt idx="559">
                  <c:v>3.9722323451853798</c:v>
                </c:pt>
                <c:pt idx="560">
                  <c:v>3.9791767914002398</c:v>
                </c:pt>
                <c:pt idx="561">
                  <c:v>3.9861212376151101</c:v>
                </c:pt>
                <c:pt idx="562">
                  <c:v>3.9930656838299798</c:v>
                </c:pt>
                <c:pt idx="563">
                  <c:v>4.0000101300448403</c:v>
                </c:pt>
                <c:pt idx="564">
                  <c:v>4.0069545762597096</c:v>
                </c:pt>
                <c:pt idx="565">
                  <c:v>4.0138990224745701</c:v>
                </c:pt>
                <c:pt idx="566">
                  <c:v>4.0208434686894403</c:v>
                </c:pt>
                <c:pt idx="567">
                  <c:v>4.0277879149043097</c:v>
                </c:pt>
                <c:pt idx="568">
                  <c:v>4.0347323611191701</c:v>
                </c:pt>
                <c:pt idx="569">
                  <c:v>4.0416768073340297</c:v>
                </c:pt>
                <c:pt idx="570">
                  <c:v>4.0486212535488999</c:v>
                </c:pt>
                <c:pt idx="571">
                  <c:v>4.0555656997637701</c:v>
                </c:pt>
                <c:pt idx="572">
                  <c:v>4.0625101459786297</c:v>
                </c:pt>
                <c:pt idx="573">
                  <c:v>4.0694545921934999</c:v>
                </c:pt>
                <c:pt idx="574">
                  <c:v>4.0763990384083604</c:v>
                </c:pt>
                <c:pt idx="575">
                  <c:v>4.0833434846232297</c:v>
                </c:pt>
                <c:pt idx="576">
                  <c:v>4.0902879308380999</c:v>
                </c:pt>
                <c:pt idx="577">
                  <c:v>4.0972323770529604</c:v>
                </c:pt>
                <c:pt idx="578">
                  <c:v>4.10417682326782</c:v>
                </c:pt>
                <c:pt idx="579">
                  <c:v>4.1111212694826902</c:v>
                </c:pt>
                <c:pt idx="580">
                  <c:v>4.1180657156975498</c:v>
                </c:pt>
                <c:pt idx="581">
                  <c:v>4.12501016191242</c:v>
                </c:pt>
                <c:pt idx="582">
                  <c:v>4.1319546081272804</c:v>
                </c:pt>
                <c:pt idx="583">
                  <c:v>4.1388990543421498</c:v>
                </c:pt>
                <c:pt idx="584">
                  <c:v>4.14584350055702</c:v>
                </c:pt>
                <c:pt idx="585">
                  <c:v>4.1527879467718796</c:v>
                </c:pt>
                <c:pt idx="586">
                  <c:v>4.15973239298674</c:v>
                </c:pt>
                <c:pt idx="587">
                  <c:v>4.1666768392016102</c:v>
                </c:pt>
                <c:pt idx="588">
                  <c:v>4.1736212854164796</c:v>
                </c:pt>
                <c:pt idx="589">
                  <c:v>4.18056573163134</c:v>
                </c:pt>
                <c:pt idx="590">
                  <c:v>4.1875101778462103</c:v>
                </c:pt>
                <c:pt idx="591">
                  <c:v>4.1944546240610698</c:v>
                </c:pt>
                <c:pt idx="592">
                  <c:v>4.2013990702759401</c:v>
                </c:pt>
                <c:pt idx="593">
                  <c:v>4.2083435164908103</c:v>
                </c:pt>
                <c:pt idx="594">
                  <c:v>4.2152879627056699</c:v>
                </c:pt>
                <c:pt idx="595">
                  <c:v>4.2222324089205401</c:v>
                </c:pt>
                <c:pt idx="596">
                  <c:v>4.2291768551354103</c:v>
                </c:pt>
                <c:pt idx="597">
                  <c:v>4.2361213013502796</c:v>
                </c:pt>
                <c:pt idx="598">
                  <c:v>4.2430657475651499</c:v>
                </c:pt>
                <c:pt idx="599">
                  <c:v>4.2500101937800103</c:v>
                </c:pt>
                <c:pt idx="600">
                  <c:v>4.2569546399948797</c:v>
                </c:pt>
                <c:pt idx="601">
                  <c:v>4.2638990862097499</c:v>
                </c:pt>
                <c:pt idx="602">
                  <c:v>4.2708435324246103</c:v>
                </c:pt>
                <c:pt idx="603">
                  <c:v>4.2777879786394797</c:v>
                </c:pt>
                <c:pt idx="604">
                  <c:v>4.2847324248543401</c:v>
                </c:pt>
                <c:pt idx="605">
                  <c:v>4.2916768710692104</c:v>
                </c:pt>
                <c:pt idx="606">
                  <c:v>4.2986213172840797</c:v>
                </c:pt>
                <c:pt idx="607">
                  <c:v>4.3055657634989402</c:v>
                </c:pt>
                <c:pt idx="608">
                  <c:v>4.3125102097138104</c:v>
                </c:pt>
                <c:pt idx="609">
                  <c:v>4.3194546559286797</c:v>
                </c:pt>
                <c:pt idx="610">
                  <c:v>4.3263991021435499</c:v>
                </c:pt>
                <c:pt idx="611">
                  <c:v>4.3333435483584104</c:v>
                </c:pt>
                <c:pt idx="612">
                  <c:v>4.3402879945732797</c:v>
                </c:pt>
                <c:pt idx="613">
                  <c:v>4.34723244078815</c:v>
                </c:pt>
                <c:pt idx="614">
                  <c:v>4.3541768870030104</c:v>
                </c:pt>
                <c:pt idx="615">
                  <c:v>4.36112133321787</c:v>
                </c:pt>
                <c:pt idx="616">
                  <c:v>4.3680657794327402</c:v>
                </c:pt>
                <c:pt idx="617">
                  <c:v>4.3750102256475998</c:v>
                </c:pt>
                <c:pt idx="618">
                  <c:v>4.3819546718624602</c:v>
                </c:pt>
                <c:pt idx="619">
                  <c:v>4.3888991180773198</c:v>
                </c:pt>
                <c:pt idx="620">
                  <c:v>4.39584356429219</c:v>
                </c:pt>
                <c:pt idx="621">
                  <c:v>4.4027880105070496</c:v>
                </c:pt>
                <c:pt idx="622">
                  <c:v>4.4097324567219101</c:v>
                </c:pt>
                <c:pt idx="623">
                  <c:v>4.4166769029367803</c:v>
                </c:pt>
                <c:pt idx="624">
                  <c:v>4.4236213491516398</c:v>
                </c:pt>
                <c:pt idx="625">
                  <c:v>4.4305657953665003</c:v>
                </c:pt>
                <c:pt idx="626">
                  <c:v>4.4375102415813599</c:v>
                </c:pt>
                <c:pt idx="627">
                  <c:v>4.4444546877962301</c:v>
                </c:pt>
                <c:pt idx="628">
                  <c:v>4.4513991340110897</c:v>
                </c:pt>
                <c:pt idx="629">
                  <c:v>4.4583435802259501</c:v>
                </c:pt>
                <c:pt idx="630">
                  <c:v>4.4652880264408097</c:v>
                </c:pt>
                <c:pt idx="631">
                  <c:v>4.4722324726556799</c:v>
                </c:pt>
                <c:pt idx="632">
                  <c:v>4.4791769188705404</c:v>
                </c:pt>
                <c:pt idx="633">
                  <c:v>4.4861213650853999</c:v>
                </c:pt>
                <c:pt idx="634">
                  <c:v>4.4930658113002702</c:v>
                </c:pt>
                <c:pt idx="635">
                  <c:v>4.5000102575151297</c:v>
                </c:pt>
                <c:pt idx="636">
                  <c:v>4.5069547037299902</c:v>
                </c:pt>
                <c:pt idx="637">
                  <c:v>4.5138991499448498</c:v>
                </c:pt>
                <c:pt idx="638">
                  <c:v>4.52084359615972</c:v>
                </c:pt>
                <c:pt idx="639">
                  <c:v>4.5277880423745804</c:v>
                </c:pt>
                <c:pt idx="640">
                  <c:v>4.53473248858944</c:v>
                </c:pt>
                <c:pt idx="641">
                  <c:v>4.5416769348043102</c:v>
                </c:pt>
                <c:pt idx="642">
                  <c:v>4.5486213810191698</c:v>
                </c:pt>
                <c:pt idx="643">
                  <c:v>4.5555658272340303</c:v>
                </c:pt>
                <c:pt idx="644">
                  <c:v>4.5625102734488898</c:v>
                </c:pt>
                <c:pt idx="645">
                  <c:v>4.56945471966376</c:v>
                </c:pt>
                <c:pt idx="646">
                  <c:v>4.5763991658786196</c:v>
                </c:pt>
                <c:pt idx="647">
                  <c:v>4.5833436120934801</c:v>
                </c:pt>
                <c:pt idx="648">
                  <c:v>4.5902880583083396</c:v>
                </c:pt>
                <c:pt idx="649">
                  <c:v>4.5972325045232099</c:v>
                </c:pt>
                <c:pt idx="650">
                  <c:v>4.6041769507380703</c:v>
                </c:pt>
                <c:pt idx="651">
                  <c:v>4.6111213969529299</c:v>
                </c:pt>
                <c:pt idx="652">
                  <c:v>4.6180658431678001</c:v>
                </c:pt>
                <c:pt idx="653">
                  <c:v>4.6250102893826597</c:v>
                </c:pt>
                <c:pt idx="654">
                  <c:v>4.6319547355975201</c:v>
                </c:pt>
                <c:pt idx="655">
                  <c:v>4.6388991818123797</c:v>
                </c:pt>
                <c:pt idx="656">
                  <c:v>4.6458436280272499</c:v>
                </c:pt>
                <c:pt idx="657">
                  <c:v>4.6527880742421104</c:v>
                </c:pt>
                <c:pt idx="658">
                  <c:v>4.65973252045697</c:v>
                </c:pt>
                <c:pt idx="659">
                  <c:v>4.6666769666718402</c:v>
                </c:pt>
                <c:pt idx="660">
                  <c:v>4.6736214128866997</c:v>
                </c:pt>
                <c:pt idx="661">
                  <c:v>4.6805658591015602</c:v>
                </c:pt>
                <c:pt idx="662">
                  <c:v>4.6875103053164198</c:v>
                </c:pt>
                <c:pt idx="663">
                  <c:v>4.69445475153129</c:v>
                </c:pt>
                <c:pt idx="664">
                  <c:v>4.7013991977461496</c:v>
                </c:pt>
                <c:pt idx="665">
                  <c:v>4.70834364396101</c:v>
                </c:pt>
                <c:pt idx="666">
                  <c:v>4.7152880901758802</c:v>
                </c:pt>
                <c:pt idx="667">
                  <c:v>4.7222325363907398</c:v>
                </c:pt>
                <c:pt idx="668">
                  <c:v>4.7291769826056003</c:v>
                </c:pt>
                <c:pt idx="669">
                  <c:v>4.7361214288204598</c:v>
                </c:pt>
                <c:pt idx="670">
                  <c:v>4.7430658750353301</c:v>
                </c:pt>
                <c:pt idx="671">
                  <c:v>4.7500103212501896</c:v>
                </c:pt>
                <c:pt idx="672">
                  <c:v>4.7569547674650501</c:v>
                </c:pt>
                <c:pt idx="673">
                  <c:v>4.7638992136799096</c:v>
                </c:pt>
                <c:pt idx="674">
                  <c:v>4.7708436598947799</c:v>
                </c:pt>
                <c:pt idx="675">
                  <c:v>4.7777881061096403</c:v>
                </c:pt>
                <c:pt idx="676">
                  <c:v>4.7847325523244999</c:v>
                </c:pt>
                <c:pt idx="677">
                  <c:v>4.7916769985393701</c:v>
                </c:pt>
                <c:pt idx="678">
                  <c:v>4.7986214447542297</c:v>
                </c:pt>
                <c:pt idx="679">
                  <c:v>4.8055658909690901</c:v>
                </c:pt>
                <c:pt idx="680">
                  <c:v>4.8125103371839497</c:v>
                </c:pt>
                <c:pt idx="681">
                  <c:v>4.8194547833988199</c:v>
                </c:pt>
                <c:pt idx="682">
                  <c:v>4.8263992296136804</c:v>
                </c:pt>
                <c:pt idx="683">
                  <c:v>4.83334367582854</c:v>
                </c:pt>
                <c:pt idx="684">
                  <c:v>4.8402881220434102</c:v>
                </c:pt>
                <c:pt idx="685">
                  <c:v>4.8472325682582698</c:v>
                </c:pt>
                <c:pt idx="686">
                  <c:v>4.8541770144731302</c:v>
                </c:pt>
                <c:pt idx="687">
                  <c:v>4.8611214606879898</c:v>
                </c:pt>
                <c:pt idx="688">
                  <c:v>4.86806590690286</c:v>
                </c:pt>
                <c:pt idx="689">
                  <c:v>4.8750103531177196</c:v>
                </c:pt>
                <c:pt idx="690">
                  <c:v>4.88195479933258</c:v>
                </c:pt>
                <c:pt idx="691">
                  <c:v>4.8888992455474396</c:v>
                </c:pt>
                <c:pt idx="692">
                  <c:v>4.8958436917623098</c:v>
                </c:pt>
                <c:pt idx="693">
                  <c:v>4.9027881379771703</c:v>
                </c:pt>
                <c:pt idx="694">
                  <c:v>4.9097325841920298</c:v>
                </c:pt>
                <c:pt idx="695">
                  <c:v>4.9166770304069001</c:v>
                </c:pt>
                <c:pt idx="696">
                  <c:v>4.9236214766217596</c:v>
                </c:pt>
                <c:pt idx="697">
                  <c:v>4.9305659228366201</c:v>
                </c:pt>
                <c:pt idx="698">
                  <c:v>4.9375103690514797</c:v>
                </c:pt>
                <c:pt idx="699">
                  <c:v>4.9444548152663499</c:v>
                </c:pt>
                <c:pt idx="700">
                  <c:v>4.9513992614812103</c:v>
                </c:pt>
                <c:pt idx="701">
                  <c:v>4.9583437076960699</c:v>
                </c:pt>
                <c:pt idx="702">
                  <c:v>4.9652881539109401</c:v>
                </c:pt>
                <c:pt idx="703">
                  <c:v>4.9722326001257997</c:v>
                </c:pt>
                <c:pt idx="704">
                  <c:v>4.9791770463406602</c:v>
                </c:pt>
                <c:pt idx="705">
                  <c:v>4.9861214925555197</c:v>
                </c:pt>
                <c:pt idx="706">
                  <c:v>4.99306593877039</c:v>
                </c:pt>
                <c:pt idx="707">
                  <c:v>5.0000103849852504</c:v>
                </c:pt>
                <c:pt idx="708">
                  <c:v>5.00695483120011</c:v>
                </c:pt>
                <c:pt idx="709">
                  <c:v>5.0138992774149704</c:v>
                </c:pt>
                <c:pt idx="710">
                  <c:v>5.0208437236298398</c:v>
                </c:pt>
                <c:pt idx="711">
                  <c:v>5.0277881698447002</c:v>
                </c:pt>
                <c:pt idx="712">
                  <c:v>5.0347326160595598</c:v>
                </c:pt>
                <c:pt idx="713">
                  <c:v>5.04167706227443</c:v>
                </c:pt>
                <c:pt idx="714">
                  <c:v>5.0486215084892896</c:v>
                </c:pt>
                <c:pt idx="715">
                  <c:v>5.0555659547041598</c:v>
                </c:pt>
                <c:pt idx="716">
                  <c:v>5.06251040091903</c:v>
                </c:pt>
                <c:pt idx="717">
                  <c:v>5.0694548471338896</c:v>
                </c:pt>
                <c:pt idx="718">
                  <c:v>5.0763992933487598</c:v>
                </c:pt>
                <c:pt idx="719">
                  <c:v>5.0833437395636203</c:v>
                </c:pt>
                <c:pt idx="720">
                  <c:v>5.0902881857784896</c:v>
                </c:pt>
                <c:pt idx="721">
                  <c:v>5.0972326319933599</c:v>
                </c:pt>
                <c:pt idx="722">
                  <c:v>5.1041770782082203</c:v>
                </c:pt>
                <c:pt idx="723">
                  <c:v>5.1111215244230896</c:v>
                </c:pt>
                <c:pt idx="724">
                  <c:v>5.1180659706379599</c:v>
                </c:pt>
                <c:pt idx="725">
                  <c:v>5.1250104168528203</c:v>
                </c:pt>
                <c:pt idx="726">
                  <c:v>5.1319548630676897</c:v>
                </c:pt>
                <c:pt idx="727">
                  <c:v>5.1388993092825599</c:v>
                </c:pt>
                <c:pt idx="728">
                  <c:v>5.1458437554974301</c:v>
                </c:pt>
                <c:pt idx="729">
                  <c:v>5.1527882017122897</c:v>
                </c:pt>
                <c:pt idx="730">
                  <c:v>5.1597326479271599</c:v>
                </c:pt>
                <c:pt idx="731">
                  <c:v>5.1666770941420301</c:v>
                </c:pt>
                <c:pt idx="732">
                  <c:v>5.1736215403568897</c:v>
                </c:pt>
                <c:pt idx="733">
                  <c:v>5.1805659865717599</c:v>
                </c:pt>
                <c:pt idx="734">
                  <c:v>5.1875104327866302</c:v>
                </c:pt>
                <c:pt idx="735">
                  <c:v>5.1944548790014897</c:v>
                </c:pt>
                <c:pt idx="736">
                  <c:v>5.2013993252163599</c:v>
                </c:pt>
                <c:pt idx="737">
                  <c:v>5.2083437714312302</c:v>
                </c:pt>
                <c:pt idx="738">
                  <c:v>5.2152882176460897</c:v>
                </c:pt>
                <c:pt idx="739">
                  <c:v>5.22223266386096</c:v>
                </c:pt>
                <c:pt idx="740">
                  <c:v>5.2291771100758302</c:v>
                </c:pt>
                <c:pt idx="741">
                  <c:v>5.2361215562907004</c:v>
                </c:pt>
                <c:pt idx="742">
                  <c:v>5.2430660025055502</c:v>
                </c:pt>
                <c:pt idx="743">
                  <c:v>5.2500104487204204</c:v>
                </c:pt>
                <c:pt idx="744">
                  <c:v>5.2569548949352898</c:v>
                </c:pt>
                <c:pt idx="745">
                  <c:v>5.2638993411501502</c:v>
                </c:pt>
                <c:pt idx="746">
                  <c:v>5.2708437873650098</c:v>
                </c:pt>
                <c:pt idx="747">
                  <c:v>5.27778823357988</c:v>
                </c:pt>
                <c:pt idx="748">
                  <c:v>5.2847326797947503</c:v>
                </c:pt>
                <c:pt idx="749">
                  <c:v>5.2916771260096098</c:v>
                </c:pt>
                <c:pt idx="750">
                  <c:v>5.29862157222448</c:v>
                </c:pt>
                <c:pt idx="751">
                  <c:v>5.3055660184393396</c:v>
                </c:pt>
                <c:pt idx="752">
                  <c:v>5.3125104646542001</c:v>
                </c:pt>
                <c:pt idx="753">
                  <c:v>5.3194549108690703</c:v>
                </c:pt>
                <c:pt idx="754">
                  <c:v>5.3263993570839396</c:v>
                </c:pt>
                <c:pt idx="755">
                  <c:v>5.3333438032988001</c:v>
                </c:pt>
                <c:pt idx="756">
                  <c:v>5.3402882495136703</c:v>
                </c:pt>
                <c:pt idx="757">
                  <c:v>5.3472326957285397</c:v>
                </c:pt>
                <c:pt idx="758">
                  <c:v>5.3541771419434001</c:v>
                </c:pt>
                <c:pt idx="759">
                  <c:v>5.3611215881582597</c:v>
                </c:pt>
                <c:pt idx="760">
                  <c:v>5.3680660343731299</c:v>
                </c:pt>
                <c:pt idx="761">
                  <c:v>5.3750104805880001</c:v>
                </c:pt>
                <c:pt idx="762">
                  <c:v>5.3819549268028704</c:v>
                </c:pt>
                <c:pt idx="763">
                  <c:v>5.3888993730177299</c:v>
                </c:pt>
                <c:pt idx="764">
                  <c:v>5.3958438192325904</c:v>
                </c:pt>
                <c:pt idx="765">
                  <c:v>5.4027882654474597</c:v>
                </c:pt>
                <c:pt idx="766">
                  <c:v>5.4097327116623299</c:v>
                </c:pt>
                <c:pt idx="767">
                  <c:v>5.4166771578772002</c:v>
                </c:pt>
                <c:pt idx="768">
                  <c:v>5.4236216040920597</c:v>
                </c:pt>
                <c:pt idx="769">
                  <c:v>5.4305660503069202</c:v>
                </c:pt>
                <c:pt idx="770">
                  <c:v>5.4375104965217904</c:v>
                </c:pt>
                <c:pt idx="771">
                  <c:v>5.4444549427366598</c:v>
                </c:pt>
                <c:pt idx="772">
                  <c:v>5.4513993889515202</c:v>
                </c:pt>
                <c:pt idx="773">
                  <c:v>5.4583438351663904</c:v>
                </c:pt>
                <c:pt idx="774">
                  <c:v>5.4652882813812598</c:v>
                </c:pt>
                <c:pt idx="775">
                  <c:v>5.4722327275961202</c:v>
                </c:pt>
                <c:pt idx="776">
                  <c:v>5.4791771738109798</c:v>
                </c:pt>
                <c:pt idx="777">
                  <c:v>5.48612162002585</c:v>
                </c:pt>
                <c:pt idx="778">
                  <c:v>5.4930660662407202</c:v>
                </c:pt>
                <c:pt idx="779">
                  <c:v>5.5000105124555798</c:v>
                </c:pt>
                <c:pt idx="780">
                  <c:v>5.5069549586704403</c:v>
                </c:pt>
                <c:pt idx="781">
                  <c:v>5.5138994048853096</c:v>
                </c:pt>
                <c:pt idx="782">
                  <c:v>5.5208438511001798</c:v>
                </c:pt>
                <c:pt idx="783">
                  <c:v>5.5277882973150403</c:v>
                </c:pt>
                <c:pt idx="784">
                  <c:v>5.5347327435299096</c:v>
                </c:pt>
                <c:pt idx="785">
                  <c:v>5.5416771897447701</c:v>
                </c:pt>
                <c:pt idx="786">
                  <c:v>5.5486216359596403</c:v>
                </c:pt>
                <c:pt idx="787">
                  <c:v>5.5555660821744999</c:v>
                </c:pt>
                <c:pt idx="788">
                  <c:v>5.5625105283893701</c:v>
                </c:pt>
                <c:pt idx="789">
                  <c:v>5.5694549746042297</c:v>
                </c:pt>
                <c:pt idx="790">
                  <c:v>5.5763994208190999</c:v>
                </c:pt>
                <c:pt idx="791">
                  <c:v>5.5833438670339604</c:v>
                </c:pt>
                <c:pt idx="792">
                  <c:v>5.5902883132488297</c:v>
                </c:pt>
                <c:pt idx="793">
                  <c:v>5.5972327594636901</c:v>
                </c:pt>
                <c:pt idx="794">
                  <c:v>5.6041772056785604</c:v>
                </c:pt>
                <c:pt idx="795">
                  <c:v>5.6111216518934297</c:v>
                </c:pt>
                <c:pt idx="796">
                  <c:v>5.6180660981082999</c:v>
                </c:pt>
                <c:pt idx="797">
                  <c:v>5.6250105443231604</c:v>
                </c:pt>
                <c:pt idx="798">
                  <c:v>5.6319549905380297</c:v>
                </c:pt>
                <c:pt idx="799">
                  <c:v>5.6388994367529</c:v>
                </c:pt>
                <c:pt idx="800">
                  <c:v>5.6458438829677604</c:v>
                </c:pt>
                <c:pt idx="801">
                  <c:v>5.6527883291826297</c:v>
                </c:pt>
                <c:pt idx="802">
                  <c:v>5.6597327753974902</c:v>
                </c:pt>
                <c:pt idx="803">
                  <c:v>5.6666772216123604</c:v>
                </c:pt>
                <c:pt idx="804">
                  <c:v>5.6736216678272298</c:v>
                </c:pt>
                <c:pt idx="805">
                  <c:v>5.6805661140421</c:v>
                </c:pt>
                <c:pt idx="806">
                  <c:v>5.6875105602569596</c:v>
                </c:pt>
                <c:pt idx="807">
                  <c:v>5.6944550064718298</c:v>
                </c:pt>
                <c:pt idx="808">
                  <c:v>5.7013994526867</c:v>
                </c:pt>
                <c:pt idx="809">
                  <c:v>5.7083438989015702</c:v>
                </c:pt>
                <c:pt idx="810">
                  <c:v>5.7152883451164298</c:v>
                </c:pt>
                <c:pt idx="811">
                  <c:v>5.7222327913313</c:v>
                </c:pt>
                <c:pt idx="812">
                  <c:v>5.7291772375461703</c:v>
                </c:pt>
                <c:pt idx="813">
                  <c:v>5.7361216837610298</c:v>
                </c:pt>
                <c:pt idx="814">
                  <c:v>5.7430661299759</c:v>
                </c:pt>
                <c:pt idx="815">
                  <c:v>5.7500105761907596</c:v>
                </c:pt>
                <c:pt idx="816">
                  <c:v>5.7569550224056298</c:v>
                </c:pt>
                <c:pt idx="817">
                  <c:v>5.7638994686205001</c:v>
                </c:pt>
                <c:pt idx="818">
                  <c:v>5.7708439148353596</c:v>
                </c:pt>
                <c:pt idx="819">
                  <c:v>5.7777883610502299</c:v>
                </c:pt>
                <c:pt idx="820">
                  <c:v>5.7847328072650903</c:v>
                </c:pt>
                <c:pt idx="821">
                  <c:v>5.7916772534799499</c:v>
                </c:pt>
                <c:pt idx="822">
                  <c:v>5.7986216996948201</c:v>
                </c:pt>
                <c:pt idx="823">
                  <c:v>5.8055661459096797</c:v>
                </c:pt>
                <c:pt idx="824">
                  <c:v>5.8125105921245401</c:v>
                </c:pt>
                <c:pt idx="825">
                  <c:v>5.8194550383393997</c:v>
                </c:pt>
                <c:pt idx="826">
                  <c:v>5.8263994845542699</c:v>
                </c:pt>
                <c:pt idx="827">
                  <c:v>5.8333439307691304</c:v>
                </c:pt>
                <c:pt idx="828">
                  <c:v>5.8402883769839899</c:v>
                </c:pt>
                <c:pt idx="829">
                  <c:v>5.8472328231988504</c:v>
                </c:pt>
                <c:pt idx="830">
                  <c:v>5.8541772694137197</c:v>
                </c:pt>
                <c:pt idx="831">
                  <c:v>5.8611217156285802</c:v>
                </c:pt>
                <c:pt idx="832">
                  <c:v>5.8680661618434398</c:v>
                </c:pt>
                <c:pt idx="833">
                  <c:v>5.87501060805831</c:v>
                </c:pt>
                <c:pt idx="834">
                  <c:v>5.8819550542731696</c:v>
                </c:pt>
                <c:pt idx="835">
                  <c:v>5.88889950048803</c:v>
                </c:pt>
                <c:pt idx="836">
                  <c:v>5.8958439467028896</c:v>
                </c:pt>
                <c:pt idx="837">
                  <c:v>5.9027883929177598</c:v>
                </c:pt>
                <c:pt idx="838">
                  <c:v>5.9097328391326203</c:v>
                </c:pt>
                <c:pt idx="839">
                  <c:v>5.9166772853474798</c:v>
                </c:pt>
                <c:pt idx="840">
                  <c:v>5.9236217315623501</c:v>
                </c:pt>
                <c:pt idx="841">
                  <c:v>5.9305661777772096</c:v>
                </c:pt>
                <c:pt idx="842">
                  <c:v>5.9375106239920701</c:v>
                </c:pt>
                <c:pt idx="843">
                  <c:v>5.9444550702069296</c:v>
                </c:pt>
                <c:pt idx="844">
                  <c:v>5.9513995164217999</c:v>
                </c:pt>
                <c:pt idx="845">
                  <c:v>5.9583439626366603</c:v>
                </c:pt>
                <c:pt idx="846">
                  <c:v>5.9652884088515199</c:v>
                </c:pt>
                <c:pt idx="847">
                  <c:v>5.9722328550663804</c:v>
                </c:pt>
                <c:pt idx="848">
                  <c:v>5.9791773012812497</c:v>
                </c:pt>
                <c:pt idx="849">
                  <c:v>5.9861217474961101</c:v>
                </c:pt>
                <c:pt idx="850">
                  <c:v>5.9930661937109697</c:v>
                </c:pt>
                <c:pt idx="851">
                  <c:v>6.0000106399258399</c:v>
                </c:pt>
                <c:pt idx="852">
                  <c:v>6.0069550861407004</c:v>
                </c:pt>
                <c:pt idx="853">
                  <c:v>6.01389953235556</c:v>
                </c:pt>
                <c:pt idx="854">
                  <c:v>6.0208439785704204</c:v>
                </c:pt>
                <c:pt idx="855">
                  <c:v>6.0277884247852898</c:v>
                </c:pt>
                <c:pt idx="856">
                  <c:v>6.0347328710001502</c:v>
                </c:pt>
                <c:pt idx="857">
                  <c:v>6.0416773172150098</c:v>
                </c:pt>
                <c:pt idx="858">
                  <c:v>6.04862176342988</c:v>
                </c:pt>
                <c:pt idx="859">
                  <c:v>6.0555662096447396</c:v>
                </c:pt>
                <c:pt idx="860">
                  <c:v>6.0625106558596</c:v>
                </c:pt>
                <c:pt idx="861">
                  <c:v>6.0694551014511697</c:v>
                </c:pt>
                <c:pt idx="862">
                  <c:v>6.07639954666947</c:v>
                </c:pt>
                <c:pt idx="863">
                  <c:v>6.0833439918877801</c:v>
                </c:pt>
                <c:pt idx="864">
                  <c:v>6.0902884371060804</c:v>
                </c:pt>
                <c:pt idx="865">
                  <c:v>6.0972328823243904</c:v>
                </c:pt>
                <c:pt idx="866">
                  <c:v>6.1041773275426898</c:v>
                </c:pt>
                <c:pt idx="867">
                  <c:v>6.1111217727609901</c:v>
                </c:pt>
                <c:pt idx="868">
                  <c:v>6.1180662179793002</c:v>
                </c:pt>
                <c:pt idx="869">
                  <c:v>6.1250106631975996</c:v>
                </c:pt>
                <c:pt idx="870">
                  <c:v>6.1319551084159096</c:v>
                </c:pt>
                <c:pt idx="871">
                  <c:v>6.1388995536342099</c:v>
                </c:pt>
                <c:pt idx="872">
                  <c:v>6.14584399885252</c:v>
                </c:pt>
                <c:pt idx="873">
                  <c:v>6.1527884440708203</c:v>
                </c:pt>
                <c:pt idx="874">
                  <c:v>6.1597328892891303</c:v>
                </c:pt>
                <c:pt idx="875">
                  <c:v>6.1666773345074297</c:v>
                </c:pt>
                <c:pt idx="876">
                  <c:v>6.1736217797257398</c:v>
                </c:pt>
                <c:pt idx="877">
                  <c:v>6.1805662249440401</c:v>
                </c:pt>
                <c:pt idx="878">
                  <c:v>6.1875106701623404</c:v>
                </c:pt>
                <c:pt idx="879">
                  <c:v>6.1944551153806504</c:v>
                </c:pt>
                <c:pt idx="880">
                  <c:v>6.2013995605989498</c:v>
                </c:pt>
                <c:pt idx="881">
                  <c:v>6.2083440058172599</c:v>
                </c:pt>
                <c:pt idx="882">
                  <c:v>6.2152884510355602</c:v>
                </c:pt>
                <c:pt idx="883">
                  <c:v>6.2222328962538702</c:v>
                </c:pt>
                <c:pt idx="884">
                  <c:v>6.2291773414721696</c:v>
                </c:pt>
                <c:pt idx="885">
                  <c:v>6.2361217866904797</c:v>
                </c:pt>
                <c:pt idx="886">
                  <c:v>6.24306623190878</c:v>
                </c:pt>
                <c:pt idx="887">
                  <c:v>6.25001067712709</c:v>
                </c:pt>
                <c:pt idx="888">
                  <c:v>6.2569551223453903</c:v>
                </c:pt>
                <c:pt idx="889">
                  <c:v>6.2638995675636897</c:v>
                </c:pt>
                <c:pt idx="890">
                  <c:v>6.2708440127819998</c:v>
                </c:pt>
                <c:pt idx="891">
                  <c:v>6.2777884580003001</c:v>
                </c:pt>
                <c:pt idx="892">
                  <c:v>6.2847329032186101</c:v>
                </c:pt>
                <c:pt idx="893">
                  <c:v>6.2916773484369104</c:v>
                </c:pt>
                <c:pt idx="894">
                  <c:v>6.2986217936552196</c:v>
                </c:pt>
                <c:pt idx="895">
                  <c:v>6.3055662388735199</c:v>
                </c:pt>
                <c:pt idx="896">
                  <c:v>6.3125106840918299</c:v>
                </c:pt>
                <c:pt idx="897">
                  <c:v>6.3194551293101302</c:v>
                </c:pt>
                <c:pt idx="898">
                  <c:v>6.3263995745284296</c:v>
                </c:pt>
                <c:pt idx="899">
                  <c:v>6.3333440197467397</c:v>
                </c:pt>
                <c:pt idx="900">
                  <c:v>6.3402884649650399</c:v>
                </c:pt>
                <c:pt idx="901">
                  <c:v>6.34723291018335</c:v>
                </c:pt>
                <c:pt idx="902">
                  <c:v>6.3541773554016503</c:v>
                </c:pt>
                <c:pt idx="903">
                  <c:v>6.3611218006199604</c:v>
                </c:pt>
                <c:pt idx="904">
                  <c:v>6.3680662458382598</c:v>
                </c:pt>
                <c:pt idx="905">
                  <c:v>6.3750106910565698</c:v>
                </c:pt>
                <c:pt idx="906">
                  <c:v>6.3819551362748701</c:v>
                </c:pt>
                <c:pt idx="907">
                  <c:v>6.3888995814931802</c:v>
                </c:pt>
                <c:pt idx="908">
                  <c:v>6.3958440267114796</c:v>
                </c:pt>
                <c:pt idx="909">
                  <c:v>6.4027884719297798</c:v>
                </c:pt>
                <c:pt idx="910">
                  <c:v>6.4097329171480899</c:v>
                </c:pt>
                <c:pt idx="911">
                  <c:v>6.4166773623663902</c:v>
                </c:pt>
                <c:pt idx="912">
                  <c:v>6.4236218075847002</c:v>
                </c:pt>
                <c:pt idx="913">
                  <c:v>6.4305662528029996</c:v>
                </c:pt>
                <c:pt idx="914">
                  <c:v>6.4375106980213097</c:v>
                </c:pt>
                <c:pt idx="915">
                  <c:v>6.44445514323961</c:v>
                </c:pt>
                <c:pt idx="916">
                  <c:v>6.4513995884579201</c:v>
                </c:pt>
                <c:pt idx="917">
                  <c:v>6.4583440336762203</c:v>
                </c:pt>
                <c:pt idx="918">
                  <c:v>6.4652884788945304</c:v>
                </c:pt>
                <c:pt idx="919">
                  <c:v>6.4722329241128298</c:v>
                </c:pt>
                <c:pt idx="920">
                  <c:v>6.4791773693311301</c:v>
                </c:pt>
                <c:pt idx="921">
                  <c:v>6.4861218145494401</c:v>
                </c:pt>
                <c:pt idx="922">
                  <c:v>6.4930662597677404</c:v>
                </c:pt>
                <c:pt idx="923">
                  <c:v>6.5000107049860496</c:v>
                </c:pt>
                <c:pt idx="924">
                  <c:v>6.5069551502043499</c:v>
                </c:pt>
                <c:pt idx="925">
                  <c:v>6.5138995954226599</c:v>
                </c:pt>
                <c:pt idx="926">
                  <c:v>6.5208440406409602</c:v>
                </c:pt>
                <c:pt idx="927">
                  <c:v>6.5277884858592703</c:v>
                </c:pt>
                <c:pt idx="928">
                  <c:v>6.5347329310775697</c:v>
                </c:pt>
                <c:pt idx="929">
                  <c:v>6.5416773762958798</c:v>
                </c:pt>
                <c:pt idx="930">
                  <c:v>6.54862182151418</c:v>
                </c:pt>
                <c:pt idx="931">
                  <c:v>6.5555662667324803</c:v>
                </c:pt>
                <c:pt idx="932">
                  <c:v>6.5625107119507904</c:v>
                </c:pt>
                <c:pt idx="933">
                  <c:v>6.5694551571690898</c:v>
                </c:pt>
                <c:pt idx="934">
                  <c:v>6.5763996023873998</c:v>
                </c:pt>
                <c:pt idx="935">
                  <c:v>6.5833440476057001</c:v>
                </c:pt>
                <c:pt idx="936">
                  <c:v>6.5902884928240102</c:v>
                </c:pt>
                <c:pt idx="937">
                  <c:v>6.5972329380423096</c:v>
                </c:pt>
                <c:pt idx="938">
                  <c:v>6.6041773832606196</c:v>
                </c:pt>
                <c:pt idx="939">
                  <c:v>6.6111218284789199</c:v>
                </c:pt>
                <c:pt idx="940">
                  <c:v>6.6180662736972202</c:v>
                </c:pt>
                <c:pt idx="941">
                  <c:v>6.6250107189155303</c:v>
                </c:pt>
                <c:pt idx="942">
                  <c:v>6.6319551641338297</c:v>
                </c:pt>
                <c:pt idx="943">
                  <c:v>6.6388996093521397</c:v>
                </c:pt>
                <c:pt idx="944">
                  <c:v>6.64584405457044</c:v>
                </c:pt>
                <c:pt idx="945">
                  <c:v>6.6527884997887501</c:v>
                </c:pt>
                <c:pt idx="946">
                  <c:v>6.6597329450070504</c:v>
                </c:pt>
                <c:pt idx="947">
                  <c:v>6.6666773902253604</c:v>
                </c:pt>
                <c:pt idx="948">
                  <c:v>6.6736218354436598</c:v>
                </c:pt>
                <c:pt idx="949">
                  <c:v>6.6805662806619699</c:v>
                </c:pt>
                <c:pt idx="950">
                  <c:v>6.6875107258802702</c:v>
                </c:pt>
                <c:pt idx="951">
                  <c:v>6.6944551710985696</c:v>
                </c:pt>
                <c:pt idx="952">
                  <c:v>6.7013996163168796</c:v>
                </c:pt>
                <c:pt idx="953">
                  <c:v>6.7083440615351799</c:v>
                </c:pt>
                <c:pt idx="954">
                  <c:v>6.71528850675349</c:v>
                </c:pt>
                <c:pt idx="955">
                  <c:v>6.7222329519717903</c:v>
                </c:pt>
                <c:pt idx="956">
                  <c:v>6.7291773971901003</c:v>
                </c:pt>
                <c:pt idx="957">
                  <c:v>6.7361218424083997</c:v>
                </c:pt>
                <c:pt idx="958">
                  <c:v>6.7430662876267098</c:v>
                </c:pt>
                <c:pt idx="959">
                  <c:v>6.7500107328450101</c:v>
                </c:pt>
                <c:pt idx="960">
                  <c:v>6.7569551780633104</c:v>
                </c:pt>
                <c:pt idx="961">
                  <c:v>6.7638996232816204</c:v>
                </c:pt>
                <c:pt idx="962">
                  <c:v>6.7708440684999198</c:v>
                </c:pt>
                <c:pt idx="963">
                  <c:v>6.7777885137182299</c:v>
                </c:pt>
                <c:pt idx="964">
                  <c:v>6.7847329589365302</c:v>
                </c:pt>
                <c:pt idx="965">
                  <c:v>6.7916774041548402</c:v>
                </c:pt>
                <c:pt idx="966">
                  <c:v>6.7986218493731396</c:v>
                </c:pt>
                <c:pt idx="967">
                  <c:v>6.8055662945914497</c:v>
                </c:pt>
                <c:pt idx="968">
                  <c:v>6.81251073980975</c:v>
                </c:pt>
                <c:pt idx="969">
                  <c:v>6.81945518502806</c:v>
                </c:pt>
                <c:pt idx="970">
                  <c:v>6.8263996302463603</c:v>
                </c:pt>
                <c:pt idx="971">
                  <c:v>6.8333440754646597</c:v>
                </c:pt>
                <c:pt idx="972">
                  <c:v>6.8402885206829698</c:v>
                </c:pt>
                <c:pt idx="973">
                  <c:v>6.8472329659012701</c:v>
                </c:pt>
                <c:pt idx="974">
                  <c:v>6.8541774111195801</c:v>
                </c:pt>
                <c:pt idx="975">
                  <c:v>6.8611218563378804</c:v>
                </c:pt>
                <c:pt idx="976">
                  <c:v>6.8680663015561896</c:v>
                </c:pt>
                <c:pt idx="977">
                  <c:v>6.8750107467744899</c:v>
                </c:pt>
                <c:pt idx="978">
                  <c:v>6.8819551919927999</c:v>
                </c:pt>
                <c:pt idx="979">
                  <c:v>6.8888996372111002</c:v>
                </c:pt>
                <c:pt idx="980">
                  <c:v>6.8958440824293996</c:v>
                </c:pt>
                <c:pt idx="981">
                  <c:v>6.9027885276477097</c:v>
                </c:pt>
                <c:pt idx="982">
                  <c:v>6.90973297286601</c:v>
                </c:pt>
                <c:pt idx="983">
                  <c:v>6.91667741808432</c:v>
                </c:pt>
                <c:pt idx="984">
                  <c:v>6.9236218633026203</c:v>
                </c:pt>
                <c:pt idx="985">
                  <c:v>6.9305663085209304</c:v>
                </c:pt>
                <c:pt idx="986">
                  <c:v>6.9375107537392298</c:v>
                </c:pt>
                <c:pt idx="987">
                  <c:v>6.9444551989575398</c:v>
                </c:pt>
                <c:pt idx="988">
                  <c:v>6.9513996441758401</c:v>
                </c:pt>
                <c:pt idx="989">
                  <c:v>6.9583440893941502</c:v>
                </c:pt>
                <c:pt idx="990">
                  <c:v>6.9652885346124496</c:v>
                </c:pt>
                <c:pt idx="991">
                  <c:v>6.9722329798307596</c:v>
                </c:pt>
                <c:pt idx="992">
                  <c:v>6.9791774250490599</c:v>
                </c:pt>
                <c:pt idx="993">
                  <c:v>6.9861218702673602</c:v>
                </c:pt>
                <c:pt idx="994">
                  <c:v>6.9930663154856703</c:v>
                </c:pt>
                <c:pt idx="995">
                  <c:v>7.0000107607039803</c:v>
                </c:pt>
                <c:pt idx="996">
                  <c:v>7.0069552059222797</c:v>
                </c:pt>
                <c:pt idx="997">
                  <c:v>7.0138996511405898</c:v>
                </c:pt>
                <c:pt idx="998">
                  <c:v>7.0208440963588998</c:v>
                </c:pt>
                <c:pt idx="999">
                  <c:v>7.0277885415772001</c:v>
                </c:pt>
                <c:pt idx="1000">
                  <c:v>7.0347329867955102</c:v>
                </c:pt>
                <c:pt idx="1001">
                  <c:v>7.0416774320138202</c:v>
                </c:pt>
                <c:pt idx="1002">
                  <c:v>7.0486218772321196</c:v>
                </c:pt>
                <c:pt idx="1003">
                  <c:v>7.0555663224504297</c:v>
                </c:pt>
                <c:pt idx="1004">
                  <c:v>7.0625107676687398</c:v>
                </c:pt>
                <c:pt idx="1005">
                  <c:v>7.06945521288704</c:v>
                </c:pt>
                <c:pt idx="1006">
                  <c:v>7.0763996581053403</c:v>
                </c:pt>
                <c:pt idx="1007">
                  <c:v>7.0833441033236504</c:v>
                </c:pt>
                <c:pt idx="1008">
                  <c:v>7.0902885485419596</c:v>
                </c:pt>
                <c:pt idx="1009">
                  <c:v>7.0972329937602598</c:v>
                </c:pt>
                <c:pt idx="1010">
                  <c:v>7.1041774389785699</c:v>
                </c:pt>
                <c:pt idx="1011">
                  <c:v>7.11112188419688</c:v>
                </c:pt>
                <c:pt idx="1012">
                  <c:v>7.1180663294151802</c:v>
                </c:pt>
                <c:pt idx="1013">
                  <c:v>7.1250107746334903</c:v>
                </c:pt>
                <c:pt idx="1014">
                  <c:v>7.1319552198518004</c:v>
                </c:pt>
                <c:pt idx="1015">
                  <c:v>7.1388996650700998</c:v>
                </c:pt>
                <c:pt idx="1016">
                  <c:v>7.1458441102884098</c:v>
                </c:pt>
                <c:pt idx="1017">
                  <c:v>7.1527885555067199</c:v>
                </c:pt>
                <c:pt idx="1018">
                  <c:v>7.1597330007250202</c:v>
                </c:pt>
                <c:pt idx="1019">
                  <c:v>7.1666774459433302</c:v>
                </c:pt>
                <c:pt idx="1020">
                  <c:v>7.1736218911616296</c:v>
                </c:pt>
                <c:pt idx="1021">
                  <c:v>7.1805663363799397</c:v>
                </c:pt>
                <c:pt idx="1022">
                  <c:v>7.1875107815982497</c:v>
                </c:pt>
                <c:pt idx="1023">
                  <c:v>7.19445522681655</c:v>
                </c:pt>
                <c:pt idx="1024">
                  <c:v>7.2013996720348601</c:v>
                </c:pt>
                <c:pt idx="1025">
                  <c:v>7.2083441172531701</c:v>
                </c:pt>
                <c:pt idx="1026">
                  <c:v>7.2152885624714704</c:v>
                </c:pt>
                <c:pt idx="1027">
                  <c:v>7.2222330076897796</c:v>
                </c:pt>
                <c:pt idx="1028">
                  <c:v>7.2291774529080897</c:v>
                </c:pt>
                <c:pt idx="1029">
                  <c:v>7.23612189812639</c:v>
                </c:pt>
                <c:pt idx="1030">
                  <c:v>7.2430663433447</c:v>
                </c:pt>
                <c:pt idx="1031">
                  <c:v>7.2500107885630101</c:v>
                </c:pt>
                <c:pt idx="1032">
                  <c:v>7.2569552337813104</c:v>
                </c:pt>
                <c:pt idx="1033">
                  <c:v>7.2638996789996204</c:v>
                </c:pt>
                <c:pt idx="1034">
                  <c:v>7.2708441242179198</c:v>
                </c:pt>
                <c:pt idx="1035">
                  <c:v>7.2777885694362299</c:v>
                </c:pt>
                <c:pt idx="1036">
                  <c:v>7.2847330146545302</c:v>
                </c:pt>
                <c:pt idx="1037">
                  <c:v>7.2916774598728402</c:v>
                </c:pt>
                <c:pt idx="1038">
                  <c:v>7.2986219050911503</c:v>
                </c:pt>
                <c:pt idx="1039">
                  <c:v>7.3055663503094497</c:v>
                </c:pt>
                <c:pt idx="1040">
                  <c:v>7.3125107955277597</c:v>
                </c:pt>
                <c:pt idx="1041">
                  <c:v>7.3194552407460698</c:v>
                </c:pt>
                <c:pt idx="1042">
                  <c:v>7.3263996859643701</c:v>
                </c:pt>
                <c:pt idx="1043">
                  <c:v>7.3333441311826801</c:v>
                </c:pt>
                <c:pt idx="1044">
                  <c:v>7.3402885764009902</c:v>
                </c:pt>
                <c:pt idx="1045">
                  <c:v>7.3472330216192896</c:v>
                </c:pt>
                <c:pt idx="1046">
                  <c:v>7.3541774668375997</c:v>
                </c:pt>
                <c:pt idx="1047">
                  <c:v>7.3611219120559097</c:v>
                </c:pt>
                <c:pt idx="1048">
                  <c:v>7.36806635727421</c:v>
                </c:pt>
                <c:pt idx="1049">
                  <c:v>7.3750108024925201</c:v>
                </c:pt>
                <c:pt idx="1050">
                  <c:v>7.3819552477108203</c:v>
                </c:pt>
                <c:pt idx="1051">
                  <c:v>7.3888996929291304</c:v>
                </c:pt>
                <c:pt idx="1052">
                  <c:v>7.3958441381474396</c:v>
                </c:pt>
                <c:pt idx="1053">
                  <c:v>7.4027885833657399</c:v>
                </c:pt>
                <c:pt idx="1054">
                  <c:v>7.4097330285840401</c:v>
                </c:pt>
                <c:pt idx="1055">
                  <c:v>7.4166774738023502</c:v>
                </c:pt>
                <c:pt idx="1056">
                  <c:v>7.4236219190206603</c:v>
                </c:pt>
                <c:pt idx="1057">
                  <c:v>7.4305663642389597</c:v>
                </c:pt>
                <c:pt idx="1058">
                  <c:v>7.4375108094572697</c:v>
                </c:pt>
                <c:pt idx="1059">
                  <c:v>7.44445525467557</c:v>
                </c:pt>
                <c:pt idx="1060">
                  <c:v>7.4513996998938801</c:v>
                </c:pt>
                <c:pt idx="1061">
                  <c:v>7.4583441451121901</c:v>
                </c:pt>
                <c:pt idx="1062">
                  <c:v>7.4652885903304904</c:v>
                </c:pt>
                <c:pt idx="1063">
                  <c:v>7.4722330355487898</c:v>
                </c:pt>
                <c:pt idx="1064">
                  <c:v>7.4791774807670999</c:v>
                </c:pt>
                <c:pt idx="1065">
                  <c:v>7.4861219259854099</c:v>
                </c:pt>
                <c:pt idx="1066">
                  <c:v>7.4930663712037102</c:v>
                </c:pt>
                <c:pt idx="1067">
                  <c:v>7.5000108164220203</c:v>
                </c:pt>
                <c:pt idx="1068">
                  <c:v>7.5069552616403197</c:v>
                </c:pt>
                <c:pt idx="1069">
                  <c:v>7.5138997068586297</c:v>
                </c:pt>
                <c:pt idx="1070">
                  <c:v>7.5208441520769398</c:v>
                </c:pt>
                <c:pt idx="1071">
                  <c:v>7.5277885972952401</c:v>
                </c:pt>
                <c:pt idx="1072">
                  <c:v>7.5347330425135404</c:v>
                </c:pt>
                <c:pt idx="1073">
                  <c:v>7.5416774877318504</c:v>
                </c:pt>
                <c:pt idx="1074">
                  <c:v>7.5486219329501498</c:v>
                </c:pt>
                <c:pt idx="1075">
                  <c:v>7.5555663781684599</c:v>
                </c:pt>
                <c:pt idx="1076">
                  <c:v>7.5625108233867699</c:v>
                </c:pt>
                <c:pt idx="1077">
                  <c:v>7.5694552686050702</c:v>
                </c:pt>
                <c:pt idx="1078">
                  <c:v>7.5763997138233696</c:v>
                </c:pt>
                <c:pt idx="1079">
                  <c:v>7.5833441590416797</c:v>
                </c:pt>
                <c:pt idx="1080">
                  <c:v>7.5902886042599897</c:v>
                </c:pt>
                <c:pt idx="1081">
                  <c:v>7.59723304947829</c:v>
                </c:pt>
                <c:pt idx="1082">
                  <c:v>7.6041774946966001</c:v>
                </c:pt>
                <c:pt idx="1083">
                  <c:v>7.6111219399149004</c:v>
                </c:pt>
                <c:pt idx="1084">
                  <c:v>7.6180663851332104</c:v>
                </c:pt>
                <c:pt idx="1085">
                  <c:v>7.6250108303515196</c:v>
                </c:pt>
                <c:pt idx="1086">
                  <c:v>7.6319552755698199</c:v>
                </c:pt>
                <c:pt idx="1087">
                  <c:v>7.63889972078813</c:v>
                </c:pt>
                <c:pt idx="1088">
                  <c:v>7.64584416600644</c:v>
                </c:pt>
                <c:pt idx="1089">
                  <c:v>7.6527886112247403</c:v>
                </c:pt>
                <c:pt idx="1090">
                  <c:v>7.6597330564430397</c:v>
                </c:pt>
                <c:pt idx="1091">
                  <c:v>7.6666775016613498</c:v>
                </c:pt>
                <c:pt idx="1092">
                  <c:v>7.6736219468796598</c:v>
                </c:pt>
                <c:pt idx="1093">
                  <c:v>7.6805663920979601</c:v>
                </c:pt>
                <c:pt idx="1094">
                  <c:v>7.6875108373162702</c:v>
                </c:pt>
                <c:pt idx="1095">
                  <c:v>7.6944552825345696</c:v>
                </c:pt>
                <c:pt idx="1096">
                  <c:v>7.7013997277528796</c:v>
                </c:pt>
                <c:pt idx="1097">
                  <c:v>7.7083441729711897</c:v>
                </c:pt>
                <c:pt idx="1098">
                  <c:v>7.71528861818949</c:v>
                </c:pt>
                <c:pt idx="1099">
                  <c:v>7.7222330634078</c:v>
                </c:pt>
                <c:pt idx="1100">
                  <c:v>7.7291775086261101</c:v>
                </c:pt>
                <c:pt idx="1101">
                  <c:v>7.7361219538444104</c:v>
                </c:pt>
                <c:pt idx="1102">
                  <c:v>7.7430663990627098</c:v>
                </c:pt>
                <c:pt idx="1103">
                  <c:v>7.7500108442810198</c:v>
                </c:pt>
                <c:pt idx="1104">
                  <c:v>7.7569552894993299</c:v>
                </c:pt>
                <c:pt idx="1105">
                  <c:v>7.7638997347176302</c:v>
                </c:pt>
                <c:pt idx="1106">
                  <c:v>7.7708441799359402</c:v>
                </c:pt>
                <c:pt idx="1107">
                  <c:v>7.7777886251542396</c:v>
                </c:pt>
                <c:pt idx="1108">
                  <c:v>7.7847330703725497</c:v>
                </c:pt>
                <c:pt idx="1109">
                  <c:v>7.7916775155908597</c:v>
                </c:pt>
                <c:pt idx="1110">
                  <c:v>7.79862196080916</c:v>
                </c:pt>
                <c:pt idx="1111">
                  <c:v>7.8055664060274701</c:v>
                </c:pt>
                <c:pt idx="1112">
                  <c:v>7.8125108512457802</c:v>
                </c:pt>
                <c:pt idx="1113">
                  <c:v>7.8194552964640804</c:v>
                </c:pt>
                <c:pt idx="1114">
                  <c:v>7.8263997416823798</c:v>
                </c:pt>
                <c:pt idx="1115">
                  <c:v>7.8333441869006997</c:v>
                </c:pt>
                <c:pt idx="1116">
                  <c:v>7.840288632119</c:v>
                </c:pt>
                <c:pt idx="1117">
                  <c:v>7.8472330773373002</c:v>
                </c:pt>
                <c:pt idx="1118">
                  <c:v>7.8541775225556103</c:v>
                </c:pt>
                <c:pt idx="1119">
                  <c:v>7.8611219677739097</c:v>
                </c:pt>
                <c:pt idx="1120">
                  <c:v>7.8680664129922198</c:v>
                </c:pt>
                <c:pt idx="1121">
                  <c:v>7.8750108582105298</c:v>
                </c:pt>
                <c:pt idx="1122">
                  <c:v>7.8819553034288301</c:v>
                </c:pt>
                <c:pt idx="1123">
                  <c:v>7.8888997486471402</c:v>
                </c:pt>
                <c:pt idx="1124">
                  <c:v>7.8958441938654502</c:v>
                </c:pt>
                <c:pt idx="1125">
                  <c:v>7.9027886390837496</c:v>
                </c:pt>
                <c:pt idx="1126">
                  <c:v>7.9097330843020499</c:v>
                </c:pt>
                <c:pt idx="1127">
                  <c:v>7.91667752952036</c:v>
                </c:pt>
                <c:pt idx="1128">
                  <c:v>7.92362197473867</c:v>
                </c:pt>
                <c:pt idx="1129">
                  <c:v>7.9305664199569703</c:v>
                </c:pt>
                <c:pt idx="1130">
                  <c:v>7.9375108651752804</c:v>
                </c:pt>
                <c:pt idx="1131">
                  <c:v>7.9444553103935798</c:v>
                </c:pt>
                <c:pt idx="1132">
                  <c:v>7.9513997556118898</c:v>
                </c:pt>
                <c:pt idx="1133">
                  <c:v>7.9583442008301999</c:v>
                </c:pt>
                <c:pt idx="1134">
                  <c:v>7.9652886460485002</c:v>
                </c:pt>
                <c:pt idx="1135">
                  <c:v>7.9722330912668102</c:v>
                </c:pt>
                <c:pt idx="1136">
                  <c:v>7.9791775364851203</c:v>
                </c:pt>
                <c:pt idx="1137">
                  <c:v>7.9861219817034197</c:v>
                </c:pt>
                <c:pt idx="1138">
                  <c:v>7.99306642692172</c:v>
                </c:pt>
                <c:pt idx="1139">
                  <c:v>8.0000108721400398</c:v>
                </c:pt>
                <c:pt idx="1140">
                  <c:v>8.0069553173583401</c:v>
                </c:pt>
                <c:pt idx="1141">
                  <c:v>8.0138997625766404</c:v>
                </c:pt>
                <c:pt idx="1142">
                  <c:v>8.0208442077949496</c:v>
                </c:pt>
                <c:pt idx="1143">
                  <c:v>8.0277886530132498</c:v>
                </c:pt>
                <c:pt idx="1144">
                  <c:v>8.0347330982315608</c:v>
                </c:pt>
                <c:pt idx="1145">
                  <c:v>8.04167754344987</c:v>
                </c:pt>
                <c:pt idx="1146">
                  <c:v>8.0486219886681702</c:v>
                </c:pt>
                <c:pt idx="1147">
                  <c:v>8.0555664338864794</c:v>
                </c:pt>
                <c:pt idx="1148">
                  <c:v>8.0625108791047904</c:v>
                </c:pt>
                <c:pt idx="1149">
                  <c:v>8.0694553243230907</c:v>
                </c:pt>
                <c:pt idx="1150">
                  <c:v>8.0763997695413892</c:v>
                </c:pt>
                <c:pt idx="1151">
                  <c:v>8.0833442147597001</c:v>
                </c:pt>
                <c:pt idx="1152">
                  <c:v>8.0902886599780004</c:v>
                </c:pt>
                <c:pt idx="1153">
                  <c:v>8.0972331051963096</c:v>
                </c:pt>
                <c:pt idx="1154">
                  <c:v>8.1041775504146205</c:v>
                </c:pt>
                <c:pt idx="1155">
                  <c:v>8.1111219956329208</c:v>
                </c:pt>
                <c:pt idx="1156">
                  <c:v>8.11806644085123</c:v>
                </c:pt>
                <c:pt idx="1157">
                  <c:v>8.1250108860695303</c:v>
                </c:pt>
                <c:pt idx="1158">
                  <c:v>8.1319553312878305</c:v>
                </c:pt>
                <c:pt idx="1159">
                  <c:v>8.1388997765061397</c:v>
                </c:pt>
                <c:pt idx="1160">
                  <c:v>8.1458442217244507</c:v>
                </c:pt>
                <c:pt idx="1161">
                  <c:v>8.1527886669427492</c:v>
                </c:pt>
                <c:pt idx="1162">
                  <c:v>8.1597331121610601</c:v>
                </c:pt>
                <c:pt idx="1163">
                  <c:v>8.1666775573793693</c:v>
                </c:pt>
                <c:pt idx="1164">
                  <c:v>8.1736220025976696</c:v>
                </c:pt>
                <c:pt idx="1165">
                  <c:v>8.1805664478159805</c:v>
                </c:pt>
                <c:pt idx="1166">
                  <c:v>8.1875108930342808</c:v>
                </c:pt>
                <c:pt idx="1167">
                  <c:v>8.1944553382525793</c:v>
                </c:pt>
                <c:pt idx="1168">
                  <c:v>8.2013997834708903</c:v>
                </c:pt>
                <c:pt idx="1169">
                  <c:v>8.2083442286891994</c:v>
                </c:pt>
                <c:pt idx="1170">
                  <c:v>8.2152886739074997</c:v>
                </c:pt>
                <c:pt idx="1171">
                  <c:v>8.2222331191258107</c:v>
                </c:pt>
                <c:pt idx="1172">
                  <c:v>8.2291775643441198</c:v>
                </c:pt>
                <c:pt idx="1173">
                  <c:v>8.2361220095624201</c:v>
                </c:pt>
                <c:pt idx="1174">
                  <c:v>8.2430664547807293</c:v>
                </c:pt>
                <c:pt idx="1175">
                  <c:v>8.2500108999990296</c:v>
                </c:pt>
                <c:pt idx="1176">
                  <c:v>8.2569553452173405</c:v>
                </c:pt>
                <c:pt idx="1177">
                  <c:v>8.2638997904356497</c:v>
                </c:pt>
                <c:pt idx="1178">
                  <c:v>8.27084423565395</c:v>
                </c:pt>
                <c:pt idx="1179">
                  <c:v>8.2777886808722592</c:v>
                </c:pt>
                <c:pt idx="1180">
                  <c:v>8.2847331260905701</c:v>
                </c:pt>
                <c:pt idx="1181">
                  <c:v>8.2916775713088704</c:v>
                </c:pt>
                <c:pt idx="1182">
                  <c:v>8.2986220165271796</c:v>
                </c:pt>
                <c:pt idx="1183">
                  <c:v>8.3055664617454905</c:v>
                </c:pt>
                <c:pt idx="1184">
                  <c:v>8.3125109069637908</c:v>
                </c:pt>
                <c:pt idx="1185">
                  <c:v>8.3194553521821</c:v>
                </c:pt>
                <c:pt idx="1186">
                  <c:v>8.3263997974004003</c:v>
                </c:pt>
                <c:pt idx="1187">
                  <c:v>8.3333442426187094</c:v>
                </c:pt>
                <c:pt idx="1188">
                  <c:v>8.3402886878370097</c:v>
                </c:pt>
                <c:pt idx="1189">
                  <c:v>8.3472331330553207</c:v>
                </c:pt>
                <c:pt idx="1190">
                  <c:v>8.3541775782736298</c:v>
                </c:pt>
                <c:pt idx="1191">
                  <c:v>8.3611220234919301</c:v>
                </c:pt>
                <c:pt idx="1192">
                  <c:v>8.3680664687102393</c:v>
                </c:pt>
                <c:pt idx="1193">
                  <c:v>8.3750109139285502</c:v>
                </c:pt>
                <c:pt idx="1194">
                  <c:v>8.3819553591468505</c:v>
                </c:pt>
                <c:pt idx="1195">
                  <c:v>8.3888998043651597</c:v>
                </c:pt>
                <c:pt idx="1196">
                  <c:v>8.3958442495834706</c:v>
                </c:pt>
                <c:pt idx="1197">
                  <c:v>8.4027886948017692</c:v>
                </c:pt>
                <c:pt idx="1198">
                  <c:v>8.4097331400200801</c:v>
                </c:pt>
                <c:pt idx="1199">
                  <c:v>8.4166775852383804</c:v>
                </c:pt>
                <c:pt idx="1200">
                  <c:v>8.4236220304566896</c:v>
                </c:pt>
                <c:pt idx="1201">
                  <c:v>8.4305664756750005</c:v>
                </c:pt>
                <c:pt idx="1202">
                  <c:v>8.4375109208933097</c:v>
                </c:pt>
                <c:pt idx="1203">
                  <c:v>8.44445536611161</c:v>
                </c:pt>
                <c:pt idx="1204">
                  <c:v>8.4513998113299191</c:v>
                </c:pt>
                <c:pt idx="1205">
                  <c:v>8.4583442565482194</c:v>
                </c:pt>
                <c:pt idx="1206">
                  <c:v>8.4652887017665304</c:v>
                </c:pt>
                <c:pt idx="1207">
                  <c:v>8.4722331469848395</c:v>
                </c:pt>
                <c:pt idx="1208">
                  <c:v>8.4791775922031398</c:v>
                </c:pt>
                <c:pt idx="1209">
                  <c:v>8.4861220374214508</c:v>
                </c:pt>
                <c:pt idx="1210">
                  <c:v>8.4930664826397599</c:v>
                </c:pt>
                <c:pt idx="1211">
                  <c:v>8.5000109278580602</c:v>
                </c:pt>
                <c:pt idx="1212">
                  <c:v>8.5069553730763605</c:v>
                </c:pt>
                <c:pt idx="1213">
                  <c:v>8.5138998182946803</c:v>
                </c:pt>
                <c:pt idx="1214">
                  <c:v>8.5208442635129806</c:v>
                </c:pt>
                <c:pt idx="1215">
                  <c:v>8.5277887087312898</c:v>
                </c:pt>
                <c:pt idx="1216">
                  <c:v>8.5347331539495901</c:v>
                </c:pt>
                <c:pt idx="1217">
                  <c:v>8.5416775991678993</c:v>
                </c:pt>
                <c:pt idx="1218">
                  <c:v>8.5486220443861995</c:v>
                </c:pt>
                <c:pt idx="1219">
                  <c:v>8.5555664896045105</c:v>
                </c:pt>
                <c:pt idx="1220">
                  <c:v>8.5625109348228197</c:v>
                </c:pt>
                <c:pt idx="1221">
                  <c:v>8.56945538004112</c:v>
                </c:pt>
                <c:pt idx="1222">
                  <c:v>8.5763998252594291</c:v>
                </c:pt>
                <c:pt idx="1223">
                  <c:v>8.5833442704777401</c:v>
                </c:pt>
                <c:pt idx="1224">
                  <c:v>8.5902887156960404</c:v>
                </c:pt>
                <c:pt idx="1225">
                  <c:v>8.5972331609143495</c:v>
                </c:pt>
                <c:pt idx="1226">
                  <c:v>8.6041776061326605</c:v>
                </c:pt>
                <c:pt idx="1227">
                  <c:v>8.6111220513509608</c:v>
                </c:pt>
                <c:pt idx="1228">
                  <c:v>8.6180664965692699</c:v>
                </c:pt>
                <c:pt idx="1229">
                  <c:v>8.6250109417875702</c:v>
                </c:pt>
                <c:pt idx="1230">
                  <c:v>8.6319553870058794</c:v>
                </c:pt>
                <c:pt idx="1231">
                  <c:v>8.6388998322241797</c:v>
                </c:pt>
                <c:pt idx="1232">
                  <c:v>8.6458442774424906</c:v>
                </c:pt>
                <c:pt idx="1233">
                  <c:v>8.6527887226607891</c:v>
                </c:pt>
                <c:pt idx="1234">
                  <c:v>8.6597331678791001</c:v>
                </c:pt>
                <c:pt idx="1235">
                  <c:v>8.6666776130974004</c:v>
                </c:pt>
                <c:pt idx="1236">
                  <c:v>8.6736220583157095</c:v>
                </c:pt>
                <c:pt idx="1237">
                  <c:v>8.6805665035340098</c:v>
                </c:pt>
                <c:pt idx="1238">
                  <c:v>8.6875109487523208</c:v>
                </c:pt>
                <c:pt idx="1239">
                  <c:v>8.6944553939706193</c:v>
                </c:pt>
                <c:pt idx="1240">
                  <c:v>8.7013998391889196</c:v>
                </c:pt>
                <c:pt idx="1241">
                  <c:v>8.7083442844072305</c:v>
                </c:pt>
                <c:pt idx="1242">
                  <c:v>8.7152887296255308</c:v>
                </c:pt>
                <c:pt idx="1243">
                  <c:v>8.72223317484384</c:v>
                </c:pt>
                <c:pt idx="1244">
                  <c:v>8.7291776200621403</c:v>
                </c:pt>
                <c:pt idx="1245">
                  <c:v>8.7361220652804494</c:v>
                </c:pt>
                <c:pt idx="1246">
                  <c:v>8.7430665104987497</c:v>
                </c:pt>
                <c:pt idx="1247">
                  <c:v>8.7500109557170607</c:v>
                </c:pt>
                <c:pt idx="1248">
                  <c:v>8.7569554009353592</c:v>
                </c:pt>
                <c:pt idx="1249">
                  <c:v>8.7638998461536701</c:v>
                </c:pt>
                <c:pt idx="1250">
                  <c:v>8.7708442913719704</c:v>
                </c:pt>
                <c:pt idx="1251">
                  <c:v>8.7777887365902707</c:v>
                </c:pt>
                <c:pt idx="1252">
                  <c:v>8.7847331818085799</c:v>
                </c:pt>
                <c:pt idx="1253">
                  <c:v>8.7916776270268802</c:v>
                </c:pt>
                <c:pt idx="1254">
                  <c:v>8.7986220722451893</c:v>
                </c:pt>
                <c:pt idx="1255">
                  <c:v>8.8055665174634896</c:v>
                </c:pt>
                <c:pt idx="1256">
                  <c:v>8.8125109626818006</c:v>
                </c:pt>
                <c:pt idx="1257">
                  <c:v>8.8194554079001009</c:v>
                </c:pt>
                <c:pt idx="1258">
                  <c:v>8.82639985311841</c:v>
                </c:pt>
                <c:pt idx="1259">
                  <c:v>8.8333442983367103</c:v>
                </c:pt>
                <c:pt idx="1260">
                  <c:v>8.8402887435550106</c:v>
                </c:pt>
                <c:pt idx="1261">
                  <c:v>8.8472331887733198</c:v>
                </c:pt>
                <c:pt idx="1262">
                  <c:v>8.8541776339916201</c:v>
                </c:pt>
                <c:pt idx="1263">
                  <c:v>8.8611220792099292</c:v>
                </c:pt>
                <c:pt idx="1264">
                  <c:v>8.8680665244282295</c:v>
                </c:pt>
                <c:pt idx="1265">
                  <c:v>8.8750109696465405</c:v>
                </c:pt>
                <c:pt idx="1266">
                  <c:v>8.8819554148648407</c:v>
                </c:pt>
                <c:pt idx="1267">
                  <c:v>8.8888998600831499</c:v>
                </c:pt>
                <c:pt idx="1268">
                  <c:v>8.8958443053014502</c:v>
                </c:pt>
                <c:pt idx="1269">
                  <c:v>8.9027887505197505</c:v>
                </c:pt>
                <c:pt idx="1270">
                  <c:v>8.9097331957380597</c:v>
                </c:pt>
                <c:pt idx="1271">
                  <c:v>8.91667764095636</c:v>
                </c:pt>
                <c:pt idx="1272">
                  <c:v>8.9236220861746691</c:v>
                </c:pt>
                <c:pt idx="1273">
                  <c:v>8.9305665313929694</c:v>
                </c:pt>
                <c:pt idx="1274">
                  <c:v>8.9375109766112804</c:v>
                </c:pt>
                <c:pt idx="1275">
                  <c:v>8.9444554218295806</c:v>
                </c:pt>
                <c:pt idx="1276">
                  <c:v>8.9513998670478898</c:v>
                </c:pt>
                <c:pt idx="1277">
                  <c:v>8.9583443122661901</c:v>
                </c:pt>
                <c:pt idx="1278">
                  <c:v>8.9652887574844993</c:v>
                </c:pt>
                <c:pt idx="1279">
                  <c:v>8.9722332027027996</c:v>
                </c:pt>
                <c:pt idx="1280">
                  <c:v>8.9791776479211105</c:v>
                </c:pt>
                <c:pt idx="1281">
                  <c:v>8.9861220931394108</c:v>
                </c:pt>
                <c:pt idx="1282">
                  <c:v>8.9930665383577093</c:v>
                </c:pt>
                <c:pt idx="1283">
                  <c:v>9.0000109835760203</c:v>
                </c:pt>
                <c:pt idx="1284">
                  <c:v>9.0069554287943205</c:v>
                </c:pt>
                <c:pt idx="1285">
                  <c:v>9.0138998740126297</c:v>
                </c:pt>
                <c:pt idx="1286">
                  <c:v>9.02084431923093</c:v>
                </c:pt>
                <c:pt idx="1287">
                  <c:v>9.0277887644492392</c:v>
                </c:pt>
                <c:pt idx="1288">
                  <c:v>9.0347332096675395</c:v>
                </c:pt>
                <c:pt idx="1289">
                  <c:v>9.0416776548858504</c:v>
                </c:pt>
                <c:pt idx="1290">
                  <c:v>9.0486221001041507</c:v>
                </c:pt>
                <c:pt idx="1291">
                  <c:v>9.0555665453224599</c:v>
                </c:pt>
                <c:pt idx="1292">
                  <c:v>9.0625109905407601</c:v>
                </c:pt>
                <c:pt idx="1293">
                  <c:v>9.0694554357590604</c:v>
                </c:pt>
                <c:pt idx="1294">
                  <c:v>9.0763998809773696</c:v>
                </c:pt>
                <c:pt idx="1295">
                  <c:v>9.0833443261956699</c:v>
                </c:pt>
                <c:pt idx="1296">
                  <c:v>9.0902887714139808</c:v>
                </c:pt>
                <c:pt idx="1297">
                  <c:v>9.0972332166322794</c:v>
                </c:pt>
                <c:pt idx="1298">
                  <c:v>9.1041776618505903</c:v>
                </c:pt>
                <c:pt idx="1299">
                  <c:v>9.1111221070688906</c:v>
                </c:pt>
                <c:pt idx="1300">
                  <c:v>9.1180665522871998</c:v>
                </c:pt>
                <c:pt idx="1301">
                  <c:v>9.1250109975055</c:v>
                </c:pt>
                <c:pt idx="1302">
                  <c:v>9.1319554427238003</c:v>
                </c:pt>
                <c:pt idx="1303">
                  <c:v>9.1388998879421095</c:v>
                </c:pt>
                <c:pt idx="1304">
                  <c:v>9.1458443331604098</c:v>
                </c:pt>
                <c:pt idx="1305">
                  <c:v>9.1527887783787207</c:v>
                </c:pt>
                <c:pt idx="1306">
                  <c:v>9.1597332235970192</c:v>
                </c:pt>
                <c:pt idx="1307">
                  <c:v>9.1666776688153302</c:v>
                </c:pt>
                <c:pt idx="1308">
                  <c:v>9.1736221140336305</c:v>
                </c:pt>
                <c:pt idx="1309">
                  <c:v>9.1805665592519397</c:v>
                </c:pt>
                <c:pt idx="1310">
                  <c:v>9.1875110044702399</c:v>
                </c:pt>
                <c:pt idx="1311">
                  <c:v>9.1944554496885402</c:v>
                </c:pt>
                <c:pt idx="1312">
                  <c:v>9.2013998949068494</c:v>
                </c:pt>
                <c:pt idx="1313">
                  <c:v>9.2083443401251497</c:v>
                </c:pt>
                <c:pt idx="1314">
                  <c:v>9.2152887853434606</c:v>
                </c:pt>
                <c:pt idx="1315">
                  <c:v>9.2222332305617591</c:v>
                </c:pt>
                <c:pt idx="1316">
                  <c:v>9.2291776757800701</c:v>
                </c:pt>
                <c:pt idx="1317">
                  <c:v>9.2361221209983704</c:v>
                </c:pt>
                <c:pt idx="1318">
                  <c:v>9.2430665662166795</c:v>
                </c:pt>
                <c:pt idx="1319">
                  <c:v>9.2500110114349798</c:v>
                </c:pt>
                <c:pt idx="1320">
                  <c:v>9.2569554566532908</c:v>
                </c:pt>
                <c:pt idx="1321">
                  <c:v>9.2638999018715893</c:v>
                </c:pt>
                <c:pt idx="1322">
                  <c:v>9.2708443470899002</c:v>
                </c:pt>
                <c:pt idx="1323">
                  <c:v>9.2777887923082005</c:v>
                </c:pt>
                <c:pt idx="1324">
                  <c:v>9.2847332375265008</c:v>
                </c:pt>
                <c:pt idx="1325">
                  <c:v>9.29167768274481</c:v>
                </c:pt>
                <c:pt idx="1326">
                  <c:v>9.2986221279631103</c:v>
                </c:pt>
                <c:pt idx="1327">
                  <c:v>9.3055665731814194</c:v>
                </c:pt>
                <c:pt idx="1328">
                  <c:v>9.3125110183997197</c:v>
                </c:pt>
                <c:pt idx="1329">
                  <c:v>9.3194554636180307</c:v>
                </c:pt>
                <c:pt idx="1330">
                  <c:v>9.3263999088363292</c:v>
                </c:pt>
                <c:pt idx="1331">
                  <c:v>9.3333443540546401</c:v>
                </c:pt>
                <c:pt idx="1332">
                  <c:v>9.3402887992729404</c:v>
                </c:pt>
                <c:pt idx="1333">
                  <c:v>9.3472332444912496</c:v>
                </c:pt>
                <c:pt idx="1334">
                  <c:v>9.3541776897095499</c:v>
                </c:pt>
                <c:pt idx="1335">
                  <c:v>9.3611221349278502</c:v>
                </c:pt>
                <c:pt idx="1336">
                  <c:v>9.3680665801461593</c:v>
                </c:pt>
                <c:pt idx="1337">
                  <c:v>9.3750110253644596</c:v>
                </c:pt>
                <c:pt idx="1338">
                  <c:v>9.3819554705827706</c:v>
                </c:pt>
                <c:pt idx="1339">
                  <c:v>9.3888999158010709</c:v>
                </c:pt>
                <c:pt idx="1340">
                  <c:v>9.39584436101938</c:v>
                </c:pt>
                <c:pt idx="1341">
                  <c:v>9.4027888062376803</c:v>
                </c:pt>
                <c:pt idx="1342">
                  <c:v>9.4097332514559806</c:v>
                </c:pt>
                <c:pt idx="1343">
                  <c:v>9.4166776966742898</c:v>
                </c:pt>
                <c:pt idx="1344">
                  <c:v>9.4236221418925901</c:v>
                </c:pt>
                <c:pt idx="1345">
                  <c:v>9.4305665871108992</c:v>
                </c:pt>
                <c:pt idx="1346">
                  <c:v>9.4375110323291995</c:v>
                </c:pt>
                <c:pt idx="1347">
                  <c:v>9.4444554775475105</c:v>
                </c:pt>
                <c:pt idx="1348">
                  <c:v>9.4513999227658108</c:v>
                </c:pt>
                <c:pt idx="1349">
                  <c:v>9.4583443679841199</c:v>
                </c:pt>
                <c:pt idx="1350">
                  <c:v>9.4652888132024202</c:v>
                </c:pt>
                <c:pt idx="1351">
                  <c:v>9.4722332584207294</c:v>
                </c:pt>
                <c:pt idx="1352">
                  <c:v>9.4791777036390297</c:v>
                </c:pt>
                <c:pt idx="1353">
                  <c:v>9.48612214885733</c:v>
                </c:pt>
                <c:pt idx="1354">
                  <c:v>9.4930665940756391</c:v>
                </c:pt>
                <c:pt idx="1355">
                  <c:v>9.5000110392939394</c:v>
                </c:pt>
                <c:pt idx="1356">
                  <c:v>9.5069554845122504</c:v>
                </c:pt>
                <c:pt idx="1357">
                  <c:v>9.5138999297305507</c:v>
                </c:pt>
                <c:pt idx="1358">
                  <c:v>9.5208443749488598</c:v>
                </c:pt>
                <c:pt idx="1359">
                  <c:v>9.5277888201671601</c:v>
                </c:pt>
                <c:pt idx="1360">
                  <c:v>9.5347332653854693</c:v>
                </c:pt>
                <c:pt idx="1361">
                  <c:v>9.5416777106037696</c:v>
                </c:pt>
                <c:pt idx="1362">
                  <c:v>9.5486221558220805</c:v>
                </c:pt>
                <c:pt idx="1363">
                  <c:v>9.5555666010403808</c:v>
                </c:pt>
                <c:pt idx="1364">
                  <c:v>9.5625110462586793</c:v>
                </c:pt>
                <c:pt idx="1365">
                  <c:v>9.5694554914769903</c:v>
                </c:pt>
                <c:pt idx="1366">
                  <c:v>9.5763999366952905</c:v>
                </c:pt>
                <c:pt idx="1367">
                  <c:v>9.5833443819135997</c:v>
                </c:pt>
                <c:pt idx="1368">
                  <c:v>9.5902888271319</c:v>
                </c:pt>
                <c:pt idx="1369">
                  <c:v>9.5972332723502092</c:v>
                </c:pt>
                <c:pt idx="1370">
                  <c:v>9.6041777175685095</c:v>
                </c:pt>
                <c:pt idx="1371">
                  <c:v>9.6111221627868204</c:v>
                </c:pt>
                <c:pt idx="1372">
                  <c:v>9.6180666080051207</c:v>
                </c:pt>
                <c:pt idx="1373">
                  <c:v>9.6250110532234299</c:v>
                </c:pt>
                <c:pt idx="1374">
                  <c:v>9.6319554984417302</c:v>
                </c:pt>
                <c:pt idx="1375">
                  <c:v>9.6388999436600304</c:v>
                </c:pt>
                <c:pt idx="1376">
                  <c:v>9.6458443888783396</c:v>
                </c:pt>
                <c:pt idx="1377">
                  <c:v>9.6527888340966399</c:v>
                </c:pt>
                <c:pt idx="1378">
                  <c:v>9.6597332793149508</c:v>
                </c:pt>
                <c:pt idx="1379">
                  <c:v>9.6666777245332494</c:v>
                </c:pt>
                <c:pt idx="1380">
                  <c:v>9.6736221697515603</c:v>
                </c:pt>
                <c:pt idx="1381">
                  <c:v>9.6805666149698606</c:v>
                </c:pt>
                <c:pt idx="1382">
                  <c:v>9.6875110601881698</c:v>
                </c:pt>
                <c:pt idx="1383">
                  <c:v>9.6944555054064701</c:v>
                </c:pt>
                <c:pt idx="1384">
                  <c:v>9.7013999506247703</c:v>
                </c:pt>
                <c:pt idx="1385">
                  <c:v>9.7083443958430795</c:v>
                </c:pt>
                <c:pt idx="1386">
                  <c:v>9.7152888410613798</c:v>
                </c:pt>
                <c:pt idx="1387">
                  <c:v>9.7222332862796907</c:v>
                </c:pt>
                <c:pt idx="1388">
                  <c:v>9.7291777314979893</c:v>
                </c:pt>
                <c:pt idx="1389">
                  <c:v>9.7361221767163002</c:v>
                </c:pt>
                <c:pt idx="1390">
                  <c:v>9.7430666219346005</c:v>
                </c:pt>
                <c:pt idx="1391">
                  <c:v>9.7500110671529097</c:v>
                </c:pt>
                <c:pt idx="1392">
                  <c:v>9.7569555123712099</c:v>
                </c:pt>
                <c:pt idx="1393">
                  <c:v>9.7638999575895191</c:v>
                </c:pt>
                <c:pt idx="1394">
                  <c:v>9.7708444028078194</c:v>
                </c:pt>
                <c:pt idx="1395">
                  <c:v>9.7777888480261197</c:v>
                </c:pt>
                <c:pt idx="1396">
                  <c:v>9.7847332932444306</c:v>
                </c:pt>
                <c:pt idx="1397">
                  <c:v>9.7916777384627292</c:v>
                </c:pt>
                <c:pt idx="1398">
                  <c:v>9.7986221836810401</c:v>
                </c:pt>
                <c:pt idx="1399">
                  <c:v>9.8055666288993404</c:v>
                </c:pt>
                <c:pt idx="1400">
                  <c:v>9.8125110741176496</c:v>
                </c:pt>
                <c:pt idx="1401">
                  <c:v>9.8194555193359498</c:v>
                </c:pt>
                <c:pt idx="1402">
                  <c:v>9.8263999645542608</c:v>
                </c:pt>
                <c:pt idx="1403">
                  <c:v>9.8333444097725593</c:v>
                </c:pt>
                <c:pt idx="1404">
                  <c:v>9.8402888549908702</c:v>
                </c:pt>
                <c:pt idx="1405">
                  <c:v>9.8472333002091705</c:v>
                </c:pt>
                <c:pt idx="1406">
                  <c:v>9.8541777454274708</c:v>
                </c:pt>
                <c:pt idx="1407">
                  <c:v>9.86112219064578</c:v>
                </c:pt>
                <c:pt idx="1408">
                  <c:v>9.8680666358640803</c:v>
                </c:pt>
                <c:pt idx="1409">
                  <c:v>9.8750110810823895</c:v>
                </c:pt>
                <c:pt idx="1410">
                  <c:v>9.8819555263006897</c:v>
                </c:pt>
                <c:pt idx="1411">
                  <c:v>9.8888999715190007</c:v>
                </c:pt>
                <c:pt idx="1412">
                  <c:v>9.8958444167372992</c:v>
                </c:pt>
                <c:pt idx="1413">
                  <c:v>9.9027888619556101</c:v>
                </c:pt>
                <c:pt idx="1414">
                  <c:v>9.9097333071739104</c:v>
                </c:pt>
                <c:pt idx="1415">
                  <c:v>9.9166777523922196</c:v>
                </c:pt>
                <c:pt idx="1416">
                  <c:v>9.9236221976105199</c:v>
                </c:pt>
                <c:pt idx="1417">
                  <c:v>9.9305666428288202</c:v>
                </c:pt>
                <c:pt idx="1418">
                  <c:v>9.9375110880471293</c:v>
                </c:pt>
                <c:pt idx="1419">
                  <c:v>9.9444555332654296</c:v>
                </c:pt>
                <c:pt idx="1420">
                  <c:v>9.9513999784837406</c:v>
                </c:pt>
                <c:pt idx="1421">
                  <c:v>9.9583444237020409</c:v>
                </c:pt>
                <c:pt idx="1422">
                  <c:v>9.96528886892035</c:v>
                </c:pt>
                <c:pt idx="1423">
                  <c:v>9.9722333141386503</c:v>
                </c:pt>
                <c:pt idx="1424">
                  <c:v>9.9791777593569595</c:v>
                </c:pt>
                <c:pt idx="1425">
                  <c:v>9.9861222045752598</c:v>
                </c:pt>
                <c:pt idx="1426">
                  <c:v>9.9930666497935601</c:v>
                </c:pt>
                <c:pt idx="1427">
                  <c:v>10.0000110950118</c:v>
                </c:pt>
                <c:pt idx="1428">
                  <c:v>10.0069555402301</c:v>
                </c:pt>
                <c:pt idx="1429">
                  <c:v>10.013899985448401</c:v>
                </c:pt>
                <c:pt idx="1430">
                  <c:v>10.020844430666701</c:v>
                </c:pt>
                <c:pt idx="1431">
                  <c:v>10.027788875884999</c:v>
                </c:pt>
                <c:pt idx="1432">
                  <c:v>10.0347333211033</c:v>
                </c:pt>
                <c:pt idx="1433">
                  <c:v>10.041677766321699</c:v>
                </c:pt>
                <c:pt idx="1434">
                  <c:v>10.04862221154</c:v>
                </c:pt>
                <c:pt idx="1435">
                  <c:v>10.0555666567583</c:v>
                </c:pt>
                <c:pt idx="1436">
                  <c:v>10.0625111019766</c:v>
                </c:pt>
                <c:pt idx="1437">
                  <c:v>10.069455547194901</c:v>
                </c:pt>
                <c:pt idx="1438">
                  <c:v>10.076399992413201</c:v>
                </c:pt>
                <c:pt idx="1439">
                  <c:v>10.083342706151999</c:v>
                </c:pt>
                <c:pt idx="1440">
                  <c:v>10.0902871606296</c:v>
                </c:pt>
                <c:pt idx="1441">
                  <c:v>10.097231605847901</c:v>
                </c:pt>
                <c:pt idx="1442">
                  <c:v>10.104176051066201</c:v>
                </c:pt>
                <c:pt idx="1443">
                  <c:v>10.111120496284499</c:v>
                </c:pt>
                <c:pt idx="1444">
                  <c:v>10.1180649415028</c:v>
                </c:pt>
                <c:pt idx="1445">
                  <c:v>10.1250093867211</c:v>
                </c:pt>
                <c:pt idx="1446">
                  <c:v>10.1319538319394</c:v>
                </c:pt>
                <c:pt idx="1447">
                  <c:v>10.138898277157701</c:v>
                </c:pt>
                <c:pt idx="1448">
                  <c:v>10.145842722376001</c:v>
                </c:pt>
                <c:pt idx="1449">
                  <c:v>10.152787167594299</c:v>
                </c:pt>
                <c:pt idx="1450">
                  <c:v>10.1597316128126</c:v>
                </c:pt>
                <c:pt idx="1451">
                  <c:v>10.1666760580309</c:v>
                </c:pt>
                <c:pt idx="1452">
                  <c:v>10.1736205032493</c:v>
                </c:pt>
                <c:pt idx="1453">
                  <c:v>10.1805649484676</c:v>
                </c:pt>
                <c:pt idx="1454">
                  <c:v>10.1875093936859</c:v>
                </c:pt>
                <c:pt idx="1455">
                  <c:v>10.194453838904201</c:v>
                </c:pt>
                <c:pt idx="1456">
                  <c:v>10.201398284122501</c:v>
                </c:pt>
                <c:pt idx="1457">
                  <c:v>10.208342729340799</c:v>
                </c:pt>
                <c:pt idx="1458">
                  <c:v>10.2152871745591</c:v>
                </c:pt>
                <c:pt idx="1459">
                  <c:v>10.2222316197774</c:v>
                </c:pt>
                <c:pt idx="1460">
                  <c:v>10.2291760649957</c:v>
                </c:pt>
                <c:pt idx="1461">
                  <c:v>10.236120510214</c:v>
                </c:pt>
                <c:pt idx="1462">
                  <c:v>10.243064955432301</c:v>
                </c:pt>
                <c:pt idx="1463">
                  <c:v>10.250009400650599</c:v>
                </c:pt>
                <c:pt idx="1464">
                  <c:v>10.2569538458689</c:v>
                </c:pt>
                <c:pt idx="1465">
                  <c:v>10.2638982910872</c:v>
                </c:pt>
                <c:pt idx="1466">
                  <c:v>10.2708427363055</c:v>
                </c:pt>
                <c:pt idx="1467">
                  <c:v>10.2777871815238</c:v>
                </c:pt>
                <c:pt idx="1468">
                  <c:v>10.2847316267422</c:v>
                </c:pt>
                <c:pt idx="1469">
                  <c:v>10.2916760719605</c:v>
                </c:pt>
                <c:pt idx="1470">
                  <c:v>10.298620517178801</c:v>
                </c:pt>
                <c:pt idx="1471">
                  <c:v>10.305564962397099</c:v>
                </c:pt>
                <c:pt idx="1472">
                  <c:v>10.3125094076154</c:v>
                </c:pt>
                <c:pt idx="1473">
                  <c:v>10.3194538528337</c:v>
                </c:pt>
                <c:pt idx="1474">
                  <c:v>10.326398298052</c:v>
                </c:pt>
                <c:pt idx="1475">
                  <c:v>10.3333427432703</c:v>
                </c:pt>
                <c:pt idx="1476">
                  <c:v>10.340287188488601</c:v>
                </c:pt>
                <c:pt idx="1477">
                  <c:v>10.347231633706899</c:v>
                </c:pt>
                <c:pt idx="1478">
                  <c:v>10.3541760789252</c:v>
                </c:pt>
                <c:pt idx="1479">
                  <c:v>10.3611205241435</c:v>
                </c:pt>
                <c:pt idx="1480">
                  <c:v>10.3680649693618</c:v>
                </c:pt>
                <c:pt idx="1481">
                  <c:v>10.3750094145801</c:v>
                </c:pt>
                <c:pt idx="1482">
                  <c:v>10.381953859798401</c:v>
                </c:pt>
                <c:pt idx="1483">
                  <c:v>10.388898305016699</c:v>
                </c:pt>
                <c:pt idx="1484">
                  <c:v>10.395842750234999</c:v>
                </c:pt>
                <c:pt idx="1485">
                  <c:v>10.4027871954533</c:v>
                </c:pt>
                <c:pt idx="1486">
                  <c:v>10.4097316406717</c:v>
                </c:pt>
                <c:pt idx="1487">
                  <c:v>10.41667608589</c:v>
                </c:pt>
                <c:pt idx="1488">
                  <c:v>10.4236205311083</c:v>
                </c:pt>
                <c:pt idx="1489">
                  <c:v>10.4305649763266</c:v>
                </c:pt>
                <c:pt idx="1490">
                  <c:v>10.437509421544901</c:v>
                </c:pt>
                <c:pt idx="1491">
                  <c:v>10.444453866763199</c:v>
                </c:pt>
                <c:pt idx="1492">
                  <c:v>10.451398311981499</c:v>
                </c:pt>
                <c:pt idx="1493">
                  <c:v>10.4583427571998</c:v>
                </c:pt>
                <c:pt idx="1494">
                  <c:v>10.4652872024181</c:v>
                </c:pt>
                <c:pt idx="1495">
                  <c:v>10.4722316476364</c:v>
                </c:pt>
                <c:pt idx="1496">
                  <c:v>10.479176092854701</c:v>
                </c:pt>
                <c:pt idx="1497">
                  <c:v>10.486120538072999</c:v>
                </c:pt>
                <c:pt idx="1498">
                  <c:v>10.493064983291299</c:v>
                </c:pt>
                <c:pt idx="1499">
                  <c:v>10.5000094285096</c:v>
                </c:pt>
                <c:pt idx="1500">
                  <c:v>10.5069538737279</c:v>
                </c:pt>
                <c:pt idx="1501">
                  <c:v>10.5138983189462</c:v>
                </c:pt>
                <c:pt idx="1502">
                  <c:v>10.520842764164501</c:v>
                </c:pt>
                <c:pt idx="1503">
                  <c:v>10.5277872093829</c:v>
                </c:pt>
                <c:pt idx="1504">
                  <c:v>10.534731654601201</c:v>
                </c:pt>
                <c:pt idx="1505">
                  <c:v>10.541676099819499</c:v>
                </c:pt>
                <c:pt idx="1506">
                  <c:v>10.548620545037799</c:v>
                </c:pt>
                <c:pt idx="1507">
                  <c:v>10.5555649902561</c:v>
                </c:pt>
                <c:pt idx="1508">
                  <c:v>10.5625094354744</c:v>
                </c:pt>
                <c:pt idx="1509">
                  <c:v>10.5694538806927</c:v>
                </c:pt>
                <c:pt idx="1510">
                  <c:v>10.576398325911001</c:v>
                </c:pt>
                <c:pt idx="1511">
                  <c:v>10.583342771129301</c:v>
                </c:pt>
                <c:pt idx="1512">
                  <c:v>10.590287216347599</c:v>
                </c:pt>
                <c:pt idx="1513">
                  <c:v>10.5972316615659</c:v>
                </c:pt>
                <c:pt idx="1514">
                  <c:v>10.6041761067842</c:v>
                </c:pt>
                <c:pt idx="1515">
                  <c:v>10.6111205520025</c:v>
                </c:pt>
                <c:pt idx="1516">
                  <c:v>10.618064997220801</c:v>
                </c:pt>
                <c:pt idx="1517">
                  <c:v>10.625009442439101</c:v>
                </c:pt>
                <c:pt idx="1518">
                  <c:v>10.631953887657399</c:v>
                </c:pt>
                <c:pt idx="1519">
                  <c:v>10.6388983328757</c:v>
                </c:pt>
                <c:pt idx="1520">
                  <c:v>10.645842778094</c:v>
                </c:pt>
                <c:pt idx="1521">
                  <c:v>10.6527872233124</c:v>
                </c:pt>
                <c:pt idx="1522">
                  <c:v>10.6597316685307</c:v>
                </c:pt>
                <c:pt idx="1523">
                  <c:v>10.666676113749</c:v>
                </c:pt>
                <c:pt idx="1524">
                  <c:v>10.673620558967301</c:v>
                </c:pt>
                <c:pt idx="1525">
                  <c:v>10.680565004185601</c:v>
                </c:pt>
                <c:pt idx="1526">
                  <c:v>10.687509449403899</c:v>
                </c:pt>
                <c:pt idx="1527">
                  <c:v>10.6944538946222</c:v>
                </c:pt>
                <c:pt idx="1528">
                  <c:v>10.7013983398405</c:v>
                </c:pt>
                <c:pt idx="1529">
                  <c:v>10.7083427850588</c:v>
                </c:pt>
                <c:pt idx="1530">
                  <c:v>10.715287230277101</c:v>
                </c:pt>
                <c:pt idx="1531">
                  <c:v>10.722231675495401</c:v>
                </c:pt>
                <c:pt idx="1532">
                  <c:v>10.729176120713699</c:v>
                </c:pt>
                <c:pt idx="1533">
                  <c:v>10.736120565932</c:v>
                </c:pt>
                <c:pt idx="1534">
                  <c:v>10.7430650111503</c:v>
                </c:pt>
                <c:pt idx="1535">
                  <c:v>10.7500094563686</c:v>
                </c:pt>
                <c:pt idx="1536">
                  <c:v>10.7569539015869</c:v>
                </c:pt>
                <c:pt idx="1537">
                  <c:v>10.763898346805201</c:v>
                </c:pt>
                <c:pt idx="1538">
                  <c:v>10.770842792023601</c:v>
                </c:pt>
                <c:pt idx="1539">
                  <c:v>10.777787237241901</c:v>
                </c:pt>
                <c:pt idx="1540">
                  <c:v>10.781970623333899</c:v>
                </c:pt>
              </c:numCache>
            </c:numRef>
          </c:xVal>
          <c:yVal>
            <c:numRef>
              <c:f>Chronoamperometries!$C$2:$C$1543</c:f>
              <c:numCache>
                <c:formatCode>General</c:formatCode>
                <c:ptCount val="1542"/>
                <c:pt idx="0">
                  <c:v>12.752401092572599</c:v>
                </c:pt>
                <c:pt idx="1">
                  <c:v>11.723188457157701</c:v>
                </c:pt>
                <c:pt idx="2">
                  <c:v>11.0933147922849</c:v>
                </c:pt>
                <c:pt idx="3">
                  <c:v>11.002585036470901</c:v>
                </c:pt>
                <c:pt idx="4">
                  <c:v>11.005395561857799</c:v>
                </c:pt>
                <c:pt idx="5">
                  <c:v>10.9561261232096</c:v>
                </c:pt>
                <c:pt idx="6">
                  <c:v>10.9286469412376</c:v>
                </c:pt>
                <c:pt idx="7">
                  <c:v>10.8364579823618</c:v>
                </c:pt>
                <c:pt idx="8">
                  <c:v>10.7708954843655</c:v>
                </c:pt>
                <c:pt idx="9">
                  <c:v>10.7506827979487</c:v>
                </c:pt>
                <c:pt idx="10">
                  <c:v>10.718980727218099</c:v>
                </c:pt>
                <c:pt idx="11">
                  <c:v>10.646856842800201</c:v>
                </c:pt>
                <c:pt idx="12">
                  <c:v>10.622821898709001</c:v>
                </c:pt>
                <c:pt idx="13">
                  <c:v>10.529861066985299</c:v>
                </c:pt>
                <c:pt idx="14">
                  <c:v>10.494212537754899</c:v>
                </c:pt>
                <c:pt idx="15">
                  <c:v>10.4619080401113</c:v>
                </c:pt>
                <c:pt idx="16">
                  <c:v>10.4058232947941</c:v>
                </c:pt>
                <c:pt idx="17">
                  <c:v>10.2960184034203</c:v>
                </c:pt>
                <c:pt idx="18">
                  <c:v>10.2460916207373</c:v>
                </c:pt>
                <c:pt idx="19">
                  <c:v>10.2346055297246</c:v>
                </c:pt>
                <c:pt idx="20">
                  <c:v>10.2156826655406</c:v>
                </c:pt>
                <c:pt idx="21">
                  <c:v>10.135797825956301</c:v>
                </c:pt>
                <c:pt idx="22">
                  <c:v>10.047837594240001</c:v>
                </c:pt>
                <c:pt idx="23">
                  <c:v>9.9667484934927604</c:v>
                </c:pt>
                <c:pt idx="24">
                  <c:v>9.9360983387019299</c:v>
                </c:pt>
                <c:pt idx="25">
                  <c:v>9.8637229756146105</c:v>
                </c:pt>
                <c:pt idx="26">
                  <c:v>9.7597776649134698</c:v>
                </c:pt>
                <c:pt idx="27">
                  <c:v>9.7424787325160995</c:v>
                </c:pt>
                <c:pt idx="28">
                  <c:v>9.6705933101676393</c:v>
                </c:pt>
                <c:pt idx="29">
                  <c:v>9.5581966210131402</c:v>
                </c:pt>
                <c:pt idx="30">
                  <c:v>9.4432567641674297</c:v>
                </c:pt>
                <c:pt idx="31">
                  <c:v>9.3417285106832804</c:v>
                </c:pt>
                <c:pt idx="32">
                  <c:v>9.2425364787966604</c:v>
                </c:pt>
                <c:pt idx="33">
                  <c:v>9.1312707799028594</c:v>
                </c:pt>
                <c:pt idx="34">
                  <c:v>9.0275587311583596</c:v>
                </c:pt>
                <c:pt idx="35">
                  <c:v>8.9051897226824597</c:v>
                </c:pt>
                <c:pt idx="36">
                  <c:v>8.7865755087238799</c:v>
                </c:pt>
                <c:pt idx="37">
                  <c:v>8.6770722804253904</c:v>
                </c:pt>
                <c:pt idx="38">
                  <c:v>8.5600909987351095</c:v>
                </c:pt>
                <c:pt idx="39">
                  <c:v>8.4559209430381994</c:v>
                </c:pt>
                <c:pt idx="40">
                  <c:v>8.2926767292210997</c:v>
                </c:pt>
                <c:pt idx="41">
                  <c:v>8.2075993479497704</c:v>
                </c:pt>
                <c:pt idx="42">
                  <c:v>8.0814085949543308</c:v>
                </c:pt>
                <c:pt idx="43">
                  <c:v>7.9312604264735604</c:v>
                </c:pt>
                <c:pt idx="44">
                  <c:v>7.80788815001881</c:v>
                </c:pt>
                <c:pt idx="45">
                  <c:v>7.6847225795796197</c:v>
                </c:pt>
                <c:pt idx="46">
                  <c:v>7.5667586542137304</c:v>
                </c:pt>
                <c:pt idx="47">
                  <c:v>7.4393551585162196</c:v>
                </c:pt>
                <c:pt idx="48">
                  <c:v>7.3119165073665604</c:v>
                </c:pt>
                <c:pt idx="49">
                  <c:v>7.1920975703803398</c:v>
                </c:pt>
                <c:pt idx="50">
                  <c:v>7.0754634590287697</c:v>
                </c:pt>
                <c:pt idx="51">
                  <c:v>6.9538679821812304</c:v>
                </c:pt>
                <c:pt idx="52">
                  <c:v>6.8244414160234603</c:v>
                </c:pt>
                <c:pt idx="53">
                  <c:v>6.67737571662785</c:v>
                </c:pt>
                <c:pt idx="54">
                  <c:v>6.5492159477573102</c:v>
                </c:pt>
                <c:pt idx="55">
                  <c:v>6.4237980915231798</c:v>
                </c:pt>
                <c:pt idx="56">
                  <c:v>6.2972106501829597</c:v>
                </c:pt>
                <c:pt idx="57">
                  <c:v>6.1713836863748002</c:v>
                </c:pt>
                <c:pt idx="58">
                  <c:v>6.0411818900679597</c:v>
                </c:pt>
                <c:pt idx="59">
                  <c:v>5.9120079518137096</c:v>
                </c:pt>
                <c:pt idx="60">
                  <c:v>5.7926607398752301</c:v>
                </c:pt>
                <c:pt idx="61">
                  <c:v>5.6837973115327198</c:v>
                </c:pt>
                <c:pt idx="62">
                  <c:v>5.5857313777182398</c:v>
                </c:pt>
                <c:pt idx="63">
                  <c:v>5.4869693354549396</c:v>
                </c:pt>
                <c:pt idx="64">
                  <c:v>5.3941712737259397</c:v>
                </c:pt>
                <c:pt idx="65">
                  <c:v>5.3237374713737804</c:v>
                </c:pt>
                <c:pt idx="66">
                  <c:v>5.2497930495865699</c:v>
                </c:pt>
                <c:pt idx="67">
                  <c:v>5.16751648434792</c:v>
                </c:pt>
                <c:pt idx="68">
                  <c:v>5.0934248764448</c:v>
                </c:pt>
                <c:pt idx="69">
                  <c:v>5.0120521938089801</c:v>
                </c:pt>
                <c:pt idx="70">
                  <c:v>4.9408807189857198</c:v>
                </c:pt>
                <c:pt idx="71">
                  <c:v>4.8691722114584204</c:v>
                </c:pt>
                <c:pt idx="72">
                  <c:v>4.8029113446408598</c:v>
                </c:pt>
                <c:pt idx="73">
                  <c:v>4.7436889287010899</c:v>
                </c:pt>
                <c:pt idx="74">
                  <c:v>4.67544181794546</c:v>
                </c:pt>
                <c:pt idx="75">
                  <c:v>4.6088956430147299</c:v>
                </c:pt>
                <c:pt idx="76">
                  <c:v>4.5463745043437704</c:v>
                </c:pt>
                <c:pt idx="77">
                  <c:v>4.4775782849190398</c:v>
                </c:pt>
                <c:pt idx="78">
                  <c:v>4.4100683487644003</c:v>
                </c:pt>
                <c:pt idx="79">
                  <c:v>4.3412438259113504</c:v>
                </c:pt>
                <c:pt idx="80">
                  <c:v>4.2802261163792599</c:v>
                </c:pt>
                <c:pt idx="81">
                  <c:v>4.2248263109150299</c:v>
                </c:pt>
                <c:pt idx="82">
                  <c:v>4.16389090721042</c:v>
                </c:pt>
                <c:pt idx="83">
                  <c:v>4.1102143994691698</c:v>
                </c:pt>
                <c:pt idx="84">
                  <c:v>4.0495675610240802</c:v>
                </c:pt>
                <c:pt idx="85">
                  <c:v>3.9883145450145401</c:v>
                </c:pt>
                <c:pt idx="86">
                  <c:v>3.9280292994230801</c:v>
                </c:pt>
                <c:pt idx="87">
                  <c:v>3.88089480161893</c:v>
                </c:pt>
                <c:pt idx="88">
                  <c:v>3.8251652941778702</c:v>
                </c:pt>
                <c:pt idx="89">
                  <c:v>3.77429084156732</c:v>
                </c:pt>
                <c:pt idx="90">
                  <c:v>3.7220790440995799</c:v>
                </c:pt>
                <c:pt idx="91">
                  <c:v>3.6688094135706901</c:v>
                </c:pt>
                <c:pt idx="92">
                  <c:v>3.6227531952839702</c:v>
                </c:pt>
                <c:pt idx="93">
                  <c:v>3.56983410659321</c:v>
                </c:pt>
                <c:pt idx="94">
                  <c:v>3.5153623125749198</c:v>
                </c:pt>
                <c:pt idx="95">
                  <c:v>3.46691797608944</c:v>
                </c:pt>
                <c:pt idx="96">
                  <c:v>3.4190019105413199</c:v>
                </c:pt>
                <c:pt idx="97">
                  <c:v>3.3721697979193102</c:v>
                </c:pt>
                <c:pt idx="98">
                  <c:v>3.32169808088981</c:v>
                </c:pt>
                <c:pt idx="99">
                  <c:v>3.2827868354782699</c:v>
                </c:pt>
                <c:pt idx="100">
                  <c:v>3.2403823860499199</c:v>
                </c:pt>
                <c:pt idx="101">
                  <c:v>3.1978801826889902</c:v>
                </c:pt>
                <c:pt idx="102">
                  <c:v>3.1558943950960998</c:v>
                </c:pt>
                <c:pt idx="103">
                  <c:v>3.1159130931202101</c:v>
                </c:pt>
                <c:pt idx="104">
                  <c:v>3.07359646067823</c:v>
                </c:pt>
                <c:pt idx="105">
                  <c:v>3.0354438158126298</c:v>
                </c:pt>
                <c:pt idx="106">
                  <c:v>2.9946212381706601</c:v>
                </c:pt>
                <c:pt idx="107">
                  <c:v>2.9617557688436</c:v>
                </c:pt>
                <c:pt idx="108">
                  <c:v>2.9261182829666201</c:v>
                </c:pt>
                <c:pt idx="109">
                  <c:v>2.8877596108204</c:v>
                </c:pt>
                <c:pt idx="110">
                  <c:v>2.85090296736269</c:v>
                </c:pt>
                <c:pt idx="111">
                  <c:v>2.8168482505704699</c:v>
                </c:pt>
                <c:pt idx="112">
                  <c:v>2.7793193597334298</c:v>
                </c:pt>
                <c:pt idx="113">
                  <c:v>2.74655110051566</c:v>
                </c:pt>
                <c:pt idx="114">
                  <c:v>2.7082703348789399</c:v>
                </c:pt>
                <c:pt idx="115">
                  <c:v>2.6728292014600901</c:v>
                </c:pt>
                <c:pt idx="116">
                  <c:v>2.6390450202143501</c:v>
                </c:pt>
                <c:pt idx="117">
                  <c:v>2.6054945287287099</c:v>
                </c:pt>
                <c:pt idx="118">
                  <c:v>2.5739027667599701</c:v>
                </c:pt>
                <c:pt idx="119">
                  <c:v>2.5458843882373201</c:v>
                </c:pt>
                <c:pt idx="120">
                  <c:v>2.52015446432552</c:v>
                </c:pt>
                <c:pt idx="121">
                  <c:v>2.4869944506435502</c:v>
                </c:pt>
                <c:pt idx="122">
                  <c:v>2.4563887117643199</c:v>
                </c:pt>
                <c:pt idx="123">
                  <c:v>2.4302161425754099</c:v>
                </c:pt>
                <c:pt idx="124">
                  <c:v>2.4016555389491199</c:v>
                </c:pt>
                <c:pt idx="125">
                  <c:v>2.3741736680420402</c:v>
                </c:pt>
                <c:pt idx="126">
                  <c:v>2.3441514734184601</c:v>
                </c:pt>
                <c:pt idx="127">
                  <c:v>2.3217265161450702</c:v>
                </c:pt>
                <c:pt idx="128">
                  <c:v>2.2921261568741902</c:v>
                </c:pt>
                <c:pt idx="129">
                  <c:v>2.2664700933900002</c:v>
                </c:pt>
                <c:pt idx="130">
                  <c:v>2.2428027052078399</c:v>
                </c:pt>
                <c:pt idx="131">
                  <c:v>2.2172744364184598</c:v>
                </c:pt>
                <c:pt idx="132">
                  <c:v>2.19187422954918</c:v>
                </c:pt>
                <c:pt idx="133">
                  <c:v>2.1700643479521702</c:v>
                </c:pt>
                <c:pt idx="134">
                  <c:v>2.14225096909446</c:v>
                </c:pt>
                <c:pt idx="135">
                  <c:v>2.1214413325445101</c:v>
                </c:pt>
                <c:pt idx="136">
                  <c:v>2.0987060429183599</c:v>
                </c:pt>
                <c:pt idx="137">
                  <c:v>2.0749529474022701</c:v>
                </c:pt>
                <c:pt idx="138">
                  <c:v>2.0502679799712902</c:v>
                </c:pt>
                <c:pt idx="139">
                  <c:v>2.02668695981659</c:v>
                </c:pt>
                <c:pt idx="140">
                  <c:v>2.00646536196541</c:v>
                </c:pt>
                <c:pt idx="141">
                  <c:v>1.9874159902899999</c:v>
                </c:pt>
                <c:pt idx="142">
                  <c:v>1.96795883707283</c:v>
                </c:pt>
                <c:pt idx="143">
                  <c:v>1.9462870460408701</c:v>
                </c:pt>
                <c:pt idx="144">
                  <c:v>1.9269847384162799</c:v>
                </c:pt>
                <c:pt idx="145">
                  <c:v>1.9060919434443999</c:v>
                </c:pt>
                <c:pt idx="146">
                  <c:v>1.8872673700471501</c:v>
                </c:pt>
                <c:pt idx="147">
                  <c:v>1.8678261350552801</c:v>
                </c:pt>
                <c:pt idx="148">
                  <c:v>1.8483012810425801</c:v>
                </c:pt>
                <c:pt idx="149">
                  <c:v>1.83100152151433</c:v>
                </c:pt>
                <c:pt idx="150">
                  <c:v>1.8117366735659</c:v>
                </c:pt>
                <c:pt idx="151">
                  <c:v>1.79425246076845</c:v>
                </c:pt>
                <c:pt idx="152">
                  <c:v>1.77825375804797</c:v>
                </c:pt>
                <c:pt idx="153">
                  <c:v>1.7606953077406999</c:v>
                </c:pt>
                <c:pt idx="154">
                  <c:v>1.74427872963861</c:v>
                </c:pt>
                <c:pt idx="155">
                  <c:v>1.72800609251197</c:v>
                </c:pt>
                <c:pt idx="156">
                  <c:v>1.7097291930471801</c:v>
                </c:pt>
                <c:pt idx="157">
                  <c:v>1.6934723550398001</c:v>
                </c:pt>
                <c:pt idx="158">
                  <c:v>1.67666278497054</c:v>
                </c:pt>
                <c:pt idx="159">
                  <c:v>1.66097805643532</c:v>
                </c:pt>
                <c:pt idx="160">
                  <c:v>1.6460992325631001</c:v>
                </c:pt>
                <c:pt idx="161">
                  <c:v>1.63102907408882</c:v>
                </c:pt>
                <c:pt idx="162">
                  <c:v>1.6152864486831799</c:v>
                </c:pt>
                <c:pt idx="163">
                  <c:v>1.6000031200006599</c:v>
                </c:pt>
                <c:pt idx="164">
                  <c:v>1.58655272669185</c:v>
                </c:pt>
                <c:pt idx="165">
                  <c:v>1.5726448200830001</c:v>
                </c:pt>
                <c:pt idx="166">
                  <c:v>1.5585529835880201</c:v>
                </c:pt>
                <c:pt idx="167">
                  <c:v>1.54433454755238</c:v>
                </c:pt>
                <c:pt idx="168">
                  <c:v>1.53065354250765</c:v>
                </c:pt>
                <c:pt idx="169">
                  <c:v>1.51751321882666</c:v>
                </c:pt>
                <c:pt idx="170">
                  <c:v>1.5042666901399</c:v>
                </c:pt>
                <c:pt idx="171">
                  <c:v>1.4905646997519799</c:v>
                </c:pt>
                <c:pt idx="172">
                  <c:v>1.4785428042684901</c:v>
                </c:pt>
                <c:pt idx="173">
                  <c:v>1.4655056478294199</c:v>
                </c:pt>
                <c:pt idx="174">
                  <c:v>1.45269125620892</c:v>
                </c:pt>
                <c:pt idx="175">
                  <c:v>1.4409279279760201</c:v>
                </c:pt>
                <c:pt idx="176">
                  <c:v>1.4287530563587001</c:v>
                </c:pt>
                <c:pt idx="177">
                  <c:v>1.4172373314453901</c:v>
                </c:pt>
                <c:pt idx="178">
                  <c:v>1.4061399786168001</c:v>
                </c:pt>
                <c:pt idx="179">
                  <c:v>1.3960213885004</c:v>
                </c:pt>
                <c:pt idx="180">
                  <c:v>1.3841279405042901</c:v>
                </c:pt>
                <c:pt idx="181">
                  <c:v>1.37229007618177</c:v>
                </c:pt>
                <c:pt idx="182">
                  <c:v>1.36120904571485</c:v>
                </c:pt>
                <c:pt idx="183">
                  <c:v>1.3490456231310799</c:v>
                </c:pt>
                <c:pt idx="184">
                  <c:v>1.3391602722089899</c:v>
                </c:pt>
                <c:pt idx="185">
                  <c:v>1.32820378729625</c:v>
                </c:pt>
                <c:pt idx="186">
                  <c:v>1.31716776217299</c:v>
                </c:pt>
                <c:pt idx="187">
                  <c:v>1.3072817595959101</c:v>
                </c:pt>
                <c:pt idx="188">
                  <c:v>1.2965719364956101</c:v>
                </c:pt>
                <c:pt idx="189">
                  <c:v>1.28680732536313</c:v>
                </c:pt>
                <c:pt idx="190">
                  <c:v>1.27732260341594</c:v>
                </c:pt>
                <c:pt idx="191">
                  <c:v>1.26674562421603</c:v>
                </c:pt>
                <c:pt idx="192">
                  <c:v>1.2572719496968801</c:v>
                </c:pt>
                <c:pt idx="193">
                  <c:v>1.2477832412073</c:v>
                </c:pt>
                <c:pt idx="194">
                  <c:v>1.2386971663897699</c:v>
                </c:pt>
                <c:pt idx="195">
                  <c:v>1.2294067327740801</c:v>
                </c:pt>
                <c:pt idx="196">
                  <c:v>1.22034574200437</c:v>
                </c:pt>
                <c:pt idx="197">
                  <c:v>1.21198584671883</c:v>
                </c:pt>
                <c:pt idx="198">
                  <c:v>1.20204477460229</c:v>
                </c:pt>
                <c:pt idx="199">
                  <c:v>1.1926196547358401</c:v>
                </c:pt>
                <c:pt idx="200">
                  <c:v>1.1839306374571801</c:v>
                </c:pt>
                <c:pt idx="201">
                  <c:v>1.1750272073068599</c:v>
                </c:pt>
                <c:pt idx="202">
                  <c:v>1.1663692544101301</c:v>
                </c:pt>
                <c:pt idx="203">
                  <c:v>1.1581920562186401</c:v>
                </c:pt>
                <c:pt idx="204">
                  <c:v>1.15020224243699</c:v>
                </c:pt>
                <c:pt idx="205">
                  <c:v>1.14205138355993</c:v>
                </c:pt>
                <c:pt idx="206">
                  <c:v>1.1343125144686801</c:v>
                </c:pt>
                <c:pt idx="207">
                  <c:v>1.12587318161923</c:v>
                </c:pt>
                <c:pt idx="208">
                  <c:v>1.1186012114566899</c:v>
                </c:pt>
                <c:pt idx="209">
                  <c:v>1.11088749556035</c:v>
                </c:pt>
                <c:pt idx="210">
                  <c:v>1.1036425124504501</c:v>
                </c:pt>
                <c:pt idx="211">
                  <c:v>1.0953219170377599</c:v>
                </c:pt>
                <c:pt idx="212">
                  <c:v>1.08793386030321</c:v>
                </c:pt>
                <c:pt idx="213">
                  <c:v>1.0805594682081701</c:v>
                </c:pt>
                <c:pt idx="214">
                  <c:v>1.0735280035819601</c:v>
                </c:pt>
                <c:pt idx="215">
                  <c:v>1.06801896155444</c:v>
                </c:pt>
                <c:pt idx="216">
                  <c:v>1.0613016246495299</c:v>
                </c:pt>
                <c:pt idx="217">
                  <c:v>1.0545284860415001</c:v>
                </c:pt>
                <c:pt idx="218">
                  <c:v>1.0469914112810601</c:v>
                </c:pt>
                <c:pt idx="219">
                  <c:v>1.0400628781616199</c:v>
                </c:pt>
                <c:pt idx="220">
                  <c:v>1.03327810353474</c:v>
                </c:pt>
                <c:pt idx="221">
                  <c:v>1.0263279090220301</c:v>
                </c:pt>
                <c:pt idx="222">
                  <c:v>1.01958944233335</c:v>
                </c:pt>
                <c:pt idx="223">
                  <c:v>1.0129618206648801</c:v>
                </c:pt>
                <c:pt idx="224">
                  <c:v>1.00602094134706</c:v>
                </c:pt>
                <c:pt idx="225">
                  <c:v>0.99962656941338501</c:v>
                </c:pt>
                <c:pt idx="226">
                  <c:v>0.99334686149779505</c:v>
                </c:pt>
                <c:pt idx="227">
                  <c:v>0.98670263666964497</c:v>
                </c:pt>
                <c:pt idx="228">
                  <c:v>0.98038954203340101</c:v>
                </c:pt>
                <c:pt idx="229">
                  <c:v>0.97390495129324595</c:v>
                </c:pt>
                <c:pt idx="230">
                  <c:v>0.96789512075315398</c:v>
                </c:pt>
                <c:pt idx="231">
                  <c:v>0.96181206242873196</c:v>
                </c:pt>
                <c:pt idx="232">
                  <c:v>0.955218844027383</c:v>
                </c:pt>
                <c:pt idx="233">
                  <c:v>0.94964198208837303</c:v>
                </c:pt>
                <c:pt idx="234">
                  <c:v>0.94325054334144298</c:v>
                </c:pt>
                <c:pt idx="235">
                  <c:v>0.93755142633903799</c:v>
                </c:pt>
                <c:pt idx="236">
                  <c:v>0.92941391096395398</c:v>
                </c:pt>
                <c:pt idx="237">
                  <c:v>0.925971242361882</c:v>
                </c:pt>
                <c:pt idx="238">
                  <c:v>0.92010988546856398</c:v>
                </c:pt>
                <c:pt idx="239">
                  <c:v>0.91483344471824002</c:v>
                </c:pt>
                <c:pt idx="240">
                  <c:v>0.90984008983223297</c:v>
                </c:pt>
                <c:pt idx="241">
                  <c:v>0.90483428864623305</c:v>
                </c:pt>
                <c:pt idx="242">
                  <c:v>0.89884165647304104</c:v>
                </c:pt>
                <c:pt idx="243">
                  <c:v>0.89423306122325696</c:v>
                </c:pt>
                <c:pt idx="244">
                  <c:v>0.88889593389781396</c:v>
                </c:pt>
                <c:pt idx="245">
                  <c:v>0.883355790774768</c:v>
                </c:pt>
                <c:pt idx="246">
                  <c:v>0.87834234670485201</c:v>
                </c:pt>
                <c:pt idx="247">
                  <c:v>0.87347069847403502</c:v>
                </c:pt>
                <c:pt idx="248">
                  <c:v>0.86879797662137803</c:v>
                </c:pt>
                <c:pt idx="249">
                  <c:v>0.86375767807486104</c:v>
                </c:pt>
                <c:pt idx="250">
                  <c:v>0.858588211125624</c:v>
                </c:pt>
                <c:pt idx="251">
                  <c:v>0.85356117068908</c:v>
                </c:pt>
                <c:pt idx="252">
                  <c:v>0.84880283060353101</c:v>
                </c:pt>
                <c:pt idx="253">
                  <c:v>0.84417305367860695</c:v>
                </c:pt>
                <c:pt idx="254">
                  <c:v>0.83955386273718902</c:v>
                </c:pt>
                <c:pt idx="255">
                  <c:v>0.83476508505412095</c:v>
                </c:pt>
                <c:pt idx="256">
                  <c:v>0.82987216820598297</c:v>
                </c:pt>
                <c:pt idx="257">
                  <c:v>0.82543207899210802</c:v>
                </c:pt>
                <c:pt idx="258">
                  <c:v>0.82093136311767401</c:v>
                </c:pt>
                <c:pt idx="259">
                  <c:v>0.81640876384391903</c:v>
                </c:pt>
                <c:pt idx="260">
                  <c:v>0.81243436773549504</c:v>
                </c:pt>
                <c:pt idx="261">
                  <c:v>0.80789172930130004</c:v>
                </c:pt>
                <c:pt idx="262">
                  <c:v>0.80349134639883402</c:v>
                </c:pt>
                <c:pt idx="263">
                  <c:v>0.79919702110639501</c:v>
                </c:pt>
                <c:pt idx="264">
                  <c:v>0.79519901226505496</c:v>
                </c:pt>
                <c:pt idx="265">
                  <c:v>0.79105494721837499</c:v>
                </c:pt>
                <c:pt idx="266">
                  <c:v>0.78671078050172805</c:v>
                </c:pt>
                <c:pt idx="267">
                  <c:v>0.78256702004268297</c:v>
                </c:pt>
                <c:pt idx="268">
                  <c:v>0.77844510773716802</c:v>
                </c:pt>
                <c:pt idx="269">
                  <c:v>0.77450338032895405</c:v>
                </c:pt>
                <c:pt idx="270">
                  <c:v>0.76988215121707504</c:v>
                </c:pt>
                <c:pt idx="271">
                  <c:v>0.76609411293158902</c:v>
                </c:pt>
                <c:pt idx="272">
                  <c:v>0.76245985938711702</c:v>
                </c:pt>
                <c:pt idx="273">
                  <c:v>0.75875279295564102</c:v>
                </c:pt>
                <c:pt idx="274">
                  <c:v>0.75502812459402302</c:v>
                </c:pt>
                <c:pt idx="275">
                  <c:v>0.75115333186955302</c:v>
                </c:pt>
                <c:pt idx="276">
                  <c:v>0.74767643832437503</c:v>
                </c:pt>
                <c:pt idx="277">
                  <c:v>0.74398722184842103</c:v>
                </c:pt>
                <c:pt idx="278">
                  <c:v>0.74034281844177996</c:v>
                </c:pt>
                <c:pt idx="279">
                  <c:v>0.73664761368348597</c:v>
                </c:pt>
                <c:pt idx="280">
                  <c:v>0.73316905460787996</c:v>
                </c:pt>
                <c:pt idx="281">
                  <c:v>0.72937872362905698</c:v>
                </c:pt>
                <c:pt idx="282">
                  <c:v>0.72584812733791804</c:v>
                </c:pt>
                <c:pt idx="283">
                  <c:v>0.722099135143349</c:v>
                </c:pt>
                <c:pt idx="284">
                  <c:v>0.71834086665476704</c:v>
                </c:pt>
                <c:pt idx="285">
                  <c:v>0.71527831442846601</c:v>
                </c:pt>
                <c:pt idx="286">
                  <c:v>0.711592548212164</c:v>
                </c:pt>
                <c:pt idx="287">
                  <c:v>0.70658868507332595</c:v>
                </c:pt>
                <c:pt idx="288">
                  <c:v>0.70466501023498995</c:v>
                </c:pt>
                <c:pt idx="289">
                  <c:v>0.70168540518456402</c:v>
                </c:pt>
                <c:pt idx="290">
                  <c:v>0.69808968412532302</c:v>
                </c:pt>
                <c:pt idx="291">
                  <c:v>0.69500049765106697</c:v>
                </c:pt>
                <c:pt idx="292">
                  <c:v>0.69224356804688802</c:v>
                </c:pt>
                <c:pt idx="293">
                  <c:v>0.68876232368574597</c:v>
                </c:pt>
                <c:pt idx="294">
                  <c:v>0.685233387585099</c:v>
                </c:pt>
                <c:pt idx="295">
                  <c:v>0.68240845212442303</c:v>
                </c:pt>
                <c:pt idx="296">
                  <c:v>0.679303943450977</c:v>
                </c:pt>
                <c:pt idx="297">
                  <c:v>0.67661008214888696</c:v>
                </c:pt>
                <c:pt idx="298">
                  <c:v>0.67382048788667304</c:v>
                </c:pt>
                <c:pt idx="299">
                  <c:v>0.67076599757286703</c:v>
                </c:pt>
                <c:pt idx="300">
                  <c:v>0.66802650279133902</c:v>
                </c:pt>
                <c:pt idx="301">
                  <c:v>0.66483036332731804</c:v>
                </c:pt>
                <c:pt idx="302">
                  <c:v>0.66209423248365595</c:v>
                </c:pt>
                <c:pt idx="303">
                  <c:v>0.65921141840358799</c:v>
                </c:pt>
                <c:pt idx="304">
                  <c:v>0.656542892032696</c:v>
                </c:pt>
                <c:pt idx="305">
                  <c:v>0.65383320429069802</c:v>
                </c:pt>
                <c:pt idx="306">
                  <c:v>0.65114085813410705</c:v>
                </c:pt>
                <c:pt idx="307">
                  <c:v>0.648461285872169</c:v>
                </c:pt>
                <c:pt idx="308">
                  <c:v>0.64589203853954402</c:v>
                </c:pt>
                <c:pt idx="309">
                  <c:v>0.64299368357073095</c:v>
                </c:pt>
                <c:pt idx="310">
                  <c:v>0.64035114661769699</c:v>
                </c:pt>
                <c:pt idx="311">
                  <c:v>0.63784606835686197</c:v>
                </c:pt>
                <c:pt idx="312">
                  <c:v>0.63533430935920099</c:v>
                </c:pt>
                <c:pt idx="313">
                  <c:v>0.632495462018687</c:v>
                </c:pt>
                <c:pt idx="314">
                  <c:v>0.63008417115454096</c:v>
                </c:pt>
                <c:pt idx="315">
                  <c:v>0.62783443552678297</c:v>
                </c:pt>
                <c:pt idx="316">
                  <c:v>0.62517904202016095</c:v>
                </c:pt>
                <c:pt idx="317">
                  <c:v>0.62287515596517096</c:v>
                </c:pt>
                <c:pt idx="318">
                  <c:v>0.62039814474071497</c:v>
                </c:pt>
                <c:pt idx="319">
                  <c:v>0.61811698198144105</c:v>
                </c:pt>
                <c:pt idx="320">
                  <c:v>0.61565254873719499</c:v>
                </c:pt>
                <c:pt idx="321">
                  <c:v>0.61352973408000899</c:v>
                </c:pt>
                <c:pt idx="322">
                  <c:v>0.61126295494539895</c:v>
                </c:pt>
                <c:pt idx="323">
                  <c:v>0.60918081186202899</c:v>
                </c:pt>
                <c:pt idx="324">
                  <c:v>0.606740222287669</c:v>
                </c:pt>
                <c:pt idx="325">
                  <c:v>0.60450226450110101</c:v>
                </c:pt>
                <c:pt idx="326">
                  <c:v>0.60224781796198801</c:v>
                </c:pt>
                <c:pt idx="327">
                  <c:v>0.59982615639689596</c:v>
                </c:pt>
                <c:pt idx="328">
                  <c:v>0.59762320321068996</c:v>
                </c:pt>
                <c:pt idx="329">
                  <c:v>0.59542642832541104</c:v>
                </c:pt>
                <c:pt idx="330">
                  <c:v>0.59324958429052599</c:v>
                </c:pt>
                <c:pt idx="331">
                  <c:v>0.59083125732613395</c:v>
                </c:pt>
                <c:pt idx="332">
                  <c:v>0.589431338023096</c:v>
                </c:pt>
                <c:pt idx="333">
                  <c:v>0.58769695398173805</c:v>
                </c:pt>
                <c:pt idx="334">
                  <c:v>0.58567222934333796</c:v>
                </c:pt>
                <c:pt idx="335">
                  <c:v>0.58375161037520296</c:v>
                </c:pt>
                <c:pt idx="336">
                  <c:v>0.58200859542028904</c:v>
                </c:pt>
                <c:pt idx="337">
                  <c:v>0.57968462227977502</c:v>
                </c:pt>
                <c:pt idx="338">
                  <c:v>0.57852788135246003</c:v>
                </c:pt>
                <c:pt idx="339">
                  <c:v>0.57661174081419897</c:v>
                </c:pt>
                <c:pt idx="340">
                  <c:v>0.57471455819274098</c:v>
                </c:pt>
                <c:pt idx="341">
                  <c:v>0.57292501363765902</c:v>
                </c:pt>
                <c:pt idx="342">
                  <c:v>0.57119393225265902</c:v>
                </c:pt>
                <c:pt idx="343">
                  <c:v>0.56961957136591501</c:v>
                </c:pt>
                <c:pt idx="344">
                  <c:v>0.56797583675456698</c:v>
                </c:pt>
                <c:pt idx="345">
                  <c:v>0.56620359169034695</c:v>
                </c:pt>
                <c:pt idx="346">
                  <c:v>0.56458052150889904</c:v>
                </c:pt>
                <c:pt idx="347">
                  <c:v>0.56326064976724799</c:v>
                </c:pt>
                <c:pt idx="348">
                  <c:v>0.56158780124591801</c:v>
                </c:pt>
                <c:pt idx="349">
                  <c:v>0.56013523431116397</c:v>
                </c:pt>
                <c:pt idx="350">
                  <c:v>0.55860958624613</c:v>
                </c:pt>
                <c:pt idx="351">
                  <c:v>0.557084747683673</c:v>
                </c:pt>
                <c:pt idx="352">
                  <c:v>0.55540323574155803</c:v>
                </c:pt>
                <c:pt idx="353">
                  <c:v>0.55417926479719004</c:v>
                </c:pt>
                <c:pt idx="354">
                  <c:v>0.552610871707506</c:v>
                </c:pt>
                <c:pt idx="355">
                  <c:v>0.55138771157030197</c:v>
                </c:pt>
                <c:pt idx="356">
                  <c:v>0.55007473115360705</c:v>
                </c:pt>
                <c:pt idx="357">
                  <c:v>0.54870895281833398</c:v>
                </c:pt>
                <c:pt idx="358">
                  <c:v>0.54729069671416097</c:v>
                </c:pt>
                <c:pt idx="359">
                  <c:v>0.54598173756301005</c:v>
                </c:pt>
                <c:pt idx="360">
                  <c:v>0.54456983407699799</c:v>
                </c:pt>
                <c:pt idx="361">
                  <c:v>0.54335533814680903</c:v>
                </c:pt>
                <c:pt idx="362">
                  <c:v>0.54218696756073403</c:v>
                </c:pt>
                <c:pt idx="363">
                  <c:v>0.54099446280823404</c:v>
                </c:pt>
                <c:pt idx="364">
                  <c:v>0.53972551400588997</c:v>
                </c:pt>
                <c:pt idx="365">
                  <c:v>0.53872168623460504</c:v>
                </c:pt>
                <c:pt idx="366">
                  <c:v>0.53785392726084502</c:v>
                </c:pt>
                <c:pt idx="367">
                  <c:v>0.53671764666093003</c:v>
                </c:pt>
                <c:pt idx="368">
                  <c:v>0.53555162895123198</c:v>
                </c:pt>
                <c:pt idx="369">
                  <c:v>0.53452683188369698</c:v>
                </c:pt>
                <c:pt idx="370">
                  <c:v>0.53349992473118002</c:v>
                </c:pt>
                <c:pt idx="371">
                  <c:v>0.53252091539169799</c:v>
                </c:pt>
                <c:pt idx="372">
                  <c:v>0.53140979445983005</c:v>
                </c:pt>
                <c:pt idx="373">
                  <c:v>0.530720812969531</c:v>
                </c:pt>
                <c:pt idx="374">
                  <c:v>0.52984615313028505</c:v>
                </c:pt>
                <c:pt idx="375">
                  <c:v>0.52895064287229798</c:v>
                </c:pt>
                <c:pt idx="376">
                  <c:v>0.528003045217461</c:v>
                </c:pt>
                <c:pt idx="377">
                  <c:v>0.52733044854437205</c:v>
                </c:pt>
                <c:pt idx="378">
                  <c:v>0.52670280617913001</c:v>
                </c:pt>
                <c:pt idx="379">
                  <c:v>0.52621410083731601</c:v>
                </c:pt>
                <c:pt idx="380">
                  <c:v>0.52542644478546996</c:v>
                </c:pt>
                <c:pt idx="381">
                  <c:v>0.52467131528496402</c:v>
                </c:pt>
                <c:pt idx="382">
                  <c:v>0.52408961891364103</c:v>
                </c:pt>
                <c:pt idx="383">
                  <c:v>0.52342813697006496</c:v>
                </c:pt>
                <c:pt idx="384">
                  <c:v>0.52268362921542799</c:v>
                </c:pt>
                <c:pt idx="385">
                  <c:v>0.52212836896233505</c:v>
                </c:pt>
                <c:pt idx="386">
                  <c:v>0.52156245445203897</c:v>
                </c:pt>
                <c:pt idx="387">
                  <c:v>0.52084567072184595</c:v>
                </c:pt>
                <c:pt idx="388">
                  <c:v>0.52003357003682305</c:v>
                </c:pt>
                <c:pt idx="389">
                  <c:v>0.51961320898122598</c:v>
                </c:pt>
                <c:pt idx="390">
                  <c:v>0.51933596849513197</c:v>
                </c:pt>
                <c:pt idx="391">
                  <c:v>0.51874560722266705</c:v>
                </c:pt>
                <c:pt idx="392">
                  <c:v>2.4629882931654801</c:v>
                </c:pt>
                <c:pt idx="393">
                  <c:v>4.8079101231650796</c:v>
                </c:pt>
                <c:pt idx="394">
                  <c:v>6.2653792043333798</c:v>
                </c:pt>
                <c:pt idx="395">
                  <c:v>7.1505225067528002</c:v>
                </c:pt>
                <c:pt idx="396">
                  <c:v>7.76833718753507</c:v>
                </c:pt>
                <c:pt idx="397">
                  <c:v>8.2218972837121598</c:v>
                </c:pt>
                <c:pt idx="398">
                  <c:v>8.6442488594347004</c:v>
                </c:pt>
                <c:pt idx="399">
                  <c:v>9.1409598499796996</c:v>
                </c:pt>
                <c:pt idx="400">
                  <c:v>9.4699460909684596</c:v>
                </c:pt>
                <c:pt idx="401">
                  <c:v>9.6810145351352102</c:v>
                </c:pt>
                <c:pt idx="402">
                  <c:v>9.8579813695427205</c:v>
                </c:pt>
                <c:pt idx="403">
                  <c:v>10.0610366733181</c:v>
                </c:pt>
                <c:pt idx="404">
                  <c:v>10.201435233019099</c:v>
                </c:pt>
                <c:pt idx="405">
                  <c:v>10.3351406535471</c:v>
                </c:pt>
                <c:pt idx="406">
                  <c:v>10.427222802124</c:v>
                </c:pt>
                <c:pt idx="407">
                  <c:v>10.5360357137998</c:v>
                </c:pt>
                <c:pt idx="408">
                  <c:v>10.606117649741201</c:v>
                </c:pt>
                <c:pt idx="409">
                  <c:v>10.687797033340701</c:v>
                </c:pt>
                <c:pt idx="410">
                  <c:v>10.746382216498001</c:v>
                </c:pt>
                <c:pt idx="411">
                  <c:v>10.7938091217802</c:v>
                </c:pt>
                <c:pt idx="412">
                  <c:v>10.8162670900618</c:v>
                </c:pt>
                <c:pt idx="413">
                  <c:v>10.8615925336179</c:v>
                </c:pt>
                <c:pt idx="414">
                  <c:v>10.9044005070526</c:v>
                </c:pt>
                <c:pt idx="415">
                  <c:v>10.938034600377099</c:v>
                </c:pt>
                <c:pt idx="416">
                  <c:v>10.9271227616736</c:v>
                </c:pt>
                <c:pt idx="417">
                  <c:v>10.9445680470202</c:v>
                </c:pt>
                <c:pt idx="418">
                  <c:v>10.978554645461699</c:v>
                </c:pt>
                <c:pt idx="419">
                  <c:v>11.016117074062199</c:v>
                </c:pt>
                <c:pt idx="420">
                  <c:v>11.0285043972487</c:v>
                </c:pt>
                <c:pt idx="421">
                  <c:v>11.0637434632858</c:v>
                </c:pt>
                <c:pt idx="422">
                  <c:v>11.052606717585601</c:v>
                </c:pt>
                <c:pt idx="423">
                  <c:v>11.059365318631301</c:v>
                </c:pt>
                <c:pt idx="424">
                  <c:v>11.0648516943912</c:v>
                </c:pt>
                <c:pt idx="425">
                  <c:v>11.0699378502472</c:v>
                </c:pt>
                <c:pt idx="426">
                  <c:v>11.0818891831293</c:v>
                </c:pt>
                <c:pt idx="427">
                  <c:v>11.080891249906401</c:v>
                </c:pt>
                <c:pt idx="428">
                  <c:v>11.0708094996575</c:v>
                </c:pt>
                <c:pt idx="429">
                  <c:v>11.110142660347099</c:v>
                </c:pt>
                <c:pt idx="430">
                  <c:v>11.1219373662707</c:v>
                </c:pt>
                <c:pt idx="431">
                  <c:v>11.098658242300599</c:v>
                </c:pt>
                <c:pt idx="432">
                  <c:v>11.1149364584442</c:v>
                </c:pt>
                <c:pt idx="433">
                  <c:v>11.10801749674</c:v>
                </c:pt>
                <c:pt idx="434">
                  <c:v>11.087538419388</c:v>
                </c:pt>
                <c:pt idx="435">
                  <c:v>11.090947629734201</c:v>
                </c:pt>
                <c:pt idx="436">
                  <c:v>11.083106976978501</c:v>
                </c:pt>
                <c:pt idx="437">
                  <c:v>11.097474908044299</c:v>
                </c:pt>
                <c:pt idx="438">
                  <c:v>11.104302107306101</c:v>
                </c:pt>
                <c:pt idx="439">
                  <c:v>11.093840100959399</c:v>
                </c:pt>
                <c:pt idx="440">
                  <c:v>11.0992731692807</c:v>
                </c:pt>
                <c:pt idx="441">
                  <c:v>11.0633070019472</c:v>
                </c:pt>
                <c:pt idx="442">
                  <c:v>11.043366237313</c:v>
                </c:pt>
                <c:pt idx="443">
                  <c:v>11.010901605816001</c:v>
                </c:pt>
                <c:pt idx="444">
                  <c:v>10.9555187796364</c:v>
                </c:pt>
                <c:pt idx="445">
                  <c:v>10.9359437890118</c:v>
                </c:pt>
                <c:pt idx="446">
                  <c:v>10.8732621244309</c:v>
                </c:pt>
                <c:pt idx="447">
                  <c:v>10.7988693422685</c:v>
                </c:pt>
                <c:pt idx="448">
                  <c:v>10.752246561535401</c:v>
                </c:pt>
                <c:pt idx="449">
                  <c:v>10.7186008838879</c:v>
                </c:pt>
                <c:pt idx="450">
                  <c:v>10.654120579738301</c:v>
                </c:pt>
                <c:pt idx="451">
                  <c:v>10.591939949755499</c:v>
                </c:pt>
                <c:pt idx="452">
                  <c:v>10.527738644121699</c:v>
                </c:pt>
                <c:pt idx="453">
                  <c:v>10.449267508791401</c:v>
                </c:pt>
                <c:pt idx="454">
                  <c:v>10.371713040115999</c:v>
                </c:pt>
                <c:pt idx="455">
                  <c:v>10.304539295638101</c:v>
                </c:pt>
                <c:pt idx="456">
                  <c:v>10.212026285601</c:v>
                </c:pt>
                <c:pt idx="457">
                  <c:v>10.144904962904899</c:v>
                </c:pt>
                <c:pt idx="458">
                  <c:v>10.075634025965501</c:v>
                </c:pt>
                <c:pt idx="459">
                  <c:v>9.9884015403943494</c:v>
                </c:pt>
                <c:pt idx="460">
                  <c:v>9.8793473444272397</c:v>
                </c:pt>
                <c:pt idx="461">
                  <c:v>9.7920252446664797</c:v>
                </c:pt>
                <c:pt idx="462">
                  <c:v>9.7239299085004092</c:v>
                </c:pt>
                <c:pt idx="463">
                  <c:v>9.6389557600840803</c:v>
                </c:pt>
                <c:pt idx="464">
                  <c:v>9.5470156252861607</c:v>
                </c:pt>
                <c:pt idx="465">
                  <c:v>9.4632377309721303</c:v>
                </c:pt>
                <c:pt idx="466">
                  <c:v>9.3562669906782201</c:v>
                </c:pt>
                <c:pt idx="467">
                  <c:v>9.2209307105849305</c:v>
                </c:pt>
                <c:pt idx="468">
                  <c:v>9.0887150802797407</c:v>
                </c:pt>
                <c:pt idx="469">
                  <c:v>8.9488954698831407</c:v>
                </c:pt>
                <c:pt idx="470">
                  <c:v>8.8368849826250493</c:v>
                </c:pt>
                <c:pt idx="471">
                  <c:v>8.7086111739701799</c:v>
                </c:pt>
                <c:pt idx="472">
                  <c:v>8.5936085429415101</c:v>
                </c:pt>
                <c:pt idx="473">
                  <c:v>8.4416553611986203</c:v>
                </c:pt>
                <c:pt idx="474">
                  <c:v>8.2208014676188892</c:v>
                </c:pt>
                <c:pt idx="475">
                  <c:v>8.1697248774424391</c:v>
                </c:pt>
                <c:pt idx="476">
                  <c:v>8.1205773716903398</c:v>
                </c:pt>
                <c:pt idx="477">
                  <c:v>8.0685567911831999</c:v>
                </c:pt>
                <c:pt idx="478">
                  <c:v>8.0144310431791901</c:v>
                </c:pt>
                <c:pt idx="479">
                  <c:v>7.9727614442066796</c:v>
                </c:pt>
                <c:pt idx="480">
                  <c:v>7.9181774534923504</c:v>
                </c:pt>
                <c:pt idx="481">
                  <c:v>7.86761168033728</c:v>
                </c:pt>
                <c:pt idx="482">
                  <c:v>7.8156782353299601</c:v>
                </c:pt>
                <c:pt idx="483">
                  <c:v>7.7596245663823904</c:v>
                </c:pt>
                <c:pt idx="484">
                  <c:v>7.7033621964439902</c:v>
                </c:pt>
                <c:pt idx="485">
                  <c:v>7.6446127642355597</c:v>
                </c:pt>
                <c:pt idx="486">
                  <c:v>7.5960962422296303</c:v>
                </c:pt>
                <c:pt idx="487">
                  <c:v>7.5338652241792099</c:v>
                </c:pt>
                <c:pt idx="488">
                  <c:v>7.4773791103012801</c:v>
                </c:pt>
                <c:pt idx="489">
                  <c:v>7.4190975246109101</c:v>
                </c:pt>
                <c:pt idx="490">
                  <c:v>7.3628207717226299</c:v>
                </c:pt>
                <c:pt idx="491">
                  <c:v>7.3111257078386798</c:v>
                </c:pt>
                <c:pt idx="492">
                  <c:v>7.2473638154671098</c:v>
                </c:pt>
                <c:pt idx="493">
                  <c:v>7.1937004276394001</c:v>
                </c:pt>
                <c:pt idx="494">
                  <c:v>7.1480907258983697</c:v>
                </c:pt>
                <c:pt idx="495">
                  <c:v>7.0850281111098203</c:v>
                </c:pt>
                <c:pt idx="496">
                  <c:v>7.0316176095423204</c:v>
                </c:pt>
                <c:pt idx="497">
                  <c:v>6.9697090178215504</c:v>
                </c:pt>
                <c:pt idx="498">
                  <c:v>6.9212491070191504</c:v>
                </c:pt>
                <c:pt idx="499">
                  <c:v>6.8685812052884803</c:v>
                </c:pt>
                <c:pt idx="500">
                  <c:v>6.8121797672487396</c:v>
                </c:pt>
                <c:pt idx="501">
                  <c:v>6.7516758532315597</c:v>
                </c:pt>
                <c:pt idx="502">
                  <c:v>6.7015619230376098</c:v>
                </c:pt>
                <c:pt idx="503">
                  <c:v>6.6385803174370599</c:v>
                </c:pt>
                <c:pt idx="504">
                  <c:v>6.5756314023508997</c:v>
                </c:pt>
                <c:pt idx="505">
                  <c:v>6.5200331915966103</c:v>
                </c:pt>
                <c:pt idx="506">
                  <c:v>6.4507035003586797</c:v>
                </c:pt>
                <c:pt idx="507">
                  <c:v>6.3976433489669304</c:v>
                </c:pt>
                <c:pt idx="508">
                  <c:v>6.3428589019785599</c:v>
                </c:pt>
                <c:pt idx="509">
                  <c:v>6.2850939018897298</c:v>
                </c:pt>
                <c:pt idx="510">
                  <c:v>6.2343433251137697</c:v>
                </c:pt>
                <c:pt idx="511">
                  <c:v>6.1774039645841698</c:v>
                </c:pt>
                <c:pt idx="512">
                  <c:v>6.11922143857067</c:v>
                </c:pt>
                <c:pt idx="513">
                  <c:v>6.06277463951906</c:v>
                </c:pt>
                <c:pt idx="514">
                  <c:v>6.0117565384552103</c:v>
                </c:pt>
                <c:pt idx="515">
                  <c:v>5.9559296782586797</c:v>
                </c:pt>
                <c:pt idx="516">
                  <c:v>5.9017859888250799</c:v>
                </c:pt>
                <c:pt idx="517">
                  <c:v>5.8525006596011</c:v>
                </c:pt>
                <c:pt idx="518">
                  <c:v>5.8080374898676501</c:v>
                </c:pt>
                <c:pt idx="519">
                  <c:v>5.7513313961456403</c:v>
                </c:pt>
                <c:pt idx="520">
                  <c:v>5.6991366361661999</c:v>
                </c:pt>
                <c:pt idx="521">
                  <c:v>5.6434179148041501</c:v>
                </c:pt>
                <c:pt idx="522">
                  <c:v>5.5898422257717799</c:v>
                </c:pt>
                <c:pt idx="523">
                  <c:v>5.5414349189832404</c:v>
                </c:pt>
                <c:pt idx="524">
                  <c:v>5.4963365743821502</c:v>
                </c:pt>
                <c:pt idx="525">
                  <c:v>5.4564954083705297</c:v>
                </c:pt>
                <c:pt idx="526">
                  <c:v>5.4020638126763298</c:v>
                </c:pt>
                <c:pt idx="527">
                  <c:v>5.3461612293052001</c:v>
                </c:pt>
                <c:pt idx="528">
                  <c:v>5.3040420489402003</c:v>
                </c:pt>
                <c:pt idx="529">
                  <c:v>5.2545528789727198</c:v>
                </c:pt>
                <c:pt idx="530">
                  <c:v>5.2033680985091602</c:v>
                </c:pt>
                <c:pt idx="531">
                  <c:v>5.1528302251059399</c:v>
                </c:pt>
                <c:pt idx="532">
                  <c:v>6.2816326130229303</c:v>
                </c:pt>
                <c:pt idx="533">
                  <c:v>9.67390833344699</c:v>
                </c:pt>
                <c:pt idx="534">
                  <c:v>10.150423521067401</c:v>
                </c:pt>
                <c:pt idx="535">
                  <c:v>10.3070344763288</c:v>
                </c:pt>
                <c:pt idx="536">
                  <c:v>10.3751199091449</c:v>
                </c:pt>
                <c:pt idx="537">
                  <c:v>10.399233929754701</c:v>
                </c:pt>
                <c:pt idx="538">
                  <c:v>10.426615540394399</c:v>
                </c:pt>
                <c:pt idx="539">
                  <c:v>10.414370146481801</c:v>
                </c:pt>
                <c:pt idx="540">
                  <c:v>10.4321162095608</c:v>
                </c:pt>
                <c:pt idx="541">
                  <c:v>10.461348000875899</c:v>
                </c:pt>
                <c:pt idx="542">
                  <c:v>10.428493931984899</c:v>
                </c:pt>
                <c:pt idx="543">
                  <c:v>10.400390961721</c:v>
                </c:pt>
                <c:pt idx="544">
                  <c:v>10.4083532771461</c:v>
                </c:pt>
                <c:pt idx="545">
                  <c:v>10.421135911683299</c:v>
                </c:pt>
                <c:pt idx="546">
                  <c:v>10.4027524262876</c:v>
                </c:pt>
                <c:pt idx="547">
                  <c:v>10.405786357444001</c:v>
                </c:pt>
                <c:pt idx="548">
                  <c:v>10.391102667274801</c:v>
                </c:pt>
                <c:pt idx="549">
                  <c:v>10.380835083022999</c:v>
                </c:pt>
                <c:pt idx="550">
                  <c:v>10.369310687661599</c:v>
                </c:pt>
                <c:pt idx="551">
                  <c:v>10.3441014886704</c:v>
                </c:pt>
                <c:pt idx="552">
                  <c:v>10.315916667052599</c:v>
                </c:pt>
                <c:pt idx="553">
                  <c:v>10.296992123032</c:v>
                </c:pt>
                <c:pt idx="554">
                  <c:v>10.2923904254045</c:v>
                </c:pt>
                <c:pt idx="555">
                  <c:v>10.260328340681101</c:v>
                </c:pt>
                <c:pt idx="556">
                  <c:v>10.228868225739999</c:v>
                </c:pt>
                <c:pt idx="557">
                  <c:v>10.1999763865551</c:v>
                </c:pt>
                <c:pt idx="558">
                  <c:v>10.179736899041499</c:v>
                </c:pt>
                <c:pt idx="559">
                  <c:v>10.151584085309899</c:v>
                </c:pt>
                <c:pt idx="560">
                  <c:v>10.1181099811684</c:v>
                </c:pt>
                <c:pt idx="561">
                  <c:v>10.084747186433299</c:v>
                </c:pt>
                <c:pt idx="562">
                  <c:v>10.054290695971099</c:v>
                </c:pt>
                <c:pt idx="563">
                  <c:v>10.028516686147</c:v>
                </c:pt>
                <c:pt idx="564">
                  <c:v>10.0071217397835</c:v>
                </c:pt>
                <c:pt idx="565">
                  <c:v>9.9688276703719101</c:v>
                </c:pt>
                <c:pt idx="566">
                  <c:v>9.9308253314760808</c:v>
                </c:pt>
                <c:pt idx="567">
                  <c:v>9.90811520640551</c:v>
                </c:pt>
                <c:pt idx="568">
                  <c:v>9.8614453483848408</c:v>
                </c:pt>
                <c:pt idx="569">
                  <c:v>9.8097882572178392</c:v>
                </c:pt>
                <c:pt idx="570">
                  <c:v>9.7695366286832908</c:v>
                </c:pt>
                <c:pt idx="571">
                  <c:v>9.7132619707815309</c:v>
                </c:pt>
                <c:pt idx="572">
                  <c:v>9.6640164597749401</c:v>
                </c:pt>
                <c:pt idx="573">
                  <c:v>9.6167198472218907</c:v>
                </c:pt>
                <c:pt idx="574">
                  <c:v>9.5537776277811002</c:v>
                </c:pt>
                <c:pt idx="575">
                  <c:v>9.4868668119799597</c:v>
                </c:pt>
                <c:pt idx="576">
                  <c:v>9.4217349688380807</c:v>
                </c:pt>
                <c:pt idx="577">
                  <c:v>9.3665678316774699</c:v>
                </c:pt>
                <c:pt idx="578">
                  <c:v>9.2983550448415198</c:v>
                </c:pt>
                <c:pt idx="579">
                  <c:v>9.2195372329710406</c:v>
                </c:pt>
                <c:pt idx="580">
                  <c:v>9.1362840776409708</c:v>
                </c:pt>
                <c:pt idx="581">
                  <c:v>9.0572843048799001</c:v>
                </c:pt>
                <c:pt idx="582">
                  <c:v>8.9945577450583993</c:v>
                </c:pt>
                <c:pt idx="583">
                  <c:v>8.9196638619812898</c:v>
                </c:pt>
                <c:pt idx="584">
                  <c:v>8.8426732704649798</c:v>
                </c:pt>
                <c:pt idx="585">
                  <c:v>8.7601567961029296</c:v>
                </c:pt>
                <c:pt idx="586">
                  <c:v>8.6797625182461697</c:v>
                </c:pt>
                <c:pt idx="587">
                  <c:v>8.6020885509568394</c:v>
                </c:pt>
                <c:pt idx="588">
                  <c:v>8.5268905825659704</c:v>
                </c:pt>
                <c:pt idx="589">
                  <c:v>8.4405207662828392</c:v>
                </c:pt>
                <c:pt idx="590">
                  <c:v>8.3411447134044501</c:v>
                </c:pt>
                <c:pt idx="591">
                  <c:v>8.2415593367922</c:v>
                </c:pt>
                <c:pt idx="592">
                  <c:v>8.1628904053004305</c:v>
                </c:pt>
                <c:pt idx="593">
                  <c:v>8.0711750656079797</c:v>
                </c:pt>
                <c:pt idx="594">
                  <c:v>7.9595394312711996</c:v>
                </c:pt>
                <c:pt idx="595">
                  <c:v>7.8707714965014297</c:v>
                </c:pt>
                <c:pt idx="596">
                  <c:v>7.7610087418723603</c:v>
                </c:pt>
                <c:pt idx="597">
                  <c:v>7.67649371635361</c:v>
                </c:pt>
                <c:pt idx="598">
                  <c:v>7.6078442777893498</c:v>
                </c:pt>
                <c:pt idx="599">
                  <c:v>7.5277333776245801</c:v>
                </c:pt>
                <c:pt idx="600">
                  <c:v>7.4508493177310902</c:v>
                </c:pt>
                <c:pt idx="601">
                  <c:v>7.3808101779306297</c:v>
                </c:pt>
                <c:pt idx="602">
                  <c:v>7.3096526952614296</c:v>
                </c:pt>
                <c:pt idx="603">
                  <c:v>7.2321419881369504</c:v>
                </c:pt>
                <c:pt idx="604">
                  <c:v>7.1639354275104603</c:v>
                </c:pt>
                <c:pt idx="605">
                  <c:v>7.0826643628186696</c:v>
                </c:pt>
                <c:pt idx="606">
                  <c:v>7.0107768257041601</c:v>
                </c:pt>
                <c:pt idx="607">
                  <c:v>6.9375980318672701</c:v>
                </c:pt>
                <c:pt idx="608">
                  <c:v>6.8724983878525396</c:v>
                </c:pt>
                <c:pt idx="609">
                  <c:v>6.7963765891143701</c:v>
                </c:pt>
                <c:pt idx="610">
                  <c:v>6.7258792956714304</c:v>
                </c:pt>
                <c:pt idx="611">
                  <c:v>6.6616296834832402</c:v>
                </c:pt>
                <c:pt idx="612">
                  <c:v>6.5951853729553296</c:v>
                </c:pt>
                <c:pt idx="613">
                  <c:v>6.5290673468559204</c:v>
                </c:pt>
                <c:pt idx="614">
                  <c:v>6.4561805494799902</c:v>
                </c:pt>
                <c:pt idx="615">
                  <c:v>6.3901248279804399</c:v>
                </c:pt>
                <c:pt idx="616">
                  <c:v>6.32708928980602</c:v>
                </c:pt>
                <c:pt idx="617">
                  <c:v>6.2602507760517598</c:v>
                </c:pt>
                <c:pt idx="618">
                  <c:v>6.1943501205547298</c:v>
                </c:pt>
                <c:pt idx="619">
                  <c:v>6.1330203629389999</c:v>
                </c:pt>
                <c:pt idx="620">
                  <c:v>6.0625169135663803</c:v>
                </c:pt>
                <c:pt idx="621">
                  <c:v>6.0121084209721998</c:v>
                </c:pt>
                <c:pt idx="622">
                  <c:v>5.9566477481474003</c:v>
                </c:pt>
                <c:pt idx="623">
                  <c:v>5.9046007111955099</c:v>
                </c:pt>
                <c:pt idx="624">
                  <c:v>5.8441500711142398</c:v>
                </c:pt>
                <c:pt idx="625">
                  <c:v>5.7905889473154097</c:v>
                </c:pt>
                <c:pt idx="626">
                  <c:v>5.7329003182306204</c:v>
                </c:pt>
                <c:pt idx="627">
                  <c:v>5.67606285023599</c:v>
                </c:pt>
                <c:pt idx="628">
                  <c:v>5.6235966492524403</c:v>
                </c:pt>
                <c:pt idx="629">
                  <c:v>5.56367528347735</c:v>
                </c:pt>
                <c:pt idx="630">
                  <c:v>5.5032774986811104</c:v>
                </c:pt>
                <c:pt idx="631">
                  <c:v>5.4453158552734298</c:v>
                </c:pt>
                <c:pt idx="632">
                  <c:v>5.39504063134759</c:v>
                </c:pt>
                <c:pt idx="633">
                  <c:v>5.3440586294002204</c:v>
                </c:pt>
                <c:pt idx="634">
                  <c:v>5.2915302382339799</c:v>
                </c:pt>
                <c:pt idx="635">
                  <c:v>5.2408995958548203</c:v>
                </c:pt>
                <c:pt idx="636">
                  <c:v>5.1932051772353196</c:v>
                </c:pt>
                <c:pt idx="637">
                  <c:v>5.1449025858153403</c:v>
                </c:pt>
                <c:pt idx="638">
                  <c:v>5.0970278484501401</c:v>
                </c:pt>
                <c:pt idx="639">
                  <c:v>5.0483525400185201</c:v>
                </c:pt>
                <c:pt idx="640">
                  <c:v>5.0024467851382202</c:v>
                </c:pt>
                <c:pt idx="641">
                  <c:v>4.9593796908580803</c:v>
                </c:pt>
                <c:pt idx="642">
                  <c:v>4.9150169239272898</c:v>
                </c:pt>
                <c:pt idx="643">
                  <c:v>4.8681409459412404</c:v>
                </c:pt>
                <c:pt idx="644">
                  <c:v>4.8211275036168404</c:v>
                </c:pt>
                <c:pt idx="645">
                  <c:v>4.7803917912696798</c:v>
                </c:pt>
                <c:pt idx="646">
                  <c:v>4.7332926175690098</c:v>
                </c:pt>
                <c:pt idx="647">
                  <c:v>4.6886009808850204</c:v>
                </c:pt>
                <c:pt idx="648">
                  <c:v>4.6430074712128002</c:v>
                </c:pt>
                <c:pt idx="649">
                  <c:v>4.5966731483020498</c:v>
                </c:pt>
                <c:pt idx="650">
                  <c:v>4.5509119365963597</c:v>
                </c:pt>
                <c:pt idx="651">
                  <c:v>4.5092165280942096</c:v>
                </c:pt>
                <c:pt idx="652">
                  <c:v>4.4761785606897302</c:v>
                </c:pt>
                <c:pt idx="653">
                  <c:v>4.43249463689446</c:v>
                </c:pt>
                <c:pt idx="654">
                  <c:v>4.3952661279363996</c:v>
                </c:pt>
                <c:pt idx="655">
                  <c:v>4.3573411161219804</c:v>
                </c:pt>
                <c:pt idx="656">
                  <c:v>4.3149597180181196</c:v>
                </c:pt>
                <c:pt idx="657">
                  <c:v>4.2726206665989697</c:v>
                </c:pt>
                <c:pt idx="658">
                  <c:v>4.2298368764478296</c:v>
                </c:pt>
                <c:pt idx="659">
                  <c:v>4.1944925589682702</c:v>
                </c:pt>
                <c:pt idx="660">
                  <c:v>4.1589245618658701</c:v>
                </c:pt>
                <c:pt idx="661">
                  <c:v>4.1185060517370502</c:v>
                </c:pt>
                <c:pt idx="662">
                  <c:v>4.0801265351006899</c:v>
                </c:pt>
                <c:pt idx="663">
                  <c:v>4.0444380490969296</c:v>
                </c:pt>
                <c:pt idx="664">
                  <c:v>4.0109096201083902</c:v>
                </c:pt>
                <c:pt idx="665">
                  <c:v>3.9758661001446201</c:v>
                </c:pt>
                <c:pt idx="666">
                  <c:v>3.9401285457171702</c:v>
                </c:pt>
                <c:pt idx="667">
                  <c:v>3.9023329401874598</c:v>
                </c:pt>
                <c:pt idx="668">
                  <c:v>3.8629392082320302</c:v>
                </c:pt>
                <c:pt idx="669">
                  <c:v>3.8289348134489201</c:v>
                </c:pt>
                <c:pt idx="670">
                  <c:v>3.7977471602006898</c:v>
                </c:pt>
                <c:pt idx="671">
                  <c:v>3.7658723099381102</c:v>
                </c:pt>
                <c:pt idx="672">
                  <c:v>3.7350937584294299</c:v>
                </c:pt>
                <c:pt idx="673">
                  <c:v>3.7018965251088698</c:v>
                </c:pt>
                <c:pt idx="674">
                  <c:v>3.6679599369194298</c:v>
                </c:pt>
                <c:pt idx="675">
                  <c:v>3.6311922386962601</c:v>
                </c:pt>
                <c:pt idx="676">
                  <c:v>3.6009426802039401</c:v>
                </c:pt>
                <c:pt idx="677">
                  <c:v>3.5679031275312298</c:v>
                </c:pt>
                <c:pt idx="678">
                  <c:v>3.5388065108062401</c:v>
                </c:pt>
                <c:pt idx="679">
                  <c:v>4.05912995135174</c:v>
                </c:pt>
                <c:pt idx="680">
                  <c:v>9.5002078677264503</c:v>
                </c:pt>
                <c:pt idx="681">
                  <c:v>11.0952981476507</c:v>
                </c:pt>
                <c:pt idx="682">
                  <c:v>11.361953684390199</c:v>
                </c:pt>
                <c:pt idx="683">
                  <c:v>11.444735597550499</c:v>
                </c:pt>
                <c:pt idx="684">
                  <c:v>11.4873869419546</c:v>
                </c:pt>
                <c:pt idx="685">
                  <c:v>11.491535008527</c:v>
                </c:pt>
                <c:pt idx="686">
                  <c:v>11.484984814434601</c:v>
                </c:pt>
                <c:pt idx="687">
                  <c:v>11.4676935223074</c:v>
                </c:pt>
                <c:pt idx="688">
                  <c:v>11.449948442412699</c:v>
                </c:pt>
                <c:pt idx="689">
                  <c:v>11.4263422542972</c:v>
                </c:pt>
                <c:pt idx="690">
                  <c:v>11.397627342345601</c:v>
                </c:pt>
                <c:pt idx="691">
                  <c:v>11.3836608056474</c:v>
                </c:pt>
                <c:pt idx="692">
                  <c:v>11.363398982178399</c:v>
                </c:pt>
                <c:pt idx="693">
                  <c:v>11.3494123719763</c:v>
                </c:pt>
                <c:pt idx="694">
                  <c:v>11.3441618966547</c:v>
                </c:pt>
                <c:pt idx="695">
                  <c:v>11.3231302214701</c:v>
                </c:pt>
                <c:pt idx="696">
                  <c:v>11.284801364050001</c:v>
                </c:pt>
                <c:pt idx="697">
                  <c:v>11.2721169639498</c:v>
                </c:pt>
                <c:pt idx="698">
                  <c:v>11.265518476154</c:v>
                </c:pt>
                <c:pt idx="699">
                  <c:v>11.238968964959801</c:v>
                </c:pt>
                <c:pt idx="700">
                  <c:v>11.2222258271399</c:v>
                </c:pt>
                <c:pt idx="701">
                  <c:v>11.2142461030967</c:v>
                </c:pt>
                <c:pt idx="702">
                  <c:v>11.2020106398205</c:v>
                </c:pt>
                <c:pt idx="703">
                  <c:v>11.200223782188001</c:v>
                </c:pt>
                <c:pt idx="704">
                  <c:v>11.152089296747301</c:v>
                </c:pt>
                <c:pt idx="705">
                  <c:v>11.121065220200499</c:v>
                </c:pt>
                <c:pt idx="706">
                  <c:v>11.045700779464401</c:v>
                </c:pt>
                <c:pt idx="707">
                  <c:v>11.0457663066148</c:v>
                </c:pt>
                <c:pt idx="708">
                  <c:v>11.0354305225256</c:v>
                </c:pt>
                <c:pt idx="709">
                  <c:v>11.016169175194101</c:v>
                </c:pt>
                <c:pt idx="710">
                  <c:v>10.9940392958066</c:v>
                </c:pt>
                <c:pt idx="711">
                  <c:v>10.968491000831101</c:v>
                </c:pt>
                <c:pt idx="712">
                  <c:v>10.9273483044971</c:v>
                </c:pt>
                <c:pt idx="713">
                  <c:v>10.933735000248801</c:v>
                </c:pt>
                <c:pt idx="714">
                  <c:v>10.8968284872943</c:v>
                </c:pt>
                <c:pt idx="715">
                  <c:v>10.8775224150555</c:v>
                </c:pt>
                <c:pt idx="716">
                  <c:v>10.8706329456716</c:v>
                </c:pt>
                <c:pt idx="717">
                  <c:v>10.861420537941999</c:v>
                </c:pt>
                <c:pt idx="718">
                  <c:v>10.819665139148899</c:v>
                </c:pt>
                <c:pt idx="719">
                  <c:v>10.782748070698</c:v>
                </c:pt>
                <c:pt idx="720">
                  <c:v>10.752690948234401</c:v>
                </c:pt>
                <c:pt idx="721">
                  <c:v>10.700534917209101</c:v>
                </c:pt>
                <c:pt idx="722">
                  <c:v>10.667156695005501</c:v>
                </c:pt>
                <c:pt idx="723">
                  <c:v>10.6311824822871</c:v>
                </c:pt>
                <c:pt idx="724">
                  <c:v>10.6017484169759</c:v>
                </c:pt>
                <c:pt idx="725">
                  <c:v>10.5545332051044</c:v>
                </c:pt>
                <c:pt idx="726">
                  <c:v>10.513954219925999</c:v>
                </c:pt>
                <c:pt idx="727">
                  <c:v>10.455693621903</c:v>
                </c:pt>
                <c:pt idx="728">
                  <c:v>10.409120938269499</c:v>
                </c:pt>
                <c:pt idx="729">
                  <c:v>10.3634243874082</c:v>
                </c:pt>
                <c:pt idx="730">
                  <c:v>10.313648850810001</c:v>
                </c:pt>
                <c:pt idx="731">
                  <c:v>10.2561775886416</c:v>
                </c:pt>
                <c:pt idx="732">
                  <c:v>10.1883402401648</c:v>
                </c:pt>
                <c:pt idx="733">
                  <c:v>10.124328268543399</c:v>
                </c:pt>
                <c:pt idx="734">
                  <c:v>10.068045884883301</c:v>
                </c:pt>
                <c:pt idx="735">
                  <c:v>10.0076090201635</c:v>
                </c:pt>
                <c:pt idx="736">
                  <c:v>9.9508426496102196</c:v>
                </c:pt>
                <c:pt idx="737">
                  <c:v>9.8842907594052303</c:v>
                </c:pt>
                <c:pt idx="738">
                  <c:v>9.8279259078888792</c:v>
                </c:pt>
                <c:pt idx="739">
                  <c:v>9.7706517216735396</c:v>
                </c:pt>
                <c:pt idx="740">
                  <c:v>9.7000845569793199</c:v>
                </c:pt>
                <c:pt idx="741">
                  <c:v>9.6353962411186398</c:v>
                </c:pt>
                <c:pt idx="742">
                  <c:v>9.5666396180696704</c:v>
                </c:pt>
                <c:pt idx="743">
                  <c:v>9.4967599280455506</c:v>
                </c:pt>
                <c:pt idx="744">
                  <c:v>9.4260795006816593</c:v>
                </c:pt>
                <c:pt idx="745">
                  <c:v>9.3537099681562097</c:v>
                </c:pt>
                <c:pt idx="746">
                  <c:v>9.2633735854048496</c:v>
                </c:pt>
                <c:pt idx="747">
                  <c:v>9.1848451167480096</c:v>
                </c:pt>
                <c:pt idx="748">
                  <c:v>9.1168169354556792</c:v>
                </c:pt>
                <c:pt idx="749">
                  <c:v>9.01275999808934</c:v>
                </c:pt>
                <c:pt idx="750">
                  <c:v>8.9229068924902109</c:v>
                </c:pt>
                <c:pt idx="751">
                  <c:v>8.8283567679950092</c:v>
                </c:pt>
                <c:pt idx="752">
                  <c:v>8.7173458083503501</c:v>
                </c:pt>
                <c:pt idx="753">
                  <c:v>8.6169445731006604</c:v>
                </c:pt>
                <c:pt idx="754">
                  <c:v>8.4937437720024196</c:v>
                </c:pt>
                <c:pt idx="755">
                  <c:v>8.3692233227171595</c:v>
                </c:pt>
                <c:pt idx="756">
                  <c:v>8.2168140552175899</c:v>
                </c:pt>
                <c:pt idx="757">
                  <c:v>8.0657662522571201</c:v>
                </c:pt>
                <c:pt idx="758">
                  <c:v>7.9704823952366599</c:v>
                </c:pt>
                <c:pt idx="759">
                  <c:v>7.87888756534712</c:v>
                </c:pt>
                <c:pt idx="760">
                  <c:v>7.7860573981243899</c:v>
                </c:pt>
                <c:pt idx="761">
                  <c:v>7.6961151554499301</c:v>
                </c:pt>
                <c:pt idx="762">
                  <c:v>7.60728498200326</c:v>
                </c:pt>
                <c:pt idx="763">
                  <c:v>7.5244497444868603</c:v>
                </c:pt>
                <c:pt idx="764">
                  <c:v>7.4337994415290902</c:v>
                </c:pt>
                <c:pt idx="765">
                  <c:v>7.3502106341599402</c:v>
                </c:pt>
                <c:pt idx="766">
                  <c:v>7.2716226315130301</c:v>
                </c:pt>
                <c:pt idx="767">
                  <c:v>7.1894920828430999</c:v>
                </c:pt>
                <c:pt idx="768">
                  <c:v>7.1003004445101601</c:v>
                </c:pt>
                <c:pt idx="769">
                  <c:v>7.0159259515006598</c:v>
                </c:pt>
                <c:pt idx="770">
                  <c:v>6.9441990646452396</c:v>
                </c:pt>
                <c:pt idx="771">
                  <c:v>6.8728669500699597</c:v>
                </c:pt>
                <c:pt idx="772">
                  <c:v>6.7977428363795402</c:v>
                </c:pt>
                <c:pt idx="773">
                  <c:v>6.71709918574133</c:v>
                </c:pt>
                <c:pt idx="774">
                  <c:v>6.6424053292006997</c:v>
                </c:pt>
                <c:pt idx="775">
                  <c:v>6.5773428719330704</c:v>
                </c:pt>
                <c:pt idx="776">
                  <c:v>6.50917118223669</c:v>
                </c:pt>
                <c:pt idx="777">
                  <c:v>6.4341827813213301</c:v>
                </c:pt>
                <c:pt idx="778">
                  <c:v>6.36509449828056</c:v>
                </c:pt>
                <c:pt idx="779">
                  <c:v>6.2960800124349197</c:v>
                </c:pt>
                <c:pt idx="780">
                  <c:v>6.2263317047654203</c:v>
                </c:pt>
                <c:pt idx="781">
                  <c:v>6.1682862464281296</c:v>
                </c:pt>
                <c:pt idx="782">
                  <c:v>6.0896876991654603</c:v>
                </c:pt>
                <c:pt idx="783">
                  <c:v>6.0204828846567997</c:v>
                </c:pt>
                <c:pt idx="784">
                  <c:v>5.9594061961241502</c:v>
                </c:pt>
                <c:pt idx="785">
                  <c:v>5.8933172395198197</c:v>
                </c:pt>
                <c:pt idx="786">
                  <c:v>5.83568613312403</c:v>
                </c:pt>
                <c:pt idx="787">
                  <c:v>5.7805494593179496</c:v>
                </c:pt>
                <c:pt idx="788">
                  <c:v>5.7233445999080397</c:v>
                </c:pt>
                <c:pt idx="789">
                  <c:v>5.6642560323085798</c:v>
                </c:pt>
                <c:pt idx="790">
                  <c:v>5.6048859734409398</c:v>
                </c:pt>
                <c:pt idx="791">
                  <c:v>5.5470753606608101</c:v>
                </c:pt>
                <c:pt idx="792">
                  <c:v>5.4938162212421</c:v>
                </c:pt>
                <c:pt idx="793">
                  <c:v>5.4320344083503596</c:v>
                </c:pt>
                <c:pt idx="794">
                  <c:v>5.3717599277817998</c:v>
                </c:pt>
                <c:pt idx="795">
                  <c:v>5.3180702690249602</c:v>
                </c:pt>
                <c:pt idx="796">
                  <c:v>5.2645340951153603</c:v>
                </c:pt>
                <c:pt idx="797">
                  <c:v>5.2103620034216798</c:v>
                </c:pt>
                <c:pt idx="798">
                  <c:v>5.1489522627249897</c:v>
                </c:pt>
                <c:pt idx="799">
                  <c:v>5.0986507002485899</c:v>
                </c:pt>
                <c:pt idx="800">
                  <c:v>5.0531572164196099</c:v>
                </c:pt>
                <c:pt idx="801">
                  <c:v>5.0011308288184297</c:v>
                </c:pt>
                <c:pt idx="802">
                  <c:v>4.9443136143937698</c:v>
                </c:pt>
                <c:pt idx="803">
                  <c:v>4.8923436042821304</c:v>
                </c:pt>
                <c:pt idx="804">
                  <c:v>4.84067971341329</c:v>
                </c:pt>
                <c:pt idx="805">
                  <c:v>4.7916627687631301</c:v>
                </c:pt>
                <c:pt idx="806">
                  <c:v>4.7431544458373702</c:v>
                </c:pt>
                <c:pt idx="807">
                  <c:v>4.6926279646079001</c:v>
                </c:pt>
                <c:pt idx="808">
                  <c:v>4.6384043461639104</c:v>
                </c:pt>
                <c:pt idx="809">
                  <c:v>4.5952687448590899</c:v>
                </c:pt>
                <c:pt idx="810">
                  <c:v>4.5488433022591597</c:v>
                </c:pt>
                <c:pt idx="811">
                  <c:v>4.5016502326918504</c:v>
                </c:pt>
                <c:pt idx="812">
                  <c:v>4.4508770557063499</c:v>
                </c:pt>
                <c:pt idx="813">
                  <c:v>4.4063798563005703</c:v>
                </c:pt>
                <c:pt idx="814">
                  <c:v>4.3651798923958296</c:v>
                </c:pt>
                <c:pt idx="815">
                  <c:v>4.31821283763996</c:v>
                </c:pt>
                <c:pt idx="816">
                  <c:v>4.2739549794295204</c:v>
                </c:pt>
                <c:pt idx="817">
                  <c:v>4.2319305431549603</c:v>
                </c:pt>
                <c:pt idx="818">
                  <c:v>4.1875327961193802</c:v>
                </c:pt>
                <c:pt idx="819">
                  <c:v>4.1448395888158496</c:v>
                </c:pt>
                <c:pt idx="820">
                  <c:v>4.0973029673077601</c:v>
                </c:pt>
                <c:pt idx="821">
                  <c:v>4.0637300055337597</c:v>
                </c:pt>
                <c:pt idx="822">
                  <c:v>4.04495260977433</c:v>
                </c:pt>
                <c:pt idx="823">
                  <c:v>5.3375022910602201</c:v>
                </c:pt>
                <c:pt idx="824">
                  <c:v>9.7877420948851999</c:v>
                </c:pt>
                <c:pt idx="825">
                  <c:v>10.9595479152577</c:v>
                </c:pt>
                <c:pt idx="826">
                  <c:v>11.138792211537501</c:v>
                </c:pt>
                <c:pt idx="827">
                  <c:v>11.178204625980101</c:v>
                </c:pt>
                <c:pt idx="828">
                  <c:v>11.195202038363799</c:v>
                </c:pt>
                <c:pt idx="829">
                  <c:v>11.123989128819399</c:v>
                </c:pt>
                <c:pt idx="830">
                  <c:v>11.1748332399901</c:v>
                </c:pt>
                <c:pt idx="831">
                  <c:v>11.141525064973701</c:v>
                </c:pt>
                <c:pt idx="832">
                  <c:v>11.113557293918101</c:v>
                </c:pt>
                <c:pt idx="833">
                  <c:v>11.078009404925499</c:v>
                </c:pt>
                <c:pt idx="834">
                  <c:v>11.054051603466601</c:v>
                </c:pt>
                <c:pt idx="835">
                  <c:v>11.0125599396662</c:v>
                </c:pt>
                <c:pt idx="836">
                  <c:v>10.9795485565473</c:v>
                </c:pt>
                <c:pt idx="837">
                  <c:v>10.9445956894118</c:v>
                </c:pt>
                <c:pt idx="838">
                  <c:v>10.9127682156718</c:v>
                </c:pt>
                <c:pt idx="839">
                  <c:v>10.8629838194552</c:v>
                </c:pt>
                <c:pt idx="840">
                  <c:v>10.8218655838391</c:v>
                </c:pt>
                <c:pt idx="841">
                  <c:v>10.7948347895032</c:v>
                </c:pt>
                <c:pt idx="842">
                  <c:v>10.749591023903999</c:v>
                </c:pt>
                <c:pt idx="843">
                  <c:v>10.6887385665129</c:v>
                </c:pt>
                <c:pt idx="844">
                  <c:v>10.6208777627954</c:v>
                </c:pt>
                <c:pt idx="845">
                  <c:v>10.5773911673803</c:v>
                </c:pt>
                <c:pt idx="846">
                  <c:v>10.530164969323801</c:v>
                </c:pt>
                <c:pt idx="847">
                  <c:v>10.463232457275399</c:v>
                </c:pt>
                <c:pt idx="848">
                  <c:v>10.3782039799201</c:v>
                </c:pt>
                <c:pt idx="849">
                  <c:v>10.3207516062169</c:v>
                </c:pt>
                <c:pt idx="850">
                  <c:v>10.240168814401001</c:v>
                </c:pt>
                <c:pt idx="851">
                  <c:v>10.157741047107899</c:v>
                </c:pt>
                <c:pt idx="852">
                  <c:v>10.087930721120999</c:v>
                </c:pt>
                <c:pt idx="853">
                  <c:v>10.0017815475153</c:v>
                </c:pt>
                <c:pt idx="854">
                  <c:v>9.9221115173913006</c:v>
                </c:pt>
                <c:pt idx="855">
                  <c:v>9.8272294121940096</c:v>
                </c:pt>
                <c:pt idx="856">
                  <c:v>9.7404368990499197</c:v>
                </c:pt>
                <c:pt idx="857">
                  <c:v>9.6647331209529703</c:v>
                </c:pt>
                <c:pt idx="858">
                  <c:v>9.57718082466684</c:v>
                </c:pt>
                <c:pt idx="859">
                  <c:v>9.4823638912447805</c:v>
                </c:pt>
                <c:pt idx="860">
                  <c:v>9.3791132794618104</c:v>
                </c:pt>
                <c:pt idx="861">
                  <c:v>9.3027724087386403</c:v>
                </c:pt>
                <c:pt idx="862">
                  <c:v>9.1963439828694895</c:v>
                </c:pt>
                <c:pt idx="863">
                  <c:v>9.1083457482368093</c:v>
                </c:pt>
                <c:pt idx="864">
                  <c:v>9.0241963015774598</c:v>
                </c:pt>
                <c:pt idx="865">
                  <c:v>8.9325405095611696</c:v>
                </c:pt>
                <c:pt idx="866">
                  <c:v>8.8542164459113</c:v>
                </c:pt>
                <c:pt idx="867">
                  <c:v>8.7643658560590598</c:v>
                </c:pt>
                <c:pt idx="868">
                  <c:v>8.6598981680693399</c:v>
                </c:pt>
                <c:pt idx="869">
                  <c:v>8.5719921421694902</c:v>
                </c:pt>
                <c:pt idx="870">
                  <c:v>8.5053330080307106</c:v>
                </c:pt>
                <c:pt idx="871">
                  <c:v>8.3975791786057705</c:v>
                </c:pt>
                <c:pt idx="872">
                  <c:v>8.3086347017601696</c:v>
                </c:pt>
                <c:pt idx="873">
                  <c:v>8.2216416315516607</c:v>
                </c:pt>
                <c:pt idx="874">
                  <c:v>8.1204221255114604</c:v>
                </c:pt>
                <c:pt idx="875">
                  <c:v>8.0305259765483097</c:v>
                </c:pt>
                <c:pt idx="876">
                  <c:v>7.9451337705789102</c:v>
                </c:pt>
                <c:pt idx="877">
                  <c:v>7.8637983907169797</c:v>
                </c:pt>
                <c:pt idx="878">
                  <c:v>7.7876552544417299</c:v>
                </c:pt>
                <c:pt idx="879">
                  <c:v>7.6898092115754704</c:v>
                </c:pt>
                <c:pt idx="880">
                  <c:v>7.60511171108877</c:v>
                </c:pt>
                <c:pt idx="881">
                  <c:v>7.5173182452921896</c:v>
                </c:pt>
                <c:pt idx="882">
                  <c:v>7.4347618436655099</c:v>
                </c:pt>
                <c:pt idx="883">
                  <c:v>7.3401096007279198</c:v>
                </c:pt>
                <c:pt idx="884">
                  <c:v>7.2569376275673898</c:v>
                </c:pt>
                <c:pt idx="885">
                  <c:v>7.1877434777985103</c:v>
                </c:pt>
                <c:pt idx="886">
                  <c:v>7.0946185354062798</c:v>
                </c:pt>
                <c:pt idx="887">
                  <c:v>7.0001461206508599</c:v>
                </c:pt>
                <c:pt idx="888">
                  <c:v>6.92820022217618</c:v>
                </c:pt>
                <c:pt idx="889">
                  <c:v>6.8469712044339799</c:v>
                </c:pt>
                <c:pt idx="890">
                  <c:v>6.7646544110526499</c:v>
                </c:pt>
                <c:pt idx="891">
                  <c:v>6.6695057394000203</c:v>
                </c:pt>
                <c:pt idx="892">
                  <c:v>6.5944255929976903</c:v>
                </c:pt>
                <c:pt idx="893">
                  <c:v>6.5140268860104102</c:v>
                </c:pt>
                <c:pt idx="894">
                  <c:v>6.4471627718828497</c:v>
                </c:pt>
                <c:pt idx="895">
                  <c:v>6.3573880068973896</c:v>
                </c:pt>
                <c:pt idx="896">
                  <c:v>6.2871388194077698</c:v>
                </c:pt>
                <c:pt idx="897">
                  <c:v>6.2125164270743101</c:v>
                </c:pt>
                <c:pt idx="898">
                  <c:v>6.1556292489494</c:v>
                </c:pt>
                <c:pt idx="899">
                  <c:v>6.0743209302865804</c:v>
                </c:pt>
                <c:pt idx="900">
                  <c:v>6.0028057822227696</c:v>
                </c:pt>
                <c:pt idx="901">
                  <c:v>5.9426439960863</c:v>
                </c:pt>
                <c:pt idx="902">
                  <c:v>5.8671054113226999</c:v>
                </c:pt>
                <c:pt idx="903">
                  <c:v>5.8060136942135498</c:v>
                </c:pt>
                <c:pt idx="904">
                  <c:v>5.7336798543458203</c:v>
                </c:pt>
                <c:pt idx="905">
                  <c:v>5.6760692482146702</c:v>
                </c:pt>
                <c:pt idx="906">
                  <c:v>5.5979451409284202</c:v>
                </c:pt>
                <c:pt idx="907">
                  <c:v>5.5469568852733397</c:v>
                </c:pt>
                <c:pt idx="908">
                  <c:v>5.4814580259516799</c:v>
                </c:pt>
                <c:pt idx="909">
                  <c:v>5.4180504147678699</c:v>
                </c:pt>
                <c:pt idx="910">
                  <c:v>5.3591195604698596</c:v>
                </c:pt>
                <c:pt idx="911">
                  <c:v>5.2933755727671796</c:v>
                </c:pt>
                <c:pt idx="912">
                  <c:v>5.2421908031545401</c:v>
                </c:pt>
                <c:pt idx="913">
                  <c:v>5.1796915949459601</c:v>
                </c:pt>
                <c:pt idx="914">
                  <c:v>5.1154696161201798</c:v>
                </c:pt>
                <c:pt idx="915">
                  <c:v>5.0615126282866099</c:v>
                </c:pt>
                <c:pt idx="916">
                  <c:v>5.0052694151787298</c:v>
                </c:pt>
                <c:pt idx="917">
                  <c:v>4.9427525167115496</c:v>
                </c:pt>
                <c:pt idx="918">
                  <c:v>4.8842122511411903</c:v>
                </c:pt>
                <c:pt idx="919">
                  <c:v>4.84998676059283</c:v>
                </c:pt>
                <c:pt idx="920">
                  <c:v>4.7964964253870903</c:v>
                </c:pt>
                <c:pt idx="921">
                  <c:v>4.7360910306149302</c:v>
                </c:pt>
                <c:pt idx="922">
                  <c:v>4.6879491587619997</c:v>
                </c:pt>
                <c:pt idx="923">
                  <c:v>4.6407086105354196</c:v>
                </c:pt>
                <c:pt idx="924">
                  <c:v>4.5939420169957899</c:v>
                </c:pt>
                <c:pt idx="925">
                  <c:v>4.5455842356643901</c:v>
                </c:pt>
                <c:pt idx="926">
                  <c:v>4.4959758645546701</c:v>
                </c:pt>
                <c:pt idx="927">
                  <c:v>4.4483565501971496</c:v>
                </c:pt>
                <c:pt idx="928">
                  <c:v>4.4063380923953996</c:v>
                </c:pt>
                <c:pt idx="929">
                  <c:v>4.3567534416744298</c:v>
                </c:pt>
                <c:pt idx="930">
                  <c:v>4.3136116348473097</c:v>
                </c:pt>
                <c:pt idx="931">
                  <c:v>4.2715086499379904</c:v>
                </c:pt>
                <c:pt idx="932">
                  <c:v>4.2247490774105803</c:v>
                </c:pt>
                <c:pt idx="933">
                  <c:v>4.1789990698525301</c:v>
                </c:pt>
                <c:pt idx="934">
                  <c:v>4.1375563905214001</c:v>
                </c:pt>
                <c:pt idx="935">
                  <c:v>4.0934132516934501</c:v>
                </c:pt>
                <c:pt idx="936">
                  <c:v>4.0533991016869297</c:v>
                </c:pt>
                <c:pt idx="937">
                  <c:v>4.0137536956144899</c:v>
                </c:pt>
                <c:pt idx="938">
                  <c:v>3.9748317389109298</c:v>
                </c:pt>
                <c:pt idx="939">
                  <c:v>3.9366971536077999</c:v>
                </c:pt>
                <c:pt idx="940">
                  <c:v>3.89764299246779</c:v>
                </c:pt>
                <c:pt idx="941">
                  <c:v>3.8581411367526601</c:v>
                </c:pt>
                <c:pt idx="942">
                  <c:v>3.8155265714686699</c:v>
                </c:pt>
                <c:pt idx="943">
                  <c:v>3.77997028971697</c:v>
                </c:pt>
                <c:pt idx="944">
                  <c:v>3.7479353529356101</c:v>
                </c:pt>
                <c:pt idx="945">
                  <c:v>3.71214700786319</c:v>
                </c:pt>
                <c:pt idx="946">
                  <c:v>3.6748530879122701</c:v>
                </c:pt>
                <c:pt idx="947">
                  <c:v>3.6358378039366399</c:v>
                </c:pt>
                <c:pt idx="948">
                  <c:v>3.60157840009381</c:v>
                </c:pt>
                <c:pt idx="949">
                  <c:v>3.5689169481008101</c:v>
                </c:pt>
                <c:pt idx="950">
                  <c:v>3.5322143323986999</c:v>
                </c:pt>
                <c:pt idx="951">
                  <c:v>3.4961981754517102</c:v>
                </c:pt>
                <c:pt idx="952">
                  <c:v>3.46388132576126</c:v>
                </c:pt>
                <c:pt idx="953">
                  <c:v>3.4287447832587001</c:v>
                </c:pt>
                <c:pt idx="954">
                  <c:v>3.39893021323654</c:v>
                </c:pt>
                <c:pt idx="955">
                  <c:v>3.36703916400432</c:v>
                </c:pt>
                <c:pt idx="956">
                  <c:v>3.3352770462181098</c:v>
                </c:pt>
                <c:pt idx="957">
                  <c:v>3.3037998616804898</c:v>
                </c:pt>
                <c:pt idx="958">
                  <c:v>3.2707144378891302</c:v>
                </c:pt>
                <c:pt idx="959">
                  <c:v>3.2422106730415998</c:v>
                </c:pt>
                <c:pt idx="960">
                  <c:v>3.21311845966494</c:v>
                </c:pt>
                <c:pt idx="961">
                  <c:v>3.18334618124788</c:v>
                </c:pt>
                <c:pt idx="962">
                  <c:v>3.1543332159950701</c:v>
                </c:pt>
                <c:pt idx="963">
                  <c:v>3.12694224838281</c:v>
                </c:pt>
                <c:pt idx="964">
                  <c:v>3.10126803942513</c:v>
                </c:pt>
                <c:pt idx="965">
                  <c:v>3.0718687242116598</c:v>
                </c:pt>
                <c:pt idx="966">
                  <c:v>3.0458385966968198</c:v>
                </c:pt>
                <c:pt idx="967">
                  <c:v>3.01661363990006</c:v>
                </c:pt>
                <c:pt idx="968">
                  <c:v>3.3844129876550002</c:v>
                </c:pt>
                <c:pt idx="969">
                  <c:v>3.9990774167943601</c:v>
                </c:pt>
                <c:pt idx="970">
                  <c:v>4.2827223775537204</c:v>
                </c:pt>
                <c:pt idx="971">
                  <c:v>4.4240314768487696</c:v>
                </c:pt>
                <c:pt idx="972">
                  <c:v>4.4812814044467304</c:v>
                </c:pt>
                <c:pt idx="973">
                  <c:v>4.4852790254079702</c:v>
                </c:pt>
                <c:pt idx="974">
                  <c:v>4.4644166901238496</c:v>
                </c:pt>
                <c:pt idx="975">
                  <c:v>4.4410555646078702</c:v>
                </c:pt>
                <c:pt idx="976">
                  <c:v>4.40139602501303</c:v>
                </c:pt>
                <c:pt idx="977">
                  <c:v>4.3665337350439897</c:v>
                </c:pt>
                <c:pt idx="978">
                  <c:v>4.3254567562571404</c:v>
                </c:pt>
                <c:pt idx="979">
                  <c:v>4.2977095546802202</c:v>
                </c:pt>
                <c:pt idx="980">
                  <c:v>4.2595083800579401</c:v>
                </c:pt>
                <c:pt idx="981">
                  <c:v>4.2259752028347304</c:v>
                </c:pt>
                <c:pt idx="982">
                  <c:v>4.1894473555629101</c:v>
                </c:pt>
                <c:pt idx="983">
                  <c:v>4.1555651327636598</c:v>
                </c:pt>
                <c:pt idx="984">
                  <c:v>4.1078918378573199</c:v>
                </c:pt>
                <c:pt idx="985">
                  <c:v>4.08307396292932</c:v>
                </c:pt>
                <c:pt idx="986">
                  <c:v>4.0462593485328302</c:v>
                </c:pt>
                <c:pt idx="987">
                  <c:v>4.0084402916350204</c:v>
                </c:pt>
                <c:pt idx="988">
                  <c:v>3.97535631572257</c:v>
                </c:pt>
                <c:pt idx="989">
                  <c:v>3.94890212966272</c:v>
                </c:pt>
                <c:pt idx="990">
                  <c:v>3.9100304030669801</c:v>
                </c:pt>
                <c:pt idx="991">
                  <c:v>3.8789156622004599</c:v>
                </c:pt>
                <c:pt idx="992">
                  <c:v>3.8419009225325498</c:v>
                </c:pt>
                <c:pt idx="993">
                  <c:v>3.8090924800061301</c:v>
                </c:pt>
                <c:pt idx="994">
                  <c:v>3.7789870128979599</c:v>
                </c:pt>
                <c:pt idx="995">
                  <c:v>3.7521228461386502</c:v>
                </c:pt>
                <c:pt idx="996">
                  <c:v>3.7241106801316599</c:v>
                </c:pt>
                <c:pt idx="997">
                  <c:v>3.69079735437013</c:v>
                </c:pt>
                <c:pt idx="998">
                  <c:v>3.6597026158841</c:v>
                </c:pt>
                <c:pt idx="999">
                  <c:v>3.62916438059619</c:v>
                </c:pt>
                <c:pt idx="1000">
                  <c:v>3.5996841124286498</c:v>
                </c:pt>
                <c:pt idx="1001">
                  <c:v>3.5688109376261798</c:v>
                </c:pt>
                <c:pt idx="1002">
                  <c:v>3.5492103353799598</c:v>
                </c:pt>
                <c:pt idx="1003">
                  <c:v>3.5184841447019299</c:v>
                </c:pt>
                <c:pt idx="1004">
                  <c:v>3.4913261225854799</c:v>
                </c:pt>
                <c:pt idx="1005">
                  <c:v>3.4703262129943102</c:v>
                </c:pt>
                <c:pt idx="1006">
                  <c:v>3.4378975221036701</c:v>
                </c:pt>
                <c:pt idx="1007">
                  <c:v>3.4191450536735899</c:v>
                </c:pt>
                <c:pt idx="1008">
                  <c:v>3.3923066606821202</c:v>
                </c:pt>
                <c:pt idx="1009">
                  <c:v>3.3672333185900598</c:v>
                </c:pt>
                <c:pt idx="1010">
                  <c:v>3.3424705741482699</c:v>
                </c:pt>
                <c:pt idx="1011">
                  <c:v>3.3179859166563701</c:v>
                </c:pt>
                <c:pt idx="1012">
                  <c:v>3.2969455683068798</c:v>
                </c:pt>
                <c:pt idx="1013">
                  <c:v>3.2756424225025098</c:v>
                </c:pt>
                <c:pt idx="1014">
                  <c:v>3.2500012168510399</c:v>
                </c:pt>
                <c:pt idx="1015">
                  <c:v>3.2301683860699799</c:v>
                </c:pt>
                <c:pt idx="1016">
                  <c:v>3.2098691355848099</c:v>
                </c:pt>
                <c:pt idx="1017">
                  <c:v>3.19064520523726</c:v>
                </c:pt>
                <c:pt idx="1018">
                  <c:v>3.1669630025014399</c:v>
                </c:pt>
                <c:pt idx="1019">
                  <c:v>3.1464799155089</c:v>
                </c:pt>
                <c:pt idx="1020">
                  <c:v>3.12540551011995</c:v>
                </c:pt>
                <c:pt idx="1021">
                  <c:v>3.1081097405737501</c:v>
                </c:pt>
                <c:pt idx="1022">
                  <c:v>3.09325027865194</c:v>
                </c:pt>
                <c:pt idx="1023">
                  <c:v>3.0702426727800098</c:v>
                </c:pt>
                <c:pt idx="1024">
                  <c:v>3.0532919084584398</c:v>
                </c:pt>
                <c:pt idx="1025">
                  <c:v>3.0344739372777001</c:v>
                </c:pt>
                <c:pt idx="1026">
                  <c:v>3.0200598022252798</c:v>
                </c:pt>
                <c:pt idx="1027">
                  <c:v>3.00041202371039</c:v>
                </c:pt>
                <c:pt idx="1028">
                  <c:v>2.98589157687391</c:v>
                </c:pt>
                <c:pt idx="1029">
                  <c:v>2.9636566651223002</c:v>
                </c:pt>
                <c:pt idx="1030">
                  <c:v>2.9432934756367199</c:v>
                </c:pt>
                <c:pt idx="1031">
                  <c:v>2.9287944706892701</c:v>
                </c:pt>
                <c:pt idx="1032">
                  <c:v>2.91694362473747</c:v>
                </c:pt>
                <c:pt idx="1033">
                  <c:v>2.8925739040740401</c:v>
                </c:pt>
                <c:pt idx="1034">
                  <c:v>2.8807255886514298</c:v>
                </c:pt>
                <c:pt idx="1035">
                  <c:v>2.8677131488278098</c:v>
                </c:pt>
                <c:pt idx="1036">
                  <c:v>2.8518674592902999</c:v>
                </c:pt>
                <c:pt idx="1037">
                  <c:v>2.8351507853545201</c:v>
                </c:pt>
                <c:pt idx="1038">
                  <c:v>2.8219662581308</c:v>
                </c:pt>
                <c:pt idx="1039">
                  <c:v>2.8112932638971899</c:v>
                </c:pt>
                <c:pt idx="1040">
                  <c:v>2.79184630013307</c:v>
                </c:pt>
                <c:pt idx="1041">
                  <c:v>2.7832280047442901</c:v>
                </c:pt>
                <c:pt idx="1042">
                  <c:v>2.7711030809946799</c:v>
                </c:pt>
                <c:pt idx="1043">
                  <c:v>2.757996942174</c:v>
                </c:pt>
                <c:pt idx="1044">
                  <c:v>2.7433759285471102</c:v>
                </c:pt>
                <c:pt idx="1045">
                  <c:v>2.73269369614738</c:v>
                </c:pt>
                <c:pt idx="1046">
                  <c:v>2.7175389128735201</c:v>
                </c:pt>
                <c:pt idx="1047">
                  <c:v>2.7089759463227301</c:v>
                </c:pt>
                <c:pt idx="1048">
                  <c:v>2.69634438263554</c:v>
                </c:pt>
                <c:pt idx="1049">
                  <c:v>2.68521547054912</c:v>
                </c:pt>
                <c:pt idx="1050">
                  <c:v>2.6723779058431201</c:v>
                </c:pt>
                <c:pt idx="1051">
                  <c:v>2.6639358576220098</c:v>
                </c:pt>
                <c:pt idx="1052">
                  <c:v>2.6532421978601399</c:v>
                </c:pt>
                <c:pt idx="1053">
                  <c:v>2.6410739641431999</c:v>
                </c:pt>
                <c:pt idx="1054">
                  <c:v>2.6314206512978902</c:v>
                </c:pt>
                <c:pt idx="1055">
                  <c:v>2.6208083773200301</c:v>
                </c:pt>
                <c:pt idx="1056">
                  <c:v>2.6099469516291798</c:v>
                </c:pt>
                <c:pt idx="1057">
                  <c:v>2.60167698465481</c:v>
                </c:pt>
                <c:pt idx="1058">
                  <c:v>2.59072485787439</c:v>
                </c:pt>
                <c:pt idx="1059">
                  <c:v>2.5822220899172201</c:v>
                </c:pt>
                <c:pt idx="1060">
                  <c:v>2.5710920442402698</c:v>
                </c:pt>
                <c:pt idx="1061">
                  <c:v>2.5629684801177399</c:v>
                </c:pt>
                <c:pt idx="1062">
                  <c:v>2.5530373196053202</c:v>
                </c:pt>
                <c:pt idx="1063">
                  <c:v>2.5457601950026598</c:v>
                </c:pt>
                <c:pt idx="1064">
                  <c:v>2.5368993369989301</c:v>
                </c:pt>
                <c:pt idx="1065">
                  <c:v>2.5270745690077301</c:v>
                </c:pt>
                <c:pt idx="1066">
                  <c:v>2.5195400745013101</c:v>
                </c:pt>
                <c:pt idx="1067">
                  <c:v>2.5099454072803198</c:v>
                </c:pt>
                <c:pt idx="1068">
                  <c:v>2.5041956486164501</c:v>
                </c:pt>
                <c:pt idx="1069">
                  <c:v>2.4936093399393302</c:v>
                </c:pt>
                <c:pt idx="1070">
                  <c:v>2.4870033609375102</c:v>
                </c:pt>
                <c:pt idx="1071">
                  <c:v>2.4784321875967601</c:v>
                </c:pt>
                <c:pt idx="1072">
                  <c:v>2.4688085640204398</c:v>
                </c:pt>
                <c:pt idx="1073">
                  <c:v>2.4585776894218698</c:v>
                </c:pt>
                <c:pt idx="1074">
                  <c:v>2.4507432664208002</c:v>
                </c:pt>
                <c:pt idx="1075">
                  <c:v>2.4437450422511402</c:v>
                </c:pt>
                <c:pt idx="1076">
                  <c:v>2.4376344289664198</c:v>
                </c:pt>
                <c:pt idx="1077">
                  <c:v>2.4296234297541401</c:v>
                </c:pt>
                <c:pt idx="1078">
                  <c:v>2.42394758877378</c:v>
                </c:pt>
                <c:pt idx="1079">
                  <c:v>2.4174311916345501</c:v>
                </c:pt>
                <c:pt idx="1080">
                  <c:v>2.40926089600302</c:v>
                </c:pt>
                <c:pt idx="1081">
                  <c:v>2.4014113168379501</c:v>
                </c:pt>
                <c:pt idx="1082">
                  <c:v>2.3976569688012002</c:v>
                </c:pt>
                <c:pt idx="1083">
                  <c:v>2.3867922072266698</c:v>
                </c:pt>
                <c:pt idx="1084">
                  <c:v>2.3809776899396802</c:v>
                </c:pt>
                <c:pt idx="1085">
                  <c:v>2.3771924928439798</c:v>
                </c:pt>
                <c:pt idx="1086">
                  <c:v>2.3702955629283302</c:v>
                </c:pt>
                <c:pt idx="1087">
                  <c:v>2.3650841014548001</c:v>
                </c:pt>
                <c:pt idx="1088">
                  <c:v>2.3569709918575801</c:v>
                </c:pt>
                <c:pt idx="1089">
                  <c:v>2.3508033356511802</c:v>
                </c:pt>
                <c:pt idx="1090">
                  <c:v>2.3419083720221399</c:v>
                </c:pt>
                <c:pt idx="1091">
                  <c:v>2.3366466775210801</c:v>
                </c:pt>
                <c:pt idx="1092">
                  <c:v>2.3304216231922399</c:v>
                </c:pt>
                <c:pt idx="1093">
                  <c:v>2.3232140629911</c:v>
                </c:pt>
                <c:pt idx="1094">
                  <c:v>2.3156245367511699</c:v>
                </c:pt>
                <c:pt idx="1095">
                  <c:v>2.3103354687921001</c:v>
                </c:pt>
                <c:pt idx="1096">
                  <c:v>2.3026384152127699</c:v>
                </c:pt>
                <c:pt idx="1097">
                  <c:v>2.29712195278689</c:v>
                </c:pt>
                <c:pt idx="1098">
                  <c:v>2.2898691398859499</c:v>
                </c:pt>
                <c:pt idx="1099">
                  <c:v>2.2831548498810901</c:v>
                </c:pt>
                <c:pt idx="1100">
                  <c:v>2.2752461052997299</c:v>
                </c:pt>
                <c:pt idx="1101">
                  <c:v>2.2698816064373699</c:v>
                </c:pt>
                <c:pt idx="1102">
                  <c:v>2.2627670025875499</c:v>
                </c:pt>
                <c:pt idx="1103">
                  <c:v>2.2565948354768102</c:v>
                </c:pt>
                <c:pt idx="1104">
                  <c:v>2.25118023026373</c:v>
                </c:pt>
                <c:pt idx="1105">
                  <c:v>2.24449474848441</c:v>
                </c:pt>
                <c:pt idx="1106">
                  <c:v>2.2380538518797302</c:v>
                </c:pt>
                <c:pt idx="1107">
                  <c:v>2.2313378742321999</c:v>
                </c:pt>
                <c:pt idx="1108">
                  <c:v>2.2235626443221301</c:v>
                </c:pt>
                <c:pt idx="1109">
                  <c:v>2.2189389370979602</c:v>
                </c:pt>
                <c:pt idx="1110">
                  <c:v>2.21334897301421</c:v>
                </c:pt>
                <c:pt idx="1111">
                  <c:v>2.2074038115218899</c:v>
                </c:pt>
                <c:pt idx="1112">
                  <c:v>2.2006440112147101</c:v>
                </c:pt>
                <c:pt idx="1113">
                  <c:v>2.1939717436100801</c:v>
                </c:pt>
                <c:pt idx="1114">
                  <c:v>2.1881917280299401</c:v>
                </c:pt>
                <c:pt idx="1115">
                  <c:v>2.1826176112713802</c:v>
                </c:pt>
                <c:pt idx="1116">
                  <c:v>2.17656633485025</c:v>
                </c:pt>
                <c:pt idx="1117">
                  <c:v>2.1700826042188002</c:v>
                </c:pt>
                <c:pt idx="1118">
                  <c:v>2.16346206841461</c:v>
                </c:pt>
                <c:pt idx="1119">
                  <c:v>2.1566331921684898</c:v>
                </c:pt>
                <c:pt idx="1120">
                  <c:v>2.1525791811681598</c:v>
                </c:pt>
                <c:pt idx="1121">
                  <c:v>2.1463501744059301</c:v>
                </c:pt>
                <c:pt idx="1122">
                  <c:v>2.1409752253479</c:v>
                </c:pt>
                <c:pt idx="1123">
                  <c:v>2.1356943231667702</c:v>
                </c:pt>
                <c:pt idx="1124">
                  <c:v>2.1314611743309499</c:v>
                </c:pt>
                <c:pt idx="1125">
                  <c:v>2.1271715429424298</c:v>
                </c:pt>
                <c:pt idx="1126">
                  <c:v>2.1203852735612601</c:v>
                </c:pt>
                <c:pt idx="1127">
                  <c:v>2.1158220402022998</c:v>
                </c:pt>
                <c:pt idx="1128">
                  <c:v>2.1123682693394001</c:v>
                </c:pt>
                <c:pt idx="1129">
                  <c:v>2.1036545158081301</c:v>
                </c:pt>
                <c:pt idx="1130">
                  <c:v>2.10031889828903</c:v>
                </c:pt>
                <c:pt idx="1131">
                  <c:v>2.0949428519084998</c:v>
                </c:pt>
                <c:pt idx="1132">
                  <c:v>2.09030285984637</c:v>
                </c:pt>
                <c:pt idx="1133">
                  <c:v>2.0866314500182499</c:v>
                </c:pt>
                <c:pt idx="1134">
                  <c:v>2.0803789760321498</c:v>
                </c:pt>
                <c:pt idx="1135">
                  <c:v>2.0758557576730698</c:v>
                </c:pt>
                <c:pt idx="1136">
                  <c:v>2.0704209969505198</c:v>
                </c:pt>
                <c:pt idx="1137">
                  <c:v>2.06655645493518</c:v>
                </c:pt>
                <c:pt idx="1138">
                  <c:v>2.0623096786609101</c:v>
                </c:pt>
                <c:pt idx="1139">
                  <c:v>2.05923742999562</c:v>
                </c:pt>
                <c:pt idx="1140">
                  <c:v>2.05444654986522</c:v>
                </c:pt>
                <c:pt idx="1141">
                  <c:v>2.0486557093747702</c:v>
                </c:pt>
                <c:pt idx="1142">
                  <c:v>2.04472294608889</c:v>
                </c:pt>
                <c:pt idx="1143">
                  <c:v>2.03888620445416</c:v>
                </c:pt>
                <c:pt idx="1144">
                  <c:v>2.03551487489589</c:v>
                </c:pt>
                <c:pt idx="1145">
                  <c:v>2.03230168982107</c:v>
                </c:pt>
                <c:pt idx="1146">
                  <c:v>2.0267785796047799</c:v>
                </c:pt>
                <c:pt idx="1147">
                  <c:v>2.0221399826903199</c:v>
                </c:pt>
                <c:pt idx="1148">
                  <c:v>2.01762423448799</c:v>
                </c:pt>
                <c:pt idx="1149">
                  <c:v>2.0154187590276802</c:v>
                </c:pt>
                <c:pt idx="1150">
                  <c:v>2.0091580302485799</c:v>
                </c:pt>
                <c:pt idx="1151">
                  <c:v>2.00522887408995</c:v>
                </c:pt>
                <c:pt idx="1152">
                  <c:v>2.0016209035385599</c:v>
                </c:pt>
                <c:pt idx="1153">
                  <c:v>1.99702419721</c:v>
                </c:pt>
                <c:pt idx="1154">
                  <c:v>1.99415671537693</c:v>
                </c:pt>
                <c:pt idx="1155">
                  <c:v>1.9905107599268499</c:v>
                </c:pt>
                <c:pt idx="1156">
                  <c:v>1.98751685986909</c:v>
                </c:pt>
                <c:pt idx="1157">
                  <c:v>1.98347922454435</c:v>
                </c:pt>
                <c:pt idx="1158">
                  <c:v>1.98124621747258</c:v>
                </c:pt>
                <c:pt idx="1159">
                  <c:v>1.9775347709347799</c:v>
                </c:pt>
                <c:pt idx="1160">
                  <c:v>1.9732762460472499</c:v>
                </c:pt>
                <c:pt idx="1161">
                  <c:v>1.9697304457962499</c:v>
                </c:pt>
                <c:pt idx="1162">
                  <c:v>1.9672817636385</c:v>
                </c:pt>
                <c:pt idx="1163">
                  <c:v>1.9644136258120399</c:v>
                </c:pt>
                <c:pt idx="1164">
                  <c:v>1.9625565888447301</c:v>
                </c:pt>
                <c:pt idx="1165">
                  <c:v>1.9603781344384099</c:v>
                </c:pt>
                <c:pt idx="1166">
                  <c:v>1.9571898918763899</c:v>
                </c:pt>
                <c:pt idx="1167">
                  <c:v>1.9528964670076201</c:v>
                </c:pt>
                <c:pt idx="1168">
                  <c:v>1.95180864469</c:v>
                </c:pt>
                <c:pt idx="1169">
                  <c:v>1.9477151872684</c:v>
                </c:pt>
                <c:pt idx="1170">
                  <c:v>1.9449267285412299</c:v>
                </c:pt>
                <c:pt idx="1171">
                  <c:v>1.94320811169686</c:v>
                </c:pt>
                <c:pt idx="1172">
                  <c:v>1.9392762288574099</c:v>
                </c:pt>
                <c:pt idx="1173">
                  <c:v>1.93606876895618</c:v>
                </c:pt>
                <c:pt idx="1174">
                  <c:v>1.9328313604253899</c:v>
                </c:pt>
                <c:pt idx="1175">
                  <c:v>1.93065477510674</c:v>
                </c:pt>
                <c:pt idx="1176">
                  <c:v>1.9285103868234099</c:v>
                </c:pt>
                <c:pt idx="1177">
                  <c:v>1.92682806609736</c:v>
                </c:pt>
                <c:pt idx="1178">
                  <c:v>1.9241029538179799</c:v>
                </c:pt>
                <c:pt idx="1179">
                  <c:v>1.9221561075754099</c:v>
                </c:pt>
                <c:pt idx="1180">
                  <c:v>1.9202369777421999</c:v>
                </c:pt>
                <c:pt idx="1181">
                  <c:v>1.9177296381768301</c:v>
                </c:pt>
                <c:pt idx="1182">
                  <c:v>1.9150117825658799</c:v>
                </c:pt>
                <c:pt idx="1183">
                  <c:v>1.9121790497383999</c:v>
                </c:pt>
                <c:pt idx="1184">
                  <c:v>1.9092990713989599</c:v>
                </c:pt>
                <c:pt idx="1185">
                  <c:v>1.9071598244927099</c:v>
                </c:pt>
                <c:pt idx="1186">
                  <c:v>1.9054123477839799</c:v>
                </c:pt>
                <c:pt idx="1187">
                  <c:v>1.90364141427553</c:v>
                </c:pt>
                <c:pt idx="1188">
                  <c:v>1.9006196513324001</c:v>
                </c:pt>
                <c:pt idx="1189">
                  <c:v>1.8992248550145401</c:v>
                </c:pt>
                <c:pt idx="1190">
                  <c:v>1.89574846517343</c:v>
                </c:pt>
                <c:pt idx="1191">
                  <c:v>1.8935277425239301</c:v>
                </c:pt>
                <c:pt idx="1192">
                  <c:v>1.8917235657548901</c:v>
                </c:pt>
                <c:pt idx="1193">
                  <c:v>1.8906835531052599</c:v>
                </c:pt>
                <c:pt idx="1194">
                  <c:v>1.8888959638548199</c:v>
                </c:pt>
                <c:pt idx="1195">
                  <c:v>1.8884053881891401</c:v>
                </c:pt>
                <c:pt idx="1196">
                  <c:v>1.88458287707579</c:v>
                </c:pt>
                <c:pt idx="1197">
                  <c:v>1.88227950700726</c:v>
                </c:pt>
                <c:pt idx="1198">
                  <c:v>1.8798222435277701</c:v>
                </c:pt>
                <c:pt idx="1199">
                  <c:v>1.87920742774773</c:v>
                </c:pt>
                <c:pt idx="1200">
                  <c:v>1.87814993097954</c:v>
                </c:pt>
                <c:pt idx="1201">
                  <c:v>1.87553466533721</c:v>
                </c:pt>
                <c:pt idx="1202">
                  <c:v>1.8735597481108199</c:v>
                </c:pt>
                <c:pt idx="1203">
                  <c:v>1.8726993015673401</c:v>
                </c:pt>
                <c:pt idx="1204">
                  <c:v>1.8708140811531</c:v>
                </c:pt>
                <c:pt idx="1205">
                  <c:v>1.8685230076803101</c:v>
                </c:pt>
                <c:pt idx="1206">
                  <c:v>1.8665566843659001</c:v>
                </c:pt>
                <c:pt idx="1207">
                  <c:v>1.86481462988883</c:v>
                </c:pt>
                <c:pt idx="1208">
                  <c:v>1.8643143548528001</c:v>
                </c:pt>
                <c:pt idx="1209">
                  <c:v>1.86313320894409</c:v>
                </c:pt>
                <c:pt idx="1210">
                  <c:v>1.8620835778631499</c:v>
                </c:pt>
                <c:pt idx="1211">
                  <c:v>1.8605824032482801</c:v>
                </c:pt>
                <c:pt idx="1212">
                  <c:v>1.85937800109677</c:v>
                </c:pt>
                <c:pt idx="1213">
                  <c:v>1.85821269379871</c:v>
                </c:pt>
                <c:pt idx="1214">
                  <c:v>1.8562990111183999</c:v>
                </c:pt>
                <c:pt idx="1215">
                  <c:v>1.8556363470396999</c:v>
                </c:pt>
                <c:pt idx="1216">
                  <c:v>1.8550210579039501</c:v>
                </c:pt>
                <c:pt idx="1217">
                  <c:v>1.8525756629788901</c:v>
                </c:pt>
                <c:pt idx="1218">
                  <c:v>1.8519739690697401</c:v>
                </c:pt>
                <c:pt idx="1219">
                  <c:v>1.8510582618517499</c:v>
                </c:pt>
                <c:pt idx="1220">
                  <c:v>1.85034649893949</c:v>
                </c:pt>
                <c:pt idx="1221">
                  <c:v>1.8482163633922299</c:v>
                </c:pt>
                <c:pt idx="1222">
                  <c:v>1.84619241905845</c:v>
                </c:pt>
                <c:pt idx="1223">
                  <c:v>1.84604612502497</c:v>
                </c:pt>
                <c:pt idx="1224">
                  <c:v>1.8447759548939899</c:v>
                </c:pt>
                <c:pt idx="1225">
                  <c:v>1.84347385443828</c:v>
                </c:pt>
                <c:pt idx="1226">
                  <c:v>1.8427188920317501</c:v>
                </c:pt>
                <c:pt idx="1227">
                  <c:v>1.8416808032994001</c:v>
                </c:pt>
                <c:pt idx="1228">
                  <c:v>1.83924853086046</c:v>
                </c:pt>
                <c:pt idx="1229">
                  <c:v>1.8393399840042199</c:v>
                </c:pt>
                <c:pt idx="1230">
                  <c:v>1.8381748886606899</c:v>
                </c:pt>
                <c:pt idx="1231">
                  <c:v>1.83733612592484</c:v>
                </c:pt>
                <c:pt idx="1232">
                  <c:v>1.8359143289806901</c:v>
                </c:pt>
                <c:pt idx="1233">
                  <c:v>1.8350310734737201</c:v>
                </c:pt>
                <c:pt idx="1234">
                  <c:v>1.8343924503487501</c:v>
                </c:pt>
                <c:pt idx="1235">
                  <c:v>1.8344767000498701</c:v>
                </c:pt>
                <c:pt idx="1236">
                  <c:v>1.8341222542479301</c:v>
                </c:pt>
                <c:pt idx="1237">
                  <c:v>1.83260336249942</c:v>
                </c:pt>
                <c:pt idx="1238">
                  <c:v>1.8318549075110799</c:v>
                </c:pt>
                <c:pt idx="1239">
                  <c:v>1.83125219752201</c:v>
                </c:pt>
                <c:pt idx="1240">
                  <c:v>1.8299159175608</c:v>
                </c:pt>
                <c:pt idx="1241">
                  <c:v>1.8295380982198799</c:v>
                </c:pt>
                <c:pt idx="1242">
                  <c:v>1.82844027858502</c:v>
                </c:pt>
                <c:pt idx="1243">
                  <c:v>1.8289608402973001</c:v>
                </c:pt>
                <c:pt idx="1244">
                  <c:v>1.8275702625542201</c:v>
                </c:pt>
                <c:pt idx="1245">
                  <c:v>1.8277102647688901</c:v>
                </c:pt>
                <c:pt idx="1246">
                  <c:v>1.8267480782860599</c:v>
                </c:pt>
                <c:pt idx="1247">
                  <c:v>1.8265246462837701</c:v>
                </c:pt>
                <c:pt idx="1248">
                  <c:v>1.8253790859939101</c:v>
                </c:pt>
                <c:pt idx="1249">
                  <c:v>1.82574321345006</c:v>
                </c:pt>
                <c:pt idx="1250">
                  <c:v>1.82449226316646</c:v>
                </c:pt>
                <c:pt idx="1251">
                  <c:v>1.8244570612489299</c:v>
                </c:pt>
                <c:pt idx="1252">
                  <c:v>1.8236946655119901</c:v>
                </c:pt>
                <c:pt idx="1253">
                  <c:v>1.82386111911562</c:v>
                </c:pt>
                <c:pt idx="1254">
                  <c:v>1.82307474630902</c:v>
                </c:pt>
                <c:pt idx="1255">
                  <c:v>1.82238264818873</c:v>
                </c:pt>
                <c:pt idx="1256">
                  <c:v>1.8215826290064401</c:v>
                </c:pt>
                <c:pt idx="1257">
                  <c:v>1.8217372121714901</c:v>
                </c:pt>
                <c:pt idx="1258">
                  <c:v>1.8210834407927901</c:v>
                </c:pt>
                <c:pt idx="1259">
                  <c:v>1.82107025487192</c:v>
                </c:pt>
                <c:pt idx="1260">
                  <c:v>1.82017800825766</c:v>
                </c:pt>
                <c:pt idx="1261">
                  <c:v>1.81980610276432</c:v>
                </c:pt>
                <c:pt idx="1262">
                  <c:v>1.8195567356793201</c:v>
                </c:pt>
                <c:pt idx="1263">
                  <c:v>1.8191753379836499</c:v>
                </c:pt>
                <c:pt idx="1264">
                  <c:v>1.81878006372775</c:v>
                </c:pt>
                <c:pt idx="1265">
                  <c:v>1.81819767737247</c:v>
                </c:pt>
                <c:pt idx="1266">
                  <c:v>1.8177681734703801</c:v>
                </c:pt>
                <c:pt idx="1267">
                  <c:v>1.8170931815158899</c:v>
                </c:pt>
                <c:pt idx="1268">
                  <c:v>1.8163579020895</c:v>
                </c:pt>
                <c:pt idx="1269">
                  <c:v>1.8167397149862301</c:v>
                </c:pt>
                <c:pt idx="1270">
                  <c:v>1.8156145833027899</c:v>
                </c:pt>
                <c:pt idx="1271">
                  <c:v>1.8160152145125701</c:v>
                </c:pt>
                <c:pt idx="1272">
                  <c:v>1.81490025415046</c:v>
                </c:pt>
                <c:pt idx="1273">
                  <c:v>1.81508871008821</c:v>
                </c:pt>
                <c:pt idx="1274">
                  <c:v>1.8146672115348901</c:v>
                </c:pt>
                <c:pt idx="1275">
                  <c:v>1.81500616974273</c:v>
                </c:pt>
                <c:pt idx="1276">
                  <c:v>1.8137885898135799</c:v>
                </c:pt>
                <c:pt idx="1277">
                  <c:v>1.81293100520983</c:v>
                </c:pt>
                <c:pt idx="1278">
                  <c:v>1.81294839512456</c:v>
                </c:pt>
                <c:pt idx="1279">
                  <c:v>1.81247698429272</c:v>
                </c:pt>
                <c:pt idx="1280">
                  <c:v>1.8121054717693701</c:v>
                </c:pt>
                <c:pt idx="1281">
                  <c:v>1.8119472848500999</c:v>
                </c:pt>
                <c:pt idx="1282">
                  <c:v>1.8114927419699101</c:v>
                </c:pt>
                <c:pt idx="1283">
                  <c:v>1.81109952694958</c:v>
                </c:pt>
                <c:pt idx="1284">
                  <c:v>1.8106381286840201</c:v>
                </c:pt>
                <c:pt idx="1285">
                  <c:v>1.8111092800920801</c:v>
                </c:pt>
                <c:pt idx="1286">
                  <c:v>1.8108272221595501</c:v>
                </c:pt>
                <c:pt idx="1287">
                  <c:v>1.8107265050349599</c:v>
                </c:pt>
                <c:pt idx="1288">
                  <c:v>1.80982278492068</c:v>
                </c:pt>
                <c:pt idx="1289">
                  <c:v>1.80950404005615</c:v>
                </c:pt>
                <c:pt idx="1290">
                  <c:v>1.8099702946445599</c:v>
                </c:pt>
                <c:pt idx="1291">
                  <c:v>1.8094206809284701</c:v>
                </c:pt>
                <c:pt idx="1292">
                  <c:v>1.80917608312179</c:v>
                </c:pt>
                <c:pt idx="1293">
                  <c:v>1.8094829500806799</c:v>
                </c:pt>
                <c:pt idx="1294">
                  <c:v>1.8088225974043699</c:v>
                </c:pt>
                <c:pt idx="1295">
                  <c:v>1.8087321199648601</c:v>
                </c:pt>
                <c:pt idx="1296">
                  <c:v>1.80781907322911</c:v>
                </c:pt>
                <c:pt idx="1297">
                  <c:v>1.8079863119569799</c:v>
                </c:pt>
                <c:pt idx="1298">
                  <c:v>1.80768796735219</c:v>
                </c:pt>
                <c:pt idx="1299">
                  <c:v>1.80725076633662</c:v>
                </c:pt>
                <c:pt idx="1300">
                  <c:v>1.80756170226488</c:v>
                </c:pt>
                <c:pt idx="1301">
                  <c:v>1.80715956036708</c:v>
                </c:pt>
                <c:pt idx="1302">
                  <c:v>1.8072648992828899</c:v>
                </c:pt>
                <c:pt idx="1303">
                  <c:v>1.80726922334315</c:v>
                </c:pt>
                <c:pt idx="1304">
                  <c:v>1.80703907989226</c:v>
                </c:pt>
                <c:pt idx="1305">
                  <c:v>1.80749095481246</c:v>
                </c:pt>
                <c:pt idx="1306">
                  <c:v>1.8074493440947901</c:v>
                </c:pt>
                <c:pt idx="1307">
                  <c:v>1.8066896476422101</c:v>
                </c:pt>
                <c:pt idx="1308">
                  <c:v>1.8069112586315299</c:v>
                </c:pt>
                <c:pt idx="1309">
                  <c:v>1.8072086375267</c:v>
                </c:pt>
                <c:pt idx="1310">
                  <c:v>1.8064905986540001</c:v>
                </c:pt>
                <c:pt idx="1311">
                  <c:v>1.80669205031652</c:v>
                </c:pt>
                <c:pt idx="1312">
                  <c:v>1.8069575298599501</c:v>
                </c:pt>
                <c:pt idx="1313">
                  <c:v>1.80647109243589</c:v>
                </c:pt>
                <c:pt idx="1314">
                  <c:v>1.80664237975024</c:v>
                </c:pt>
                <c:pt idx="1315">
                  <c:v>1.80671697985117</c:v>
                </c:pt>
                <c:pt idx="1316">
                  <c:v>1.80714929948887</c:v>
                </c:pt>
                <c:pt idx="1317">
                  <c:v>1.80696821432431</c:v>
                </c:pt>
                <c:pt idx="1318">
                  <c:v>1.8069846401625</c:v>
                </c:pt>
                <c:pt idx="1319">
                  <c:v>1.80675330796473</c:v>
                </c:pt>
                <c:pt idx="1320">
                  <c:v>1.8067180742567399</c:v>
                </c:pt>
                <c:pt idx="1321">
                  <c:v>1.8074223522610999</c:v>
                </c:pt>
                <c:pt idx="1322">
                  <c:v>1.8078303707646699</c:v>
                </c:pt>
                <c:pt idx="1323">
                  <c:v>1.80751734642587</c:v>
                </c:pt>
                <c:pt idx="1324">
                  <c:v>1.80753674311164</c:v>
                </c:pt>
                <c:pt idx="1325">
                  <c:v>1.8072913409966</c:v>
                </c:pt>
                <c:pt idx="1326">
                  <c:v>1.80796693062548</c:v>
                </c:pt>
                <c:pt idx="1327">
                  <c:v>1.80774860263943</c:v>
                </c:pt>
                <c:pt idx="1328">
                  <c:v>1.8076660441457599</c:v>
                </c:pt>
                <c:pt idx="1329">
                  <c:v>1.8090707517714499</c:v>
                </c:pt>
                <c:pt idx="1330">
                  <c:v>1.80894218693713</c:v>
                </c:pt>
                <c:pt idx="1331">
                  <c:v>1.8087901960097501</c:v>
                </c:pt>
                <c:pt idx="1332">
                  <c:v>1.8081216598133001</c:v>
                </c:pt>
                <c:pt idx="1333">
                  <c:v>1.80875421037589</c:v>
                </c:pt>
                <c:pt idx="1334">
                  <c:v>1.80896207913394</c:v>
                </c:pt>
                <c:pt idx="1335">
                  <c:v>1.8094441758153299</c:v>
                </c:pt>
                <c:pt idx="1336">
                  <c:v>1.8088630666257</c:v>
                </c:pt>
                <c:pt idx="1337">
                  <c:v>1.80869243114071</c:v>
                </c:pt>
                <c:pt idx="1338">
                  <c:v>1.80966287912701</c:v>
                </c:pt>
                <c:pt idx="1339">
                  <c:v>1.80966941576797</c:v>
                </c:pt>
                <c:pt idx="1340">
                  <c:v>1.8092193745452101</c:v>
                </c:pt>
                <c:pt idx="1341">
                  <c:v>1.8096304233720799</c:v>
                </c:pt>
                <c:pt idx="1342">
                  <c:v>1.80975076604486</c:v>
                </c:pt>
                <c:pt idx="1343">
                  <c:v>1.8100571175407201</c:v>
                </c:pt>
                <c:pt idx="1344">
                  <c:v>1.81044228884196</c:v>
                </c:pt>
                <c:pt idx="1345">
                  <c:v>1.8104136751457101</c:v>
                </c:pt>
                <c:pt idx="1346">
                  <c:v>1.8104582993996801</c:v>
                </c:pt>
                <c:pt idx="1347">
                  <c:v>1.8106999439712199</c:v>
                </c:pt>
                <c:pt idx="1348">
                  <c:v>1.8105892204584599</c:v>
                </c:pt>
                <c:pt idx="1349">
                  <c:v>1.8098043431691699</c:v>
                </c:pt>
                <c:pt idx="1350">
                  <c:v>1.80965077907337</c:v>
                </c:pt>
                <c:pt idx="1351">
                  <c:v>1.8089939036028599</c:v>
                </c:pt>
                <c:pt idx="1352">
                  <c:v>1.8092025019482301</c:v>
                </c:pt>
                <c:pt idx="1353">
                  <c:v>1.80984894773912</c:v>
                </c:pt>
                <c:pt idx="1354">
                  <c:v>1.8101378766631</c:v>
                </c:pt>
                <c:pt idx="1355">
                  <c:v>1.8097990469499201</c:v>
                </c:pt>
                <c:pt idx="1356">
                  <c:v>1.81010143118991</c:v>
                </c:pt>
                <c:pt idx="1357">
                  <c:v>1.8106404689975699</c:v>
                </c:pt>
                <c:pt idx="1358">
                  <c:v>1.8103140540056</c:v>
                </c:pt>
                <c:pt idx="1359">
                  <c:v>1.8106652639406799</c:v>
                </c:pt>
                <c:pt idx="1360">
                  <c:v>1.81151141622185</c:v>
                </c:pt>
                <c:pt idx="1361">
                  <c:v>1.81131726600265</c:v>
                </c:pt>
                <c:pt idx="1362">
                  <c:v>1.8115574583759</c:v>
                </c:pt>
                <c:pt idx="1363">
                  <c:v>1.81243140992203</c:v>
                </c:pt>
                <c:pt idx="1364">
                  <c:v>1.81186588852981</c:v>
                </c:pt>
                <c:pt idx="1365">
                  <c:v>1.81251479078575</c:v>
                </c:pt>
                <c:pt idx="1366">
                  <c:v>1.81189870880749</c:v>
                </c:pt>
                <c:pt idx="1367">
                  <c:v>1.8123648661423299</c:v>
                </c:pt>
                <c:pt idx="1368">
                  <c:v>1.8132801430780301</c:v>
                </c:pt>
                <c:pt idx="1369">
                  <c:v>1.81382232419031</c:v>
                </c:pt>
                <c:pt idx="1370">
                  <c:v>1.8129457635722199</c:v>
                </c:pt>
                <c:pt idx="1371">
                  <c:v>1.8136786423359501</c:v>
                </c:pt>
                <c:pt idx="1372">
                  <c:v>1.81443998623333</c:v>
                </c:pt>
                <c:pt idx="1373">
                  <c:v>1.8143307852128301</c:v>
                </c:pt>
                <c:pt idx="1374">
                  <c:v>1.81417657719945</c:v>
                </c:pt>
                <c:pt idx="1375">
                  <c:v>1.81426717018159</c:v>
                </c:pt>
                <c:pt idx="1376">
                  <c:v>1.8144263964304099</c:v>
                </c:pt>
                <c:pt idx="1377">
                  <c:v>1.8151925621714999</c:v>
                </c:pt>
                <c:pt idx="1378">
                  <c:v>1.81560811484702</c:v>
                </c:pt>
                <c:pt idx="1379">
                  <c:v>1.8148718261197601</c:v>
                </c:pt>
                <c:pt idx="1380">
                  <c:v>1.81450512873669</c:v>
                </c:pt>
                <c:pt idx="1381">
                  <c:v>1.8143061095920201</c:v>
                </c:pt>
                <c:pt idx="1382">
                  <c:v>1.8139905416668201</c:v>
                </c:pt>
                <c:pt idx="1383">
                  <c:v>1.8138452047300799</c:v>
                </c:pt>
                <c:pt idx="1384">
                  <c:v>1.81403105851933</c:v>
                </c:pt>
                <c:pt idx="1385">
                  <c:v>1.8139974617453101</c:v>
                </c:pt>
                <c:pt idx="1386">
                  <c:v>1.8134997721161501</c:v>
                </c:pt>
                <c:pt idx="1387">
                  <c:v>1.81385293517685</c:v>
                </c:pt>
                <c:pt idx="1388">
                  <c:v>1.8133405620088201</c:v>
                </c:pt>
                <c:pt idx="1389">
                  <c:v>1.8135125361114699</c:v>
                </c:pt>
                <c:pt idx="1390">
                  <c:v>1.81366205364563</c:v>
                </c:pt>
                <c:pt idx="1391">
                  <c:v>1.8129150583117499</c:v>
                </c:pt>
                <c:pt idx="1392">
                  <c:v>1.8116942711339801</c:v>
                </c:pt>
                <c:pt idx="1393">
                  <c:v>1.81192030159676</c:v>
                </c:pt>
                <c:pt idx="1394">
                  <c:v>1.8113833460930899</c:v>
                </c:pt>
                <c:pt idx="1395">
                  <c:v>1.79927816616461</c:v>
                </c:pt>
                <c:pt idx="1396">
                  <c:v>1.8148474509816701</c:v>
                </c:pt>
                <c:pt idx="1397">
                  <c:v>1.83612121048197</c:v>
                </c:pt>
                <c:pt idx="1398">
                  <c:v>1.8392347579082</c:v>
                </c:pt>
                <c:pt idx="1399">
                  <c:v>1.83937308415587</c:v>
                </c:pt>
                <c:pt idx="1400">
                  <c:v>1.840522641205</c:v>
                </c:pt>
                <c:pt idx="1401">
                  <c:v>1.84093028468824</c:v>
                </c:pt>
                <c:pt idx="1402">
                  <c:v>1.8404908736266801</c:v>
                </c:pt>
                <c:pt idx="1403">
                  <c:v>1.8401942097372399</c:v>
                </c:pt>
                <c:pt idx="1404">
                  <c:v>1.8407628004590799</c:v>
                </c:pt>
                <c:pt idx="1405">
                  <c:v>1.84097162696371</c:v>
                </c:pt>
                <c:pt idx="1406">
                  <c:v>1.8406031048665299</c:v>
                </c:pt>
                <c:pt idx="1407">
                  <c:v>1.8407076512385301</c:v>
                </c:pt>
                <c:pt idx="1408">
                  <c:v>1.8398501839802599</c:v>
                </c:pt>
                <c:pt idx="1409">
                  <c:v>1.83971113677267</c:v>
                </c:pt>
                <c:pt idx="1410">
                  <c:v>1.8388591246885999</c:v>
                </c:pt>
                <c:pt idx="1411">
                  <c:v>1.8388230505423799</c:v>
                </c:pt>
                <c:pt idx="1412">
                  <c:v>1.83931228879047</c:v>
                </c:pt>
                <c:pt idx="1413">
                  <c:v>1.83928617784259</c:v>
                </c:pt>
                <c:pt idx="1414">
                  <c:v>1.8395256986750199</c:v>
                </c:pt>
                <c:pt idx="1415">
                  <c:v>1.83883717488896</c:v>
                </c:pt>
                <c:pt idx="1416">
                  <c:v>1.8390835865764199</c:v>
                </c:pt>
                <c:pt idx="1417">
                  <c:v>1.83928081525196</c:v>
                </c:pt>
                <c:pt idx="1418">
                  <c:v>1.83887066133963</c:v>
                </c:pt>
                <c:pt idx="1419">
                  <c:v>1.8393862158160501</c:v>
                </c:pt>
                <c:pt idx="1420">
                  <c:v>1.8392550256068301</c:v>
                </c:pt>
                <c:pt idx="1421">
                  <c:v>1.8385170625626299</c:v>
                </c:pt>
                <c:pt idx="1422">
                  <c:v>1.83861781389778</c:v>
                </c:pt>
                <c:pt idx="1423">
                  <c:v>1.8378599531883</c:v>
                </c:pt>
                <c:pt idx="1424">
                  <c:v>1.8373554076704099</c:v>
                </c:pt>
                <c:pt idx="1425">
                  <c:v>1.83656667207976</c:v>
                </c:pt>
                <c:pt idx="1426">
                  <c:v>1.8365581107362601</c:v>
                </c:pt>
                <c:pt idx="1427">
                  <c:v>1.83630949701609</c:v>
                </c:pt>
                <c:pt idx="1428">
                  <c:v>1.83515851728863</c:v>
                </c:pt>
                <c:pt idx="1429">
                  <c:v>1.83573610770562</c:v>
                </c:pt>
                <c:pt idx="1430">
                  <c:v>1.8344735735493001</c:v>
                </c:pt>
                <c:pt idx="1431">
                  <c:v>1.8338162848554</c:v>
                </c:pt>
                <c:pt idx="1432">
                  <c:v>1.83307776656493</c:v>
                </c:pt>
                <c:pt idx="1433">
                  <c:v>1.83285235376214</c:v>
                </c:pt>
                <c:pt idx="1434">
                  <c:v>1.8336021121564201</c:v>
                </c:pt>
                <c:pt idx="1435">
                  <c:v>1.8333613502688899</c:v>
                </c:pt>
                <c:pt idx="1436">
                  <c:v>1.83243263392294</c:v>
                </c:pt>
                <c:pt idx="1437">
                  <c:v>1.83159350860856</c:v>
                </c:pt>
                <c:pt idx="1438">
                  <c:v>1.83133498901628</c:v>
                </c:pt>
                <c:pt idx="1439">
                  <c:v>1.83141397845958</c:v>
                </c:pt>
                <c:pt idx="1440">
                  <c:v>1.83126550637979</c:v>
                </c:pt>
                <c:pt idx="1441">
                  <c:v>1.83058332785509</c:v>
                </c:pt>
                <c:pt idx="1442">
                  <c:v>1.82914587095161</c:v>
                </c:pt>
                <c:pt idx="1443">
                  <c:v>1.8289699940925701</c:v>
                </c:pt>
                <c:pt idx="1444">
                  <c:v>1.8288059543372499</c:v>
                </c:pt>
                <c:pt idx="1445">
                  <c:v>1.8292764810547899</c:v>
                </c:pt>
                <c:pt idx="1446">
                  <c:v>1.82801463211524</c:v>
                </c:pt>
                <c:pt idx="1447">
                  <c:v>1.8276718853842699</c:v>
                </c:pt>
                <c:pt idx="1448">
                  <c:v>1.8270090125940099</c:v>
                </c:pt>
                <c:pt idx="1449">
                  <c:v>1.8269895544720101</c:v>
                </c:pt>
                <c:pt idx="1450">
                  <c:v>1.8268126603313399</c:v>
                </c:pt>
                <c:pt idx="1451">
                  <c:v>1.8271559192920499</c:v>
                </c:pt>
                <c:pt idx="1452">
                  <c:v>1.82748867544297</c:v>
                </c:pt>
                <c:pt idx="1453">
                  <c:v>1.82748721467007</c:v>
                </c:pt>
                <c:pt idx="1454">
                  <c:v>1.8268884640068399</c:v>
                </c:pt>
                <c:pt idx="1455">
                  <c:v>1.82669590868601</c:v>
                </c:pt>
                <c:pt idx="1456">
                  <c:v>1.82566148825492</c:v>
                </c:pt>
                <c:pt idx="1457">
                  <c:v>1.8258589373821501</c:v>
                </c:pt>
                <c:pt idx="1458">
                  <c:v>1.8247488125760101</c:v>
                </c:pt>
                <c:pt idx="1459">
                  <c:v>1.8242092329239501</c:v>
                </c:pt>
                <c:pt idx="1460">
                  <c:v>1.8235926271774601</c:v>
                </c:pt>
                <c:pt idx="1461">
                  <c:v>1.82307140528597</c:v>
                </c:pt>
                <c:pt idx="1462">
                  <c:v>1.82272036826048</c:v>
                </c:pt>
                <c:pt idx="1463">
                  <c:v>1.82190739639649</c:v>
                </c:pt>
                <c:pt idx="1464">
                  <c:v>1.8215127592315601</c:v>
                </c:pt>
                <c:pt idx="1465">
                  <c:v>1.8215103644515001</c:v>
                </c:pt>
                <c:pt idx="1466">
                  <c:v>1.82060972062696</c:v>
                </c:pt>
                <c:pt idx="1467">
                  <c:v>1.82079063802819</c:v>
                </c:pt>
                <c:pt idx="1468">
                  <c:v>1.8197260414946099</c:v>
                </c:pt>
                <c:pt idx="1469">
                  <c:v>1.8189942734242499</c:v>
                </c:pt>
                <c:pt idx="1470">
                  <c:v>1.8187940431670699</c:v>
                </c:pt>
                <c:pt idx="1471">
                  <c:v>1.8179553857741599</c:v>
                </c:pt>
                <c:pt idx="1472">
                  <c:v>1.81781646084561</c:v>
                </c:pt>
                <c:pt idx="1473">
                  <c:v>1.81671567670353</c:v>
                </c:pt>
                <c:pt idx="1474">
                  <c:v>1.8164465278411801</c:v>
                </c:pt>
                <c:pt idx="1475">
                  <c:v>1.8162495948348001</c:v>
                </c:pt>
                <c:pt idx="1476">
                  <c:v>1.8150352987023499</c:v>
                </c:pt>
                <c:pt idx="1477">
                  <c:v>1.81494915568908</c:v>
                </c:pt>
                <c:pt idx="1478">
                  <c:v>1.8139028793433201</c:v>
                </c:pt>
                <c:pt idx="1479">
                  <c:v>1.8138693923551401</c:v>
                </c:pt>
                <c:pt idx="1480">
                  <c:v>1.8129226517835699</c:v>
                </c:pt>
                <c:pt idx="1481">
                  <c:v>1.8126519448321901</c:v>
                </c:pt>
                <c:pt idx="1482">
                  <c:v>1.81153202979466</c:v>
                </c:pt>
                <c:pt idx="1483">
                  <c:v>1.8119020474244301</c:v>
                </c:pt>
                <c:pt idx="1484">
                  <c:v>1.81162219574559</c:v>
                </c:pt>
                <c:pt idx="1485">
                  <c:v>1.81090857266673</c:v>
                </c:pt>
                <c:pt idx="1486">
                  <c:v>1.81027064853518</c:v>
                </c:pt>
                <c:pt idx="1487">
                  <c:v>1.8086767977634901</c:v>
                </c:pt>
                <c:pt idx="1488">
                  <c:v>1.8088315710530201</c:v>
                </c:pt>
                <c:pt idx="1489">
                  <c:v>1.80693029639336</c:v>
                </c:pt>
                <c:pt idx="1490">
                  <c:v>1.8061777252581901</c:v>
                </c:pt>
                <c:pt idx="1491">
                  <c:v>1.8047124808109301</c:v>
                </c:pt>
                <c:pt idx="1492">
                  <c:v>1.80437980141791</c:v>
                </c:pt>
                <c:pt idx="1493">
                  <c:v>1.8029007767318601</c:v>
                </c:pt>
                <c:pt idx="1494">
                  <c:v>1.8025937313343099</c:v>
                </c:pt>
                <c:pt idx="1495">
                  <c:v>1.8016514766768501</c:v>
                </c:pt>
                <c:pt idx="1496">
                  <c:v>1.8001906328455599</c:v>
                </c:pt>
                <c:pt idx="1497">
                  <c:v>1.8004098827634401</c:v>
                </c:pt>
                <c:pt idx="1498">
                  <c:v>1.8003198737867001</c:v>
                </c:pt>
                <c:pt idx="1499">
                  <c:v>1.8000478878147901</c:v>
                </c:pt>
                <c:pt idx="1500">
                  <c:v>1.7993993184450201</c:v>
                </c:pt>
                <c:pt idx="1501">
                  <c:v>1.7987980453457599</c:v>
                </c:pt>
                <c:pt idx="1502">
                  <c:v>1.79834072693112</c:v>
                </c:pt>
                <c:pt idx="1503">
                  <c:v>1.79747975581696</c:v>
                </c:pt>
                <c:pt idx="1504">
                  <c:v>1.7970423437934999</c:v>
                </c:pt>
                <c:pt idx="1505">
                  <c:v>1.7963911828594501</c:v>
                </c:pt>
                <c:pt idx="1506">
                  <c:v>1.7953200847212301</c:v>
                </c:pt>
                <c:pt idx="1507">
                  <c:v>1.79511635183164</c:v>
                </c:pt>
                <c:pt idx="1508">
                  <c:v>1.79473215293082</c:v>
                </c:pt>
                <c:pt idx="1509">
                  <c:v>1.79491014483996</c:v>
                </c:pt>
                <c:pt idx="1510">
                  <c:v>1.7941159501687001</c:v>
                </c:pt>
                <c:pt idx="1511">
                  <c:v>1.7934896226247801</c:v>
                </c:pt>
                <c:pt idx="1512">
                  <c:v>1.79252779894051</c:v>
                </c:pt>
                <c:pt idx="1513">
                  <c:v>1.7917052437725001</c:v>
                </c:pt>
                <c:pt idx="1514">
                  <c:v>1.7903880884646499</c:v>
                </c:pt>
                <c:pt idx="1515">
                  <c:v>1.78955417494319</c:v>
                </c:pt>
                <c:pt idx="1516">
                  <c:v>1.78933403992799</c:v>
                </c:pt>
                <c:pt idx="1517">
                  <c:v>1.7886477685453499</c:v>
                </c:pt>
                <c:pt idx="1518">
                  <c:v>1.7883949968095101</c:v>
                </c:pt>
                <c:pt idx="1519">
                  <c:v>1.7873725446823701</c:v>
                </c:pt>
                <c:pt idx="1520">
                  <c:v>1.7867018118423901</c:v>
                </c:pt>
                <c:pt idx="1521">
                  <c:v>1.78521022615859</c:v>
                </c:pt>
                <c:pt idx="1522">
                  <c:v>1.7848783146560001</c:v>
                </c:pt>
                <c:pt idx="1523">
                  <c:v>1.7841961947398499</c:v>
                </c:pt>
                <c:pt idx="1524">
                  <c:v>1.78304871651745</c:v>
                </c:pt>
                <c:pt idx="1525">
                  <c:v>1.7825411652441701</c:v>
                </c:pt>
                <c:pt idx="1526">
                  <c:v>1.78128482291781</c:v>
                </c:pt>
                <c:pt idx="1527">
                  <c:v>1.7811848204402001</c:v>
                </c:pt>
                <c:pt idx="1528">
                  <c:v>1.7797486065239501</c:v>
                </c:pt>
                <c:pt idx="1529">
                  <c:v>1.7785901557077901</c:v>
                </c:pt>
                <c:pt idx="1530">
                  <c:v>1.7777295626190399</c:v>
                </c:pt>
                <c:pt idx="1531">
                  <c:v>1.77696359753947</c:v>
                </c:pt>
                <c:pt idx="1532">
                  <c:v>1.7762100864019399</c:v>
                </c:pt>
                <c:pt idx="1533">
                  <c:v>1.7756144794139199</c:v>
                </c:pt>
                <c:pt idx="1534">
                  <c:v>1.7749214139393601</c:v>
                </c:pt>
                <c:pt idx="1535">
                  <c:v>1.77360936976442</c:v>
                </c:pt>
                <c:pt idx="1536">
                  <c:v>1.7732418263329801</c:v>
                </c:pt>
                <c:pt idx="1537">
                  <c:v>1.77166139643291</c:v>
                </c:pt>
                <c:pt idx="1538">
                  <c:v>1.77138278432949</c:v>
                </c:pt>
                <c:pt idx="1539">
                  <c:v>1.7700651012558699</c:v>
                </c:pt>
                <c:pt idx="1540">
                  <c:v>1.7695809539694101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BB-470C-9368-50F298F96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793375"/>
        <c:axId val="853789215"/>
      </c:scatterChart>
      <c:valAx>
        <c:axId val="85379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3789215"/>
        <c:crosses val="autoZero"/>
        <c:crossBetween val="midCat"/>
      </c:valAx>
      <c:valAx>
        <c:axId val="8537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 (A/m²)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379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'Cyclic voltammetry'!$B$1</c:f>
              <c:strCache>
                <c:ptCount val="1"/>
                <c:pt idx="0">
                  <c:v>BA1_C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'Cyclic voltammetry'!$A$2:$A$5002</c:f>
              <c:numCache>
                <c:formatCode>General</c:formatCode>
                <c:ptCount val="5001"/>
                <c:pt idx="0">
                  <c:v>-0.60031294822692904</c:v>
                </c:pt>
                <c:pt idx="1">
                  <c:v>-0.59990787506103505</c:v>
                </c:pt>
                <c:pt idx="2">
                  <c:v>-0.59936106204986594</c:v>
                </c:pt>
                <c:pt idx="3">
                  <c:v>-0.59891039133071899</c:v>
                </c:pt>
                <c:pt idx="4">
                  <c:v>-0.59843623638153098</c:v>
                </c:pt>
                <c:pt idx="5">
                  <c:v>-0.59783202409744296</c:v>
                </c:pt>
                <c:pt idx="6">
                  <c:v>-0.59737122058868397</c:v>
                </c:pt>
                <c:pt idx="7">
                  <c:v>-0.59694814682006803</c:v>
                </c:pt>
                <c:pt idx="8">
                  <c:v>-0.596252501010895</c:v>
                </c:pt>
                <c:pt idx="9">
                  <c:v>-0.59594517946243297</c:v>
                </c:pt>
                <c:pt idx="10">
                  <c:v>-0.59526973962783802</c:v>
                </c:pt>
                <c:pt idx="11">
                  <c:v>-0.59484755992889404</c:v>
                </c:pt>
                <c:pt idx="12">
                  <c:v>-0.59435796737670898</c:v>
                </c:pt>
                <c:pt idx="13">
                  <c:v>-0.59402507543563798</c:v>
                </c:pt>
                <c:pt idx="14">
                  <c:v>-0.59353029727935802</c:v>
                </c:pt>
                <c:pt idx="15">
                  <c:v>-0.59267258644104004</c:v>
                </c:pt>
                <c:pt idx="16">
                  <c:v>-0.59239369630813599</c:v>
                </c:pt>
                <c:pt idx="17">
                  <c:v>-0.59175449609756503</c:v>
                </c:pt>
                <c:pt idx="18">
                  <c:v>-0.59133678674697898</c:v>
                </c:pt>
                <c:pt idx="19">
                  <c:v>-0.59092617034912098</c:v>
                </c:pt>
                <c:pt idx="20">
                  <c:v>-0.59038150310516402</c:v>
                </c:pt>
                <c:pt idx="21">
                  <c:v>-0.590029716491699</c:v>
                </c:pt>
                <c:pt idx="22">
                  <c:v>-0.58941256999969505</c:v>
                </c:pt>
                <c:pt idx="23">
                  <c:v>-0.58877646923065197</c:v>
                </c:pt>
                <c:pt idx="24">
                  <c:v>-0.58843106031417802</c:v>
                </c:pt>
                <c:pt idx="25">
                  <c:v>-0.58789336681366</c:v>
                </c:pt>
                <c:pt idx="26">
                  <c:v>-0.58719354867935203</c:v>
                </c:pt>
                <c:pt idx="27">
                  <c:v>-0.58689695596694902</c:v>
                </c:pt>
                <c:pt idx="28">
                  <c:v>-0.58644813299179099</c:v>
                </c:pt>
                <c:pt idx="29">
                  <c:v>-0.58587074279785201</c:v>
                </c:pt>
                <c:pt idx="30">
                  <c:v>-0.58554315567016602</c:v>
                </c:pt>
                <c:pt idx="31">
                  <c:v>-0.58485913276672397</c:v>
                </c:pt>
                <c:pt idx="32">
                  <c:v>-0.58447229862213101</c:v>
                </c:pt>
                <c:pt idx="33">
                  <c:v>-0.58389222621917702</c:v>
                </c:pt>
                <c:pt idx="34">
                  <c:v>-0.58333581686019897</c:v>
                </c:pt>
                <c:pt idx="35">
                  <c:v>-0.58297854661941495</c:v>
                </c:pt>
                <c:pt idx="36">
                  <c:v>-0.58229970932006803</c:v>
                </c:pt>
                <c:pt idx="37">
                  <c:v>-0.581850826740265</c:v>
                </c:pt>
                <c:pt idx="38">
                  <c:v>-0.58146369457244895</c:v>
                </c:pt>
                <c:pt idx="39">
                  <c:v>-0.58104580640792802</c:v>
                </c:pt>
                <c:pt idx="40">
                  <c:v>-0.58048993349075295</c:v>
                </c:pt>
                <c:pt idx="41">
                  <c:v>-0.579775631427765</c:v>
                </c:pt>
                <c:pt idx="42">
                  <c:v>-0.57923710346221902</c:v>
                </c:pt>
                <c:pt idx="43">
                  <c:v>-0.57898151874542203</c:v>
                </c:pt>
                <c:pt idx="44">
                  <c:v>-0.57832849025726296</c:v>
                </c:pt>
                <c:pt idx="45">
                  <c:v>-0.57797014713287398</c:v>
                </c:pt>
                <c:pt idx="46">
                  <c:v>-0.57751452922821001</c:v>
                </c:pt>
                <c:pt idx="47">
                  <c:v>-0.57689768075943004</c:v>
                </c:pt>
                <c:pt idx="48">
                  <c:v>-0.57635927200317405</c:v>
                </c:pt>
                <c:pt idx="49">
                  <c:v>-0.57591587305069003</c:v>
                </c:pt>
                <c:pt idx="50">
                  <c:v>-0.57529562711715698</c:v>
                </c:pt>
                <c:pt idx="51">
                  <c:v>-0.574945569038391</c:v>
                </c:pt>
                <c:pt idx="52">
                  <c:v>-0.57420474290847801</c:v>
                </c:pt>
                <c:pt idx="53">
                  <c:v>-0.573894143104553</c:v>
                </c:pt>
                <c:pt idx="54">
                  <c:v>-0.57332074642181396</c:v>
                </c:pt>
                <c:pt idx="55">
                  <c:v>-0.57282358407974199</c:v>
                </c:pt>
                <c:pt idx="56">
                  <c:v>-0.57239925861358598</c:v>
                </c:pt>
                <c:pt idx="57">
                  <c:v>-0.57180541753768899</c:v>
                </c:pt>
                <c:pt idx="58">
                  <c:v>-0.57158005237579301</c:v>
                </c:pt>
                <c:pt idx="59">
                  <c:v>-0.57106024026870705</c:v>
                </c:pt>
                <c:pt idx="60">
                  <c:v>-0.57029986381530795</c:v>
                </c:pt>
                <c:pt idx="61">
                  <c:v>-0.56994938850402799</c:v>
                </c:pt>
                <c:pt idx="62">
                  <c:v>-0.56920516490936302</c:v>
                </c:pt>
                <c:pt idx="63">
                  <c:v>-0.56894427537918102</c:v>
                </c:pt>
                <c:pt idx="64">
                  <c:v>-0.56847250461578402</c:v>
                </c:pt>
                <c:pt idx="65">
                  <c:v>-0.567912578582764</c:v>
                </c:pt>
                <c:pt idx="66">
                  <c:v>-0.56738042831420898</c:v>
                </c:pt>
                <c:pt idx="67">
                  <c:v>-0.56683981418609597</c:v>
                </c:pt>
                <c:pt idx="68">
                  <c:v>-0.56630593538284302</c:v>
                </c:pt>
                <c:pt idx="69">
                  <c:v>-0.56595575809478804</c:v>
                </c:pt>
                <c:pt idx="70">
                  <c:v>-0.565476834774017</c:v>
                </c:pt>
                <c:pt idx="71">
                  <c:v>-0.56485521793365501</c:v>
                </c:pt>
                <c:pt idx="72">
                  <c:v>-0.56435579061508201</c:v>
                </c:pt>
                <c:pt idx="73">
                  <c:v>-0.56385344266891502</c:v>
                </c:pt>
                <c:pt idx="74">
                  <c:v>-0.56334149837493896</c:v>
                </c:pt>
                <c:pt idx="75">
                  <c:v>-0.56282925605773904</c:v>
                </c:pt>
                <c:pt idx="76">
                  <c:v>-0.56232494115829501</c:v>
                </c:pt>
                <c:pt idx="77">
                  <c:v>-0.56209623813629195</c:v>
                </c:pt>
                <c:pt idx="78">
                  <c:v>-0.56139624118804898</c:v>
                </c:pt>
                <c:pt idx="79">
                  <c:v>-0.56095314025878895</c:v>
                </c:pt>
                <c:pt idx="80">
                  <c:v>-0.56030297279357899</c:v>
                </c:pt>
                <c:pt idx="81">
                  <c:v>-0.55991393327713002</c:v>
                </c:pt>
                <c:pt idx="82">
                  <c:v>-0.55937230587005604</c:v>
                </c:pt>
                <c:pt idx="83">
                  <c:v>-0.55870884656906095</c:v>
                </c:pt>
                <c:pt idx="84">
                  <c:v>-0.55875623226165805</c:v>
                </c:pt>
                <c:pt idx="85">
                  <c:v>-0.55799090862274203</c:v>
                </c:pt>
                <c:pt idx="86">
                  <c:v>-0.55743044614791903</c:v>
                </c:pt>
                <c:pt idx="87">
                  <c:v>-0.55697059631347701</c:v>
                </c:pt>
                <c:pt idx="88">
                  <c:v>-0.55639731884002697</c:v>
                </c:pt>
                <c:pt idx="89">
                  <c:v>-0.55583870410919201</c:v>
                </c:pt>
                <c:pt idx="90">
                  <c:v>-0.55539536476135298</c:v>
                </c:pt>
                <c:pt idx="91">
                  <c:v>-0.55496299266815197</c:v>
                </c:pt>
                <c:pt idx="92">
                  <c:v>-0.55449247360229503</c:v>
                </c:pt>
                <c:pt idx="93">
                  <c:v>-0.55399966239929199</c:v>
                </c:pt>
                <c:pt idx="94">
                  <c:v>-0.55330508947372403</c:v>
                </c:pt>
                <c:pt idx="95">
                  <c:v>-0.55296486616134599</c:v>
                </c:pt>
                <c:pt idx="96">
                  <c:v>-0.55251723527908303</c:v>
                </c:pt>
                <c:pt idx="97">
                  <c:v>-0.55181431770324696</c:v>
                </c:pt>
                <c:pt idx="98">
                  <c:v>-0.55155998468399003</c:v>
                </c:pt>
                <c:pt idx="99">
                  <c:v>-0.55079144239425704</c:v>
                </c:pt>
                <c:pt idx="100">
                  <c:v>-0.55062466859817505</c:v>
                </c:pt>
                <c:pt idx="101">
                  <c:v>-0.54997718334197998</c:v>
                </c:pt>
                <c:pt idx="102">
                  <c:v>-0.54959481954574596</c:v>
                </c:pt>
                <c:pt idx="103">
                  <c:v>-0.548922538757324</c:v>
                </c:pt>
                <c:pt idx="104">
                  <c:v>-0.54827761650085405</c:v>
                </c:pt>
                <c:pt idx="105">
                  <c:v>-0.54767978191375699</c:v>
                </c:pt>
                <c:pt idx="106">
                  <c:v>-0.54745376110076904</c:v>
                </c:pt>
                <c:pt idx="107">
                  <c:v>-0.54696947336196899</c:v>
                </c:pt>
                <c:pt idx="108">
                  <c:v>-0.54643630981445301</c:v>
                </c:pt>
                <c:pt idx="109">
                  <c:v>-0.54600262641906705</c:v>
                </c:pt>
                <c:pt idx="110">
                  <c:v>-0.54536229372024503</c:v>
                </c:pt>
                <c:pt idx="111">
                  <c:v>-0.54495024681091297</c:v>
                </c:pt>
                <c:pt idx="112">
                  <c:v>-0.54442310333251998</c:v>
                </c:pt>
                <c:pt idx="113">
                  <c:v>-0.54383659362793002</c:v>
                </c:pt>
                <c:pt idx="114">
                  <c:v>-0.54347223043441795</c:v>
                </c:pt>
                <c:pt idx="115">
                  <c:v>-0.54284137487411499</c:v>
                </c:pt>
                <c:pt idx="116">
                  <c:v>-0.54235595464706399</c:v>
                </c:pt>
                <c:pt idx="117">
                  <c:v>-0.54194468259811401</c:v>
                </c:pt>
                <c:pt idx="118">
                  <c:v>-0.54136687517166104</c:v>
                </c:pt>
                <c:pt idx="119">
                  <c:v>-0.54092371463775601</c:v>
                </c:pt>
                <c:pt idx="120">
                  <c:v>-0.54045921564102195</c:v>
                </c:pt>
                <c:pt idx="121">
                  <c:v>-0.540000140666962</c:v>
                </c:pt>
                <c:pt idx="122">
                  <c:v>-0.53942990303039595</c:v>
                </c:pt>
                <c:pt idx="123">
                  <c:v>-0.53887975215911899</c:v>
                </c:pt>
                <c:pt idx="124">
                  <c:v>-0.53839737176895097</c:v>
                </c:pt>
                <c:pt idx="125">
                  <c:v>-0.53798180818557695</c:v>
                </c:pt>
                <c:pt idx="126">
                  <c:v>-0.53740394115447998</c:v>
                </c:pt>
                <c:pt idx="127">
                  <c:v>-0.53690576553344704</c:v>
                </c:pt>
                <c:pt idx="128">
                  <c:v>-0.53648155927658103</c:v>
                </c:pt>
                <c:pt idx="129">
                  <c:v>-0.53595668077468905</c:v>
                </c:pt>
                <c:pt idx="130">
                  <c:v>-0.53542983531951904</c:v>
                </c:pt>
                <c:pt idx="131">
                  <c:v>-0.53501838445663497</c:v>
                </c:pt>
                <c:pt idx="132">
                  <c:v>-0.53432434797286998</c:v>
                </c:pt>
                <c:pt idx="133">
                  <c:v>-0.53395318984985396</c:v>
                </c:pt>
                <c:pt idx="134">
                  <c:v>-0.53330230712890603</c:v>
                </c:pt>
                <c:pt idx="135">
                  <c:v>-0.533097624778748</c:v>
                </c:pt>
                <c:pt idx="136">
                  <c:v>-0.53250092267990101</c:v>
                </c:pt>
                <c:pt idx="137">
                  <c:v>-0.53188973665237405</c:v>
                </c:pt>
                <c:pt idx="138">
                  <c:v>-0.53166103363037098</c:v>
                </c:pt>
                <c:pt idx="139">
                  <c:v>-0.53089392185211204</c:v>
                </c:pt>
                <c:pt idx="140">
                  <c:v>-0.53162389993667603</c:v>
                </c:pt>
                <c:pt idx="141">
                  <c:v>-0.53053617477417003</c:v>
                </c:pt>
                <c:pt idx="142">
                  <c:v>-0.530650675296783</c:v>
                </c:pt>
                <c:pt idx="143">
                  <c:v>-0.530173659324646</c:v>
                </c:pt>
                <c:pt idx="144">
                  <c:v>-0.53101325035095204</c:v>
                </c:pt>
                <c:pt idx="145">
                  <c:v>-0.53021836280822798</c:v>
                </c:pt>
                <c:pt idx="146">
                  <c:v>-0.529860019683838</c:v>
                </c:pt>
                <c:pt idx="147">
                  <c:v>-0.52911466360092196</c:v>
                </c:pt>
                <c:pt idx="148">
                  <c:v>-0.52889519929885898</c:v>
                </c:pt>
                <c:pt idx="149">
                  <c:v>-0.52815973758697499</c:v>
                </c:pt>
                <c:pt idx="150">
                  <c:v>-0.52843707799911499</c:v>
                </c:pt>
                <c:pt idx="151">
                  <c:v>-0.52836072444915805</c:v>
                </c:pt>
                <c:pt idx="152">
                  <c:v>-0.52960109710693404</c:v>
                </c:pt>
                <c:pt idx="153">
                  <c:v>-0.52801728248596203</c:v>
                </c:pt>
                <c:pt idx="154">
                  <c:v>-0.52832257747650102</c:v>
                </c:pt>
                <c:pt idx="155">
                  <c:v>-0.52822715044021595</c:v>
                </c:pt>
                <c:pt idx="156">
                  <c:v>-0.52780735492706299</c:v>
                </c:pt>
                <c:pt idx="157">
                  <c:v>-0.52826535701751698</c:v>
                </c:pt>
                <c:pt idx="158">
                  <c:v>-0.52912402153015103</c:v>
                </c:pt>
                <c:pt idx="159">
                  <c:v>-0.52801728248596203</c:v>
                </c:pt>
                <c:pt idx="160">
                  <c:v>-0.52736842632293701</c:v>
                </c:pt>
                <c:pt idx="161">
                  <c:v>-0.52815085649490401</c:v>
                </c:pt>
                <c:pt idx="162">
                  <c:v>-0.52776920795440696</c:v>
                </c:pt>
                <c:pt idx="163">
                  <c:v>-0.52668148279190097</c:v>
                </c:pt>
                <c:pt idx="164">
                  <c:v>-0.52822715044021595</c:v>
                </c:pt>
                <c:pt idx="165">
                  <c:v>-0.52769285440444902</c:v>
                </c:pt>
                <c:pt idx="166">
                  <c:v>-0.52773100137710605</c:v>
                </c:pt>
                <c:pt idx="167">
                  <c:v>-0.52763563394546498</c:v>
                </c:pt>
                <c:pt idx="168">
                  <c:v>-0.52729213237762496</c:v>
                </c:pt>
                <c:pt idx="169">
                  <c:v>-0.52755928039550803</c:v>
                </c:pt>
                <c:pt idx="170">
                  <c:v>-0.52878057956695601</c:v>
                </c:pt>
                <c:pt idx="171">
                  <c:v>-0.52832257747650102</c:v>
                </c:pt>
                <c:pt idx="172">
                  <c:v>-0.52691048383712802</c:v>
                </c:pt>
                <c:pt idx="173">
                  <c:v>-0.52721577882766701</c:v>
                </c:pt>
                <c:pt idx="174">
                  <c:v>-0.52708220481872603</c:v>
                </c:pt>
                <c:pt idx="175">
                  <c:v>-0.52618533372878995</c:v>
                </c:pt>
                <c:pt idx="176">
                  <c:v>-0.527196705341339</c:v>
                </c:pt>
                <c:pt idx="177">
                  <c:v>-0.52761650085449197</c:v>
                </c:pt>
                <c:pt idx="178">
                  <c:v>-0.52677690982818604</c:v>
                </c:pt>
                <c:pt idx="179">
                  <c:v>-0.52710127830505404</c:v>
                </c:pt>
                <c:pt idx="180">
                  <c:v>-0.52670055627822898</c:v>
                </c:pt>
                <c:pt idx="181">
                  <c:v>-0.527044057846069</c:v>
                </c:pt>
                <c:pt idx="182">
                  <c:v>-0.527502000331879</c:v>
                </c:pt>
                <c:pt idx="183">
                  <c:v>-0.52769285440444902</c:v>
                </c:pt>
                <c:pt idx="184">
                  <c:v>-0.526261687278748</c:v>
                </c:pt>
                <c:pt idx="185">
                  <c:v>-0.52683413028716997</c:v>
                </c:pt>
                <c:pt idx="186">
                  <c:v>-0.52631890773773204</c:v>
                </c:pt>
                <c:pt idx="187">
                  <c:v>-0.52540296316146895</c:v>
                </c:pt>
                <c:pt idx="188">
                  <c:v>-0.52580368518829301</c:v>
                </c:pt>
                <c:pt idx="189">
                  <c:v>-0.52706313133239702</c:v>
                </c:pt>
                <c:pt idx="190">
                  <c:v>-0.52610898017883301</c:v>
                </c:pt>
                <c:pt idx="191">
                  <c:v>-0.52652883529663097</c:v>
                </c:pt>
                <c:pt idx="192">
                  <c:v>-0.52612805366516102</c:v>
                </c:pt>
                <c:pt idx="193">
                  <c:v>-0.52622348070144698</c:v>
                </c:pt>
                <c:pt idx="194">
                  <c:v>-0.52572733163833596</c:v>
                </c:pt>
                <c:pt idx="195">
                  <c:v>-0.52710127830505404</c:v>
                </c:pt>
                <c:pt idx="196">
                  <c:v>-0.52582275867462203</c:v>
                </c:pt>
                <c:pt idx="197">
                  <c:v>-0.52610898017883301</c:v>
                </c:pt>
                <c:pt idx="198">
                  <c:v>-0.52607083320617698</c:v>
                </c:pt>
                <c:pt idx="199">
                  <c:v>-0.525154888629913</c:v>
                </c:pt>
                <c:pt idx="200">
                  <c:v>-0.52664333581924405</c:v>
                </c:pt>
                <c:pt idx="201">
                  <c:v>-0.52587997913360596</c:v>
                </c:pt>
                <c:pt idx="202">
                  <c:v>-0.52587997913360596</c:v>
                </c:pt>
                <c:pt idx="203">
                  <c:v>-0.52580368518829301</c:v>
                </c:pt>
                <c:pt idx="204">
                  <c:v>-0.52546018362045299</c:v>
                </c:pt>
                <c:pt idx="205">
                  <c:v>-0.52555561065673795</c:v>
                </c:pt>
                <c:pt idx="206">
                  <c:v>-0.52450603246688798</c:v>
                </c:pt>
                <c:pt idx="207">
                  <c:v>-0.52557468414306596</c:v>
                </c:pt>
                <c:pt idx="208">
                  <c:v>-0.525784611701965</c:v>
                </c:pt>
                <c:pt idx="209">
                  <c:v>-0.52542203664779696</c:v>
                </c:pt>
                <c:pt idx="210">
                  <c:v>-0.52530753612518299</c:v>
                </c:pt>
                <c:pt idx="211">
                  <c:v>-0.52586090564727805</c:v>
                </c:pt>
                <c:pt idx="212">
                  <c:v>-0.524849534034729</c:v>
                </c:pt>
                <c:pt idx="213">
                  <c:v>-0.52534568309783902</c:v>
                </c:pt>
                <c:pt idx="214">
                  <c:v>-0.52561283111572299</c:v>
                </c:pt>
                <c:pt idx="215">
                  <c:v>-0.52525025606155396</c:v>
                </c:pt>
                <c:pt idx="216">
                  <c:v>-0.52511668205261197</c:v>
                </c:pt>
                <c:pt idx="217">
                  <c:v>-0.52540296316146895</c:v>
                </c:pt>
                <c:pt idx="218">
                  <c:v>-0.52395266294479403</c:v>
                </c:pt>
                <c:pt idx="219">
                  <c:v>-0.525002181529999</c:v>
                </c:pt>
                <c:pt idx="220">
                  <c:v>-0.525002181529999</c:v>
                </c:pt>
                <c:pt idx="221">
                  <c:v>-0.52458238601684604</c:v>
                </c:pt>
                <c:pt idx="222">
                  <c:v>-0.52431523799896196</c:v>
                </c:pt>
                <c:pt idx="223">
                  <c:v>-0.52521210908889804</c:v>
                </c:pt>
                <c:pt idx="224">
                  <c:v>-0.52399080991744995</c:v>
                </c:pt>
                <c:pt idx="225">
                  <c:v>-0.52477324008941695</c:v>
                </c:pt>
                <c:pt idx="226">
                  <c:v>-0.52486860752105702</c:v>
                </c:pt>
                <c:pt idx="227">
                  <c:v>-0.52442973852157604</c:v>
                </c:pt>
                <c:pt idx="228">
                  <c:v>-0.52463960647582997</c:v>
                </c:pt>
                <c:pt idx="229">
                  <c:v>-0.52561283111572299</c:v>
                </c:pt>
                <c:pt idx="230">
                  <c:v>-0.52317029237747203</c:v>
                </c:pt>
                <c:pt idx="231">
                  <c:v>-0.52448695898055997</c:v>
                </c:pt>
                <c:pt idx="232">
                  <c:v>-0.524372458457947</c:v>
                </c:pt>
                <c:pt idx="233">
                  <c:v>-0.52427709102630604</c:v>
                </c:pt>
                <c:pt idx="234">
                  <c:v>-0.52439159154892001</c:v>
                </c:pt>
                <c:pt idx="235">
                  <c:v>-0.52469688653945901</c:v>
                </c:pt>
                <c:pt idx="236">
                  <c:v>-0.52336108684539795</c:v>
                </c:pt>
                <c:pt idx="237">
                  <c:v>-0.52393358945846602</c:v>
                </c:pt>
                <c:pt idx="238">
                  <c:v>-0.52404808998107899</c:v>
                </c:pt>
                <c:pt idx="239">
                  <c:v>-0.52362823486328103</c:v>
                </c:pt>
                <c:pt idx="240">
                  <c:v>-0.52400988340377797</c:v>
                </c:pt>
                <c:pt idx="241">
                  <c:v>-0.52517396211624101</c:v>
                </c:pt>
                <c:pt idx="242">
                  <c:v>-0.52341836690902699</c:v>
                </c:pt>
                <c:pt idx="243">
                  <c:v>-0.52357101440429699</c:v>
                </c:pt>
                <c:pt idx="244">
                  <c:v>-0.523742735385895</c:v>
                </c:pt>
                <c:pt idx="245">
                  <c:v>-0.52378094196319602</c:v>
                </c:pt>
                <c:pt idx="246">
                  <c:v>-0.522960364818573</c:v>
                </c:pt>
                <c:pt idx="247">
                  <c:v>-0.52483046054840099</c:v>
                </c:pt>
                <c:pt idx="248">
                  <c:v>-0.523742735385895</c:v>
                </c:pt>
                <c:pt idx="249">
                  <c:v>-0.52338016033172596</c:v>
                </c:pt>
                <c:pt idx="250">
                  <c:v>-0.52347558736801103</c:v>
                </c:pt>
                <c:pt idx="251">
                  <c:v>-0.52370458841323897</c:v>
                </c:pt>
                <c:pt idx="252">
                  <c:v>-0.52332293987274203</c:v>
                </c:pt>
                <c:pt idx="253">
                  <c:v>-0.52460145950317405</c:v>
                </c:pt>
                <c:pt idx="254">
                  <c:v>-0.52309393882751498</c:v>
                </c:pt>
                <c:pt idx="255">
                  <c:v>-0.522807717323303</c:v>
                </c:pt>
                <c:pt idx="256">
                  <c:v>-0.52299851179122903</c:v>
                </c:pt>
                <c:pt idx="257">
                  <c:v>-0.52318930625915505</c:v>
                </c:pt>
                <c:pt idx="258">
                  <c:v>-0.52218049764633201</c:v>
                </c:pt>
                <c:pt idx="259">
                  <c:v>-0.52178293466568004</c:v>
                </c:pt>
                <c:pt idx="260">
                  <c:v>-0.52122294902801503</c:v>
                </c:pt>
                <c:pt idx="261">
                  <c:v>-0.52080839872360196</c:v>
                </c:pt>
                <c:pt idx="262">
                  <c:v>-0.52037686109542802</c:v>
                </c:pt>
                <c:pt idx="263">
                  <c:v>-0.51999068260192904</c:v>
                </c:pt>
                <c:pt idx="264">
                  <c:v>-0.519336938858032</c:v>
                </c:pt>
                <c:pt idx="265">
                  <c:v>-0.51886385679244995</c:v>
                </c:pt>
                <c:pt idx="266">
                  <c:v>-0.518360614776611</c:v>
                </c:pt>
                <c:pt idx="267">
                  <c:v>-0.51779657602310203</c:v>
                </c:pt>
                <c:pt idx="268">
                  <c:v>-0.51745814085006703</c:v>
                </c:pt>
                <c:pt idx="269">
                  <c:v>-0.51683396100997903</c:v>
                </c:pt>
                <c:pt idx="270">
                  <c:v>-0.51631337404251099</c:v>
                </c:pt>
                <c:pt idx="271">
                  <c:v>-0.51579499244689897</c:v>
                </c:pt>
                <c:pt idx="272">
                  <c:v>-0.51530730724334695</c:v>
                </c:pt>
                <c:pt idx="273">
                  <c:v>-0.51472532749176003</c:v>
                </c:pt>
                <c:pt idx="274">
                  <c:v>-0.51424211263656605</c:v>
                </c:pt>
                <c:pt idx="275">
                  <c:v>-0.51393562555313099</c:v>
                </c:pt>
                <c:pt idx="276">
                  <c:v>-0.51335144042968806</c:v>
                </c:pt>
                <c:pt idx="277">
                  <c:v>-0.51280111074447599</c:v>
                </c:pt>
                <c:pt idx="278">
                  <c:v>-0.51243513822555498</c:v>
                </c:pt>
                <c:pt idx="279">
                  <c:v>-0.51175916194915805</c:v>
                </c:pt>
                <c:pt idx="280">
                  <c:v>-0.51132130622863803</c:v>
                </c:pt>
                <c:pt idx="281">
                  <c:v>-0.51083773374557495</c:v>
                </c:pt>
                <c:pt idx="282">
                  <c:v>-0.51022297143936202</c:v>
                </c:pt>
                <c:pt idx="283">
                  <c:v>-0.50985592603683505</c:v>
                </c:pt>
                <c:pt idx="284">
                  <c:v>-0.50924861431121804</c:v>
                </c:pt>
                <c:pt idx="285">
                  <c:v>-0.50880217552185103</c:v>
                </c:pt>
                <c:pt idx="286">
                  <c:v>-0.50845968723297097</c:v>
                </c:pt>
                <c:pt idx="287">
                  <c:v>-0.50795912742614702</c:v>
                </c:pt>
                <c:pt idx="288">
                  <c:v>-0.50751227140426602</c:v>
                </c:pt>
                <c:pt idx="289">
                  <c:v>-0.50678813457489003</c:v>
                </c:pt>
                <c:pt idx="290">
                  <c:v>-0.50630021095275901</c:v>
                </c:pt>
                <c:pt idx="291">
                  <c:v>-0.50582635402679399</c:v>
                </c:pt>
                <c:pt idx="292">
                  <c:v>-0.50548243522643999</c:v>
                </c:pt>
                <c:pt idx="293">
                  <c:v>-0.50501620769500699</c:v>
                </c:pt>
                <c:pt idx="294">
                  <c:v>-0.50442403554916404</c:v>
                </c:pt>
                <c:pt idx="295">
                  <c:v>-0.50406330823898304</c:v>
                </c:pt>
                <c:pt idx="296">
                  <c:v>-0.50334548950195301</c:v>
                </c:pt>
                <c:pt idx="297">
                  <c:v>-0.50283086299896196</c:v>
                </c:pt>
                <c:pt idx="298">
                  <c:v>-0.50229942798614502</c:v>
                </c:pt>
                <c:pt idx="299">
                  <c:v>-0.50179022550582897</c:v>
                </c:pt>
                <c:pt idx="300">
                  <c:v>-0.501326084136963</c:v>
                </c:pt>
                <c:pt idx="301">
                  <c:v>-0.50079607963562001</c:v>
                </c:pt>
                <c:pt idx="302">
                  <c:v>-0.500624239444733</c:v>
                </c:pt>
                <c:pt idx="303">
                  <c:v>-0.499825119972229</c:v>
                </c:pt>
                <c:pt idx="304">
                  <c:v>-0.49951326847076399</c:v>
                </c:pt>
                <c:pt idx="305">
                  <c:v>-0.498911052942276</c:v>
                </c:pt>
                <c:pt idx="306">
                  <c:v>-0.49836277961731001</c:v>
                </c:pt>
                <c:pt idx="307">
                  <c:v>-0.498006731271744</c:v>
                </c:pt>
                <c:pt idx="308">
                  <c:v>-0.49722528457641602</c:v>
                </c:pt>
                <c:pt idx="309">
                  <c:v>-0.49692940711975098</c:v>
                </c:pt>
                <c:pt idx="310">
                  <c:v>-0.49628296494483898</c:v>
                </c:pt>
                <c:pt idx="311">
                  <c:v>-0.495853841304779</c:v>
                </c:pt>
                <c:pt idx="312">
                  <c:v>-0.49552044272422802</c:v>
                </c:pt>
                <c:pt idx="313">
                  <c:v>-0.49499949812889099</c:v>
                </c:pt>
                <c:pt idx="314">
                  <c:v>-0.494494378566742</c:v>
                </c:pt>
                <c:pt idx="315">
                  <c:v>-0.49371215701103199</c:v>
                </c:pt>
                <c:pt idx="316">
                  <c:v>-0.49315547943115201</c:v>
                </c:pt>
                <c:pt idx="317">
                  <c:v>-0.49292758107185403</c:v>
                </c:pt>
                <c:pt idx="318">
                  <c:v>-0.49236243963241599</c:v>
                </c:pt>
                <c:pt idx="319">
                  <c:v>-0.49184960126876798</c:v>
                </c:pt>
                <c:pt idx="320">
                  <c:v>-0.49137657880783098</c:v>
                </c:pt>
                <c:pt idx="321">
                  <c:v>-0.49088591337204002</c:v>
                </c:pt>
                <c:pt idx="322">
                  <c:v>-0.49019485712051403</c:v>
                </c:pt>
                <c:pt idx="323">
                  <c:v>-0.49005377292633101</c:v>
                </c:pt>
                <c:pt idx="324">
                  <c:v>-0.48926177620887801</c:v>
                </c:pt>
                <c:pt idx="325">
                  <c:v>-0.48890987038612399</c:v>
                </c:pt>
                <c:pt idx="326">
                  <c:v>-0.48827680945396401</c:v>
                </c:pt>
                <c:pt idx="327">
                  <c:v>-0.487744450569153</c:v>
                </c:pt>
                <c:pt idx="328">
                  <c:v>-0.48736518621444702</c:v>
                </c:pt>
                <c:pt idx="329">
                  <c:v>-0.48682966828346302</c:v>
                </c:pt>
                <c:pt idx="330">
                  <c:v>-0.48648059368133501</c:v>
                </c:pt>
                <c:pt idx="331">
                  <c:v>-0.48585748672485402</c:v>
                </c:pt>
                <c:pt idx="332">
                  <c:v>-0.48539653420448298</c:v>
                </c:pt>
                <c:pt idx="333">
                  <c:v>-0.48500519990920998</c:v>
                </c:pt>
                <c:pt idx="334">
                  <c:v>-0.48433193564415</c:v>
                </c:pt>
                <c:pt idx="335">
                  <c:v>-0.48395773768424999</c:v>
                </c:pt>
                <c:pt idx="336">
                  <c:v>-0.48326566815376298</c:v>
                </c:pt>
                <c:pt idx="337">
                  <c:v>-0.48280850052833602</c:v>
                </c:pt>
                <c:pt idx="338">
                  <c:v>-0.48235893249511702</c:v>
                </c:pt>
                <c:pt idx="339">
                  <c:v>-0.481826663017273</c:v>
                </c:pt>
                <c:pt idx="340">
                  <c:v>-0.481391251087189</c:v>
                </c:pt>
                <c:pt idx="341">
                  <c:v>-0.480897307395935</c:v>
                </c:pt>
                <c:pt idx="342">
                  <c:v>-0.480490922927856</c:v>
                </c:pt>
                <c:pt idx="343">
                  <c:v>-0.48003000020980802</c:v>
                </c:pt>
                <c:pt idx="344">
                  <c:v>-0.479493677616119</c:v>
                </c:pt>
                <c:pt idx="345">
                  <c:v>-0.47880312800407399</c:v>
                </c:pt>
                <c:pt idx="346">
                  <c:v>-0.47842675447464</c:v>
                </c:pt>
                <c:pt idx="347">
                  <c:v>-0.47788509726524397</c:v>
                </c:pt>
                <c:pt idx="348">
                  <c:v>-0.47733899950981101</c:v>
                </c:pt>
                <c:pt idx="349">
                  <c:v>-0.47712185978889499</c:v>
                </c:pt>
                <c:pt idx="350">
                  <c:v>-0.47639763355255099</c:v>
                </c:pt>
                <c:pt idx="351">
                  <c:v>-0.47615483403205899</c:v>
                </c:pt>
                <c:pt idx="352">
                  <c:v>-0.47542703151702898</c:v>
                </c:pt>
                <c:pt idx="353">
                  <c:v>-0.474795162677765</c:v>
                </c:pt>
                <c:pt idx="354">
                  <c:v>-0.47433769702911399</c:v>
                </c:pt>
                <c:pt idx="355">
                  <c:v>-0.47382679581642201</c:v>
                </c:pt>
                <c:pt idx="356">
                  <c:v>-0.47323030233383201</c:v>
                </c:pt>
                <c:pt idx="357">
                  <c:v>-0.47287318110465998</c:v>
                </c:pt>
                <c:pt idx="358">
                  <c:v>-0.47253459692001298</c:v>
                </c:pt>
                <c:pt idx="359">
                  <c:v>-0.47192612290382402</c:v>
                </c:pt>
                <c:pt idx="360">
                  <c:v>-0.47133553028106701</c:v>
                </c:pt>
                <c:pt idx="361">
                  <c:v>-0.47072932124137901</c:v>
                </c:pt>
                <c:pt idx="362">
                  <c:v>-0.470392495393753</c:v>
                </c:pt>
                <c:pt idx="363">
                  <c:v>-0.46988439559936501</c:v>
                </c:pt>
                <c:pt idx="364">
                  <c:v>-0.46923434734344499</c:v>
                </c:pt>
                <c:pt idx="365">
                  <c:v>-0.46881267428398099</c:v>
                </c:pt>
                <c:pt idx="366">
                  <c:v>-0.46833556890487699</c:v>
                </c:pt>
                <c:pt idx="367">
                  <c:v>-0.46798348426818798</c:v>
                </c:pt>
                <c:pt idx="368">
                  <c:v>-0.46757861971855202</c:v>
                </c:pt>
                <c:pt idx="369">
                  <c:v>-0.46695318818092302</c:v>
                </c:pt>
                <c:pt idx="370">
                  <c:v>-0.46655011177062999</c:v>
                </c:pt>
                <c:pt idx="371">
                  <c:v>-0.46580049395561202</c:v>
                </c:pt>
                <c:pt idx="372">
                  <c:v>-0.46530896425247198</c:v>
                </c:pt>
                <c:pt idx="373">
                  <c:v>-0.46475115418434099</c:v>
                </c:pt>
                <c:pt idx="374">
                  <c:v>-0.46438330411911</c:v>
                </c:pt>
                <c:pt idx="375">
                  <c:v>-0.463897615671158</c:v>
                </c:pt>
                <c:pt idx="376">
                  <c:v>-0.46330386400222801</c:v>
                </c:pt>
                <c:pt idx="377">
                  <c:v>-0.46296030282974199</c:v>
                </c:pt>
                <c:pt idx="378">
                  <c:v>-0.462485551834106</c:v>
                </c:pt>
                <c:pt idx="379">
                  <c:v>-0.46184715628624001</c:v>
                </c:pt>
                <c:pt idx="380">
                  <c:v>-0.46139997243881198</c:v>
                </c:pt>
                <c:pt idx="381">
                  <c:v>-0.46087306737899802</c:v>
                </c:pt>
                <c:pt idx="382">
                  <c:v>-0.46035048365593001</c:v>
                </c:pt>
                <c:pt idx="383">
                  <c:v>-0.459918022155762</c:v>
                </c:pt>
                <c:pt idx="384">
                  <c:v>-0.45929130911827099</c:v>
                </c:pt>
                <c:pt idx="385">
                  <c:v>-0.45901677012443498</c:v>
                </c:pt>
                <c:pt idx="386">
                  <c:v>-0.45833832025527999</c:v>
                </c:pt>
                <c:pt idx="387">
                  <c:v>-0.45790162682533297</c:v>
                </c:pt>
                <c:pt idx="388">
                  <c:v>-0.45743089914321899</c:v>
                </c:pt>
                <c:pt idx="389">
                  <c:v>-0.45689836144447299</c:v>
                </c:pt>
                <c:pt idx="390">
                  <c:v>-0.45646613836288502</c:v>
                </c:pt>
                <c:pt idx="391">
                  <c:v>-0.45592546463012701</c:v>
                </c:pt>
                <c:pt idx="392">
                  <c:v>-0.455361217260361</c:v>
                </c:pt>
                <c:pt idx="393">
                  <c:v>-0.45491605997085599</c:v>
                </c:pt>
                <c:pt idx="394">
                  <c:v>-0.45429250597953802</c:v>
                </c:pt>
                <c:pt idx="395">
                  <c:v>-0.45381572842598</c:v>
                </c:pt>
                <c:pt idx="396">
                  <c:v>-0.45351985096931502</c:v>
                </c:pt>
                <c:pt idx="397">
                  <c:v>-0.45304483175277699</c:v>
                </c:pt>
                <c:pt idx="398">
                  <c:v>-0.45243614912033098</c:v>
                </c:pt>
                <c:pt idx="399">
                  <c:v>-0.45185336470603898</c:v>
                </c:pt>
                <c:pt idx="400">
                  <c:v>-0.45123127102851901</c:v>
                </c:pt>
                <c:pt idx="401">
                  <c:v>-0.45088559389114402</c:v>
                </c:pt>
                <c:pt idx="402">
                  <c:v>-0.45040413737297103</c:v>
                </c:pt>
                <c:pt idx="403">
                  <c:v>-0.45016032457351701</c:v>
                </c:pt>
                <c:pt idx="404">
                  <c:v>-0.449583649635315</c:v>
                </c:pt>
                <c:pt idx="405">
                  <c:v>-0.448860764503479</c:v>
                </c:pt>
                <c:pt idx="406">
                  <c:v>-0.44848945736885099</c:v>
                </c:pt>
                <c:pt idx="407">
                  <c:v>-0.447878748178482</c:v>
                </c:pt>
                <c:pt idx="408">
                  <c:v>-0.44734463095665</c:v>
                </c:pt>
                <c:pt idx="409">
                  <c:v>-0.44693887233734098</c:v>
                </c:pt>
                <c:pt idx="410">
                  <c:v>-0.44644343852996798</c:v>
                </c:pt>
                <c:pt idx="411">
                  <c:v>-0.44594824314117398</c:v>
                </c:pt>
                <c:pt idx="412">
                  <c:v>-0.445509433746338</c:v>
                </c:pt>
                <c:pt idx="413">
                  <c:v>-0.44482240080833402</c:v>
                </c:pt>
                <c:pt idx="414">
                  <c:v>-0.44442278146743802</c:v>
                </c:pt>
                <c:pt idx="415">
                  <c:v>-0.44390210509300199</c:v>
                </c:pt>
                <c:pt idx="416">
                  <c:v>-0.44339317083358798</c:v>
                </c:pt>
                <c:pt idx="417">
                  <c:v>-0.44283470511436501</c:v>
                </c:pt>
                <c:pt idx="418">
                  <c:v>-0.44234183430671697</c:v>
                </c:pt>
                <c:pt idx="419">
                  <c:v>-0.44204476475715598</c:v>
                </c:pt>
                <c:pt idx="420">
                  <c:v>-0.441632479429245</c:v>
                </c:pt>
                <c:pt idx="421">
                  <c:v>-0.44090119004249601</c:v>
                </c:pt>
                <c:pt idx="422">
                  <c:v>-0.44024071097374001</c:v>
                </c:pt>
                <c:pt idx="423">
                  <c:v>-0.439734816551208</c:v>
                </c:pt>
                <c:pt idx="424">
                  <c:v>-0.43937113881111101</c:v>
                </c:pt>
                <c:pt idx="425">
                  <c:v>-0.43906143307685902</c:v>
                </c:pt>
                <c:pt idx="426">
                  <c:v>-0.43843108415603599</c:v>
                </c:pt>
                <c:pt idx="427">
                  <c:v>-0.43801558017730702</c:v>
                </c:pt>
                <c:pt idx="428">
                  <c:v>-0.43757009506225603</c:v>
                </c:pt>
                <c:pt idx="429">
                  <c:v>-0.43672400712966902</c:v>
                </c:pt>
                <c:pt idx="430">
                  <c:v>-0.43630552291870101</c:v>
                </c:pt>
                <c:pt idx="431">
                  <c:v>-0.43587601184844998</c:v>
                </c:pt>
                <c:pt idx="432">
                  <c:v>-0.43544232845306402</c:v>
                </c:pt>
                <c:pt idx="433">
                  <c:v>-0.43500119447708102</c:v>
                </c:pt>
                <c:pt idx="434">
                  <c:v>-0.43439704179763799</c:v>
                </c:pt>
                <c:pt idx="435">
                  <c:v>-0.43390625715255698</c:v>
                </c:pt>
                <c:pt idx="436">
                  <c:v>-0.43336880207061801</c:v>
                </c:pt>
                <c:pt idx="437">
                  <c:v>-0.43282264471054099</c:v>
                </c:pt>
                <c:pt idx="438">
                  <c:v>-0.43240281939506497</c:v>
                </c:pt>
                <c:pt idx="439">
                  <c:v>-0.43188986182212802</c:v>
                </c:pt>
                <c:pt idx="440">
                  <c:v>-0.431339651346207</c:v>
                </c:pt>
                <c:pt idx="441">
                  <c:v>-0.43091124296188399</c:v>
                </c:pt>
                <c:pt idx="442">
                  <c:v>-0.43052336573600802</c:v>
                </c:pt>
                <c:pt idx="443">
                  <c:v>-0.42994230985641502</c:v>
                </c:pt>
                <c:pt idx="444">
                  <c:v>-0.42937183380126998</c:v>
                </c:pt>
                <c:pt idx="445">
                  <c:v>-0.42890766263008101</c:v>
                </c:pt>
                <c:pt idx="446">
                  <c:v>-0.42837983369827298</c:v>
                </c:pt>
                <c:pt idx="447">
                  <c:v>-0.42800533771514898</c:v>
                </c:pt>
                <c:pt idx="448">
                  <c:v>-0.42732173204422003</c:v>
                </c:pt>
                <c:pt idx="449">
                  <c:v>-0.42693579196929898</c:v>
                </c:pt>
                <c:pt idx="450">
                  <c:v>-0.426455438137054</c:v>
                </c:pt>
                <c:pt idx="451">
                  <c:v>-0.425942212343216</c:v>
                </c:pt>
                <c:pt idx="452">
                  <c:v>-0.42539530992507901</c:v>
                </c:pt>
                <c:pt idx="453">
                  <c:v>-0.42501673102378801</c:v>
                </c:pt>
                <c:pt idx="454">
                  <c:v>-0.42441251873969998</c:v>
                </c:pt>
                <c:pt idx="455">
                  <c:v>-0.42387616634368902</c:v>
                </c:pt>
                <c:pt idx="456">
                  <c:v>-0.423446714878082</c:v>
                </c:pt>
                <c:pt idx="457">
                  <c:v>-0.42287009954452498</c:v>
                </c:pt>
                <c:pt idx="458">
                  <c:v>-0.42244815826415999</c:v>
                </c:pt>
                <c:pt idx="459">
                  <c:v>-0.42199954390525801</c:v>
                </c:pt>
                <c:pt idx="460">
                  <c:v>-0.42153546214103699</c:v>
                </c:pt>
                <c:pt idx="461">
                  <c:v>-0.42092457413673401</c:v>
                </c:pt>
                <c:pt idx="462">
                  <c:v>-0.42040637135505698</c:v>
                </c:pt>
                <c:pt idx="463">
                  <c:v>-0.41977453231811501</c:v>
                </c:pt>
                <c:pt idx="464">
                  <c:v>-0.419418275356293</c:v>
                </c:pt>
                <c:pt idx="465">
                  <c:v>-0.41896116733550998</c:v>
                </c:pt>
                <c:pt idx="466">
                  <c:v>-0.41855189204215998</c:v>
                </c:pt>
                <c:pt idx="467">
                  <c:v>-0.41811537742614702</c:v>
                </c:pt>
                <c:pt idx="468">
                  <c:v>-0.41730323433875999</c:v>
                </c:pt>
                <c:pt idx="469">
                  <c:v>-0.41706648468971302</c:v>
                </c:pt>
                <c:pt idx="470">
                  <c:v>-0.41641172766685502</c:v>
                </c:pt>
                <c:pt idx="471">
                  <c:v>-0.415946185588837</c:v>
                </c:pt>
                <c:pt idx="472">
                  <c:v>-0.41535764932632402</c:v>
                </c:pt>
                <c:pt idx="473">
                  <c:v>-0.41512879729270902</c:v>
                </c:pt>
                <c:pt idx="474">
                  <c:v>-0.41460824012756298</c:v>
                </c:pt>
                <c:pt idx="475">
                  <c:v>-0.413916915655136</c:v>
                </c:pt>
                <c:pt idx="476">
                  <c:v>-0.41359797120094299</c:v>
                </c:pt>
                <c:pt idx="477">
                  <c:v>-0.41285380721092202</c:v>
                </c:pt>
                <c:pt idx="478">
                  <c:v>-0.41249525547027599</c:v>
                </c:pt>
                <c:pt idx="479">
                  <c:v>-0.41175937652587902</c:v>
                </c:pt>
                <c:pt idx="480">
                  <c:v>-0.411378294229507</c:v>
                </c:pt>
                <c:pt idx="481">
                  <c:v>-0.410963594913483</c:v>
                </c:pt>
                <c:pt idx="482">
                  <c:v>-0.41057562828063998</c:v>
                </c:pt>
                <c:pt idx="483">
                  <c:v>-0.40999978780746499</c:v>
                </c:pt>
                <c:pt idx="484">
                  <c:v>-0.40948677062988298</c:v>
                </c:pt>
                <c:pt idx="485">
                  <c:v>-0.40900450944900502</c:v>
                </c:pt>
                <c:pt idx="486">
                  <c:v>-0.40822592377662698</c:v>
                </c:pt>
                <c:pt idx="487">
                  <c:v>-0.40795254707336398</c:v>
                </c:pt>
                <c:pt idx="488">
                  <c:v>-0.40745106339454701</c:v>
                </c:pt>
                <c:pt idx="489">
                  <c:v>-0.40685358643531799</c:v>
                </c:pt>
                <c:pt idx="490">
                  <c:v>-0.40652158856391901</c:v>
                </c:pt>
                <c:pt idx="491">
                  <c:v>-0.40609416365623502</c:v>
                </c:pt>
                <c:pt idx="492">
                  <c:v>-0.40556296706199602</c:v>
                </c:pt>
                <c:pt idx="493">
                  <c:v>-0.40501850843429599</c:v>
                </c:pt>
                <c:pt idx="494">
                  <c:v>-0.40422001481056202</c:v>
                </c:pt>
                <c:pt idx="495">
                  <c:v>-0.403808504343033</c:v>
                </c:pt>
                <c:pt idx="496">
                  <c:v>-0.40360376238822898</c:v>
                </c:pt>
                <c:pt idx="497">
                  <c:v>-0.40289691090583801</c:v>
                </c:pt>
                <c:pt idx="498">
                  <c:v>-0.40239676833152799</c:v>
                </c:pt>
                <c:pt idx="499">
                  <c:v>-0.40211135149002097</c:v>
                </c:pt>
                <c:pt idx="500">
                  <c:v>-0.40139985084533703</c:v>
                </c:pt>
                <c:pt idx="501">
                  <c:v>-0.40083810687065102</c:v>
                </c:pt>
                <c:pt idx="502">
                  <c:v>-0.40035277605056802</c:v>
                </c:pt>
                <c:pt idx="503">
                  <c:v>-0.39978420734405501</c:v>
                </c:pt>
                <c:pt idx="504">
                  <c:v>-0.39946836233138999</c:v>
                </c:pt>
                <c:pt idx="505">
                  <c:v>-0.39894887804985002</c:v>
                </c:pt>
                <c:pt idx="506">
                  <c:v>-0.39841139316558799</c:v>
                </c:pt>
                <c:pt idx="507">
                  <c:v>-0.39787527918815602</c:v>
                </c:pt>
                <c:pt idx="508">
                  <c:v>-0.39752009510994002</c:v>
                </c:pt>
                <c:pt idx="509">
                  <c:v>-0.39688587188720698</c:v>
                </c:pt>
                <c:pt idx="510">
                  <c:v>-0.39639726281166099</c:v>
                </c:pt>
                <c:pt idx="511">
                  <c:v>-0.39597207307815602</c:v>
                </c:pt>
                <c:pt idx="512">
                  <c:v>-0.39539518952369701</c:v>
                </c:pt>
                <c:pt idx="513">
                  <c:v>-0.39498817920684798</c:v>
                </c:pt>
                <c:pt idx="514">
                  <c:v>-0.39444547891616799</c:v>
                </c:pt>
                <c:pt idx="515">
                  <c:v>-0.394023567438126</c:v>
                </c:pt>
                <c:pt idx="516">
                  <c:v>-0.39333990216255199</c:v>
                </c:pt>
                <c:pt idx="517">
                  <c:v>-0.39311063289642301</c:v>
                </c:pt>
                <c:pt idx="518">
                  <c:v>-0.39235815405845598</c:v>
                </c:pt>
                <c:pt idx="519">
                  <c:v>-0.391834586858749</c:v>
                </c:pt>
                <c:pt idx="520">
                  <c:v>-0.39139750599861101</c:v>
                </c:pt>
                <c:pt idx="521">
                  <c:v>-0.39091736078262301</c:v>
                </c:pt>
                <c:pt idx="522">
                  <c:v>-0.39026683568954501</c:v>
                </c:pt>
                <c:pt idx="523">
                  <c:v>-0.38999080657959001</c:v>
                </c:pt>
                <c:pt idx="524">
                  <c:v>-0.38956880569458002</c:v>
                </c:pt>
                <c:pt idx="525">
                  <c:v>-0.38887238502502403</c:v>
                </c:pt>
                <c:pt idx="526">
                  <c:v>-0.38845148682594299</c:v>
                </c:pt>
                <c:pt idx="527">
                  <c:v>-0.387996435165405</c:v>
                </c:pt>
                <c:pt idx="528">
                  <c:v>-0.38720187544822698</c:v>
                </c:pt>
                <c:pt idx="529">
                  <c:v>-0.38691315054893499</c:v>
                </c:pt>
                <c:pt idx="530">
                  <c:v>-0.38650694489479098</c:v>
                </c:pt>
                <c:pt idx="531">
                  <c:v>-0.386194407939911</c:v>
                </c:pt>
                <c:pt idx="532">
                  <c:v>-0.38555386662483199</c:v>
                </c:pt>
                <c:pt idx="533">
                  <c:v>-0.384862840175629</c:v>
                </c:pt>
                <c:pt idx="534">
                  <c:v>-0.38438591361045799</c:v>
                </c:pt>
                <c:pt idx="535">
                  <c:v>-0.38389506936073298</c:v>
                </c:pt>
                <c:pt idx="536">
                  <c:v>-0.383468747138977</c:v>
                </c:pt>
                <c:pt idx="537">
                  <c:v>-0.38298150897026101</c:v>
                </c:pt>
                <c:pt idx="538">
                  <c:v>-0.38274243474006697</c:v>
                </c:pt>
                <c:pt idx="539">
                  <c:v>-0.38192391395568798</c:v>
                </c:pt>
                <c:pt idx="540">
                  <c:v>-0.381461501121521</c:v>
                </c:pt>
                <c:pt idx="541">
                  <c:v>-0.381049394607544</c:v>
                </c:pt>
                <c:pt idx="542">
                  <c:v>-0.38057023286819502</c:v>
                </c:pt>
                <c:pt idx="543">
                  <c:v>-0.37976470589637801</c:v>
                </c:pt>
                <c:pt idx="544">
                  <c:v>-0.37943378090858498</c:v>
                </c:pt>
                <c:pt idx="545">
                  <c:v>-0.37889617681503301</c:v>
                </c:pt>
                <c:pt idx="546">
                  <c:v>-0.37842422723770103</c:v>
                </c:pt>
                <c:pt idx="547">
                  <c:v>-0.37810352444648698</c:v>
                </c:pt>
                <c:pt idx="548">
                  <c:v>-0.37756377458572399</c:v>
                </c:pt>
                <c:pt idx="549">
                  <c:v>-0.37702590227127097</c:v>
                </c:pt>
                <c:pt idx="550">
                  <c:v>-0.37650015950202897</c:v>
                </c:pt>
                <c:pt idx="551">
                  <c:v>-0.375814288854599</c:v>
                </c:pt>
                <c:pt idx="552">
                  <c:v>-0.37540942430496199</c:v>
                </c:pt>
                <c:pt idx="553">
                  <c:v>-0.374915271997452</c:v>
                </c:pt>
                <c:pt idx="554">
                  <c:v>-0.37460151314735401</c:v>
                </c:pt>
                <c:pt idx="555">
                  <c:v>-0.37397179007530201</c:v>
                </c:pt>
                <c:pt idx="556">
                  <c:v>-0.37367609143257102</c:v>
                </c:pt>
                <c:pt idx="557">
                  <c:v>-0.373063445091248</c:v>
                </c:pt>
                <c:pt idx="558">
                  <c:v>-0.37238037586212203</c:v>
                </c:pt>
                <c:pt idx="559">
                  <c:v>-0.371844172477722</c:v>
                </c:pt>
                <c:pt idx="560">
                  <c:v>-0.37139689922332803</c:v>
                </c:pt>
                <c:pt idx="561">
                  <c:v>-0.37101292610168501</c:v>
                </c:pt>
                <c:pt idx="562">
                  <c:v>-0.370305806398392</c:v>
                </c:pt>
                <c:pt idx="563">
                  <c:v>-0.37006634473800698</c:v>
                </c:pt>
                <c:pt idx="564">
                  <c:v>-0.36948230862617498</c:v>
                </c:pt>
                <c:pt idx="565">
                  <c:v>-0.36889493465423601</c:v>
                </c:pt>
                <c:pt idx="566">
                  <c:v>-0.36850357055664101</c:v>
                </c:pt>
                <c:pt idx="567">
                  <c:v>-0.36803826689720198</c:v>
                </c:pt>
                <c:pt idx="568">
                  <c:v>-0.36744895577430697</c:v>
                </c:pt>
                <c:pt idx="569">
                  <c:v>-0.36696335673332198</c:v>
                </c:pt>
                <c:pt idx="570">
                  <c:v>-0.36655607819557201</c:v>
                </c:pt>
                <c:pt idx="571">
                  <c:v>-0.36595171689987199</c:v>
                </c:pt>
                <c:pt idx="572">
                  <c:v>-0.36542409658432001</c:v>
                </c:pt>
                <c:pt idx="573">
                  <c:v>-0.36500090360641502</c:v>
                </c:pt>
                <c:pt idx="574">
                  <c:v>-0.36445921659469599</c:v>
                </c:pt>
                <c:pt idx="575">
                  <c:v>-0.364095449447632</c:v>
                </c:pt>
                <c:pt idx="576">
                  <c:v>-0.36344262957572898</c:v>
                </c:pt>
                <c:pt idx="577">
                  <c:v>-0.36289453506469699</c:v>
                </c:pt>
                <c:pt idx="578">
                  <c:v>-0.36240682005882302</c:v>
                </c:pt>
                <c:pt idx="579">
                  <c:v>-0.36196669936180098</c:v>
                </c:pt>
                <c:pt idx="580">
                  <c:v>-0.36148446798324602</c:v>
                </c:pt>
                <c:pt idx="581">
                  <c:v>-0.360953480005264</c:v>
                </c:pt>
                <c:pt idx="582">
                  <c:v>-0.360506922006607</c:v>
                </c:pt>
                <c:pt idx="583">
                  <c:v>-0.36004346609115601</c:v>
                </c:pt>
                <c:pt idx="584">
                  <c:v>-0.35945644974708602</c:v>
                </c:pt>
                <c:pt idx="585">
                  <c:v>-0.35884255170822099</c:v>
                </c:pt>
                <c:pt idx="586">
                  <c:v>-0.358523309230804</c:v>
                </c:pt>
                <c:pt idx="587">
                  <c:v>-0.35789576172828702</c:v>
                </c:pt>
                <c:pt idx="588">
                  <c:v>-0.357359379529953</c:v>
                </c:pt>
                <c:pt idx="589">
                  <c:v>-0.35702458024025002</c:v>
                </c:pt>
                <c:pt idx="590">
                  <c:v>-0.35643407702446001</c:v>
                </c:pt>
                <c:pt idx="591">
                  <c:v>-0.35599631071090698</c:v>
                </c:pt>
                <c:pt idx="592">
                  <c:v>-0.35553312301635698</c:v>
                </c:pt>
                <c:pt idx="593">
                  <c:v>-0.35501772165298501</c:v>
                </c:pt>
                <c:pt idx="594">
                  <c:v>-0.35449177026748702</c:v>
                </c:pt>
                <c:pt idx="595">
                  <c:v>-0.35394465923309298</c:v>
                </c:pt>
                <c:pt idx="596">
                  <c:v>-0.35340413451194802</c:v>
                </c:pt>
                <c:pt idx="597">
                  <c:v>-0.352834612131119</c:v>
                </c:pt>
                <c:pt idx="598">
                  <c:v>-0.35254496335983299</c:v>
                </c:pt>
                <c:pt idx="599">
                  <c:v>-0.35209363698959401</c:v>
                </c:pt>
                <c:pt idx="600">
                  <c:v>-0.35164204239845298</c:v>
                </c:pt>
                <c:pt idx="601">
                  <c:v>-0.35111844539642301</c:v>
                </c:pt>
                <c:pt idx="602">
                  <c:v>-0.35048517584800698</c:v>
                </c:pt>
                <c:pt idx="603">
                  <c:v>-0.349952101707458</c:v>
                </c:pt>
                <c:pt idx="604">
                  <c:v>-0.34934875369071999</c:v>
                </c:pt>
                <c:pt idx="605">
                  <c:v>-0.34902656078338601</c:v>
                </c:pt>
                <c:pt idx="606">
                  <c:v>-0.34843492507934598</c:v>
                </c:pt>
                <c:pt idx="607">
                  <c:v>-0.34799599647522</c:v>
                </c:pt>
                <c:pt idx="608">
                  <c:v>-0.34760999679565402</c:v>
                </c:pt>
                <c:pt idx="609">
                  <c:v>-0.34705805778503401</c:v>
                </c:pt>
                <c:pt idx="610">
                  <c:v>-0.34653860330581698</c:v>
                </c:pt>
                <c:pt idx="611">
                  <c:v>-0.34602156281471302</c:v>
                </c:pt>
                <c:pt idx="612">
                  <c:v>-0.345572769641876</c:v>
                </c:pt>
                <c:pt idx="613">
                  <c:v>-0.34496724605560303</c:v>
                </c:pt>
                <c:pt idx="614">
                  <c:v>-0.34445124864578203</c:v>
                </c:pt>
                <c:pt idx="615">
                  <c:v>-0.3440842628479</c:v>
                </c:pt>
                <c:pt idx="616">
                  <c:v>-0.343225747346878</c:v>
                </c:pt>
                <c:pt idx="617">
                  <c:v>-0.34310048818588301</c:v>
                </c:pt>
                <c:pt idx="618">
                  <c:v>-0.34255337715148898</c:v>
                </c:pt>
                <c:pt idx="619">
                  <c:v>-0.34208580851554898</c:v>
                </c:pt>
                <c:pt idx="620">
                  <c:v>-0.34140762686729398</c:v>
                </c:pt>
                <c:pt idx="621">
                  <c:v>-0.34094321727752702</c:v>
                </c:pt>
                <c:pt idx="622">
                  <c:v>-0.34049358963966397</c:v>
                </c:pt>
                <c:pt idx="623">
                  <c:v>-0.33990734815597501</c:v>
                </c:pt>
                <c:pt idx="624">
                  <c:v>-0.339448511600494</c:v>
                </c:pt>
                <c:pt idx="625">
                  <c:v>-0.33905506134033198</c:v>
                </c:pt>
                <c:pt idx="626">
                  <c:v>-0.33855581283569303</c:v>
                </c:pt>
                <c:pt idx="627">
                  <c:v>-0.337998926639557</c:v>
                </c:pt>
                <c:pt idx="628">
                  <c:v>-0.337581276893616</c:v>
                </c:pt>
                <c:pt idx="629">
                  <c:v>-0.33693686127662698</c:v>
                </c:pt>
                <c:pt idx="630">
                  <c:v>-0.33637723326683</c:v>
                </c:pt>
                <c:pt idx="631">
                  <c:v>-0.336008131504059</c:v>
                </c:pt>
                <c:pt idx="632">
                  <c:v>-0.335476845502853</c:v>
                </c:pt>
                <c:pt idx="633">
                  <c:v>-0.33502662181854198</c:v>
                </c:pt>
                <c:pt idx="634">
                  <c:v>-0.33444243669509899</c:v>
                </c:pt>
                <c:pt idx="635">
                  <c:v>-0.33396324515342701</c:v>
                </c:pt>
                <c:pt idx="636">
                  <c:v>-0.33342882990837103</c:v>
                </c:pt>
                <c:pt idx="637">
                  <c:v>-0.33305341005325301</c:v>
                </c:pt>
                <c:pt idx="638">
                  <c:v>-0.33246517181396501</c:v>
                </c:pt>
                <c:pt idx="639">
                  <c:v>-0.33189707994461098</c:v>
                </c:pt>
                <c:pt idx="640">
                  <c:v>-0.331627488136292</c:v>
                </c:pt>
                <c:pt idx="641">
                  <c:v>-0.33097231388092002</c:v>
                </c:pt>
                <c:pt idx="642">
                  <c:v>-0.33050721883773798</c:v>
                </c:pt>
                <c:pt idx="643">
                  <c:v>-0.32991659641265902</c:v>
                </c:pt>
                <c:pt idx="644">
                  <c:v>-0.32963553071022</c:v>
                </c:pt>
                <c:pt idx="645">
                  <c:v>-0.32887420058250399</c:v>
                </c:pt>
                <c:pt idx="646">
                  <c:v>-0.32848548889160201</c:v>
                </c:pt>
                <c:pt idx="647">
                  <c:v>-0.32798707485199002</c:v>
                </c:pt>
                <c:pt idx="648">
                  <c:v>-0.32754504680633501</c:v>
                </c:pt>
                <c:pt idx="649">
                  <c:v>-0.32711759209632901</c:v>
                </c:pt>
                <c:pt idx="650">
                  <c:v>-0.32660764455795299</c:v>
                </c:pt>
                <c:pt idx="651">
                  <c:v>-0.32603129744529702</c:v>
                </c:pt>
                <c:pt idx="652">
                  <c:v>-0.32537814974784901</c:v>
                </c:pt>
                <c:pt idx="653">
                  <c:v>-0.32497298717498802</c:v>
                </c:pt>
                <c:pt idx="654">
                  <c:v>-0.32457131147384599</c:v>
                </c:pt>
                <c:pt idx="655">
                  <c:v>-0.324006468057632</c:v>
                </c:pt>
                <c:pt idx="656">
                  <c:v>-0.32350596785545299</c:v>
                </c:pt>
                <c:pt idx="657">
                  <c:v>-0.323070108890533</c:v>
                </c:pt>
                <c:pt idx="658">
                  <c:v>-0.32283782958984403</c:v>
                </c:pt>
                <c:pt idx="659">
                  <c:v>-0.321856290102005</c:v>
                </c:pt>
                <c:pt idx="660">
                  <c:v>-0.32146826386451699</c:v>
                </c:pt>
                <c:pt idx="661">
                  <c:v>-0.32087767124175998</c:v>
                </c:pt>
                <c:pt idx="662">
                  <c:v>-0.320605099201202</c:v>
                </c:pt>
                <c:pt idx="663">
                  <c:v>-0.31997025012969998</c:v>
                </c:pt>
                <c:pt idx="664">
                  <c:v>-0.31966528296470598</c:v>
                </c:pt>
                <c:pt idx="665">
                  <c:v>-0.31919640302658098</c:v>
                </c:pt>
                <c:pt idx="666">
                  <c:v>-0.31841152906417802</c:v>
                </c:pt>
                <c:pt idx="667">
                  <c:v>-0.31796225905418402</c:v>
                </c:pt>
                <c:pt idx="668">
                  <c:v>-0.31755298376083402</c:v>
                </c:pt>
                <c:pt idx="669">
                  <c:v>-0.31694141030311601</c:v>
                </c:pt>
                <c:pt idx="670">
                  <c:v>-0.31646740436553999</c:v>
                </c:pt>
                <c:pt idx="671">
                  <c:v>-0.316053867340088</c:v>
                </c:pt>
                <c:pt idx="672">
                  <c:v>-0.31558752059936501</c:v>
                </c:pt>
                <c:pt idx="673">
                  <c:v>-0.31495922803878801</c:v>
                </c:pt>
                <c:pt idx="674">
                  <c:v>-0.314652770757675</c:v>
                </c:pt>
                <c:pt idx="675">
                  <c:v>-0.31393793225288402</c:v>
                </c:pt>
                <c:pt idx="676">
                  <c:v>-0.31355008482933</c:v>
                </c:pt>
                <c:pt idx="677">
                  <c:v>-0.31299981474876398</c:v>
                </c:pt>
                <c:pt idx="678">
                  <c:v>-0.31253430247306802</c:v>
                </c:pt>
                <c:pt idx="679">
                  <c:v>-0.31213673949241599</c:v>
                </c:pt>
                <c:pt idx="680">
                  <c:v>-0.31167230010032698</c:v>
                </c:pt>
                <c:pt idx="681">
                  <c:v>-0.31111770868301403</c:v>
                </c:pt>
                <c:pt idx="682">
                  <c:v>-0.31049874424934398</c:v>
                </c:pt>
                <c:pt idx="683">
                  <c:v>-0.31008750200271601</c:v>
                </c:pt>
                <c:pt idx="684">
                  <c:v>-0.309369146823883</c:v>
                </c:pt>
                <c:pt idx="685">
                  <c:v>-0.30904531478881803</c:v>
                </c:pt>
                <c:pt idx="686">
                  <c:v>-0.30848661065101601</c:v>
                </c:pt>
                <c:pt idx="687">
                  <c:v>-0.308094352483749</c:v>
                </c:pt>
                <c:pt idx="688">
                  <c:v>-0.30746799707412698</c:v>
                </c:pt>
                <c:pt idx="689">
                  <c:v>-0.307042926549911</c:v>
                </c:pt>
                <c:pt idx="690">
                  <c:v>-0.306582480669022</c:v>
                </c:pt>
                <c:pt idx="691">
                  <c:v>-0.30610021948814398</c:v>
                </c:pt>
                <c:pt idx="692">
                  <c:v>-0.305414319038391</c:v>
                </c:pt>
                <c:pt idx="693">
                  <c:v>-0.30513331294059798</c:v>
                </c:pt>
                <c:pt idx="694">
                  <c:v>-0.30444440245628401</c:v>
                </c:pt>
                <c:pt idx="695">
                  <c:v>-0.30399170517921398</c:v>
                </c:pt>
                <c:pt idx="696">
                  <c:v>-0.303538918495178</c:v>
                </c:pt>
                <c:pt idx="697">
                  <c:v>-0.30324226617813099</c:v>
                </c:pt>
                <c:pt idx="698">
                  <c:v>-0.30243661999702498</c:v>
                </c:pt>
                <c:pt idx="699">
                  <c:v>-0.30201652646064803</c:v>
                </c:pt>
                <c:pt idx="700">
                  <c:v>-0.30157777667045599</c:v>
                </c:pt>
                <c:pt idx="701">
                  <c:v>-0.3010074198246</c:v>
                </c:pt>
                <c:pt idx="702">
                  <c:v>-0.300512254238129</c:v>
                </c:pt>
                <c:pt idx="703">
                  <c:v>-0.30015262961387601</c:v>
                </c:pt>
                <c:pt idx="704">
                  <c:v>-0.299442738294601</c:v>
                </c:pt>
                <c:pt idx="705">
                  <c:v>-0.298973888158798</c:v>
                </c:pt>
                <c:pt idx="706">
                  <c:v>-0.29860910773277299</c:v>
                </c:pt>
                <c:pt idx="707">
                  <c:v>-0.298088788986206</c:v>
                </c:pt>
                <c:pt idx="708">
                  <c:v>-0.29749521613120999</c:v>
                </c:pt>
                <c:pt idx="709">
                  <c:v>-0.29707869887352001</c:v>
                </c:pt>
                <c:pt idx="710">
                  <c:v>-0.29650706052780201</c:v>
                </c:pt>
                <c:pt idx="711">
                  <c:v>-0.295974761247635</c:v>
                </c:pt>
                <c:pt idx="712">
                  <c:v>-0.29545128345489502</c:v>
                </c:pt>
                <c:pt idx="713">
                  <c:v>-0.295063257217407</c:v>
                </c:pt>
                <c:pt idx="714">
                  <c:v>-0.29451188445091198</c:v>
                </c:pt>
                <c:pt idx="715">
                  <c:v>-0.294086813926697</c:v>
                </c:pt>
                <c:pt idx="716">
                  <c:v>-0.29379308223724399</c:v>
                </c:pt>
                <c:pt idx="717">
                  <c:v>-0.29302376508712802</c:v>
                </c:pt>
                <c:pt idx="718">
                  <c:v>-0.29249218106269798</c:v>
                </c:pt>
                <c:pt idx="719">
                  <c:v>-0.29190966486930803</c:v>
                </c:pt>
                <c:pt idx="720">
                  <c:v>-0.29151269793510398</c:v>
                </c:pt>
                <c:pt idx="721">
                  <c:v>-0.29083862900733898</c:v>
                </c:pt>
                <c:pt idx="722">
                  <c:v>-0.290575861930847</c:v>
                </c:pt>
                <c:pt idx="723">
                  <c:v>-0.29021602869033802</c:v>
                </c:pt>
                <c:pt idx="724">
                  <c:v>-0.28945165872573902</c:v>
                </c:pt>
                <c:pt idx="725">
                  <c:v>-0.28912237286567699</c:v>
                </c:pt>
                <c:pt idx="726">
                  <c:v>-0.28861820697784402</c:v>
                </c:pt>
                <c:pt idx="727">
                  <c:v>-0.288203775882721</c:v>
                </c:pt>
                <c:pt idx="728">
                  <c:v>-0.287629544734955</c:v>
                </c:pt>
                <c:pt idx="729">
                  <c:v>-0.28692668676376298</c:v>
                </c:pt>
                <c:pt idx="730">
                  <c:v>-0.28639656305313099</c:v>
                </c:pt>
                <c:pt idx="731">
                  <c:v>-0.28603416681289701</c:v>
                </c:pt>
                <c:pt idx="732">
                  <c:v>-0.28568497300147999</c:v>
                </c:pt>
                <c:pt idx="733">
                  <c:v>-0.28514036536216703</c:v>
                </c:pt>
                <c:pt idx="734">
                  <c:v>-0.284702748060226</c:v>
                </c:pt>
                <c:pt idx="735">
                  <c:v>-0.284097880125046</c:v>
                </c:pt>
                <c:pt idx="736">
                  <c:v>-0.283401370048523</c:v>
                </c:pt>
                <c:pt idx="737">
                  <c:v>-0.28296682238578802</c:v>
                </c:pt>
                <c:pt idx="738">
                  <c:v>-0.282466560602188</c:v>
                </c:pt>
                <c:pt idx="739">
                  <c:v>-0.28216964006424</c:v>
                </c:pt>
                <c:pt idx="740">
                  <c:v>-0.281602293252945</c:v>
                </c:pt>
                <c:pt idx="741">
                  <c:v>-0.28107771277427701</c:v>
                </c:pt>
                <c:pt idx="742">
                  <c:v>-0.28051087260246299</c:v>
                </c:pt>
                <c:pt idx="743">
                  <c:v>-0.27993613481521601</c:v>
                </c:pt>
                <c:pt idx="744">
                  <c:v>-0.27943873405456499</c:v>
                </c:pt>
                <c:pt idx="745">
                  <c:v>-0.27903702855110202</c:v>
                </c:pt>
                <c:pt idx="746">
                  <c:v>-0.27849197387695301</c:v>
                </c:pt>
                <c:pt idx="747">
                  <c:v>-0.27797368168830899</c:v>
                </c:pt>
                <c:pt idx="748">
                  <c:v>-0.27758014202117898</c:v>
                </c:pt>
                <c:pt idx="749">
                  <c:v>-0.27710205316543601</c:v>
                </c:pt>
                <c:pt idx="750">
                  <c:v>-0.27655202150344799</c:v>
                </c:pt>
                <c:pt idx="751">
                  <c:v>-0.27619460225105302</c:v>
                </c:pt>
                <c:pt idx="752">
                  <c:v>-0.27558097243308999</c:v>
                </c:pt>
                <c:pt idx="753">
                  <c:v>-0.27508056163787797</c:v>
                </c:pt>
                <c:pt idx="754">
                  <c:v>-0.274591624736786</c:v>
                </c:pt>
                <c:pt idx="755">
                  <c:v>-0.27405518293380698</c:v>
                </c:pt>
                <c:pt idx="756">
                  <c:v>-0.273504078388214</c:v>
                </c:pt>
                <c:pt idx="757">
                  <c:v>-0.27293261885643</c:v>
                </c:pt>
                <c:pt idx="758">
                  <c:v>-0.27259436249732999</c:v>
                </c:pt>
                <c:pt idx="759">
                  <c:v>-0.27209508419036899</c:v>
                </c:pt>
                <c:pt idx="760">
                  <c:v>-0.27165830135345498</c:v>
                </c:pt>
                <c:pt idx="761">
                  <c:v>-0.27109652757644698</c:v>
                </c:pt>
                <c:pt idx="762">
                  <c:v>-0.27051666378974898</c:v>
                </c:pt>
                <c:pt idx="763">
                  <c:v>-0.27002483606338501</c:v>
                </c:pt>
                <c:pt idx="764">
                  <c:v>-0.26956978440284701</c:v>
                </c:pt>
                <c:pt idx="765">
                  <c:v>-0.26897019147872903</c:v>
                </c:pt>
                <c:pt idx="766">
                  <c:v>-0.26845678687095598</c:v>
                </c:pt>
                <c:pt idx="767">
                  <c:v>-0.26802405714988697</c:v>
                </c:pt>
                <c:pt idx="768">
                  <c:v>-0.26766154170036299</c:v>
                </c:pt>
                <c:pt idx="769">
                  <c:v>-0.26700127124786399</c:v>
                </c:pt>
                <c:pt idx="770">
                  <c:v>-0.266730606555939</c:v>
                </c:pt>
                <c:pt idx="771">
                  <c:v>-0.26608628034591703</c:v>
                </c:pt>
                <c:pt idx="772">
                  <c:v>-0.265665322542191</c:v>
                </c:pt>
                <c:pt idx="773">
                  <c:v>-0.26478776335716198</c:v>
                </c:pt>
                <c:pt idx="774">
                  <c:v>-0.26464745402336098</c:v>
                </c:pt>
                <c:pt idx="775">
                  <c:v>-0.26399478316307101</c:v>
                </c:pt>
                <c:pt idx="776">
                  <c:v>-0.263512283563614</c:v>
                </c:pt>
                <c:pt idx="777">
                  <c:v>-0.26307559013366699</c:v>
                </c:pt>
                <c:pt idx="778">
                  <c:v>-0.26268646121025102</c:v>
                </c:pt>
                <c:pt idx="779">
                  <c:v>-0.26224386692047102</c:v>
                </c:pt>
                <c:pt idx="780">
                  <c:v>-0.261753380298615</c:v>
                </c:pt>
                <c:pt idx="781">
                  <c:v>-0.26094228029251099</c:v>
                </c:pt>
                <c:pt idx="782">
                  <c:v>-0.26061552762985202</c:v>
                </c:pt>
                <c:pt idx="783">
                  <c:v>-0.259916841983795</c:v>
                </c:pt>
                <c:pt idx="784">
                  <c:v>-0.25957673788070701</c:v>
                </c:pt>
                <c:pt idx="785">
                  <c:v>-0.258999824523926</c:v>
                </c:pt>
                <c:pt idx="786">
                  <c:v>-0.25875112414360002</c:v>
                </c:pt>
                <c:pt idx="787">
                  <c:v>-0.25819966197013899</c:v>
                </c:pt>
                <c:pt idx="788">
                  <c:v>-0.25762927532196001</c:v>
                </c:pt>
                <c:pt idx="789">
                  <c:v>-0.25709080696106001</c:v>
                </c:pt>
                <c:pt idx="790">
                  <c:v>-0.25660750269889798</c:v>
                </c:pt>
                <c:pt idx="791">
                  <c:v>-0.25622463226318398</c:v>
                </c:pt>
                <c:pt idx="792">
                  <c:v>-0.25557580590248102</c:v>
                </c:pt>
                <c:pt idx="793">
                  <c:v>-0.25496220588684099</c:v>
                </c:pt>
                <c:pt idx="794">
                  <c:v>-0.25456240773201</c:v>
                </c:pt>
                <c:pt idx="795">
                  <c:v>-0.25412005186080899</c:v>
                </c:pt>
                <c:pt idx="796">
                  <c:v>-0.25354373455047602</c:v>
                </c:pt>
                <c:pt idx="797">
                  <c:v>-0.253133505582809</c:v>
                </c:pt>
                <c:pt idx="798">
                  <c:v>-0.25267228484153698</c:v>
                </c:pt>
                <c:pt idx="799">
                  <c:v>-0.25195014476776101</c:v>
                </c:pt>
                <c:pt idx="800">
                  <c:v>-0.251557886600494</c:v>
                </c:pt>
                <c:pt idx="801">
                  <c:v>-0.25100037455558799</c:v>
                </c:pt>
                <c:pt idx="802">
                  <c:v>-0.25054872035980202</c:v>
                </c:pt>
                <c:pt idx="803">
                  <c:v>-0.25016283988952598</c:v>
                </c:pt>
                <c:pt idx="804">
                  <c:v>-0.249527797102928</c:v>
                </c:pt>
                <c:pt idx="805">
                  <c:v>-0.24918664991855599</c:v>
                </c:pt>
                <c:pt idx="806">
                  <c:v>-0.248678639531136</c:v>
                </c:pt>
                <c:pt idx="807">
                  <c:v>-0.24809733033180201</c:v>
                </c:pt>
                <c:pt idx="808">
                  <c:v>-0.247623860836029</c:v>
                </c:pt>
                <c:pt idx="809">
                  <c:v>-0.24714776873588601</c:v>
                </c:pt>
                <c:pt idx="810">
                  <c:v>-0.246591165661812</c:v>
                </c:pt>
                <c:pt idx="811">
                  <c:v>-0.246139451861382</c:v>
                </c:pt>
                <c:pt idx="812">
                  <c:v>-0.24567842483520499</c:v>
                </c:pt>
                <c:pt idx="813">
                  <c:v>-0.24498297274112699</c:v>
                </c:pt>
                <c:pt idx="814">
                  <c:v>-0.244580402970314</c:v>
                </c:pt>
                <c:pt idx="815">
                  <c:v>-0.24409539997577701</c:v>
                </c:pt>
                <c:pt idx="816">
                  <c:v>-0.243564337491989</c:v>
                </c:pt>
                <c:pt idx="817">
                  <c:v>-0.243153586983681</c:v>
                </c:pt>
                <c:pt idx="818">
                  <c:v>-0.242693111300468</c:v>
                </c:pt>
                <c:pt idx="819">
                  <c:v>-0.24198582768440199</c:v>
                </c:pt>
                <c:pt idx="820">
                  <c:v>-0.241660341620445</c:v>
                </c:pt>
                <c:pt idx="821">
                  <c:v>-0.24102458357810999</c:v>
                </c:pt>
                <c:pt idx="822">
                  <c:v>-0.24057579040527299</c:v>
                </c:pt>
                <c:pt idx="823">
                  <c:v>-0.240045800805092</c:v>
                </c:pt>
                <c:pt idx="824">
                  <c:v>-0.23965577781200401</c:v>
                </c:pt>
                <c:pt idx="825">
                  <c:v>-0.23916178941726701</c:v>
                </c:pt>
                <c:pt idx="826">
                  <c:v>-0.23864021897316001</c:v>
                </c:pt>
                <c:pt idx="827">
                  <c:v>-0.23816861212253601</c:v>
                </c:pt>
                <c:pt idx="828">
                  <c:v>-0.237564206123352</c:v>
                </c:pt>
                <c:pt idx="829">
                  <c:v>-0.23730228841304801</c:v>
                </c:pt>
                <c:pt idx="830">
                  <c:v>-0.23650069534778601</c:v>
                </c:pt>
                <c:pt idx="831">
                  <c:v>-0.235919713973999</c:v>
                </c:pt>
                <c:pt idx="832">
                  <c:v>-0.23567572236061099</c:v>
                </c:pt>
                <c:pt idx="833">
                  <c:v>-0.234966680407524</c:v>
                </c:pt>
                <c:pt idx="834">
                  <c:v>-0.23447781801223799</c:v>
                </c:pt>
                <c:pt idx="835">
                  <c:v>-0.23414906859397899</c:v>
                </c:pt>
                <c:pt idx="836">
                  <c:v>-0.23378242552280401</c:v>
                </c:pt>
                <c:pt idx="837">
                  <c:v>-0.23315387964248699</c:v>
                </c:pt>
                <c:pt idx="838">
                  <c:v>-0.23266483843326599</c:v>
                </c:pt>
                <c:pt idx="839">
                  <c:v>-0.232005804777145</c:v>
                </c:pt>
                <c:pt idx="840">
                  <c:v>-0.23143234848976099</c:v>
                </c:pt>
                <c:pt idx="841">
                  <c:v>-0.23107175529003099</c:v>
                </c:pt>
                <c:pt idx="842">
                  <c:v>-0.23067213594913499</c:v>
                </c:pt>
                <c:pt idx="843">
                  <c:v>-0.230176001787186</c:v>
                </c:pt>
                <c:pt idx="844">
                  <c:v>-0.22971384227275801</c:v>
                </c:pt>
                <c:pt idx="845">
                  <c:v>-0.22900766134262099</c:v>
                </c:pt>
                <c:pt idx="846">
                  <c:v>-0.22856880724430101</c:v>
                </c:pt>
                <c:pt idx="847">
                  <c:v>-0.22808511555194899</c:v>
                </c:pt>
                <c:pt idx="848">
                  <c:v>-0.22768777608871499</c:v>
                </c:pt>
                <c:pt idx="849">
                  <c:v>-0.226986899971962</c:v>
                </c:pt>
                <c:pt idx="850">
                  <c:v>-0.22650660574436199</c:v>
                </c:pt>
                <c:pt idx="851">
                  <c:v>-0.22608707845211001</c:v>
                </c:pt>
                <c:pt idx="852">
                  <c:v>-0.22571168839931499</c:v>
                </c:pt>
                <c:pt idx="853">
                  <c:v>-0.225105300545692</c:v>
                </c:pt>
                <c:pt idx="854">
                  <c:v>-0.22463147342205</c:v>
                </c:pt>
                <c:pt idx="855">
                  <c:v>-0.224114045500755</c:v>
                </c:pt>
                <c:pt idx="856">
                  <c:v>-0.22356589138507801</c:v>
                </c:pt>
                <c:pt idx="857">
                  <c:v>-0.22305607795715299</c:v>
                </c:pt>
                <c:pt idx="858">
                  <c:v>-0.22254925966262801</c:v>
                </c:pt>
                <c:pt idx="859">
                  <c:v>-0.22216637432575201</c:v>
                </c:pt>
                <c:pt idx="860">
                  <c:v>-0.22155152261257199</c:v>
                </c:pt>
                <c:pt idx="861">
                  <c:v>-0.22108854353427901</c:v>
                </c:pt>
                <c:pt idx="862">
                  <c:v>-0.220698267221451</c:v>
                </c:pt>
                <c:pt idx="863">
                  <c:v>-0.22015632688999201</c:v>
                </c:pt>
                <c:pt idx="864">
                  <c:v>-0.21952250599861101</c:v>
                </c:pt>
                <c:pt idx="865">
                  <c:v>-0.21916525065898901</c:v>
                </c:pt>
                <c:pt idx="866">
                  <c:v>-0.218593865633011</c:v>
                </c:pt>
                <c:pt idx="867">
                  <c:v>-0.21806284785270699</c:v>
                </c:pt>
                <c:pt idx="868">
                  <c:v>-0.217689424753189</c:v>
                </c:pt>
                <c:pt idx="869">
                  <c:v>-0.217188149690628</c:v>
                </c:pt>
                <c:pt idx="870">
                  <c:v>-0.216491714119911</c:v>
                </c:pt>
                <c:pt idx="871">
                  <c:v>-0.216153308749199</c:v>
                </c:pt>
                <c:pt idx="872">
                  <c:v>-0.21558828651905099</c:v>
                </c:pt>
                <c:pt idx="873">
                  <c:v>-0.21513050794601399</c:v>
                </c:pt>
                <c:pt idx="874">
                  <c:v>-0.21461302042007399</c:v>
                </c:pt>
                <c:pt idx="875">
                  <c:v>-0.214008554816246</c:v>
                </c:pt>
                <c:pt idx="876">
                  <c:v>-0.213679954409599</c:v>
                </c:pt>
                <c:pt idx="877">
                  <c:v>-0.21310527622699699</c:v>
                </c:pt>
                <c:pt idx="878">
                  <c:v>-0.212660238146782</c:v>
                </c:pt>
                <c:pt idx="879">
                  <c:v>-0.212125644087791</c:v>
                </c:pt>
                <c:pt idx="880">
                  <c:v>-0.211838364601135</c:v>
                </c:pt>
                <c:pt idx="881">
                  <c:v>-0.21119843423366499</c:v>
                </c:pt>
                <c:pt idx="882">
                  <c:v>-0.21056552231311801</c:v>
                </c:pt>
                <c:pt idx="883">
                  <c:v>-0.21020066738128701</c:v>
                </c:pt>
                <c:pt idx="884">
                  <c:v>-0.20935440063476601</c:v>
                </c:pt>
                <c:pt idx="885">
                  <c:v>-0.20904223620891599</c:v>
                </c:pt>
                <c:pt idx="886">
                  <c:v>-0.20855659246444699</c:v>
                </c:pt>
                <c:pt idx="887">
                  <c:v>-0.20828802883625</c:v>
                </c:pt>
                <c:pt idx="888">
                  <c:v>-0.20772802829742401</c:v>
                </c:pt>
                <c:pt idx="889">
                  <c:v>-0.207190856337547</c:v>
                </c:pt>
                <c:pt idx="890">
                  <c:v>-0.206723362207413</c:v>
                </c:pt>
                <c:pt idx="891">
                  <c:v>-0.206179559230804</c:v>
                </c:pt>
                <c:pt idx="892">
                  <c:v>-0.20569835603237199</c:v>
                </c:pt>
                <c:pt idx="893">
                  <c:v>-0.20507894456386599</c:v>
                </c:pt>
                <c:pt idx="894">
                  <c:v>-0.20452696084976199</c:v>
                </c:pt>
                <c:pt idx="895">
                  <c:v>-0.20412622392177601</c:v>
                </c:pt>
                <c:pt idx="896">
                  <c:v>-0.203647956252098</c:v>
                </c:pt>
                <c:pt idx="897">
                  <c:v>-0.20329168438911399</c:v>
                </c:pt>
                <c:pt idx="898">
                  <c:v>-0.20274788141250599</c:v>
                </c:pt>
                <c:pt idx="899">
                  <c:v>-0.202224090695381</c:v>
                </c:pt>
                <c:pt idx="900">
                  <c:v>-0.20165903866290999</c:v>
                </c:pt>
                <c:pt idx="901">
                  <c:v>-0.20097535848617601</c:v>
                </c:pt>
                <c:pt idx="902">
                  <c:v>-0.200653806328773</c:v>
                </c:pt>
                <c:pt idx="903">
                  <c:v>-0.200059279799461</c:v>
                </c:pt>
                <c:pt idx="904">
                  <c:v>-0.19956973195076</c:v>
                </c:pt>
                <c:pt idx="905">
                  <c:v>-0.19917184114456199</c:v>
                </c:pt>
                <c:pt idx="906">
                  <c:v>-0.19870635867118799</c:v>
                </c:pt>
                <c:pt idx="907">
                  <c:v>-0.19816158711910201</c:v>
                </c:pt>
                <c:pt idx="908">
                  <c:v>-0.197646498680115</c:v>
                </c:pt>
                <c:pt idx="909">
                  <c:v>-0.196964606642723</c:v>
                </c:pt>
                <c:pt idx="910">
                  <c:v>-0.19665721058845501</c:v>
                </c:pt>
                <c:pt idx="911">
                  <c:v>-0.19619917869567899</c:v>
                </c:pt>
                <c:pt idx="912">
                  <c:v>-0.19553148746490501</c:v>
                </c:pt>
                <c:pt idx="913">
                  <c:v>-0.195139169692993</c:v>
                </c:pt>
                <c:pt idx="914">
                  <c:v>-0.19464722275733901</c:v>
                </c:pt>
                <c:pt idx="915">
                  <c:v>-0.19405670464038799</c:v>
                </c:pt>
                <c:pt idx="916">
                  <c:v>-0.19362759590148901</c:v>
                </c:pt>
                <c:pt idx="917">
                  <c:v>-0.193208798766136</c:v>
                </c:pt>
                <c:pt idx="918">
                  <c:v>-0.19264532625675199</c:v>
                </c:pt>
                <c:pt idx="919">
                  <c:v>-0.192207992076874</c:v>
                </c:pt>
                <c:pt idx="920">
                  <c:v>-0.19158673286437999</c:v>
                </c:pt>
                <c:pt idx="921">
                  <c:v>-0.19115401804447199</c:v>
                </c:pt>
                <c:pt idx="922">
                  <c:v>-0.19064934551715901</c:v>
                </c:pt>
                <c:pt idx="923">
                  <c:v>-0.19019575417041801</c:v>
                </c:pt>
                <c:pt idx="924">
                  <c:v>-0.18948967754840901</c:v>
                </c:pt>
                <c:pt idx="925">
                  <c:v>-0.189056366682053</c:v>
                </c:pt>
                <c:pt idx="926">
                  <c:v>-0.18873475492000599</c:v>
                </c:pt>
                <c:pt idx="927">
                  <c:v>-0.18803915381431599</c:v>
                </c:pt>
                <c:pt idx="928">
                  <c:v>-0.18776820600032801</c:v>
                </c:pt>
                <c:pt idx="929">
                  <c:v>-0.187230259180069</c:v>
                </c:pt>
                <c:pt idx="930">
                  <c:v>-0.18678602576255801</c:v>
                </c:pt>
                <c:pt idx="931">
                  <c:v>-0.18631158769130701</c:v>
                </c:pt>
                <c:pt idx="932">
                  <c:v>-0.185606479644775</c:v>
                </c:pt>
                <c:pt idx="933">
                  <c:v>-0.18506036698818201</c:v>
                </c:pt>
                <c:pt idx="934">
                  <c:v>-0.184515416622162</c:v>
                </c:pt>
                <c:pt idx="935">
                  <c:v>-0.18405540287494701</c:v>
                </c:pt>
                <c:pt idx="936">
                  <c:v>-0.18355947732925401</c:v>
                </c:pt>
                <c:pt idx="937">
                  <c:v>-0.183247551321983</c:v>
                </c:pt>
                <c:pt idx="938">
                  <c:v>-0.18287643790245101</c:v>
                </c:pt>
                <c:pt idx="939">
                  <c:v>-0.18204963207244901</c:v>
                </c:pt>
                <c:pt idx="940">
                  <c:v>-0.18167944252491</c:v>
                </c:pt>
                <c:pt idx="941">
                  <c:v>-0.18128219246864299</c:v>
                </c:pt>
                <c:pt idx="942">
                  <c:v>-0.180632144212723</c:v>
                </c:pt>
                <c:pt idx="943">
                  <c:v>-0.18024824559688599</c:v>
                </c:pt>
                <c:pt idx="944">
                  <c:v>-0.179468274116516</c:v>
                </c:pt>
                <c:pt idx="945">
                  <c:v>-0.17901526391506201</c:v>
                </c:pt>
                <c:pt idx="946">
                  <c:v>-0.17869310081005099</c:v>
                </c:pt>
                <c:pt idx="947">
                  <c:v>-0.17826999723911299</c:v>
                </c:pt>
                <c:pt idx="948">
                  <c:v>-0.177745416760445</c:v>
                </c:pt>
                <c:pt idx="949">
                  <c:v>-0.17729149758815799</c:v>
                </c:pt>
                <c:pt idx="950">
                  <c:v>-0.176815494894981</c:v>
                </c:pt>
                <c:pt idx="951">
                  <c:v>-0.17602387070655801</c:v>
                </c:pt>
                <c:pt idx="952">
                  <c:v>-0.175616204738617</c:v>
                </c:pt>
                <c:pt idx="953">
                  <c:v>-0.17512047290801999</c:v>
                </c:pt>
                <c:pt idx="954">
                  <c:v>-0.17446953058242801</c:v>
                </c:pt>
                <c:pt idx="955">
                  <c:v>-0.174193724989891</c:v>
                </c:pt>
                <c:pt idx="956">
                  <c:v>-0.173699826002121</c:v>
                </c:pt>
                <c:pt idx="957">
                  <c:v>-0.17316877841949499</c:v>
                </c:pt>
                <c:pt idx="958">
                  <c:v>-0.17266623675823201</c:v>
                </c:pt>
                <c:pt idx="959">
                  <c:v>-0.17215636372566201</c:v>
                </c:pt>
                <c:pt idx="960">
                  <c:v>-0.17166328430175801</c:v>
                </c:pt>
                <c:pt idx="961">
                  <c:v>-0.171130105853081</c:v>
                </c:pt>
                <c:pt idx="962">
                  <c:v>-0.17073173820972401</c:v>
                </c:pt>
                <c:pt idx="963">
                  <c:v>-0.17004428803920699</c:v>
                </c:pt>
                <c:pt idx="964">
                  <c:v>-0.16964045166969299</c:v>
                </c:pt>
                <c:pt idx="965">
                  <c:v>-0.16916881501674699</c:v>
                </c:pt>
                <c:pt idx="966">
                  <c:v>-0.16867791116237599</c:v>
                </c:pt>
                <c:pt idx="967">
                  <c:v>-0.16824528574943501</c:v>
                </c:pt>
                <c:pt idx="968">
                  <c:v>-0.167770281434059</c:v>
                </c:pt>
                <c:pt idx="969">
                  <c:v>-0.16713754832744601</c:v>
                </c:pt>
                <c:pt idx="970">
                  <c:v>-0.16675178706645999</c:v>
                </c:pt>
                <c:pt idx="971">
                  <c:v>-0.16618666052818301</c:v>
                </c:pt>
                <c:pt idx="972">
                  <c:v>-0.165681913495064</c:v>
                </c:pt>
                <c:pt idx="973">
                  <c:v>-0.165128618478775</c:v>
                </c:pt>
                <c:pt idx="974">
                  <c:v>-0.164684727787971</c:v>
                </c:pt>
                <c:pt idx="975">
                  <c:v>-0.164135202765465</c:v>
                </c:pt>
                <c:pt idx="976">
                  <c:v>-0.16359964013099701</c:v>
                </c:pt>
                <c:pt idx="977">
                  <c:v>-0.16316942870616899</c:v>
                </c:pt>
                <c:pt idx="978">
                  <c:v>-0.16255991160869601</c:v>
                </c:pt>
                <c:pt idx="979">
                  <c:v>-0.162314623594284</c:v>
                </c:pt>
                <c:pt idx="980">
                  <c:v>-0.161762475967407</c:v>
                </c:pt>
                <c:pt idx="981">
                  <c:v>-0.16130594909191101</c:v>
                </c:pt>
                <c:pt idx="982">
                  <c:v>-0.16074393689632399</c:v>
                </c:pt>
                <c:pt idx="983">
                  <c:v>-0.160224243998528</c:v>
                </c:pt>
                <c:pt idx="984">
                  <c:v>-0.15960732102394101</c:v>
                </c:pt>
                <c:pt idx="985">
                  <c:v>-0.15909005701541901</c:v>
                </c:pt>
                <c:pt idx="986">
                  <c:v>-0.15863502025604201</c:v>
                </c:pt>
                <c:pt idx="987">
                  <c:v>-0.158153891563416</c:v>
                </c:pt>
                <c:pt idx="988">
                  <c:v>-0.15748909115791301</c:v>
                </c:pt>
                <c:pt idx="989">
                  <c:v>-0.15731015801429701</c:v>
                </c:pt>
                <c:pt idx="990">
                  <c:v>-0.15663895010948201</c:v>
                </c:pt>
                <c:pt idx="991">
                  <c:v>-0.156195878982544</c:v>
                </c:pt>
                <c:pt idx="992">
                  <c:v>-0.15575577318668399</c:v>
                </c:pt>
                <c:pt idx="993">
                  <c:v>-0.155285283923149</c:v>
                </c:pt>
                <c:pt idx="994">
                  <c:v>-0.15480282902717599</c:v>
                </c:pt>
                <c:pt idx="995">
                  <c:v>-0.15417169034480999</c:v>
                </c:pt>
                <c:pt idx="996">
                  <c:v>-0.153642028570175</c:v>
                </c:pt>
                <c:pt idx="997">
                  <c:v>-0.15301874279975899</c:v>
                </c:pt>
                <c:pt idx="998">
                  <c:v>-0.15260399878025099</c:v>
                </c:pt>
                <c:pt idx="999">
                  <c:v>-0.152202159166336</c:v>
                </c:pt>
                <c:pt idx="1000">
                  <c:v>-0.15162551403045699</c:v>
                </c:pt>
                <c:pt idx="1001">
                  <c:v>-0.151163309812546</c:v>
                </c:pt>
                <c:pt idx="1002">
                  <c:v>-0.150740310549736</c:v>
                </c:pt>
                <c:pt idx="1003">
                  <c:v>-0.15014754235744501</c:v>
                </c:pt>
                <c:pt idx="1004">
                  <c:v>-0.14975208044052099</c:v>
                </c:pt>
                <c:pt idx="1005">
                  <c:v>-0.14918296039104501</c:v>
                </c:pt>
                <c:pt idx="1006">
                  <c:v>-0.14871209859848</c:v>
                </c:pt>
                <c:pt idx="1007">
                  <c:v>-0.148184403777122</c:v>
                </c:pt>
                <c:pt idx="1008">
                  <c:v>-0.14775268733501401</c:v>
                </c:pt>
                <c:pt idx="1009">
                  <c:v>-0.14715392887592299</c:v>
                </c:pt>
                <c:pt idx="1010">
                  <c:v>-0.146549552679062</c:v>
                </c:pt>
                <c:pt idx="1011">
                  <c:v>-0.14620083570480299</c:v>
                </c:pt>
                <c:pt idx="1012">
                  <c:v>-0.145771279931068</c:v>
                </c:pt>
                <c:pt idx="1013">
                  <c:v>-0.14510239660739899</c:v>
                </c:pt>
                <c:pt idx="1014">
                  <c:v>-0.14476746320724501</c:v>
                </c:pt>
                <c:pt idx="1015">
                  <c:v>-0.14411321282386799</c:v>
                </c:pt>
                <c:pt idx="1016">
                  <c:v>-0.14368277788162201</c:v>
                </c:pt>
                <c:pt idx="1017">
                  <c:v>-0.143195331096649</c:v>
                </c:pt>
                <c:pt idx="1018">
                  <c:v>-0.142693981528282</c:v>
                </c:pt>
                <c:pt idx="1019">
                  <c:v>-0.142263174057007</c:v>
                </c:pt>
                <c:pt idx="1020">
                  <c:v>-0.14165587723255199</c:v>
                </c:pt>
                <c:pt idx="1021">
                  <c:v>-0.141223520040512</c:v>
                </c:pt>
                <c:pt idx="1022">
                  <c:v>-0.14056409895420099</c:v>
                </c:pt>
                <c:pt idx="1023">
                  <c:v>-0.14014096558094</c:v>
                </c:pt>
                <c:pt idx="1024">
                  <c:v>-0.13969452679157299</c:v>
                </c:pt>
                <c:pt idx="1025">
                  <c:v>-0.13907882571220401</c:v>
                </c:pt>
                <c:pt idx="1026">
                  <c:v>-0.13875845074653601</c:v>
                </c:pt>
                <c:pt idx="1027">
                  <c:v>-0.138289794325829</c:v>
                </c:pt>
                <c:pt idx="1028">
                  <c:v>-0.137560695409775</c:v>
                </c:pt>
                <c:pt idx="1029">
                  <c:v>-0.13734404742717701</c:v>
                </c:pt>
                <c:pt idx="1030">
                  <c:v>-0.13678430020809201</c:v>
                </c:pt>
                <c:pt idx="1031">
                  <c:v>-0.136351883411407</c:v>
                </c:pt>
                <c:pt idx="1032">
                  <c:v>-0.135753229260445</c:v>
                </c:pt>
                <c:pt idx="1033">
                  <c:v>-0.13511079549789401</c:v>
                </c:pt>
                <c:pt idx="1034">
                  <c:v>-0.13472348451614399</c:v>
                </c:pt>
                <c:pt idx="1035">
                  <c:v>-0.13412983715534199</c:v>
                </c:pt>
                <c:pt idx="1036">
                  <c:v>-0.133695483207703</c:v>
                </c:pt>
                <c:pt idx="1037">
                  <c:v>-0.13310158252716101</c:v>
                </c:pt>
                <c:pt idx="1038">
                  <c:v>-0.13267758488655099</c:v>
                </c:pt>
                <c:pt idx="1039">
                  <c:v>-0.13216453790664701</c:v>
                </c:pt>
                <c:pt idx="1040">
                  <c:v>-0.13155588507652299</c:v>
                </c:pt>
                <c:pt idx="1041">
                  <c:v>-0.13113929331302601</c:v>
                </c:pt>
                <c:pt idx="1042">
                  <c:v>-0.13080832362174999</c:v>
                </c:pt>
                <c:pt idx="1043">
                  <c:v>-0.130149215459824</c:v>
                </c:pt>
                <c:pt idx="1044">
                  <c:v>-0.12980757653713201</c:v>
                </c:pt>
                <c:pt idx="1045">
                  <c:v>-0.12928166985511799</c:v>
                </c:pt>
                <c:pt idx="1046">
                  <c:v>-0.12865428626537301</c:v>
                </c:pt>
                <c:pt idx="1047">
                  <c:v>-0.128241792321205</c:v>
                </c:pt>
                <c:pt idx="1048">
                  <c:v>-0.127743884921074</c:v>
                </c:pt>
                <c:pt idx="1049">
                  <c:v>-0.12720614671707201</c:v>
                </c:pt>
                <c:pt idx="1050">
                  <c:v>-0.12671194970607799</c:v>
                </c:pt>
                <c:pt idx="1051">
                  <c:v>-0.126223385334015</c:v>
                </c:pt>
                <c:pt idx="1052">
                  <c:v>-0.12565717101097101</c:v>
                </c:pt>
                <c:pt idx="1053">
                  <c:v>-0.12520018219947801</c:v>
                </c:pt>
                <c:pt idx="1054">
                  <c:v>-0.12465023994445799</c:v>
                </c:pt>
                <c:pt idx="1055">
                  <c:v>-0.124234601855278</c:v>
                </c:pt>
                <c:pt idx="1056">
                  <c:v>-0.123601451516151</c:v>
                </c:pt>
                <c:pt idx="1057">
                  <c:v>-0.123250767588615</c:v>
                </c:pt>
                <c:pt idx="1058">
                  <c:v>-0.122653968632221</c:v>
                </c:pt>
                <c:pt idx="1059">
                  <c:v>-0.12209957838058499</c:v>
                </c:pt>
                <c:pt idx="1060">
                  <c:v>-0.121744334697723</c:v>
                </c:pt>
                <c:pt idx="1061">
                  <c:v>-0.121250241994858</c:v>
                </c:pt>
                <c:pt idx="1062">
                  <c:v>-0.12065973877906799</c:v>
                </c:pt>
                <c:pt idx="1063">
                  <c:v>-0.120209120213985</c:v>
                </c:pt>
                <c:pt idx="1064">
                  <c:v>-0.119597651064396</c:v>
                </c:pt>
                <c:pt idx="1065">
                  <c:v>-0.119095914065838</c:v>
                </c:pt>
                <c:pt idx="1066">
                  <c:v>-0.118724837899208</c:v>
                </c:pt>
                <c:pt idx="1067">
                  <c:v>-0.11828824877739</c:v>
                </c:pt>
                <c:pt idx="1068">
                  <c:v>-0.117609918117523</c:v>
                </c:pt>
                <c:pt idx="1069">
                  <c:v>-0.117423363029957</c:v>
                </c:pt>
                <c:pt idx="1070">
                  <c:v>-0.116962872445583</c:v>
                </c:pt>
                <c:pt idx="1071">
                  <c:v>-0.11605127900838901</c:v>
                </c:pt>
                <c:pt idx="1072">
                  <c:v>-0.115672670304775</c:v>
                </c:pt>
                <c:pt idx="1073">
                  <c:v>-0.115276321768761</c:v>
                </c:pt>
                <c:pt idx="1074">
                  <c:v>-0.114691026508808</c:v>
                </c:pt>
                <c:pt idx="1075">
                  <c:v>-0.11406559497118</c:v>
                </c:pt>
                <c:pt idx="1076">
                  <c:v>-0.113812237977982</c:v>
                </c:pt>
                <c:pt idx="1077">
                  <c:v>-0.11311145871877699</c:v>
                </c:pt>
                <c:pt idx="1078">
                  <c:v>-0.112771920859814</c:v>
                </c:pt>
                <c:pt idx="1079">
                  <c:v>-0.11233779788017299</c:v>
                </c:pt>
                <c:pt idx="1080">
                  <c:v>-0.11170902103185699</c:v>
                </c:pt>
                <c:pt idx="1081">
                  <c:v>-0.111367031931877</c:v>
                </c:pt>
                <c:pt idx="1082">
                  <c:v>-0.110935918986797</c:v>
                </c:pt>
                <c:pt idx="1083">
                  <c:v>-0.11012212932109799</c:v>
                </c:pt>
                <c:pt idx="1084">
                  <c:v>-0.109659649431705</c:v>
                </c:pt>
                <c:pt idx="1085">
                  <c:v>-0.109185636043549</c:v>
                </c:pt>
                <c:pt idx="1086">
                  <c:v>-0.108636602759361</c:v>
                </c:pt>
                <c:pt idx="1087">
                  <c:v>-0.108126811683178</c:v>
                </c:pt>
                <c:pt idx="1088">
                  <c:v>-0.107728205621243</c:v>
                </c:pt>
                <c:pt idx="1089">
                  <c:v>-0.107234939932823</c:v>
                </c:pt>
                <c:pt idx="1090">
                  <c:v>-0.106680430471897</c:v>
                </c:pt>
                <c:pt idx="1091">
                  <c:v>-0.106283232569695</c:v>
                </c:pt>
                <c:pt idx="1092">
                  <c:v>-0.105662941932678</c:v>
                </c:pt>
                <c:pt idx="1093">
                  <c:v>-0.105185687541962</c:v>
                </c:pt>
                <c:pt idx="1094">
                  <c:v>-0.10476841032504999</c:v>
                </c:pt>
                <c:pt idx="1095">
                  <c:v>-0.10426677018404</c:v>
                </c:pt>
                <c:pt idx="1096">
                  <c:v>-0.10357648879289599</c:v>
                </c:pt>
                <c:pt idx="1097">
                  <c:v>-0.10325748473405801</c:v>
                </c:pt>
                <c:pt idx="1098">
                  <c:v>-0.10262145847082101</c:v>
                </c:pt>
                <c:pt idx="1099">
                  <c:v>-0.10216121375560799</c:v>
                </c:pt>
                <c:pt idx="1100">
                  <c:v>-0.101684212684631</c:v>
                </c:pt>
                <c:pt idx="1101">
                  <c:v>-0.101222008466721</c:v>
                </c:pt>
                <c:pt idx="1102">
                  <c:v>-0.100628346204758</c:v>
                </c:pt>
                <c:pt idx="1103">
                  <c:v>-0.10018521547317499</c:v>
                </c:pt>
                <c:pt idx="1104">
                  <c:v>-9.9660553038120006E-2</c:v>
                </c:pt>
                <c:pt idx="1105">
                  <c:v>-9.9147237837314994E-2</c:v>
                </c:pt>
                <c:pt idx="1106">
                  <c:v>-9.8714664578437999E-2</c:v>
                </c:pt>
                <c:pt idx="1107">
                  <c:v>-9.8498508334160004E-2</c:v>
                </c:pt>
                <c:pt idx="1108">
                  <c:v>-9.7666293382645E-2</c:v>
                </c:pt>
                <c:pt idx="1109">
                  <c:v>-9.7319267690181996E-2</c:v>
                </c:pt>
                <c:pt idx="1110">
                  <c:v>-9.6850134432316007E-2</c:v>
                </c:pt>
                <c:pt idx="1111">
                  <c:v>-9.6140719950199002E-2</c:v>
                </c:pt>
                <c:pt idx="1112">
                  <c:v>-9.5759958028793002E-2</c:v>
                </c:pt>
                <c:pt idx="1113">
                  <c:v>-9.5114521682262004E-2</c:v>
                </c:pt>
                <c:pt idx="1114">
                  <c:v>-9.4721086323260997E-2</c:v>
                </c:pt>
                <c:pt idx="1115">
                  <c:v>-9.4249233603477006E-2</c:v>
                </c:pt>
                <c:pt idx="1116">
                  <c:v>-9.3846365809441001E-2</c:v>
                </c:pt>
                <c:pt idx="1117">
                  <c:v>-9.3288697302341003E-2</c:v>
                </c:pt>
                <c:pt idx="1118">
                  <c:v>-9.2704720795155002E-2</c:v>
                </c:pt>
                <c:pt idx="1119">
                  <c:v>-9.2378139495849998E-2</c:v>
                </c:pt>
                <c:pt idx="1120">
                  <c:v>-9.1924473643303001E-2</c:v>
                </c:pt>
                <c:pt idx="1121">
                  <c:v>-9.1226644814014005E-2</c:v>
                </c:pt>
                <c:pt idx="1122">
                  <c:v>-9.0846560895443004E-2</c:v>
                </c:pt>
                <c:pt idx="1123">
                  <c:v>-9.0172976255416995E-2</c:v>
                </c:pt>
                <c:pt idx="1124">
                  <c:v>-8.9802891016005998E-2</c:v>
                </c:pt>
                <c:pt idx="1125">
                  <c:v>-8.9269883930682997E-2</c:v>
                </c:pt>
                <c:pt idx="1126">
                  <c:v>-8.8690102100371995E-2</c:v>
                </c:pt>
                <c:pt idx="1127">
                  <c:v>-8.8036939501762002E-2</c:v>
                </c:pt>
                <c:pt idx="1128">
                  <c:v>-8.7713554501533994E-2</c:v>
                </c:pt>
                <c:pt idx="1129">
                  <c:v>-8.7263219058514002E-2</c:v>
                </c:pt>
                <c:pt idx="1130">
                  <c:v>-8.6770221590995997E-2</c:v>
                </c:pt>
                <c:pt idx="1131">
                  <c:v>-8.6157448589801996E-2</c:v>
                </c:pt>
                <c:pt idx="1132">
                  <c:v>-8.5856132209300995E-2</c:v>
                </c:pt>
                <c:pt idx="1133">
                  <c:v>-8.5176609456539001E-2</c:v>
                </c:pt>
                <c:pt idx="1134">
                  <c:v>-8.4720008075236997E-2</c:v>
                </c:pt>
                <c:pt idx="1135">
                  <c:v>-8.4347501397132998E-2</c:v>
                </c:pt>
                <c:pt idx="1136">
                  <c:v>-8.3670131862164002E-2</c:v>
                </c:pt>
                <c:pt idx="1137">
                  <c:v>-8.3216711878776994E-2</c:v>
                </c:pt>
                <c:pt idx="1138">
                  <c:v>-8.2807168364524994E-2</c:v>
                </c:pt>
                <c:pt idx="1139">
                  <c:v>-8.2159295678138997E-2</c:v>
                </c:pt>
                <c:pt idx="1140">
                  <c:v>-8.1736288964747994E-2</c:v>
                </c:pt>
                <c:pt idx="1141">
                  <c:v>-8.1176824867724998E-2</c:v>
                </c:pt>
                <c:pt idx="1142">
                  <c:v>-8.0667801201343994E-2</c:v>
                </c:pt>
                <c:pt idx="1143">
                  <c:v>-8.0128192901610995E-2</c:v>
                </c:pt>
                <c:pt idx="1144">
                  <c:v>-7.9585574567318004E-2</c:v>
                </c:pt>
                <c:pt idx="1145">
                  <c:v>-7.9292863607407005E-2</c:v>
                </c:pt>
                <c:pt idx="1146">
                  <c:v>-7.8620798885822005E-2</c:v>
                </c:pt>
                <c:pt idx="1147">
                  <c:v>-7.8317523002624997E-2</c:v>
                </c:pt>
                <c:pt idx="1148">
                  <c:v>-7.7870182693004997E-2</c:v>
                </c:pt>
                <c:pt idx="1149">
                  <c:v>-7.7268786728382E-2</c:v>
                </c:pt>
                <c:pt idx="1150">
                  <c:v>-7.6973117887973994E-2</c:v>
                </c:pt>
                <c:pt idx="1151">
                  <c:v>-7.6476283371449003E-2</c:v>
                </c:pt>
                <c:pt idx="1152">
                  <c:v>-7.5642853975296007E-2</c:v>
                </c:pt>
                <c:pt idx="1153">
                  <c:v>-7.5266368687153001E-2</c:v>
                </c:pt>
                <c:pt idx="1154">
                  <c:v>-7.4791371822356997E-2</c:v>
                </c:pt>
                <c:pt idx="1155">
                  <c:v>-7.4222147464752003E-2</c:v>
                </c:pt>
                <c:pt idx="1156">
                  <c:v>-7.3748275637626995E-2</c:v>
                </c:pt>
                <c:pt idx="1157">
                  <c:v>-7.3126263916492004E-2</c:v>
                </c:pt>
                <c:pt idx="1158">
                  <c:v>-7.2694256901741E-2</c:v>
                </c:pt>
                <c:pt idx="1159">
                  <c:v>-7.2178155183792003E-2</c:v>
                </c:pt>
                <c:pt idx="1160">
                  <c:v>-7.1785174310207006E-2</c:v>
                </c:pt>
                <c:pt idx="1161">
                  <c:v>-7.1161553263663996E-2</c:v>
                </c:pt>
                <c:pt idx="1162">
                  <c:v>-7.0857293903828E-2</c:v>
                </c:pt>
                <c:pt idx="1163">
                  <c:v>-7.0405654609203006E-2</c:v>
                </c:pt>
                <c:pt idx="1164">
                  <c:v>-6.9844990968704002E-2</c:v>
                </c:pt>
                <c:pt idx="1165">
                  <c:v>-6.9209903478622006E-2</c:v>
                </c:pt>
                <c:pt idx="1166">
                  <c:v>-6.8787880241871005E-2</c:v>
                </c:pt>
                <c:pt idx="1167">
                  <c:v>-6.8210199475288003E-2</c:v>
                </c:pt>
                <c:pt idx="1168">
                  <c:v>-6.7776732146740001E-2</c:v>
                </c:pt>
                <c:pt idx="1169">
                  <c:v>-6.7262105643749001E-2</c:v>
                </c:pt>
                <c:pt idx="1170">
                  <c:v>-6.6624015569687001E-2</c:v>
                </c:pt>
                <c:pt idx="1171">
                  <c:v>-6.6206559538840998E-2</c:v>
                </c:pt>
                <c:pt idx="1172">
                  <c:v>-6.5811082720757003E-2</c:v>
                </c:pt>
                <c:pt idx="1173">
                  <c:v>-6.5247930586338002E-2</c:v>
                </c:pt>
                <c:pt idx="1174">
                  <c:v>-6.4734965562820004E-2</c:v>
                </c:pt>
                <c:pt idx="1175">
                  <c:v>-6.4151957631111006E-2</c:v>
                </c:pt>
                <c:pt idx="1176">
                  <c:v>-6.3829451799393006E-2</c:v>
                </c:pt>
                <c:pt idx="1177">
                  <c:v>-6.3216798007488001E-2</c:v>
                </c:pt>
                <c:pt idx="1178">
                  <c:v>-6.2704898416996002E-2</c:v>
                </c:pt>
                <c:pt idx="1179">
                  <c:v>-6.2347508966923003E-2</c:v>
                </c:pt>
                <c:pt idx="1180">
                  <c:v>-6.1663638800383003E-2</c:v>
                </c:pt>
                <c:pt idx="1181">
                  <c:v>-6.1344545334577998E-2</c:v>
                </c:pt>
                <c:pt idx="1182">
                  <c:v>-6.0786012560128999E-2</c:v>
                </c:pt>
                <c:pt idx="1183">
                  <c:v>-6.0202918946742998E-2</c:v>
                </c:pt>
                <c:pt idx="1184">
                  <c:v>-5.9751238673924997E-2</c:v>
                </c:pt>
                <c:pt idx="1185">
                  <c:v>-5.9375956654548999E-2</c:v>
                </c:pt>
                <c:pt idx="1186">
                  <c:v>-5.8713257312774998E-2</c:v>
                </c:pt>
                <c:pt idx="1187">
                  <c:v>-5.8306150138377998E-2</c:v>
                </c:pt>
                <c:pt idx="1188">
                  <c:v>-5.7721957564353998E-2</c:v>
                </c:pt>
                <c:pt idx="1189">
                  <c:v>-5.7196229696273998E-2</c:v>
                </c:pt>
                <c:pt idx="1190">
                  <c:v>-5.6671630591154001E-2</c:v>
                </c:pt>
                <c:pt idx="1191">
                  <c:v>-5.6246198713778998E-2</c:v>
                </c:pt>
                <c:pt idx="1192">
                  <c:v>-5.5654786527157003E-2</c:v>
                </c:pt>
                <c:pt idx="1193">
                  <c:v>-5.5148418992757998E-2</c:v>
                </c:pt>
                <c:pt idx="1194">
                  <c:v>-5.4948754608631002E-2</c:v>
                </c:pt>
                <c:pt idx="1195">
                  <c:v>-5.4265934973955002E-2</c:v>
                </c:pt>
                <c:pt idx="1196">
                  <c:v>-5.3767897188662997E-2</c:v>
                </c:pt>
                <c:pt idx="1197">
                  <c:v>-5.3331986069678997E-2</c:v>
                </c:pt>
                <c:pt idx="1198">
                  <c:v>-5.2957542240619999E-2</c:v>
                </c:pt>
                <c:pt idx="1199">
                  <c:v>-5.2412018179893001E-2</c:v>
                </c:pt>
                <c:pt idx="1200">
                  <c:v>-5.1950410008430002E-2</c:v>
                </c:pt>
                <c:pt idx="1201">
                  <c:v>-5.1185090094805E-2</c:v>
                </c:pt>
                <c:pt idx="1202">
                  <c:v>-5.0784558057784999E-2</c:v>
                </c:pt>
                <c:pt idx="1203">
                  <c:v>-5.0199270248413003E-2</c:v>
                </c:pt>
                <c:pt idx="1204">
                  <c:v>-4.9766674637794002E-2</c:v>
                </c:pt>
                <c:pt idx="1205">
                  <c:v>-4.9212522804737001E-2</c:v>
                </c:pt>
                <c:pt idx="1206">
                  <c:v>-4.8660811036825E-2</c:v>
                </c:pt>
                <c:pt idx="1207">
                  <c:v>-4.8158355057239997E-2</c:v>
                </c:pt>
                <c:pt idx="1208">
                  <c:v>-4.7809708863497002E-2</c:v>
                </c:pt>
                <c:pt idx="1209">
                  <c:v>-4.7178935259581001E-2</c:v>
                </c:pt>
                <c:pt idx="1210">
                  <c:v>-4.6857532113790998E-2</c:v>
                </c:pt>
                <c:pt idx="1211">
                  <c:v>-4.6238481998443999E-2</c:v>
                </c:pt>
                <c:pt idx="1212">
                  <c:v>-4.5778416097164001E-2</c:v>
                </c:pt>
                <c:pt idx="1213">
                  <c:v>-4.5317243784665999E-2</c:v>
                </c:pt>
                <c:pt idx="1214">
                  <c:v>-4.4814702123404E-2</c:v>
                </c:pt>
                <c:pt idx="1215">
                  <c:v>-4.4273141771555002E-2</c:v>
                </c:pt>
                <c:pt idx="1216">
                  <c:v>-4.3775971978902997E-2</c:v>
                </c:pt>
                <c:pt idx="1217">
                  <c:v>-4.3239306658505998E-2</c:v>
                </c:pt>
                <c:pt idx="1218">
                  <c:v>-4.2776096612215E-2</c:v>
                </c:pt>
                <c:pt idx="1219">
                  <c:v>-4.2334269732237001E-2</c:v>
                </c:pt>
                <c:pt idx="1220">
                  <c:v>-4.1706524789332997E-2</c:v>
                </c:pt>
                <c:pt idx="1221">
                  <c:v>-4.1351232677697997E-2</c:v>
                </c:pt>
                <c:pt idx="1222">
                  <c:v>-4.0841430425643997E-2</c:v>
                </c:pt>
                <c:pt idx="1223">
                  <c:v>-4.0374930948019E-2</c:v>
                </c:pt>
                <c:pt idx="1224">
                  <c:v>-3.9863944053649999E-2</c:v>
                </c:pt>
                <c:pt idx="1225">
                  <c:v>-3.9236228913069E-2</c:v>
                </c:pt>
                <c:pt idx="1226">
                  <c:v>-3.8638483732939002E-2</c:v>
                </c:pt>
                <c:pt idx="1227">
                  <c:v>-3.8188859820366003E-2</c:v>
                </c:pt>
                <c:pt idx="1228">
                  <c:v>-3.7703271955251999E-2</c:v>
                </c:pt>
                <c:pt idx="1229">
                  <c:v>-3.7298567593097999E-2</c:v>
                </c:pt>
                <c:pt idx="1230">
                  <c:v>-3.6661308258772E-2</c:v>
                </c:pt>
                <c:pt idx="1231">
                  <c:v>-3.6349434405564998E-2</c:v>
                </c:pt>
                <c:pt idx="1232">
                  <c:v>-3.5866983234882001E-2</c:v>
                </c:pt>
                <c:pt idx="1233">
                  <c:v>-3.5242706537247002E-2</c:v>
                </c:pt>
                <c:pt idx="1234">
                  <c:v>-3.4851443022489999E-2</c:v>
                </c:pt>
                <c:pt idx="1235">
                  <c:v>-3.4447338432074003E-2</c:v>
                </c:pt>
                <c:pt idx="1236">
                  <c:v>-3.3941231667995002E-2</c:v>
                </c:pt>
                <c:pt idx="1237">
                  <c:v>-3.3470217138528997E-2</c:v>
                </c:pt>
                <c:pt idx="1238">
                  <c:v>-3.2681144773960003E-2</c:v>
                </c:pt>
                <c:pt idx="1239">
                  <c:v>-3.2404877245425998E-2</c:v>
                </c:pt>
                <c:pt idx="1240">
                  <c:v>-3.1785681843757997E-2</c:v>
                </c:pt>
                <c:pt idx="1241">
                  <c:v>-3.1212039291858999E-2</c:v>
                </c:pt>
                <c:pt idx="1242">
                  <c:v>-3.0842395499349001E-2</c:v>
                </c:pt>
                <c:pt idx="1243">
                  <c:v>-3.0188856646419002E-2</c:v>
                </c:pt>
                <c:pt idx="1244">
                  <c:v>-2.9742714017630002E-2</c:v>
                </c:pt>
                <c:pt idx="1245">
                  <c:v>-2.9262606054544001E-2</c:v>
                </c:pt>
                <c:pt idx="1246">
                  <c:v>-2.8730150312185E-2</c:v>
                </c:pt>
                <c:pt idx="1247">
                  <c:v>-2.8271079063415999E-2</c:v>
                </c:pt>
                <c:pt idx="1248">
                  <c:v>-2.7886597439646998E-2</c:v>
                </c:pt>
                <c:pt idx="1249">
                  <c:v>-2.7198411524296001E-2</c:v>
                </c:pt>
                <c:pt idx="1250">
                  <c:v>-2.6724310591816999E-2</c:v>
                </c:pt>
                <c:pt idx="1251">
                  <c:v>-2.6304693892598E-2</c:v>
                </c:pt>
                <c:pt idx="1252">
                  <c:v>-2.5777779519558001E-2</c:v>
                </c:pt>
                <c:pt idx="1253">
                  <c:v>-2.5191359221935002E-2</c:v>
                </c:pt>
                <c:pt idx="1254">
                  <c:v>-2.4833146482706001E-2</c:v>
                </c:pt>
                <c:pt idx="1255">
                  <c:v>-2.412629313767E-2</c:v>
                </c:pt>
                <c:pt idx="1256">
                  <c:v>-2.3779368028044999E-2</c:v>
                </c:pt>
                <c:pt idx="1257">
                  <c:v>-2.3241730406880001E-2</c:v>
                </c:pt>
                <c:pt idx="1258">
                  <c:v>-2.281603962183E-2</c:v>
                </c:pt>
                <c:pt idx="1259">
                  <c:v>-2.2383196279406999E-2</c:v>
                </c:pt>
                <c:pt idx="1260">
                  <c:v>-2.1828409284352999E-2</c:v>
                </c:pt>
                <c:pt idx="1261">
                  <c:v>-2.1413203328848E-2</c:v>
                </c:pt>
                <c:pt idx="1262">
                  <c:v>-2.0900268107653001E-2</c:v>
                </c:pt>
                <c:pt idx="1263">
                  <c:v>-2.0376518368721001E-2</c:v>
                </c:pt>
                <c:pt idx="1264">
                  <c:v>-1.9864285364746999E-2</c:v>
                </c:pt>
                <c:pt idx="1265">
                  <c:v>-1.9287625327706E-2</c:v>
                </c:pt>
                <c:pt idx="1266">
                  <c:v>-1.8915461376308999E-2</c:v>
                </c:pt>
                <c:pt idx="1267">
                  <c:v>-1.8513567745686001E-2</c:v>
                </c:pt>
                <c:pt idx="1268">
                  <c:v>-1.7785629257559998E-2</c:v>
                </c:pt>
                <c:pt idx="1269">
                  <c:v>-1.7222534865141002E-2</c:v>
                </c:pt>
                <c:pt idx="1270">
                  <c:v>-1.6812110319734001E-2</c:v>
                </c:pt>
                <c:pt idx="1271">
                  <c:v>-1.6226829960942001E-2</c:v>
                </c:pt>
                <c:pt idx="1272">
                  <c:v>-1.5823906287550999E-2</c:v>
                </c:pt>
                <c:pt idx="1273">
                  <c:v>-1.5355359762907E-2</c:v>
                </c:pt>
                <c:pt idx="1274">
                  <c:v>-1.4632578939199E-2</c:v>
                </c:pt>
                <c:pt idx="1275">
                  <c:v>-1.4210447669029E-2</c:v>
                </c:pt>
                <c:pt idx="1276">
                  <c:v>-1.3791896402836E-2</c:v>
                </c:pt>
                <c:pt idx="1277">
                  <c:v>-1.3169627636671E-2</c:v>
                </c:pt>
                <c:pt idx="1278">
                  <c:v>-1.2801598757505001E-2</c:v>
                </c:pt>
                <c:pt idx="1279">
                  <c:v>-1.2268522754312E-2</c:v>
                </c:pt>
                <c:pt idx="1280">
                  <c:v>-1.1801934801042E-2</c:v>
                </c:pt>
                <c:pt idx="1281">
                  <c:v>-1.1330243200064E-2</c:v>
                </c:pt>
                <c:pt idx="1282">
                  <c:v>-1.0840232484043E-2</c:v>
                </c:pt>
                <c:pt idx="1283">
                  <c:v>-1.0300702415407001E-2</c:v>
                </c:pt>
                <c:pt idx="1284">
                  <c:v>-9.8544694483280008E-3</c:v>
                </c:pt>
                <c:pt idx="1285">
                  <c:v>-9.3531170859930002E-3</c:v>
                </c:pt>
                <c:pt idx="1286">
                  <c:v>-8.8714370504019997E-3</c:v>
                </c:pt>
                <c:pt idx="1287">
                  <c:v>-8.2544786855580001E-3</c:v>
                </c:pt>
                <c:pt idx="1288">
                  <c:v>-7.8318128362300007E-3</c:v>
                </c:pt>
                <c:pt idx="1289">
                  <c:v>-7.2675058618190003E-3</c:v>
                </c:pt>
                <c:pt idx="1290">
                  <c:v>-6.8604340776799999E-3</c:v>
                </c:pt>
                <c:pt idx="1291">
                  <c:v>-6.342257373035E-3</c:v>
                </c:pt>
                <c:pt idx="1292">
                  <c:v>-5.728158634156E-3</c:v>
                </c:pt>
                <c:pt idx="1293">
                  <c:v>-5.2023674361410003E-3</c:v>
                </c:pt>
                <c:pt idx="1294">
                  <c:v>-4.7910348512229996E-3</c:v>
                </c:pt>
                <c:pt idx="1295">
                  <c:v>-4.1637746617200003E-3</c:v>
                </c:pt>
                <c:pt idx="1296">
                  <c:v>-3.8273497484620001E-3</c:v>
                </c:pt>
                <c:pt idx="1297">
                  <c:v>-3.4105542581529999E-3</c:v>
                </c:pt>
                <c:pt idx="1298">
                  <c:v>-2.8108400292690002E-3</c:v>
                </c:pt>
                <c:pt idx="1299">
                  <c:v>-2.4366830475629998E-3</c:v>
                </c:pt>
                <c:pt idx="1300">
                  <c:v>-1.758270547725E-3</c:v>
                </c:pt>
                <c:pt idx="1301">
                  <c:v>-1.4974033692849999E-3</c:v>
                </c:pt>
                <c:pt idx="1302">
                  <c:v>-8.5067847976499997E-4</c:v>
                </c:pt>
                <c:pt idx="1303">
                  <c:v>-4.1595657239700001E-4</c:v>
                </c:pt>
                <c:pt idx="1304">
                  <c:v>7.8296048741000003E-5</c:v>
                </c:pt>
                <c:pt idx="1305">
                  <c:v>6.68367079925E-4</c:v>
                </c:pt>
                <c:pt idx="1306">
                  <c:v>1.284348894842E-3</c:v>
                </c:pt>
                <c:pt idx="1307">
                  <c:v>1.6884885262699999E-3</c:v>
                </c:pt>
                <c:pt idx="1308">
                  <c:v>2.267422387376E-3</c:v>
                </c:pt>
                <c:pt idx="1309">
                  <c:v>2.6341059710829999E-3</c:v>
                </c:pt>
                <c:pt idx="1310">
                  <c:v>3.2023938838389998E-3</c:v>
                </c:pt>
                <c:pt idx="1311">
                  <c:v>3.591503482312E-3</c:v>
                </c:pt>
                <c:pt idx="1312">
                  <c:v>4.2127449996770001E-3</c:v>
                </c:pt>
                <c:pt idx="1313">
                  <c:v>4.6949540264899997E-3</c:v>
                </c:pt>
                <c:pt idx="1314">
                  <c:v>5.1668621599670001E-3</c:v>
                </c:pt>
                <c:pt idx="1315">
                  <c:v>5.6206011213359997E-3</c:v>
                </c:pt>
                <c:pt idx="1316">
                  <c:v>6.1664157547059997E-3</c:v>
                </c:pt>
                <c:pt idx="1317">
                  <c:v>6.6859927028419999E-3</c:v>
                </c:pt>
                <c:pt idx="1318">
                  <c:v>7.0664989762010003E-3</c:v>
                </c:pt>
                <c:pt idx="1319">
                  <c:v>7.6421890407799998E-3</c:v>
                </c:pt>
                <c:pt idx="1320">
                  <c:v>8.1330575048920006E-3</c:v>
                </c:pt>
                <c:pt idx="1321">
                  <c:v>8.6864111945030003E-3</c:v>
                </c:pt>
                <c:pt idx="1322">
                  <c:v>9.0383011847729993E-3</c:v>
                </c:pt>
                <c:pt idx="1323">
                  <c:v>9.6534695476290008E-3</c:v>
                </c:pt>
                <c:pt idx="1324">
                  <c:v>1.0142145678401E-2</c:v>
                </c:pt>
                <c:pt idx="1325">
                  <c:v>1.0610554367303999E-2</c:v>
                </c:pt>
                <c:pt idx="1326">
                  <c:v>1.1131275445223E-2</c:v>
                </c:pt>
                <c:pt idx="1327">
                  <c:v>1.1564793996512999E-2</c:v>
                </c:pt>
                <c:pt idx="1328">
                  <c:v>1.2089244090021E-2</c:v>
                </c:pt>
                <c:pt idx="1329">
                  <c:v>1.2666416354477E-2</c:v>
                </c:pt>
                <c:pt idx="1330">
                  <c:v>1.3220885768532999E-2</c:v>
                </c:pt>
                <c:pt idx="1331">
                  <c:v>1.3593971729279E-2</c:v>
                </c:pt>
                <c:pt idx="1332">
                  <c:v>1.4295683242381001E-2</c:v>
                </c:pt>
                <c:pt idx="1333">
                  <c:v>1.4650001190603E-2</c:v>
                </c:pt>
                <c:pt idx="1334">
                  <c:v>1.5093167312443E-2</c:v>
                </c:pt>
                <c:pt idx="1335">
                  <c:v>1.5799917280674002E-2</c:v>
                </c:pt>
                <c:pt idx="1336">
                  <c:v>1.6077756881713999E-2</c:v>
                </c:pt>
                <c:pt idx="1337">
                  <c:v>1.6538053750992002E-2</c:v>
                </c:pt>
                <c:pt idx="1338">
                  <c:v>1.7186405137181001E-2</c:v>
                </c:pt>
                <c:pt idx="1339">
                  <c:v>1.7588496208191001E-2</c:v>
                </c:pt>
                <c:pt idx="1340">
                  <c:v>1.8016796559095001E-2</c:v>
                </c:pt>
                <c:pt idx="1341">
                  <c:v>1.8361443653703E-2</c:v>
                </c:pt>
                <c:pt idx="1342">
                  <c:v>1.9147716462611999E-2</c:v>
                </c:pt>
                <c:pt idx="1343">
                  <c:v>1.9664118066430002E-2</c:v>
                </c:pt>
                <c:pt idx="1344">
                  <c:v>1.99792124331E-2</c:v>
                </c:pt>
                <c:pt idx="1345">
                  <c:v>2.0772110670805002E-2</c:v>
                </c:pt>
                <c:pt idx="1346">
                  <c:v>2.1106183528900001E-2</c:v>
                </c:pt>
                <c:pt idx="1347">
                  <c:v>2.1486788988113001E-2</c:v>
                </c:pt>
                <c:pt idx="1348">
                  <c:v>2.2336773574352001E-2</c:v>
                </c:pt>
                <c:pt idx="1349">
                  <c:v>2.2737549617887001E-2</c:v>
                </c:pt>
                <c:pt idx="1350">
                  <c:v>2.3088404908775999E-2</c:v>
                </c:pt>
                <c:pt idx="1351">
                  <c:v>2.3753363639115999E-2</c:v>
                </c:pt>
                <c:pt idx="1352">
                  <c:v>2.4120138958097E-2</c:v>
                </c:pt>
                <c:pt idx="1353">
                  <c:v>2.4647844955324998E-2</c:v>
                </c:pt>
                <c:pt idx="1354">
                  <c:v>2.5185339152812999E-2</c:v>
                </c:pt>
                <c:pt idx="1355">
                  <c:v>2.5674410164355999E-2</c:v>
                </c:pt>
                <c:pt idx="1356">
                  <c:v>2.6080159470438999E-2</c:v>
                </c:pt>
                <c:pt idx="1357">
                  <c:v>2.6665296405554002E-2</c:v>
                </c:pt>
                <c:pt idx="1358">
                  <c:v>2.7119223028421E-2</c:v>
                </c:pt>
                <c:pt idx="1359">
                  <c:v>2.7733957394958E-2</c:v>
                </c:pt>
                <c:pt idx="1360">
                  <c:v>2.8061738237739001E-2</c:v>
                </c:pt>
                <c:pt idx="1361">
                  <c:v>2.8634151443839E-2</c:v>
                </c:pt>
                <c:pt idx="1362">
                  <c:v>2.9158977791666998E-2</c:v>
                </c:pt>
                <c:pt idx="1363">
                  <c:v>2.9568037018180001E-2</c:v>
                </c:pt>
                <c:pt idx="1364">
                  <c:v>3.0060851946473E-2</c:v>
                </c:pt>
                <c:pt idx="1365">
                  <c:v>3.0485965311526999E-2</c:v>
                </c:pt>
                <c:pt idx="1366">
                  <c:v>3.0917724594473998E-2</c:v>
                </c:pt>
                <c:pt idx="1367">
                  <c:v>3.1552739441395E-2</c:v>
                </c:pt>
                <c:pt idx="1368">
                  <c:v>3.2111119478940998E-2</c:v>
                </c:pt>
                <c:pt idx="1369">
                  <c:v>3.2514315098524003E-2</c:v>
                </c:pt>
                <c:pt idx="1370">
                  <c:v>3.3120803534984998E-2</c:v>
                </c:pt>
                <c:pt idx="1371">
                  <c:v>3.3465068787336003E-2</c:v>
                </c:pt>
                <c:pt idx="1372">
                  <c:v>3.4289248287678001E-2</c:v>
                </c:pt>
                <c:pt idx="1373">
                  <c:v>3.4652758389710998E-2</c:v>
                </c:pt>
                <c:pt idx="1374">
                  <c:v>3.5186946392059E-2</c:v>
                </c:pt>
                <c:pt idx="1375">
                  <c:v>3.5823844373225999E-2</c:v>
                </c:pt>
                <c:pt idx="1376">
                  <c:v>3.6195248365402E-2</c:v>
                </c:pt>
                <c:pt idx="1377">
                  <c:v>3.6492932587862001E-2</c:v>
                </c:pt>
                <c:pt idx="1378">
                  <c:v>3.7226472049951997E-2</c:v>
                </c:pt>
                <c:pt idx="1379">
                  <c:v>3.7732452154159997E-2</c:v>
                </c:pt>
                <c:pt idx="1380">
                  <c:v>3.8045056164264998E-2</c:v>
                </c:pt>
                <c:pt idx="1381">
                  <c:v>3.8737077265977998E-2</c:v>
                </c:pt>
                <c:pt idx="1382">
                  <c:v>3.9140246808528997E-2</c:v>
                </c:pt>
                <c:pt idx="1383">
                  <c:v>3.9533630013465999E-2</c:v>
                </c:pt>
                <c:pt idx="1384">
                  <c:v>4.0171690285206001E-2</c:v>
                </c:pt>
                <c:pt idx="1385">
                  <c:v>4.0631748735904999E-2</c:v>
                </c:pt>
                <c:pt idx="1386">
                  <c:v>4.1032563894987002E-2</c:v>
                </c:pt>
                <c:pt idx="1387">
                  <c:v>4.1583869606255999E-2</c:v>
                </c:pt>
                <c:pt idx="1388">
                  <c:v>4.2054541409016002E-2</c:v>
                </c:pt>
                <c:pt idx="1389">
                  <c:v>4.2549826204777E-2</c:v>
                </c:pt>
                <c:pt idx="1390">
                  <c:v>4.2995974421501E-2</c:v>
                </c:pt>
                <c:pt idx="1391">
                  <c:v>4.3671119958162002E-2</c:v>
                </c:pt>
                <c:pt idx="1392">
                  <c:v>4.4122938066720997E-2</c:v>
                </c:pt>
                <c:pt idx="1393">
                  <c:v>4.4607322663069E-2</c:v>
                </c:pt>
                <c:pt idx="1394">
                  <c:v>4.5169316232204E-2</c:v>
                </c:pt>
                <c:pt idx="1395">
                  <c:v>4.5562688261271002E-2</c:v>
                </c:pt>
                <c:pt idx="1396">
                  <c:v>4.5886009931563998E-2</c:v>
                </c:pt>
                <c:pt idx="1397">
                  <c:v>4.6782605350017999E-2</c:v>
                </c:pt>
                <c:pt idx="1398">
                  <c:v>4.7112710773945E-2</c:v>
                </c:pt>
                <c:pt idx="1399">
                  <c:v>4.7663878649473003E-2</c:v>
                </c:pt>
                <c:pt idx="1400">
                  <c:v>4.8226479440927998E-2</c:v>
                </c:pt>
                <c:pt idx="1401">
                  <c:v>4.865925014019E-2</c:v>
                </c:pt>
                <c:pt idx="1402">
                  <c:v>4.9087587743997997E-2</c:v>
                </c:pt>
                <c:pt idx="1403">
                  <c:v>4.9683164805173999E-2</c:v>
                </c:pt>
                <c:pt idx="1404">
                  <c:v>5.0093594938516998E-2</c:v>
                </c:pt>
                <c:pt idx="1405">
                  <c:v>5.0561137497425003E-2</c:v>
                </c:pt>
                <c:pt idx="1406">
                  <c:v>5.1118612289429002E-2</c:v>
                </c:pt>
                <c:pt idx="1407">
                  <c:v>5.1617927849292998E-2</c:v>
                </c:pt>
                <c:pt idx="1408">
                  <c:v>5.1975321024655997E-2</c:v>
                </c:pt>
                <c:pt idx="1409">
                  <c:v>5.2405793219805E-2</c:v>
                </c:pt>
                <c:pt idx="1410">
                  <c:v>5.3109697997570003E-2</c:v>
                </c:pt>
                <c:pt idx="1411">
                  <c:v>5.3501613438129002E-2</c:v>
                </c:pt>
                <c:pt idx="1412">
                  <c:v>5.3828831762075001E-2</c:v>
                </c:pt>
                <c:pt idx="1413">
                  <c:v>5.4559946060180997E-2</c:v>
                </c:pt>
                <c:pt idx="1414">
                  <c:v>5.4981712251902001E-2</c:v>
                </c:pt>
                <c:pt idx="1415">
                  <c:v>5.5592745542526002E-2</c:v>
                </c:pt>
                <c:pt idx="1416">
                  <c:v>5.6213993579149003E-2</c:v>
                </c:pt>
                <c:pt idx="1417">
                  <c:v>5.6623023003340003E-2</c:v>
                </c:pt>
                <c:pt idx="1418">
                  <c:v>5.7115010917187001E-2</c:v>
                </c:pt>
                <c:pt idx="1419">
                  <c:v>5.7611133903264999E-2</c:v>
                </c:pt>
                <c:pt idx="1420">
                  <c:v>5.8020360767840999E-2</c:v>
                </c:pt>
                <c:pt idx="1421">
                  <c:v>5.8626823127270002E-2</c:v>
                </c:pt>
                <c:pt idx="1422">
                  <c:v>5.9180252254008997E-2</c:v>
                </c:pt>
                <c:pt idx="1423">
                  <c:v>5.9532083570957003E-2</c:v>
                </c:pt>
                <c:pt idx="1424">
                  <c:v>6.0106627643108E-2</c:v>
                </c:pt>
                <c:pt idx="1425">
                  <c:v>6.0652572661638003E-2</c:v>
                </c:pt>
                <c:pt idx="1426">
                  <c:v>6.1081979423761E-2</c:v>
                </c:pt>
                <c:pt idx="1427">
                  <c:v>6.1626799404620999E-2</c:v>
                </c:pt>
                <c:pt idx="1428">
                  <c:v>6.2115680426359003E-2</c:v>
                </c:pt>
                <c:pt idx="1429">
                  <c:v>6.2613978981972004E-2</c:v>
                </c:pt>
                <c:pt idx="1430">
                  <c:v>6.3165195286273998E-2</c:v>
                </c:pt>
                <c:pt idx="1431">
                  <c:v>6.3619114458560999E-2</c:v>
                </c:pt>
                <c:pt idx="1432">
                  <c:v>6.4067587256431996E-2</c:v>
                </c:pt>
                <c:pt idx="1433">
                  <c:v>6.4591147005558E-2</c:v>
                </c:pt>
                <c:pt idx="1434">
                  <c:v>6.4943313598633007E-2</c:v>
                </c:pt>
                <c:pt idx="1435">
                  <c:v>6.5570697188377006E-2</c:v>
                </c:pt>
                <c:pt idx="1436">
                  <c:v>6.5975710749625993E-2</c:v>
                </c:pt>
                <c:pt idx="1437">
                  <c:v>6.6552624106406999E-2</c:v>
                </c:pt>
                <c:pt idx="1438">
                  <c:v>6.7144885659218001E-2</c:v>
                </c:pt>
                <c:pt idx="1439">
                  <c:v>6.7543178796767994E-2</c:v>
                </c:pt>
                <c:pt idx="1440">
                  <c:v>6.7841589450836001E-2</c:v>
                </c:pt>
                <c:pt idx="1441">
                  <c:v>6.8652719259262002E-2</c:v>
                </c:pt>
                <c:pt idx="1442">
                  <c:v>6.8948991596698997E-2</c:v>
                </c:pt>
                <c:pt idx="1443">
                  <c:v>6.9395899772644001E-2</c:v>
                </c:pt>
                <c:pt idx="1444">
                  <c:v>6.9929204881191004E-2</c:v>
                </c:pt>
                <c:pt idx="1445">
                  <c:v>7.0454455912112995E-2</c:v>
                </c:pt>
                <c:pt idx="1446">
                  <c:v>7.1067497134208998E-2</c:v>
                </c:pt>
                <c:pt idx="1447">
                  <c:v>7.1678370237350006E-2</c:v>
                </c:pt>
                <c:pt idx="1448">
                  <c:v>7.2182610630989005E-2</c:v>
                </c:pt>
                <c:pt idx="1449">
                  <c:v>7.2643041610717995E-2</c:v>
                </c:pt>
                <c:pt idx="1450">
                  <c:v>7.3053263127803997E-2</c:v>
                </c:pt>
                <c:pt idx="1451">
                  <c:v>7.3469556868076005E-2</c:v>
                </c:pt>
                <c:pt idx="1452">
                  <c:v>7.4032612144946996E-2</c:v>
                </c:pt>
                <c:pt idx="1453">
                  <c:v>7.4628531932831005E-2</c:v>
                </c:pt>
                <c:pt idx="1454">
                  <c:v>7.5095161795615997E-2</c:v>
                </c:pt>
                <c:pt idx="1455">
                  <c:v>7.5591102242469996E-2</c:v>
                </c:pt>
                <c:pt idx="1456">
                  <c:v>7.6022848486899997E-2</c:v>
                </c:pt>
                <c:pt idx="1457">
                  <c:v>7.6569572091103003E-2</c:v>
                </c:pt>
                <c:pt idx="1458">
                  <c:v>7.7046826481819E-2</c:v>
                </c:pt>
                <c:pt idx="1459">
                  <c:v>7.7569432556629E-2</c:v>
                </c:pt>
                <c:pt idx="1460">
                  <c:v>7.8219242393970004E-2</c:v>
                </c:pt>
                <c:pt idx="1461">
                  <c:v>7.8509680926799996E-2</c:v>
                </c:pt>
                <c:pt idx="1462">
                  <c:v>7.9048268496989996E-2</c:v>
                </c:pt>
                <c:pt idx="1463">
                  <c:v>7.9702317714690996E-2</c:v>
                </c:pt>
                <c:pt idx="1464">
                  <c:v>8.0236792564392007E-2</c:v>
                </c:pt>
                <c:pt idx="1465">
                  <c:v>8.0484934151172999E-2</c:v>
                </c:pt>
                <c:pt idx="1466">
                  <c:v>8.1166259944439004E-2</c:v>
                </c:pt>
                <c:pt idx="1467">
                  <c:v>8.1620164215565005E-2</c:v>
                </c:pt>
                <c:pt idx="1468">
                  <c:v>8.2047596573829998E-2</c:v>
                </c:pt>
                <c:pt idx="1469">
                  <c:v>8.2630544900893999E-2</c:v>
                </c:pt>
                <c:pt idx="1470">
                  <c:v>8.2956016063690005E-2</c:v>
                </c:pt>
                <c:pt idx="1471">
                  <c:v>8.3580330014229001E-2</c:v>
                </c:pt>
                <c:pt idx="1472">
                  <c:v>8.4124207496642997E-2</c:v>
                </c:pt>
                <c:pt idx="1473">
                  <c:v>8.4582142531872004E-2</c:v>
                </c:pt>
                <c:pt idx="1474">
                  <c:v>8.4954328835011E-2</c:v>
                </c:pt>
                <c:pt idx="1475">
                  <c:v>8.5566237568854994E-2</c:v>
                </c:pt>
                <c:pt idx="1476">
                  <c:v>8.5905306041240997E-2</c:v>
                </c:pt>
                <c:pt idx="1477">
                  <c:v>8.6545549333095995E-2</c:v>
                </c:pt>
                <c:pt idx="1478">
                  <c:v>8.7080083787441004E-2</c:v>
                </c:pt>
                <c:pt idx="1479">
                  <c:v>8.7571732699870994E-2</c:v>
                </c:pt>
                <c:pt idx="1480">
                  <c:v>8.7931327521800995E-2</c:v>
                </c:pt>
                <c:pt idx="1481">
                  <c:v>8.8534794747828993E-2</c:v>
                </c:pt>
                <c:pt idx="1482">
                  <c:v>8.8982760906218997E-2</c:v>
                </c:pt>
                <c:pt idx="1483">
                  <c:v>8.9498080313205997E-2</c:v>
                </c:pt>
                <c:pt idx="1484">
                  <c:v>9.0119265019893993E-2</c:v>
                </c:pt>
                <c:pt idx="1485">
                  <c:v>9.0474411845207006E-2</c:v>
                </c:pt>
                <c:pt idx="1486">
                  <c:v>9.0993970632553003E-2</c:v>
                </c:pt>
                <c:pt idx="1487">
                  <c:v>9.1543205082417006E-2</c:v>
                </c:pt>
                <c:pt idx="1488">
                  <c:v>9.2034898698329995E-2</c:v>
                </c:pt>
                <c:pt idx="1489">
                  <c:v>9.2539623379707003E-2</c:v>
                </c:pt>
                <c:pt idx="1490">
                  <c:v>9.3177847564219998E-2</c:v>
                </c:pt>
                <c:pt idx="1491">
                  <c:v>9.3471556901931999E-2</c:v>
                </c:pt>
                <c:pt idx="1492">
                  <c:v>9.3977227807044997E-2</c:v>
                </c:pt>
                <c:pt idx="1493">
                  <c:v>9.4447046518326E-2</c:v>
                </c:pt>
                <c:pt idx="1494">
                  <c:v>9.4849817454814994E-2</c:v>
                </c:pt>
                <c:pt idx="1495">
                  <c:v>9.5564201474189994E-2</c:v>
                </c:pt>
                <c:pt idx="1496">
                  <c:v>9.6077218651772003E-2</c:v>
                </c:pt>
                <c:pt idx="1497">
                  <c:v>9.6520528197288999E-2</c:v>
                </c:pt>
                <c:pt idx="1498">
                  <c:v>9.7160793840884996E-2</c:v>
                </c:pt>
                <c:pt idx="1499">
                  <c:v>9.7573220729828006E-2</c:v>
                </c:pt>
                <c:pt idx="1500">
                  <c:v>9.8166920244694006E-2</c:v>
                </c:pt>
                <c:pt idx="1501">
                  <c:v>9.8553597927094005E-2</c:v>
                </c:pt>
                <c:pt idx="1502">
                  <c:v>9.9232360720634002E-2</c:v>
                </c:pt>
                <c:pt idx="1503">
                  <c:v>9.9552750587463004E-2</c:v>
                </c:pt>
                <c:pt idx="1504">
                  <c:v>0.100176699459553</c:v>
                </c:pt>
                <c:pt idx="1505">
                  <c:v>0.100551150739193</c:v>
                </c:pt>
                <c:pt idx="1506">
                  <c:v>0.10089884698391</c:v>
                </c:pt>
                <c:pt idx="1507">
                  <c:v>0.101435296237469</c:v>
                </c:pt>
                <c:pt idx="1508">
                  <c:v>0.10201726853847499</c:v>
                </c:pt>
                <c:pt idx="1509">
                  <c:v>0.102397128939629</c:v>
                </c:pt>
                <c:pt idx="1510">
                  <c:v>0.103092312812805</c:v>
                </c:pt>
                <c:pt idx="1511">
                  <c:v>0.103499345481396</c:v>
                </c:pt>
                <c:pt idx="1512">
                  <c:v>0.1039944216609</c:v>
                </c:pt>
                <c:pt idx="1513">
                  <c:v>0.104520596563816</c:v>
                </c:pt>
                <c:pt idx="1514">
                  <c:v>0.105071760714054</c:v>
                </c:pt>
                <c:pt idx="1515">
                  <c:v>0.10558906942606</c:v>
                </c:pt>
                <c:pt idx="1516">
                  <c:v>0.106094755232334</c:v>
                </c:pt>
                <c:pt idx="1517">
                  <c:v>0.10649121552705799</c:v>
                </c:pt>
                <c:pt idx="1518">
                  <c:v>0.106999948620796</c:v>
                </c:pt>
                <c:pt idx="1519">
                  <c:v>0.107692137360573</c:v>
                </c:pt>
                <c:pt idx="1520">
                  <c:v>0.107969112694263</c:v>
                </c:pt>
                <c:pt idx="1521">
                  <c:v>0.108503445982933</c:v>
                </c:pt>
                <c:pt idx="1522">
                  <c:v>0.109113790094852</c:v>
                </c:pt>
                <c:pt idx="1523">
                  <c:v>0.109548643231392</c:v>
                </c:pt>
                <c:pt idx="1524">
                  <c:v>0.11011492460966101</c:v>
                </c:pt>
                <c:pt idx="1525">
                  <c:v>0.110569596290588</c:v>
                </c:pt>
                <c:pt idx="1526">
                  <c:v>0.11099472641944901</c:v>
                </c:pt>
                <c:pt idx="1527">
                  <c:v>0.111621268093586</c:v>
                </c:pt>
                <c:pt idx="1528">
                  <c:v>0.11196810752153399</c:v>
                </c:pt>
                <c:pt idx="1529">
                  <c:v>0.11248204857110999</c:v>
                </c:pt>
                <c:pt idx="1530">
                  <c:v>0.11285969614982599</c:v>
                </c:pt>
                <c:pt idx="1531">
                  <c:v>0.113315306603909</c:v>
                </c:pt>
                <c:pt idx="1532">
                  <c:v>0.11406479030847499</c:v>
                </c:pt>
                <c:pt idx="1533">
                  <c:v>0.11445809900760701</c:v>
                </c:pt>
                <c:pt idx="1534">
                  <c:v>0.11486211419105501</c:v>
                </c:pt>
                <c:pt idx="1535">
                  <c:v>0.115591503679752</c:v>
                </c:pt>
                <c:pt idx="1536">
                  <c:v>0.116053737699986</c:v>
                </c:pt>
                <c:pt idx="1537">
                  <c:v>0.11644586175680199</c:v>
                </c:pt>
                <c:pt idx="1538">
                  <c:v>0.117169849574566</c:v>
                </c:pt>
                <c:pt idx="1539">
                  <c:v>0.11760590225458099</c:v>
                </c:pt>
                <c:pt idx="1540">
                  <c:v>0.118110746145248</c:v>
                </c:pt>
                <c:pt idx="1541">
                  <c:v>0.11864563077688201</c:v>
                </c:pt>
                <c:pt idx="1542">
                  <c:v>0.119081579148769</c:v>
                </c:pt>
                <c:pt idx="1543">
                  <c:v>0.119406141340733</c:v>
                </c:pt>
                <c:pt idx="1544">
                  <c:v>0.120179511606693</c:v>
                </c:pt>
                <c:pt idx="1545">
                  <c:v>0.120592258870602</c:v>
                </c:pt>
                <c:pt idx="1546">
                  <c:v>0.12092639505863199</c:v>
                </c:pt>
                <c:pt idx="1547">
                  <c:v>0.121529199182987</c:v>
                </c:pt>
                <c:pt idx="1548">
                  <c:v>0.122161172330379</c:v>
                </c:pt>
                <c:pt idx="1549">
                  <c:v>0.122457250952721</c:v>
                </c:pt>
                <c:pt idx="1550">
                  <c:v>0.12289379537105601</c:v>
                </c:pt>
                <c:pt idx="1551">
                  <c:v>0.123630538582802</c:v>
                </c:pt>
                <c:pt idx="1552">
                  <c:v>0.124062247574329</c:v>
                </c:pt>
                <c:pt idx="1553">
                  <c:v>0.124434269964695</c:v>
                </c:pt>
                <c:pt idx="1554">
                  <c:v>0.125045657157898</c:v>
                </c:pt>
                <c:pt idx="1555">
                  <c:v>0.12548585236072499</c:v>
                </c:pt>
                <c:pt idx="1556">
                  <c:v>0.12595248222351099</c:v>
                </c:pt>
                <c:pt idx="1557">
                  <c:v>0.12642516195774101</c:v>
                </c:pt>
                <c:pt idx="1558">
                  <c:v>0.127051576972008</c:v>
                </c:pt>
                <c:pt idx="1559">
                  <c:v>0.12754863500595101</c:v>
                </c:pt>
                <c:pt idx="1560">
                  <c:v>0.12787328660488101</c:v>
                </c:pt>
                <c:pt idx="1561">
                  <c:v>0.12842683494091001</c:v>
                </c:pt>
                <c:pt idx="1562">
                  <c:v>0.12906803190708199</c:v>
                </c:pt>
                <c:pt idx="1563">
                  <c:v>0.12947395443916301</c:v>
                </c:pt>
                <c:pt idx="1564">
                  <c:v>0.130022287368774</c:v>
                </c:pt>
                <c:pt idx="1565">
                  <c:v>0.130686581134796</c:v>
                </c:pt>
                <c:pt idx="1566">
                  <c:v>0.131035506725311</c:v>
                </c:pt>
                <c:pt idx="1567">
                  <c:v>0.13151185214519501</c:v>
                </c:pt>
                <c:pt idx="1568">
                  <c:v>0.13219431042671201</c:v>
                </c:pt>
                <c:pt idx="1569">
                  <c:v>0.13247655332088501</c:v>
                </c:pt>
                <c:pt idx="1570">
                  <c:v>0.133073300123215</c:v>
                </c:pt>
                <c:pt idx="1571">
                  <c:v>0.13357166945934301</c:v>
                </c:pt>
                <c:pt idx="1572">
                  <c:v>0.134001970291138</c:v>
                </c:pt>
                <c:pt idx="1573">
                  <c:v>0.13449624180793801</c:v>
                </c:pt>
                <c:pt idx="1574">
                  <c:v>0.13501635193824801</c:v>
                </c:pt>
                <c:pt idx="1575">
                  <c:v>0.13549368083477001</c:v>
                </c:pt>
                <c:pt idx="1576">
                  <c:v>0.13592086732387501</c:v>
                </c:pt>
                <c:pt idx="1577">
                  <c:v>0.13639155030250499</c:v>
                </c:pt>
                <c:pt idx="1578">
                  <c:v>0.13696525990962999</c:v>
                </c:pt>
                <c:pt idx="1579">
                  <c:v>0.13748237490654</c:v>
                </c:pt>
                <c:pt idx="1580">
                  <c:v>0.13800066709518399</c:v>
                </c:pt>
                <c:pt idx="1581">
                  <c:v>0.13860614597797399</c:v>
                </c:pt>
                <c:pt idx="1582">
                  <c:v>0.138897895812988</c:v>
                </c:pt>
                <c:pt idx="1583">
                  <c:v>0.139447912573814</c:v>
                </c:pt>
                <c:pt idx="1584">
                  <c:v>0.140059784054756</c:v>
                </c:pt>
                <c:pt idx="1585">
                  <c:v>0.140432849526405</c:v>
                </c:pt>
                <c:pt idx="1586">
                  <c:v>0.14096803963184401</c:v>
                </c:pt>
                <c:pt idx="1587">
                  <c:v>0.14164021611213701</c:v>
                </c:pt>
                <c:pt idx="1588">
                  <c:v>0.14199863374233199</c:v>
                </c:pt>
                <c:pt idx="1589">
                  <c:v>0.142503246665001</c:v>
                </c:pt>
                <c:pt idx="1590">
                  <c:v>0.143060833215714</c:v>
                </c:pt>
                <c:pt idx="1591">
                  <c:v>0.143429860472679</c:v>
                </c:pt>
                <c:pt idx="1592">
                  <c:v>0.143883571028709</c:v>
                </c:pt>
                <c:pt idx="1593">
                  <c:v>0.14456301927566501</c:v>
                </c:pt>
                <c:pt idx="1594">
                  <c:v>0.145044505596161</c:v>
                </c:pt>
                <c:pt idx="1595">
                  <c:v>0.14554919302463501</c:v>
                </c:pt>
                <c:pt idx="1596">
                  <c:v>0.14605969190597501</c:v>
                </c:pt>
                <c:pt idx="1597">
                  <c:v>0.146537065505981</c:v>
                </c:pt>
                <c:pt idx="1598">
                  <c:v>0.147177308797836</c:v>
                </c:pt>
                <c:pt idx="1599">
                  <c:v>0.147490158677101</c:v>
                </c:pt>
                <c:pt idx="1600">
                  <c:v>0.14820466935634599</c:v>
                </c:pt>
                <c:pt idx="1601">
                  <c:v>0.14866466820240001</c:v>
                </c:pt>
                <c:pt idx="1602">
                  <c:v>0.14905387163162201</c:v>
                </c:pt>
                <c:pt idx="1603">
                  <c:v>0.14958301186561601</c:v>
                </c:pt>
                <c:pt idx="1604">
                  <c:v>0.15021267533302299</c:v>
                </c:pt>
                <c:pt idx="1605">
                  <c:v>0.150357961654663</c:v>
                </c:pt>
                <c:pt idx="1606">
                  <c:v>0.15106709301471699</c:v>
                </c:pt>
                <c:pt idx="1607">
                  <c:v>0.15142230689525599</c:v>
                </c:pt>
                <c:pt idx="1608">
                  <c:v>0.15189060568809501</c:v>
                </c:pt>
                <c:pt idx="1609">
                  <c:v>0.152402728796005</c:v>
                </c:pt>
                <c:pt idx="1610">
                  <c:v>0.152779281139374</c:v>
                </c:pt>
                <c:pt idx="1611">
                  <c:v>0.15347476303577401</c:v>
                </c:pt>
                <c:pt idx="1612">
                  <c:v>0.154129832983017</c:v>
                </c:pt>
                <c:pt idx="1613">
                  <c:v>0.15444275736808799</c:v>
                </c:pt>
                <c:pt idx="1614">
                  <c:v>0.15506590902805301</c:v>
                </c:pt>
                <c:pt idx="1615">
                  <c:v>0.15540827810764299</c:v>
                </c:pt>
                <c:pt idx="1616">
                  <c:v>0.15595771372318301</c:v>
                </c:pt>
                <c:pt idx="1617">
                  <c:v>0.156514242291451</c:v>
                </c:pt>
                <c:pt idx="1618">
                  <c:v>0.157072693109512</c:v>
                </c:pt>
                <c:pt idx="1619">
                  <c:v>0.15742065012455</c:v>
                </c:pt>
                <c:pt idx="1620">
                  <c:v>0.15809682011604301</c:v>
                </c:pt>
                <c:pt idx="1621">
                  <c:v>0.158422186970711</c:v>
                </c:pt>
                <c:pt idx="1622">
                  <c:v>0.158951386809349</c:v>
                </c:pt>
                <c:pt idx="1623">
                  <c:v>0.15951447188854201</c:v>
                </c:pt>
                <c:pt idx="1624">
                  <c:v>0.16005067527294201</c:v>
                </c:pt>
                <c:pt idx="1625">
                  <c:v>0.16050562262535101</c:v>
                </c:pt>
                <c:pt idx="1626">
                  <c:v>0.16109311580658001</c:v>
                </c:pt>
                <c:pt idx="1627">
                  <c:v>0.16151598095893899</c:v>
                </c:pt>
                <c:pt idx="1628">
                  <c:v>0.162089362740517</c:v>
                </c:pt>
                <c:pt idx="1629">
                  <c:v>0.162488013505936</c:v>
                </c:pt>
                <c:pt idx="1630">
                  <c:v>0.163005501031876</c:v>
                </c:pt>
                <c:pt idx="1631">
                  <c:v>0.163593769073486</c:v>
                </c:pt>
                <c:pt idx="1632">
                  <c:v>0.16395522654056499</c:v>
                </c:pt>
                <c:pt idx="1633">
                  <c:v>0.164471685886383</c:v>
                </c:pt>
                <c:pt idx="1634">
                  <c:v>0.16498465836048101</c:v>
                </c:pt>
                <c:pt idx="1635">
                  <c:v>0.165386542677879</c:v>
                </c:pt>
                <c:pt idx="1636">
                  <c:v>0.16592085361480699</c:v>
                </c:pt>
                <c:pt idx="1637">
                  <c:v>0.16642460227012601</c:v>
                </c:pt>
                <c:pt idx="1638">
                  <c:v>0.166840255260468</c:v>
                </c:pt>
                <c:pt idx="1639">
                  <c:v>0.167487516999245</c:v>
                </c:pt>
                <c:pt idx="1640">
                  <c:v>0.167821779847145</c:v>
                </c:pt>
                <c:pt idx="1641">
                  <c:v>0.16818845272064201</c:v>
                </c:pt>
                <c:pt idx="1642">
                  <c:v>0.16892211139202101</c:v>
                </c:pt>
                <c:pt idx="1643">
                  <c:v>0.16963224112987499</c:v>
                </c:pt>
                <c:pt idx="1644">
                  <c:v>0.16992719471454601</c:v>
                </c:pt>
                <c:pt idx="1645">
                  <c:v>0.17047926783561701</c:v>
                </c:pt>
                <c:pt idx="1646">
                  <c:v>0.170890837907791</c:v>
                </c:pt>
                <c:pt idx="1647">
                  <c:v>0.171486511826515</c:v>
                </c:pt>
                <c:pt idx="1648">
                  <c:v>0.171970039606094</c:v>
                </c:pt>
                <c:pt idx="1649">
                  <c:v>0.17251157760620101</c:v>
                </c:pt>
                <c:pt idx="1650">
                  <c:v>0.17306409776210799</c:v>
                </c:pt>
                <c:pt idx="1651">
                  <c:v>0.173496589064598</c:v>
                </c:pt>
                <c:pt idx="1652">
                  <c:v>0.17393115162849401</c:v>
                </c:pt>
                <c:pt idx="1653">
                  <c:v>0.174559742212296</c:v>
                </c:pt>
                <c:pt idx="1654">
                  <c:v>0.17502214014530201</c:v>
                </c:pt>
                <c:pt idx="1655">
                  <c:v>0.175460085272789</c:v>
                </c:pt>
                <c:pt idx="1656">
                  <c:v>0.17609599232673601</c:v>
                </c:pt>
                <c:pt idx="1657">
                  <c:v>0.17642059922218301</c:v>
                </c:pt>
                <c:pt idx="1658">
                  <c:v>0.17684988677501701</c:v>
                </c:pt>
                <c:pt idx="1659">
                  <c:v>0.177588701248169</c:v>
                </c:pt>
                <c:pt idx="1660">
                  <c:v>0.17798419296741499</c:v>
                </c:pt>
                <c:pt idx="1661">
                  <c:v>0.17845591902732799</c:v>
                </c:pt>
                <c:pt idx="1662">
                  <c:v>0.17914913594722701</c:v>
                </c:pt>
                <c:pt idx="1663">
                  <c:v>0.179654955863953</c:v>
                </c:pt>
                <c:pt idx="1664">
                  <c:v>0.179983630776405</c:v>
                </c:pt>
                <c:pt idx="1665">
                  <c:v>0.1805350035429</c:v>
                </c:pt>
                <c:pt idx="1666">
                  <c:v>0.18112012743949901</c:v>
                </c:pt>
                <c:pt idx="1667">
                  <c:v>0.18151974678039601</c:v>
                </c:pt>
                <c:pt idx="1668">
                  <c:v>0.18190786242484999</c:v>
                </c:pt>
                <c:pt idx="1669">
                  <c:v>0.182532459497452</c:v>
                </c:pt>
                <c:pt idx="1670">
                  <c:v>0.18293289840221399</c:v>
                </c:pt>
                <c:pt idx="1671">
                  <c:v>0.183477833867073</c:v>
                </c:pt>
                <c:pt idx="1672">
                  <c:v>0.183749184012413</c:v>
                </c:pt>
                <c:pt idx="1673">
                  <c:v>0.18449541926384</c:v>
                </c:pt>
                <c:pt idx="1674">
                  <c:v>0.184888780117035</c:v>
                </c:pt>
                <c:pt idx="1675">
                  <c:v>0.185393527150154</c:v>
                </c:pt>
                <c:pt idx="1676">
                  <c:v>0.18590015172958399</c:v>
                </c:pt>
                <c:pt idx="1677">
                  <c:v>0.18652373552322399</c:v>
                </c:pt>
                <c:pt idx="1678">
                  <c:v>0.18697515130042999</c:v>
                </c:pt>
                <c:pt idx="1679">
                  <c:v>0.18748301267623901</c:v>
                </c:pt>
                <c:pt idx="1680">
                  <c:v>0.187979191541672</c:v>
                </c:pt>
                <c:pt idx="1681">
                  <c:v>0.188480630517006</c:v>
                </c:pt>
                <c:pt idx="1682">
                  <c:v>0.188970476388931</c:v>
                </c:pt>
                <c:pt idx="1683">
                  <c:v>0.18935011327266699</c:v>
                </c:pt>
                <c:pt idx="1684">
                  <c:v>0.18995304405689201</c:v>
                </c:pt>
                <c:pt idx="1685">
                  <c:v>0.190591335296631</c:v>
                </c:pt>
                <c:pt idx="1686">
                  <c:v>0.19096329808235199</c:v>
                </c:pt>
                <c:pt idx="1687">
                  <c:v>0.19145853817462899</c:v>
                </c:pt>
                <c:pt idx="1688">
                  <c:v>0.192103251814842</c:v>
                </c:pt>
                <c:pt idx="1689">
                  <c:v>0.19221685826778401</c:v>
                </c:pt>
                <c:pt idx="1690">
                  <c:v>0.19286733865737901</c:v>
                </c:pt>
                <c:pt idx="1691">
                  <c:v>0.193576529622078</c:v>
                </c:pt>
                <c:pt idx="1692">
                  <c:v>0.19378568232059501</c:v>
                </c:pt>
                <c:pt idx="1693">
                  <c:v>0.194600939750671</c:v>
                </c:pt>
                <c:pt idx="1694">
                  <c:v>0.194917902350426</c:v>
                </c:pt>
                <c:pt idx="1695">
                  <c:v>0.19532202184200301</c:v>
                </c:pt>
                <c:pt idx="1696">
                  <c:v>0.19605433940887501</c:v>
                </c:pt>
                <c:pt idx="1697">
                  <c:v>0.19657704234123199</c:v>
                </c:pt>
                <c:pt idx="1698">
                  <c:v>0.196987494826317</c:v>
                </c:pt>
                <c:pt idx="1699">
                  <c:v>0.197599187493324</c:v>
                </c:pt>
                <c:pt idx="1700">
                  <c:v>0.19797421991825101</c:v>
                </c:pt>
                <c:pt idx="1701">
                  <c:v>0.19845874607562999</c:v>
                </c:pt>
                <c:pt idx="1702">
                  <c:v>0.199037611484528</c:v>
                </c:pt>
                <c:pt idx="1703">
                  <c:v>0.19946397840976701</c:v>
                </c:pt>
                <c:pt idx="1704">
                  <c:v>0.200193166732788</c:v>
                </c:pt>
                <c:pt idx="1705">
                  <c:v>0.20062242448329901</c:v>
                </c:pt>
                <c:pt idx="1706">
                  <c:v>0.20093427598476399</c:v>
                </c:pt>
                <c:pt idx="1707">
                  <c:v>0.201506763696671</c:v>
                </c:pt>
                <c:pt idx="1708">
                  <c:v>0.202033370733261</c:v>
                </c:pt>
                <c:pt idx="1709">
                  <c:v>0.20246724784374201</c:v>
                </c:pt>
                <c:pt idx="1710">
                  <c:v>0.203019574284554</c:v>
                </c:pt>
                <c:pt idx="1711">
                  <c:v>0.203579217195511</c:v>
                </c:pt>
                <c:pt idx="1712">
                  <c:v>0.203939840197563</c:v>
                </c:pt>
                <c:pt idx="1713">
                  <c:v>0.204464390873909</c:v>
                </c:pt>
                <c:pt idx="1714">
                  <c:v>0.20489180088043199</c:v>
                </c:pt>
                <c:pt idx="1715">
                  <c:v>0.205497041344643</c:v>
                </c:pt>
                <c:pt idx="1716">
                  <c:v>0.20613196492195099</c:v>
                </c:pt>
                <c:pt idx="1717">
                  <c:v>0.20638120174408001</c:v>
                </c:pt>
                <c:pt idx="1718">
                  <c:v>0.207081824541092</c:v>
                </c:pt>
                <c:pt idx="1719">
                  <c:v>0.20754843950271601</c:v>
                </c:pt>
                <c:pt idx="1720">
                  <c:v>0.20782725512981401</c:v>
                </c:pt>
                <c:pt idx="1721">
                  <c:v>0.208357274532318</c:v>
                </c:pt>
                <c:pt idx="1722">
                  <c:v>0.208917170763016</c:v>
                </c:pt>
                <c:pt idx="1723">
                  <c:v>0.20932598412036901</c:v>
                </c:pt>
                <c:pt idx="1724">
                  <c:v>0.20992197096347801</c:v>
                </c:pt>
                <c:pt idx="1725">
                  <c:v>0.210180044174194</c:v>
                </c:pt>
                <c:pt idx="1726">
                  <c:v>0.21093358099460599</c:v>
                </c:pt>
                <c:pt idx="1727">
                  <c:v>0.211590886116028</c:v>
                </c:pt>
                <c:pt idx="1728">
                  <c:v>0.211831510066986</c:v>
                </c:pt>
                <c:pt idx="1729">
                  <c:v>0.212482139468193</c:v>
                </c:pt>
                <c:pt idx="1730">
                  <c:v>0.213055819272995</c:v>
                </c:pt>
                <c:pt idx="1731">
                  <c:v>0.21339434385299699</c:v>
                </c:pt>
                <c:pt idx="1732">
                  <c:v>0.21405558288097401</c:v>
                </c:pt>
                <c:pt idx="1733">
                  <c:v>0.21458685398101801</c:v>
                </c:pt>
                <c:pt idx="1734">
                  <c:v>0.214870020747185</c:v>
                </c:pt>
                <c:pt idx="1735">
                  <c:v>0.21568809449672699</c:v>
                </c:pt>
                <c:pt idx="1736">
                  <c:v>0.21599146723747301</c:v>
                </c:pt>
                <c:pt idx="1737">
                  <c:v>0.216465249657631</c:v>
                </c:pt>
                <c:pt idx="1738">
                  <c:v>0.21701964735984799</c:v>
                </c:pt>
                <c:pt idx="1739">
                  <c:v>0.21755936741828899</c:v>
                </c:pt>
                <c:pt idx="1740">
                  <c:v>0.21798349916935</c:v>
                </c:pt>
                <c:pt idx="1741">
                  <c:v>0.21850395202636699</c:v>
                </c:pt>
                <c:pt idx="1742">
                  <c:v>0.218968510627747</c:v>
                </c:pt>
                <c:pt idx="1743">
                  <c:v>0.219488739967346</c:v>
                </c:pt>
                <c:pt idx="1744">
                  <c:v>0.220022052526474</c:v>
                </c:pt>
                <c:pt idx="1745">
                  <c:v>0.22029156982898701</c:v>
                </c:pt>
                <c:pt idx="1746">
                  <c:v>0.22102814912796001</c:v>
                </c:pt>
                <c:pt idx="1747">
                  <c:v>0.22141288220882399</c:v>
                </c:pt>
                <c:pt idx="1748">
                  <c:v>0.22186593711376201</c:v>
                </c:pt>
                <c:pt idx="1749">
                  <c:v>0.22249443829059601</c:v>
                </c:pt>
                <c:pt idx="1750">
                  <c:v>0.22304217517375899</c:v>
                </c:pt>
                <c:pt idx="1751">
                  <c:v>0.22328832745552099</c:v>
                </c:pt>
                <c:pt idx="1752">
                  <c:v>0.223910838365555</c:v>
                </c:pt>
                <c:pt idx="1753">
                  <c:v>0.22446599602699299</c:v>
                </c:pt>
                <c:pt idx="1754">
                  <c:v>0.22480128705501601</c:v>
                </c:pt>
                <c:pt idx="1755">
                  <c:v>0.225359112024307</c:v>
                </c:pt>
                <c:pt idx="1756">
                  <c:v>0.225680887699127</c:v>
                </c:pt>
                <c:pt idx="1757">
                  <c:v>0.22634698450565299</c:v>
                </c:pt>
                <c:pt idx="1758">
                  <c:v>0.22703102231025701</c:v>
                </c:pt>
                <c:pt idx="1759">
                  <c:v>0.227343559265137</c:v>
                </c:pt>
                <c:pt idx="1760">
                  <c:v>0.22778779268264801</c:v>
                </c:pt>
                <c:pt idx="1761">
                  <c:v>0.22835725545883201</c:v>
                </c:pt>
                <c:pt idx="1762">
                  <c:v>0.228940695524216</c:v>
                </c:pt>
                <c:pt idx="1763">
                  <c:v>0.229354783892632</c:v>
                </c:pt>
                <c:pt idx="1764">
                  <c:v>0.23011256754398299</c:v>
                </c:pt>
                <c:pt idx="1765">
                  <c:v>0.23044982552528401</c:v>
                </c:pt>
                <c:pt idx="1766">
                  <c:v>0.23089918494224501</c:v>
                </c:pt>
                <c:pt idx="1767">
                  <c:v>0.23138581216335299</c:v>
                </c:pt>
                <c:pt idx="1768">
                  <c:v>0.23197489976882901</c:v>
                </c:pt>
                <c:pt idx="1769">
                  <c:v>0.23248627781868</c:v>
                </c:pt>
                <c:pt idx="1770">
                  <c:v>0.23311927914619399</c:v>
                </c:pt>
                <c:pt idx="1771">
                  <c:v>0.23346896469593001</c:v>
                </c:pt>
                <c:pt idx="1772">
                  <c:v>0.23392173647880601</c:v>
                </c:pt>
                <c:pt idx="1773">
                  <c:v>0.23442326486110701</c:v>
                </c:pt>
                <c:pt idx="1774">
                  <c:v>0.23499135673046101</c:v>
                </c:pt>
                <c:pt idx="1775">
                  <c:v>0.23548018932342499</c:v>
                </c:pt>
                <c:pt idx="1776">
                  <c:v>0.235966697335243</c:v>
                </c:pt>
                <c:pt idx="1777">
                  <c:v>0.236458614468575</c:v>
                </c:pt>
                <c:pt idx="1778">
                  <c:v>0.23693883419036901</c:v>
                </c:pt>
                <c:pt idx="1779">
                  <c:v>0.237437054514885</c:v>
                </c:pt>
                <c:pt idx="1780">
                  <c:v>0.23788131773471799</c:v>
                </c:pt>
                <c:pt idx="1781">
                  <c:v>0.23862200975418099</c:v>
                </c:pt>
                <c:pt idx="1782">
                  <c:v>0.23892655968666099</c:v>
                </c:pt>
                <c:pt idx="1783">
                  <c:v>0.23950017988681799</c:v>
                </c:pt>
                <c:pt idx="1784">
                  <c:v>0.240093499422073</c:v>
                </c:pt>
                <c:pt idx="1785">
                  <c:v>0.24042563140392301</c:v>
                </c:pt>
                <c:pt idx="1786">
                  <c:v>0.240806460380554</c:v>
                </c:pt>
                <c:pt idx="1787">
                  <c:v>0.24133192002773299</c:v>
                </c:pt>
                <c:pt idx="1788">
                  <c:v>0.24190665781498</c:v>
                </c:pt>
                <c:pt idx="1789">
                  <c:v>0.24236243963241599</c:v>
                </c:pt>
                <c:pt idx="1790">
                  <c:v>0.24282258749008201</c:v>
                </c:pt>
                <c:pt idx="1791">
                  <c:v>0.24335163831710799</c:v>
                </c:pt>
                <c:pt idx="1792">
                  <c:v>0.243822395801544</c:v>
                </c:pt>
                <c:pt idx="1793">
                  <c:v>0.24436412751674699</c:v>
                </c:pt>
                <c:pt idx="1794">
                  <c:v>0.24487064778804801</c:v>
                </c:pt>
                <c:pt idx="1795">
                  <c:v>0.24531394243240401</c:v>
                </c:pt>
                <c:pt idx="1796">
                  <c:v>0.2458516061306</c:v>
                </c:pt>
                <c:pt idx="1797">
                  <c:v>0.24628917872905701</c:v>
                </c:pt>
                <c:pt idx="1798">
                  <c:v>0.24682047963142401</c:v>
                </c:pt>
                <c:pt idx="1799">
                  <c:v>0.24747136235237099</c:v>
                </c:pt>
                <c:pt idx="1800">
                  <c:v>0.24797594547271701</c:v>
                </c:pt>
                <c:pt idx="1801">
                  <c:v>0.24843923747539501</c:v>
                </c:pt>
                <c:pt idx="1802">
                  <c:v>0.24892595410346999</c:v>
                </c:pt>
                <c:pt idx="1803">
                  <c:v>0.24934686720371199</c:v>
                </c:pt>
                <c:pt idx="1804">
                  <c:v>0.24991104006767301</c:v>
                </c:pt>
                <c:pt idx="1805">
                  <c:v>0.250377267599106</c:v>
                </c:pt>
                <c:pt idx="1806">
                  <c:v>0.25089037418365501</c:v>
                </c:pt>
                <c:pt idx="1807">
                  <c:v>0.251501023769379</c:v>
                </c:pt>
                <c:pt idx="1808">
                  <c:v>0.25190281867981001</c:v>
                </c:pt>
                <c:pt idx="1809">
                  <c:v>0.25239366292953502</c:v>
                </c:pt>
                <c:pt idx="1810">
                  <c:v>0.252868562936783</c:v>
                </c:pt>
                <c:pt idx="1811">
                  <c:v>0.25331160426139798</c:v>
                </c:pt>
                <c:pt idx="1812">
                  <c:v>0.254000693559647</c:v>
                </c:pt>
                <c:pt idx="1813">
                  <c:v>0.25439524650573703</c:v>
                </c:pt>
                <c:pt idx="1814">
                  <c:v>0.25489234924316401</c:v>
                </c:pt>
                <c:pt idx="1815">
                  <c:v>0.25521481037139898</c:v>
                </c:pt>
                <c:pt idx="1816">
                  <c:v>0.255837082862854</c:v>
                </c:pt>
                <c:pt idx="1817">
                  <c:v>0.256330966949463</c:v>
                </c:pt>
                <c:pt idx="1818">
                  <c:v>0.25706017017364502</c:v>
                </c:pt>
                <c:pt idx="1819">
                  <c:v>0.25743168592452997</c:v>
                </c:pt>
                <c:pt idx="1820">
                  <c:v>0.25792968273162797</c:v>
                </c:pt>
                <c:pt idx="1821">
                  <c:v>0.25851136445999101</c:v>
                </c:pt>
                <c:pt idx="1822">
                  <c:v>0.25881934165954601</c:v>
                </c:pt>
                <c:pt idx="1823">
                  <c:v>0.25943490862846402</c:v>
                </c:pt>
                <c:pt idx="1824">
                  <c:v>0.25995358824729897</c:v>
                </c:pt>
                <c:pt idx="1825">
                  <c:v>0.26056095957755998</c:v>
                </c:pt>
                <c:pt idx="1826">
                  <c:v>0.26100078225135798</c:v>
                </c:pt>
                <c:pt idx="1827">
                  <c:v>0.26139324903488198</c:v>
                </c:pt>
                <c:pt idx="1828">
                  <c:v>0.26187244057655301</c:v>
                </c:pt>
                <c:pt idx="1829">
                  <c:v>0.262535840272903</c:v>
                </c:pt>
                <c:pt idx="1830">
                  <c:v>0.26291462779045099</c:v>
                </c:pt>
                <c:pt idx="1831">
                  <c:v>0.26339480280876199</c:v>
                </c:pt>
                <c:pt idx="1832">
                  <c:v>0.26398313045501698</c:v>
                </c:pt>
                <c:pt idx="1833">
                  <c:v>0.26442316174507102</c:v>
                </c:pt>
                <c:pt idx="1834">
                  <c:v>0.26488548517227201</c:v>
                </c:pt>
                <c:pt idx="1835">
                  <c:v>0.26538151502609297</c:v>
                </c:pt>
                <c:pt idx="1836">
                  <c:v>0.26603877544403098</c:v>
                </c:pt>
                <c:pt idx="1837">
                  <c:v>0.26639705896377602</c:v>
                </c:pt>
                <c:pt idx="1838">
                  <c:v>0.26692083477973899</c:v>
                </c:pt>
                <c:pt idx="1839">
                  <c:v>0.2674380838871</c:v>
                </c:pt>
                <c:pt idx="1840">
                  <c:v>0.267983049154282</c:v>
                </c:pt>
                <c:pt idx="1841">
                  <c:v>0.26839455962181102</c:v>
                </c:pt>
                <c:pt idx="1842">
                  <c:v>0.26898381114005998</c:v>
                </c:pt>
                <c:pt idx="1843">
                  <c:v>0.269466131925583</c:v>
                </c:pt>
                <c:pt idx="1844">
                  <c:v>0.26993706822395303</c:v>
                </c:pt>
                <c:pt idx="1845">
                  <c:v>0.270396798849106</c:v>
                </c:pt>
                <c:pt idx="1846">
                  <c:v>0.27085486054420499</c:v>
                </c:pt>
                <c:pt idx="1847">
                  <c:v>0.271365135908127</c:v>
                </c:pt>
                <c:pt idx="1848">
                  <c:v>0.27177616953849798</c:v>
                </c:pt>
                <c:pt idx="1849">
                  <c:v>0.27237507700920099</c:v>
                </c:pt>
                <c:pt idx="1850">
                  <c:v>0.272803455591202</c:v>
                </c:pt>
                <c:pt idx="1851">
                  <c:v>0.27342694997787498</c:v>
                </c:pt>
                <c:pt idx="1852">
                  <c:v>0.27370342612266502</c:v>
                </c:pt>
                <c:pt idx="1853">
                  <c:v>0.27414280176162698</c:v>
                </c:pt>
                <c:pt idx="1854">
                  <c:v>0.27482095360755898</c:v>
                </c:pt>
                <c:pt idx="1855">
                  <c:v>0.27542179822921797</c:v>
                </c:pt>
                <c:pt idx="1856">
                  <c:v>0.27572184801101701</c:v>
                </c:pt>
                <c:pt idx="1857">
                  <c:v>0.276355981826782</c:v>
                </c:pt>
                <c:pt idx="1858">
                  <c:v>0.27675032615661599</c:v>
                </c:pt>
                <c:pt idx="1859">
                  <c:v>0.27732509374618503</c:v>
                </c:pt>
                <c:pt idx="1860">
                  <c:v>0.27797693014144897</c:v>
                </c:pt>
                <c:pt idx="1861">
                  <c:v>0.27838310599327099</c:v>
                </c:pt>
                <c:pt idx="1862">
                  <c:v>0.27892568707466098</c:v>
                </c:pt>
                <c:pt idx="1863">
                  <c:v>0.27941560745239302</c:v>
                </c:pt>
                <c:pt idx="1864">
                  <c:v>0.27982905507087702</c:v>
                </c:pt>
                <c:pt idx="1865">
                  <c:v>0.28026810288429299</c:v>
                </c:pt>
                <c:pt idx="1866">
                  <c:v>0.280942112207413</c:v>
                </c:pt>
                <c:pt idx="1867">
                  <c:v>0.28142654895782498</c:v>
                </c:pt>
                <c:pt idx="1868">
                  <c:v>0.281904727220535</c:v>
                </c:pt>
                <c:pt idx="1869">
                  <c:v>0.28246033191680903</c:v>
                </c:pt>
                <c:pt idx="1870">
                  <c:v>0.28285270929336498</c:v>
                </c:pt>
                <c:pt idx="1871">
                  <c:v>0.28330838680267301</c:v>
                </c:pt>
                <c:pt idx="1872">
                  <c:v>0.28388401865959201</c:v>
                </c:pt>
                <c:pt idx="1873">
                  <c:v>0.28442040085792503</c:v>
                </c:pt>
                <c:pt idx="1874">
                  <c:v>0.28471219539642301</c:v>
                </c:pt>
                <c:pt idx="1875">
                  <c:v>0.28535360097885099</c:v>
                </c:pt>
                <c:pt idx="1876">
                  <c:v>0.28576907515525801</c:v>
                </c:pt>
                <c:pt idx="1877">
                  <c:v>0.28620833158492998</c:v>
                </c:pt>
                <c:pt idx="1878">
                  <c:v>0.286859780550003</c:v>
                </c:pt>
                <c:pt idx="1879">
                  <c:v>0.28748854994773898</c:v>
                </c:pt>
                <c:pt idx="1880">
                  <c:v>0.28792330622673001</c:v>
                </c:pt>
                <c:pt idx="1881">
                  <c:v>0.288525551557541</c:v>
                </c:pt>
                <c:pt idx="1882">
                  <c:v>0.28883817791938798</c:v>
                </c:pt>
                <c:pt idx="1883">
                  <c:v>0.28937163949012801</c:v>
                </c:pt>
                <c:pt idx="1884">
                  <c:v>0.28993543982505798</c:v>
                </c:pt>
                <c:pt idx="1885">
                  <c:v>0.29034811258316001</c:v>
                </c:pt>
                <c:pt idx="1886">
                  <c:v>0.29094582796096802</c:v>
                </c:pt>
                <c:pt idx="1887">
                  <c:v>0.29156616330146801</c:v>
                </c:pt>
                <c:pt idx="1888">
                  <c:v>0.29181426763534501</c:v>
                </c:pt>
                <c:pt idx="1889">
                  <c:v>0.292361080646515</c:v>
                </c:pt>
                <c:pt idx="1890">
                  <c:v>0.29310712218284601</c:v>
                </c:pt>
                <c:pt idx="1891">
                  <c:v>0.29340648651123002</c:v>
                </c:pt>
                <c:pt idx="1892">
                  <c:v>0.29392370581626898</c:v>
                </c:pt>
                <c:pt idx="1893">
                  <c:v>0.29447281360626198</c:v>
                </c:pt>
                <c:pt idx="1894">
                  <c:v>0.29484629631042503</c:v>
                </c:pt>
                <c:pt idx="1895">
                  <c:v>0.29529026150703402</c:v>
                </c:pt>
                <c:pt idx="1896">
                  <c:v>0.29607352614402799</c:v>
                </c:pt>
                <c:pt idx="1897">
                  <c:v>0.296400487422943</c:v>
                </c:pt>
                <c:pt idx="1898">
                  <c:v>0.29693141579628002</c:v>
                </c:pt>
                <c:pt idx="1899">
                  <c:v>0.29749104380607599</c:v>
                </c:pt>
                <c:pt idx="1900">
                  <c:v>0.29778614640235901</c:v>
                </c:pt>
                <c:pt idx="1901">
                  <c:v>0.29832661151885997</c:v>
                </c:pt>
                <c:pt idx="1902">
                  <c:v>0.298948705196381</c:v>
                </c:pt>
                <c:pt idx="1903">
                  <c:v>0.29934012889862099</c:v>
                </c:pt>
                <c:pt idx="1904">
                  <c:v>0.30000278353691101</c:v>
                </c:pt>
                <c:pt idx="1905">
                  <c:v>0.30050188302993802</c:v>
                </c:pt>
                <c:pt idx="1906">
                  <c:v>0.30069184303283703</c:v>
                </c:pt>
                <c:pt idx="1907">
                  <c:v>0.30136701464652998</c:v>
                </c:pt>
                <c:pt idx="1908">
                  <c:v>0.30202084779739402</c:v>
                </c:pt>
                <c:pt idx="1909">
                  <c:v>0.30240502953529402</c:v>
                </c:pt>
                <c:pt idx="1910">
                  <c:v>0.302956223487854</c:v>
                </c:pt>
                <c:pt idx="1911">
                  <c:v>0.303593069314957</c:v>
                </c:pt>
                <c:pt idx="1912">
                  <c:v>0.30372163653373702</c:v>
                </c:pt>
                <c:pt idx="1913">
                  <c:v>0.30439144372940102</c:v>
                </c:pt>
                <c:pt idx="1914">
                  <c:v>0.30501368641853299</c:v>
                </c:pt>
                <c:pt idx="1915">
                  <c:v>0.30550283193588301</c:v>
                </c:pt>
                <c:pt idx="1916">
                  <c:v>0.30590358376503002</c:v>
                </c:pt>
                <c:pt idx="1917">
                  <c:v>0.30632540583610501</c:v>
                </c:pt>
                <c:pt idx="1918">
                  <c:v>0.306777983903885</c:v>
                </c:pt>
                <c:pt idx="1919">
                  <c:v>0.30743616819381703</c:v>
                </c:pt>
                <c:pt idx="1920">
                  <c:v>0.30790492892265298</c:v>
                </c:pt>
                <c:pt idx="1921">
                  <c:v>0.30834060907363903</c:v>
                </c:pt>
                <c:pt idx="1922">
                  <c:v>0.30902126431465099</c:v>
                </c:pt>
                <c:pt idx="1923">
                  <c:v>0.30934256315231301</c:v>
                </c:pt>
                <c:pt idx="1924">
                  <c:v>0.30982163548469499</c:v>
                </c:pt>
                <c:pt idx="1925">
                  <c:v>0.31033360958099399</c:v>
                </c:pt>
                <c:pt idx="1926">
                  <c:v>0.31086698174476601</c:v>
                </c:pt>
                <c:pt idx="1927">
                  <c:v>0.31137061119079601</c:v>
                </c:pt>
                <c:pt idx="1928">
                  <c:v>0.31193560361862199</c:v>
                </c:pt>
                <c:pt idx="1929">
                  <c:v>0.31219238042831399</c:v>
                </c:pt>
                <c:pt idx="1930">
                  <c:v>0.31272211670875499</c:v>
                </c:pt>
                <c:pt idx="1931">
                  <c:v>0.31330618262290999</c:v>
                </c:pt>
                <c:pt idx="1932">
                  <c:v>0.31380480527877802</c:v>
                </c:pt>
                <c:pt idx="1933">
                  <c:v>0.31437715888023399</c:v>
                </c:pt>
                <c:pt idx="1934">
                  <c:v>0.31495475769043002</c:v>
                </c:pt>
                <c:pt idx="1935">
                  <c:v>0.31533744931221003</c:v>
                </c:pt>
                <c:pt idx="1936">
                  <c:v>0.31571501493454002</c:v>
                </c:pt>
                <c:pt idx="1937">
                  <c:v>0.31632897257804898</c:v>
                </c:pt>
                <c:pt idx="1938">
                  <c:v>0.31692466139793402</c:v>
                </c:pt>
                <c:pt idx="1939">
                  <c:v>0.31740182638168302</c:v>
                </c:pt>
                <c:pt idx="1940">
                  <c:v>0.31784376502036998</c:v>
                </c:pt>
                <c:pt idx="1941">
                  <c:v>0.31840029358863797</c:v>
                </c:pt>
                <c:pt idx="1942">
                  <c:v>0.31880655884742698</c:v>
                </c:pt>
                <c:pt idx="1943">
                  <c:v>0.31937792897224399</c:v>
                </c:pt>
                <c:pt idx="1944">
                  <c:v>0.31998836994171098</c:v>
                </c:pt>
                <c:pt idx="1945">
                  <c:v>0.32037004828453097</c:v>
                </c:pt>
                <c:pt idx="1946">
                  <c:v>0.32088017463684099</c:v>
                </c:pt>
                <c:pt idx="1947">
                  <c:v>0.32142055034637501</c:v>
                </c:pt>
                <c:pt idx="1948">
                  <c:v>0.32185941934585599</c:v>
                </c:pt>
                <c:pt idx="1949">
                  <c:v>0.32237699627876298</c:v>
                </c:pt>
                <c:pt idx="1950">
                  <c:v>0.32295051217079201</c:v>
                </c:pt>
                <c:pt idx="1951">
                  <c:v>0.32332375645637501</c:v>
                </c:pt>
                <c:pt idx="1952">
                  <c:v>0.32395455241203303</c:v>
                </c:pt>
                <c:pt idx="1953">
                  <c:v>0.32437515258789101</c:v>
                </c:pt>
                <c:pt idx="1954">
                  <c:v>0.32481965422630299</c:v>
                </c:pt>
                <c:pt idx="1955">
                  <c:v>0.32553493976593001</c:v>
                </c:pt>
                <c:pt idx="1956">
                  <c:v>0.32592293620109603</c:v>
                </c:pt>
                <c:pt idx="1957">
                  <c:v>0.326277285814285</c:v>
                </c:pt>
                <c:pt idx="1958">
                  <c:v>0.327018052339554</c:v>
                </c:pt>
                <c:pt idx="1959">
                  <c:v>0.327470242977142</c:v>
                </c:pt>
                <c:pt idx="1960">
                  <c:v>0.32781887054443398</c:v>
                </c:pt>
                <c:pt idx="1961">
                  <c:v>0.32839977741241499</c:v>
                </c:pt>
                <c:pt idx="1962">
                  <c:v>0.32879060506820701</c:v>
                </c:pt>
                <c:pt idx="1963">
                  <c:v>0.32935068011283902</c:v>
                </c:pt>
                <c:pt idx="1964">
                  <c:v>0.32998570799827598</c:v>
                </c:pt>
                <c:pt idx="1965">
                  <c:v>0.33019557595253002</c:v>
                </c:pt>
                <c:pt idx="1966">
                  <c:v>0.33072903752326999</c:v>
                </c:pt>
                <c:pt idx="1967">
                  <c:v>0.33143267035484297</c:v>
                </c:pt>
                <c:pt idx="1968">
                  <c:v>0.33170506358146701</c:v>
                </c:pt>
                <c:pt idx="1969">
                  <c:v>0.33227461576461798</c:v>
                </c:pt>
                <c:pt idx="1970">
                  <c:v>0.33291783928871199</c:v>
                </c:pt>
                <c:pt idx="1971">
                  <c:v>0.33321058750152599</c:v>
                </c:pt>
                <c:pt idx="1972">
                  <c:v>0.33369427919387801</c:v>
                </c:pt>
                <c:pt idx="1973">
                  <c:v>0.33442768454551702</c:v>
                </c:pt>
                <c:pt idx="1974">
                  <c:v>0.33478185534477201</c:v>
                </c:pt>
                <c:pt idx="1975">
                  <c:v>0.33525887131691001</c:v>
                </c:pt>
                <c:pt idx="1976">
                  <c:v>0.33579635620117199</c:v>
                </c:pt>
                <c:pt idx="1977">
                  <c:v>0.33630946278572099</c:v>
                </c:pt>
                <c:pt idx="1978">
                  <c:v>0.33681190013885498</c:v>
                </c:pt>
                <c:pt idx="1979">
                  <c:v>0.33735343813896201</c:v>
                </c:pt>
                <c:pt idx="1980">
                  <c:v>0.337829560041428</c:v>
                </c:pt>
                <c:pt idx="1981">
                  <c:v>0.33822301030159002</c:v>
                </c:pt>
                <c:pt idx="1982">
                  <c:v>0.33890587091445901</c:v>
                </c:pt>
                <c:pt idx="1983">
                  <c:v>0.33935427665710399</c:v>
                </c:pt>
                <c:pt idx="1984">
                  <c:v>0.33979964256286599</c:v>
                </c:pt>
                <c:pt idx="1985">
                  <c:v>0.34034228324890098</c:v>
                </c:pt>
                <c:pt idx="1986">
                  <c:v>0.34064227342605602</c:v>
                </c:pt>
                <c:pt idx="1987">
                  <c:v>0.34118500351905801</c:v>
                </c:pt>
                <c:pt idx="1988">
                  <c:v>0.34191727638244601</c:v>
                </c:pt>
                <c:pt idx="1989">
                  <c:v>0.34221044182777399</c:v>
                </c:pt>
                <c:pt idx="1990">
                  <c:v>0.34279307723045299</c:v>
                </c:pt>
                <c:pt idx="1991">
                  <c:v>0.34320318698883101</c:v>
                </c:pt>
                <c:pt idx="1992">
                  <c:v>0.34371998906135598</c:v>
                </c:pt>
                <c:pt idx="1993">
                  <c:v>0.34424152970313998</c:v>
                </c:pt>
                <c:pt idx="1994">
                  <c:v>0.344768106937408</c:v>
                </c:pt>
                <c:pt idx="1995">
                  <c:v>0.345174580812454</c:v>
                </c:pt>
                <c:pt idx="1996">
                  <c:v>0.34583264589309698</c:v>
                </c:pt>
                <c:pt idx="1997">
                  <c:v>0.346124857664108</c:v>
                </c:pt>
                <c:pt idx="1998">
                  <c:v>0.34662246704101601</c:v>
                </c:pt>
                <c:pt idx="1999">
                  <c:v>0.34736996889114402</c:v>
                </c:pt>
                <c:pt idx="2000">
                  <c:v>0.34792634844780002</c:v>
                </c:pt>
                <c:pt idx="2001">
                  <c:v>0.34830608963966397</c:v>
                </c:pt>
                <c:pt idx="2002">
                  <c:v>0.34883093833923301</c:v>
                </c:pt>
                <c:pt idx="2003">
                  <c:v>0.349283337593079</c:v>
                </c:pt>
                <c:pt idx="2004">
                  <c:v>0.34973183274269098</c:v>
                </c:pt>
                <c:pt idx="2005">
                  <c:v>0.35027268528938299</c:v>
                </c:pt>
                <c:pt idx="2006">
                  <c:v>0.35083436965942399</c:v>
                </c:pt>
                <c:pt idx="2007">
                  <c:v>0.351311504840851</c:v>
                </c:pt>
                <c:pt idx="2008">
                  <c:v>0.351878792047501</c:v>
                </c:pt>
                <c:pt idx="2009">
                  <c:v>0.352326780557632</c:v>
                </c:pt>
                <c:pt idx="2010">
                  <c:v>0.35271090269088701</c:v>
                </c:pt>
                <c:pt idx="2011">
                  <c:v>0.35347941517829901</c:v>
                </c:pt>
                <c:pt idx="2012">
                  <c:v>0.35376989841461198</c:v>
                </c:pt>
                <c:pt idx="2013">
                  <c:v>0.354266107082367</c:v>
                </c:pt>
                <c:pt idx="2014">
                  <c:v>0.35483410954475397</c:v>
                </c:pt>
                <c:pt idx="2015">
                  <c:v>0.35522860288620001</c:v>
                </c:pt>
                <c:pt idx="2016">
                  <c:v>0.35545885562896701</c:v>
                </c:pt>
                <c:pt idx="2017">
                  <c:v>0.35635340213775601</c:v>
                </c:pt>
                <c:pt idx="2018">
                  <c:v>0.35679450631141701</c:v>
                </c:pt>
                <c:pt idx="2019">
                  <c:v>0.35708189010620101</c:v>
                </c:pt>
                <c:pt idx="2020">
                  <c:v>0.35783427953720098</c:v>
                </c:pt>
                <c:pt idx="2021">
                  <c:v>0.35827624797821001</c:v>
                </c:pt>
                <c:pt idx="2022">
                  <c:v>0.35864770412445102</c:v>
                </c:pt>
                <c:pt idx="2023">
                  <c:v>0.35925182700157199</c:v>
                </c:pt>
                <c:pt idx="2024">
                  <c:v>0.35981675982475297</c:v>
                </c:pt>
                <c:pt idx="2025">
                  <c:v>0.36005899310112</c:v>
                </c:pt>
                <c:pt idx="2026">
                  <c:v>0.36080169677734403</c:v>
                </c:pt>
                <c:pt idx="2027">
                  <c:v>0.36122465133666998</c:v>
                </c:pt>
                <c:pt idx="2028">
                  <c:v>0.36170005798339799</c:v>
                </c:pt>
                <c:pt idx="2029">
                  <c:v>0.362315833568573</c:v>
                </c:pt>
                <c:pt idx="2030">
                  <c:v>0.36285653710365301</c:v>
                </c:pt>
                <c:pt idx="2031">
                  <c:v>0.36319997906684898</c:v>
                </c:pt>
                <c:pt idx="2032">
                  <c:v>0.363840192556381</c:v>
                </c:pt>
                <c:pt idx="2033">
                  <c:v>0.36430999636650102</c:v>
                </c:pt>
                <c:pt idx="2034">
                  <c:v>0.36471059918403598</c:v>
                </c:pt>
                <c:pt idx="2035">
                  <c:v>0.36526933312416099</c:v>
                </c:pt>
                <c:pt idx="2036">
                  <c:v>0.36591371893882801</c:v>
                </c:pt>
                <c:pt idx="2037">
                  <c:v>0.36626705527305597</c:v>
                </c:pt>
                <c:pt idx="2038">
                  <c:v>0.36687877774238598</c:v>
                </c:pt>
                <c:pt idx="2039">
                  <c:v>0.36733466386795</c:v>
                </c:pt>
                <c:pt idx="2040">
                  <c:v>0.36766973137855502</c:v>
                </c:pt>
                <c:pt idx="2041">
                  <c:v>0.36835747957229598</c:v>
                </c:pt>
                <c:pt idx="2042">
                  <c:v>0.368836790323257</c:v>
                </c:pt>
                <c:pt idx="2043">
                  <c:v>0.36925631761550898</c:v>
                </c:pt>
                <c:pt idx="2044">
                  <c:v>0.36978444457054099</c:v>
                </c:pt>
                <c:pt idx="2045">
                  <c:v>0.37029236555099498</c:v>
                </c:pt>
                <c:pt idx="2046">
                  <c:v>0.37065279483795199</c:v>
                </c:pt>
                <c:pt idx="2047">
                  <c:v>0.37120720744133001</c:v>
                </c:pt>
                <c:pt idx="2048">
                  <c:v>0.371783286333084</c:v>
                </c:pt>
                <c:pt idx="2049">
                  <c:v>0.37229037284851102</c:v>
                </c:pt>
                <c:pt idx="2050">
                  <c:v>0.372672230005264</c:v>
                </c:pt>
                <c:pt idx="2051">
                  <c:v>0.37316548824310303</c:v>
                </c:pt>
                <c:pt idx="2052">
                  <c:v>0.37363600730896002</c:v>
                </c:pt>
                <c:pt idx="2053">
                  <c:v>0.37426239252090499</c:v>
                </c:pt>
                <c:pt idx="2054">
                  <c:v>0.37476164102554299</c:v>
                </c:pt>
                <c:pt idx="2055">
                  <c:v>0.375324696302414</c:v>
                </c:pt>
                <c:pt idx="2056">
                  <c:v>0.37578606605529802</c:v>
                </c:pt>
                <c:pt idx="2057">
                  <c:v>0.37625905871391302</c:v>
                </c:pt>
                <c:pt idx="2058">
                  <c:v>0.37677708268165599</c:v>
                </c:pt>
                <c:pt idx="2059">
                  <c:v>0.37733799219131497</c:v>
                </c:pt>
                <c:pt idx="2060">
                  <c:v>0.377736836671829</c:v>
                </c:pt>
                <c:pt idx="2061">
                  <c:v>0.37824431061744701</c:v>
                </c:pt>
                <c:pt idx="2062">
                  <c:v>0.378814667463303</c:v>
                </c:pt>
                <c:pt idx="2063">
                  <c:v>0.37928244471549999</c:v>
                </c:pt>
                <c:pt idx="2064">
                  <c:v>0.37978795170784002</c:v>
                </c:pt>
                <c:pt idx="2065">
                  <c:v>0.38022577762603799</c:v>
                </c:pt>
                <c:pt idx="2066">
                  <c:v>0.380910754203796</c:v>
                </c:pt>
                <c:pt idx="2067">
                  <c:v>0.38131049275398299</c:v>
                </c:pt>
                <c:pt idx="2068">
                  <c:v>0.38176423311233498</c:v>
                </c:pt>
                <c:pt idx="2069">
                  <c:v>0.38220852613449102</c:v>
                </c:pt>
                <c:pt idx="2070">
                  <c:v>0.38270336389541598</c:v>
                </c:pt>
                <c:pt idx="2071">
                  <c:v>0.38324609398841902</c:v>
                </c:pt>
                <c:pt idx="2072">
                  <c:v>0.38376352190971402</c:v>
                </c:pt>
                <c:pt idx="2073">
                  <c:v>0.38420885801315302</c:v>
                </c:pt>
                <c:pt idx="2074">
                  <c:v>0.384832262992859</c:v>
                </c:pt>
                <c:pt idx="2075">
                  <c:v>0.38515046238899198</c:v>
                </c:pt>
                <c:pt idx="2076">
                  <c:v>0.385708928108215</c:v>
                </c:pt>
                <c:pt idx="2077">
                  <c:v>0.386191546916962</c:v>
                </c:pt>
                <c:pt idx="2078">
                  <c:v>0.38671824336051902</c:v>
                </c:pt>
                <c:pt idx="2079">
                  <c:v>0.38714763522148099</c:v>
                </c:pt>
                <c:pt idx="2080">
                  <c:v>0.38776913285255399</c:v>
                </c:pt>
                <c:pt idx="2081">
                  <c:v>0.38824051618576</c:v>
                </c:pt>
                <c:pt idx="2082">
                  <c:v>0.38876301050186202</c:v>
                </c:pt>
                <c:pt idx="2083">
                  <c:v>0.38929438591003401</c:v>
                </c:pt>
                <c:pt idx="2084">
                  <c:v>0.389949411153793</c:v>
                </c:pt>
                <c:pt idx="2085">
                  <c:v>0.39020931720733598</c:v>
                </c:pt>
                <c:pt idx="2086">
                  <c:v>0.39084759354591397</c:v>
                </c:pt>
                <c:pt idx="2087">
                  <c:v>0.391415745019913</c:v>
                </c:pt>
                <c:pt idx="2088">
                  <c:v>0.39174976944923401</c:v>
                </c:pt>
                <c:pt idx="2089">
                  <c:v>0.39223748445510898</c:v>
                </c:pt>
                <c:pt idx="2090">
                  <c:v>0.39286184310913103</c:v>
                </c:pt>
                <c:pt idx="2091">
                  <c:v>0.39325726032257102</c:v>
                </c:pt>
                <c:pt idx="2092">
                  <c:v>0.39377999305725098</c:v>
                </c:pt>
                <c:pt idx="2093">
                  <c:v>0.39444443583488498</c:v>
                </c:pt>
                <c:pt idx="2094">
                  <c:v>0.39482206106185902</c:v>
                </c:pt>
                <c:pt idx="2095">
                  <c:v>0.395224750041962</c:v>
                </c:pt>
                <c:pt idx="2096">
                  <c:v>0.39588540792465199</c:v>
                </c:pt>
                <c:pt idx="2097">
                  <c:v>0.39639323949813798</c:v>
                </c:pt>
                <c:pt idx="2098">
                  <c:v>0.396727085113525</c:v>
                </c:pt>
                <c:pt idx="2099">
                  <c:v>0.39743518829345698</c:v>
                </c:pt>
                <c:pt idx="2100">
                  <c:v>0.39773231744766202</c:v>
                </c:pt>
                <c:pt idx="2101">
                  <c:v>0.39846542477607699</c:v>
                </c:pt>
                <c:pt idx="2102">
                  <c:v>0.398939609527588</c:v>
                </c:pt>
                <c:pt idx="2103">
                  <c:v>0.39940831065177901</c:v>
                </c:pt>
                <c:pt idx="2104">
                  <c:v>0.39985305070877097</c:v>
                </c:pt>
                <c:pt idx="2105">
                  <c:v>0.400324046611786</c:v>
                </c:pt>
                <c:pt idx="2106">
                  <c:v>0.40080979466438299</c:v>
                </c:pt>
                <c:pt idx="2107">
                  <c:v>0.40138956904411299</c:v>
                </c:pt>
                <c:pt idx="2108">
                  <c:v>0.40181607007980302</c:v>
                </c:pt>
                <c:pt idx="2109">
                  <c:v>0.402452021837234</c:v>
                </c:pt>
                <c:pt idx="2110">
                  <c:v>0.402793198823929</c:v>
                </c:pt>
                <c:pt idx="2111">
                  <c:v>0.40327975153923001</c:v>
                </c:pt>
                <c:pt idx="2112">
                  <c:v>0.40378659963607799</c:v>
                </c:pt>
                <c:pt idx="2113">
                  <c:v>0.40442469716072099</c:v>
                </c:pt>
                <c:pt idx="2114">
                  <c:v>0.40485823154449502</c:v>
                </c:pt>
                <c:pt idx="2115">
                  <c:v>0.40536516904830899</c:v>
                </c:pt>
                <c:pt idx="2116">
                  <c:v>0.40583997964858998</c:v>
                </c:pt>
                <c:pt idx="2117">
                  <c:v>0.40624186396598799</c:v>
                </c:pt>
                <c:pt idx="2118">
                  <c:v>0.40679213404655501</c:v>
                </c:pt>
                <c:pt idx="2119">
                  <c:v>0.40732526779174799</c:v>
                </c:pt>
                <c:pt idx="2120">
                  <c:v>0.40775573253631597</c:v>
                </c:pt>
                <c:pt idx="2121">
                  <c:v>0.408315479755402</c:v>
                </c:pt>
                <c:pt idx="2122">
                  <c:v>0.40876197814941401</c:v>
                </c:pt>
                <c:pt idx="2123">
                  <c:v>0.409085243940353</c:v>
                </c:pt>
                <c:pt idx="2124">
                  <c:v>0.40983653068542503</c:v>
                </c:pt>
                <c:pt idx="2125">
                  <c:v>0.41036060452461198</c:v>
                </c:pt>
                <c:pt idx="2126">
                  <c:v>0.41083636879920998</c:v>
                </c:pt>
                <c:pt idx="2127">
                  <c:v>0.41131573915481601</c:v>
                </c:pt>
                <c:pt idx="2128">
                  <c:v>0.41171562671661399</c:v>
                </c:pt>
                <c:pt idx="2129">
                  <c:v>0.412245273590088</c:v>
                </c:pt>
                <c:pt idx="2130">
                  <c:v>0.41275316476821899</c:v>
                </c:pt>
                <c:pt idx="2131">
                  <c:v>0.41327300667762801</c:v>
                </c:pt>
                <c:pt idx="2132">
                  <c:v>0.413715749979019</c:v>
                </c:pt>
                <c:pt idx="2133">
                  <c:v>0.41429993510246299</c:v>
                </c:pt>
                <c:pt idx="2134">
                  <c:v>0.41473591327667197</c:v>
                </c:pt>
                <c:pt idx="2135">
                  <c:v>0.41525804996490501</c:v>
                </c:pt>
                <c:pt idx="2136">
                  <c:v>0.41571301221847501</c:v>
                </c:pt>
                <c:pt idx="2137">
                  <c:v>0.41625607013702398</c:v>
                </c:pt>
                <c:pt idx="2138">
                  <c:v>0.41684556007385298</c:v>
                </c:pt>
                <c:pt idx="2139">
                  <c:v>0.41725888848304699</c:v>
                </c:pt>
                <c:pt idx="2140">
                  <c:v>0.41778975725174</c:v>
                </c:pt>
                <c:pt idx="2141">
                  <c:v>0.41821604967117298</c:v>
                </c:pt>
                <c:pt idx="2142">
                  <c:v>0.41873568296432501</c:v>
                </c:pt>
                <c:pt idx="2143">
                  <c:v>0.41930812597274802</c:v>
                </c:pt>
                <c:pt idx="2144">
                  <c:v>0.41985550522804299</c:v>
                </c:pt>
                <c:pt idx="2145">
                  <c:v>0.42033633589744601</c:v>
                </c:pt>
                <c:pt idx="2146">
                  <c:v>0.42075383663177501</c:v>
                </c:pt>
                <c:pt idx="2147">
                  <c:v>0.42118057608604398</c:v>
                </c:pt>
                <c:pt idx="2148">
                  <c:v>0.421644628047943</c:v>
                </c:pt>
                <c:pt idx="2149">
                  <c:v>0.42217391729354897</c:v>
                </c:pt>
                <c:pt idx="2150">
                  <c:v>0.42272210121154802</c:v>
                </c:pt>
                <c:pt idx="2151">
                  <c:v>0.42338526248931901</c:v>
                </c:pt>
                <c:pt idx="2152">
                  <c:v>0.42377224564552302</c:v>
                </c:pt>
                <c:pt idx="2153">
                  <c:v>0.42417666316032399</c:v>
                </c:pt>
                <c:pt idx="2154">
                  <c:v>0.42478492856025701</c:v>
                </c:pt>
                <c:pt idx="2155">
                  <c:v>0.42528417706489602</c:v>
                </c:pt>
                <c:pt idx="2156">
                  <c:v>0.42560863494873002</c:v>
                </c:pt>
                <c:pt idx="2157">
                  <c:v>0.42618122696876498</c:v>
                </c:pt>
                <c:pt idx="2158">
                  <c:v>0.42675861716270402</c:v>
                </c:pt>
                <c:pt idx="2159">
                  <c:v>0.42716592550277699</c:v>
                </c:pt>
                <c:pt idx="2160">
                  <c:v>0.42770570516586298</c:v>
                </c:pt>
                <c:pt idx="2161">
                  <c:v>0.42833194136619601</c:v>
                </c:pt>
                <c:pt idx="2162">
                  <c:v>0.42877730727195701</c:v>
                </c:pt>
                <c:pt idx="2163">
                  <c:v>0.42943537235259999</c:v>
                </c:pt>
                <c:pt idx="2164">
                  <c:v>0.42985326051711997</c:v>
                </c:pt>
                <c:pt idx="2165">
                  <c:v>0.43015465140342701</c:v>
                </c:pt>
                <c:pt idx="2166">
                  <c:v>0.43067821860313399</c:v>
                </c:pt>
                <c:pt idx="2167">
                  <c:v>0.43134289979934698</c:v>
                </c:pt>
                <c:pt idx="2168">
                  <c:v>0.43166741728782698</c:v>
                </c:pt>
                <c:pt idx="2169">
                  <c:v>0.43223038315772999</c:v>
                </c:pt>
                <c:pt idx="2170">
                  <c:v>0.43282181024551403</c:v>
                </c:pt>
                <c:pt idx="2171">
                  <c:v>0.433242857456207</c:v>
                </c:pt>
                <c:pt idx="2172">
                  <c:v>0.43372184038162198</c:v>
                </c:pt>
                <c:pt idx="2173">
                  <c:v>0.434348255395889</c:v>
                </c:pt>
                <c:pt idx="2174">
                  <c:v>0.43466112017631497</c:v>
                </c:pt>
                <c:pt idx="2175">
                  <c:v>0.43521013855934099</c:v>
                </c:pt>
                <c:pt idx="2176">
                  <c:v>0.435760587453842</c:v>
                </c:pt>
                <c:pt idx="2177">
                  <c:v>0.43613198399543801</c:v>
                </c:pt>
                <c:pt idx="2178">
                  <c:v>0.43658643960952798</c:v>
                </c:pt>
                <c:pt idx="2179">
                  <c:v>0.43730208277702298</c:v>
                </c:pt>
                <c:pt idx="2180">
                  <c:v>0.43778097629547102</c:v>
                </c:pt>
                <c:pt idx="2181">
                  <c:v>0.43816679716110202</c:v>
                </c:pt>
                <c:pt idx="2182">
                  <c:v>0.43875631690025302</c:v>
                </c:pt>
                <c:pt idx="2183">
                  <c:v>0.439227104187012</c:v>
                </c:pt>
                <c:pt idx="2184">
                  <c:v>0.43965885043144198</c:v>
                </c:pt>
                <c:pt idx="2185">
                  <c:v>0.44014304876327498</c:v>
                </c:pt>
                <c:pt idx="2186">
                  <c:v>0.44074958562851002</c:v>
                </c:pt>
                <c:pt idx="2187">
                  <c:v>0.44117158651351901</c:v>
                </c:pt>
                <c:pt idx="2188">
                  <c:v>0.44172802567482</c:v>
                </c:pt>
                <c:pt idx="2189">
                  <c:v>0.44215768575668302</c:v>
                </c:pt>
                <c:pt idx="2190">
                  <c:v>0.44285187125205999</c:v>
                </c:pt>
                <c:pt idx="2191">
                  <c:v>0.44325342774391202</c:v>
                </c:pt>
                <c:pt idx="2192">
                  <c:v>0.44376254081726102</c:v>
                </c:pt>
                <c:pt idx="2193">
                  <c:v>0.44435933232307401</c:v>
                </c:pt>
                <c:pt idx="2194">
                  <c:v>0.44476008415222201</c:v>
                </c:pt>
                <c:pt idx="2195">
                  <c:v>0.44521069526672402</c:v>
                </c:pt>
                <c:pt idx="2196">
                  <c:v>0.44580543041229198</c:v>
                </c:pt>
                <c:pt idx="2197">
                  <c:v>0.44640433788299599</c:v>
                </c:pt>
                <c:pt idx="2198">
                  <c:v>0.44679981470107999</c:v>
                </c:pt>
                <c:pt idx="2199">
                  <c:v>0.44726869463920599</c:v>
                </c:pt>
                <c:pt idx="2200">
                  <c:v>0.44788116216659501</c:v>
                </c:pt>
                <c:pt idx="2201">
                  <c:v>0.448369681835175</c:v>
                </c:pt>
                <c:pt idx="2202">
                  <c:v>0.44869750738143899</c:v>
                </c:pt>
                <c:pt idx="2203">
                  <c:v>0.449408829212189</c:v>
                </c:pt>
                <c:pt idx="2204">
                  <c:v>0.44981479644775402</c:v>
                </c:pt>
                <c:pt idx="2205">
                  <c:v>0.450218915939331</c:v>
                </c:pt>
                <c:pt idx="2206">
                  <c:v>0.450874984264374</c:v>
                </c:pt>
                <c:pt idx="2207">
                  <c:v>0.451478481292725</c:v>
                </c:pt>
                <c:pt idx="2208">
                  <c:v>0.451707363128662</c:v>
                </c:pt>
                <c:pt idx="2209">
                  <c:v>0.45218124985694902</c:v>
                </c:pt>
                <c:pt idx="2210">
                  <c:v>0.45302468538284302</c:v>
                </c:pt>
                <c:pt idx="2211">
                  <c:v>0.45324459671974199</c:v>
                </c:pt>
                <c:pt idx="2212">
                  <c:v>0.453717231750488</c:v>
                </c:pt>
                <c:pt idx="2213">
                  <c:v>0.45433086156845098</c:v>
                </c:pt>
                <c:pt idx="2214">
                  <c:v>0.45489522814750699</c:v>
                </c:pt>
                <c:pt idx="2215">
                  <c:v>0.45519077777862499</c:v>
                </c:pt>
                <c:pt idx="2216">
                  <c:v>0.45591914653778098</c:v>
                </c:pt>
                <c:pt idx="2217">
                  <c:v>0.45630943775177002</c:v>
                </c:pt>
                <c:pt idx="2218">
                  <c:v>0.456788569688797</c:v>
                </c:pt>
                <c:pt idx="2219">
                  <c:v>0.45722848176956199</c:v>
                </c:pt>
                <c:pt idx="2220">
                  <c:v>0.45779997110366799</c:v>
                </c:pt>
                <c:pt idx="2221">
                  <c:v>0.45825791358947798</c:v>
                </c:pt>
                <c:pt idx="2222">
                  <c:v>0.45876556634902999</c:v>
                </c:pt>
                <c:pt idx="2223">
                  <c:v>0.45925959944724998</c:v>
                </c:pt>
                <c:pt idx="2224">
                  <c:v>0.45979207754135099</c:v>
                </c:pt>
                <c:pt idx="2225">
                  <c:v>0.46024975180625899</c:v>
                </c:pt>
                <c:pt idx="2226">
                  <c:v>0.46081387996673601</c:v>
                </c:pt>
                <c:pt idx="2227">
                  <c:v>0.461281597614288</c:v>
                </c:pt>
                <c:pt idx="2228">
                  <c:v>0.46184214949607799</c:v>
                </c:pt>
                <c:pt idx="2229">
                  <c:v>0.46220910549163802</c:v>
                </c:pt>
                <c:pt idx="2230">
                  <c:v>0.46277314424514798</c:v>
                </c:pt>
                <c:pt idx="2231">
                  <c:v>0.46340167522430398</c:v>
                </c:pt>
                <c:pt idx="2232">
                  <c:v>0.46379697322845498</c:v>
                </c:pt>
                <c:pt idx="2233">
                  <c:v>0.46430167555808999</c:v>
                </c:pt>
                <c:pt idx="2234">
                  <c:v>0.46487072110176098</c:v>
                </c:pt>
                <c:pt idx="2235">
                  <c:v>0.46530887484550498</c:v>
                </c:pt>
                <c:pt idx="2236">
                  <c:v>0.46567261219024703</c:v>
                </c:pt>
                <c:pt idx="2237">
                  <c:v>0.46619957685470598</c:v>
                </c:pt>
                <c:pt idx="2238">
                  <c:v>0.466803729534149</c:v>
                </c:pt>
                <c:pt idx="2239">
                  <c:v>0.46726271510124201</c:v>
                </c:pt>
                <c:pt idx="2240">
                  <c:v>0.467776119709015</c:v>
                </c:pt>
                <c:pt idx="2241">
                  <c:v>0.468358904123306</c:v>
                </c:pt>
                <c:pt idx="2242">
                  <c:v>0.46870669722557101</c:v>
                </c:pt>
                <c:pt idx="2243">
                  <c:v>0.46924617886543302</c:v>
                </c:pt>
                <c:pt idx="2244">
                  <c:v>0.46985363960266102</c:v>
                </c:pt>
                <c:pt idx="2245">
                  <c:v>0.47028928995132402</c:v>
                </c:pt>
                <c:pt idx="2246">
                  <c:v>0.47064238786697399</c:v>
                </c:pt>
                <c:pt idx="2247">
                  <c:v>0.47130727767944303</c:v>
                </c:pt>
                <c:pt idx="2248">
                  <c:v>0.47160109877586398</c:v>
                </c:pt>
                <c:pt idx="2249">
                  <c:v>0.47216719388961798</c:v>
                </c:pt>
                <c:pt idx="2250">
                  <c:v>0.47277325391769398</c:v>
                </c:pt>
                <c:pt idx="2251">
                  <c:v>0.47331395745277399</c:v>
                </c:pt>
                <c:pt idx="2252">
                  <c:v>0.47350057959556602</c:v>
                </c:pt>
                <c:pt idx="2253">
                  <c:v>0.47422578930854797</c:v>
                </c:pt>
                <c:pt idx="2254">
                  <c:v>0.47466579079628002</c:v>
                </c:pt>
                <c:pt idx="2255">
                  <c:v>0.475010335445404</c:v>
                </c:pt>
                <c:pt idx="2256">
                  <c:v>0.47564527392387401</c:v>
                </c:pt>
                <c:pt idx="2257">
                  <c:v>0.47627079486846902</c:v>
                </c:pt>
                <c:pt idx="2258">
                  <c:v>0.47659313678741499</c:v>
                </c:pt>
                <c:pt idx="2259">
                  <c:v>0.47712951898574801</c:v>
                </c:pt>
                <c:pt idx="2260">
                  <c:v>0.47757178544998202</c:v>
                </c:pt>
                <c:pt idx="2261">
                  <c:v>0.47816622257232699</c:v>
                </c:pt>
                <c:pt idx="2262">
                  <c:v>0.47862195968627902</c:v>
                </c:pt>
                <c:pt idx="2263">
                  <c:v>0.47914898395538302</c:v>
                </c:pt>
                <c:pt idx="2264">
                  <c:v>0.47962707281112699</c:v>
                </c:pt>
                <c:pt idx="2265">
                  <c:v>0.48023685812950101</c:v>
                </c:pt>
                <c:pt idx="2266">
                  <c:v>0.48061636090278598</c:v>
                </c:pt>
                <c:pt idx="2267">
                  <c:v>0.48130863904952997</c:v>
                </c:pt>
                <c:pt idx="2268">
                  <c:v>0.48172518610954301</c:v>
                </c:pt>
                <c:pt idx="2269">
                  <c:v>0.48219069838523898</c:v>
                </c:pt>
                <c:pt idx="2270">
                  <c:v>0.48265817761421198</c:v>
                </c:pt>
                <c:pt idx="2271">
                  <c:v>0.48325505852699302</c:v>
                </c:pt>
                <c:pt idx="2272">
                  <c:v>0.48369508981704701</c:v>
                </c:pt>
                <c:pt idx="2273">
                  <c:v>0.48420476913452098</c:v>
                </c:pt>
                <c:pt idx="2274">
                  <c:v>0.48474565148353599</c:v>
                </c:pt>
                <c:pt idx="2275">
                  <c:v>0.48531287908554099</c:v>
                </c:pt>
                <c:pt idx="2276">
                  <c:v>0.48561185598373402</c:v>
                </c:pt>
                <c:pt idx="2277">
                  <c:v>0.48625642061233498</c:v>
                </c:pt>
                <c:pt idx="2278">
                  <c:v>0.48675781488418601</c:v>
                </c:pt>
                <c:pt idx="2279">
                  <c:v>0.487084239721298</c:v>
                </c:pt>
                <c:pt idx="2280">
                  <c:v>0.48761439323425299</c:v>
                </c:pt>
                <c:pt idx="2281">
                  <c:v>0.48827061057090798</c:v>
                </c:pt>
                <c:pt idx="2282">
                  <c:v>0.48857066035270702</c:v>
                </c:pt>
                <c:pt idx="2283">
                  <c:v>0.48904991149902299</c:v>
                </c:pt>
                <c:pt idx="2284">
                  <c:v>0.48967838287353499</c:v>
                </c:pt>
                <c:pt idx="2285">
                  <c:v>0.49013561010360701</c:v>
                </c:pt>
                <c:pt idx="2286">
                  <c:v>0.49058598279952997</c:v>
                </c:pt>
                <c:pt idx="2287">
                  <c:v>0.49123805761337302</c:v>
                </c:pt>
                <c:pt idx="2288">
                  <c:v>0.49156683683395402</c:v>
                </c:pt>
                <c:pt idx="2289">
                  <c:v>0.49227982759475702</c:v>
                </c:pt>
                <c:pt idx="2290">
                  <c:v>0.49253460764884899</c:v>
                </c:pt>
                <c:pt idx="2291">
                  <c:v>0.49308794736862199</c:v>
                </c:pt>
                <c:pt idx="2292">
                  <c:v>0.49378845095634499</c:v>
                </c:pt>
                <c:pt idx="2293">
                  <c:v>0.49424859881401101</c:v>
                </c:pt>
                <c:pt idx="2294">
                  <c:v>0.49472489953041099</c:v>
                </c:pt>
                <c:pt idx="2295">
                  <c:v>0.49529927968978898</c:v>
                </c:pt>
                <c:pt idx="2296">
                  <c:v>0.49575075507164001</c:v>
                </c:pt>
                <c:pt idx="2297">
                  <c:v>0.49606919288635298</c:v>
                </c:pt>
                <c:pt idx="2298">
                  <c:v>0.496722161769867</c:v>
                </c:pt>
                <c:pt idx="2299">
                  <c:v>0.497270077466965</c:v>
                </c:pt>
                <c:pt idx="2300">
                  <c:v>0.497590601444244</c:v>
                </c:pt>
                <c:pt idx="2301">
                  <c:v>0.49825814366340598</c:v>
                </c:pt>
                <c:pt idx="2302">
                  <c:v>0.49887830018997198</c:v>
                </c:pt>
                <c:pt idx="2303">
                  <c:v>0.49925905466079701</c:v>
                </c:pt>
                <c:pt idx="2304">
                  <c:v>0.49961283802986101</c:v>
                </c:pt>
                <c:pt idx="2305">
                  <c:v>0.50036358833312999</c:v>
                </c:pt>
                <c:pt idx="2306">
                  <c:v>0.50080478191375699</c:v>
                </c:pt>
                <c:pt idx="2307">
                  <c:v>0.50130891799926802</c:v>
                </c:pt>
                <c:pt idx="2308">
                  <c:v>0.50171202421188399</c:v>
                </c:pt>
                <c:pt idx="2309">
                  <c:v>0.50232177972793601</c:v>
                </c:pt>
                <c:pt idx="2310">
                  <c:v>0.50278723239898704</c:v>
                </c:pt>
                <c:pt idx="2311">
                  <c:v>0.50327783823013295</c:v>
                </c:pt>
                <c:pt idx="2312">
                  <c:v>0.50388216972351096</c:v>
                </c:pt>
                <c:pt idx="2313">
                  <c:v>0.50423961877822898</c:v>
                </c:pt>
                <c:pt idx="2314">
                  <c:v>0.504663586616516</c:v>
                </c:pt>
                <c:pt idx="2315">
                  <c:v>0.50520962476730302</c:v>
                </c:pt>
                <c:pt idx="2316">
                  <c:v>0.50586348772048995</c:v>
                </c:pt>
                <c:pt idx="2317">
                  <c:v>0.50632894039154097</c:v>
                </c:pt>
                <c:pt idx="2318">
                  <c:v>0.50668329000473</c:v>
                </c:pt>
                <c:pt idx="2319">
                  <c:v>0.50715410709381104</c:v>
                </c:pt>
                <c:pt idx="2320">
                  <c:v>0.50772100687027</c:v>
                </c:pt>
                <c:pt idx="2321">
                  <c:v>0.50831347703933705</c:v>
                </c:pt>
                <c:pt idx="2322">
                  <c:v>0.50871115922927901</c:v>
                </c:pt>
                <c:pt idx="2323">
                  <c:v>0.50926142930984497</c:v>
                </c:pt>
                <c:pt idx="2324">
                  <c:v>0.50975543260574296</c:v>
                </c:pt>
                <c:pt idx="2325">
                  <c:v>0.51016891002654996</c:v>
                </c:pt>
                <c:pt idx="2326">
                  <c:v>0.51054221391677901</c:v>
                </c:pt>
                <c:pt idx="2327">
                  <c:v>0.51127243041992199</c:v>
                </c:pt>
                <c:pt idx="2328">
                  <c:v>0.511671543121338</c:v>
                </c:pt>
                <c:pt idx="2329">
                  <c:v>0.51219481229782104</c:v>
                </c:pt>
                <c:pt idx="2330">
                  <c:v>0.51263475418090798</c:v>
                </c:pt>
                <c:pt idx="2331">
                  <c:v>0.51306015253067005</c:v>
                </c:pt>
                <c:pt idx="2332">
                  <c:v>0.51351267099380504</c:v>
                </c:pt>
                <c:pt idx="2333">
                  <c:v>0.514218389987946</c:v>
                </c:pt>
                <c:pt idx="2334">
                  <c:v>0.51468974351882901</c:v>
                </c:pt>
                <c:pt idx="2335">
                  <c:v>0.51512908935546897</c:v>
                </c:pt>
                <c:pt idx="2336">
                  <c:v>0.51562446355819702</c:v>
                </c:pt>
                <c:pt idx="2337">
                  <c:v>0.51606780290603604</c:v>
                </c:pt>
                <c:pt idx="2338">
                  <c:v>0.51651781797409102</c:v>
                </c:pt>
                <c:pt idx="2339">
                  <c:v>0.51705998182296797</c:v>
                </c:pt>
                <c:pt idx="2340">
                  <c:v>0.51764595508575395</c:v>
                </c:pt>
                <c:pt idx="2341">
                  <c:v>0.51815938949585005</c:v>
                </c:pt>
                <c:pt idx="2342">
                  <c:v>0.518632292747498</c:v>
                </c:pt>
                <c:pt idx="2343">
                  <c:v>0.51910501718521096</c:v>
                </c:pt>
                <c:pt idx="2344">
                  <c:v>0.51966756582260099</c:v>
                </c:pt>
                <c:pt idx="2345">
                  <c:v>0.52018827199935902</c:v>
                </c:pt>
                <c:pt idx="2346">
                  <c:v>0.52064126729965199</c:v>
                </c:pt>
                <c:pt idx="2347">
                  <c:v>0.52112674713134799</c:v>
                </c:pt>
                <c:pt idx="2348">
                  <c:v>0.52171599864959695</c:v>
                </c:pt>
                <c:pt idx="2349">
                  <c:v>0.52227455377578702</c:v>
                </c:pt>
                <c:pt idx="2350">
                  <c:v>0.52265006303787198</c:v>
                </c:pt>
                <c:pt idx="2351">
                  <c:v>0.52312076091766402</c:v>
                </c:pt>
                <c:pt idx="2352">
                  <c:v>0.52376109361648604</c:v>
                </c:pt>
                <c:pt idx="2353">
                  <c:v>0.52429229021072399</c:v>
                </c:pt>
                <c:pt idx="2354">
                  <c:v>0.52469480037689198</c:v>
                </c:pt>
                <c:pt idx="2355">
                  <c:v>0.52533942461013805</c:v>
                </c:pt>
                <c:pt idx="2356">
                  <c:v>0.525593280792236</c:v>
                </c:pt>
                <c:pt idx="2357">
                  <c:v>0.52610385417938199</c:v>
                </c:pt>
                <c:pt idx="2358">
                  <c:v>0.52691280841827404</c:v>
                </c:pt>
                <c:pt idx="2359">
                  <c:v>0.52723437547683705</c:v>
                </c:pt>
                <c:pt idx="2360">
                  <c:v>0.52754670381545998</c:v>
                </c:pt>
                <c:pt idx="2361">
                  <c:v>0.52825492620468095</c:v>
                </c:pt>
                <c:pt idx="2362">
                  <c:v>0.52885419130325295</c:v>
                </c:pt>
                <c:pt idx="2363">
                  <c:v>0.52919501066207897</c:v>
                </c:pt>
                <c:pt idx="2364">
                  <c:v>0.52965861558914196</c:v>
                </c:pt>
                <c:pt idx="2365">
                  <c:v>0.53043383359909102</c:v>
                </c:pt>
                <c:pt idx="2366">
                  <c:v>0.53075772523880005</c:v>
                </c:pt>
                <c:pt idx="2367">
                  <c:v>0.53108036518096902</c:v>
                </c:pt>
                <c:pt idx="2368">
                  <c:v>0.53181260824203502</c:v>
                </c:pt>
                <c:pt idx="2369">
                  <c:v>0.53237479925155595</c:v>
                </c:pt>
                <c:pt idx="2370">
                  <c:v>0.53258275985717796</c:v>
                </c:pt>
                <c:pt idx="2371">
                  <c:v>0.53321111202240001</c:v>
                </c:pt>
                <c:pt idx="2372">
                  <c:v>0.53379821777343806</c:v>
                </c:pt>
                <c:pt idx="2373">
                  <c:v>0.53416532278060902</c:v>
                </c:pt>
                <c:pt idx="2374">
                  <c:v>0.534662365913391</c:v>
                </c:pt>
                <c:pt idx="2375">
                  <c:v>0.53526264429092396</c:v>
                </c:pt>
                <c:pt idx="2376">
                  <c:v>0.53569298982620195</c:v>
                </c:pt>
                <c:pt idx="2377">
                  <c:v>0.53614032268524203</c:v>
                </c:pt>
                <c:pt idx="2378">
                  <c:v>0.53656876087188698</c:v>
                </c:pt>
                <c:pt idx="2379">
                  <c:v>0.53719514608383201</c:v>
                </c:pt>
                <c:pt idx="2380">
                  <c:v>0.53769242763519298</c:v>
                </c:pt>
                <c:pt idx="2381">
                  <c:v>0.53819042444229104</c:v>
                </c:pt>
                <c:pt idx="2382">
                  <c:v>0.53868895769119296</c:v>
                </c:pt>
                <c:pt idx="2383">
                  <c:v>0.53935456275939897</c:v>
                </c:pt>
                <c:pt idx="2384">
                  <c:v>0.53957730531692505</c:v>
                </c:pt>
                <c:pt idx="2385">
                  <c:v>0.54012769460678101</c:v>
                </c:pt>
                <c:pt idx="2386">
                  <c:v>0.54085367918014504</c:v>
                </c:pt>
                <c:pt idx="2387">
                  <c:v>0.54129076004028298</c:v>
                </c:pt>
                <c:pt idx="2388">
                  <c:v>0.54163515567779497</c:v>
                </c:pt>
                <c:pt idx="2389">
                  <c:v>0.54232078790664695</c:v>
                </c:pt>
                <c:pt idx="2390">
                  <c:v>0.54274159669876099</c:v>
                </c:pt>
                <c:pt idx="2391">
                  <c:v>0.54314583539962802</c:v>
                </c:pt>
                <c:pt idx="2392">
                  <c:v>0.54379439353942904</c:v>
                </c:pt>
                <c:pt idx="2393">
                  <c:v>0.54431951045990001</c:v>
                </c:pt>
                <c:pt idx="2394">
                  <c:v>0.54477316141128496</c:v>
                </c:pt>
                <c:pt idx="2395">
                  <c:v>0.54517924785614003</c:v>
                </c:pt>
                <c:pt idx="2396">
                  <c:v>0.54568707942962602</c:v>
                </c:pt>
                <c:pt idx="2397">
                  <c:v>0.54621046781539895</c:v>
                </c:pt>
                <c:pt idx="2398">
                  <c:v>0.54666107892990101</c:v>
                </c:pt>
                <c:pt idx="2399">
                  <c:v>0.54723268747329701</c:v>
                </c:pt>
                <c:pt idx="2400">
                  <c:v>0.54775321483612105</c:v>
                </c:pt>
                <c:pt idx="2401">
                  <c:v>0.54830431938171398</c:v>
                </c:pt>
                <c:pt idx="2402">
                  <c:v>0.54862898588180498</c:v>
                </c:pt>
                <c:pt idx="2403">
                  <c:v>0.54920643568038896</c:v>
                </c:pt>
                <c:pt idx="2404">
                  <c:v>0.54971659183502197</c:v>
                </c:pt>
                <c:pt idx="2405">
                  <c:v>0.55017578601837203</c:v>
                </c:pt>
                <c:pt idx="2406">
                  <c:v>0.55062699317932096</c:v>
                </c:pt>
                <c:pt idx="2407">
                  <c:v>0.55145072937011697</c:v>
                </c:pt>
                <c:pt idx="2408">
                  <c:v>0.55158805847168002</c:v>
                </c:pt>
                <c:pt idx="2409">
                  <c:v>0.552079558372498</c:v>
                </c:pt>
                <c:pt idx="2410">
                  <c:v>0.552615106105804</c:v>
                </c:pt>
                <c:pt idx="2411">
                  <c:v>0.55327028036117598</c:v>
                </c:pt>
                <c:pt idx="2412">
                  <c:v>0.55364221334457397</c:v>
                </c:pt>
                <c:pt idx="2413">
                  <c:v>0.55416506528854403</c:v>
                </c:pt>
                <c:pt idx="2414">
                  <c:v>0.55460071563720703</c:v>
                </c:pt>
                <c:pt idx="2415">
                  <c:v>0.55507981777191195</c:v>
                </c:pt>
                <c:pt idx="2416">
                  <c:v>0.55565226078033403</c:v>
                </c:pt>
                <c:pt idx="2417">
                  <c:v>0.556199431419373</c:v>
                </c:pt>
                <c:pt idx="2418">
                  <c:v>0.55678665637970004</c:v>
                </c:pt>
                <c:pt idx="2419">
                  <c:v>0.55706965923309304</c:v>
                </c:pt>
                <c:pt idx="2420">
                  <c:v>0.55757641792297397</c:v>
                </c:pt>
                <c:pt idx="2421">
                  <c:v>0.55819648504257202</c:v>
                </c:pt>
                <c:pt idx="2422">
                  <c:v>0.55870670080184903</c:v>
                </c:pt>
                <c:pt idx="2423">
                  <c:v>0.55926012992858898</c:v>
                </c:pt>
                <c:pt idx="2424">
                  <c:v>0.55967557430267301</c:v>
                </c:pt>
                <c:pt idx="2425">
                  <c:v>0.56026369333267201</c:v>
                </c:pt>
                <c:pt idx="2426">
                  <c:v>0.56066572666168202</c:v>
                </c:pt>
                <c:pt idx="2427">
                  <c:v>0.56120830774307295</c:v>
                </c:pt>
                <c:pt idx="2428">
                  <c:v>0.56157439947128296</c:v>
                </c:pt>
                <c:pt idx="2429">
                  <c:v>0.56222629547119096</c:v>
                </c:pt>
                <c:pt idx="2430">
                  <c:v>0.56265032291412398</c:v>
                </c:pt>
                <c:pt idx="2431">
                  <c:v>0.56314194202423096</c:v>
                </c:pt>
                <c:pt idx="2432">
                  <c:v>0.56363296508789096</c:v>
                </c:pt>
                <c:pt idx="2433">
                  <c:v>0.56414437294006303</c:v>
                </c:pt>
                <c:pt idx="2434">
                  <c:v>0.56447350978851296</c:v>
                </c:pt>
                <c:pt idx="2435">
                  <c:v>0.56514477729797397</c:v>
                </c:pt>
                <c:pt idx="2436">
                  <c:v>0.56560981273651101</c:v>
                </c:pt>
                <c:pt idx="2437">
                  <c:v>0.56603187322616599</c:v>
                </c:pt>
                <c:pt idx="2438">
                  <c:v>0.56658226251602195</c:v>
                </c:pt>
                <c:pt idx="2439">
                  <c:v>0.56699383258819602</c:v>
                </c:pt>
                <c:pt idx="2440">
                  <c:v>0.56749731302261397</c:v>
                </c:pt>
                <c:pt idx="2441">
                  <c:v>0.56821590662002597</c:v>
                </c:pt>
                <c:pt idx="2442">
                  <c:v>0.56852179765701305</c:v>
                </c:pt>
                <c:pt idx="2443">
                  <c:v>0.56901097297668501</c:v>
                </c:pt>
                <c:pt idx="2444">
                  <c:v>0.56961429119110096</c:v>
                </c:pt>
                <c:pt idx="2445">
                  <c:v>0.56994438171386697</c:v>
                </c:pt>
                <c:pt idx="2446">
                  <c:v>0.570467948913574</c:v>
                </c:pt>
                <c:pt idx="2447">
                  <c:v>0.57115775346756004</c:v>
                </c:pt>
                <c:pt idx="2448">
                  <c:v>0.57154518365859996</c:v>
                </c:pt>
                <c:pt idx="2449">
                  <c:v>0.57218080759048495</c:v>
                </c:pt>
                <c:pt idx="2450">
                  <c:v>0.57264739274978604</c:v>
                </c:pt>
                <c:pt idx="2451">
                  <c:v>0.57312792539596602</c:v>
                </c:pt>
                <c:pt idx="2452">
                  <c:v>0.57359617948532104</c:v>
                </c:pt>
                <c:pt idx="2453">
                  <c:v>0.57412421703338601</c:v>
                </c:pt>
                <c:pt idx="2454">
                  <c:v>0.57474559545517001</c:v>
                </c:pt>
                <c:pt idx="2455">
                  <c:v>0.57515352964401201</c:v>
                </c:pt>
                <c:pt idx="2456">
                  <c:v>0.575567126274109</c:v>
                </c:pt>
                <c:pt idx="2457">
                  <c:v>0.57626789808273304</c:v>
                </c:pt>
                <c:pt idx="2458">
                  <c:v>0.57677859067916903</c:v>
                </c:pt>
                <c:pt idx="2459">
                  <c:v>0.57707452774047896</c:v>
                </c:pt>
                <c:pt idx="2460">
                  <c:v>0.57764714956283603</c:v>
                </c:pt>
                <c:pt idx="2461">
                  <c:v>0.57831627130508401</c:v>
                </c:pt>
                <c:pt idx="2462">
                  <c:v>0.57865005731582597</c:v>
                </c:pt>
                <c:pt idx="2463">
                  <c:v>0.57924109697341897</c:v>
                </c:pt>
                <c:pt idx="2464">
                  <c:v>0.57978302240371704</c:v>
                </c:pt>
                <c:pt idx="2465">
                  <c:v>0.58025723695755005</c:v>
                </c:pt>
                <c:pt idx="2466">
                  <c:v>0.58059644699096702</c:v>
                </c:pt>
                <c:pt idx="2467">
                  <c:v>0.58125889301300004</c:v>
                </c:pt>
                <c:pt idx="2468">
                  <c:v>0.58165431022643999</c:v>
                </c:pt>
                <c:pt idx="2469">
                  <c:v>0.58219099044799805</c:v>
                </c:pt>
                <c:pt idx="2470">
                  <c:v>0.58264589309692405</c:v>
                </c:pt>
                <c:pt idx="2471">
                  <c:v>0.583113193511963</c:v>
                </c:pt>
                <c:pt idx="2472">
                  <c:v>0.58373647928237904</c:v>
                </c:pt>
                <c:pt idx="2473">
                  <c:v>0.58429914712905895</c:v>
                </c:pt>
                <c:pt idx="2474">
                  <c:v>0.58454322814941395</c:v>
                </c:pt>
                <c:pt idx="2475">
                  <c:v>0.58517426252365101</c:v>
                </c:pt>
                <c:pt idx="2476">
                  <c:v>0.58558559417724598</c:v>
                </c:pt>
                <c:pt idx="2477">
                  <c:v>0.58614939451217696</c:v>
                </c:pt>
                <c:pt idx="2478">
                  <c:v>0.58667623996734597</c:v>
                </c:pt>
                <c:pt idx="2479">
                  <c:v>0.58710360527038596</c:v>
                </c:pt>
                <c:pt idx="2480">
                  <c:v>0.58756685256957997</c:v>
                </c:pt>
                <c:pt idx="2481">
                  <c:v>0.58808219432830799</c:v>
                </c:pt>
                <c:pt idx="2482">
                  <c:v>0.58868741989135698</c:v>
                </c:pt>
                <c:pt idx="2483">
                  <c:v>0.58921104669570901</c:v>
                </c:pt>
                <c:pt idx="2484">
                  <c:v>0.58950394392013505</c:v>
                </c:pt>
                <c:pt idx="2485">
                  <c:v>0.59006315469741799</c:v>
                </c:pt>
                <c:pt idx="2486">
                  <c:v>0.59061884880065896</c:v>
                </c:pt>
                <c:pt idx="2487">
                  <c:v>0.59101563692092896</c:v>
                </c:pt>
                <c:pt idx="2488">
                  <c:v>0.59144377708435103</c:v>
                </c:pt>
                <c:pt idx="2489">
                  <c:v>0.59205889701843295</c:v>
                </c:pt>
                <c:pt idx="2490">
                  <c:v>0.59267747402191195</c:v>
                </c:pt>
                <c:pt idx="2491">
                  <c:v>0.59304767847061202</c:v>
                </c:pt>
                <c:pt idx="2492">
                  <c:v>0.593572437763214</c:v>
                </c:pt>
                <c:pt idx="2493">
                  <c:v>0.59406125545501698</c:v>
                </c:pt>
                <c:pt idx="2494">
                  <c:v>0.59459149837493896</c:v>
                </c:pt>
                <c:pt idx="2495">
                  <c:v>0.59506618976592995</c:v>
                </c:pt>
                <c:pt idx="2496">
                  <c:v>0.595511734485626</c:v>
                </c:pt>
                <c:pt idx="2497">
                  <c:v>0.59615093469619795</c:v>
                </c:pt>
                <c:pt idx="2498">
                  <c:v>0.59659206867217995</c:v>
                </c:pt>
                <c:pt idx="2499">
                  <c:v>0.59710824489593495</c:v>
                </c:pt>
                <c:pt idx="2500">
                  <c:v>0.597642481327057</c:v>
                </c:pt>
                <c:pt idx="2501">
                  <c:v>0.59818845987319902</c:v>
                </c:pt>
                <c:pt idx="2502">
                  <c:v>0.59860414266586304</c:v>
                </c:pt>
                <c:pt idx="2503">
                  <c:v>0.59911018610000599</c:v>
                </c:pt>
                <c:pt idx="2504">
                  <c:v>0.59987962245941195</c:v>
                </c:pt>
                <c:pt idx="2505">
                  <c:v>0.59902077913284302</c:v>
                </c:pt>
                <c:pt idx="2506">
                  <c:v>0.59856808185577404</c:v>
                </c:pt>
                <c:pt idx="2507">
                  <c:v>0.59815877676010099</c:v>
                </c:pt>
                <c:pt idx="2508">
                  <c:v>0.59753340482711803</c:v>
                </c:pt>
                <c:pt idx="2509">
                  <c:v>0.59720754623413097</c:v>
                </c:pt>
                <c:pt idx="2510">
                  <c:v>0.596629679203033</c:v>
                </c:pt>
                <c:pt idx="2511">
                  <c:v>0.59605443477630604</c:v>
                </c:pt>
                <c:pt idx="2512">
                  <c:v>0.59539085626602195</c:v>
                </c:pt>
                <c:pt idx="2513">
                  <c:v>0.595092833042145</c:v>
                </c:pt>
                <c:pt idx="2514">
                  <c:v>0.59459787607193004</c:v>
                </c:pt>
                <c:pt idx="2515">
                  <c:v>0.59423059225082397</c:v>
                </c:pt>
                <c:pt idx="2516">
                  <c:v>0.59360039234161399</c:v>
                </c:pt>
                <c:pt idx="2517">
                  <c:v>0.59315496683120705</c:v>
                </c:pt>
                <c:pt idx="2518">
                  <c:v>0.59256756305694602</c:v>
                </c:pt>
                <c:pt idx="2519">
                  <c:v>0.59211283922195401</c:v>
                </c:pt>
                <c:pt idx="2520">
                  <c:v>0.59173721075057995</c:v>
                </c:pt>
                <c:pt idx="2521">
                  <c:v>0.59113955497741699</c:v>
                </c:pt>
                <c:pt idx="2522">
                  <c:v>0.59052360057830799</c:v>
                </c:pt>
                <c:pt idx="2523">
                  <c:v>0.59016072750091597</c:v>
                </c:pt>
                <c:pt idx="2524">
                  <c:v>0.58964079618454002</c:v>
                </c:pt>
                <c:pt idx="2525">
                  <c:v>0.58913594484329201</c:v>
                </c:pt>
                <c:pt idx="2526">
                  <c:v>0.58853060007095304</c:v>
                </c:pt>
                <c:pt idx="2527">
                  <c:v>0.58811795711517301</c:v>
                </c:pt>
                <c:pt idx="2528">
                  <c:v>0.58761554956436202</c:v>
                </c:pt>
                <c:pt idx="2529">
                  <c:v>0.58711504936218295</c:v>
                </c:pt>
                <c:pt idx="2530">
                  <c:v>0.586536705493927</c:v>
                </c:pt>
                <c:pt idx="2531">
                  <c:v>0.58619403839111295</c:v>
                </c:pt>
                <c:pt idx="2532">
                  <c:v>0.58541911840438798</c:v>
                </c:pt>
                <c:pt idx="2533">
                  <c:v>0.58493572473526001</c:v>
                </c:pt>
                <c:pt idx="2534">
                  <c:v>0.58450621366500899</c:v>
                </c:pt>
                <c:pt idx="2535">
                  <c:v>0.58390867710113503</c:v>
                </c:pt>
                <c:pt idx="2536">
                  <c:v>0.58353173732757602</c:v>
                </c:pt>
                <c:pt idx="2537">
                  <c:v>0.58315980434417702</c:v>
                </c:pt>
                <c:pt idx="2538">
                  <c:v>0.58267807960510298</c:v>
                </c:pt>
                <c:pt idx="2539">
                  <c:v>0.58207106590270996</c:v>
                </c:pt>
                <c:pt idx="2540">
                  <c:v>0.581620573997498</c:v>
                </c:pt>
                <c:pt idx="2541">
                  <c:v>0.58103621006011996</c:v>
                </c:pt>
                <c:pt idx="2542">
                  <c:v>0.58059561252594005</c:v>
                </c:pt>
                <c:pt idx="2543">
                  <c:v>0.58006113767623901</c:v>
                </c:pt>
                <c:pt idx="2544">
                  <c:v>0.57964658737182595</c:v>
                </c:pt>
                <c:pt idx="2545">
                  <c:v>0.57909214496612504</c:v>
                </c:pt>
                <c:pt idx="2546">
                  <c:v>0.57865643501281705</c:v>
                </c:pt>
                <c:pt idx="2547">
                  <c:v>0.57818239927291903</c:v>
                </c:pt>
                <c:pt idx="2548">
                  <c:v>0.57764935493469205</c:v>
                </c:pt>
                <c:pt idx="2549">
                  <c:v>0.57713937759399403</c:v>
                </c:pt>
                <c:pt idx="2550">
                  <c:v>0.57674384117126498</c:v>
                </c:pt>
                <c:pt idx="2551">
                  <c:v>0.57605910301208496</c:v>
                </c:pt>
                <c:pt idx="2552">
                  <c:v>0.57546228170394897</c:v>
                </c:pt>
                <c:pt idx="2553">
                  <c:v>0.57501381635665905</c:v>
                </c:pt>
                <c:pt idx="2554">
                  <c:v>0.574704170227051</c:v>
                </c:pt>
                <c:pt idx="2555">
                  <c:v>0.57397890090942405</c:v>
                </c:pt>
                <c:pt idx="2556">
                  <c:v>0.57338678836822499</c:v>
                </c:pt>
                <c:pt idx="2557">
                  <c:v>0.57300287485122703</c:v>
                </c:pt>
                <c:pt idx="2558">
                  <c:v>0.57247328758239702</c:v>
                </c:pt>
                <c:pt idx="2559">
                  <c:v>0.57180678844451904</c:v>
                </c:pt>
                <c:pt idx="2560">
                  <c:v>0.57168680429458596</c:v>
                </c:pt>
                <c:pt idx="2561">
                  <c:v>0.57093310356140103</c:v>
                </c:pt>
                <c:pt idx="2562">
                  <c:v>0.57045727968215898</c:v>
                </c:pt>
                <c:pt idx="2563">
                  <c:v>0.57018339633941695</c:v>
                </c:pt>
                <c:pt idx="2564">
                  <c:v>0.569599509239197</c:v>
                </c:pt>
                <c:pt idx="2565">
                  <c:v>0.56888818740844704</c:v>
                </c:pt>
                <c:pt idx="2566">
                  <c:v>0.56867092847824097</c:v>
                </c:pt>
                <c:pt idx="2567">
                  <c:v>0.56812399625778198</c:v>
                </c:pt>
                <c:pt idx="2568">
                  <c:v>0.56766462326049805</c:v>
                </c:pt>
                <c:pt idx="2569">
                  <c:v>0.56706148386001598</c:v>
                </c:pt>
                <c:pt idx="2570">
                  <c:v>0.56662714481353804</c:v>
                </c:pt>
                <c:pt idx="2571">
                  <c:v>0.56625682115554798</c:v>
                </c:pt>
                <c:pt idx="2572">
                  <c:v>0.56562709808349598</c:v>
                </c:pt>
                <c:pt idx="2573">
                  <c:v>0.56512379646301303</c:v>
                </c:pt>
                <c:pt idx="2574">
                  <c:v>0.56464892625808705</c:v>
                </c:pt>
                <c:pt idx="2575">
                  <c:v>0.56403791904449496</c:v>
                </c:pt>
                <c:pt idx="2576">
                  <c:v>0.56357580423355103</c:v>
                </c:pt>
                <c:pt idx="2577">
                  <c:v>0.56307214498519897</c:v>
                </c:pt>
                <c:pt idx="2578">
                  <c:v>0.56256240606307995</c:v>
                </c:pt>
                <c:pt idx="2579">
                  <c:v>0.56191349029541005</c:v>
                </c:pt>
                <c:pt idx="2580">
                  <c:v>0.56148952245712302</c:v>
                </c:pt>
                <c:pt idx="2581">
                  <c:v>0.56115627288818404</c:v>
                </c:pt>
                <c:pt idx="2582">
                  <c:v>0.56043368577957198</c:v>
                </c:pt>
                <c:pt idx="2583">
                  <c:v>0.56001806259155296</c:v>
                </c:pt>
                <c:pt idx="2584">
                  <c:v>0.55976241827011097</c:v>
                </c:pt>
                <c:pt idx="2585">
                  <c:v>0.55911248922348</c:v>
                </c:pt>
                <c:pt idx="2586">
                  <c:v>0.55862623453140303</c:v>
                </c:pt>
                <c:pt idx="2587">
                  <c:v>0.55814796686172496</c:v>
                </c:pt>
                <c:pt idx="2588">
                  <c:v>0.55766850709915206</c:v>
                </c:pt>
                <c:pt idx="2589">
                  <c:v>0.55724436044693004</c:v>
                </c:pt>
                <c:pt idx="2590">
                  <c:v>0.55672729015350297</c:v>
                </c:pt>
                <c:pt idx="2591">
                  <c:v>0.55617380142211903</c:v>
                </c:pt>
                <c:pt idx="2592">
                  <c:v>0.55556863546371504</c:v>
                </c:pt>
                <c:pt idx="2593">
                  <c:v>0.55505460500717196</c:v>
                </c:pt>
                <c:pt idx="2594">
                  <c:v>0.55463147163391102</c:v>
                </c:pt>
                <c:pt idx="2595">
                  <c:v>0.55408436059951804</c:v>
                </c:pt>
                <c:pt idx="2596">
                  <c:v>0.55358839035034202</c:v>
                </c:pt>
                <c:pt idx="2597">
                  <c:v>0.55317455530166604</c:v>
                </c:pt>
                <c:pt idx="2598">
                  <c:v>0.55260974168777499</c:v>
                </c:pt>
                <c:pt idx="2599">
                  <c:v>0.55199384689331099</c:v>
                </c:pt>
                <c:pt idx="2600">
                  <c:v>0.55155056715011597</c:v>
                </c:pt>
                <c:pt idx="2601">
                  <c:v>0.55104523897170998</c:v>
                </c:pt>
                <c:pt idx="2602">
                  <c:v>0.55059945583343495</c:v>
                </c:pt>
                <c:pt idx="2603">
                  <c:v>0.55000835657119795</c:v>
                </c:pt>
                <c:pt idx="2604">
                  <c:v>0.54955041408538796</c:v>
                </c:pt>
                <c:pt idx="2605">
                  <c:v>0.54906994104385398</c:v>
                </c:pt>
                <c:pt idx="2606">
                  <c:v>0.54859161376953103</c:v>
                </c:pt>
                <c:pt idx="2607">
                  <c:v>0.54807990789413497</c:v>
                </c:pt>
                <c:pt idx="2608">
                  <c:v>0.54761207103729204</c:v>
                </c:pt>
                <c:pt idx="2609">
                  <c:v>0.54714596271514904</c:v>
                </c:pt>
                <c:pt idx="2610">
                  <c:v>0.54670035839080799</c:v>
                </c:pt>
                <c:pt idx="2611">
                  <c:v>0.54616498947143599</c:v>
                </c:pt>
                <c:pt idx="2612">
                  <c:v>0.54553437232971203</c:v>
                </c:pt>
                <c:pt idx="2613">
                  <c:v>0.54522246122360196</c:v>
                </c:pt>
                <c:pt idx="2614">
                  <c:v>0.54471057653427102</c:v>
                </c:pt>
                <c:pt idx="2615">
                  <c:v>0.54417514801025402</c:v>
                </c:pt>
                <c:pt idx="2616">
                  <c:v>0.54363781213760398</c:v>
                </c:pt>
                <c:pt idx="2617">
                  <c:v>0.54308348894119296</c:v>
                </c:pt>
                <c:pt idx="2618">
                  <c:v>0.54256671667098999</c:v>
                </c:pt>
                <c:pt idx="2619">
                  <c:v>0.54225713014602706</c:v>
                </c:pt>
                <c:pt idx="2620">
                  <c:v>0.54156720638275102</c:v>
                </c:pt>
                <c:pt idx="2621">
                  <c:v>0.54120260477065996</c:v>
                </c:pt>
                <c:pt idx="2622">
                  <c:v>0.54058670997619596</c:v>
                </c:pt>
                <c:pt idx="2623">
                  <c:v>0.53997623920440696</c:v>
                </c:pt>
                <c:pt idx="2624">
                  <c:v>0.53954309225082397</c:v>
                </c:pt>
                <c:pt idx="2625">
                  <c:v>0.539115130901337</c:v>
                </c:pt>
                <c:pt idx="2626">
                  <c:v>0.53842836618423495</c:v>
                </c:pt>
                <c:pt idx="2627">
                  <c:v>0.53806334733963002</c:v>
                </c:pt>
                <c:pt idx="2628">
                  <c:v>0.53762042522430398</c:v>
                </c:pt>
                <c:pt idx="2629">
                  <c:v>0.53709965944290206</c:v>
                </c:pt>
                <c:pt idx="2630">
                  <c:v>0.53646278381347701</c:v>
                </c:pt>
                <c:pt idx="2631">
                  <c:v>0.53635036945342995</c:v>
                </c:pt>
                <c:pt idx="2632">
                  <c:v>0.53576397895812999</c:v>
                </c:pt>
                <c:pt idx="2633">
                  <c:v>0.53515952825546298</c:v>
                </c:pt>
                <c:pt idx="2634">
                  <c:v>0.53469526767730702</c:v>
                </c:pt>
                <c:pt idx="2635">
                  <c:v>0.53425556421279896</c:v>
                </c:pt>
                <c:pt idx="2636">
                  <c:v>0.53377300500869795</c:v>
                </c:pt>
                <c:pt idx="2637">
                  <c:v>0.53317499160766602</c:v>
                </c:pt>
                <c:pt idx="2638">
                  <c:v>0.53255510330200195</c:v>
                </c:pt>
                <c:pt idx="2639">
                  <c:v>0.53212994337081898</c:v>
                </c:pt>
                <c:pt idx="2640">
                  <c:v>0.53169292211532604</c:v>
                </c:pt>
                <c:pt idx="2641">
                  <c:v>0.53116703033447299</c:v>
                </c:pt>
                <c:pt idx="2642">
                  <c:v>0.53063064813613903</c:v>
                </c:pt>
                <c:pt idx="2643">
                  <c:v>0.53005844354629505</c:v>
                </c:pt>
                <c:pt idx="2644">
                  <c:v>0.52964156866073597</c:v>
                </c:pt>
                <c:pt idx="2645">
                  <c:v>0.52911472320556596</c:v>
                </c:pt>
                <c:pt idx="2646">
                  <c:v>0.52870786190033003</c:v>
                </c:pt>
                <c:pt idx="2647">
                  <c:v>0.528092741966248</c:v>
                </c:pt>
                <c:pt idx="2648">
                  <c:v>0.52764320373535201</c:v>
                </c:pt>
                <c:pt idx="2649">
                  <c:v>0.52736288309097301</c:v>
                </c:pt>
                <c:pt idx="2650">
                  <c:v>0.52661168575286899</c:v>
                </c:pt>
                <c:pt idx="2651">
                  <c:v>0.52619099617004395</c:v>
                </c:pt>
                <c:pt idx="2652">
                  <c:v>0.52568209171295199</c:v>
                </c:pt>
                <c:pt idx="2653">
                  <c:v>0.52518379688262895</c:v>
                </c:pt>
                <c:pt idx="2654">
                  <c:v>0.52476823329925504</c:v>
                </c:pt>
                <c:pt idx="2655">
                  <c:v>0.52409827709197998</c:v>
                </c:pt>
                <c:pt idx="2656">
                  <c:v>0.52364438772201505</c:v>
                </c:pt>
                <c:pt idx="2657">
                  <c:v>0.523168325424194</c:v>
                </c:pt>
                <c:pt idx="2658">
                  <c:v>0.52258765697479204</c:v>
                </c:pt>
                <c:pt idx="2659">
                  <c:v>0.522161304950714</c:v>
                </c:pt>
                <c:pt idx="2660">
                  <c:v>0.52169376611709595</c:v>
                </c:pt>
                <c:pt idx="2661">
                  <c:v>0.52112865447998002</c:v>
                </c:pt>
                <c:pt idx="2662">
                  <c:v>0.520663142204285</c:v>
                </c:pt>
                <c:pt idx="2663">
                  <c:v>0.52008873224258401</c:v>
                </c:pt>
                <c:pt idx="2664">
                  <c:v>0.51962983608245805</c:v>
                </c:pt>
                <c:pt idx="2665">
                  <c:v>0.51912796497345004</c:v>
                </c:pt>
                <c:pt idx="2666">
                  <c:v>0.51867139339446999</c:v>
                </c:pt>
                <c:pt idx="2667">
                  <c:v>0.51824712753295898</c:v>
                </c:pt>
                <c:pt idx="2668">
                  <c:v>0.517772436141968</c:v>
                </c:pt>
                <c:pt idx="2669">
                  <c:v>0.51704394817352295</c:v>
                </c:pt>
                <c:pt idx="2670">
                  <c:v>0.51677232980728105</c:v>
                </c:pt>
                <c:pt idx="2671">
                  <c:v>0.51626056432723999</c:v>
                </c:pt>
                <c:pt idx="2672">
                  <c:v>0.51565945148467995</c:v>
                </c:pt>
                <c:pt idx="2673">
                  <c:v>0.51507532596588101</c:v>
                </c:pt>
                <c:pt idx="2674">
                  <c:v>0.51467120647430398</c:v>
                </c:pt>
                <c:pt idx="2675">
                  <c:v>0.51398098468780495</c:v>
                </c:pt>
                <c:pt idx="2676">
                  <c:v>0.51345980167388905</c:v>
                </c:pt>
                <c:pt idx="2677">
                  <c:v>0.51318508386611905</c:v>
                </c:pt>
                <c:pt idx="2678">
                  <c:v>0.51265799999237105</c:v>
                </c:pt>
                <c:pt idx="2679">
                  <c:v>0.51209735870361295</c:v>
                </c:pt>
                <c:pt idx="2680">
                  <c:v>0.51162016391754195</c:v>
                </c:pt>
                <c:pt idx="2681">
                  <c:v>0.51117479801178001</c:v>
                </c:pt>
                <c:pt idx="2682">
                  <c:v>0.51062679290771495</c:v>
                </c:pt>
                <c:pt idx="2683">
                  <c:v>0.51007658243179299</c:v>
                </c:pt>
                <c:pt idx="2684">
                  <c:v>0.509646356105804</c:v>
                </c:pt>
                <c:pt idx="2685">
                  <c:v>0.50924015045166005</c:v>
                </c:pt>
                <c:pt idx="2686">
                  <c:v>0.508603096008301</c:v>
                </c:pt>
                <c:pt idx="2687">
                  <c:v>0.508134424686432</c:v>
                </c:pt>
                <c:pt idx="2688">
                  <c:v>0.50775921344757102</c:v>
                </c:pt>
                <c:pt idx="2689">
                  <c:v>0.50703120231628396</c:v>
                </c:pt>
                <c:pt idx="2690">
                  <c:v>0.50666302442550704</c:v>
                </c:pt>
                <c:pt idx="2691">
                  <c:v>0.50622731447219804</c:v>
                </c:pt>
                <c:pt idx="2692">
                  <c:v>0.50545883178710904</c:v>
                </c:pt>
                <c:pt idx="2693">
                  <c:v>0.50495362281799305</c:v>
                </c:pt>
                <c:pt idx="2694">
                  <c:v>0.50464034080505404</c:v>
                </c:pt>
                <c:pt idx="2695">
                  <c:v>0.50417780876159701</c:v>
                </c:pt>
                <c:pt idx="2696">
                  <c:v>0.50354421138763406</c:v>
                </c:pt>
                <c:pt idx="2697">
                  <c:v>0.50315403938293501</c:v>
                </c:pt>
                <c:pt idx="2698">
                  <c:v>0.50270235538482699</c:v>
                </c:pt>
                <c:pt idx="2699">
                  <c:v>0.50208199024200395</c:v>
                </c:pt>
                <c:pt idx="2700">
                  <c:v>0.501650631427765</c:v>
                </c:pt>
                <c:pt idx="2701">
                  <c:v>0.50125294923782304</c:v>
                </c:pt>
                <c:pt idx="2702">
                  <c:v>0.50071561336517301</c:v>
                </c:pt>
                <c:pt idx="2703">
                  <c:v>0.50019925832748402</c:v>
                </c:pt>
                <c:pt idx="2704">
                  <c:v>0.49975928664207497</c:v>
                </c:pt>
                <c:pt idx="2705">
                  <c:v>0.49918481707572898</c:v>
                </c:pt>
                <c:pt idx="2706">
                  <c:v>0.49867901206016502</c:v>
                </c:pt>
                <c:pt idx="2707">
                  <c:v>0.49822941422462502</c:v>
                </c:pt>
                <c:pt idx="2708">
                  <c:v>0.49763393402099598</c:v>
                </c:pt>
                <c:pt idx="2709">
                  <c:v>0.49716532230377197</c:v>
                </c:pt>
                <c:pt idx="2710">
                  <c:v>0.49650380015373202</c:v>
                </c:pt>
                <c:pt idx="2711">
                  <c:v>0.4958855509758</c:v>
                </c:pt>
                <c:pt idx="2712">
                  <c:v>0.495638698339462</c:v>
                </c:pt>
                <c:pt idx="2713">
                  <c:v>0.49514237046241799</c:v>
                </c:pt>
                <c:pt idx="2714">
                  <c:v>0.49450922012329102</c:v>
                </c:pt>
                <c:pt idx="2715">
                  <c:v>0.49416953325271601</c:v>
                </c:pt>
                <c:pt idx="2716">
                  <c:v>0.493703603744507</c:v>
                </c:pt>
                <c:pt idx="2717">
                  <c:v>0.49318414926528897</c:v>
                </c:pt>
                <c:pt idx="2718">
                  <c:v>0.49267566204071001</c:v>
                </c:pt>
                <c:pt idx="2719">
                  <c:v>0.49231404066085799</c:v>
                </c:pt>
                <c:pt idx="2720">
                  <c:v>0.49160563945770303</c:v>
                </c:pt>
                <c:pt idx="2721">
                  <c:v>0.49114474654197698</c:v>
                </c:pt>
                <c:pt idx="2722">
                  <c:v>0.49075141549110401</c:v>
                </c:pt>
                <c:pt idx="2723">
                  <c:v>0.49015960097312899</c:v>
                </c:pt>
                <c:pt idx="2724">
                  <c:v>0.489675253629684</c:v>
                </c:pt>
                <c:pt idx="2725">
                  <c:v>0.48928087949752802</c:v>
                </c:pt>
                <c:pt idx="2726">
                  <c:v>0.48871141672134399</c:v>
                </c:pt>
                <c:pt idx="2727">
                  <c:v>0.48813074827194203</c:v>
                </c:pt>
                <c:pt idx="2728">
                  <c:v>0.48758688569068898</c:v>
                </c:pt>
                <c:pt idx="2729">
                  <c:v>0.487133949995041</c:v>
                </c:pt>
                <c:pt idx="2730">
                  <c:v>0.48666021227836598</c:v>
                </c:pt>
                <c:pt idx="2731">
                  <c:v>0.486242234706879</c:v>
                </c:pt>
                <c:pt idx="2732">
                  <c:v>0.48566675186157199</c:v>
                </c:pt>
                <c:pt idx="2733">
                  <c:v>0.48525047302246099</c:v>
                </c:pt>
                <c:pt idx="2734">
                  <c:v>0.48461177945137002</c:v>
                </c:pt>
                <c:pt idx="2735">
                  <c:v>0.484229266643524</c:v>
                </c:pt>
                <c:pt idx="2736">
                  <c:v>0.48362532258033802</c:v>
                </c:pt>
                <c:pt idx="2737">
                  <c:v>0.48334822058677701</c:v>
                </c:pt>
                <c:pt idx="2738">
                  <c:v>0.48275899887085</c:v>
                </c:pt>
                <c:pt idx="2739">
                  <c:v>0.48227646946906999</c:v>
                </c:pt>
                <c:pt idx="2740">
                  <c:v>0.48175287246704102</c:v>
                </c:pt>
                <c:pt idx="2741">
                  <c:v>0.48120895028114302</c:v>
                </c:pt>
                <c:pt idx="2742">
                  <c:v>0.48072010278701799</c:v>
                </c:pt>
                <c:pt idx="2743">
                  <c:v>0.48020166158676098</c:v>
                </c:pt>
                <c:pt idx="2744">
                  <c:v>0.479682296514511</c:v>
                </c:pt>
                <c:pt idx="2745">
                  <c:v>0.47915756702423101</c:v>
                </c:pt>
                <c:pt idx="2746">
                  <c:v>0.47862017154693598</c:v>
                </c:pt>
                <c:pt idx="2747">
                  <c:v>0.47825014591217002</c:v>
                </c:pt>
                <c:pt idx="2748">
                  <c:v>0.47763407230377197</c:v>
                </c:pt>
                <c:pt idx="2749">
                  <c:v>0.47709688544273399</c:v>
                </c:pt>
                <c:pt idx="2750">
                  <c:v>0.476695716381073</c:v>
                </c:pt>
                <c:pt idx="2751">
                  <c:v>0.47620478272437999</c:v>
                </c:pt>
                <c:pt idx="2752">
                  <c:v>0.47572383284568798</c:v>
                </c:pt>
                <c:pt idx="2753">
                  <c:v>0.47529837489128102</c:v>
                </c:pt>
                <c:pt idx="2754">
                  <c:v>0.47473245859146102</c:v>
                </c:pt>
                <c:pt idx="2755">
                  <c:v>0.47417184710502602</c:v>
                </c:pt>
                <c:pt idx="2756">
                  <c:v>0.47360143065452598</c:v>
                </c:pt>
                <c:pt idx="2757">
                  <c:v>0.47325745224952698</c:v>
                </c:pt>
                <c:pt idx="2758">
                  <c:v>0.47262948751449602</c:v>
                </c:pt>
                <c:pt idx="2759">
                  <c:v>0.47227296233177202</c:v>
                </c:pt>
                <c:pt idx="2760">
                  <c:v>0.47175666689872697</c:v>
                </c:pt>
                <c:pt idx="2761">
                  <c:v>0.47106051445007302</c:v>
                </c:pt>
                <c:pt idx="2762">
                  <c:v>0.47051501274108898</c:v>
                </c:pt>
                <c:pt idx="2763">
                  <c:v>0.46998625993728599</c:v>
                </c:pt>
                <c:pt idx="2764">
                  <c:v>0.469515651464462</c:v>
                </c:pt>
                <c:pt idx="2765">
                  <c:v>0.46927917003631597</c:v>
                </c:pt>
                <c:pt idx="2766">
                  <c:v>0.46865785121917702</c:v>
                </c:pt>
                <c:pt idx="2767">
                  <c:v>0.46819981932640098</c:v>
                </c:pt>
                <c:pt idx="2768">
                  <c:v>0.46779802441597002</c:v>
                </c:pt>
                <c:pt idx="2769">
                  <c:v>0.46723088622093201</c:v>
                </c:pt>
                <c:pt idx="2770">
                  <c:v>0.46670308709144598</c:v>
                </c:pt>
                <c:pt idx="2771">
                  <c:v>0.46617090702056901</c:v>
                </c:pt>
                <c:pt idx="2772">
                  <c:v>0.46580484509468101</c:v>
                </c:pt>
                <c:pt idx="2773">
                  <c:v>0.46521762013435403</c:v>
                </c:pt>
                <c:pt idx="2774">
                  <c:v>0.46466013789176902</c:v>
                </c:pt>
                <c:pt idx="2775">
                  <c:v>0.46422946453094499</c:v>
                </c:pt>
                <c:pt idx="2776">
                  <c:v>0.46360656619071999</c:v>
                </c:pt>
                <c:pt idx="2777">
                  <c:v>0.463062644004822</c:v>
                </c:pt>
                <c:pt idx="2778">
                  <c:v>0.462666034698486</c:v>
                </c:pt>
                <c:pt idx="2779">
                  <c:v>0.462126404047012</c:v>
                </c:pt>
                <c:pt idx="2780">
                  <c:v>0.46162664890289301</c:v>
                </c:pt>
                <c:pt idx="2781">
                  <c:v>0.46102684736251798</c:v>
                </c:pt>
                <c:pt idx="2782">
                  <c:v>0.46061590313911399</c:v>
                </c:pt>
                <c:pt idx="2783">
                  <c:v>0.46022537350654602</c:v>
                </c:pt>
                <c:pt idx="2784">
                  <c:v>0.45953446626663202</c:v>
                </c:pt>
                <c:pt idx="2785">
                  <c:v>0.459227025508881</c:v>
                </c:pt>
                <c:pt idx="2786">
                  <c:v>0.45876136422157299</c:v>
                </c:pt>
                <c:pt idx="2787">
                  <c:v>0.45820701122283902</c:v>
                </c:pt>
                <c:pt idx="2788">
                  <c:v>0.45780503749847401</c:v>
                </c:pt>
                <c:pt idx="2789">
                  <c:v>0.45727506279945401</c:v>
                </c:pt>
                <c:pt idx="2790">
                  <c:v>0.45676732063293501</c:v>
                </c:pt>
                <c:pt idx="2791">
                  <c:v>0.456226617097855</c:v>
                </c:pt>
                <c:pt idx="2792">
                  <c:v>0.455682843923569</c:v>
                </c:pt>
                <c:pt idx="2793">
                  <c:v>0.45523738861084001</c:v>
                </c:pt>
                <c:pt idx="2794">
                  <c:v>0.45466598868370101</c:v>
                </c:pt>
                <c:pt idx="2795">
                  <c:v>0.45406723022460899</c:v>
                </c:pt>
                <c:pt idx="2796">
                  <c:v>0.45370140671730003</c:v>
                </c:pt>
                <c:pt idx="2797">
                  <c:v>0.45319363474845897</c:v>
                </c:pt>
                <c:pt idx="2798">
                  <c:v>0.45264336466789201</c:v>
                </c:pt>
                <c:pt idx="2799">
                  <c:v>0.45206138491630599</c:v>
                </c:pt>
                <c:pt idx="2800">
                  <c:v>0.45178532600402799</c:v>
                </c:pt>
                <c:pt idx="2801">
                  <c:v>0.45137637853622398</c:v>
                </c:pt>
                <c:pt idx="2802">
                  <c:v>0.45079988241195701</c:v>
                </c:pt>
                <c:pt idx="2803">
                  <c:v>0.45026096701621998</c:v>
                </c:pt>
                <c:pt idx="2804">
                  <c:v>0.44967204332351701</c:v>
                </c:pt>
                <c:pt idx="2805">
                  <c:v>0.44928362965583801</c:v>
                </c:pt>
                <c:pt idx="2806">
                  <c:v>0.44873556494712802</c:v>
                </c:pt>
                <c:pt idx="2807">
                  <c:v>0.448245078325272</c:v>
                </c:pt>
                <c:pt idx="2808">
                  <c:v>0.447695553302765</c:v>
                </c:pt>
                <c:pt idx="2809">
                  <c:v>0.44713881611824002</c:v>
                </c:pt>
                <c:pt idx="2810">
                  <c:v>0.44665881991386402</c:v>
                </c:pt>
                <c:pt idx="2811">
                  <c:v>0.44624948501586897</c:v>
                </c:pt>
                <c:pt idx="2812">
                  <c:v>0.44566115736961398</c:v>
                </c:pt>
                <c:pt idx="2813">
                  <c:v>0.44522878527641302</c:v>
                </c:pt>
                <c:pt idx="2814">
                  <c:v>0.44469964504241899</c:v>
                </c:pt>
                <c:pt idx="2815">
                  <c:v>0.44415375590324402</c:v>
                </c:pt>
                <c:pt idx="2816">
                  <c:v>0.44376045465469399</c:v>
                </c:pt>
                <c:pt idx="2817">
                  <c:v>0.44321331381797802</c:v>
                </c:pt>
                <c:pt idx="2818">
                  <c:v>0.44277325272560097</c:v>
                </c:pt>
                <c:pt idx="2819">
                  <c:v>0.44241258502006497</c:v>
                </c:pt>
                <c:pt idx="2820">
                  <c:v>0.441741973161697</c:v>
                </c:pt>
                <c:pt idx="2821">
                  <c:v>0.44131571054458602</c:v>
                </c:pt>
                <c:pt idx="2822">
                  <c:v>0.44071552157402</c:v>
                </c:pt>
                <c:pt idx="2823">
                  <c:v>0.44024401903152499</c:v>
                </c:pt>
                <c:pt idx="2824">
                  <c:v>0.43980494141578702</c:v>
                </c:pt>
                <c:pt idx="2825">
                  <c:v>0.43926417827606201</c:v>
                </c:pt>
                <c:pt idx="2826">
                  <c:v>0.43865156173706099</c:v>
                </c:pt>
                <c:pt idx="2827">
                  <c:v>0.43817871809005698</c:v>
                </c:pt>
                <c:pt idx="2828">
                  <c:v>0.437878757715225</c:v>
                </c:pt>
                <c:pt idx="2829">
                  <c:v>0.43725204467773399</c:v>
                </c:pt>
                <c:pt idx="2830">
                  <c:v>0.43674322962760898</c:v>
                </c:pt>
                <c:pt idx="2831">
                  <c:v>0.436304301023483</c:v>
                </c:pt>
                <c:pt idx="2832">
                  <c:v>0.43571281433105502</c:v>
                </c:pt>
                <c:pt idx="2833">
                  <c:v>0.43514356017112699</c:v>
                </c:pt>
                <c:pt idx="2834">
                  <c:v>0.43468570709228499</c:v>
                </c:pt>
                <c:pt idx="2835">
                  <c:v>0.43435469269752502</c:v>
                </c:pt>
                <c:pt idx="2836">
                  <c:v>0.43373331427574202</c:v>
                </c:pt>
                <c:pt idx="2837">
                  <c:v>0.433106929063797</c:v>
                </c:pt>
                <c:pt idx="2838">
                  <c:v>0.43276244401931802</c:v>
                </c:pt>
                <c:pt idx="2839">
                  <c:v>0.432177484035492</c:v>
                </c:pt>
                <c:pt idx="2840">
                  <c:v>0.43173512816429099</c:v>
                </c:pt>
                <c:pt idx="2841">
                  <c:v>0.43129855394363398</c:v>
                </c:pt>
                <c:pt idx="2842">
                  <c:v>0.43086677789688099</c:v>
                </c:pt>
                <c:pt idx="2843">
                  <c:v>0.43024432659149198</c:v>
                </c:pt>
                <c:pt idx="2844">
                  <c:v>0.42968487739562999</c:v>
                </c:pt>
                <c:pt idx="2845">
                  <c:v>0.42929172515869102</c:v>
                </c:pt>
                <c:pt idx="2846">
                  <c:v>0.428826153278351</c:v>
                </c:pt>
                <c:pt idx="2847">
                  <c:v>0.42817437648773199</c:v>
                </c:pt>
                <c:pt idx="2848">
                  <c:v>0.42788782715797402</c:v>
                </c:pt>
                <c:pt idx="2849">
                  <c:v>0.42728158831596402</c:v>
                </c:pt>
                <c:pt idx="2850">
                  <c:v>0.42682254314422602</c:v>
                </c:pt>
                <c:pt idx="2851">
                  <c:v>0.42631888389587402</c:v>
                </c:pt>
                <c:pt idx="2852">
                  <c:v>0.425808995962143</c:v>
                </c:pt>
                <c:pt idx="2853">
                  <c:v>0.42537859082222002</c:v>
                </c:pt>
                <c:pt idx="2854">
                  <c:v>0.42476794123649603</c:v>
                </c:pt>
                <c:pt idx="2855">
                  <c:v>0.42419961094856301</c:v>
                </c:pt>
                <c:pt idx="2856">
                  <c:v>0.42364838719367998</c:v>
                </c:pt>
                <c:pt idx="2857">
                  <c:v>0.42327532172203097</c:v>
                </c:pt>
                <c:pt idx="2858">
                  <c:v>0.42277705669403098</c:v>
                </c:pt>
                <c:pt idx="2859">
                  <c:v>0.42216196656227101</c:v>
                </c:pt>
                <c:pt idx="2860">
                  <c:v>0.42169156670570401</c:v>
                </c:pt>
                <c:pt idx="2861">
                  <c:v>0.42126300930976901</c:v>
                </c:pt>
                <c:pt idx="2862">
                  <c:v>0.420749962329865</c:v>
                </c:pt>
                <c:pt idx="2863">
                  <c:v>0.42012256383895902</c:v>
                </c:pt>
                <c:pt idx="2864">
                  <c:v>0.41974893212318398</c:v>
                </c:pt>
                <c:pt idx="2865">
                  <c:v>0.41933667659759499</c:v>
                </c:pt>
                <c:pt idx="2866">
                  <c:v>0.41872832179069502</c:v>
                </c:pt>
                <c:pt idx="2867">
                  <c:v>0.41824978590011602</c:v>
                </c:pt>
                <c:pt idx="2868">
                  <c:v>0.41776046156883201</c:v>
                </c:pt>
                <c:pt idx="2869">
                  <c:v>0.41727161407470698</c:v>
                </c:pt>
                <c:pt idx="2870">
                  <c:v>0.41672241687774703</c:v>
                </c:pt>
                <c:pt idx="2871">
                  <c:v>0.41633757948875399</c:v>
                </c:pt>
                <c:pt idx="2872">
                  <c:v>0.415753453969955</c:v>
                </c:pt>
                <c:pt idx="2873">
                  <c:v>0.415227681398392</c:v>
                </c:pt>
                <c:pt idx="2874">
                  <c:v>0.41481482982635498</c:v>
                </c:pt>
                <c:pt idx="2875">
                  <c:v>0.41429713368415799</c:v>
                </c:pt>
                <c:pt idx="2876">
                  <c:v>0.41383257508277899</c:v>
                </c:pt>
                <c:pt idx="2877">
                  <c:v>0.41332995891571001</c:v>
                </c:pt>
                <c:pt idx="2878">
                  <c:v>0.412750244140625</c:v>
                </c:pt>
                <c:pt idx="2879">
                  <c:v>0.412236869335175</c:v>
                </c:pt>
                <c:pt idx="2880">
                  <c:v>0.41176167130470298</c:v>
                </c:pt>
                <c:pt idx="2881">
                  <c:v>0.411157876253128</c:v>
                </c:pt>
                <c:pt idx="2882">
                  <c:v>0.41075801849365201</c:v>
                </c:pt>
                <c:pt idx="2883">
                  <c:v>0.41031271219253501</c:v>
                </c:pt>
                <c:pt idx="2884">
                  <c:v>0.409719198942184</c:v>
                </c:pt>
                <c:pt idx="2885">
                  <c:v>0.409263044595718</c:v>
                </c:pt>
                <c:pt idx="2886">
                  <c:v>0.408621937036514</c:v>
                </c:pt>
                <c:pt idx="2887">
                  <c:v>0.40830925107002303</c:v>
                </c:pt>
                <c:pt idx="2888">
                  <c:v>0.40780135989189098</c:v>
                </c:pt>
                <c:pt idx="2889">
                  <c:v>0.40721938014030501</c:v>
                </c:pt>
                <c:pt idx="2890">
                  <c:v>0.40670412778854398</c:v>
                </c:pt>
                <c:pt idx="2891">
                  <c:v>0.40630450844764698</c:v>
                </c:pt>
                <c:pt idx="2892">
                  <c:v>0.40585678815841703</c:v>
                </c:pt>
                <c:pt idx="2893">
                  <c:v>0.40519556403160101</c:v>
                </c:pt>
                <c:pt idx="2894">
                  <c:v>0.40489777922630299</c:v>
                </c:pt>
                <c:pt idx="2895">
                  <c:v>0.40433460474014299</c:v>
                </c:pt>
                <c:pt idx="2896">
                  <c:v>0.40370392799377403</c:v>
                </c:pt>
                <c:pt idx="2897">
                  <c:v>0.40320780873298601</c:v>
                </c:pt>
                <c:pt idx="2898">
                  <c:v>0.40286299586296098</c:v>
                </c:pt>
                <c:pt idx="2899">
                  <c:v>0.40238085389137301</c:v>
                </c:pt>
                <c:pt idx="2900">
                  <c:v>0.40176177024841297</c:v>
                </c:pt>
                <c:pt idx="2901">
                  <c:v>0.401344895362854</c:v>
                </c:pt>
                <c:pt idx="2902">
                  <c:v>0.40066349506378202</c:v>
                </c:pt>
                <c:pt idx="2903">
                  <c:v>0.40016293525695801</c:v>
                </c:pt>
                <c:pt idx="2904">
                  <c:v>0.39962127804756198</c:v>
                </c:pt>
                <c:pt idx="2905">
                  <c:v>0.39926195144653298</c:v>
                </c:pt>
                <c:pt idx="2906">
                  <c:v>0.39874109625816301</c:v>
                </c:pt>
                <c:pt idx="2907">
                  <c:v>0.39819422364234902</c:v>
                </c:pt>
                <c:pt idx="2908">
                  <c:v>0.39772242307663003</c:v>
                </c:pt>
                <c:pt idx="2909">
                  <c:v>0.39746576547622697</c:v>
                </c:pt>
                <c:pt idx="2910">
                  <c:v>0.39663484692573497</c:v>
                </c:pt>
                <c:pt idx="2911">
                  <c:v>0.39614927768707298</c:v>
                </c:pt>
                <c:pt idx="2912">
                  <c:v>0.39586520195007302</c:v>
                </c:pt>
                <c:pt idx="2913">
                  <c:v>0.39528506994247398</c:v>
                </c:pt>
                <c:pt idx="2914">
                  <c:v>0.39472329616546598</c:v>
                </c:pt>
                <c:pt idx="2915">
                  <c:v>0.39425784349441501</c:v>
                </c:pt>
                <c:pt idx="2916">
                  <c:v>0.39382964372634899</c:v>
                </c:pt>
                <c:pt idx="2917">
                  <c:v>0.393341034650803</c:v>
                </c:pt>
                <c:pt idx="2918">
                  <c:v>0.39283654093742398</c:v>
                </c:pt>
                <c:pt idx="2919">
                  <c:v>0.39238911867141701</c:v>
                </c:pt>
                <c:pt idx="2920">
                  <c:v>0.39184918999671903</c:v>
                </c:pt>
                <c:pt idx="2921">
                  <c:v>0.39116990566253701</c:v>
                </c:pt>
                <c:pt idx="2922">
                  <c:v>0.39080592989921598</c:v>
                </c:pt>
                <c:pt idx="2923">
                  <c:v>0.39041882753372198</c:v>
                </c:pt>
                <c:pt idx="2924">
                  <c:v>0.38988077640533397</c:v>
                </c:pt>
                <c:pt idx="2925">
                  <c:v>0.38934102654457098</c:v>
                </c:pt>
                <c:pt idx="2926">
                  <c:v>0.38865417242050199</c:v>
                </c:pt>
                <c:pt idx="2927">
                  <c:v>0.388101816177368</c:v>
                </c:pt>
                <c:pt idx="2928">
                  <c:v>0.387705087661743</c:v>
                </c:pt>
                <c:pt idx="2929">
                  <c:v>0.38726747035980202</c:v>
                </c:pt>
                <c:pt idx="2930">
                  <c:v>0.38683044910430903</c:v>
                </c:pt>
                <c:pt idx="2931">
                  <c:v>0.38623917102813698</c:v>
                </c:pt>
                <c:pt idx="2932">
                  <c:v>0.38573864102363598</c:v>
                </c:pt>
                <c:pt idx="2933">
                  <c:v>0.38525697588920599</c:v>
                </c:pt>
                <c:pt idx="2934">
                  <c:v>0.38477715849876398</c:v>
                </c:pt>
                <c:pt idx="2935">
                  <c:v>0.384256631135941</c:v>
                </c:pt>
                <c:pt idx="2936">
                  <c:v>0.38361078500747697</c:v>
                </c:pt>
                <c:pt idx="2937">
                  <c:v>0.38311186432838401</c:v>
                </c:pt>
                <c:pt idx="2938">
                  <c:v>0.38278403878211997</c:v>
                </c:pt>
                <c:pt idx="2939">
                  <c:v>0.382218718528748</c:v>
                </c:pt>
                <c:pt idx="2940">
                  <c:v>0.381690174341202</c:v>
                </c:pt>
                <c:pt idx="2941">
                  <c:v>0.38126483559608498</c:v>
                </c:pt>
                <c:pt idx="2942">
                  <c:v>0.38085564970970198</c:v>
                </c:pt>
                <c:pt idx="2943">
                  <c:v>0.38034588098526001</c:v>
                </c:pt>
                <c:pt idx="2944">
                  <c:v>0.379867434501648</c:v>
                </c:pt>
                <c:pt idx="2945">
                  <c:v>0.37927073240280201</c:v>
                </c:pt>
                <c:pt idx="2946">
                  <c:v>0.37889420986175498</c:v>
                </c:pt>
                <c:pt idx="2947">
                  <c:v>0.37840864062309298</c:v>
                </c:pt>
                <c:pt idx="2948">
                  <c:v>0.37780672311782798</c:v>
                </c:pt>
                <c:pt idx="2949">
                  <c:v>0.37723952531814597</c:v>
                </c:pt>
                <c:pt idx="2950">
                  <c:v>0.376657634973526</c:v>
                </c:pt>
                <c:pt idx="2951">
                  <c:v>0.37619739770889299</c:v>
                </c:pt>
                <c:pt idx="2952">
                  <c:v>0.37578487396240201</c:v>
                </c:pt>
                <c:pt idx="2953">
                  <c:v>0.375253915786743</c:v>
                </c:pt>
                <c:pt idx="2954">
                  <c:v>0.37475103139877303</c:v>
                </c:pt>
                <c:pt idx="2955">
                  <c:v>0.37432745099067699</c:v>
                </c:pt>
                <c:pt idx="2956">
                  <c:v>0.37367632985115101</c:v>
                </c:pt>
                <c:pt idx="2957">
                  <c:v>0.37325409054756198</c:v>
                </c:pt>
                <c:pt idx="2958">
                  <c:v>0.37267902493476901</c:v>
                </c:pt>
                <c:pt idx="2959">
                  <c:v>0.37225583195686301</c:v>
                </c:pt>
                <c:pt idx="2960">
                  <c:v>0.37160041928291299</c:v>
                </c:pt>
                <c:pt idx="2961">
                  <c:v>0.37116202712058999</c:v>
                </c:pt>
                <c:pt idx="2962">
                  <c:v>0.37090402841567999</c:v>
                </c:pt>
                <c:pt idx="2963">
                  <c:v>0.37027737498283397</c:v>
                </c:pt>
                <c:pt idx="2964">
                  <c:v>0.36967453360557601</c:v>
                </c:pt>
                <c:pt idx="2965">
                  <c:v>0.36948761343955999</c:v>
                </c:pt>
                <c:pt idx="2966">
                  <c:v>0.368881195783615</c:v>
                </c:pt>
                <c:pt idx="2967">
                  <c:v>0.36828231811523399</c:v>
                </c:pt>
                <c:pt idx="2968">
                  <c:v>0.36775749921798701</c:v>
                </c:pt>
                <c:pt idx="2969">
                  <c:v>0.36729198694229098</c:v>
                </c:pt>
                <c:pt idx="2970">
                  <c:v>0.36689141392707803</c:v>
                </c:pt>
                <c:pt idx="2971">
                  <c:v>0.36645129323005698</c:v>
                </c:pt>
                <c:pt idx="2972">
                  <c:v>0.36578339338302601</c:v>
                </c:pt>
                <c:pt idx="2973">
                  <c:v>0.36518567800521901</c:v>
                </c:pt>
                <c:pt idx="2974">
                  <c:v>0.36473625898361201</c:v>
                </c:pt>
                <c:pt idx="2975">
                  <c:v>0.36427477002143899</c:v>
                </c:pt>
                <c:pt idx="2976">
                  <c:v>0.363787472248077</c:v>
                </c:pt>
                <c:pt idx="2977">
                  <c:v>0.36322119832038902</c:v>
                </c:pt>
                <c:pt idx="2978">
                  <c:v>0.36280438303947399</c:v>
                </c:pt>
                <c:pt idx="2979">
                  <c:v>0.36228615045547502</c:v>
                </c:pt>
                <c:pt idx="2980">
                  <c:v>0.36177402734756497</c:v>
                </c:pt>
                <c:pt idx="2981">
                  <c:v>0.361028552055359</c:v>
                </c:pt>
                <c:pt idx="2982">
                  <c:v>0.360813468694687</c:v>
                </c:pt>
                <c:pt idx="2983">
                  <c:v>0.36040648818016102</c:v>
                </c:pt>
                <c:pt idx="2984">
                  <c:v>0.35964208841323902</c:v>
                </c:pt>
                <c:pt idx="2985">
                  <c:v>0.35919722914695701</c:v>
                </c:pt>
                <c:pt idx="2986">
                  <c:v>0.35888418555259699</c:v>
                </c:pt>
                <c:pt idx="2987">
                  <c:v>0.35834449529647799</c:v>
                </c:pt>
                <c:pt idx="2988">
                  <c:v>0.35778999328613298</c:v>
                </c:pt>
                <c:pt idx="2989">
                  <c:v>0.35741454362869302</c:v>
                </c:pt>
                <c:pt idx="2990">
                  <c:v>0.356851845979691</c:v>
                </c:pt>
                <c:pt idx="2991">
                  <c:v>0.35629200935363797</c:v>
                </c:pt>
                <c:pt idx="2992">
                  <c:v>0.35587128996849099</c:v>
                </c:pt>
                <c:pt idx="2993">
                  <c:v>0.355318903923035</c:v>
                </c:pt>
                <c:pt idx="2994">
                  <c:v>0.35490438342094399</c:v>
                </c:pt>
                <c:pt idx="2995">
                  <c:v>0.35430002212524397</c:v>
                </c:pt>
                <c:pt idx="2996">
                  <c:v>0.35375297069549599</c:v>
                </c:pt>
                <c:pt idx="2997">
                  <c:v>0.35324528813362099</c:v>
                </c:pt>
                <c:pt idx="2998">
                  <c:v>0.35274693369865401</c:v>
                </c:pt>
                <c:pt idx="2999">
                  <c:v>0.35236945748329201</c:v>
                </c:pt>
                <c:pt idx="3000">
                  <c:v>0.35173979401588401</c:v>
                </c:pt>
                <c:pt idx="3001">
                  <c:v>0.35135596990585299</c:v>
                </c:pt>
                <c:pt idx="3002">
                  <c:v>0.35084497928619401</c:v>
                </c:pt>
                <c:pt idx="3003">
                  <c:v>0.35028308629989602</c:v>
                </c:pt>
                <c:pt idx="3004">
                  <c:v>0.349675953388214</c:v>
                </c:pt>
                <c:pt idx="3005">
                  <c:v>0.3492431640625</c:v>
                </c:pt>
                <c:pt idx="3006">
                  <c:v>0.348685652017593</c:v>
                </c:pt>
                <c:pt idx="3007">
                  <c:v>0.34830629825592002</c:v>
                </c:pt>
                <c:pt idx="3008">
                  <c:v>0.34783738851547202</c:v>
                </c:pt>
                <c:pt idx="3009">
                  <c:v>0.34745880961418202</c:v>
                </c:pt>
                <c:pt idx="3010">
                  <c:v>0.34686928987503102</c:v>
                </c:pt>
                <c:pt idx="3011">
                  <c:v>0.34637135267257702</c:v>
                </c:pt>
                <c:pt idx="3012">
                  <c:v>0.34576055407524098</c:v>
                </c:pt>
                <c:pt idx="3013">
                  <c:v>0.345483869314194</c:v>
                </c:pt>
                <c:pt idx="3014">
                  <c:v>0.34469416737556502</c:v>
                </c:pt>
                <c:pt idx="3015">
                  <c:v>0.34417784214019798</c:v>
                </c:pt>
                <c:pt idx="3016">
                  <c:v>0.34386843442916898</c:v>
                </c:pt>
                <c:pt idx="3017">
                  <c:v>0.34347483515739402</c:v>
                </c:pt>
                <c:pt idx="3018">
                  <c:v>0.34263950586318997</c:v>
                </c:pt>
                <c:pt idx="3019">
                  <c:v>0.34233215451240501</c:v>
                </c:pt>
                <c:pt idx="3020">
                  <c:v>0.34179237484931901</c:v>
                </c:pt>
                <c:pt idx="3021">
                  <c:v>0.34124767780303999</c:v>
                </c:pt>
                <c:pt idx="3022">
                  <c:v>0.34069857001304599</c:v>
                </c:pt>
                <c:pt idx="3023">
                  <c:v>0.34034660458564803</c:v>
                </c:pt>
                <c:pt idx="3024">
                  <c:v>0.33991050720214799</c:v>
                </c:pt>
                <c:pt idx="3025">
                  <c:v>0.33936455845832803</c:v>
                </c:pt>
                <c:pt idx="3026">
                  <c:v>0.33883172273635898</c:v>
                </c:pt>
                <c:pt idx="3027">
                  <c:v>0.33852693438530002</c:v>
                </c:pt>
                <c:pt idx="3028">
                  <c:v>0.337779730558395</c:v>
                </c:pt>
                <c:pt idx="3029">
                  <c:v>0.33733472228050199</c:v>
                </c:pt>
                <c:pt idx="3030">
                  <c:v>0.33690816164016701</c:v>
                </c:pt>
                <c:pt idx="3031">
                  <c:v>0.33621948957443198</c:v>
                </c:pt>
                <c:pt idx="3032">
                  <c:v>0.335779368877411</c:v>
                </c:pt>
                <c:pt idx="3033">
                  <c:v>0.33535292744636502</c:v>
                </c:pt>
                <c:pt idx="3034">
                  <c:v>0.334902584552765</c:v>
                </c:pt>
                <c:pt idx="3035">
                  <c:v>0.33438315987586997</c:v>
                </c:pt>
                <c:pt idx="3036">
                  <c:v>0.33394709229469299</c:v>
                </c:pt>
                <c:pt idx="3037">
                  <c:v>0.33325412869453402</c:v>
                </c:pt>
                <c:pt idx="3038">
                  <c:v>0.33270284533500699</c:v>
                </c:pt>
                <c:pt idx="3039">
                  <c:v>0.33236584067344699</c:v>
                </c:pt>
                <c:pt idx="3040">
                  <c:v>0.33181554079055797</c:v>
                </c:pt>
                <c:pt idx="3041">
                  <c:v>0.33128544688224798</c:v>
                </c:pt>
                <c:pt idx="3042">
                  <c:v>0.33081257343292197</c:v>
                </c:pt>
                <c:pt idx="3043">
                  <c:v>0.33030655980110202</c:v>
                </c:pt>
                <c:pt idx="3044">
                  <c:v>0.32977348566055298</c:v>
                </c:pt>
                <c:pt idx="3045">
                  <c:v>0.329109996557236</c:v>
                </c:pt>
                <c:pt idx="3046">
                  <c:v>0.32884261012077298</c:v>
                </c:pt>
                <c:pt idx="3047">
                  <c:v>0.32839444279670699</c:v>
                </c:pt>
                <c:pt idx="3048">
                  <c:v>0.32777103781700101</c:v>
                </c:pt>
                <c:pt idx="3049">
                  <c:v>0.32729575037956199</c:v>
                </c:pt>
                <c:pt idx="3050">
                  <c:v>0.32674586772918701</c:v>
                </c:pt>
                <c:pt idx="3051">
                  <c:v>0.326276034116745</c:v>
                </c:pt>
                <c:pt idx="3052">
                  <c:v>0.32573524117469799</c:v>
                </c:pt>
                <c:pt idx="3053">
                  <c:v>0.32522782683372498</c:v>
                </c:pt>
                <c:pt idx="3054">
                  <c:v>0.32496044039726302</c:v>
                </c:pt>
                <c:pt idx="3055">
                  <c:v>0.324360311031342</c:v>
                </c:pt>
                <c:pt idx="3056">
                  <c:v>0.32379880547523499</c:v>
                </c:pt>
                <c:pt idx="3057">
                  <c:v>0.323296189308167</c:v>
                </c:pt>
                <c:pt idx="3058">
                  <c:v>0.32288053631782498</c:v>
                </c:pt>
                <c:pt idx="3059">
                  <c:v>0.32237598299980202</c:v>
                </c:pt>
                <c:pt idx="3060">
                  <c:v>0.32181921601295499</c:v>
                </c:pt>
                <c:pt idx="3061">
                  <c:v>0.32130512595176702</c:v>
                </c:pt>
                <c:pt idx="3062">
                  <c:v>0.32086613774299599</c:v>
                </c:pt>
                <c:pt idx="3063">
                  <c:v>0.32046988606452897</c:v>
                </c:pt>
                <c:pt idx="3064">
                  <c:v>0.31983900070190402</c:v>
                </c:pt>
                <c:pt idx="3065">
                  <c:v>0.31928566098213201</c:v>
                </c:pt>
                <c:pt idx="3066">
                  <c:v>0.318803340196609</c:v>
                </c:pt>
                <c:pt idx="3067">
                  <c:v>0.318330228328705</c:v>
                </c:pt>
                <c:pt idx="3068">
                  <c:v>0.31770670413970897</c:v>
                </c:pt>
                <c:pt idx="3069">
                  <c:v>0.31730830669403098</c:v>
                </c:pt>
                <c:pt idx="3070">
                  <c:v>0.31692022085189803</c:v>
                </c:pt>
                <c:pt idx="3071">
                  <c:v>0.31628537178039601</c:v>
                </c:pt>
                <c:pt idx="3072">
                  <c:v>0.31564840674400302</c:v>
                </c:pt>
                <c:pt idx="3073">
                  <c:v>0.31510993838310197</c:v>
                </c:pt>
                <c:pt idx="3074">
                  <c:v>0.31466209888458302</c:v>
                </c:pt>
                <c:pt idx="3075">
                  <c:v>0.31412807106971702</c:v>
                </c:pt>
                <c:pt idx="3076">
                  <c:v>0.31378334760665899</c:v>
                </c:pt>
                <c:pt idx="3077">
                  <c:v>0.31327983736991899</c:v>
                </c:pt>
                <c:pt idx="3078">
                  <c:v>0.31283029913902299</c:v>
                </c:pt>
                <c:pt idx="3079">
                  <c:v>0.312348783016205</c:v>
                </c:pt>
                <c:pt idx="3080">
                  <c:v>0.31175759434700001</c:v>
                </c:pt>
                <c:pt idx="3081">
                  <c:v>0.31123396754264798</c:v>
                </c:pt>
                <c:pt idx="3082">
                  <c:v>0.31085839867591902</c:v>
                </c:pt>
                <c:pt idx="3083">
                  <c:v>0.310300022363663</c:v>
                </c:pt>
                <c:pt idx="3084">
                  <c:v>0.30982896685600297</c:v>
                </c:pt>
                <c:pt idx="3085">
                  <c:v>0.30928200483322099</c:v>
                </c:pt>
                <c:pt idx="3086">
                  <c:v>0.30898714065551802</c:v>
                </c:pt>
                <c:pt idx="3087">
                  <c:v>0.30832168459892301</c:v>
                </c:pt>
                <c:pt idx="3088">
                  <c:v>0.30782863497734098</c:v>
                </c:pt>
                <c:pt idx="3089">
                  <c:v>0.30737379193306003</c:v>
                </c:pt>
                <c:pt idx="3090">
                  <c:v>0.30698668956756597</c:v>
                </c:pt>
                <c:pt idx="3091">
                  <c:v>0.30620023608207703</c:v>
                </c:pt>
                <c:pt idx="3092">
                  <c:v>0.30584058165550199</c:v>
                </c:pt>
                <c:pt idx="3093">
                  <c:v>0.30541247129440302</c:v>
                </c:pt>
                <c:pt idx="3094">
                  <c:v>0.30481359362602201</c:v>
                </c:pt>
                <c:pt idx="3095">
                  <c:v>0.30440220236778298</c:v>
                </c:pt>
                <c:pt idx="3096">
                  <c:v>0.30363690853118902</c:v>
                </c:pt>
                <c:pt idx="3097">
                  <c:v>0.30311653017997697</c:v>
                </c:pt>
                <c:pt idx="3098">
                  <c:v>0.30266654491424599</c:v>
                </c:pt>
                <c:pt idx="3099">
                  <c:v>0.30227273702621499</c:v>
                </c:pt>
                <c:pt idx="3100">
                  <c:v>0.30177932977676403</c:v>
                </c:pt>
                <c:pt idx="3101">
                  <c:v>0.30123654007911699</c:v>
                </c:pt>
                <c:pt idx="3102">
                  <c:v>0.30068340897560097</c:v>
                </c:pt>
                <c:pt idx="3103">
                  <c:v>0.300256788730621</c:v>
                </c:pt>
                <c:pt idx="3104">
                  <c:v>0.29956153035163902</c:v>
                </c:pt>
                <c:pt idx="3105">
                  <c:v>0.29930615425109902</c:v>
                </c:pt>
                <c:pt idx="3106">
                  <c:v>0.29883739352226302</c:v>
                </c:pt>
                <c:pt idx="3107">
                  <c:v>0.29805746674537698</c:v>
                </c:pt>
                <c:pt idx="3108">
                  <c:v>0.29775398969650302</c:v>
                </c:pt>
                <c:pt idx="3109">
                  <c:v>0.29738926887512201</c:v>
                </c:pt>
                <c:pt idx="3110">
                  <c:v>0.29683282971382102</c:v>
                </c:pt>
                <c:pt idx="3111">
                  <c:v>0.29624018073081998</c:v>
                </c:pt>
                <c:pt idx="3112">
                  <c:v>0.29580667614936801</c:v>
                </c:pt>
                <c:pt idx="3113">
                  <c:v>0.295423924922943</c:v>
                </c:pt>
                <c:pt idx="3114">
                  <c:v>0.29482698440551802</c:v>
                </c:pt>
                <c:pt idx="3115">
                  <c:v>0.294347703456879</c:v>
                </c:pt>
                <c:pt idx="3116">
                  <c:v>0.29381981492042503</c:v>
                </c:pt>
                <c:pt idx="3117">
                  <c:v>0.293412625789642</c:v>
                </c:pt>
                <c:pt idx="3118">
                  <c:v>0.29288363456726102</c:v>
                </c:pt>
                <c:pt idx="3119">
                  <c:v>0.29248076677322399</c:v>
                </c:pt>
                <c:pt idx="3120">
                  <c:v>0.29180538654327398</c:v>
                </c:pt>
                <c:pt idx="3121">
                  <c:v>0.29136356711387601</c:v>
                </c:pt>
                <c:pt idx="3122">
                  <c:v>0.290979564189911</c:v>
                </c:pt>
                <c:pt idx="3123">
                  <c:v>0.290284484624863</c:v>
                </c:pt>
                <c:pt idx="3124">
                  <c:v>0.28982856869697599</c:v>
                </c:pt>
                <c:pt idx="3125">
                  <c:v>0.28953996300697299</c:v>
                </c:pt>
                <c:pt idx="3126">
                  <c:v>0.28867512941360501</c:v>
                </c:pt>
                <c:pt idx="3127">
                  <c:v>0.28821793198585499</c:v>
                </c:pt>
                <c:pt idx="3128">
                  <c:v>0.28789770603179898</c:v>
                </c:pt>
                <c:pt idx="3129">
                  <c:v>0.28736373782157898</c:v>
                </c:pt>
                <c:pt idx="3130">
                  <c:v>0.28677618503570601</c:v>
                </c:pt>
                <c:pt idx="3131">
                  <c:v>0.286308974027634</c:v>
                </c:pt>
                <c:pt idx="3132">
                  <c:v>0.28575226664543202</c:v>
                </c:pt>
                <c:pt idx="3133">
                  <c:v>0.28536394238472002</c:v>
                </c:pt>
                <c:pt idx="3134">
                  <c:v>0.28481167554855302</c:v>
                </c:pt>
                <c:pt idx="3135">
                  <c:v>0.28437715768814098</c:v>
                </c:pt>
                <c:pt idx="3136">
                  <c:v>0.28380262851715099</c:v>
                </c:pt>
                <c:pt idx="3137">
                  <c:v>0.28332868218421903</c:v>
                </c:pt>
                <c:pt idx="3138">
                  <c:v>0.28284433484077498</c:v>
                </c:pt>
                <c:pt idx="3139">
                  <c:v>0.282265305519104</c:v>
                </c:pt>
                <c:pt idx="3140">
                  <c:v>0.28175750374794001</c:v>
                </c:pt>
                <c:pt idx="3141">
                  <c:v>0.28140446543693498</c:v>
                </c:pt>
                <c:pt idx="3142">
                  <c:v>0.28091797232627902</c:v>
                </c:pt>
                <c:pt idx="3143">
                  <c:v>0.28027969598770103</c:v>
                </c:pt>
                <c:pt idx="3144">
                  <c:v>0.27996903657913202</c:v>
                </c:pt>
                <c:pt idx="3145">
                  <c:v>0.27942934632301297</c:v>
                </c:pt>
                <c:pt idx="3146">
                  <c:v>0.27881452441215498</c:v>
                </c:pt>
                <c:pt idx="3147">
                  <c:v>0.27838724851608299</c:v>
                </c:pt>
                <c:pt idx="3148">
                  <c:v>0.27783280611038202</c:v>
                </c:pt>
                <c:pt idx="3149">
                  <c:v>0.27735248208045998</c:v>
                </c:pt>
                <c:pt idx="3150">
                  <c:v>0.27688279747963002</c:v>
                </c:pt>
                <c:pt idx="3151">
                  <c:v>0.27634021639823902</c:v>
                </c:pt>
                <c:pt idx="3152">
                  <c:v>0.275888562202454</c:v>
                </c:pt>
                <c:pt idx="3153">
                  <c:v>0.27540829777717601</c:v>
                </c:pt>
                <c:pt idx="3154">
                  <c:v>0.274905025959015</c:v>
                </c:pt>
                <c:pt idx="3155">
                  <c:v>0.27436614036560097</c:v>
                </c:pt>
                <c:pt idx="3156">
                  <c:v>0.273864686489105</c:v>
                </c:pt>
                <c:pt idx="3157">
                  <c:v>0.27333787083625799</c:v>
                </c:pt>
                <c:pt idx="3158">
                  <c:v>0.27293580770492598</c:v>
                </c:pt>
                <c:pt idx="3159">
                  <c:v>0.27237531542777998</c:v>
                </c:pt>
                <c:pt idx="3160">
                  <c:v>0.27189803123474099</c:v>
                </c:pt>
                <c:pt idx="3161">
                  <c:v>0.27149960398674</c:v>
                </c:pt>
                <c:pt idx="3162">
                  <c:v>0.27076393365860002</c:v>
                </c:pt>
                <c:pt idx="3163">
                  <c:v>0.27037256956100503</c:v>
                </c:pt>
                <c:pt idx="3164">
                  <c:v>0.26993370056152299</c:v>
                </c:pt>
                <c:pt idx="3165">
                  <c:v>0.269443780183792</c:v>
                </c:pt>
                <c:pt idx="3166">
                  <c:v>0.26887449622154203</c:v>
                </c:pt>
                <c:pt idx="3167">
                  <c:v>0.26842504739761402</c:v>
                </c:pt>
                <c:pt idx="3168">
                  <c:v>0.26778379082679699</c:v>
                </c:pt>
                <c:pt idx="3169">
                  <c:v>0.26731809973716703</c:v>
                </c:pt>
                <c:pt idx="3170">
                  <c:v>0.26686704158782998</c:v>
                </c:pt>
                <c:pt idx="3171">
                  <c:v>0.26630270481109602</c:v>
                </c:pt>
                <c:pt idx="3172">
                  <c:v>0.26579266786575301</c:v>
                </c:pt>
                <c:pt idx="3173">
                  <c:v>0.26541313529014599</c:v>
                </c:pt>
                <c:pt idx="3174">
                  <c:v>0.264669209718704</c:v>
                </c:pt>
                <c:pt idx="3175">
                  <c:v>0.26426368951797502</c:v>
                </c:pt>
                <c:pt idx="3176">
                  <c:v>0.26389300823211698</c:v>
                </c:pt>
                <c:pt idx="3177">
                  <c:v>0.26335456967353799</c:v>
                </c:pt>
                <c:pt idx="3178">
                  <c:v>0.262767374515533</c:v>
                </c:pt>
                <c:pt idx="3179">
                  <c:v>0.26217049360275302</c:v>
                </c:pt>
                <c:pt idx="3180">
                  <c:v>0.26170566678047202</c:v>
                </c:pt>
                <c:pt idx="3181">
                  <c:v>0.26117897033691401</c:v>
                </c:pt>
                <c:pt idx="3182">
                  <c:v>0.26086342334747298</c:v>
                </c:pt>
                <c:pt idx="3183">
                  <c:v>0.26034146547317499</c:v>
                </c:pt>
                <c:pt idx="3184">
                  <c:v>0.25982749462127702</c:v>
                </c:pt>
                <c:pt idx="3185">
                  <c:v>0.25937780737876898</c:v>
                </c:pt>
                <c:pt idx="3186">
                  <c:v>0.25891128182411199</c:v>
                </c:pt>
                <c:pt idx="3187">
                  <c:v>0.25822344422340399</c:v>
                </c:pt>
                <c:pt idx="3188">
                  <c:v>0.25779396295547502</c:v>
                </c:pt>
                <c:pt idx="3189">
                  <c:v>0.25740915536880499</c:v>
                </c:pt>
                <c:pt idx="3190">
                  <c:v>0.25684106349945102</c:v>
                </c:pt>
                <c:pt idx="3191">
                  <c:v>0.256461292505264</c:v>
                </c:pt>
                <c:pt idx="3192">
                  <c:v>0.255885690450668</c:v>
                </c:pt>
                <c:pt idx="3193">
                  <c:v>0.255400240421295</c:v>
                </c:pt>
                <c:pt idx="3194">
                  <c:v>0.25493043661117598</c:v>
                </c:pt>
                <c:pt idx="3195">
                  <c:v>0.254433333873749</c:v>
                </c:pt>
                <c:pt idx="3196">
                  <c:v>0.25387367606163003</c:v>
                </c:pt>
                <c:pt idx="3197">
                  <c:v>0.25340789556503301</c:v>
                </c:pt>
                <c:pt idx="3198">
                  <c:v>0.252967149019241</c:v>
                </c:pt>
                <c:pt idx="3199">
                  <c:v>0.25254613161086997</c:v>
                </c:pt>
                <c:pt idx="3200">
                  <c:v>0.251892149448395</c:v>
                </c:pt>
                <c:pt idx="3201">
                  <c:v>0.25147798657417297</c:v>
                </c:pt>
                <c:pt idx="3202">
                  <c:v>0.25110119581222501</c:v>
                </c:pt>
                <c:pt idx="3203">
                  <c:v>0.25027760863304099</c:v>
                </c:pt>
                <c:pt idx="3204">
                  <c:v>0.24987484514713301</c:v>
                </c:pt>
                <c:pt idx="3205">
                  <c:v>0.24936991930007901</c:v>
                </c:pt>
                <c:pt idx="3206">
                  <c:v>0.24904265999794001</c:v>
                </c:pt>
                <c:pt idx="3207">
                  <c:v>0.24844475090503701</c:v>
                </c:pt>
                <c:pt idx="3208">
                  <c:v>0.248032227158546</c:v>
                </c:pt>
                <c:pt idx="3209">
                  <c:v>0.247234120965004</c:v>
                </c:pt>
                <c:pt idx="3210">
                  <c:v>0.246842712163925</c:v>
                </c:pt>
                <c:pt idx="3211">
                  <c:v>0.246486261487007</c:v>
                </c:pt>
                <c:pt idx="3212">
                  <c:v>0.24592359364032701</c:v>
                </c:pt>
                <c:pt idx="3213">
                  <c:v>0.245336338877678</c:v>
                </c:pt>
                <c:pt idx="3214">
                  <c:v>0.244891032576561</c:v>
                </c:pt>
                <c:pt idx="3215">
                  <c:v>0.244349360466003</c:v>
                </c:pt>
                <c:pt idx="3216">
                  <c:v>0.2437903881073</c:v>
                </c:pt>
                <c:pt idx="3217">
                  <c:v>0.24332413077354401</c:v>
                </c:pt>
                <c:pt idx="3218">
                  <c:v>0.24288408458232899</c:v>
                </c:pt>
                <c:pt idx="3219">
                  <c:v>0.24228715896606401</c:v>
                </c:pt>
                <c:pt idx="3220">
                  <c:v>0.24176678061485299</c:v>
                </c:pt>
                <c:pt idx="3221">
                  <c:v>0.24131105840206099</c:v>
                </c:pt>
                <c:pt idx="3222">
                  <c:v>0.24070426821708699</c:v>
                </c:pt>
                <c:pt idx="3223">
                  <c:v>0.24026891589164701</c:v>
                </c:pt>
                <c:pt idx="3224">
                  <c:v>0.23990531265735601</c:v>
                </c:pt>
                <c:pt idx="3225">
                  <c:v>0.23923721909522999</c:v>
                </c:pt>
                <c:pt idx="3226">
                  <c:v>0.23889261484146099</c:v>
                </c:pt>
                <c:pt idx="3227">
                  <c:v>0.238515079021454</c:v>
                </c:pt>
                <c:pt idx="3228">
                  <c:v>0.23787388205528301</c:v>
                </c:pt>
                <c:pt idx="3229">
                  <c:v>0.23737455904483801</c:v>
                </c:pt>
                <c:pt idx="3230">
                  <c:v>0.236913457512856</c:v>
                </c:pt>
                <c:pt idx="3231">
                  <c:v>0.23634631931781799</c:v>
                </c:pt>
                <c:pt idx="3232">
                  <c:v>0.23604820668697399</c:v>
                </c:pt>
                <c:pt idx="3233">
                  <c:v>0.23531998693942999</c:v>
                </c:pt>
                <c:pt idx="3234">
                  <c:v>0.23490959405899001</c:v>
                </c:pt>
                <c:pt idx="3235">
                  <c:v>0.234440922737122</c:v>
                </c:pt>
                <c:pt idx="3236">
                  <c:v>0.234007462859154</c:v>
                </c:pt>
                <c:pt idx="3237">
                  <c:v>0.233403220772743</c:v>
                </c:pt>
                <c:pt idx="3238">
                  <c:v>0.23289225995540599</c:v>
                </c:pt>
                <c:pt idx="3239">
                  <c:v>0.232270076870918</c:v>
                </c:pt>
                <c:pt idx="3240">
                  <c:v>0.231846868991852</c:v>
                </c:pt>
                <c:pt idx="3241">
                  <c:v>0.23142501711845401</c:v>
                </c:pt>
                <c:pt idx="3242">
                  <c:v>0.230795308947563</c:v>
                </c:pt>
                <c:pt idx="3243">
                  <c:v>0.23033612966537501</c:v>
                </c:pt>
                <c:pt idx="3244">
                  <c:v>0.22989527881145499</c:v>
                </c:pt>
                <c:pt idx="3245">
                  <c:v>0.22925725579261799</c:v>
                </c:pt>
                <c:pt idx="3246">
                  <c:v>0.22867701947689101</c:v>
                </c:pt>
                <c:pt idx="3247">
                  <c:v>0.22839203476905801</c:v>
                </c:pt>
                <c:pt idx="3248">
                  <c:v>0.22787043452262901</c:v>
                </c:pt>
                <c:pt idx="3249">
                  <c:v>0.22741046547889701</c:v>
                </c:pt>
                <c:pt idx="3250">
                  <c:v>0.2268156260252</c:v>
                </c:pt>
                <c:pt idx="3251">
                  <c:v>0.22623477876186401</c:v>
                </c:pt>
                <c:pt idx="3252">
                  <c:v>0.225732952356339</c:v>
                </c:pt>
                <c:pt idx="3253">
                  <c:v>0.22542184591293299</c:v>
                </c:pt>
                <c:pt idx="3254">
                  <c:v>0.22491148114204401</c:v>
                </c:pt>
                <c:pt idx="3255">
                  <c:v>0.224395096302032</c:v>
                </c:pt>
                <c:pt idx="3256">
                  <c:v>0.22382062673568701</c:v>
                </c:pt>
                <c:pt idx="3257">
                  <c:v>0.22337530553340901</c:v>
                </c:pt>
                <c:pt idx="3258">
                  <c:v>0.22302828729152699</c:v>
                </c:pt>
                <c:pt idx="3259">
                  <c:v>0.22248727083206199</c:v>
                </c:pt>
                <c:pt idx="3260">
                  <c:v>0.22193259000778201</c:v>
                </c:pt>
                <c:pt idx="3261">
                  <c:v>0.22152321040630299</c:v>
                </c:pt>
                <c:pt idx="3262">
                  <c:v>0.220992267131805</c:v>
                </c:pt>
                <c:pt idx="3263">
                  <c:v>0.220332816243172</c:v>
                </c:pt>
                <c:pt idx="3264">
                  <c:v>0.21997854113578799</c:v>
                </c:pt>
                <c:pt idx="3265">
                  <c:v>0.219498410820961</c:v>
                </c:pt>
                <c:pt idx="3266">
                  <c:v>0.21892394125461601</c:v>
                </c:pt>
                <c:pt idx="3267">
                  <c:v>0.21842560172080999</c:v>
                </c:pt>
                <c:pt idx="3268">
                  <c:v>0.21788492798805201</c:v>
                </c:pt>
                <c:pt idx="3269">
                  <c:v>0.21745674312114699</c:v>
                </c:pt>
                <c:pt idx="3270">
                  <c:v>0.21696360409259799</c:v>
                </c:pt>
                <c:pt idx="3271">
                  <c:v>0.21643120050430301</c:v>
                </c:pt>
                <c:pt idx="3272">
                  <c:v>0.21597668528556799</c:v>
                </c:pt>
                <c:pt idx="3273">
                  <c:v>0.215490072965622</c:v>
                </c:pt>
                <c:pt idx="3274">
                  <c:v>0.21490113437175801</c:v>
                </c:pt>
                <c:pt idx="3275">
                  <c:v>0.214453175663948</c:v>
                </c:pt>
                <c:pt idx="3276">
                  <c:v>0.21384799480438199</c:v>
                </c:pt>
                <c:pt idx="3277">
                  <c:v>0.213268637657166</c:v>
                </c:pt>
                <c:pt idx="3278">
                  <c:v>0.212932914495468</c:v>
                </c:pt>
                <c:pt idx="3279">
                  <c:v>0.21241119503974901</c:v>
                </c:pt>
                <c:pt idx="3280">
                  <c:v>0.21183554828167001</c:v>
                </c:pt>
                <c:pt idx="3281">
                  <c:v>0.21130773425102201</c:v>
                </c:pt>
                <c:pt idx="3282">
                  <c:v>0.21075122058391599</c:v>
                </c:pt>
                <c:pt idx="3283">
                  <c:v>0.21024425327777899</c:v>
                </c:pt>
                <c:pt idx="3284">
                  <c:v>0.209994167089462</c:v>
                </c:pt>
                <c:pt idx="3285">
                  <c:v>0.20922109484672499</c:v>
                </c:pt>
                <c:pt idx="3286">
                  <c:v>0.20885443687439001</c:v>
                </c:pt>
                <c:pt idx="3287">
                  <c:v>0.208271458745003</c:v>
                </c:pt>
                <c:pt idx="3288">
                  <c:v>0.20791852474212599</c:v>
                </c:pt>
                <c:pt idx="3289">
                  <c:v>0.20743690431118</c:v>
                </c:pt>
                <c:pt idx="3290">
                  <c:v>0.20702680945396401</c:v>
                </c:pt>
                <c:pt idx="3291">
                  <c:v>0.20637892186641699</c:v>
                </c:pt>
                <c:pt idx="3292">
                  <c:v>0.20591351389884899</c:v>
                </c:pt>
                <c:pt idx="3293">
                  <c:v>0.205456927418709</c:v>
                </c:pt>
                <c:pt idx="3294">
                  <c:v>0.20478908717632299</c:v>
                </c:pt>
                <c:pt idx="3295">
                  <c:v>0.20440071821212799</c:v>
                </c:pt>
                <c:pt idx="3296">
                  <c:v>0.20390368998050701</c:v>
                </c:pt>
                <c:pt idx="3297">
                  <c:v>0.203428760170937</c:v>
                </c:pt>
                <c:pt idx="3298">
                  <c:v>0.202949479222298</c:v>
                </c:pt>
                <c:pt idx="3299">
                  <c:v>0.20235052704811099</c:v>
                </c:pt>
                <c:pt idx="3300">
                  <c:v>0.20171886682510401</c:v>
                </c:pt>
                <c:pt idx="3301">
                  <c:v>0.20143450796604201</c:v>
                </c:pt>
                <c:pt idx="3302">
                  <c:v>0.200921386480331</c:v>
                </c:pt>
                <c:pt idx="3303">
                  <c:v>0.20038716495037101</c:v>
                </c:pt>
                <c:pt idx="3304">
                  <c:v>0.19993554055690799</c:v>
                </c:pt>
                <c:pt idx="3305">
                  <c:v>0.19941276311874401</c:v>
                </c:pt>
                <c:pt idx="3306">
                  <c:v>0.19878645241260501</c:v>
                </c:pt>
                <c:pt idx="3307">
                  <c:v>0.19848731160163899</c:v>
                </c:pt>
                <c:pt idx="3308">
                  <c:v>0.198018744587898</c:v>
                </c:pt>
                <c:pt idx="3309">
                  <c:v>0.19746658205986001</c:v>
                </c:pt>
                <c:pt idx="3310">
                  <c:v>0.19713763892650599</c:v>
                </c:pt>
                <c:pt idx="3311">
                  <c:v>0.19648034870624501</c:v>
                </c:pt>
                <c:pt idx="3312">
                  <c:v>0.19604060053825401</c:v>
                </c:pt>
                <c:pt idx="3313">
                  <c:v>0.19560886919498399</c:v>
                </c:pt>
                <c:pt idx="3314">
                  <c:v>0.194984465837479</c:v>
                </c:pt>
                <c:pt idx="3315">
                  <c:v>0.19462129473686199</c:v>
                </c:pt>
                <c:pt idx="3316">
                  <c:v>0.19404111802578</c:v>
                </c:pt>
                <c:pt idx="3317">
                  <c:v>0.19348460435867301</c:v>
                </c:pt>
                <c:pt idx="3318">
                  <c:v>0.19285690784454301</c:v>
                </c:pt>
                <c:pt idx="3319">
                  <c:v>0.192645713686943</c:v>
                </c:pt>
                <c:pt idx="3320">
                  <c:v>0.19193142652511599</c:v>
                </c:pt>
                <c:pt idx="3321">
                  <c:v>0.191449269652367</c:v>
                </c:pt>
                <c:pt idx="3322">
                  <c:v>0.191024899482727</c:v>
                </c:pt>
                <c:pt idx="3323">
                  <c:v>0.19041325151920299</c:v>
                </c:pt>
                <c:pt idx="3324">
                  <c:v>0.18992701172828699</c:v>
                </c:pt>
                <c:pt idx="3325">
                  <c:v>0.18950261175632499</c:v>
                </c:pt>
                <c:pt idx="3326">
                  <c:v>0.18895126879215199</c:v>
                </c:pt>
                <c:pt idx="3327">
                  <c:v>0.188466936349869</c:v>
                </c:pt>
                <c:pt idx="3328">
                  <c:v>0.18794837594032299</c:v>
                </c:pt>
                <c:pt idx="3329">
                  <c:v>0.187528505921364</c:v>
                </c:pt>
                <c:pt idx="3330">
                  <c:v>0.187015801668167</c:v>
                </c:pt>
                <c:pt idx="3331">
                  <c:v>0.18646542727947199</c:v>
                </c:pt>
                <c:pt idx="3332">
                  <c:v>0.18589895963668801</c:v>
                </c:pt>
                <c:pt idx="3333">
                  <c:v>0.18545725941658001</c:v>
                </c:pt>
                <c:pt idx="3334">
                  <c:v>0.184942051768303</c:v>
                </c:pt>
                <c:pt idx="3335">
                  <c:v>0.18441154062748</c:v>
                </c:pt>
                <c:pt idx="3336">
                  <c:v>0.18399198353290599</c:v>
                </c:pt>
                <c:pt idx="3337">
                  <c:v>0.18330638110637701</c:v>
                </c:pt>
                <c:pt idx="3338">
                  <c:v>0.18289995193481401</c:v>
                </c:pt>
                <c:pt idx="3339">
                  <c:v>0.18244537711143499</c:v>
                </c:pt>
                <c:pt idx="3340">
                  <c:v>0.18183988332748399</c:v>
                </c:pt>
                <c:pt idx="3341">
                  <c:v>0.18149186670780201</c:v>
                </c:pt>
                <c:pt idx="3342">
                  <c:v>0.180916607379913</c:v>
                </c:pt>
                <c:pt idx="3343">
                  <c:v>0.18037918210029599</c:v>
                </c:pt>
                <c:pt idx="3344">
                  <c:v>0.17977461218833901</c:v>
                </c:pt>
                <c:pt idx="3345">
                  <c:v>0.17939297854900399</c:v>
                </c:pt>
                <c:pt idx="3346">
                  <c:v>0.17887572944164301</c:v>
                </c:pt>
                <c:pt idx="3347">
                  <c:v>0.178459227085114</c:v>
                </c:pt>
                <c:pt idx="3348">
                  <c:v>0.17785908281803101</c:v>
                </c:pt>
                <c:pt idx="3349">
                  <c:v>0.177438199520111</c:v>
                </c:pt>
                <c:pt idx="3350">
                  <c:v>0.17695046961307501</c:v>
                </c:pt>
                <c:pt idx="3351">
                  <c:v>0.17643405497074099</c:v>
                </c:pt>
                <c:pt idx="3352">
                  <c:v>0.17595072090625799</c:v>
                </c:pt>
                <c:pt idx="3353">
                  <c:v>0.17537844181060799</c:v>
                </c:pt>
                <c:pt idx="3354">
                  <c:v>0.174892768263817</c:v>
                </c:pt>
                <c:pt idx="3355">
                  <c:v>0.17446234822273299</c:v>
                </c:pt>
                <c:pt idx="3356">
                  <c:v>0.173974573612213</c:v>
                </c:pt>
                <c:pt idx="3357">
                  <c:v>0.173488169908524</c:v>
                </c:pt>
                <c:pt idx="3358">
                  <c:v>0.173001453280449</c:v>
                </c:pt>
                <c:pt idx="3359">
                  <c:v>0.17245982587337499</c:v>
                </c:pt>
                <c:pt idx="3360">
                  <c:v>0.17199759185314201</c:v>
                </c:pt>
                <c:pt idx="3361">
                  <c:v>0.171274423599243</c:v>
                </c:pt>
                <c:pt idx="3362">
                  <c:v>0.170811042189598</c:v>
                </c:pt>
                <c:pt idx="3363">
                  <c:v>0.17037995159625999</c:v>
                </c:pt>
                <c:pt idx="3364">
                  <c:v>0.169850558042526</c:v>
                </c:pt>
                <c:pt idx="3365">
                  <c:v>0.16943404078483601</c:v>
                </c:pt>
                <c:pt idx="3366">
                  <c:v>0.16874942183494601</c:v>
                </c:pt>
                <c:pt idx="3367">
                  <c:v>0.16826920211315199</c:v>
                </c:pt>
                <c:pt idx="3368">
                  <c:v>0.168020769953728</c:v>
                </c:pt>
                <c:pt idx="3369">
                  <c:v>0.167583867907524</c:v>
                </c:pt>
                <c:pt idx="3370">
                  <c:v>0.16671705245971699</c:v>
                </c:pt>
                <c:pt idx="3371">
                  <c:v>0.16638407111167899</c:v>
                </c:pt>
                <c:pt idx="3372">
                  <c:v>0.16573211550712599</c:v>
                </c:pt>
                <c:pt idx="3373">
                  <c:v>0.16529886424541501</c:v>
                </c:pt>
                <c:pt idx="3374">
                  <c:v>0.1649559289217</c:v>
                </c:pt>
                <c:pt idx="3375">
                  <c:v>0.164504334330559</c:v>
                </c:pt>
                <c:pt idx="3376">
                  <c:v>0.163895964622498</c:v>
                </c:pt>
                <c:pt idx="3377">
                  <c:v>0.16353231668472301</c:v>
                </c:pt>
                <c:pt idx="3378">
                  <c:v>0.162937492132187</c:v>
                </c:pt>
                <c:pt idx="3379">
                  <c:v>0.16234824061393699</c:v>
                </c:pt>
                <c:pt idx="3380">
                  <c:v>0.161964431405067</c:v>
                </c:pt>
                <c:pt idx="3381">
                  <c:v>0.16152317821979501</c:v>
                </c:pt>
                <c:pt idx="3382">
                  <c:v>0.16091811656951899</c:v>
                </c:pt>
                <c:pt idx="3383">
                  <c:v>0.160403937101364</c:v>
                </c:pt>
                <c:pt idx="3384">
                  <c:v>0.15984311699867201</c:v>
                </c:pt>
                <c:pt idx="3385">
                  <c:v>0.15937718749046301</c:v>
                </c:pt>
                <c:pt idx="3386">
                  <c:v>0.15906484425067899</c:v>
                </c:pt>
                <c:pt idx="3387">
                  <c:v>0.15836513042450001</c:v>
                </c:pt>
                <c:pt idx="3388">
                  <c:v>0.15785525739192999</c:v>
                </c:pt>
                <c:pt idx="3389">
                  <c:v>0.157400608062744</c:v>
                </c:pt>
                <c:pt idx="3390">
                  <c:v>0.15673701465129899</c:v>
                </c:pt>
                <c:pt idx="3391">
                  <c:v>0.156338825821877</c:v>
                </c:pt>
                <c:pt idx="3392">
                  <c:v>0.15599559247493699</c:v>
                </c:pt>
                <c:pt idx="3393">
                  <c:v>0.15546365082263899</c:v>
                </c:pt>
                <c:pt idx="3394">
                  <c:v>0.154887706041336</c:v>
                </c:pt>
                <c:pt idx="3395">
                  <c:v>0.15454238653183</c:v>
                </c:pt>
                <c:pt idx="3396">
                  <c:v>0.153753727674484</c:v>
                </c:pt>
                <c:pt idx="3397">
                  <c:v>0.153409689664841</c:v>
                </c:pt>
                <c:pt idx="3398">
                  <c:v>0.15294888615608199</c:v>
                </c:pt>
                <c:pt idx="3399">
                  <c:v>0.15244534611701999</c:v>
                </c:pt>
                <c:pt idx="3400">
                  <c:v>0.152014926075935</c:v>
                </c:pt>
                <c:pt idx="3401">
                  <c:v>0.15144123136997201</c:v>
                </c:pt>
                <c:pt idx="3402">
                  <c:v>0.150839313864708</c:v>
                </c:pt>
                <c:pt idx="3403">
                  <c:v>0.15052616596221899</c:v>
                </c:pt>
                <c:pt idx="3404">
                  <c:v>0.150165870785713</c:v>
                </c:pt>
                <c:pt idx="3405">
                  <c:v>0.14946423470973999</c:v>
                </c:pt>
                <c:pt idx="3406">
                  <c:v>0.14897325634956399</c:v>
                </c:pt>
                <c:pt idx="3407">
                  <c:v>0.14849208295345301</c:v>
                </c:pt>
                <c:pt idx="3408">
                  <c:v>0.14797799289226499</c:v>
                </c:pt>
                <c:pt idx="3409">
                  <c:v>0.147345900535583</c:v>
                </c:pt>
                <c:pt idx="3410">
                  <c:v>0.14695078134536699</c:v>
                </c:pt>
                <c:pt idx="3411">
                  <c:v>0.146467044949532</c:v>
                </c:pt>
                <c:pt idx="3412">
                  <c:v>0.145963490009308</c:v>
                </c:pt>
                <c:pt idx="3413">
                  <c:v>0.14544104039669001</c:v>
                </c:pt>
                <c:pt idx="3414">
                  <c:v>0.14487779140472401</c:v>
                </c:pt>
                <c:pt idx="3415">
                  <c:v>0.14443255960941301</c:v>
                </c:pt>
                <c:pt idx="3416">
                  <c:v>0.14381799101829501</c:v>
                </c:pt>
                <c:pt idx="3417">
                  <c:v>0.14346678555011699</c:v>
                </c:pt>
                <c:pt idx="3418">
                  <c:v>0.142915785312653</c:v>
                </c:pt>
                <c:pt idx="3419">
                  <c:v>0.142334744334221</c:v>
                </c:pt>
                <c:pt idx="3420">
                  <c:v>0.14176839590072601</c:v>
                </c:pt>
                <c:pt idx="3421">
                  <c:v>0.14142788946628601</c:v>
                </c:pt>
                <c:pt idx="3422">
                  <c:v>0.14097997546196001</c:v>
                </c:pt>
                <c:pt idx="3423">
                  <c:v>0.14044648408889801</c:v>
                </c:pt>
                <c:pt idx="3424">
                  <c:v>0.13991320133209201</c:v>
                </c:pt>
                <c:pt idx="3425">
                  <c:v>0.13932400941848799</c:v>
                </c:pt>
                <c:pt idx="3426">
                  <c:v>0.13887959718704199</c:v>
                </c:pt>
                <c:pt idx="3427">
                  <c:v>0.138385429978371</c:v>
                </c:pt>
                <c:pt idx="3428">
                  <c:v>0.137961745262146</c:v>
                </c:pt>
                <c:pt idx="3429">
                  <c:v>0.13745921850204501</c:v>
                </c:pt>
                <c:pt idx="3430">
                  <c:v>0.13700120151042899</c:v>
                </c:pt>
                <c:pt idx="3431">
                  <c:v>0.13645738363266</c:v>
                </c:pt>
                <c:pt idx="3432">
                  <c:v>0.13591866195201899</c:v>
                </c:pt>
                <c:pt idx="3433">
                  <c:v>0.135523021221161</c:v>
                </c:pt>
                <c:pt idx="3434">
                  <c:v>0.13504183292388899</c:v>
                </c:pt>
                <c:pt idx="3435">
                  <c:v>0.13455219566822099</c:v>
                </c:pt>
                <c:pt idx="3436">
                  <c:v>0.133925661444664</c:v>
                </c:pt>
                <c:pt idx="3437">
                  <c:v>0.133428454399109</c:v>
                </c:pt>
                <c:pt idx="3438">
                  <c:v>0.132985308766365</c:v>
                </c:pt>
                <c:pt idx="3439">
                  <c:v>0.13242250680923501</c:v>
                </c:pt>
                <c:pt idx="3440">
                  <c:v>0.13200885057449299</c:v>
                </c:pt>
                <c:pt idx="3441">
                  <c:v>0.13145764172077201</c:v>
                </c:pt>
                <c:pt idx="3442">
                  <c:v>0.130912750959396</c:v>
                </c:pt>
                <c:pt idx="3443">
                  <c:v>0.130448088049889</c:v>
                </c:pt>
                <c:pt idx="3444">
                  <c:v>0.12972718477249101</c:v>
                </c:pt>
                <c:pt idx="3445">
                  <c:v>0.12935757637023901</c:v>
                </c:pt>
                <c:pt idx="3446">
                  <c:v>0.12904262542724601</c:v>
                </c:pt>
                <c:pt idx="3447">
                  <c:v>0.12832897901535001</c:v>
                </c:pt>
                <c:pt idx="3448">
                  <c:v>0.12778651714325001</c:v>
                </c:pt>
                <c:pt idx="3449">
                  <c:v>0.12750631570816001</c:v>
                </c:pt>
                <c:pt idx="3450">
                  <c:v>0.12686698138713801</c:v>
                </c:pt>
                <c:pt idx="3451">
                  <c:v>0.12625989317894001</c:v>
                </c:pt>
                <c:pt idx="3452">
                  <c:v>0.12600098550319699</c:v>
                </c:pt>
                <c:pt idx="3453">
                  <c:v>0.12560868263244601</c:v>
                </c:pt>
                <c:pt idx="3454">
                  <c:v>0.124730207026005</c:v>
                </c:pt>
                <c:pt idx="3455">
                  <c:v>0.124448865652084</c:v>
                </c:pt>
                <c:pt idx="3456">
                  <c:v>0.123776979744434</c:v>
                </c:pt>
                <c:pt idx="3457">
                  <c:v>0.123560726642609</c:v>
                </c:pt>
                <c:pt idx="3458">
                  <c:v>0.123032674193382</c:v>
                </c:pt>
                <c:pt idx="3459">
                  <c:v>0.122619181871414</c:v>
                </c:pt>
                <c:pt idx="3460">
                  <c:v>0.12204866111278501</c:v>
                </c:pt>
                <c:pt idx="3461">
                  <c:v>0.121515385806561</c:v>
                </c:pt>
                <c:pt idx="3462">
                  <c:v>0.12089004367590001</c:v>
                </c:pt>
                <c:pt idx="3463">
                  <c:v>0.120443865656853</c:v>
                </c:pt>
                <c:pt idx="3464">
                  <c:v>0.120028123259544</c:v>
                </c:pt>
                <c:pt idx="3465">
                  <c:v>0.119456931948662</c:v>
                </c:pt>
                <c:pt idx="3466">
                  <c:v>0.11894778162241</c:v>
                </c:pt>
                <c:pt idx="3467">
                  <c:v>0.118539698421955</c:v>
                </c:pt>
                <c:pt idx="3468">
                  <c:v>0.117938652634621</c:v>
                </c:pt>
                <c:pt idx="3469">
                  <c:v>0.117457322776318</c:v>
                </c:pt>
                <c:pt idx="3470">
                  <c:v>0.116992831230164</c:v>
                </c:pt>
                <c:pt idx="3471">
                  <c:v>0.11634536832571001</c:v>
                </c:pt>
                <c:pt idx="3472">
                  <c:v>0.115928523242474</c:v>
                </c:pt>
                <c:pt idx="3473">
                  <c:v>0.115474782884121</c:v>
                </c:pt>
                <c:pt idx="3474">
                  <c:v>0.114882454276085</c:v>
                </c:pt>
                <c:pt idx="3475">
                  <c:v>0.11436929553747199</c:v>
                </c:pt>
                <c:pt idx="3476">
                  <c:v>0.11409010738134399</c:v>
                </c:pt>
                <c:pt idx="3477">
                  <c:v>0.113513559103012</c:v>
                </c:pt>
                <c:pt idx="3478">
                  <c:v>0.113020837306976</c:v>
                </c:pt>
                <c:pt idx="3479">
                  <c:v>0.112454488873482</c:v>
                </c:pt>
                <c:pt idx="3480">
                  <c:v>0.11196057498455</c:v>
                </c:pt>
                <c:pt idx="3481">
                  <c:v>0.111394643783569</c:v>
                </c:pt>
                <c:pt idx="3482">
                  <c:v>0.111176989972591</c:v>
                </c:pt>
                <c:pt idx="3483">
                  <c:v>0.11050151288509399</c:v>
                </c:pt>
                <c:pt idx="3484">
                  <c:v>0.110136099159718</c:v>
                </c:pt>
                <c:pt idx="3485">
                  <c:v>0.109583668410778</c:v>
                </c:pt>
                <c:pt idx="3486">
                  <c:v>0.10899306088686</c:v>
                </c:pt>
                <c:pt idx="3487">
                  <c:v>0.108449526131153</c:v>
                </c:pt>
                <c:pt idx="3488">
                  <c:v>0.108057148754597</c:v>
                </c:pt>
                <c:pt idx="3489">
                  <c:v>0.10751843452453599</c:v>
                </c:pt>
                <c:pt idx="3490">
                  <c:v>0.10698541253805199</c:v>
                </c:pt>
                <c:pt idx="3491">
                  <c:v>0.106523066759109</c:v>
                </c:pt>
                <c:pt idx="3492">
                  <c:v>0.106061734259129</c:v>
                </c:pt>
                <c:pt idx="3493">
                  <c:v>0.10563366860151301</c:v>
                </c:pt>
                <c:pt idx="3494">
                  <c:v>0.104917965829372</c:v>
                </c:pt>
                <c:pt idx="3495">
                  <c:v>0.1044737175107</c:v>
                </c:pt>
                <c:pt idx="3496">
                  <c:v>0.104122914373875</c:v>
                </c:pt>
                <c:pt idx="3497">
                  <c:v>0.103566184639931</c:v>
                </c:pt>
                <c:pt idx="3498">
                  <c:v>0.103024527430534</c:v>
                </c:pt>
                <c:pt idx="3499">
                  <c:v>0.102503970265388</c:v>
                </c:pt>
                <c:pt idx="3500">
                  <c:v>0.10210732370615</c:v>
                </c:pt>
                <c:pt idx="3501">
                  <c:v>0.101561427116394</c:v>
                </c:pt>
                <c:pt idx="3502">
                  <c:v>0.101014621555805</c:v>
                </c:pt>
                <c:pt idx="3503">
                  <c:v>0.10062324255704901</c:v>
                </c:pt>
                <c:pt idx="3504">
                  <c:v>0.100094117224216</c:v>
                </c:pt>
                <c:pt idx="3505">
                  <c:v>9.9469058215617995E-2</c:v>
                </c:pt>
                <c:pt idx="3506">
                  <c:v>9.8786145448684998E-2</c:v>
                </c:pt>
                <c:pt idx="3507">
                  <c:v>9.8615281283854994E-2</c:v>
                </c:pt>
                <c:pt idx="3508">
                  <c:v>9.8002783954143996E-2</c:v>
                </c:pt>
                <c:pt idx="3509">
                  <c:v>9.7525425255299003E-2</c:v>
                </c:pt>
                <c:pt idx="3510">
                  <c:v>9.7004786133765994E-2</c:v>
                </c:pt>
                <c:pt idx="3511">
                  <c:v>9.6444256603717998E-2</c:v>
                </c:pt>
                <c:pt idx="3512">
                  <c:v>9.5936849713326E-2</c:v>
                </c:pt>
                <c:pt idx="3513">
                  <c:v>9.5421120524406003E-2</c:v>
                </c:pt>
                <c:pt idx="3514">
                  <c:v>9.4866760075091996E-2</c:v>
                </c:pt>
                <c:pt idx="3515">
                  <c:v>9.4422847032546997E-2</c:v>
                </c:pt>
                <c:pt idx="3516">
                  <c:v>9.409261494875E-2</c:v>
                </c:pt>
                <c:pt idx="3517">
                  <c:v>9.3424916267395006E-2</c:v>
                </c:pt>
                <c:pt idx="3518">
                  <c:v>9.2986240983009005E-2</c:v>
                </c:pt>
                <c:pt idx="3519">
                  <c:v>9.2521637678146001E-2</c:v>
                </c:pt>
                <c:pt idx="3520">
                  <c:v>9.2020101845264005E-2</c:v>
                </c:pt>
                <c:pt idx="3521">
                  <c:v>9.1456405818461997E-2</c:v>
                </c:pt>
                <c:pt idx="3522">
                  <c:v>9.0994998812675004E-2</c:v>
                </c:pt>
                <c:pt idx="3523">
                  <c:v>9.0435318648815002E-2</c:v>
                </c:pt>
                <c:pt idx="3524">
                  <c:v>8.9961484074593007E-2</c:v>
                </c:pt>
                <c:pt idx="3525">
                  <c:v>8.9584015309810999E-2</c:v>
                </c:pt>
                <c:pt idx="3526">
                  <c:v>8.8978618383407995E-2</c:v>
                </c:pt>
                <c:pt idx="3527">
                  <c:v>8.8539682328701005E-2</c:v>
                </c:pt>
                <c:pt idx="3528">
                  <c:v>8.8035084307194006E-2</c:v>
                </c:pt>
                <c:pt idx="3529">
                  <c:v>8.7440498173237E-2</c:v>
                </c:pt>
                <c:pt idx="3530">
                  <c:v>8.6894519627094005E-2</c:v>
                </c:pt>
                <c:pt idx="3531">
                  <c:v>8.6399279534817006E-2</c:v>
                </c:pt>
                <c:pt idx="3532">
                  <c:v>8.5919179022311998E-2</c:v>
                </c:pt>
                <c:pt idx="3533">
                  <c:v>8.5503160953522006E-2</c:v>
                </c:pt>
                <c:pt idx="3534">
                  <c:v>8.4862977266312006E-2</c:v>
                </c:pt>
                <c:pt idx="3535">
                  <c:v>8.4314092993736003E-2</c:v>
                </c:pt>
                <c:pt idx="3536">
                  <c:v>8.4013104438782002E-2</c:v>
                </c:pt>
                <c:pt idx="3537">
                  <c:v>8.3719111979007999E-2</c:v>
                </c:pt>
                <c:pt idx="3538">
                  <c:v>8.2796983420848999E-2</c:v>
                </c:pt>
                <c:pt idx="3539">
                  <c:v>8.2591027021407998E-2</c:v>
                </c:pt>
                <c:pt idx="3540">
                  <c:v>8.1929713487624997E-2</c:v>
                </c:pt>
                <c:pt idx="3541">
                  <c:v>8.1521607935428994E-2</c:v>
                </c:pt>
                <c:pt idx="3542">
                  <c:v>8.0959662795067E-2</c:v>
                </c:pt>
                <c:pt idx="3543">
                  <c:v>8.0581225454807004E-2</c:v>
                </c:pt>
                <c:pt idx="3544">
                  <c:v>8.0105081200600003E-2</c:v>
                </c:pt>
                <c:pt idx="3545">
                  <c:v>7.9639986157417006E-2</c:v>
                </c:pt>
                <c:pt idx="3546">
                  <c:v>7.9002737998962E-2</c:v>
                </c:pt>
                <c:pt idx="3547">
                  <c:v>7.8550003468990007E-2</c:v>
                </c:pt>
                <c:pt idx="3548">
                  <c:v>7.8042231500148995E-2</c:v>
                </c:pt>
                <c:pt idx="3549">
                  <c:v>7.7559806406497997E-2</c:v>
                </c:pt>
                <c:pt idx="3550">
                  <c:v>7.7027566730975994E-2</c:v>
                </c:pt>
                <c:pt idx="3551">
                  <c:v>7.6617285609244995E-2</c:v>
                </c:pt>
                <c:pt idx="3552">
                  <c:v>7.6058633625506994E-2</c:v>
                </c:pt>
                <c:pt idx="3553">
                  <c:v>7.5511686503886996E-2</c:v>
                </c:pt>
                <c:pt idx="3554">
                  <c:v>7.5100243091583002E-2</c:v>
                </c:pt>
                <c:pt idx="3555">
                  <c:v>7.4527904391288993E-2</c:v>
                </c:pt>
                <c:pt idx="3556">
                  <c:v>7.4109017848969005E-2</c:v>
                </c:pt>
                <c:pt idx="3557">
                  <c:v>7.3621377348899994E-2</c:v>
                </c:pt>
                <c:pt idx="3558">
                  <c:v>7.3058485984801996E-2</c:v>
                </c:pt>
                <c:pt idx="3559">
                  <c:v>7.2580248117446997E-2</c:v>
                </c:pt>
                <c:pt idx="3560">
                  <c:v>7.2085276246071001E-2</c:v>
                </c:pt>
                <c:pt idx="3561">
                  <c:v>7.1554221212864005E-2</c:v>
                </c:pt>
                <c:pt idx="3562">
                  <c:v>7.1178853511809997E-2</c:v>
                </c:pt>
                <c:pt idx="3563">
                  <c:v>7.0539683103560999E-2</c:v>
                </c:pt>
                <c:pt idx="3564">
                  <c:v>7.0109017193316997E-2</c:v>
                </c:pt>
                <c:pt idx="3565">
                  <c:v>6.9594889879227004E-2</c:v>
                </c:pt>
                <c:pt idx="3566">
                  <c:v>6.9128520786762002E-2</c:v>
                </c:pt>
                <c:pt idx="3567">
                  <c:v>6.8577207624911998E-2</c:v>
                </c:pt>
                <c:pt idx="3568">
                  <c:v>6.8094983696938005E-2</c:v>
                </c:pt>
                <c:pt idx="3569">
                  <c:v>6.7662544548512005E-2</c:v>
                </c:pt>
                <c:pt idx="3570">
                  <c:v>6.7130096256732996E-2</c:v>
                </c:pt>
                <c:pt idx="3571">
                  <c:v>6.6485546529293005E-2</c:v>
                </c:pt>
                <c:pt idx="3572">
                  <c:v>6.5931156277656999E-2</c:v>
                </c:pt>
                <c:pt idx="3573">
                  <c:v>6.5690517425536998E-2</c:v>
                </c:pt>
                <c:pt idx="3574">
                  <c:v>6.4996041357517007E-2</c:v>
                </c:pt>
                <c:pt idx="3575">
                  <c:v>6.4442813396453996E-2</c:v>
                </c:pt>
                <c:pt idx="3576">
                  <c:v>6.4074836671351998E-2</c:v>
                </c:pt>
                <c:pt idx="3577">
                  <c:v>6.3612565398215998E-2</c:v>
                </c:pt>
                <c:pt idx="3578">
                  <c:v>6.2940627336502006E-2</c:v>
                </c:pt>
                <c:pt idx="3579">
                  <c:v>6.2547028064728005E-2</c:v>
                </c:pt>
                <c:pt idx="3580">
                  <c:v>6.2083911150693998E-2</c:v>
                </c:pt>
                <c:pt idx="3581">
                  <c:v>6.1518885195255002E-2</c:v>
                </c:pt>
                <c:pt idx="3582">
                  <c:v>6.1021551489830003E-2</c:v>
                </c:pt>
                <c:pt idx="3583">
                  <c:v>6.0528557747601998E-2</c:v>
                </c:pt>
                <c:pt idx="3584">
                  <c:v>5.9897851198912E-2</c:v>
                </c:pt>
                <c:pt idx="3585">
                  <c:v>5.9463165700435999E-2</c:v>
                </c:pt>
                <c:pt idx="3586">
                  <c:v>5.9132520109414999E-2</c:v>
                </c:pt>
                <c:pt idx="3587">
                  <c:v>5.8484662324190001E-2</c:v>
                </c:pt>
                <c:pt idx="3588">
                  <c:v>5.8006465435028E-2</c:v>
                </c:pt>
                <c:pt idx="3589">
                  <c:v>5.7468704879284002E-2</c:v>
                </c:pt>
                <c:pt idx="3590">
                  <c:v>5.6833025068045002E-2</c:v>
                </c:pt>
                <c:pt idx="3591">
                  <c:v>5.6498773396015001E-2</c:v>
                </c:pt>
                <c:pt idx="3592">
                  <c:v>5.5923324078320999E-2</c:v>
                </c:pt>
                <c:pt idx="3593">
                  <c:v>5.5358391255139999E-2</c:v>
                </c:pt>
                <c:pt idx="3594">
                  <c:v>5.5078208446502998E-2</c:v>
                </c:pt>
                <c:pt idx="3595">
                  <c:v>5.4336059838532999E-2</c:v>
                </c:pt>
                <c:pt idx="3596">
                  <c:v>5.3915604948996998E-2</c:v>
                </c:pt>
                <c:pt idx="3597">
                  <c:v>5.3568817675113997E-2</c:v>
                </c:pt>
                <c:pt idx="3598">
                  <c:v>5.3076889365910998E-2</c:v>
                </c:pt>
                <c:pt idx="3599">
                  <c:v>5.2414402365685002E-2</c:v>
                </c:pt>
                <c:pt idx="3600">
                  <c:v>5.1921308040619001E-2</c:v>
                </c:pt>
                <c:pt idx="3601">
                  <c:v>5.1483489573002E-2</c:v>
                </c:pt>
                <c:pt idx="3602">
                  <c:v>5.1059577614068999E-2</c:v>
                </c:pt>
                <c:pt idx="3603">
                  <c:v>5.0640743225813002E-2</c:v>
                </c:pt>
                <c:pt idx="3604">
                  <c:v>5.0126306712627001E-2</c:v>
                </c:pt>
                <c:pt idx="3605">
                  <c:v>4.9597457051277001E-2</c:v>
                </c:pt>
                <c:pt idx="3606">
                  <c:v>4.9100220203399998E-2</c:v>
                </c:pt>
                <c:pt idx="3607">
                  <c:v>4.8507727682589999E-2</c:v>
                </c:pt>
                <c:pt idx="3608">
                  <c:v>4.8130188137293001E-2</c:v>
                </c:pt>
                <c:pt idx="3609">
                  <c:v>4.7575682401657E-2</c:v>
                </c:pt>
                <c:pt idx="3610">
                  <c:v>4.6986449509859002E-2</c:v>
                </c:pt>
                <c:pt idx="3611">
                  <c:v>4.6726584434509E-2</c:v>
                </c:pt>
                <c:pt idx="3612">
                  <c:v>4.6014178544283003E-2</c:v>
                </c:pt>
                <c:pt idx="3613">
                  <c:v>4.5478843152522999E-2</c:v>
                </c:pt>
                <c:pt idx="3614">
                  <c:v>4.5073922723532001E-2</c:v>
                </c:pt>
                <c:pt idx="3615">
                  <c:v>4.4589377939700997E-2</c:v>
                </c:pt>
                <c:pt idx="3616">
                  <c:v>4.4014740735291998E-2</c:v>
                </c:pt>
                <c:pt idx="3617">
                  <c:v>4.3606661260128E-2</c:v>
                </c:pt>
                <c:pt idx="3618">
                  <c:v>4.3154910206795002E-2</c:v>
                </c:pt>
                <c:pt idx="3619">
                  <c:v>4.2597256600857003E-2</c:v>
                </c:pt>
                <c:pt idx="3620">
                  <c:v>4.2190227657556999E-2</c:v>
                </c:pt>
                <c:pt idx="3621">
                  <c:v>4.1519194841384999E-2</c:v>
                </c:pt>
                <c:pt idx="3622">
                  <c:v>4.1085489094257001E-2</c:v>
                </c:pt>
                <c:pt idx="3623">
                  <c:v>4.062982276082E-2</c:v>
                </c:pt>
                <c:pt idx="3624">
                  <c:v>4.0088031440972997E-2</c:v>
                </c:pt>
                <c:pt idx="3625">
                  <c:v>3.9507012814283003E-2</c:v>
                </c:pt>
                <c:pt idx="3626">
                  <c:v>3.9197392761707001E-2</c:v>
                </c:pt>
                <c:pt idx="3627">
                  <c:v>3.8486290723085001E-2</c:v>
                </c:pt>
                <c:pt idx="3628">
                  <c:v>3.8083028048276998E-2</c:v>
                </c:pt>
                <c:pt idx="3629">
                  <c:v>3.7642266601323998E-2</c:v>
                </c:pt>
                <c:pt idx="3630">
                  <c:v>3.6900386214256002E-2</c:v>
                </c:pt>
                <c:pt idx="3631">
                  <c:v>3.6618947982788003E-2</c:v>
                </c:pt>
                <c:pt idx="3632">
                  <c:v>3.5931948572397003E-2</c:v>
                </c:pt>
                <c:pt idx="3633">
                  <c:v>3.5496577620506002E-2</c:v>
                </c:pt>
                <c:pt idx="3634">
                  <c:v>3.5072170197963999E-2</c:v>
                </c:pt>
                <c:pt idx="3635">
                  <c:v>3.4507293254136998E-2</c:v>
                </c:pt>
                <c:pt idx="3636">
                  <c:v>3.4090898931026001E-2</c:v>
                </c:pt>
                <c:pt idx="3637">
                  <c:v>3.3576596528292001E-2</c:v>
                </c:pt>
                <c:pt idx="3638">
                  <c:v>3.3022034913301003E-2</c:v>
                </c:pt>
                <c:pt idx="3639">
                  <c:v>3.2430514693259999E-2</c:v>
                </c:pt>
                <c:pt idx="3640">
                  <c:v>3.2070059329270997E-2</c:v>
                </c:pt>
                <c:pt idx="3641">
                  <c:v>3.1601525843142998E-2</c:v>
                </c:pt>
                <c:pt idx="3642">
                  <c:v>3.0980365350842001E-2</c:v>
                </c:pt>
                <c:pt idx="3643">
                  <c:v>3.0509671196342E-2</c:v>
                </c:pt>
                <c:pt idx="3644">
                  <c:v>3.0118269845842999E-2</c:v>
                </c:pt>
                <c:pt idx="3645">
                  <c:v>2.9462115839124E-2</c:v>
                </c:pt>
                <c:pt idx="3646">
                  <c:v>2.9110178351402002E-2</c:v>
                </c:pt>
                <c:pt idx="3647">
                  <c:v>2.8531290590762998E-2</c:v>
                </c:pt>
                <c:pt idx="3648">
                  <c:v>2.8081769123672998E-2</c:v>
                </c:pt>
                <c:pt idx="3649">
                  <c:v>2.7433177456260002E-2</c:v>
                </c:pt>
                <c:pt idx="3650">
                  <c:v>2.6869913563132002E-2</c:v>
                </c:pt>
                <c:pt idx="3651">
                  <c:v>2.6421697810292001E-2</c:v>
                </c:pt>
                <c:pt idx="3652">
                  <c:v>2.6035899296403001E-2</c:v>
                </c:pt>
                <c:pt idx="3653">
                  <c:v>2.5485690683125999E-2</c:v>
                </c:pt>
                <c:pt idx="3654">
                  <c:v>2.5066813454032E-2</c:v>
                </c:pt>
                <c:pt idx="3655">
                  <c:v>2.4397579953074001E-2</c:v>
                </c:pt>
                <c:pt idx="3656">
                  <c:v>2.4001879617572001E-2</c:v>
                </c:pt>
                <c:pt idx="3657">
                  <c:v>2.3468362167478E-2</c:v>
                </c:pt>
                <c:pt idx="3658">
                  <c:v>2.3122398182750001E-2</c:v>
                </c:pt>
                <c:pt idx="3659">
                  <c:v>2.2569147869944999E-2</c:v>
                </c:pt>
                <c:pt idx="3660">
                  <c:v>2.1961797028780001E-2</c:v>
                </c:pt>
                <c:pt idx="3661">
                  <c:v>2.1485459059477002E-2</c:v>
                </c:pt>
                <c:pt idx="3662">
                  <c:v>2.1008195355535001E-2</c:v>
                </c:pt>
                <c:pt idx="3663">
                  <c:v>2.0611215382814001E-2</c:v>
                </c:pt>
                <c:pt idx="3664">
                  <c:v>2.0139263942838E-2</c:v>
                </c:pt>
                <c:pt idx="3665">
                  <c:v>1.9714044407009999E-2</c:v>
                </c:pt>
                <c:pt idx="3666">
                  <c:v>1.9112020730971999E-2</c:v>
                </c:pt>
                <c:pt idx="3667">
                  <c:v>1.8519336357712999E-2</c:v>
                </c:pt>
                <c:pt idx="3668">
                  <c:v>1.7971010878682001E-2</c:v>
                </c:pt>
                <c:pt idx="3669">
                  <c:v>1.7645876854657998E-2</c:v>
                </c:pt>
                <c:pt idx="3670">
                  <c:v>1.7118960618973E-2</c:v>
                </c:pt>
                <c:pt idx="3671">
                  <c:v>1.6627764329313999E-2</c:v>
                </c:pt>
                <c:pt idx="3672">
                  <c:v>1.6051396727561999E-2</c:v>
                </c:pt>
                <c:pt idx="3673">
                  <c:v>1.5580588020383999E-2</c:v>
                </c:pt>
                <c:pt idx="3674">
                  <c:v>1.5124496072531E-2</c:v>
                </c:pt>
                <c:pt idx="3675">
                  <c:v>1.4563098549842999E-2</c:v>
                </c:pt>
                <c:pt idx="3676">
                  <c:v>1.4048814773560001E-2</c:v>
                </c:pt>
                <c:pt idx="3677">
                  <c:v>1.3529296964407E-2</c:v>
                </c:pt>
                <c:pt idx="3678">
                  <c:v>1.3150788843631999E-2</c:v>
                </c:pt>
                <c:pt idx="3679">
                  <c:v>1.2487045489252E-2</c:v>
                </c:pt>
                <c:pt idx="3680">
                  <c:v>1.2050336226821E-2</c:v>
                </c:pt>
                <c:pt idx="3681">
                  <c:v>1.1777015402913E-2</c:v>
                </c:pt>
                <c:pt idx="3682">
                  <c:v>1.1129106394947E-2</c:v>
                </c:pt>
                <c:pt idx="3683">
                  <c:v>1.0441149584948999E-2</c:v>
                </c:pt>
                <c:pt idx="3684">
                  <c:v>1.0232233442366E-2</c:v>
                </c:pt>
                <c:pt idx="3685">
                  <c:v>9.6024107187989999E-3</c:v>
                </c:pt>
                <c:pt idx="3686">
                  <c:v>9.1096200048920006E-3</c:v>
                </c:pt>
                <c:pt idx="3687">
                  <c:v>8.7066674605009997E-3</c:v>
                </c:pt>
                <c:pt idx="3688">
                  <c:v>8.1245983019470006E-3</c:v>
                </c:pt>
                <c:pt idx="3689">
                  <c:v>7.5574517250060003E-3</c:v>
                </c:pt>
                <c:pt idx="3690">
                  <c:v>7.246806286275E-3</c:v>
                </c:pt>
                <c:pt idx="3691">
                  <c:v>6.5175336785609998E-3</c:v>
                </c:pt>
                <c:pt idx="3692">
                  <c:v>6.0108518227929997E-3</c:v>
                </c:pt>
                <c:pt idx="3693">
                  <c:v>5.5206278339029998E-3</c:v>
                </c:pt>
                <c:pt idx="3694">
                  <c:v>5.069348029792E-3</c:v>
                </c:pt>
                <c:pt idx="3695">
                  <c:v>4.6355286613109998E-3</c:v>
                </c:pt>
                <c:pt idx="3696">
                  <c:v>3.965591080487E-3</c:v>
                </c:pt>
                <c:pt idx="3697">
                  <c:v>3.5959684755649999E-3</c:v>
                </c:pt>
                <c:pt idx="3698">
                  <c:v>3.1344543676819999E-3</c:v>
                </c:pt>
                <c:pt idx="3699">
                  <c:v>2.5438275188209999E-3</c:v>
                </c:pt>
                <c:pt idx="3700">
                  <c:v>1.9971462897960001E-3</c:v>
                </c:pt>
                <c:pt idx="3701">
                  <c:v>1.6395979328079999E-3</c:v>
                </c:pt>
                <c:pt idx="3702">
                  <c:v>1.090344740078E-3</c:v>
                </c:pt>
                <c:pt idx="3703">
                  <c:v>5.8919290313500005E-4</c:v>
                </c:pt>
                <c:pt idx="3704">
                  <c:v>-1.6166264686E-5</c:v>
                </c:pt>
                <c:pt idx="3705">
                  <c:v>-4.0443125180899999E-4</c:v>
                </c:pt>
                <c:pt idx="3706">
                  <c:v>-8.0608297139400003E-4</c:v>
                </c:pt>
                <c:pt idx="3707">
                  <c:v>-1.393336104229E-3</c:v>
                </c:pt>
                <c:pt idx="3708">
                  <c:v>-1.933111576363E-3</c:v>
                </c:pt>
                <c:pt idx="3709">
                  <c:v>-2.3285199422390002E-3</c:v>
                </c:pt>
                <c:pt idx="3710">
                  <c:v>-3.0438804533330002E-3</c:v>
                </c:pt>
                <c:pt idx="3711">
                  <c:v>-3.34955076687E-3</c:v>
                </c:pt>
                <c:pt idx="3712">
                  <c:v>-3.8307493086899998E-3</c:v>
                </c:pt>
                <c:pt idx="3713">
                  <c:v>-4.3160701170560003E-3</c:v>
                </c:pt>
                <c:pt idx="3714">
                  <c:v>-4.7595626674589997E-3</c:v>
                </c:pt>
                <c:pt idx="3715">
                  <c:v>-5.2790036424990002E-3</c:v>
                </c:pt>
                <c:pt idx="3716">
                  <c:v>-5.8618774637579996E-3</c:v>
                </c:pt>
                <c:pt idx="3717">
                  <c:v>-6.2067643739279997E-3</c:v>
                </c:pt>
                <c:pt idx="3718">
                  <c:v>-6.8434518761929996E-3</c:v>
                </c:pt>
                <c:pt idx="3719">
                  <c:v>-7.2454046458009999E-3</c:v>
                </c:pt>
                <c:pt idx="3720">
                  <c:v>-7.773507386446E-3</c:v>
                </c:pt>
                <c:pt idx="3721">
                  <c:v>-8.3986297249789999E-3</c:v>
                </c:pt>
                <c:pt idx="3722">
                  <c:v>-8.8121108710770002E-3</c:v>
                </c:pt>
                <c:pt idx="3723">
                  <c:v>-9.3255117535589998E-3</c:v>
                </c:pt>
                <c:pt idx="3724">
                  <c:v>-9.9856993183490006E-3</c:v>
                </c:pt>
                <c:pt idx="3725">
                  <c:v>-1.0407763533294E-2</c:v>
                </c:pt>
                <c:pt idx="3726">
                  <c:v>-1.0818201117218E-2</c:v>
                </c:pt>
                <c:pt idx="3727">
                  <c:v>-1.1401269584894E-2</c:v>
                </c:pt>
                <c:pt idx="3728">
                  <c:v>-1.1873950250446999E-2</c:v>
                </c:pt>
                <c:pt idx="3729">
                  <c:v>-1.2488841079175E-2</c:v>
                </c:pt>
                <c:pt idx="3730">
                  <c:v>-1.2921248562634E-2</c:v>
                </c:pt>
                <c:pt idx="3731">
                  <c:v>-1.3288158923387999E-2</c:v>
                </c:pt>
                <c:pt idx="3732">
                  <c:v>-1.3920067809521999E-2</c:v>
                </c:pt>
                <c:pt idx="3733">
                  <c:v>-1.4364414848387E-2</c:v>
                </c:pt>
                <c:pt idx="3734">
                  <c:v>-1.4848781749606001E-2</c:v>
                </c:pt>
                <c:pt idx="3735">
                  <c:v>-1.5384943224489999E-2</c:v>
                </c:pt>
                <c:pt idx="3736">
                  <c:v>-1.5916194766760001E-2</c:v>
                </c:pt>
                <c:pt idx="3737">
                  <c:v>-1.6317045316099999E-2</c:v>
                </c:pt>
                <c:pt idx="3738">
                  <c:v>-1.6913738101721001E-2</c:v>
                </c:pt>
                <c:pt idx="3739">
                  <c:v>-1.7276616767048999E-2</c:v>
                </c:pt>
                <c:pt idx="3740">
                  <c:v>-1.7915850505232998E-2</c:v>
                </c:pt>
                <c:pt idx="3741">
                  <c:v>-1.8572865054011001E-2</c:v>
                </c:pt>
                <c:pt idx="3742">
                  <c:v>-1.8959166482090999E-2</c:v>
                </c:pt>
                <c:pt idx="3743">
                  <c:v>-1.9250547513365999E-2</c:v>
                </c:pt>
                <c:pt idx="3744">
                  <c:v>-1.9905846565962001E-2</c:v>
                </c:pt>
                <c:pt idx="3745">
                  <c:v>-2.0380454137921E-2</c:v>
                </c:pt>
                <c:pt idx="3746">
                  <c:v>-2.0940328016877001E-2</c:v>
                </c:pt>
                <c:pt idx="3747">
                  <c:v>-2.1404854953289001E-2</c:v>
                </c:pt>
                <c:pt idx="3748">
                  <c:v>-2.1786477416754001E-2</c:v>
                </c:pt>
                <c:pt idx="3749">
                  <c:v>-2.2189283743501001E-2</c:v>
                </c:pt>
                <c:pt idx="3750">
                  <c:v>-2.2776646539569002E-2</c:v>
                </c:pt>
                <c:pt idx="3751">
                  <c:v>-2.3240977898239999E-2</c:v>
                </c:pt>
                <c:pt idx="3752">
                  <c:v>-2.3766543716191999E-2</c:v>
                </c:pt>
                <c:pt idx="3753">
                  <c:v>-2.4189652875066001E-2</c:v>
                </c:pt>
                <c:pt idx="3754">
                  <c:v>-2.4900138378142998E-2</c:v>
                </c:pt>
                <c:pt idx="3755">
                  <c:v>-2.5370473042129998E-2</c:v>
                </c:pt>
                <c:pt idx="3756">
                  <c:v>-2.5618890300393E-2</c:v>
                </c:pt>
                <c:pt idx="3757">
                  <c:v>-2.6290878653526001E-2</c:v>
                </c:pt>
                <c:pt idx="3758">
                  <c:v>-2.6829482987522999E-2</c:v>
                </c:pt>
                <c:pt idx="3759">
                  <c:v>-2.7310717850924E-2</c:v>
                </c:pt>
                <c:pt idx="3760">
                  <c:v>-2.7842843905091001E-2</c:v>
                </c:pt>
                <c:pt idx="3761">
                  <c:v>-2.827868796885E-2</c:v>
                </c:pt>
                <c:pt idx="3762">
                  <c:v>-2.8906365856528001E-2</c:v>
                </c:pt>
                <c:pt idx="3763">
                  <c:v>-2.9287882149219999E-2</c:v>
                </c:pt>
                <c:pt idx="3764">
                  <c:v>-2.9730081558228E-2</c:v>
                </c:pt>
                <c:pt idx="3765">
                  <c:v>-3.0272908508778E-2</c:v>
                </c:pt>
                <c:pt idx="3766">
                  <c:v>-3.0979866161942E-2</c:v>
                </c:pt>
                <c:pt idx="3767">
                  <c:v>-3.1365741044283003E-2</c:v>
                </c:pt>
                <c:pt idx="3768">
                  <c:v>-3.1765498220921E-2</c:v>
                </c:pt>
                <c:pt idx="3769">
                  <c:v>-3.2374866306781998E-2</c:v>
                </c:pt>
                <c:pt idx="3770">
                  <c:v>-3.2832004129887002E-2</c:v>
                </c:pt>
                <c:pt idx="3771">
                  <c:v>-3.3195819705725001E-2</c:v>
                </c:pt>
                <c:pt idx="3772">
                  <c:v>-3.396850451827E-2</c:v>
                </c:pt>
                <c:pt idx="3773">
                  <c:v>-3.4443292766808999E-2</c:v>
                </c:pt>
                <c:pt idx="3774">
                  <c:v>-3.4837868064642001E-2</c:v>
                </c:pt>
                <c:pt idx="3775">
                  <c:v>-3.5550102591514997E-2</c:v>
                </c:pt>
                <c:pt idx="3776">
                  <c:v>-3.5901036113500998E-2</c:v>
                </c:pt>
                <c:pt idx="3777">
                  <c:v>-3.6374285817146003E-2</c:v>
                </c:pt>
                <c:pt idx="3778">
                  <c:v>-3.7029191851616003E-2</c:v>
                </c:pt>
                <c:pt idx="3779">
                  <c:v>-3.7411678582429997E-2</c:v>
                </c:pt>
                <c:pt idx="3780">
                  <c:v>-3.7840113043784998E-2</c:v>
                </c:pt>
                <c:pt idx="3781">
                  <c:v>-3.8453951478003998E-2</c:v>
                </c:pt>
                <c:pt idx="3782">
                  <c:v>-3.8919065147638002E-2</c:v>
                </c:pt>
                <c:pt idx="3783">
                  <c:v>-3.9573591202496997E-2</c:v>
                </c:pt>
                <c:pt idx="3784">
                  <c:v>-4.0063224732875997E-2</c:v>
                </c:pt>
                <c:pt idx="3785">
                  <c:v>-4.0342986583710001E-2</c:v>
                </c:pt>
                <c:pt idx="3786">
                  <c:v>-4.0732149034738999E-2</c:v>
                </c:pt>
                <c:pt idx="3787">
                  <c:v>-4.1355580091476003E-2</c:v>
                </c:pt>
                <c:pt idx="3788">
                  <c:v>-4.1740518063307003E-2</c:v>
                </c:pt>
                <c:pt idx="3789">
                  <c:v>-4.2398910969496002E-2</c:v>
                </c:pt>
                <c:pt idx="3790">
                  <c:v>-4.2843706905842001E-2</c:v>
                </c:pt>
                <c:pt idx="3791">
                  <c:v>-4.3329611420630999E-2</c:v>
                </c:pt>
                <c:pt idx="3792">
                  <c:v>-4.3798130005597999E-2</c:v>
                </c:pt>
                <c:pt idx="3793">
                  <c:v>-4.4303704053164E-2</c:v>
                </c:pt>
                <c:pt idx="3794">
                  <c:v>-4.4796869158744999E-2</c:v>
                </c:pt>
                <c:pt idx="3795">
                  <c:v>-4.5412909239531001E-2</c:v>
                </c:pt>
                <c:pt idx="3796">
                  <c:v>-4.5952238142489998E-2</c:v>
                </c:pt>
                <c:pt idx="3797">
                  <c:v>-4.6293701976538003E-2</c:v>
                </c:pt>
                <c:pt idx="3798">
                  <c:v>-4.6791978180407999E-2</c:v>
                </c:pt>
                <c:pt idx="3799">
                  <c:v>-4.7420412302016997E-2</c:v>
                </c:pt>
                <c:pt idx="3800">
                  <c:v>-4.790722951293E-2</c:v>
                </c:pt>
                <c:pt idx="3801">
                  <c:v>-4.8286739736795002E-2</c:v>
                </c:pt>
                <c:pt idx="3802">
                  <c:v>-4.8689682036638003E-2</c:v>
                </c:pt>
                <c:pt idx="3803">
                  <c:v>-4.9333132803439997E-2</c:v>
                </c:pt>
                <c:pt idx="3804">
                  <c:v>-4.9839660525322002E-2</c:v>
                </c:pt>
                <c:pt idx="3805">
                  <c:v>-5.0157111138104997E-2</c:v>
                </c:pt>
                <c:pt idx="3806">
                  <c:v>-5.0763227045536E-2</c:v>
                </c:pt>
                <c:pt idx="3807">
                  <c:v>-5.1310233771801002E-2</c:v>
                </c:pt>
                <c:pt idx="3808">
                  <c:v>-5.1786661148070998E-2</c:v>
                </c:pt>
                <c:pt idx="3809">
                  <c:v>-5.2331313490868003E-2</c:v>
                </c:pt>
                <c:pt idx="3810">
                  <c:v>-5.2729841321707001E-2</c:v>
                </c:pt>
                <c:pt idx="3811">
                  <c:v>-5.3403910249471997E-2</c:v>
                </c:pt>
                <c:pt idx="3812">
                  <c:v>-5.3843021392822002E-2</c:v>
                </c:pt>
                <c:pt idx="3813">
                  <c:v>-5.4421689361334E-2</c:v>
                </c:pt>
                <c:pt idx="3814">
                  <c:v>-5.4942354559898002E-2</c:v>
                </c:pt>
                <c:pt idx="3815">
                  <c:v>-5.5449340492487002E-2</c:v>
                </c:pt>
                <c:pt idx="3816">
                  <c:v>-5.5768292397260999E-2</c:v>
                </c:pt>
                <c:pt idx="3817">
                  <c:v>-5.6500673294067001E-2</c:v>
                </c:pt>
                <c:pt idx="3818">
                  <c:v>-5.6924920529127003E-2</c:v>
                </c:pt>
                <c:pt idx="3819">
                  <c:v>-5.7306535542010997E-2</c:v>
                </c:pt>
                <c:pt idx="3820">
                  <c:v>-5.7886186987161997E-2</c:v>
                </c:pt>
                <c:pt idx="3821">
                  <c:v>-5.8333966881037001E-2</c:v>
                </c:pt>
                <c:pt idx="3822">
                  <c:v>-5.8804679661988997E-2</c:v>
                </c:pt>
                <c:pt idx="3823">
                  <c:v>-5.9283602982758997E-2</c:v>
                </c:pt>
                <c:pt idx="3824">
                  <c:v>-5.9799905866384999E-2</c:v>
                </c:pt>
                <c:pt idx="3825">
                  <c:v>-6.0287646949291E-2</c:v>
                </c:pt>
                <c:pt idx="3826">
                  <c:v>-6.0955353081226002E-2</c:v>
                </c:pt>
                <c:pt idx="3827">
                  <c:v>-6.1323422938584997E-2</c:v>
                </c:pt>
                <c:pt idx="3828">
                  <c:v>-6.1774861067533E-2</c:v>
                </c:pt>
                <c:pt idx="3829">
                  <c:v>-6.2283843755721997E-2</c:v>
                </c:pt>
                <c:pt idx="3830">
                  <c:v>-6.2806546688080001E-2</c:v>
                </c:pt>
                <c:pt idx="3831">
                  <c:v>-6.3371434807777002E-2</c:v>
                </c:pt>
                <c:pt idx="3832">
                  <c:v>-6.3894204795360995E-2</c:v>
                </c:pt>
                <c:pt idx="3833">
                  <c:v>-6.4304739236831998E-2</c:v>
                </c:pt>
                <c:pt idx="3834">
                  <c:v>-6.4877897500992002E-2</c:v>
                </c:pt>
                <c:pt idx="3835">
                  <c:v>-6.5296567976474998E-2</c:v>
                </c:pt>
                <c:pt idx="3836">
                  <c:v>-6.5597951412200997E-2</c:v>
                </c:pt>
                <c:pt idx="3837">
                  <c:v>-6.6377051174641002E-2</c:v>
                </c:pt>
                <c:pt idx="3838">
                  <c:v>-6.6768057644366996E-2</c:v>
                </c:pt>
                <c:pt idx="3839">
                  <c:v>-6.7204251885413999E-2</c:v>
                </c:pt>
                <c:pt idx="3840">
                  <c:v>-6.7664049565792E-2</c:v>
                </c:pt>
                <c:pt idx="3841">
                  <c:v>-6.8169549107552005E-2</c:v>
                </c:pt>
                <c:pt idx="3842">
                  <c:v>-6.8783774971962003E-2</c:v>
                </c:pt>
                <c:pt idx="3843">
                  <c:v>-6.9323390722275002E-2</c:v>
                </c:pt>
                <c:pt idx="3844">
                  <c:v>-6.9701552391051996E-2</c:v>
                </c:pt>
                <c:pt idx="3845">
                  <c:v>-7.0179820060729994E-2</c:v>
                </c:pt>
                <c:pt idx="3846">
                  <c:v>-7.0913642644881994E-2</c:v>
                </c:pt>
                <c:pt idx="3847">
                  <c:v>-7.1260064840316995E-2</c:v>
                </c:pt>
                <c:pt idx="3848">
                  <c:v>-7.1925744414330001E-2</c:v>
                </c:pt>
                <c:pt idx="3849">
                  <c:v>-7.2268523275851995E-2</c:v>
                </c:pt>
                <c:pt idx="3850">
                  <c:v>-7.2838626801967996E-2</c:v>
                </c:pt>
                <c:pt idx="3851">
                  <c:v>-7.3239371180534002E-2</c:v>
                </c:pt>
                <c:pt idx="3852">
                  <c:v>-7.3869250714778997E-2</c:v>
                </c:pt>
                <c:pt idx="3853">
                  <c:v>-7.4249893426895003E-2</c:v>
                </c:pt>
                <c:pt idx="3854">
                  <c:v>-7.4773415923118994E-2</c:v>
                </c:pt>
                <c:pt idx="3855">
                  <c:v>-7.5249470770358998E-2</c:v>
                </c:pt>
                <c:pt idx="3856">
                  <c:v>-7.5845248997210998E-2</c:v>
                </c:pt>
                <c:pt idx="3857">
                  <c:v>-7.6449438929557995E-2</c:v>
                </c:pt>
                <c:pt idx="3858">
                  <c:v>-7.6740063726901994E-2</c:v>
                </c:pt>
                <c:pt idx="3859">
                  <c:v>-7.7258504927157995E-2</c:v>
                </c:pt>
                <c:pt idx="3860">
                  <c:v>-7.7739991247654003E-2</c:v>
                </c:pt>
                <c:pt idx="3861">
                  <c:v>-7.8290097415446999E-2</c:v>
                </c:pt>
                <c:pt idx="3862">
                  <c:v>-7.8810475766659005E-2</c:v>
                </c:pt>
                <c:pt idx="3863">
                  <c:v>-7.9359583556652E-2</c:v>
                </c:pt>
                <c:pt idx="3864">
                  <c:v>-7.9844325780869002E-2</c:v>
                </c:pt>
                <c:pt idx="3865">
                  <c:v>-8.0379173159598999E-2</c:v>
                </c:pt>
                <c:pt idx="3866">
                  <c:v>-8.0864295363426E-2</c:v>
                </c:pt>
                <c:pt idx="3867">
                  <c:v>-8.1268064677714996E-2</c:v>
                </c:pt>
                <c:pt idx="3868">
                  <c:v>-8.1934489309788E-2</c:v>
                </c:pt>
                <c:pt idx="3869">
                  <c:v>-8.2193367183207994E-2</c:v>
                </c:pt>
                <c:pt idx="3870">
                  <c:v>-8.2715064287186002E-2</c:v>
                </c:pt>
                <c:pt idx="3871">
                  <c:v>-8.3339340984821E-2</c:v>
                </c:pt>
                <c:pt idx="3872">
                  <c:v>-8.3816140890121002E-2</c:v>
                </c:pt>
                <c:pt idx="3873">
                  <c:v>-8.4276676177979001E-2</c:v>
                </c:pt>
                <c:pt idx="3874">
                  <c:v>-8.4812134504318001E-2</c:v>
                </c:pt>
                <c:pt idx="3875">
                  <c:v>-8.5269652307033997E-2</c:v>
                </c:pt>
                <c:pt idx="3876">
                  <c:v>-8.5692048072814997E-2</c:v>
                </c:pt>
                <c:pt idx="3877">
                  <c:v>-8.6131997406483002E-2</c:v>
                </c:pt>
                <c:pt idx="3878">
                  <c:v>-8.6705125868319993E-2</c:v>
                </c:pt>
                <c:pt idx="3879">
                  <c:v>-8.7242819368839E-2</c:v>
                </c:pt>
                <c:pt idx="3880">
                  <c:v>-8.7748639285564006E-2</c:v>
                </c:pt>
                <c:pt idx="3881">
                  <c:v>-8.8260591030121002E-2</c:v>
                </c:pt>
                <c:pt idx="3882">
                  <c:v>-8.8773779571056005E-2</c:v>
                </c:pt>
                <c:pt idx="3883">
                  <c:v>-8.9231908321381004E-2</c:v>
                </c:pt>
                <c:pt idx="3884">
                  <c:v>-8.9685410261153994E-2</c:v>
                </c:pt>
                <c:pt idx="3885">
                  <c:v>-9.0242013335227994E-2</c:v>
                </c:pt>
                <c:pt idx="3886">
                  <c:v>-9.0814538300036995E-2</c:v>
                </c:pt>
                <c:pt idx="3887">
                  <c:v>-9.1304108500480999E-2</c:v>
                </c:pt>
                <c:pt idx="3888">
                  <c:v>-9.1744244098662997E-2</c:v>
                </c:pt>
                <c:pt idx="3889">
                  <c:v>-9.2301994562149006E-2</c:v>
                </c:pt>
                <c:pt idx="3890">
                  <c:v>-9.2734426259995006E-2</c:v>
                </c:pt>
                <c:pt idx="3891">
                  <c:v>-9.3316562473773998E-2</c:v>
                </c:pt>
                <c:pt idx="3892">
                  <c:v>-9.3632526695727997E-2</c:v>
                </c:pt>
                <c:pt idx="3893">
                  <c:v>-9.4198465347289997E-2</c:v>
                </c:pt>
                <c:pt idx="3894">
                  <c:v>-9.4763636589050002E-2</c:v>
                </c:pt>
                <c:pt idx="3895">
                  <c:v>-9.5268212258816001E-2</c:v>
                </c:pt>
                <c:pt idx="3896">
                  <c:v>-9.5714494585991003E-2</c:v>
                </c:pt>
                <c:pt idx="3897">
                  <c:v>-9.6174791455268999E-2</c:v>
                </c:pt>
                <c:pt idx="3898">
                  <c:v>-9.6711143851280004E-2</c:v>
                </c:pt>
                <c:pt idx="3899">
                  <c:v>-9.7259074449539004E-2</c:v>
                </c:pt>
                <c:pt idx="3900">
                  <c:v>-9.7813673317432001E-2</c:v>
                </c:pt>
                <c:pt idx="3901">
                  <c:v>-9.8171986639499997E-2</c:v>
                </c:pt>
                <c:pt idx="3902">
                  <c:v>-9.8764181137085003E-2</c:v>
                </c:pt>
                <c:pt idx="3903">
                  <c:v>-9.9254421889781994E-2</c:v>
                </c:pt>
                <c:pt idx="3904">
                  <c:v>-9.9707216024398998E-2</c:v>
                </c:pt>
                <c:pt idx="3905">
                  <c:v>-0.10034403949975999</c:v>
                </c:pt>
                <c:pt idx="3906">
                  <c:v>-0.10075567662715899</c:v>
                </c:pt>
                <c:pt idx="3907">
                  <c:v>-0.101281359791756</c:v>
                </c:pt>
                <c:pt idx="3908">
                  <c:v>-0.101866617798805</c:v>
                </c:pt>
                <c:pt idx="3909">
                  <c:v>-0.10230428725481</c:v>
                </c:pt>
                <c:pt idx="3910">
                  <c:v>-0.102724321186543</c:v>
                </c:pt>
                <c:pt idx="3911">
                  <c:v>-0.10334224998951</c:v>
                </c:pt>
                <c:pt idx="3912">
                  <c:v>-0.103846549987793</c:v>
                </c:pt>
                <c:pt idx="3913">
                  <c:v>-0.104231789708138</c:v>
                </c:pt>
                <c:pt idx="3914">
                  <c:v>-0.104743838310242</c:v>
                </c:pt>
                <c:pt idx="3915">
                  <c:v>-0.105352126061916</c:v>
                </c:pt>
                <c:pt idx="3916">
                  <c:v>-0.10583893209695799</c:v>
                </c:pt>
                <c:pt idx="3917">
                  <c:v>-0.106412343680859</c:v>
                </c:pt>
                <c:pt idx="3918">
                  <c:v>-0.10678848624229401</c:v>
                </c:pt>
                <c:pt idx="3919">
                  <c:v>-0.10724347084760701</c:v>
                </c:pt>
                <c:pt idx="3920">
                  <c:v>-0.107783168554306</c:v>
                </c:pt>
                <c:pt idx="3921">
                  <c:v>-0.108250699937344</c:v>
                </c:pt>
                <c:pt idx="3922">
                  <c:v>-0.108755514025688</c:v>
                </c:pt>
                <c:pt idx="3923">
                  <c:v>-0.10934691876173</c:v>
                </c:pt>
                <c:pt idx="3924">
                  <c:v>-0.109814383089542</c:v>
                </c:pt>
                <c:pt idx="3925">
                  <c:v>-0.110238395631313</c:v>
                </c:pt>
                <c:pt idx="3926">
                  <c:v>-0.110782295465469</c:v>
                </c:pt>
                <c:pt idx="3927">
                  <c:v>-0.11117987334728199</c:v>
                </c:pt>
                <c:pt idx="3928">
                  <c:v>-0.111839398741722</c:v>
                </c:pt>
                <c:pt idx="3929">
                  <c:v>-0.112234689295292</c:v>
                </c:pt>
                <c:pt idx="3930">
                  <c:v>-0.11259408295154601</c:v>
                </c:pt>
                <c:pt idx="3931">
                  <c:v>-0.11329703778028501</c:v>
                </c:pt>
                <c:pt idx="3932">
                  <c:v>-0.11387684941291799</c:v>
                </c:pt>
                <c:pt idx="3933">
                  <c:v>-0.114121913909912</c:v>
                </c:pt>
                <c:pt idx="3934">
                  <c:v>-0.11472479999065401</c:v>
                </c:pt>
                <c:pt idx="3935">
                  <c:v>-0.1150973290205</c:v>
                </c:pt>
                <c:pt idx="3936">
                  <c:v>-0.115838430821896</c:v>
                </c:pt>
                <c:pt idx="3937">
                  <c:v>-0.116394467651844</c:v>
                </c:pt>
                <c:pt idx="3938">
                  <c:v>-0.116780780255795</c:v>
                </c:pt>
                <c:pt idx="3939">
                  <c:v>-0.117267288267612</c:v>
                </c:pt>
                <c:pt idx="3940">
                  <c:v>-0.11784582585096399</c:v>
                </c:pt>
                <c:pt idx="3941">
                  <c:v>-0.11826276034116701</c:v>
                </c:pt>
                <c:pt idx="3942">
                  <c:v>-0.118752874433994</c:v>
                </c:pt>
                <c:pt idx="3943">
                  <c:v>-0.11930899322032899</c:v>
                </c:pt>
                <c:pt idx="3944">
                  <c:v>-0.11968979239463801</c:v>
                </c:pt>
                <c:pt idx="3945">
                  <c:v>-0.120333358645439</c:v>
                </c:pt>
                <c:pt idx="3946">
                  <c:v>-0.120781391859055</c:v>
                </c:pt>
                <c:pt idx="3947">
                  <c:v>-0.12126924097538</c:v>
                </c:pt>
                <c:pt idx="3948">
                  <c:v>-0.121742211282253</c:v>
                </c:pt>
                <c:pt idx="3949">
                  <c:v>-0.122299782931805</c:v>
                </c:pt>
                <c:pt idx="3950">
                  <c:v>-0.12278001010417899</c:v>
                </c:pt>
                <c:pt idx="3951">
                  <c:v>-0.12329434603452701</c:v>
                </c:pt>
                <c:pt idx="3952">
                  <c:v>-0.123760610818863</c:v>
                </c:pt>
                <c:pt idx="3953">
                  <c:v>-0.124353140592575</c:v>
                </c:pt>
                <c:pt idx="3954">
                  <c:v>-0.124917231500149</c:v>
                </c:pt>
                <c:pt idx="3955">
                  <c:v>-0.125237330794334</c:v>
                </c:pt>
                <c:pt idx="3956">
                  <c:v>-0.12577596306800801</c:v>
                </c:pt>
                <c:pt idx="3957">
                  <c:v>-0.12642695009708399</c:v>
                </c:pt>
                <c:pt idx="3958">
                  <c:v>-0.12683506309986101</c:v>
                </c:pt>
                <c:pt idx="3959">
                  <c:v>-0.12743815779685999</c:v>
                </c:pt>
                <c:pt idx="3960">
                  <c:v>-0.12783297896385201</c:v>
                </c:pt>
                <c:pt idx="3961">
                  <c:v>-0.12815172970295</c:v>
                </c:pt>
                <c:pt idx="3962">
                  <c:v>-0.12879639863967901</c:v>
                </c:pt>
                <c:pt idx="3963">
                  <c:v>-0.129274472594261</c:v>
                </c:pt>
                <c:pt idx="3964">
                  <c:v>-0.12984362244605999</c:v>
                </c:pt>
                <c:pt idx="3965">
                  <c:v>-0.13034516572952301</c:v>
                </c:pt>
                <c:pt idx="3966">
                  <c:v>-0.13071553409099601</c:v>
                </c:pt>
                <c:pt idx="3967">
                  <c:v>-0.13117934763431499</c:v>
                </c:pt>
                <c:pt idx="3968">
                  <c:v>-0.131729751825333</c:v>
                </c:pt>
                <c:pt idx="3969">
                  <c:v>-0.13213583827018699</c:v>
                </c:pt>
                <c:pt idx="3970">
                  <c:v>-0.13270822167396501</c:v>
                </c:pt>
                <c:pt idx="3971">
                  <c:v>-0.133314654231071</c:v>
                </c:pt>
                <c:pt idx="3972">
                  <c:v>-0.13363201916217801</c:v>
                </c:pt>
                <c:pt idx="3973">
                  <c:v>-0.13416585326194799</c:v>
                </c:pt>
                <c:pt idx="3974">
                  <c:v>-0.13462804257869701</c:v>
                </c:pt>
                <c:pt idx="3975">
                  <c:v>-0.13520503044128401</c:v>
                </c:pt>
                <c:pt idx="3976">
                  <c:v>-0.13580158352851901</c:v>
                </c:pt>
                <c:pt idx="3977">
                  <c:v>-0.13630419969558699</c:v>
                </c:pt>
                <c:pt idx="3978">
                  <c:v>-0.13665319979190799</c:v>
                </c:pt>
                <c:pt idx="3979">
                  <c:v>-0.13721486926078799</c:v>
                </c:pt>
                <c:pt idx="3980">
                  <c:v>-0.13781073689460799</c:v>
                </c:pt>
                <c:pt idx="3981">
                  <c:v>-0.138138428330421</c:v>
                </c:pt>
                <c:pt idx="3982">
                  <c:v>-0.13871940970420801</c:v>
                </c:pt>
                <c:pt idx="3983">
                  <c:v>-0.13914850354194599</c:v>
                </c:pt>
                <c:pt idx="3984">
                  <c:v>-0.139697700738907</c:v>
                </c:pt>
                <c:pt idx="3985">
                  <c:v>-0.14021959900855999</c:v>
                </c:pt>
                <c:pt idx="3986">
                  <c:v>-0.14068785309791601</c:v>
                </c:pt>
                <c:pt idx="3987">
                  <c:v>-0.141168147325516</c:v>
                </c:pt>
                <c:pt idx="3988">
                  <c:v>-0.14173845946788799</c:v>
                </c:pt>
                <c:pt idx="3989">
                  <c:v>-0.14223027229309099</c:v>
                </c:pt>
                <c:pt idx="3990">
                  <c:v>-0.14265750348567999</c:v>
                </c:pt>
                <c:pt idx="3991">
                  <c:v>-0.143298000097275</c:v>
                </c:pt>
                <c:pt idx="3992">
                  <c:v>-0.14362232387065901</c:v>
                </c:pt>
                <c:pt idx="3993">
                  <c:v>-0.14420349895954099</c:v>
                </c:pt>
                <c:pt idx="3994">
                  <c:v>-0.14475788176059701</c:v>
                </c:pt>
                <c:pt idx="3995">
                  <c:v>-0.14513204991817499</c:v>
                </c:pt>
                <c:pt idx="3996">
                  <c:v>-0.145629093050957</c:v>
                </c:pt>
                <c:pt idx="3997">
                  <c:v>-0.14628230035305001</c:v>
                </c:pt>
                <c:pt idx="3998">
                  <c:v>-0.14681132137775399</c:v>
                </c:pt>
                <c:pt idx="3999">
                  <c:v>-0.147179245948792</c:v>
                </c:pt>
                <c:pt idx="4000">
                  <c:v>-0.14768372476100899</c:v>
                </c:pt>
                <c:pt idx="4001">
                  <c:v>-0.14830183982849099</c:v>
                </c:pt>
                <c:pt idx="4002">
                  <c:v>-0.14875891804695099</c:v>
                </c:pt>
                <c:pt idx="4003">
                  <c:v>-0.14917977154254899</c:v>
                </c:pt>
                <c:pt idx="4004">
                  <c:v>-0.149705395102501</c:v>
                </c:pt>
                <c:pt idx="4005">
                  <c:v>-0.15014764666557301</c:v>
                </c:pt>
                <c:pt idx="4006">
                  <c:v>-0.15077723562717399</c:v>
                </c:pt>
                <c:pt idx="4007">
                  <c:v>-0.151237487792969</c:v>
                </c:pt>
                <c:pt idx="4008">
                  <c:v>-0.15161304175853699</c:v>
                </c:pt>
                <c:pt idx="4009">
                  <c:v>-0.152231976389885</c:v>
                </c:pt>
                <c:pt idx="4010">
                  <c:v>-0.152684405446053</c:v>
                </c:pt>
                <c:pt idx="4011">
                  <c:v>-0.15304939448833499</c:v>
                </c:pt>
                <c:pt idx="4012">
                  <c:v>-0.15370431542396501</c:v>
                </c:pt>
                <c:pt idx="4013">
                  <c:v>-0.15422363579273199</c:v>
                </c:pt>
                <c:pt idx="4014">
                  <c:v>-0.154611051082611</c:v>
                </c:pt>
                <c:pt idx="4015">
                  <c:v>-0.15517817437648801</c:v>
                </c:pt>
                <c:pt idx="4016">
                  <c:v>-0.15576964616775499</c:v>
                </c:pt>
                <c:pt idx="4017">
                  <c:v>-0.15605688095092801</c:v>
                </c:pt>
                <c:pt idx="4018">
                  <c:v>-0.15668667852878601</c:v>
                </c:pt>
                <c:pt idx="4019">
                  <c:v>-0.15721772611141199</c:v>
                </c:pt>
                <c:pt idx="4020">
                  <c:v>-0.15758880972862199</c:v>
                </c:pt>
                <c:pt idx="4021">
                  <c:v>-0.15828233957290599</c:v>
                </c:pt>
                <c:pt idx="4022">
                  <c:v>-0.15862797200679801</c:v>
                </c:pt>
                <c:pt idx="4023">
                  <c:v>-0.15918429195880901</c:v>
                </c:pt>
                <c:pt idx="4024">
                  <c:v>-0.15970712900161699</c:v>
                </c:pt>
                <c:pt idx="4025">
                  <c:v>-0.16024766862392401</c:v>
                </c:pt>
                <c:pt idx="4026">
                  <c:v>-0.16059854626655601</c:v>
                </c:pt>
                <c:pt idx="4027">
                  <c:v>-0.16139137744903601</c:v>
                </c:pt>
                <c:pt idx="4028">
                  <c:v>-0.16179123520851099</c:v>
                </c:pt>
                <c:pt idx="4029">
                  <c:v>-0.16215263307094599</c:v>
                </c:pt>
                <c:pt idx="4030">
                  <c:v>-0.16267429292201999</c:v>
                </c:pt>
                <c:pt idx="4031">
                  <c:v>-0.16315694153308899</c:v>
                </c:pt>
                <c:pt idx="4032">
                  <c:v>-0.163674160838127</c:v>
                </c:pt>
                <c:pt idx="4033">
                  <c:v>-0.16429518163204199</c:v>
                </c:pt>
                <c:pt idx="4034">
                  <c:v>-0.16470372676849401</c:v>
                </c:pt>
                <c:pt idx="4035">
                  <c:v>-0.165192246437073</c:v>
                </c:pt>
                <c:pt idx="4036">
                  <c:v>-0.16577717661857599</c:v>
                </c:pt>
                <c:pt idx="4037">
                  <c:v>-0.16612955927848799</c:v>
                </c:pt>
                <c:pt idx="4038">
                  <c:v>-0.166678607463837</c:v>
                </c:pt>
                <c:pt idx="4039">
                  <c:v>-0.167257234454155</c:v>
                </c:pt>
                <c:pt idx="4040">
                  <c:v>-0.16756199300289201</c:v>
                </c:pt>
                <c:pt idx="4041">
                  <c:v>-0.16817638278007499</c:v>
                </c:pt>
                <c:pt idx="4042">
                  <c:v>-0.16872023046016699</c:v>
                </c:pt>
                <c:pt idx="4043">
                  <c:v>-0.16917310655116999</c:v>
                </c:pt>
                <c:pt idx="4044">
                  <c:v>-0.16961094737052901</c:v>
                </c:pt>
                <c:pt idx="4045">
                  <c:v>-0.17038358747959101</c:v>
                </c:pt>
                <c:pt idx="4046">
                  <c:v>-0.17074403166770899</c:v>
                </c:pt>
                <c:pt idx="4047">
                  <c:v>-0.171086385846138</c:v>
                </c:pt>
                <c:pt idx="4048">
                  <c:v>-0.17166849970817599</c:v>
                </c:pt>
                <c:pt idx="4049">
                  <c:v>-0.17229084670543701</c:v>
                </c:pt>
                <c:pt idx="4050">
                  <c:v>-0.17276389896869701</c:v>
                </c:pt>
                <c:pt idx="4051">
                  <c:v>-0.17311273515224501</c:v>
                </c:pt>
                <c:pt idx="4052">
                  <c:v>-0.17365856468677501</c:v>
                </c:pt>
                <c:pt idx="4053">
                  <c:v>-0.17438478767871901</c:v>
                </c:pt>
                <c:pt idx="4054">
                  <c:v>-0.17475245893001601</c:v>
                </c:pt>
                <c:pt idx="4055">
                  <c:v>-0.175206333398819</c:v>
                </c:pt>
                <c:pt idx="4056">
                  <c:v>-0.17574268579482999</c:v>
                </c:pt>
                <c:pt idx="4057">
                  <c:v>-0.17621557414531699</c:v>
                </c:pt>
                <c:pt idx="4058">
                  <c:v>-0.176676765084267</c:v>
                </c:pt>
                <c:pt idx="4059">
                  <c:v>-0.177176043391228</c:v>
                </c:pt>
                <c:pt idx="4060">
                  <c:v>-0.177682980895042</c:v>
                </c:pt>
                <c:pt idx="4061">
                  <c:v>-0.178150460124016</c:v>
                </c:pt>
                <c:pt idx="4062">
                  <c:v>-0.178748279809952</c:v>
                </c:pt>
                <c:pt idx="4063">
                  <c:v>-0.17917661368846899</c:v>
                </c:pt>
                <c:pt idx="4064">
                  <c:v>-0.17968648672103901</c:v>
                </c:pt>
                <c:pt idx="4065">
                  <c:v>-0.180159211158752</c:v>
                </c:pt>
                <c:pt idx="4066">
                  <c:v>-0.180643990635872</c:v>
                </c:pt>
                <c:pt idx="4067">
                  <c:v>-0.18116024136543299</c:v>
                </c:pt>
                <c:pt idx="4068">
                  <c:v>-0.181697577238083</c:v>
                </c:pt>
                <c:pt idx="4069">
                  <c:v>-0.18207517266273501</c:v>
                </c:pt>
                <c:pt idx="4070">
                  <c:v>-0.18264859914779699</c:v>
                </c:pt>
                <c:pt idx="4071">
                  <c:v>-0.183061763644218</c:v>
                </c:pt>
                <c:pt idx="4072">
                  <c:v>-0.18361337482929199</c:v>
                </c:pt>
                <c:pt idx="4073">
                  <c:v>-0.184243053197861</c:v>
                </c:pt>
                <c:pt idx="4074">
                  <c:v>-0.18463304638862599</c:v>
                </c:pt>
                <c:pt idx="4075">
                  <c:v>-0.185068935155869</c:v>
                </c:pt>
                <c:pt idx="4076">
                  <c:v>-0.185600936412811</c:v>
                </c:pt>
                <c:pt idx="4077">
                  <c:v>-0.18616953492164601</c:v>
                </c:pt>
                <c:pt idx="4078">
                  <c:v>-0.186551094055176</c:v>
                </c:pt>
                <c:pt idx="4079">
                  <c:v>-0.18713828921318101</c:v>
                </c:pt>
                <c:pt idx="4080">
                  <c:v>-0.18776807188987699</c:v>
                </c:pt>
                <c:pt idx="4081">
                  <c:v>-0.18819609284400901</c:v>
                </c:pt>
                <c:pt idx="4082">
                  <c:v>-0.18856637179851499</c:v>
                </c:pt>
                <c:pt idx="4083">
                  <c:v>-0.18906788527965501</c:v>
                </c:pt>
                <c:pt idx="4084">
                  <c:v>-0.18972273170948001</c:v>
                </c:pt>
                <c:pt idx="4085">
                  <c:v>-0.19021141529083299</c:v>
                </c:pt>
                <c:pt idx="4086">
                  <c:v>-0.19061258435249301</c:v>
                </c:pt>
                <c:pt idx="4087">
                  <c:v>-0.19116789102554299</c:v>
                </c:pt>
                <c:pt idx="4088">
                  <c:v>-0.191692590713501</c:v>
                </c:pt>
                <c:pt idx="4089">
                  <c:v>-0.19214655458927199</c:v>
                </c:pt>
                <c:pt idx="4090">
                  <c:v>-0.192757964134216</c:v>
                </c:pt>
                <c:pt idx="4091">
                  <c:v>-0.19319786131382</c:v>
                </c:pt>
                <c:pt idx="4092">
                  <c:v>-0.19363713264465299</c:v>
                </c:pt>
                <c:pt idx="4093">
                  <c:v>-0.194172278046608</c:v>
                </c:pt>
                <c:pt idx="4094">
                  <c:v>-0.19466936588287401</c:v>
                </c:pt>
                <c:pt idx="4095">
                  <c:v>-0.19506101310253099</c:v>
                </c:pt>
                <c:pt idx="4096">
                  <c:v>-0.19560882449150099</c:v>
                </c:pt>
                <c:pt idx="4097">
                  <c:v>-0.196278780698776</c:v>
                </c:pt>
                <c:pt idx="4098">
                  <c:v>-0.19649110734462699</c:v>
                </c:pt>
                <c:pt idx="4099">
                  <c:v>-0.19713959097862199</c:v>
                </c:pt>
                <c:pt idx="4100">
                  <c:v>-0.19758795201778401</c:v>
                </c:pt>
                <c:pt idx="4101">
                  <c:v>-0.198059007525444</c:v>
                </c:pt>
                <c:pt idx="4102">
                  <c:v>-0.198701336979866</c:v>
                </c:pt>
                <c:pt idx="4103">
                  <c:v>-0.19914004206657401</c:v>
                </c:pt>
                <c:pt idx="4104">
                  <c:v>-0.19943822920322399</c:v>
                </c:pt>
                <c:pt idx="4105">
                  <c:v>-0.20005188882350899</c:v>
                </c:pt>
                <c:pt idx="4106">
                  <c:v>-0.20065279304981201</c:v>
                </c:pt>
                <c:pt idx="4107">
                  <c:v>-0.201138570904732</c:v>
                </c:pt>
                <c:pt idx="4108">
                  <c:v>-0.20162077248096499</c:v>
                </c:pt>
                <c:pt idx="4109">
                  <c:v>-0.20218908786773701</c:v>
                </c:pt>
                <c:pt idx="4110">
                  <c:v>-0.20261950790882099</c:v>
                </c:pt>
                <c:pt idx="4111">
                  <c:v>-0.20309346914291401</c:v>
                </c:pt>
                <c:pt idx="4112">
                  <c:v>-0.20370502769947099</c:v>
                </c:pt>
                <c:pt idx="4113">
                  <c:v>-0.20408239960670499</c:v>
                </c:pt>
                <c:pt idx="4114">
                  <c:v>-0.20478005707263899</c:v>
                </c:pt>
                <c:pt idx="4115">
                  <c:v>-0.20519481599330899</c:v>
                </c:pt>
                <c:pt idx="4116">
                  <c:v>-0.20573733747005499</c:v>
                </c:pt>
                <c:pt idx="4117">
                  <c:v>-0.20613607764244099</c:v>
                </c:pt>
                <c:pt idx="4118">
                  <c:v>-0.20665341615676899</c:v>
                </c:pt>
                <c:pt idx="4119">
                  <c:v>-0.20726402103900901</c:v>
                </c:pt>
                <c:pt idx="4120">
                  <c:v>-0.207758158445358</c:v>
                </c:pt>
                <c:pt idx="4121">
                  <c:v>-0.20827016234397899</c:v>
                </c:pt>
                <c:pt idx="4122">
                  <c:v>-0.208787322044373</c:v>
                </c:pt>
                <c:pt idx="4123">
                  <c:v>-0.20919138193130499</c:v>
                </c:pt>
                <c:pt idx="4124">
                  <c:v>-0.20964412391185799</c:v>
                </c:pt>
                <c:pt idx="4125">
                  <c:v>-0.21036690473556499</c:v>
                </c:pt>
                <c:pt idx="4126">
                  <c:v>-0.21062380075454701</c:v>
                </c:pt>
                <c:pt idx="4127">
                  <c:v>-0.21137332916259799</c:v>
                </c:pt>
                <c:pt idx="4128">
                  <c:v>-0.211728125810623</c:v>
                </c:pt>
                <c:pt idx="4129">
                  <c:v>-0.212151348590851</c:v>
                </c:pt>
                <c:pt idx="4130">
                  <c:v>-0.212640151381493</c:v>
                </c:pt>
                <c:pt idx="4131">
                  <c:v>-0.21309912204742401</c:v>
                </c:pt>
                <c:pt idx="4132">
                  <c:v>-0.21362391114234899</c:v>
                </c:pt>
                <c:pt idx="4133">
                  <c:v>-0.21422810852527599</c:v>
                </c:pt>
                <c:pt idx="4134">
                  <c:v>-0.21467745304107699</c:v>
                </c:pt>
                <c:pt idx="4135">
                  <c:v>-0.21493305265903501</c:v>
                </c:pt>
                <c:pt idx="4136">
                  <c:v>-0.21569319069385501</c:v>
                </c:pt>
                <c:pt idx="4137">
                  <c:v>-0.21604210138320901</c:v>
                </c:pt>
                <c:pt idx="4138">
                  <c:v>-0.21662510931491899</c:v>
                </c:pt>
                <c:pt idx="4139">
                  <c:v>-0.21713303029537201</c:v>
                </c:pt>
                <c:pt idx="4140">
                  <c:v>-0.217593014240265</c:v>
                </c:pt>
                <c:pt idx="4141">
                  <c:v>-0.21818895637989</c:v>
                </c:pt>
                <c:pt idx="4142">
                  <c:v>-0.21868176758289301</c:v>
                </c:pt>
                <c:pt idx="4143">
                  <c:v>-0.21905273199081399</c:v>
                </c:pt>
                <c:pt idx="4144">
                  <c:v>-0.21968264877796201</c:v>
                </c:pt>
                <c:pt idx="4145">
                  <c:v>-0.22016176581382799</c:v>
                </c:pt>
                <c:pt idx="4146">
                  <c:v>-0.220608055591583</c:v>
                </c:pt>
                <c:pt idx="4147">
                  <c:v>-0.22120618820190399</c:v>
                </c:pt>
                <c:pt idx="4148">
                  <c:v>-0.22163973748683899</c:v>
                </c:pt>
                <c:pt idx="4149">
                  <c:v>-0.22207742929458599</c:v>
                </c:pt>
                <c:pt idx="4150">
                  <c:v>-0.22266985476017001</c:v>
                </c:pt>
                <c:pt idx="4151">
                  <c:v>-0.22308601438999201</c:v>
                </c:pt>
                <c:pt idx="4152">
                  <c:v>-0.22352565824985501</c:v>
                </c:pt>
                <c:pt idx="4153">
                  <c:v>-0.22419978678226499</c:v>
                </c:pt>
                <c:pt idx="4154">
                  <c:v>-0.224535286426544</c:v>
                </c:pt>
                <c:pt idx="4155">
                  <c:v>-0.225217655301094</c:v>
                </c:pt>
                <c:pt idx="4156">
                  <c:v>-0.225719809532166</c:v>
                </c:pt>
                <c:pt idx="4157">
                  <c:v>-0.226043716073036</c:v>
                </c:pt>
                <c:pt idx="4158">
                  <c:v>-0.226726144552231</c:v>
                </c:pt>
                <c:pt idx="4159">
                  <c:v>-0.227336645126343</c:v>
                </c:pt>
                <c:pt idx="4160">
                  <c:v>-0.22768557071685799</c:v>
                </c:pt>
                <c:pt idx="4161">
                  <c:v>-0.228224322199821</c:v>
                </c:pt>
                <c:pt idx="4162">
                  <c:v>-0.22874769568443301</c:v>
                </c:pt>
                <c:pt idx="4163">
                  <c:v>-0.22924818098545099</c:v>
                </c:pt>
                <c:pt idx="4164">
                  <c:v>-0.22977320849895499</c:v>
                </c:pt>
                <c:pt idx="4165">
                  <c:v>-0.23032531142234799</c:v>
                </c:pt>
                <c:pt idx="4166">
                  <c:v>-0.230575636029243</c:v>
                </c:pt>
                <c:pt idx="4167">
                  <c:v>-0.231081292033195</c:v>
                </c:pt>
                <c:pt idx="4168">
                  <c:v>-0.23176389932632399</c:v>
                </c:pt>
                <c:pt idx="4169">
                  <c:v>-0.23218281567096699</c:v>
                </c:pt>
                <c:pt idx="4170">
                  <c:v>-0.23261430859565699</c:v>
                </c:pt>
                <c:pt idx="4171">
                  <c:v>-0.23325030505657199</c:v>
                </c:pt>
                <c:pt idx="4172">
                  <c:v>-0.23370923101902</c:v>
                </c:pt>
                <c:pt idx="4173">
                  <c:v>-0.23418951034545901</c:v>
                </c:pt>
                <c:pt idx="4174">
                  <c:v>-0.23460838198661799</c:v>
                </c:pt>
                <c:pt idx="4175">
                  <c:v>-0.23515959084033999</c:v>
                </c:pt>
                <c:pt idx="4176">
                  <c:v>-0.23568575084209401</c:v>
                </c:pt>
                <c:pt idx="4177">
                  <c:v>-0.236232459545135</c:v>
                </c:pt>
                <c:pt idx="4178">
                  <c:v>-0.23655052483081801</c:v>
                </c:pt>
                <c:pt idx="4179">
                  <c:v>-0.23723316192627</c:v>
                </c:pt>
                <c:pt idx="4180">
                  <c:v>-0.23770403861999501</c:v>
                </c:pt>
                <c:pt idx="4181">
                  <c:v>-0.23809558153152499</c:v>
                </c:pt>
                <c:pt idx="4182">
                  <c:v>-0.23881641030311601</c:v>
                </c:pt>
                <c:pt idx="4183">
                  <c:v>-0.23933221399784099</c:v>
                </c:pt>
                <c:pt idx="4184">
                  <c:v>-0.23955842852592499</c:v>
                </c:pt>
                <c:pt idx="4185">
                  <c:v>-0.24016757309436801</c:v>
                </c:pt>
                <c:pt idx="4186">
                  <c:v>-0.240832298994064</c:v>
                </c:pt>
                <c:pt idx="4187">
                  <c:v>-0.241194278001785</c:v>
                </c:pt>
                <c:pt idx="4188">
                  <c:v>-0.24179103970527599</c:v>
                </c:pt>
                <c:pt idx="4189">
                  <c:v>-0.242118239402771</c:v>
                </c:pt>
                <c:pt idx="4190">
                  <c:v>-0.24274389445781699</c:v>
                </c:pt>
                <c:pt idx="4191">
                  <c:v>-0.243194684386253</c:v>
                </c:pt>
                <c:pt idx="4192">
                  <c:v>-0.243668302893639</c:v>
                </c:pt>
                <c:pt idx="4193">
                  <c:v>-0.244233533740044</c:v>
                </c:pt>
                <c:pt idx="4194">
                  <c:v>-0.24478475749492601</c:v>
                </c:pt>
                <c:pt idx="4195">
                  <c:v>-0.245223268866539</c:v>
                </c:pt>
                <c:pt idx="4196">
                  <c:v>-0.245449349284172</c:v>
                </c:pt>
                <c:pt idx="4197">
                  <c:v>-0.24613243341445901</c:v>
                </c:pt>
                <c:pt idx="4198">
                  <c:v>-0.24662071466445901</c:v>
                </c:pt>
                <c:pt idx="4199">
                  <c:v>-0.24724748730659499</c:v>
                </c:pt>
                <c:pt idx="4200">
                  <c:v>-0.24772119522094699</c:v>
                </c:pt>
                <c:pt idx="4201">
                  <c:v>-0.24813236296176899</c:v>
                </c:pt>
                <c:pt idx="4202">
                  <c:v>-0.24859584867954301</c:v>
                </c:pt>
                <c:pt idx="4203">
                  <c:v>-0.24921607971191401</c:v>
                </c:pt>
                <c:pt idx="4204">
                  <c:v>-0.249707967042923</c:v>
                </c:pt>
                <c:pt idx="4205">
                  <c:v>-0.25013750791549699</c:v>
                </c:pt>
                <c:pt idx="4206">
                  <c:v>-0.25073847174644498</c:v>
                </c:pt>
                <c:pt idx="4207">
                  <c:v>-0.25114959478378301</c:v>
                </c:pt>
                <c:pt idx="4208">
                  <c:v>-0.251733899116516</c:v>
                </c:pt>
                <c:pt idx="4209">
                  <c:v>-0.25227671861648598</c:v>
                </c:pt>
                <c:pt idx="4210">
                  <c:v>-0.25269982218742398</c:v>
                </c:pt>
                <c:pt idx="4211">
                  <c:v>-0.25320872664451599</c:v>
                </c:pt>
                <c:pt idx="4212">
                  <c:v>-0.253882735967636</c:v>
                </c:pt>
                <c:pt idx="4213">
                  <c:v>-0.25407984852790799</c:v>
                </c:pt>
                <c:pt idx="4214">
                  <c:v>-0.25451359152793901</c:v>
                </c:pt>
                <c:pt idx="4215">
                  <c:v>-0.25524824857711798</c:v>
                </c:pt>
                <c:pt idx="4216">
                  <c:v>-0.255642890930176</c:v>
                </c:pt>
                <c:pt idx="4217">
                  <c:v>-0.25621214509010298</c:v>
                </c:pt>
                <c:pt idx="4218">
                  <c:v>-0.25666898488998402</c:v>
                </c:pt>
                <c:pt idx="4219">
                  <c:v>-0.25713762640953097</c:v>
                </c:pt>
                <c:pt idx="4220">
                  <c:v>-0.257584929466248</c:v>
                </c:pt>
                <c:pt idx="4221">
                  <c:v>-0.25817647576332098</c:v>
                </c:pt>
                <c:pt idx="4222">
                  <c:v>-0.25850409269332902</c:v>
                </c:pt>
                <c:pt idx="4223">
                  <c:v>-0.25910732150077798</c:v>
                </c:pt>
                <c:pt idx="4224">
                  <c:v>-0.25971880555152899</c:v>
                </c:pt>
                <c:pt idx="4225">
                  <c:v>-0.26011952757835399</c:v>
                </c:pt>
                <c:pt idx="4226">
                  <c:v>-0.260535418987274</c:v>
                </c:pt>
                <c:pt idx="4227">
                  <c:v>-0.26117560267448398</c:v>
                </c:pt>
                <c:pt idx="4228">
                  <c:v>-0.26160404086112998</c:v>
                </c:pt>
                <c:pt idx="4229">
                  <c:v>-0.26219558715820301</c:v>
                </c:pt>
                <c:pt idx="4230">
                  <c:v>-0.26275709271431003</c:v>
                </c:pt>
                <c:pt idx="4231">
                  <c:v>-0.26312315464019798</c:v>
                </c:pt>
                <c:pt idx="4232">
                  <c:v>-0.26352185010910001</c:v>
                </c:pt>
                <c:pt idx="4233">
                  <c:v>-0.26415157318115201</c:v>
                </c:pt>
                <c:pt idx="4234">
                  <c:v>-0.26456198096275302</c:v>
                </c:pt>
                <c:pt idx="4235">
                  <c:v>-0.26520109176635698</c:v>
                </c:pt>
                <c:pt idx="4236">
                  <c:v>-0.26580739021301297</c:v>
                </c:pt>
                <c:pt idx="4237">
                  <c:v>-0.266196638345718</c:v>
                </c:pt>
                <c:pt idx="4238">
                  <c:v>-0.26665443181991599</c:v>
                </c:pt>
                <c:pt idx="4239">
                  <c:v>-0.26731091737747198</c:v>
                </c:pt>
                <c:pt idx="4240">
                  <c:v>-0.26762998104095498</c:v>
                </c:pt>
                <c:pt idx="4241">
                  <c:v>-0.268120616674423</c:v>
                </c:pt>
                <c:pt idx="4242">
                  <c:v>-0.26873764395713801</c:v>
                </c:pt>
                <c:pt idx="4243">
                  <c:v>-0.26918414235115101</c:v>
                </c:pt>
                <c:pt idx="4244">
                  <c:v>-0.26951378583908098</c:v>
                </c:pt>
                <c:pt idx="4245">
                  <c:v>-0.27005988359451299</c:v>
                </c:pt>
                <c:pt idx="4246">
                  <c:v>-0.27064290642738298</c:v>
                </c:pt>
                <c:pt idx="4247">
                  <c:v>-0.27129778265953097</c:v>
                </c:pt>
                <c:pt idx="4248">
                  <c:v>-0.27164566516876198</c:v>
                </c:pt>
                <c:pt idx="4249">
                  <c:v>-0.27203813195228599</c:v>
                </c:pt>
                <c:pt idx="4250">
                  <c:v>-0.27255839109420799</c:v>
                </c:pt>
                <c:pt idx="4251">
                  <c:v>-0.27311787009239202</c:v>
                </c:pt>
                <c:pt idx="4252">
                  <c:v>-0.27353906631469699</c:v>
                </c:pt>
                <c:pt idx="4253">
                  <c:v>-0.27411559224128701</c:v>
                </c:pt>
                <c:pt idx="4254">
                  <c:v>-0.27476117014884899</c:v>
                </c:pt>
                <c:pt idx="4255">
                  <c:v>-0.27509766817092901</c:v>
                </c:pt>
                <c:pt idx="4256">
                  <c:v>-0.27557680010795599</c:v>
                </c:pt>
                <c:pt idx="4257">
                  <c:v>-0.27617752552032498</c:v>
                </c:pt>
                <c:pt idx="4258">
                  <c:v>-0.27656906843185403</c:v>
                </c:pt>
                <c:pt idx="4259">
                  <c:v>-0.277123242616653</c:v>
                </c:pt>
                <c:pt idx="4260">
                  <c:v>-0.27776670455932601</c:v>
                </c:pt>
                <c:pt idx="4261">
                  <c:v>-0.27814033627510099</c:v>
                </c:pt>
                <c:pt idx="4262">
                  <c:v>-0.27855774760246299</c:v>
                </c:pt>
                <c:pt idx="4263">
                  <c:v>-0.27919489145278897</c:v>
                </c:pt>
                <c:pt idx="4264">
                  <c:v>-0.27974414825439498</c:v>
                </c:pt>
                <c:pt idx="4265">
                  <c:v>-0.28018298745155301</c:v>
                </c:pt>
                <c:pt idx="4266">
                  <c:v>-0.28089299798011802</c:v>
                </c:pt>
                <c:pt idx="4267">
                  <c:v>-0.28115642070770303</c:v>
                </c:pt>
                <c:pt idx="4268">
                  <c:v>-0.28144586086273199</c:v>
                </c:pt>
                <c:pt idx="4269">
                  <c:v>-0.28225651383400002</c:v>
                </c:pt>
                <c:pt idx="4270">
                  <c:v>-0.282569169998169</c:v>
                </c:pt>
                <c:pt idx="4271">
                  <c:v>-0.28319275379180903</c:v>
                </c:pt>
                <c:pt idx="4272">
                  <c:v>-0.28373631834983798</c:v>
                </c:pt>
                <c:pt idx="4273">
                  <c:v>-0.284157544374466</c:v>
                </c:pt>
                <c:pt idx="4274">
                  <c:v>-0.28459191322326699</c:v>
                </c:pt>
                <c:pt idx="4275">
                  <c:v>-0.28521347045898399</c:v>
                </c:pt>
                <c:pt idx="4276">
                  <c:v>-0.28561195731163003</c:v>
                </c:pt>
                <c:pt idx="4277">
                  <c:v>-0.28609010577201799</c:v>
                </c:pt>
                <c:pt idx="4278">
                  <c:v>-0.28668293356895402</c:v>
                </c:pt>
                <c:pt idx="4279">
                  <c:v>-0.28711530566215498</c:v>
                </c:pt>
                <c:pt idx="4280">
                  <c:v>-0.28761363029480003</c:v>
                </c:pt>
                <c:pt idx="4281">
                  <c:v>-0.28810435533523598</c:v>
                </c:pt>
                <c:pt idx="4282">
                  <c:v>-0.288676738739014</c:v>
                </c:pt>
                <c:pt idx="4283">
                  <c:v>-0.28917935490608199</c:v>
                </c:pt>
                <c:pt idx="4284">
                  <c:v>-0.28969258069992099</c:v>
                </c:pt>
                <c:pt idx="4285">
                  <c:v>-0.29009431600570701</c:v>
                </c:pt>
                <c:pt idx="4286">
                  <c:v>-0.290614813566208</c:v>
                </c:pt>
                <c:pt idx="4287">
                  <c:v>-0.290979564189911</c:v>
                </c:pt>
                <c:pt idx="4288">
                  <c:v>-0.29164835810661299</c:v>
                </c:pt>
                <c:pt idx="4289">
                  <c:v>-0.29203224182128901</c:v>
                </c:pt>
                <c:pt idx="4290">
                  <c:v>-0.292662173509598</c:v>
                </c:pt>
                <c:pt idx="4291">
                  <c:v>-0.29330646991729697</c:v>
                </c:pt>
                <c:pt idx="4292">
                  <c:v>-0.29363602399826</c:v>
                </c:pt>
                <c:pt idx="4293">
                  <c:v>-0.29433694481849698</c:v>
                </c:pt>
                <c:pt idx="4294">
                  <c:v>-0.29460930824279802</c:v>
                </c:pt>
                <c:pt idx="4295">
                  <c:v>-0.29515099525451699</c:v>
                </c:pt>
                <c:pt idx="4296">
                  <c:v>-0.29562854766845698</c:v>
                </c:pt>
                <c:pt idx="4297">
                  <c:v>-0.29632580280303999</c:v>
                </c:pt>
                <c:pt idx="4298">
                  <c:v>-0.29657700657844499</c:v>
                </c:pt>
                <c:pt idx="4299">
                  <c:v>-0.29714938998222401</c:v>
                </c:pt>
                <c:pt idx="4300">
                  <c:v>-0.29773464798927302</c:v>
                </c:pt>
                <c:pt idx="4301">
                  <c:v>-0.29824656248092701</c:v>
                </c:pt>
                <c:pt idx="4302">
                  <c:v>-0.29878437519073497</c:v>
                </c:pt>
                <c:pt idx="4303">
                  <c:v>-0.29916256666183499</c:v>
                </c:pt>
                <c:pt idx="4304">
                  <c:v>-0.29956439137458801</c:v>
                </c:pt>
                <c:pt idx="4305">
                  <c:v>-0.30008924007415799</c:v>
                </c:pt>
                <c:pt idx="4306">
                  <c:v>-0.300539970397949</c:v>
                </c:pt>
                <c:pt idx="4307">
                  <c:v>-0.30114215612411499</c:v>
                </c:pt>
                <c:pt idx="4308">
                  <c:v>-0.30167961120605502</c:v>
                </c:pt>
                <c:pt idx="4309">
                  <c:v>-0.30215340852737399</c:v>
                </c:pt>
                <c:pt idx="4310">
                  <c:v>-0.30256494879722601</c:v>
                </c:pt>
                <c:pt idx="4311">
                  <c:v>-0.30320295691490201</c:v>
                </c:pt>
                <c:pt idx="4312">
                  <c:v>-0.30354213714599598</c:v>
                </c:pt>
                <c:pt idx="4313">
                  <c:v>-0.30403757095336897</c:v>
                </c:pt>
                <c:pt idx="4314">
                  <c:v>-0.30462470650672901</c:v>
                </c:pt>
                <c:pt idx="4315">
                  <c:v>-0.30520761013031</c:v>
                </c:pt>
                <c:pt idx="4316">
                  <c:v>-0.30545055866241499</c:v>
                </c:pt>
                <c:pt idx="4317">
                  <c:v>-0.30614161491393999</c:v>
                </c:pt>
                <c:pt idx="4318">
                  <c:v>-0.30669394135475198</c:v>
                </c:pt>
                <c:pt idx="4319">
                  <c:v>-0.30701866745948803</c:v>
                </c:pt>
                <c:pt idx="4320">
                  <c:v>-0.30767565965652499</c:v>
                </c:pt>
                <c:pt idx="4321">
                  <c:v>-0.30829858779907199</c:v>
                </c:pt>
                <c:pt idx="4322">
                  <c:v>-0.308495253324509</c:v>
                </c:pt>
                <c:pt idx="4323">
                  <c:v>-0.30914515256881703</c:v>
                </c:pt>
                <c:pt idx="4324">
                  <c:v>-0.309617578983307</c:v>
                </c:pt>
                <c:pt idx="4325">
                  <c:v>-0.31007608771324202</c:v>
                </c:pt>
                <c:pt idx="4326">
                  <c:v>-0.31047999858856201</c:v>
                </c:pt>
                <c:pt idx="4327">
                  <c:v>-0.31121626496315002</c:v>
                </c:pt>
                <c:pt idx="4328">
                  <c:v>-0.31166416406631497</c:v>
                </c:pt>
                <c:pt idx="4329">
                  <c:v>-0.312007516622543</c:v>
                </c:pt>
                <c:pt idx="4330">
                  <c:v>-0.31262651085853599</c:v>
                </c:pt>
                <c:pt idx="4331">
                  <c:v>-0.31310671567916898</c:v>
                </c:pt>
                <c:pt idx="4332">
                  <c:v>-0.31352880597114602</c:v>
                </c:pt>
                <c:pt idx="4333">
                  <c:v>-0.31401214003562899</c:v>
                </c:pt>
                <c:pt idx="4334">
                  <c:v>-0.31460472941398598</c:v>
                </c:pt>
                <c:pt idx="4335">
                  <c:v>-0.31503757834434498</c:v>
                </c:pt>
                <c:pt idx="4336">
                  <c:v>-0.31546241044998202</c:v>
                </c:pt>
                <c:pt idx="4337">
                  <c:v>-0.31611007452011097</c:v>
                </c:pt>
                <c:pt idx="4338">
                  <c:v>-0.31655669212341297</c:v>
                </c:pt>
                <c:pt idx="4339">
                  <c:v>-0.31703677773475603</c:v>
                </c:pt>
                <c:pt idx="4340">
                  <c:v>-0.317560434341431</c:v>
                </c:pt>
                <c:pt idx="4341">
                  <c:v>-0.31785222887992898</c:v>
                </c:pt>
                <c:pt idx="4342">
                  <c:v>-0.31857079267501798</c:v>
                </c:pt>
                <c:pt idx="4343">
                  <c:v>-0.319026529788971</c:v>
                </c:pt>
                <c:pt idx="4344">
                  <c:v>-0.31942969560623202</c:v>
                </c:pt>
                <c:pt idx="4345">
                  <c:v>-0.31997987627983099</c:v>
                </c:pt>
                <c:pt idx="4346">
                  <c:v>-0.32045349478721602</c:v>
                </c:pt>
                <c:pt idx="4347">
                  <c:v>-0.32098820805549599</c:v>
                </c:pt>
                <c:pt idx="4348">
                  <c:v>-0.32148969173431402</c:v>
                </c:pt>
                <c:pt idx="4349">
                  <c:v>-0.32199496030807501</c:v>
                </c:pt>
                <c:pt idx="4350">
                  <c:v>-0.32238522171974199</c:v>
                </c:pt>
                <c:pt idx="4351">
                  <c:v>-0.32313692569732699</c:v>
                </c:pt>
                <c:pt idx="4352">
                  <c:v>-0.32347074151039101</c:v>
                </c:pt>
                <c:pt idx="4353">
                  <c:v>-0.32393100857734702</c:v>
                </c:pt>
                <c:pt idx="4354">
                  <c:v>-0.32451492547988903</c:v>
                </c:pt>
                <c:pt idx="4355">
                  <c:v>-0.32519239187240601</c:v>
                </c:pt>
                <c:pt idx="4356">
                  <c:v>-0.32564184069633501</c:v>
                </c:pt>
                <c:pt idx="4357">
                  <c:v>-0.32602158188819902</c:v>
                </c:pt>
                <c:pt idx="4358">
                  <c:v>-0.32659727334976202</c:v>
                </c:pt>
                <c:pt idx="4359">
                  <c:v>-0.32718566060066201</c:v>
                </c:pt>
                <c:pt idx="4360">
                  <c:v>-0.32749015092849698</c:v>
                </c:pt>
                <c:pt idx="4361">
                  <c:v>-0.32805809378624001</c:v>
                </c:pt>
                <c:pt idx="4362">
                  <c:v>-0.328546762466431</c:v>
                </c:pt>
                <c:pt idx="4363">
                  <c:v>-0.32904729247093201</c:v>
                </c:pt>
                <c:pt idx="4364">
                  <c:v>-0.32962477207183799</c:v>
                </c:pt>
                <c:pt idx="4365">
                  <c:v>-0.33003005385398898</c:v>
                </c:pt>
                <c:pt idx="4366">
                  <c:v>-0.33063530921936002</c:v>
                </c:pt>
                <c:pt idx="4367">
                  <c:v>-0.33109959959983798</c:v>
                </c:pt>
                <c:pt idx="4368">
                  <c:v>-0.33150151371955899</c:v>
                </c:pt>
                <c:pt idx="4369">
                  <c:v>-0.332090973854065</c:v>
                </c:pt>
                <c:pt idx="4370">
                  <c:v>-0.332486242055893</c:v>
                </c:pt>
                <c:pt idx="4371">
                  <c:v>-0.33296665549278298</c:v>
                </c:pt>
                <c:pt idx="4372">
                  <c:v>-0.33359423279762301</c:v>
                </c:pt>
                <c:pt idx="4373">
                  <c:v>-0.334024518728256</c:v>
                </c:pt>
                <c:pt idx="4374">
                  <c:v>-0.33469542860984802</c:v>
                </c:pt>
                <c:pt idx="4375">
                  <c:v>-0.33509117364883401</c:v>
                </c:pt>
                <c:pt idx="4376">
                  <c:v>-0.33566102385520902</c:v>
                </c:pt>
                <c:pt idx="4377">
                  <c:v>-0.33611214160919201</c:v>
                </c:pt>
                <c:pt idx="4378">
                  <c:v>-0.33659338951110801</c:v>
                </c:pt>
                <c:pt idx="4379">
                  <c:v>-0.337080627679825</c:v>
                </c:pt>
                <c:pt idx="4380">
                  <c:v>-0.33759948611259499</c:v>
                </c:pt>
                <c:pt idx="4381">
                  <c:v>-0.33829405903816201</c:v>
                </c:pt>
                <c:pt idx="4382">
                  <c:v>-0.33854708075523399</c:v>
                </c:pt>
                <c:pt idx="4383">
                  <c:v>-0.33922025561332703</c:v>
                </c:pt>
                <c:pt idx="4384">
                  <c:v>-0.33971351385116599</c:v>
                </c:pt>
                <c:pt idx="4385">
                  <c:v>-0.34024423360824602</c:v>
                </c:pt>
                <c:pt idx="4386">
                  <c:v>-0.34062495827674899</c:v>
                </c:pt>
                <c:pt idx="4387">
                  <c:v>-0.34101435542106601</c:v>
                </c:pt>
                <c:pt idx="4388">
                  <c:v>-0.34153690934181202</c:v>
                </c:pt>
                <c:pt idx="4389">
                  <c:v>-0.34203076362609902</c:v>
                </c:pt>
                <c:pt idx="4390">
                  <c:v>-0.342600047588348</c:v>
                </c:pt>
                <c:pt idx="4391">
                  <c:v>-0.34301364421844499</c:v>
                </c:pt>
                <c:pt idx="4392">
                  <c:v>-0.34357640147209201</c:v>
                </c:pt>
                <c:pt idx="4393">
                  <c:v>-0.34411191940307601</c:v>
                </c:pt>
                <c:pt idx="4394">
                  <c:v>-0.344629466533661</c:v>
                </c:pt>
                <c:pt idx="4395">
                  <c:v>-0.34511142969131497</c:v>
                </c:pt>
                <c:pt idx="4396">
                  <c:v>-0.34550786018371599</c:v>
                </c:pt>
                <c:pt idx="4397">
                  <c:v>-0.34593248367309598</c:v>
                </c:pt>
                <c:pt idx="4398">
                  <c:v>-0.34656393527984602</c:v>
                </c:pt>
                <c:pt idx="4399">
                  <c:v>-0.34709912538528398</c:v>
                </c:pt>
                <c:pt idx="4400">
                  <c:v>-0.34744638204574602</c:v>
                </c:pt>
                <c:pt idx="4401">
                  <c:v>-0.34808212518692</c:v>
                </c:pt>
                <c:pt idx="4402">
                  <c:v>-0.34864583611488298</c:v>
                </c:pt>
                <c:pt idx="4403">
                  <c:v>-0.34904390573501598</c:v>
                </c:pt>
                <c:pt idx="4404">
                  <c:v>-0.34949761629104598</c:v>
                </c:pt>
                <c:pt idx="4405">
                  <c:v>-0.35013541579246499</c:v>
                </c:pt>
                <c:pt idx="4406">
                  <c:v>-0.35048964619636502</c:v>
                </c:pt>
                <c:pt idx="4407">
                  <c:v>-0.35119697451591497</c:v>
                </c:pt>
                <c:pt idx="4408">
                  <c:v>-0.35158872604370101</c:v>
                </c:pt>
                <c:pt idx="4409">
                  <c:v>-0.352053463459015</c:v>
                </c:pt>
                <c:pt idx="4410">
                  <c:v>-0.35261768102645902</c:v>
                </c:pt>
                <c:pt idx="4411">
                  <c:v>-0.35325548052787797</c:v>
                </c:pt>
                <c:pt idx="4412">
                  <c:v>-0.353585064411163</c:v>
                </c:pt>
                <c:pt idx="4413">
                  <c:v>-0.354162067174911</c:v>
                </c:pt>
                <c:pt idx="4414">
                  <c:v>-0.354489535093307</c:v>
                </c:pt>
                <c:pt idx="4415">
                  <c:v>-0.35496029257774397</c:v>
                </c:pt>
                <c:pt idx="4416">
                  <c:v>-0.355624228715897</c:v>
                </c:pt>
                <c:pt idx="4417">
                  <c:v>-0.35610309243202198</c:v>
                </c:pt>
                <c:pt idx="4418">
                  <c:v>-0.35647639632224998</c:v>
                </c:pt>
                <c:pt idx="4419">
                  <c:v>-0.357053011655807</c:v>
                </c:pt>
                <c:pt idx="4420">
                  <c:v>-0.357624471187592</c:v>
                </c:pt>
                <c:pt idx="4421">
                  <c:v>-0.357965767383575</c:v>
                </c:pt>
                <c:pt idx="4422">
                  <c:v>-0.35854464769363398</c:v>
                </c:pt>
                <c:pt idx="4423">
                  <c:v>-0.35906100273132302</c:v>
                </c:pt>
                <c:pt idx="4424">
                  <c:v>-0.35946395993232699</c:v>
                </c:pt>
                <c:pt idx="4425">
                  <c:v>-0.35998550057411199</c:v>
                </c:pt>
                <c:pt idx="4426">
                  <c:v>-0.36044141650199901</c:v>
                </c:pt>
                <c:pt idx="4427">
                  <c:v>-0.360889822244644</c:v>
                </c:pt>
                <c:pt idx="4428">
                  <c:v>-0.361554265022278</c:v>
                </c:pt>
                <c:pt idx="4429">
                  <c:v>-0.36212056875228898</c:v>
                </c:pt>
                <c:pt idx="4430">
                  <c:v>-0.36252546310424799</c:v>
                </c:pt>
                <c:pt idx="4431">
                  <c:v>-0.36302351951599099</c:v>
                </c:pt>
                <c:pt idx="4432">
                  <c:v>-0.36344179511070301</c:v>
                </c:pt>
                <c:pt idx="4433">
                  <c:v>-0.364047020673752</c:v>
                </c:pt>
                <c:pt idx="4434">
                  <c:v>-0.36454510688781699</c:v>
                </c:pt>
                <c:pt idx="4435">
                  <c:v>-0.364919453859329</c:v>
                </c:pt>
                <c:pt idx="4436">
                  <c:v>-0.36542075872421298</c:v>
                </c:pt>
                <c:pt idx="4437">
                  <c:v>-0.366092920303345</c:v>
                </c:pt>
                <c:pt idx="4438">
                  <c:v>-0.36646080017089799</c:v>
                </c:pt>
                <c:pt idx="4439">
                  <c:v>-0.36695802211761502</c:v>
                </c:pt>
                <c:pt idx="4440">
                  <c:v>-0.36755168437957803</c:v>
                </c:pt>
                <c:pt idx="4441">
                  <c:v>-0.36798843741416898</c:v>
                </c:pt>
                <c:pt idx="4442">
                  <c:v>-0.36851853132247903</c:v>
                </c:pt>
                <c:pt idx="4443">
                  <c:v>-0.36886122822761502</c:v>
                </c:pt>
                <c:pt idx="4444">
                  <c:v>-0.369469463825226</c:v>
                </c:pt>
                <c:pt idx="4445">
                  <c:v>-0.36999431252479598</c:v>
                </c:pt>
                <c:pt idx="4446">
                  <c:v>-0.370522320270538</c:v>
                </c:pt>
                <c:pt idx="4447">
                  <c:v>-0.370957762002945</c:v>
                </c:pt>
                <c:pt idx="4448">
                  <c:v>-0.371561139822006</c:v>
                </c:pt>
                <c:pt idx="4449">
                  <c:v>-0.37194493412971502</c:v>
                </c:pt>
                <c:pt idx="4450">
                  <c:v>-0.37249302864074701</c:v>
                </c:pt>
                <c:pt idx="4451">
                  <c:v>-0.37304735183715798</c:v>
                </c:pt>
                <c:pt idx="4452">
                  <c:v>-0.37339979410171498</c:v>
                </c:pt>
                <c:pt idx="4453">
                  <c:v>-0.37406730651855502</c:v>
                </c:pt>
                <c:pt idx="4454">
                  <c:v>-0.37451258301734902</c:v>
                </c:pt>
                <c:pt idx="4455">
                  <c:v>-0.375019460916519</c:v>
                </c:pt>
                <c:pt idx="4456">
                  <c:v>-0.37560114264488198</c:v>
                </c:pt>
                <c:pt idx="4457">
                  <c:v>-0.37616741657257102</c:v>
                </c:pt>
                <c:pt idx="4458">
                  <c:v>-0.376369208097458</c:v>
                </c:pt>
                <c:pt idx="4459">
                  <c:v>-0.376942157745361</c:v>
                </c:pt>
                <c:pt idx="4460">
                  <c:v>-0.37747251987457298</c:v>
                </c:pt>
                <c:pt idx="4461">
                  <c:v>-0.377925425767899</c:v>
                </c:pt>
                <c:pt idx="4462">
                  <c:v>-0.37851357460022</c:v>
                </c:pt>
                <c:pt idx="4463">
                  <c:v>-0.37905210256576499</c:v>
                </c:pt>
                <c:pt idx="4464">
                  <c:v>-0.37956327199935902</c:v>
                </c:pt>
                <c:pt idx="4465">
                  <c:v>-0.37991705536842302</c:v>
                </c:pt>
                <c:pt idx="4466">
                  <c:v>-0.38034531474113498</c:v>
                </c:pt>
                <c:pt idx="4467">
                  <c:v>-0.38083973526954701</c:v>
                </c:pt>
                <c:pt idx="4468">
                  <c:v>-0.38153716921806302</c:v>
                </c:pt>
                <c:pt idx="4469">
                  <c:v>-0.38207137584686302</c:v>
                </c:pt>
                <c:pt idx="4470">
                  <c:v>-0.38264209032058699</c:v>
                </c:pt>
                <c:pt idx="4471">
                  <c:v>-0.38307198882103</c:v>
                </c:pt>
                <c:pt idx="4472">
                  <c:v>-0.38347181677818298</c:v>
                </c:pt>
                <c:pt idx="4473">
                  <c:v>-0.38405510783195501</c:v>
                </c:pt>
                <c:pt idx="4474">
                  <c:v>-0.38459119200706499</c:v>
                </c:pt>
                <c:pt idx="4475">
                  <c:v>-0.38512042164802601</c:v>
                </c:pt>
                <c:pt idx="4476">
                  <c:v>-0.38564622402191201</c:v>
                </c:pt>
                <c:pt idx="4477">
                  <c:v>-0.386084884405136</c:v>
                </c:pt>
                <c:pt idx="4478">
                  <c:v>-0.38655471801757801</c:v>
                </c:pt>
                <c:pt idx="4479">
                  <c:v>-0.38724800944328303</c:v>
                </c:pt>
                <c:pt idx="4480">
                  <c:v>-0.38764569163322399</c:v>
                </c:pt>
                <c:pt idx="4481">
                  <c:v>-0.38814091682434099</c:v>
                </c:pt>
                <c:pt idx="4482">
                  <c:v>-0.38877776265144298</c:v>
                </c:pt>
                <c:pt idx="4483">
                  <c:v>-0.38901507854461698</c:v>
                </c:pt>
                <c:pt idx="4484">
                  <c:v>-0.38960370421409601</c:v>
                </c:pt>
                <c:pt idx="4485">
                  <c:v>-0.39013063907623302</c:v>
                </c:pt>
                <c:pt idx="4486">
                  <c:v>-0.39059641957282998</c:v>
                </c:pt>
                <c:pt idx="4487">
                  <c:v>-0.39113581180572499</c:v>
                </c:pt>
                <c:pt idx="4488">
                  <c:v>-0.39188838005065901</c:v>
                </c:pt>
                <c:pt idx="4489">
                  <c:v>-0.39210122823715199</c:v>
                </c:pt>
                <c:pt idx="4490">
                  <c:v>-0.39254269003868097</c:v>
                </c:pt>
                <c:pt idx="4491">
                  <c:v>-0.39313080906867998</c:v>
                </c:pt>
                <c:pt idx="4492">
                  <c:v>-0.39356243610382102</c:v>
                </c:pt>
                <c:pt idx="4493">
                  <c:v>-0.39412853121757502</c:v>
                </c:pt>
                <c:pt idx="4494">
                  <c:v>-0.39455121755599998</c:v>
                </c:pt>
                <c:pt idx="4495">
                  <c:v>-0.39504882693290699</c:v>
                </c:pt>
                <c:pt idx="4496">
                  <c:v>-0.39547058939933799</c:v>
                </c:pt>
                <c:pt idx="4497">
                  <c:v>-0.39611610770225503</c:v>
                </c:pt>
                <c:pt idx="4498">
                  <c:v>-0.39645558595657299</c:v>
                </c:pt>
                <c:pt idx="4499">
                  <c:v>-0.397040635347366</c:v>
                </c:pt>
                <c:pt idx="4500">
                  <c:v>-0.39739686250686601</c:v>
                </c:pt>
                <c:pt idx="4501">
                  <c:v>-0.39803209900856001</c:v>
                </c:pt>
                <c:pt idx="4502">
                  <c:v>-0.39852052927017201</c:v>
                </c:pt>
                <c:pt idx="4503">
                  <c:v>-0.39899665117263799</c:v>
                </c:pt>
                <c:pt idx="4504">
                  <c:v>-0.39951351284980802</c:v>
                </c:pt>
                <c:pt idx="4505">
                  <c:v>-0.39997389912605302</c:v>
                </c:pt>
                <c:pt idx="4506">
                  <c:v>-0.40039998292923001</c:v>
                </c:pt>
                <c:pt idx="4507">
                  <c:v>-0.40097057819366499</c:v>
                </c:pt>
                <c:pt idx="4508">
                  <c:v>-0.40154719352722201</c:v>
                </c:pt>
                <c:pt idx="4509">
                  <c:v>-0.40183502435684199</c:v>
                </c:pt>
                <c:pt idx="4510">
                  <c:v>-0.40252685546875</c:v>
                </c:pt>
                <c:pt idx="4511">
                  <c:v>-0.40312573313713101</c:v>
                </c:pt>
                <c:pt idx="4512">
                  <c:v>-0.40340170264244102</c:v>
                </c:pt>
                <c:pt idx="4513">
                  <c:v>-0.403943181037903</c:v>
                </c:pt>
                <c:pt idx="4514">
                  <c:v>-0.40438634157180797</c:v>
                </c:pt>
                <c:pt idx="4515">
                  <c:v>-0.40495795011520402</c:v>
                </c:pt>
                <c:pt idx="4516">
                  <c:v>-0.40552812814712502</c:v>
                </c:pt>
                <c:pt idx="4517">
                  <c:v>-0.40612500905990601</c:v>
                </c:pt>
                <c:pt idx="4518">
                  <c:v>-0.40649157762527499</c:v>
                </c:pt>
                <c:pt idx="4519">
                  <c:v>-0.40689048171043402</c:v>
                </c:pt>
                <c:pt idx="4520">
                  <c:v>-0.40752124786376998</c:v>
                </c:pt>
                <c:pt idx="4521">
                  <c:v>-0.40808627009391801</c:v>
                </c:pt>
                <c:pt idx="4522">
                  <c:v>-0.40853706002235401</c:v>
                </c:pt>
                <c:pt idx="4523">
                  <c:v>-0.40901717543602001</c:v>
                </c:pt>
                <c:pt idx="4524">
                  <c:v>-0.40967112779617298</c:v>
                </c:pt>
                <c:pt idx="4525">
                  <c:v>-0.40997985005378701</c:v>
                </c:pt>
                <c:pt idx="4526">
                  <c:v>-0.41049075126647899</c:v>
                </c:pt>
                <c:pt idx="4527">
                  <c:v>-0.41116920113563499</c:v>
                </c:pt>
                <c:pt idx="4528">
                  <c:v>-0.41151615977287298</c:v>
                </c:pt>
                <c:pt idx="4529">
                  <c:v>-0.41209384799003601</c:v>
                </c:pt>
                <c:pt idx="4530">
                  <c:v>-0.41279119253158603</c:v>
                </c:pt>
                <c:pt idx="4531">
                  <c:v>-0.413131684064865</c:v>
                </c:pt>
                <c:pt idx="4532">
                  <c:v>-0.41363096237182601</c:v>
                </c:pt>
                <c:pt idx="4533">
                  <c:v>-0.41416200995445301</c:v>
                </c:pt>
                <c:pt idx="4534">
                  <c:v>-0.41448679566383401</c:v>
                </c:pt>
                <c:pt idx="4535">
                  <c:v>-0.41507694125175498</c:v>
                </c:pt>
                <c:pt idx="4536">
                  <c:v>-0.41569039225578303</c:v>
                </c:pt>
                <c:pt idx="4537">
                  <c:v>-0.416118234395981</c:v>
                </c:pt>
                <c:pt idx="4538">
                  <c:v>-0.416489988565445</c:v>
                </c:pt>
                <c:pt idx="4539">
                  <c:v>-0.41715663671493503</c:v>
                </c:pt>
                <c:pt idx="4540">
                  <c:v>-0.41765007376670799</c:v>
                </c:pt>
                <c:pt idx="4541">
                  <c:v>-0.41813436150550798</c:v>
                </c:pt>
                <c:pt idx="4542">
                  <c:v>-0.41846838593482999</c:v>
                </c:pt>
                <c:pt idx="4543">
                  <c:v>-0.41892006993293801</c:v>
                </c:pt>
                <c:pt idx="4544">
                  <c:v>-0.41952219605445901</c:v>
                </c:pt>
                <c:pt idx="4545">
                  <c:v>-0.41997572779655501</c:v>
                </c:pt>
                <c:pt idx="4546">
                  <c:v>-0.42059481143951399</c:v>
                </c:pt>
                <c:pt idx="4547">
                  <c:v>-0.42098617553710899</c:v>
                </c:pt>
                <c:pt idx="4548">
                  <c:v>-0.42143782973289501</c:v>
                </c:pt>
                <c:pt idx="4549">
                  <c:v>-0.42203673720359802</c:v>
                </c:pt>
                <c:pt idx="4550">
                  <c:v>-0.422477006912231</c:v>
                </c:pt>
                <c:pt idx="4551">
                  <c:v>-0.42307659983634899</c:v>
                </c:pt>
                <c:pt idx="4552">
                  <c:v>-0.42357933521270802</c:v>
                </c:pt>
                <c:pt idx="4553">
                  <c:v>-0.42413303256034901</c:v>
                </c:pt>
                <c:pt idx="4554">
                  <c:v>-0.42451843619346602</c:v>
                </c:pt>
                <c:pt idx="4555">
                  <c:v>-0.42505389451980602</c:v>
                </c:pt>
                <c:pt idx="4556">
                  <c:v>-0.42550471425056502</c:v>
                </c:pt>
                <c:pt idx="4557">
                  <c:v>-0.42606517672538802</c:v>
                </c:pt>
                <c:pt idx="4558">
                  <c:v>-0.426671892404556</c:v>
                </c:pt>
                <c:pt idx="4559">
                  <c:v>-0.42722216248512301</c:v>
                </c:pt>
                <c:pt idx="4560">
                  <c:v>-0.427653938531876</c:v>
                </c:pt>
                <c:pt idx="4561">
                  <c:v>-0.42793753743171697</c:v>
                </c:pt>
                <c:pt idx="4562">
                  <c:v>-0.42867007851600603</c:v>
                </c:pt>
                <c:pt idx="4563">
                  <c:v>-0.42908462882041898</c:v>
                </c:pt>
                <c:pt idx="4564">
                  <c:v>-0.42965841293335</c:v>
                </c:pt>
                <c:pt idx="4565">
                  <c:v>-0.43014785647392301</c:v>
                </c:pt>
                <c:pt idx="4566">
                  <c:v>-0.43063360452652</c:v>
                </c:pt>
                <c:pt idx="4567">
                  <c:v>-0.43091875314712502</c:v>
                </c:pt>
                <c:pt idx="4568">
                  <c:v>-0.43144142627716098</c:v>
                </c:pt>
                <c:pt idx="4569">
                  <c:v>-0.43210190534591703</c:v>
                </c:pt>
                <c:pt idx="4570">
                  <c:v>-0.432557612657547</c:v>
                </c:pt>
                <c:pt idx="4571">
                  <c:v>-0.43310156464576699</c:v>
                </c:pt>
                <c:pt idx="4572">
                  <c:v>-0.43357083201408397</c:v>
                </c:pt>
                <c:pt idx="4573">
                  <c:v>-0.43408110737800598</c:v>
                </c:pt>
                <c:pt idx="4574">
                  <c:v>-0.43450424075126598</c:v>
                </c:pt>
                <c:pt idx="4575">
                  <c:v>-0.434942036867142</c:v>
                </c:pt>
                <c:pt idx="4576">
                  <c:v>-0.435433030128479</c:v>
                </c:pt>
                <c:pt idx="4577">
                  <c:v>-0.43609526753425598</c:v>
                </c:pt>
                <c:pt idx="4578">
                  <c:v>-0.43658703565597501</c:v>
                </c:pt>
                <c:pt idx="4579">
                  <c:v>-0.43705910444259599</c:v>
                </c:pt>
                <c:pt idx="4580">
                  <c:v>-0.43765363097190901</c:v>
                </c:pt>
                <c:pt idx="4581">
                  <c:v>-0.43804916739463801</c:v>
                </c:pt>
                <c:pt idx="4582">
                  <c:v>-0.43852621316909801</c:v>
                </c:pt>
                <c:pt idx="4583">
                  <c:v>-0.439132690429688</c:v>
                </c:pt>
                <c:pt idx="4584">
                  <c:v>-0.43965452909469599</c:v>
                </c:pt>
                <c:pt idx="4585">
                  <c:v>-0.44001039862632801</c:v>
                </c:pt>
                <c:pt idx="4586">
                  <c:v>-0.44046869874000499</c:v>
                </c:pt>
                <c:pt idx="4587">
                  <c:v>-0.44102516770362898</c:v>
                </c:pt>
                <c:pt idx="4588">
                  <c:v>-0.44161769747734098</c:v>
                </c:pt>
                <c:pt idx="4589">
                  <c:v>-0.442226052284241</c:v>
                </c:pt>
                <c:pt idx="4590">
                  <c:v>-0.44261094927787797</c:v>
                </c:pt>
                <c:pt idx="4591">
                  <c:v>-0.44302549958229098</c:v>
                </c:pt>
                <c:pt idx="4592">
                  <c:v>-0.44346967339515703</c:v>
                </c:pt>
                <c:pt idx="4593">
                  <c:v>-0.44407311081886303</c:v>
                </c:pt>
                <c:pt idx="4594">
                  <c:v>-0.44447261095047003</c:v>
                </c:pt>
                <c:pt idx="4595">
                  <c:v>-0.44496557116508501</c:v>
                </c:pt>
                <c:pt idx="4596">
                  <c:v>-0.445532947778702</c:v>
                </c:pt>
                <c:pt idx="4597">
                  <c:v>-0.44594624638557401</c:v>
                </c:pt>
                <c:pt idx="4598">
                  <c:v>-0.44651660323143</c:v>
                </c:pt>
                <c:pt idx="4599">
                  <c:v>-0.446979999542236</c:v>
                </c:pt>
                <c:pt idx="4600">
                  <c:v>-0.447527825832367</c:v>
                </c:pt>
                <c:pt idx="4601">
                  <c:v>-0.44792550802230802</c:v>
                </c:pt>
                <c:pt idx="4602">
                  <c:v>-0.44844597578048701</c:v>
                </c:pt>
                <c:pt idx="4603">
                  <c:v>-0.44902801513671903</c:v>
                </c:pt>
                <c:pt idx="4604">
                  <c:v>-0.44948390126228299</c:v>
                </c:pt>
                <c:pt idx="4605">
                  <c:v>-0.44995972514152499</c:v>
                </c:pt>
                <c:pt idx="4606">
                  <c:v>-0.45044443011283902</c:v>
                </c:pt>
                <c:pt idx="4607">
                  <c:v>-0.45092460513114901</c:v>
                </c:pt>
                <c:pt idx="4608">
                  <c:v>-0.451458960771561</c:v>
                </c:pt>
                <c:pt idx="4609">
                  <c:v>-0.45193699002265902</c:v>
                </c:pt>
                <c:pt idx="4610">
                  <c:v>-0.452385544776917</c:v>
                </c:pt>
                <c:pt idx="4611">
                  <c:v>-0.45287841558456399</c:v>
                </c:pt>
                <c:pt idx="4612">
                  <c:v>-0.45349648594856301</c:v>
                </c:pt>
                <c:pt idx="4613">
                  <c:v>-0.45397862792015098</c:v>
                </c:pt>
                <c:pt idx="4614">
                  <c:v>-0.45444321632385298</c:v>
                </c:pt>
                <c:pt idx="4615">
                  <c:v>-0.45491808652877802</c:v>
                </c:pt>
                <c:pt idx="4616">
                  <c:v>-0.45544946193695102</c:v>
                </c:pt>
                <c:pt idx="4617">
                  <c:v>-0.45590403676032998</c:v>
                </c:pt>
                <c:pt idx="4618">
                  <c:v>-0.456562489271164</c:v>
                </c:pt>
                <c:pt idx="4619">
                  <c:v>-0.45695996284484902</c:v>
                </c:pt>
                <c:pt idx="4620">
                  <c:v>-0.45744988322258001</c:v>
                </c:pt>
                <c:pt idx="4621">
                  <c:v>-0.45799997448921198</c:v>
                </c:pt>
                <c:pt idx="4622">
                  <c:v>-0.45839247107505798</c:v>
                </c:pt>
                <c:pt idx="4623">
                  <c:v>-0.45903271436691301</c:v>
                </c:pt>
                <c:pt idx="4624">
                  <c:v>-0.45957538485527</c:v>
                </c:pt>
                <c:pt idx="4625">
                  <c:v>-0.46006724238395702</c:v>
                </c:pt>
                <c:pt idx="4626">
                  <c:v>-0.46042355895042397</c:v>
                </c:pt>
                <c:pt idx="4627">
                  <c:v>-0.46101102232933</c:v>
                </c:pt>
                <c:pt idx="4628">
                  <c:v>-0.46159839630126998</c:v>
                </c:pt>
                <c:pt idx="4629">
                  <c:v>-0.462045758962631</c:v>
                </c:pt>
                <c:pt idx="4630">
                  <c:v>-0.46269866824150102</c:v>
                </c:pt>
                <c:pt idx="4631">
                  <c:v>-0.46311634778976402</c:v>
                </c:pt>
                <c:pt idx="4632">
                  <c:v>-0.463510721921921</c:v>
                </c:pt>
                <c:pt idx="4633">
                  <c:v>-0.46394425630569502</c:v>
                </c:pt>
                <c:pt idx="4634">
                  <c:v>-0.46466118097305298</c:v>
                </c:pt>
                <c:pt idx="4635">
                  <c:v>-0.465035289525986</c:v>
                </c:pt>
                <c:pt idx="4636">
                  <c:v>-0.46565824747085599</c:v>
                </c:pt>
                <c:pt idx="4637">
                  <c:v>-0.46617043018341098</c:v>
                </c:pt>
                <c:pt idx="4638">
                  <c:v>-0.46645611524581898</c:v>
                </c:pt>
                <c:pt idx="4639">
                  <c:v>-0.46710330247879001</c:v>
                </c:pt>
                <c:pt idx="4640">
                  <c:v>-0.46768450736999501</c:v>
                </c:pt>
                <c:pt idx="4641">
                  <c:v>-0.46805679798126198</c:v>
                </c:pt>
                <c:pt idx="4642">
                  <c:v>-0.46859839558601402</c:v>
                </c:pt>
                <c:pt idx="4643">
                  <c:v>-0.46900004148483299</c:v>
                </c:pt>
                <c:pt idx="4644">
                  <c:v>-0.46955144405365001</c:v>
                </c:pt>
                <c:pt idx="4645">
                  <c:v>-0.46990451216697698</c:v>
                </c:pt>
                <c:pt idx="4646">
                  <c:v>-0.47046008706092801</c:v>
                </c:pt>
                <c:pt idx="4647">
                  <c:v>-0.47095191478729198</c:v>
                </c:pt>
                <c:pt idx="4648">
                  <c:v>-0.47155603766441301</c:v>
                </c:pt>
                <c:pt idx="4649">
                  <c:v>-0.47195667028427102</c:v>
                </c:pt>
                <c:pt idx="4650">
                  <c:v>-0.47253257036209101</c:v>
                </c:pt>
                <c:pt idx="4651">
                  <c:v>-0.472972452640533</c:v>
                </c:pt>
                <c:pt idx="4652">
                  <c:v>-0.47326758503913902</c:v>
                </c:pt>
                <c:pt idx="4653">
                  <c:v>-0.47392249107360801</c:v>
                </c:pt>
                <c:pt idx="4654">
                  <c:v>-0.47433906793594399</c:v>
                </c:pt>
                <c:pt idx="4655">
                  <c:v>-0.474867343902588</c:v>
                </c:pt>
                <c:pt idx="4656">
                  <c:v>-0.47544682025909402</c:v>
                </c:pt>
                <c:pt idx="4657">
                  <c:v>-0.47601708769798301</c:v>
                </c:pt>
                <c:pt idx="4658">
                  <c:v>-0.47631198167800898</c:v>
                </c:pt>
                <c:pt idx="4659">
                  <c:v>-0.47704863548278797</c:v>
                </c:pt>
                <c:pt idx="4660">
                  <c:v>-0.47745683789253202</c:v>
                </c:pt>
                <c:pt idx="4661">
                  <c:v>-0.47787460684776301</c:v>
                </c:pt>
                <c:pt idx="4662">
                  <c:v>-0.47841200232505798</c:v>
                </c:pt>
                <c:pt idx="4663">
                  <c:v>-0.47892859578132602</c:v>
                </c:pt>
                <c:pt idx="4664">
                  <c:v>-0.47942346334457397</c:v>
                </c:pt>
                <c:pt idx="4665">
                  <c:v>-0.47989222407340998</c:v>
                </c:pt>
                <c:pt idx="4666">
                  <c:v>-0.48041680455207803</c:v>
                </c:pt>
                <c:pt idx="4667">
                  <c:v>-0.48094159364700301</c:v>
                </c:pt>
                <c:pt idx="4668">
                  <c:v>-0.48147806525230402</c:v>
                </c:pt>
                <c:pt idx="4669">
                  <c:v>-0.48180997371673601</c:v>
                </c:pt>
                <c:pt idx="4670">
                  <c:v>-0.48242050409317</c:v>
                </c:pt>
                <c:pt idx="4671">
                  <c:v>-0.48295080661773698</c:v>
                </c:pt>
                <c:pt idx="4672">
                  <c:v>-0.48362147808075001</c:v>
                </c:pt>
                <c:pt idx="4673">
                  <c:v>-0.48405531048774703</c:v>
                </c:pt>
                <c:pt idx="4674">
                  <c:v>-0.48441582918167098</c:v>
                </c:pt>
                <c:pt idx="4675">
                  <c:v>-0.485108911991119</c:v>
                </c:pt>
                <c:pt idx="4676">
                  <c:v>-0.48549827933311501</c:v>
                </c:pt>
                <c:pt idx="4677">
                  <c:v>-0.48606964945793202</c:v>
                </c:pt>
                <c:pt idx="4678">
                  <c:v>-0.48651072382926902</c:v>
                </c:pt>
                <c:pt idx="4679">
                  <c:v>-0.48707702755928001</c:v>
                </c:pt>
                <c:pt idx="4680">
                  <c:v>-0.48747870326042197</c:v>
                </c:pt>
                <c:pt idx="4681">
                  <c:v>-0.48806601762771601</c:v>
                </c:pt>
                <c:pt idx="4682">
                  <c:v>-0.48861077427864102</c:v>
                </c:pt>
                <c:pt idx="4683">
                  <c:v>-0.48911654949188199</c:v>
                </c:pt>
                <c:pt idx="4684">
                  <c:v>-0.48974716663360601</c:v>
                </c:pt>
                <c:pt idx="4685">
                  <c:v>-0.49006289243698098</c:v>
                </c:pt>
                <c:pt idx="4686">
                  <c:v>-0.49042692780494701</c:v>
                </c:pt>
                <c:pt idx="4687">
                  <c:v>-0.49110427498817399</c:v>
                </c:pt>
                <c:pt idx="4688">
                  <c:v>-0.49179860949516302</c:v>
                </c:pt>
                <c:pt idx="4689">
                  <c:v>-0.492125004529953</c:v>
                </c:pt>
                <c:pt idx="4690">
                  <c:v>-0.492664664983749</c:v>
                </c:pt>
                <c:pt idx="4691">
                  <c:v>-0.49326068162918102</c:v>
                </c:pt>
                <c:pt idx="4692">
                  <c:v>-0.49360701441764798</c:v>
                </c:pt>
                <c:pt idx="4693">
                  <c:v>-0.49402734637260398</c:v>
                </c:pt>
                <c:pt idx="4694">
                  <c:v>-0.49447649717330899</c:v>
                </c:pt>
                <c:pt idx="4695">
                  <c:v>-0.49502438306808499</c:v>
                </c:pt>
                <c:pt idx="4696">
                  <c:v>-0.49545627832412698</c:v>
                </c:pt>
                <c:pt idx="4697">
                  <c:v>-0.49610707163810702</c:v>
                </c:pt>
                <c:pt idx="4698">
                  <c:v>-0.49658393859863298</c:v>
                </c:pt>
                <c:pt idx="4699">
                  <c:v>-0.49694895744323703</c:v>
                </c:pt>
                <c:pt idx="4700">
                  <c:v>-0.49755105376243602</c:v>
                </c:pt>
                <c:pt idx="4701">
                  <c:v>-0.49800130724906899</c:v>
                </c:pt>
                <c:pt idx="4702">
                  <c:v>-0.49845844507217402</c:v>
                </c:pt>
                <c:pt idx="4703">
                  <c:v>-0.49894815683364901</c:v>
                </c:pt>
                <c:pt idx="4704">
                  <c:v>-0.49958613514900202</c:v>
                </c:pt>
                <c:pt idx="4705">
                  <c:v>-0.499805837869644</c:v>
                </c:pt>
                <c:pt idx="4706">
                  <c:v>-0.50045782327652</c:v>
                </c:pt>
                <c:pt idx="4707">
                  <c:v>-0.50106412172317505</c:v>
                </c:pt>
                <c:pt idx="4708">
                  <c:v>-0.50143957138061501</c:v>
                </c:pt>
                <c:pt idx="4709">
                  <c:v>-0.50194728374481201</c:v>
                </c:pt>
                <c:pt idx="4710">
                  <c:v>-0.50232905149459794</c:v>
                </c:pt>
                <c:pt idx="4711">
                  <c:v>-0.50286245346069303</c:v>
                </c:pt>
                <c:pt idx="4712">
                  <c:v>-0.50330716371536299</c:v>
                </c:pt>
                <c:pt idx="4713">
                  <c:v>-0.50378233194351196</c:v>
                </c:pt>
                <c:pt idx="4714">
                  <c:v>-0.50214123725891102</c:v>
                </c:pt>
                <c:pt idx="4715">
                  <c:v>-0.50395411252975497</c:v>
                </c:pt>
                <c:pt idx="4716">
                  <c:v>-0.50338160991668701</c:v>
                </c:pt>
                <c:pt idx="4717">
                  <c:v>-0.50429755449295</c:v>
                </c:pt>
                <c:pt idx="4718">
                  <c:v>-0.50362968444824197</c:v>
                </c:pt>
                <c:pt idx="4719">
                  <c:v>-0.50403040647506703</c:v>
                </c:pt>
                <c:pt idx="4720">
                  <c:v>-0.50445026159286499</c:v>
                </c:pt>
                <c:pt idx="4721">
                  <c:v>-0.50341975688934304</c:v>
                </c:pt>
                <c:pt idx="4722">
                  <c:v>-0.50424033403396595</c:v>
                </c:pt>
                <c:pt idx="4723">
                  <c:v>-0.50448840856552102</c:v>
                </c:pt>
                <c:pt idx="4724">
                  <c:v>-0.50382047891616799</c:v>
                </c:pt>
                <c:pt idx="4725">
                  <c:v>-0.50437390804290805</c:v>
                </c:pt>
                <c:pt idx="4726">
                  <c:v>-0.50406855344772294</c:v>
                </c:pt>
                <c:pt idx="4727">
                  <c:v>-0.50404947996139504</c:v>
                </c:pt>
                <c:pt idx="4728">
                  <c:v>-0.50418305397033703</c:v>
                </c:pt>
                <c:pt idx="4729">
                  <c:v>-0.50485098361969005</c:v>
                </c:pt>
                <c:pt idx="4730">
                  <c:v>-0.504144906997681</c:v>
                </c:pt>
                <c:pt idx="4731">
                  <c:v>-0.50441205501556396</c:v>
                </c:pt>
                <c:pt idx="4732">
                  <c:v>-0.50445026159286499</c:v>
                </c:pt>
                <c:pt idx="4733">
                  <c:v>-0.50345796346664395</c:v>
                </c:pt>
                <c:pt idx="4734">
                  <c:v>-0.50471740961074796</c:v>
                </c:pt>
                <c:pt idx="4735">
                  <c:v>-0.50515627861022905</c:v>
                </c:pt>
                <c:pt idx="4736">
                  <c:v>-0.50435483455658003</c:v>
                </c:pt>
                <c:pt idx="4737">
                  <c:v>-0.50517535209655795</c:v>
                </c:pt>
                <c:pt idx="4738">
                  <c:v>-0.50517535209655795</c:v>
                </c:pt>
                <c:pt idx="4739">
                  <c:v>-0.50464105606079102</c:v>
                </c:pt>
                <c:pt idx="4740">
                  <c:v>-0.50479370355606101</c:v>
                </c:pt>
                <c:pt idx="4741">
                  <c:v>-0.50544250011444103</c:v>
                </c:pt>
                <c:pt idx="4742">
                  <c:v>-0.50473648309707597</c:v>
                </c:pt>
                <c:pt idx="4743">
                  <c:v>-0.50519442558288596</c:v>
                </c:pt>
                <c:pt idx="4744">
                  <c:v>-0.50509905815124501</c:v>
                </c:pt>
                <c:pt idx="4745">
                  <c:v>-0.50548070669174205</c:v>
                </c:pt>
                <c:pt idx="4746">
                  <c:v>-0.50544250011444103</c:v>
                </c:pt>
                <c:pt idx="4747">
                  <c:v>-0.50580507516860995</c:v>
                </c:pt>
                <c:pt idx="4748">
                  <c:v>-0.50494635105133101</c:v>
                </c:pt>
                <c:pt idx="4749">
                  <c:v>-0.50576692819595304</c:v>
                </c:pt>
                <c:pt idx="4750">
                  <c:v>-0.50418305397033703</c:v>
                </c:pt>
                <c:pt idx="4751">
                  <c:v>-0.50563335418701205</c:v>
                </c:pt>
                <c:pt idx="4752">
                  <c:v>-0.50532805919647195</c:v>
                </c:pt>
                <c:pt idx="4753">
                  <c:v>-0.50601500272750899</c:v>
                </c:pt>
                <c:pt idx="4754">
                  <c:v>-0.50527077913284302</c:v>
                </c:pt>
                <c:pt idx="4755">
                  <c:v>-0.50557613372802701</c:v>
                </c:pt>
                <c:pt idx="4756">
                  <c:v>-0.50576692819595304</c:v>
                </c:pt>
                <c:pt idx="4757">
                  <c:v>-0.50591957569122303</c:v>
                </c:pt>
                <c:pt idx="4758">
                  <c:v>-0.50620585680007901</c:v>
                </c:pt>
                <c:pt idx="4759">
                  <c:v>-0.50614857673644997</c:v>
                </c:pt>
                <c:pt idx="4760">
                  <c:v>-0.50553792715072599</c:v>
                </c:pt>
                <c:pt idx="4761">
                  <c:v>-0.506339430809021</c:v>
                </c:pt>
                <c:pt idx="4762">
                  <c:v>-0.504621982574463</c:v>
                </c:pt>
                <c:pt idx="4763">
                  <c:v>-0.506339430809021</c:v>
                </c:pt>
                <c:pt idx="4764">
                  <c:v>-0.50641572475433305</c:v>
                </c:pt>
                <c:pt idx="4765">
                  <c:v>-0.50649207830429099</c:v>
                </c:pt>
                <c:pt idx="4766">
                  <c:v>-0.50591957569122303</c:v>
                </c:pt>
                <c:pt idx="4767">
                  <c:v>-0.50630122423171997</c:v>
                </c:pt>
                <c:pt idx="4768">
                  <c:v>-0.50651115179061901</c:v>
                </c:pt>
                <c:pt idx="4769">
                  <c:v>-0.50622493028640703</c:v>
                </c:pt>
                <c:pt idx="4770">
                  <c:v>-0.50677829980850198</c:v>
                </c:pt>
                <c:pt idx="4771">
                  <c:v>-0.506663799285889</c:v>
                </c:pt>
                <c:pt idx="4772">
                  <c:v>-0.50591957569122303</c:v>
                </c:pt>
                <c:pt idx="4773">
                  <c:v>-0.50675922632217396</c:v>
                </c:pt>
                <c:pt idx="4774">
                  <c:v>-0.50607228279113803</c:v>
                </c:pt>
                <c:pt idx="4775">
                  <c:v>-0.50647300481796298</c:v>
                </c:pt>
                <c:pt idx="4776">
                  <c:v>-0.50677829980850198</c:v>
                </c:pt>
                <c:pt idx="4777">
                  <c:v>-0.50691187381744396</c:v>
                </c:pt>
                <c:pt idx="4778">
                  <c:v>-0.50649207830429099</c:v>
                </c:pt>
                <c:pt idx="4779">
                  <c:v>-0.50660657882690396</c:v>
                </c:pt>
                <c:pt idx="4780">
                  <c:v>-0.50714087486267101</c:v>
                </c:pt>
                <c:pt idx="4781">
                  <c:v>-0.50649207830429099</c:v>
                </c:pt>
                <c:pt idx="4782">
                  <c:v>-0.50761795043945301</c:v>
                </c:pt>
                <c:pt idx="4783">
                  <c:v>-0.50695008039474498</c:v>
                </c:pt>
                <c:pt idx="4784">
                  <c:v>-0.50689280033111594</c:v>
                </c:pt>
                <c:pt idx="4785">
                  <c:v>-0.50727444887161299</c:v>
                </c:pt>
                <c:pt idx="4786">
                  <c:v>-0.50616765022277799</c:v>
                </c:pt>
                <c:pt idx="4787">
                  <c:v>-0.50742709636688199</c:v>
                </c:pt>
                <c:pt idx="4788">
                  <c:v>-0.507751524448395</c:v>
                </c:pt>
                <c:pt idx="4789">
                  <c:v>-0.50740802288055398</c:v>
                </c:pt>
                <c:pt idx="4790">
                  <c:v>-0.50721722841262795</c:v>
                </c:pt>
                <c:pt idx="4791">
                  <c:v>-0.50740802288055398</c:v>
                </c:pt>
                <c:pt idx="4792">
                  <c:v>-0.50761795043945301</c:v>
                </c:pt>
                <c:pt idx="4793">
                  <c:v>-0.50780874490737904</c:v>
                </c:pt>
                <c:pt idx="4794">
                  <c:v>-0.50819045305252097</c:v>
                </c:pt>
                <c:pt idx="4795">
                  <c:v>-0.50746530294418302</c:v>
                </c:pt>
                <c:pt idx="4796">
                  <c:v>-0.50757980346679699</c:v>
                </c:pt>
                <c:pt idx="4797">
                  <c:v>-0.50784695148467995</c:v>
                </c:pt>
                <c:pt idx="4798">
                  <c:v>-0.507446229457855</c:v>
                </c:pt>
                <c:pt idx="4799">
                  <c:v>-0.50777059793472301</c:v>
                </c:pt>
                <c:pt idx="4800">
                  <c:v>-0.50832402706146196</c:v>
                </c:pt>
                <c:pt idx="4801">
                  <c:v>-0.50784695148467995</c:v>
                </c:pt>
                <c:pt idx="4802">
                  <c:v>-0.50786602497100797</c:v>
                </c:pt>
                <c:pt idx="4803">
                  <c:v>-0.50796145200729403</c:v>
                </c:pt>
                <c:pt idx="4804">
                  <c:v>-0.50826674699783303</c:v>
                </c:pt>
                <c:pt idx="4805">
                  <c:v>-0.50830489397048995</c:v>
                </c:pt>
                <c:pt idx="4806">
                  <c:v>-0.508686542510986</c:v>
                </c:pt>
                <c:pt idx="4807">
                  <c:v>-0.50815224647521995</c:v>
                </c:pt>
                <c:pt idx="4808">
                  <c:v>-0.50805681943893399</c:v>
                </c:pt>
                <c:pt idx="4809">
                  <c:v>-0.50866746902465798</c:v>
                </c:pt>
                <c:pt idx="4810">
                  <c:v>-0.50817131996154796</c:v>
                </c:pt>
                <c:pt idx="4811">
                  <c:v>-0.50826674699783303</c:v>
                </c:pt>
                <c:pt idx="4812">
                  <c:v>-0.50884354114532504</c:v>
                </c:pt>
                <c:pt idx="4813">
                  <c:v>-0.50944781303405795</c:v>
                </c:pt>
                <c:pt idx="4814">
                  <c:v>-0.50986224412918102</c:v>
                </c:pt>
                <c:pt idx="4815">
                  <c:v>-0.51016038656234697</c:v>
                </c:pt>
                <c:pt idx="4816">
                  <c:v>-0.51084935665130604</c:v>
                </c:pt>
                <c:pt idx="4817">
                  <c:v>-0.51122689247131303</c:v>
                </c:pt>
                <c:pt idx="4818">
                  <c:v>-0.51187032461166404</c:v>
                </c:pt>
                <c:pt idx="4819">
                  <c:v>-0.51252818107605003</c:v>
                </c:pt>
                <c:pt idx="4820">
                  <c:v>-0.51300203800201405</c:v>
                </c:pt>
                <c:pt idx="4821">
                  <c:v>-0.51329618692398105</c:v>
                </c:pt>
                <c:pt idx="4822">
                  <c:v>-0.51393121480941795</c:v>
                </c:pt>
                <c:pt idx="4823">
                  <c:v>-0.51448804140090898</c:v>
                </c:pt>
                <c:pt idx="4824">
                  <c:v>-0.51482284069061302</c:v>
                </c:pt>
                <c:pt idx="4825">
                  <c:v>-0.51551884412765503</c:v>
                </c:pt>
                <c:pt idx="4826">
                  <c:v>-0.51585566997528098</c:v>
                </c:pt>
                <c:pt idx="4827">
                  <c:v>-0.51618838310241699</c:v>
                </c:pt>
                <c:pt idx="4828">
                  <c:v>-0.516953885555267</c:v>
                </c:pt>
                <c:pt idx="4829">
                  <c:v>-0.51747393608093295</c:v>
                </c:pt>
                <c:pt idx="4830">
                  <c:v>-0.51796191930770896</c:v>
                </c:pt>
                <c:pt idx="4831">
                  <c:v>-0.51833200454711903</c:v>
                </c:pt>
                <c:pt idx="4832">
                  <c:v>-0.51884615421295199</c:v>
                </c:pt>
                <c:pt idx="4833">
                  <c:v>-0.51931464672088601</c:v>
                </c:pt>
                <c:pt idx="4834">
                  <c:v>-0.51978754997253396</c:v>
                </c:pt>
                <c:pt idx="4835">
                  <c:v>-0.52031856775283802</c:v>
                </c:pt>
                <c:pt idx="4836">
                  <c:v>-0.52078711986541704</c:v>
                </c:pt>
                <c:pt idx="4837">
                  <c:v>-0.52130872011184703</c:v>
                </c:pt>
                <c:pt idx="4838">
                  <c:v>-0.52183967828750599</c:v>
                </c:pt>
                <c:pt idx="4839">
                  <c:v>-0.52222883701324496</c:v>
                </c:pt>
                <c:pt idx="4840">
                  <c:v>-0.52271240949630704</c:v>
                </c:pt>
                <c:pt idx="4841">
                  <c:v>-0.52330183982849099</c:v>
                </c:pt>
                <c:pt idx="4842">
                  <c:v>-0.52381074428558305</c:v>
                </c:pt>
                <c:pt idx="4843">
                  <c:v>-0.52428132295608498</c:v>
                </c:pt>
                <c:pt idx="4844">
                  <c:v>-0.52472662925720204</c:v>
                </c:pt>
                <c:pt idx="4845">
                  <c:v>-0.52532994747161899</c:v>
                </c:pt>
                <c:pt idx="4846">
                  <c:v>-0.52574867010116599</c:v>
                </c:pt>
                <c:pt idx="4847">
                  <c:v>-0.52645260095596302</c:v>
                </c:pt>
                <c:pt idx="4848">
                  <c:v>-0.526869297027588</c:v>
                </c:pt>
                <c:pt idx="4849">
                  <c:v>-0.52729725837707497</c:v>
                </c:pt>
                <c:pt idx="4850">
                  <c:v>-0.52769088745117199</c:v>
                </c:pt>
                <c:pt idx="4851">
                  <c:v>-0.52825266122818004</c:v>
                </c:pt>
                <c:pt idx="4852">
                  <c:v>-0.52903795242309604</c:v>
                </c:pt>
                <c:pt idx="4853">
                  <c:v>-0.52934378385543801</c:v>
                </c:pt>
                <c:pt idx="4854">
                  <c:v>-0.52997869253158603</c:v>
                </c:pt>
                <c:pt idx="4855">
                  <c:v>-0.530448257923126</c:v>
                </c:pt>
                <c:pt idx="4856">
                  <c:v>-0.53078651428222701</c:v>
                </c:pt>
                <c:pt idx="4857">
                  <c:v>-0.53117966651916504</c:v>
                </c:pt>
                <c:pt idx="4858">
                  <c:v>-0.53179460763931297</c:v>
                </c:pt>
                <c:pt idx="4859">
                  <c:v>-0.53230893611908003</c:v>
                </c:pt>
                <c:pt idx="4860">
                  <c:v>-0.53288757801055897</c:v>
                </c:pt>
                <c:pt idx="4861">
                  <c:v>-0.53334546089172397</c:v>
                </c:pt>
                <c:pt idx="4862">
                  <c:v>-0.53381758928298995</c:v>
                </c:pt>
                <c:pt idx="4863">
                  <c:v>-0.53418749570846602</c:v>
                </c:pt>
                <c:pt idx="4864">
                  <c:v>-0.53478538990020796</c:v>
                </c:pt>
                <c:pt idx="4865">
                  <c:v>-0.53533744812011697</c:v>
                </c:pt>
                <c:pt idx="4866">
                  <c:v>-0.53570133447647095</c:v>
                </c:pt>
                <c:pt idx="4867">
                  <c:v>-0.536146640777588</c:v>
                </c:pt>
                <c:pt idx="4868">
                  <c:v>-0.53682184219360396</c:v>
                </c:pt>
                <c:pt idx="4869">
                  <c:v>-0.53708267211914096</c:v>
                </c:pt>
                <c:pt idx="4870">
                  <c:v>-0.53779816627502397</c:v>
                </c:pt>
                <c:pt idx="4871">
                  <c:v>-0.53837388753891002</c:v>
                </c:pt>
                <c:pt idx="4872">
                  <c:v>-0.53868609666824296</c:v>
                </c:pt>
                <c:pt idx="4873">
                  <c:v>-0.53934246301651001</c:v>
                </c:pt>
                <c:pt idx="4874">
                  <c:v>-0.53980493545532204</c:v>
                </c:pt>
                <c:pt idx="4875">
                  <c:v>-0.54028546810150102</c:v>
                </c:pt>
                <c:pt idx="4876">
                  <c:v>-0.54079562425613403</c:v>
                </c:pt>
                <c:pt idx="4877">
                  <c:v>-0.54134672880172696</c:v>
                </c:pt>
                <c:pt idx="4878">
                  <c:v>-0.54187917709350597</c:v>
                </c:pt>
                <c:pt idx="4879">
                  <c:v>-0.54217851161956798</c:v>
                </c:pt>
                <c:pt idx="4880">
                  <c:v>-0.54265677928924605</c:v>
                </c:pt>
                <c:pt idx="4881">
                  <c:v>-0.54324865341186501</c:v>
                </c:pt>
                <c:pt idx="4882">
                  <c:v>-0.54389715194702104</c:v>
                </c:pt>
                <c:pt idx="4883">
                  <c:v>-0.54433864355087302</c:v>
                </c:pt>
                <c:pt idx="4884">
                  <c:v>-0.54486721754074097</c:v>
                </c:pt>
                <c:pt idx="4885">
                  <c:v>-0.54530096054077104</c:v>
                </c:pt>
                <c:pt idx="4886">
                  <c:v>-0.54571962356567405</c:v>
                </c:pt>
                <c:pt idx="4887">
                  <c:v>-0.54629969596862804</c:v>
                </c:pt>
                <c:pt idx="4888">
                  <c:v>-0.54677420854568504</c:v>
                </c:pt>
                <c:pt idx="4889">
                  <c:v>-0.5472771525383</c:v>
                </c:pt>
                <c:pt idx="4890">
                  <c:v>-0.54787492752075195</c:v>
                </c:pt>
                <c:pt idx="4891">
                  <c:v>-0.54826712608337402</c:v>
                </c:pt>
                <c:pt idx="4892">
                  <c:v>-0.54871362447738603</c:v>
                </c:pt>
                <c:pt idx="4893">
                  <c:v>-0.54947155714035001</c:v>
                </c:pt>
                <c:pt idx="4894">
                  <c:v>-0.549679815769196</c:v>
                </c:pt>
                <c:pt idx="4895">
                  <c:v>-0.55031353235244795</c:v>
                </c:pt>
                <c:pt idx="4896">
                  <c:v>-0.55103409290313698</c:v>
                </c:pt>
                <c:pt idx="4897">
                  <c:v>-0.55146968364715598</c:v>
                </c:pt>
                <c:pt idx="4898">
                  <c:v>-0.55170202255249001</c:v>
                </c:pt>
                <c:pt idx="4899">
                  <c:v>-0.55230760574340798</c:v>
                </c:pt>
                <c:pt idx="4900">
                  <c:v>-0.55284929275512695</c:v>
                </c:pt>
                <c:pt idx="4901">
                  <c:v>-0.55331760644912698</c:v>
                </c:pt>
                <c:pt idx="4902">
                  <c:v>-0.55385810136795</c:v>
                </c:pt>
                <c:pt idx="4903">
                  <c:v>-0.55432516336440996</c:v>
                </c:pt>
                <c:pt idx="4904">
                  <c:v>-0.55479133129119895</c:v>
                </c:pt>
                <c:pt idx="4905">
                  <c:v>-0.55526649951934803</c:v>
                </c:pt>
                <c:pt idx="4906">
                  <c:v>-0.55575925111770597</c:v>
                </c:pt>
                <c:pt idx="4907">
                  <c:v>-0.55620974302291903</c:v>
                </c:pt>
                <c:pt idx="4908">
                  <c:v>-0.55665618181228604</c:v>
                </c:pt>
                <c:pt idx="4909">
                  <c:v>-0.557323098182678</c:v>
                </c:pt>
                <c:pt idx="4910">
                  <c:v>-0.55784237384796098</c:v>
                </c:pt>
                <c:pt idx="4911">
                  <c:v>-0.55823051929473899</c:v>
                </c:pt>
                <c:pt idx="4912">
                  <c:v>-0.55871915817260698</c:v>
                </c:pt>
                <c:pt idx="4913">
                  <c:v>-0.55937755107879605</c:v>
                </c:pt>
                <c:pt idx="4914">
                  <c:v>-0.55970329046249401</c:v>
                </c:pt>
                <c:pt idx="4915">
                  <c:v>-0.56028187274932895</c:v>
                </c:pt>
                <c:pt idx="4916">
                  <c:v>-0.56070673465728804</c:v>
                </c:pt>
                <c:pt idx="4917">
                  <c:v>-0.56129097938537598</c:v>
                </c:pt>
                <c:pt idx="4918">
                  <c:v>-0.56183612346649203</c:v>
                </c:pt>
                <c:pt idx="4919">
                  <c:v>-0.56235986948013295</c:v>
                </c:pt>
                <c:pt idx="4920">
                  <c:v>-0.56278467178344704</c:v>
                </c:pt>
                <c:pt idx="4921">
                  <c:v>-0.56325340270996105</c:v>
                </c:pt>
                <c:pt idx="4922">
                  <c:v>-0.56376039981841997</c:v>
                </c:pt>
                <c:pt idx="4923">
                  <c:v>-0.56420665979385398</c:v>
                </c:pt>
                <c:pt idx="4924">
                  <c:v>-0.56495165824890103</c:v>
                </c:pt>
                <c:pt idx="4925">
                  <c:v>-0.56545025110244795</c:v>
                </c:pt>
                <c:pt idx="4926">
                  <c:v>-0.565942943096161</c:v>
                </c:pt>
                <c:pt idx="4927">
                  <c:v>-0.56626534461975098</c:v>
                </c:pt>
                <c:pt idx="4928">
                  <c:v>-0.56686335802078203</c:v>
                </c:pt>
                <c:pt idx="4929">
                  <c:v>-0.56736660003662098</c:v>
                </c:pt>
                <c:pt idx="4930">
                  <c:v>-0.56768071651458696</c:v>
                </c:pt>
                <c:pt idx="4931">
                  <c:v>-0.56827533245086703</c:v>
                </c:pt>
                <c:pt idx="4932">
                  <c:v>-0.56874722242355302</c:v>
                </c:pt>
                <c:pt idx="4933">
                  <c:v>-0.56933254003524802</c:v>
                </c:pt>
                <c:pt idx="4934">
                  <c:v>-0.56972235441207897</c:v>
                </c:pt>
                <c:pt idx="4935">
                  <c:v>-0.57020378112793002</c:v>
                </c:pt>
                <c:pt idx="4936">
                  <c:v>-0.57076561450958296</c:v>
                </c:pt>
                <c:pt idx="4937">
                  <c:v>-0.57124799489974998</c:v>
                </c:pt>
                <c:pt idx="4938">
                  <c:v>-0.57165819406509399</c:v>
                </c:pt>
                <c:pt idx="4939">
                  <c:v>-0.57218831777572599</c:v>
                </c:pt>
                <c:pt idx="4940">
                  <c:v>-0.57262331247329701</c:v>
                </c:pt>
                <c:pt idx="4941">
                  <c:v>-0.57311707735061601</c:v>
                </c:pt>
                <c:pt idx="4942">
                  <c:v>-0.57381153106689498</c:v>
                </c:pt>
                <c:pt idx="4943">
                  <c:v>-0.57429772615432695</c:v>
                </c:pt>
                <c:pt idx="4944">
                  <c:v>-0.57457154989242598</c:v>
                </c:pt>
                <c:pt idx="4945">
                  <c:v>-0.57513439655303999</c:v>
                </c:pt>
                <c:pt idx="4946">
                  <c:v>-0.575661420822144</c:v>
                </c:pt>
                <c:pt idx="4947">
                  <c:v>-0.57633441686630205</c:v>
                </c:pt>
                <c:pt idx="4948">
                  <c:v>-0.57681798934936501</c:v>
                </c:pt>
                <c:pt idx="4949">
                  <c:v>-0.57727628946304299</c:v>
                </c:pt>
                <c:pt idx="4950">
                  <c:v>-0.57772296667098999</c:v>
                </c:pt>
                <c:pt idx="4951">
                  <c:v>-0.57818955183029197</c:v>
                </c:pt>
                <c:pt idx="4952">
                  <c:v>-0.57865619659423795</c:v>
                </c:pt>
                <c:pt idx="4953">
                  <c:v>-0.57916837930679299</c:v>
                </c:pt>
                <c:pt idx="4954">
                  <c:v>-0.57969117164611805</c:v>
                </c:pt>
                <c:pt idx="4955">
                  <c:v>-0.58026903867721602</c:v>
                </c:pt>
                <c:pt idx="4956">
                  <c:v>-0.58086538314819303</c:v>
                </c:pt>
                <c:pt idx="4957">
                  <c:v>-0.581246197223663</c:v>
                </c:pt>
                <c:pt idx="4958">
                  <c:v>-0.58168631792068504</c:v>
                </c:pt>
                <c:pt idx="4959">
                  <c:v>-0.58217388391494795</c:v>
                </c:pt>
                <c:pt idx="4960">
                  <c:v>-0.58276528120040905</c:v>
                </c:pt>
                <c:pt idx="4961">
                  <c:v>-0.58325725793838501</c:v>
                </c:pt>
                <c:pt idx="4962">
                  <c:v>-0.58389115333557096</c:v>
                </c:pt>
                <c:pt idx="4963">
                  <c:v>-0.58410018682479903</c:v>
                </c:pt>
                <c:pt idx="4964">
                  <c:v>-0.58471274375915505</c:v>
                </c:pt>
                <c:pt idx="4965">
                  <c:v>-0.58521634340286299</c:v>
                </c:pt>
                <c:pt idx="4966">
                  <c:v>-0.58572965860366799</c:v>
                </c:pt>
                <c:pt idx="4967">
                  <c:v>-0.58597373962402299</c:v>
                </c:pt>
                <c:pt idx="4968">
                  <c:v>-0.586620032787323</c:v>
                </c:pt>
                <c:pt idx="4969">
                  <c:v>-0.587208271026611</c:v>
                </c:pt>
                <c:pt idx="4970">
                  <c:v>-0.58760935068130504</c:v>
                </c:pt>
                <c:pt idx="4971">
                  <c:v>-0.58817553520202603</c:v>
                </c:pt>
                <c:pt idx="4972">
                  <c:v>-0.58875095844268799</c:v>
                </c:pt>
                <c:pt idx="4973">
                  <c:v>-0.58909058570861805</c:v>
                </c:pt>
                <c:pt idx="4974">
                  <c:v>-0.58973973989486705</c:v>
                </c:pt>
                <c:pt idx="4975">
                  <c:v>-0.59019172191619895</c:v>
                </c:pt>
                <c:pt idx="4976">
                  <c:v>-0.59056156873703003</c:v>
                </c:pt>
                <c:pt idx="4977">
                  <c:v>-0.59123384952545199</c:v>
                </c:pt>
                <c:pt idx="4978">
                  <c:v>-0.59178632497787498</c:v>
                </c:pt>
                <c:pt idx="4979">
                  <c:v>-0.59238421916961703</c:v>
                </c:pt>
                <c:pt idx="4980">
                  <c:v>-0.592740058898926</c:v>
                </c:pt>
                <c:pt idx="4981">
                  <c:v>-0.59317404031753496</c:v>
                </c:pt>
                <c:pt idx="4982">
                  <c:v>-0.59378224611282304</c:v>
                </c:pt>
                <c:pt idx="4983">
                  <c:v>-0.594216048717499</c:v>
                </c:pt>
                <c:pt idx="4984">
                  <c:v>-0.59471130371093806</c:v>
                </c:pt>
                <c:pt idx="4985">
                  <c:v>-0.59514456987381004</c:v>
                </c:pt>
                <c:pt idx="4986">
                  <c:v>-0.59573328495025601</c:v>
                </c:pt>
                <c:pt idx="4987">
                  <c:v>-0.59607136249542203</c:v>
                </c:pt>
                <c:pt idx="4988">
                  <c:v>-0.59669268131256104</c:v>
                </c:pt>
                <c:pt idx="4989">
                  <c:v>-0.59723222255706798</c:v>
                </c:pt>
                <c:pt idx="4990">
                  <c:v>-0.59768491983413696</c:v>
                </c:pt>
                <c:pt idx="4991">
                  <c:v>-0.59827840328216597</c:v>
                </c:pt>
                <c:pt idx="4992">
                  <c:v>-0.59857863187789895</c:v>
                </c:pt>
                <c:pt idx="4993">
                  <c:v>-0.599068284034729</c:v>
                </c:pt>
                <c:pt idx="4994">
                  <c:v>-0.59959232807159402</c:v>
                </c:pt>
                <c:pt idx="4995">
                  <c:v>-0.60023552179336503</c:v>
                </c:pt>
                <c:pt idx="4996">
                  <c:v>-0.60044056177139304</c:v>
                </c:pt>
                <c:pt idx="4997">
                  <c:v>-0.60098916292190596</c:v>
                </c:pt>
                <c:pt idx="4998">
                  <c:v>-0.60087585449218806</c:v>
                </c:pt>
                <c:pt idx="4999">
                  <c:v>-0.60135900974273704</c:v>
                </c:pt>
                <c:pt idx="5000">
                  <c:v>-0.60079836845397905</c:v>
                </c:pt>
              </c:numCache>
            </c:numRef>
          </c:xVal>
          <c:yVal>
            <c:numRef>
              <c:f>'Cyclic voltammetry'!$B$2:$B$5002</c:f>
              <c:numCache>
                <c:formatCode>General</c:formatCode>
                <c:ptCount val="5001"/>
                <c:pt idx="0">
                  <c:v>-0.138576992056019</c:v>
                </c:pt>
                <c:pt idx="1">
                  <c:v>-0.127196234662106</c:v>
                </c:pt>
                <c:pt idx="2">
                  <c:v>-0.12161803648514299</c:v>
                </c:pt>
                <c:pt idx="3">
                  <c:v>-0.117044382830556</c:v>
                </c:pt>
                <c:pt idx="4">
                  <c:v>-0.11320803471390201</c:v>
                </c:pt>
                <c:pt idx="5">
                  <c:v>-0.10965160744314</c:v>
                </c:pt>
                <c:pt idx="6">
                  <c:v>-0.10824023861201</c:v>
                </c:pt>
                <c:pt idx="7">
                  <c:v>-0.107311993898555</c:v>
                </c:pt>
                <c:pt idx="8">
                  <c:v>-0.105997043674467</c:v>
                </c:pt>
                <c:pt idx="9">
                  <c:v>-0.10408322228528</c:v>
                </c:pt>
                <c:pt idx="10">
                  <c:v>-0.10334083604906399</c:v>
                </c:pt>
                <c:pt idx="11">
                  <c:v>-0.10170884398801899</c:v>
                </c:pt>
                <c:pt idx="12">
                  <c:v>-0.101566373637041</c:v>
                </c:pt>
                <c:pt idx="13">
                  <c:v>-0.101145964065928</c:v>
                </c:pt>
                <c:pt idx="14">
                  <c:v>-0.10070248321062</c:v>
                </c:pt>
                <c:pt idx="15">
                  <c:v>-9.9870319429090998E-2</c:v>
                </c:pt>
                <c:pt idx="16">
                  <c:v>-9.9174251388512005E-2</c:v>
                </c:pt>
                <c:pt idx="17">
                  <c:v>-9.8423421364835006E-2</c:v>
                </c:pt>
                <c:pt idx="18">
                  <c:v>-9.8454854977142001E-2</c:v>
                </c:pt>
                <c:pt idx="19">
                  <c:v>-9.8357509247653005E-2</c:v>
                </c:pt>
                <c:pt idx="20">
                  <c:v>-9.6675795515207996E-2</c:v>
                </c:pt>
                <c:pt idx="21">
                  <c:v>-9.6644624047515004E-2</c:v>
                </c:pt>
                <c:pt idx="22">
                  <c:v>-9.6000500827698995E-2</c:v>
                </c:pt>
                <c:pt idx="23">
                  <c:v>-9.5767361957218994E-2</c:v>
                </c:pt>
                <c:pt idx="24">
                  <c:v>-9.5257997158815999E-2</c:v>
                </c:pt>
                <c:pt idx="25">
                  <c:v>-9.5013783587838005E-2</c:v>
                </c:pt>
                <c:pt idx="26">
                  <c:v>-9.3010111976051996E-2</c:v>
                </c:pt>
                <c:pt idx="27">
                  <c:v>-9.3911172968914006E-2</c:v>
                </c:pt>
                <c:pt idx="28">
                  <c:v>-9.3789707753116E-2</c:v>
                </c:pt>
                <c:pt idx="29">
                  <c:v>-9.3618538497027004E-2</c:v>
                </c:pt>
                <c:pt idx="30">
                  <c:v>-9.2342328219557998E-2</c:v>
                </c:pt>
                <c:pt idx="31">
                  <c:v>-9.1705563888244995E-2</c:v>
                </c:pt>
                <c:pt idx="32">
                  <c:v>-9.1456192120789995E-2</c:v>
                </c:pt>
                <c:pt idx="33">
                  <c:v>-9.1106737555359002E-2</c:v>
                </c:pt>
                <c:pt idx="34">
                  <c:v>-9.0185893572296005E-2</c:v>
                </c:pt>
                <c:pt idx="35">
                  <c:v>-9.1097713413379994E-2</c:v>
                </c:pt>
                <c:pt idx="36">
                  <c:v>-9.0622043124040999E-2</c:v>
                </c:pt>
                <c:pt idx="37">
                  <c:v>-8.9635394118403003E-2</c:v>
                </c:pt>
                <c:pt idx="38">
                  <c:v>-8.9184959503170999E-2</c:v>
                </c:pt>
                <c:pt idx="39">
                  <c:v>-8.8929348323363994E-2</c:v>
                </c:pt>
                <c:pt idx="40">
                  <c:v>-8.8295211339085994E-2</c:v>
                </c:pt>
                <c:pt idx="41">
                  <c:v>-8.8582694929470004E-2</c:v>
                </c:pt>
                <c:pt idx="42">
                  <c:v>-8.7979414470613998E-2</c:v>
                </c:pt>
                <c:pt idx="43">
                  <c:v>-8.6367315032096006E-2</c:v>
                </c:pt>
                <c:pt idx="44">
                  <c:v>-8.6273616020326002E-2</c:v>
                </c:pt>
                <c:pt idx="45">
                  <c:v>-8.6410877986531007E-2</c:v>
                </c:pt>
                <c:pt idx="46">
                  <c:v>-8.6197086928418001E-2</c:v>
                </c:pt>
                <c:pt idx="47">
                  <c:v>-8.4890320735479002E-2</c:v>
                </c:pt>
                <c:pt idx="48">
                  <c:v>-8.4775973626924003E-2</c:v>
                </c:pt>
                <c:pt idx="49">
                  <c:v>-8.3907470242601007E-2</c:v>
                </c:pt>
                <c:pt idx="50">
                  <c:v>-8.4544328176484995E-2</c:v>
                </c:pt>
                <c:pt idx="51">
                  <c:v>-8.4039796088523994E-2</c:v>
                </c:pt>
                <c:pt idx="52">
                  <c:v>-8.3825274100993996E-2</c:v>
                </c:pt>
                <c:pt idx="53">
                  <c:v>-8.3112276703619994E-2</c:v>
                </c:pt>
                <c:pt idx="54">
                  <c:v>-8.3123562451856994E-2</c:v>
                </c:pt>
                <c:pt idx="55">
                  <c:v>-8.2591200930487996E-2</c:v>
                </c:pt>
                <c:pt idx="56">
                  <c:v>-8.2047428657854998E-2</c:v>
                </c:pt>
                <c:pt idx="57">
                  <c:v>-8.1952192194253995E-2</c:v>
                </c:pt>
                <c:pt idx="58">
                  <c:v>-8.1018470620372998E-2</c:v>
                </c:pt>
                <c:pt idx="59">
                  <c:v>-8.1427013841896004E-2</c:v>
                </c:pt>
                <c:pt idx="60">
                  <c:v>-7.9895364002439004E-2</c:v>
                </c:pt>
                <c:pt idx="61">
                  <c:v>-7.9862347118966004E-2</c:v>
                </c:pt>
                <c:pt idx="62">
                  <c:v>-7.9401882983360997E-2</c:v>
                </c:pt>
                <c:pt idx="63">
                  <c:v>-7.8722479194229006E-2</c:v>
                </c:pt>
                <c:pt idx="64">
                  <c:v>-7.8824706260414004E-2</c:v>
                </c:pt>
                <c:pt idx="65">
                  <c:v>-7.8473338117376001E-2</c:v>
                </c:pt>
                <c:pt idx="66">
                  <c:v>-7.7045486558979998E-2</c:v>
                </c:pt>
                <c:pt idx="67">
                  <c:v>-7.6513075020058996E-2</c:v>
                </c:pt>
                <c:pt idx="68">
                  <c:v>-7.6604806336755996E-2</c:v>
                </c:pt>
                <c:pt idx="69">
                  <c:v>-7.6620070473764998E-2</c:v>
                </c:pt>
                <c:pt idx="70">
                  <c:v>-7.5988762830951004E-2</c:v>
                </c:pt>
                <c:pt idx="71">
                  <c:v>-7.5276902488204997E-2</c:v>
                </c:pt>
                <c:pt idx="72">
                  <c:v>-7.4500761386218001E-2</c:v>
                </c:pt>
                <c:pt idx="73">
                  <c:v>-7.3311477096845004E-2</c:v>
                </c:pt>
                <c:pt idx="74">
                  <c:v>-7.3488707198071004E-2</c:v>
                </c:pt>
                <c:pt idx="75">
                  <c:v>-7.2865671947457994E-2</c:v>
                </c:pt>
                <c:pt idx="76">
                  <c:v>-7.2170925960783006E-2</c:v>
                </c:pt>
                <c:pt idx="77">
                  <c:v>-7.1433373799479005E-2</c:v>
                </c:pt>
                <c:pt idx="78">
                  <c:v>-7.0978807780168005E-2</c:v>
                </c:pt>
                <c:pt idx="79">
                  <c:v>-7.0636742905406003E-2</c:v>
                </c:pt>
                <c:pt idx="80">
                  <c:v>-7.0543576279118003E-2</c:v>
                </c:pt>
                <c:pt idx="81">
                  <c:v>-6.9818107491822004E-2</c:v>
                </c:pt>
                <c:pt idx="82">
                  <c:v>-6.9449285314825998E-2</c:v>
                </c:pt>
                <c:pt idx="83">
                  <c:v>-6.9172846838359003E-2</c:v>
                </c:pt>
                <c:pt idx="84">
                  <c:v>-6.7758541914920006E-2</c:v>
                </c:pt>
                <c:pt idx="85">
                  <c:v>-6.7651300732275002E-2</c:v>
                </c:pt>
                <c:pt idx="86">
                  <c:v>-6.7180440872804004E-2</c:v>
                </c:pt>
                <c:pt idx="87">
                  <c:v>-6.6855723995550995E-2</c:v>
                </c:pt>
                <c:pt idx="88">
                  <c:v>-6.5005595419535003E-2</c:v>
                </c:pt>
                <c:pt idx="89">
                  <c:v>-6.4900190900682997E-2</c:v>
                </c:pt>
                <c:pt idx="90">
                  <c:v>-6.3610709007102001E-2</c:v>
                </c:pt>
                <c:pt idx="91">
                  <c:v>-6.3144988596012003E-2</c:v>
                </c:pt>
                <c:pt idx="92">
                  <c:v>-6.2643405777713004E-2</c:v>
                </c:pt>
                <c:pt idx="93">
                  <c:v>-6.2469145601222999E-2</c:v>
                </c:pt>
                <c:pt idx="94">
                  <c:v>-6.0914586078879999E-2</c:v>
                </c:pt>
                <c:pt idx="95">
                  <c:v>-6.0134489470784001E-2</c:v>
                </c:pt>
                <c:pt idx="96">
                  <c:v>-6.0132662350138998E-2</c:v>
                </c:pt>
                <c:pt idx="97">
                  <c:v>-5.9449331182106997E-2</c:v>
                </c:pt>
                <c:pt idx="98">
                  <c:v>-5.8953119521655002E-2</c:v>
                </c:pt>
                <c:pt idx="99">
                  <c:v>-5.8145958918578003E-2</c:v>
                </c:pt>
                <c:pt idx="100">
                  <c:v>-5.7529987074156998E-2</c:v>
                </c:pt>
                <c:pt idx="101">
                  <c:v>-5.6955870351902999E-2</c:v>
                </c:pt>
                <c:pt idx="102">
                  <c:v>-5.5342782919612997E-2</c:v>
                </c:pt>
                <c:pt idx="103">
                  <c:v>-5.4496043372193999E-2</c:v>
                </c:pt>
                <c:pt idx="104">
                  <c:v>-5.3320637555236999E-2</c:v>
                </c:pt>
                <c:pt idx="105">
                  <c:v>-5.2243660444292003E-2</c:v>
                </c:pt>
                <c:pt idx="106">
                  <c:v>-5.2393677881714999E-2</c:v>
                </c:pt>
                <c:pt idx="107">
                  <c:v>-5.0880211143372003E-2</c:v>
                </c:pt>
                <c:pt idx="108">
                  <c:v>-5.0186640584731997E-2</c:v>
                </c:pt>
                <c:pt idx="109">
                  <c:v>-4.9091205526532997E-2</c:v>
                </c:pt>
                <c:pt idx="110">
                  <c:v>-4.8158844196495999E-2</c:v>
                </c:pt>
                <c:pt idx="111">
                  <c:v>-4.7434114984418997E-2</c:v>
                </c:pt>
                <c:pt idx="112">
                  <c:v>-4.6255803109199002E-2</c:v>
                </c:pt>
                <c:pt idx="113">
                  <c:v>-4.4999089481833003E-2</c:v>
                </c:pt>
                <c:pt idx="114">
                  <c:v>-4.4167387371918998E-2</c:v>
                </c:pt>
                <c:pt idx="115">
                  <c:v>-4.3238890587740997E-2</c:v>
                </c:pt>
                <c:pt idx="116">
                  <c:v>-4.2550524214656001E-2</c:v>
                </c:pt>
                <c:pt idx="117">
                  <c:v>-4.0891837836095998E-2</c:v>
                </c:pt>
                <c:pt idx="118">
                  <c:v>-4.0340669247808998E-2</c:v>
                </c:pt>
                <c:pt idx="119">
                  <c:v>-3.9234568401835999E-2</c:v>
                </c:pt>
                <c:pt idx="120">
                  <c:v>-3.7563497263209997E-2</c:v>
                </c:pt>
                <c:pt idx="121">
                  <c:v>-3.6420082710203999E-2</c:v>
                </c:pt>
                <c:pt idx="122">
                  <c:v>-3.5521588957215001E-2</c:v>
                </c:pt>
                <c:pt idx="123">
                  <c:v>-3.4451811087273E-2</c:v>
                </c:pt>
                <c:pt idx="124">
                  <c:v>-3.3129387530768002E-2</c:v>
                </c:pt>
                <c:pt idx="125">
                  <c:v>-3.1733149622340001E-2</c:v>
                </c:pt>
                <c:pt idx="126">
                  <c:v>-3.0659972950759E-2</c:v>
                </c:pt>
                <c:pt idx="127">
                  <c:v>-2.8981564891064002E-2</c:v>
                </c:pt>
                <c:pt idx="128">
                  <c:v>-2.7461133149401001E-2</c:v>
                </c:pt>
                <c:pt idx="129">
                  <c:v>-2.5822984578481999E-2</c:v>
                </c:pt>
                <c:pt idx="130">
                  <c:v>-2.4456429718960001E-2</c:v>
                </c:pt>
                <c:pt idx="131">
                  <c:v>-2.2913401905973001E-2</c:v>
                </c:pt>
                <c:pt idx="132">
                  <c:v>-2.1671309054328E-2</c:v>
                </c:pt>
                <c:pt idx="133">
                  <c:v>-2.0537019993370001E-2</c:v>
                </c:pt>
                <c:pt idx="134">
                  <c:v>-1.9251650962207E-2</c:v>
                </c:pt>
                <c:pt idx="135">
                  <c:v>-1.7624998619971001E-2</c:v>
                </c:pt>
                <c:pt idx="136">
                  <c:v>-1.6292449553583999E-2</c:v>
                </c:pt>
                <c:pt idx="137">
                  <c:v>-1.4718420484116E-2</c:v>
                </c:pt>
                <c:pt idx="138">
                  <c:v>-1.2833244061617999E-2</c:v>
                </c:pt>
                <c:pt idx="139">
                  <c:v>-1.180767003581E-2</c:v>
                </c:pt>
                <c:pt idx="140">
                  <c:v>-8.0800678133060005E-3</c:v>
                </c:pt>
                <c:pt idx="141">
                  <c:v>-1.3504528591193001E-2</c:v>
                </c:pt>
                <c:pt idx="142">
                  <c:v>-7.9966294117930006E-3</c:v>
                </c:pt>
                <c:pt idx="143">
                  <c:v>-1.0165827839652E-2</c:v>
                </c:pt>
                <c:pt idx="144">
                  <c:v>-7.1518211253980002E-3</c:v>
                </c:pt>
                <c:pt idx="145">
                  <c:v>-9.2575287994199999E-3</c:v>
                </c:pt>
                <c:pt idx="146">
                  <c:v>-7.4696313041789997E-3</c:v>
                </c:pt>
                <c:pt idx="147">
                  <c:v>-5.7677140690240002E-3</c:v>
                </c:pt>
                <c:pt idx="148">
                  <c:v>-4.2633675606250001E-3</c:v>
                </c:pt>
                <c:pt idx="149">
                  <c:v>-2.79761057931E-3</c:v>
                </c:pt>
                <c:pt idx="150">
                  <c:v>1.618451142197E-3</c:v>
                </c:pt>
                <c:pt idx="151">
                  <c:v>-5.6671204696940002E-3</c:v>
                </c:pt>
                <c:pt idx="152">
                  <c:v>2.1219404914750001E-3</c:v>
                </c:pt>
                <c:pt idx="153">
                  <c:v>-5.4526294185089997E-3</c:v>
                </c:pt>
                <c:pt idx="154">
                  <c:v>2.1439593767380001E-3</c:v>
                </c:pt>
                <c:pt idx="155">
                  <c:v>-5.7358517767789998E-3</c:v>
                </c:pt>
                <c:pt idx="156">
                  <c:v>1.9612220238280002E-3</c:v>
                </c:pt>
                <c:pt idx="157">
                  <c:v>-5.8593273383049996E-3</c:v>
                </c:pt>
                <c:pt idx="158">
                  <c:v>2.0552419042810001E-3</c:v>
                </c:pt>
                <c:pt idx="159">
                  <c:v>-5.6453820624819996E-3</c:v>
                </c:pt>
                <c:pt idx="160">
                  <c:v>2.4325569994479998E-3</c:v>
                </c:pt>
                <c:pt idx="161">
                  <c:v>-5.1541868653219997E-3</c:v>
                </c:pt>
                <c:pt idx="162">
                  <c:v>3.0350193500180002E-3</c:v>
                </c:pt>
                <c:pt idx="163">
                  <c:v>-4.4436853602620001E-3</c:v>
                </c:pt>
                <c:pt idx="164">
                  <c:v>3.815978483452E-3</c:v>
                </c:pt>
                <c:pt idx="165">
                  <c:v>-4.025075286088E-3</c:v>
                </c:pt>
                <c:pt idx="166">
                  <c:v>4.1407673911389997E-3</c:v>
                </c:pt>
                <c:pt idx="167">
                  <c:v>-3.3505573235059999E-3</c:v>
                </c:pt>
                <c:pt idx="168">
                  <c:v>4.7567591864680001E-3</c:v>
                </c:pt>
                <c:pt idx="169">
                  <c:v>-2.9399755667990001E-3</c:v>
                </c:pt>
                <c:pt idx="170">
                  <c:v>5.1106559744990001E-3</c:v>
                </c:pt>
                <c:pt idx="171">
                  <c:v>-2.5975043214990002E-3</c:v>
                </c:pt>
                <c:pt idx="172">
                  <c:v>5.5561468389860001E-3</c:v>
                </c:pt>
                <c:pt idx="173">
                  <c:v>-2.3332095668199999E-3</c:v>
                </c:pt>
                <c:pt idx="174">
                  <c:v>5.609734397999E-3</c:v>
                </c:pt>
                <c:pt idx="175">
                  <c:v>-2.0061794130499999E-3</c:v>
                </c:pt>
                <c:pt idx="176">
                  <c:v>6.1747487217440004E-3</c:v>
                </c:pt>
                <c:pt idx="177">
                  <c:v>-1.305398631752E-3</c:v>
                </c:pt>
                <c:pt idx="178">
                  <c:v>6.7624074906159999E-3</c:v>
                </c:pt>
                <c:pt idx="179">
                  <c:v>-1.154594366494E-3</c:v>
                </c:pt>
                <c:pt idx="180">
                  <c:v>6.9622634567210002E-3</c:v>
                </c:pt>
                <c:pt idx="181">
                  <c:v>-4.3791313714600002E-4</c:v>
                </c:pt>
                <c:pt idx="182">
                  <c:v>7.5661844327180004E-3</c:v>
                </c:pt>
                <c:pt idx="183">
                  <c:v>3.8684368012000001E-5</c:v>
                </c:pt>
                <c:pt idx="184">
                  <c:v>7.8789149735939996E-3</c:v>
                </c:pt>
                <c:pt idx="185">
                  <c:v>4.8200261868100002E-4</c:v>
                </c:pt>
                <c:pt idx="186">
                  <c:v>8.3759227715229992E-3</c:v>
                </c:pt>
                <c:pt idx="187">
                  <c:v>1.0684059132600001E-3</c:v>
                </c:pt>
                <c:pt idx="188">
                  <c:v>8.5654185588339999E-3</c:v>
                </c:pt>
                <c:pt idx="189">
                  <c:v>1.6907962164919999E-3</c:v>
                </c:pt>
                <c:pt idx="190">
                  <c:v>9.2050412675199998E-3</c:v>
                </c:pt>
                <c:pt idx="191">
                  <c:v>2.2068742554150001E-3</c:v>
                </c:pt>
                <c:pt idx="192">
                  <c:v>9.6482176290529995E-3</c:v>
                </c:pt>
                <c:pt idx="193">
                  <c:v>2.7735781811599998E-3</c:v>
                </c:pt>
                <c:pt idx="194">
                  <c:v>9.9182722465549992E-3</c:v>
                </c:pt>
                <c:pt idx="195">
                  <c:v>3.3873567446679998E-3</c:v>
                </c:pt>
                <c:pt idx="196">
                  <c:v>1.0436381791419E-2</c:v>
                </c:pt>
                <c:pt idx="197">
                  <c:v>3.7306698917529998E-3</c:v>
                </c:pt>
                <c:pt idx="198">
                  <c:v>1.0553361176763001E-2</c:v>
                </c:pt>
                <c:pt idx="199">
                  <c:v>4.212336970495E-3</c:v>
                </c:pt>
                <c:pt idx="200">
                  <c:v>1.1051249284820999E-2</c:v>
                </c:pt>
                <c:pt idx="201">
                  <c:v>4.7357308525359998E-3</c:v>
                </c:pt>
                <c:pt idx="202">
                  <c:v>1.1040319882025E-2</c:v>
                </c:pt>
                <c:pt idx="203">
                  <c:v>4.9507458882739998E-3</c:v>
                </c:pt>
                <c:pt idx="204">
                  <c:v>1.1434833076219E-2</c:v>
                </c:pt>
                <c:pt idx="205">
                  <c:v>5.220003772492E-3</c:v>
                </c:pt>
                <c:pt idx="206">
                  <c:v>1.1586864398069999E-2</c:v>
                </c:pt>
                <c:pt idx="207">
                  <c:v>6.1544187970690003E-3</c:v>
                </c:pt>
                <c:pt idx="208">
                  <c:v>1.1977835992361E-2</c:v>
                </c:pt>
                <c:pt idx="209">
                  <c:v>6.6130665230629999E-3</c:v>
                </c:pt>
                <c:pt idx="210">
                  <c:v>1.2604264775005E-2</c:v>
                </c:pt>
                <c:pt idx="211">
                  <c:v>7.6430062509240003E-3</c:v>
                </c:pt>
                <c:pt idx="212">
                  <c:v>1.2970882767861999E-2</c:v>
                </c:pt>
                <c:pt idx="213">
                  <c:v>7.7695605839500003E-3</c:v>
                </c:pt>
                <c:pt idx="214">
                  <c:v>1.3341243594179999E-2</c:v>
                </c:pt>
                <c:pt idx="215">
                  <c:v>8.5089633596430007E-3</c:v>
                </c:pt>
                <c:pt idx="216">
                  <c:v>1.3582038416286E-2</c:v>
                </c:pt>
                <c:pt idx="217">
                  <c:v>8.8912041441160002E-3</c:v>
                </c:pt>
                <c:pt idx="218">
                  <c:v>1.3783524911974E-2</c:v>
                </c:pt>
                <c:pt idx="219">
                  <c:v>9.2719109847230006E-3</c:v>
                </c:pt>
                <c:pt idx="220">
                  <c:v>1.3751807640041001E-2</c:v>
                </c:pt>
                <c:pt idx="221">
                  <c:v>9.7468541864819992E-3</c:v>
                </c:pt>
                <c:pt idx="222">
                  <c:v>1.4222825142824001E-2</c:v>
                </c:pt>
                <c:pt idx="223">
                  <c:v>1.0252404267093999E-2</c:v>
                </c:pt>
                <c:pt idx="224">
                  <c:v>1.4421986947289E-2</c:v>
                </c:pt>
                <c:pt idx="225">
                  <c:v>1.1116223864304E-2</c:v>
                </c:pt>
                <c:pt idx="226">
                  <c:v>1.4850084666761E-2</c:v>
                </c:pt>
                <c:pt idx="227">
                  <c:v>1.1367390183417E-2</c:v>
                </c:pt>
                <c:pt idx="228">
                  <c:v>1.5002531048940001E-2</c:v>
                </c:pt>
                <c:pt idx="229">
                  <c:v>1.1901876928332E-2</c:v>
                </c:pt>
                <c:pt idx="230">
                  <c:v>1.5159391714229999E-2</c:v>
                </c:pt>
                <c:pt idx="231">
                  <c:v>1.2178809653276E-2</c:v>
                </c:pt>
                <c:pt idx="232">
                  <c:v>1.5441460852995E-2</c:v>
                </c:pt>
                <c:pt idx="233">
                  <c:v>1.3067346101063E-2</c:v>
                </c:pt>
                <c:pt idx="234">
                  <c:v>1.6105084605728001E-2</c:v>
                </c:pt>
                <c:pt idx="235">
                  <c:v>1.3535416838469001E-2</c:v>
                </c:pt>
                <c:pt idx="236">
                  <c:v>1.5919049947789001E-2</c:v>
                </c:pt>
                <c:pt idx="237">
                  <c:v>1.3755071384913E-2</c:v>
                </c:pt>
                <c:pt idx="238">
                  <c:v>1.6209770447298998E-2</c:v>
                </c:pt>
                <c:pt idx="239">
                  <c:v>1.4187438062212E-2</c:v>
                </c:pt>
                <c:pt idx="240">
                  <c:v>1.6621764302419E-2</c:v>
                </c:pt>
                <c:pt idx="241">
                  <c:v>1.4610963126003001E-2</c:v>
                </c:pt>
                <c:pt idx="242">
                  <c:v>1.655854741305E-2</c:v>
                </c:pt>
                <c:pt idx="243">
                  <c:v>1.5313885529947001E-2</c:v>
                </c:pt>
                <c:pt idx="244">
                  <c:v>1.7052817563574001E-2</c:v>
                </c:pt>
                <c:pt idx="245">
                  <c:v>1.6146880234967E-2</c:v>
                </c:pt>
                <c:pt idx="246">
                  <c:v>1.7629005067103999E-2</c:v>
                </c:pt>
                <c:pt idx="247">
                  <c:v>1.6680275191749999E-2</c:v>
                </c:pt>
                <c:pt idx="248">
                  <c:v>1.7684351646352001E-2</c:v>
                </c:pt>
                <c:pt idx="249">
                  <c:v>1.7165126761355998E-2</c:v>
                </c:pt>
                <c:pt idx="250">
                  <c:v>1.8446036590571001E-2</c:v>
                </c:pt>
                <c:pt idx="251">
                  <c:v>1.7866960095431001E-2</c:v>
                </c:pt>
                <c:pt idx="252">
                  <c:v>1.8353645794108999E-2</c:v>
                </c:pt>
                <c:pt idx="253">
                  <c:v>1.7883459142963E-2</c:v>
                </c:pt>
                <c:pt idx="254">
                  <c:v>1.8658224280200999E-2</c:v>
                </c:pt>
                <c:pt idx="255">
                  <c:v>1.8669437279071999E-2</c:v>
                </c:pt>
                <c:pt idx="256">
                  <c:v>1.9157728616293002E-2</c:v>
                </c:pt>
                <c:pt idx="257">
                  <c:v>2.0545528175751001E-2</c:v>
                </c:pt>
                <c:pt idx="258">
                  <c:v>2.2472223656179E-2</c:v>
                </c:pt>
                <c:pt idx="259">
                  <c:v>2.4111936370907E-2</c:v>
                </c:pt>
                <c:pt idx="260">
                  <c:v>2.6737339620996E-2</c:v>
                </c:pt>
                <c:pt idx="261">
                  <c:v>2.8683687991335E-2</c:v>
                </c:pt>
                <c:pt idx="262">
                  <c:v>3.1315545686235E-2</c:v>
                </c:pt>
                <c:pt idx="263">
                  <c:v>3.3567078979065003E-2</c:v>
                </c:pt>
                <c:pt idx="264">
                  <c:v>3.6327549045923002E-2</c:v>
                </c:pt>
                <c:pt idx="265">
                  <c:v>3.8973867377803999E-2</c:v>
                </c:pt>
                <c:pt idx="266">
                  <c:v>4.1197103774838997E-2</c:v>
                </c:pt>
                <c:pt idx="267">
                  <c:v>4.4297969529526998E-2</c:v>
                </c:pt>
                <c:pt idx="268">
                  <c:v>4.6651484475214999E-2</c:v>
                </c:pt>
                <c:pt idx="269">
                  <c:v>4.9796235453378003E-2</c:v>
                </c:pt>
                <c:pt idx="270">
                  <c:v>5.1885245200218998E-2</c:v>
                </c:pt>
                <c:pt idx="271">
                  <c:v>5.4164068998493999E-2</c:v>
                </c:pt>
                <c:pt idx="272">
                  <c:v>5.6874534180613001E-2</c:v>
                </c:pt>
                <c:pt idx="273">
                  <c:v>5.9082035863234003E-2</c:v>
                </c:pt>
                <c:pt idx="274">
                  <c:v>6.1390842558053001E-2</c:v>
                </c:pt>
                <c:pt idx="275">
                  <c:v>6.4774580358771996E-2</c:v>
                </c:pt>
                <c:pt idx="276">
                  <c:v>6.7539231278275005E-2</c:v>
                </c:pt>
                <c:pt idx="277">
                  <c:v>7.0379343769536001E-2</c:v>
                </c:pt>
                <c:pt idx="278">
                  <c:v>7.3772554300585005E-2</c:v>
                </c:pt>
                <c:pt idx="279">
                  <c:v>7.6942442388580001E-2</c:v>
                </c:pt>
                <c:pt idx="280">
                  <c:v>7.9266989603612004E-2</c:v>
                </c:pt>
                <c:pt idx="281">
                  <c:v>8.2634186917173003E-2</c:v>
                </c:pt>
                <c:pt idx="282">
                  <c:v>8.5732602215273998E-2</c:v>
                </c:pt>
                <c:pt idx="283">
                  <c:v>8.8906511489532006E-2</c:v>
                </c:pt>
                <c:pt idx="284">
                  <c:v>9.2719998311206003E-2</c:v>
                </c:pt>
                <c:pt idx="285">
                  <c:v>9.4685643961692004E-2</c:v>
                </c:pt>
                <c:pt idx="286">
                  <c:v>9.7425050070417005E-2</c:v>
                </c:pt>
                <c:pt idx="287">
                  <c:v>0.10146883810227</c:v>
                </c:pt>
                <c:pt idx="288">
                  <c:v>0.104209941644459</c:v>
                </c:pt>
                <c:pt idx="289">
                  <c:v>0.107309483235418</c:v>
                </c:pt>
                <c:pt idx="290">
                  <c:v>0.11123622631321201</c:v>
                </c:pt>
                <c:pt idx="291">
                  <c:v>0.11446426430885299</c:v>
                </c:pt>
                <c:pt idx="292">
                  <c:v>0.11760283742076599</c:v>
                </c:pt>
                <c:pt idx="293">
                  <c:v>0.12032884617756</c:v>
                </c:pt>
                <c:pt idx="294">
                  <c:v>0.125810441907695</c:v>
                </c:pt>
                <c:pt idx="295">
                  <c:v>0.12774446349224899</c:v>
                </c:pt>
                <c:pt idx="296">
                  <c:v>0.131674574674603</c:v>
                </c:pt>
                <c:pt idx="297">
                  <c:v>0.134510007055828</c:v>
                </c:pt>
                <c:pt idx="298">
                  <c:v>0.137975967715745</c:v>
                </c:pt>
                <c:pt idx="299">
                  <c:v>0.14260152407898299</c:v>
                </c:pt>
                <c:pt idx="300">
                  <c:v>0.145338522048295</c:v>
                </c:pt>
                <c:pt idx="301">
                  <c:v>0.14842198478263999</c:v>
                </c:pt>
                <c:pt idx="302">
                  <c:v>0.15285724293969699</c:v>
                </c:pt>
                <c:pt idx="303">
                  <c:v>0.15593175668113601</c:v>
                </c:pt>
                <c:pt idx="304">
                  <c:v>0.159712593521775</c:v>
                </c:pt>
                <c:pt idx="305">
                  <c:v>0.164360773799413</c:v>
                </c:pt>
                <c:pt idx="306">
                  <c:v>0.167416622643632</c:v>
                </c:pt>
                <c:pt idx="307">
                  <c:v>0.17146240122375001</c:v>
                </c:pt>
                <c:pt idx="308">
                  <c:v>0.17716216530691201</c:v>
                </c:pt>
                <c:pt idx="309">
                  <c:v>0.17958669630700999</c:v>
                </c:pt>
                <c:pt idx="310">
                  <c:v>0.18433190864921201</c:v>
                </c:pt>
                <c:pt idx="311">
                  <c:v>0.18584367322110701</c:v>
                </c:pt>
                <c:pt idx="312">
                  <c:v>0.18991878809055701</c:v>
                </c:pt>
                <c:pt idx="313">
                  <c:v>0.195297107000137</c:v>
                </c:pt>
                <c:pt idx="314">
                  <c:v>0.19762852726328101</c:v>
                </c:pt>
                <c:pt idx="315">
                  <c:v>0.202538855049926</c:v>
                </c:pt>
                <c:pt idx="316">
                  <c:v>0.20537840111616801</c:v>
                </c:pt>
                <c:pt idx="317">
                  <c:v>0.20978337720010801</c:v>
                </c:pt>
                <c:pt idx="318">
                  <c:v>0.21494765321040099</c:v>
                </c:pt>
                <c:pt idx="319">
                  <c:v>0.219216132034595</c:v>
                </c:pt>
                <c:pt idx="320">
                  <c:v>0.223304256529159</c:v>
                </c:pt>
                <c:pt idx="321">
                  <c:v>0.22758693068341199</c:v>
                </c:pt>
                <c:pt idx="322">
                  <c:v>0.22896287096258799</c:v>
                </c:pt>
                <c:pt idx="323">
                  <c:v>0.23360551009351199</c:v>
                </c:pt>
                <c:pt idx="324">
                  <c:v>0.23885284035427401</c:v>
                </c:pt>
                <c:pt idx="325">
                  <c:v>0.24297777842689999</c:v>
                </c:pt>
                <c:pt idx="326">
                  <c:v>0.24685481352849301</c:v>
                </c:pt>
                <c:pt idx="327">
                  <c:v>0.25073665603619799</c:v>
                </c:pt>
                <c:pt idx="328">
                  <c:v>0.25394642502603898</c:v>
                </c:pt>
                <c:pt idx="329">
                  <c:v>0.26089700826504603</c:v>
                </c:pt>
                <c:pt idx="330">
                  <c:v>0.26442268559864601</c:v>
                </c:pt>
                <c:pt idx="331">
                  <c:v>0.26535272807878701</c:v>
                </c:pt>
                <c:pt idx="332">
                  <c:v>0.27184350820245001</c:v>
                </c:pt>
                <c:pt idx="333">
                  <c:v>0.27557421061348097</c:v>
                </c:pt>
                <c:pt idx="334">
                  <c:v>0.27971280701279</c:v>
                </c:pt>
                <c:pt idx="335">
                  <c:v>0.28485228019646902</c:v>
                </c:pt>
                <c:pt idx="336">
                  <c:v>0.28789288167322802</c:v>
                </c:pt>
                <c:pt idx="337">
                  <c:v>0.29338210983799601</c:v>
                </c:pt>
                <c:pt idx="338">
                  <c:v>0.29796471690764498</c:v>
                </c:pt>
                <c:pt idx="339">
                  <c:v>0.29883617930004502</c:v>
                </c:pt>
                <c:pt idx="340">
                  <c:v>0.30309449889169199</c:v>
                </c:pt>
                <c:pt idx="341">
                  <c:v>0.309579751976787</c:v>
                </c:pt>
                <c:pt idx="342">
                  <c:v>0.31367884964632697</c:v>
                </c:pt>
                <c:pt idx="343">
                  <c:v>0.317737654387031</c:v>
                </c:pt>
                <c:pt idx="344">
                  <c:v>0.32426703306288202</c:v>
                </c:pt>
                <c:pt idx="345">
                  <c:v>0.32644380253980398</c:v>
                </c:pt>
                <c:pt idx="346">
                  <c:v>0.32982679863627901</c:v>
                </c:pt>
                <c:pt idx="347">
                  <c:v>0.33270400738709999</c:v>
                </c:pt>
                <c:pt idx="348">
                  <c:v>0.34005588933402697</c:v>
                </c:pt>
                <c:pt idx="349">
                  <c:v>0.343573559586276</c:v>
                </c:pt>
                <c:pt idx="350">
                  <c:v>0.34681702033526202</c:v>
                </c:pt>
                <c:pt idx="351">
                  <c:v>0.35117227629373698</c:v>
                </c:pt>
                <c:pt idx="352">
                  <c:v>0.35511708293292099</c:v>
                </c:pt>
                <c:pt idx="353">
                  <c:v>0.36182219875361799</c:v>
                </c:pt>
                <c:pt idx="354">
                  <c:v>0.366390574200185</c:v>
                </c:pt>
                <c:pt idx="355">
                  <c:v>0.36729938281414298</c:v>
                </c:pt>
                <c:pt idx="356">
                  <c:v>0.37795765565413197</c:v>
                </c:pt>
                <c:pt idx="357">
                  <c:v>0.37653422177266299</c:v>
                </c:pt>
                <c:pt idx="358">
                  <c:v>0.38273889039061998</c:v>
                </c:pt>
                <c:pt idx="359">
                  <c:v>0.38638914094874299</c:v>
                </c:pt>
                <c:pt idx="360">
                  <c:v>0.39093754895930299</c:v>
                </c:pt>
                <c:pt idx="361">
                  <c:v>0.393082861185101</c:v>
                </c:pt>
                <c:pt idx="362">
                  <c:v>0.3995485541455</c:v>
                </c:pt>
                <c:pt idx="363">
                  <c:v>0.40449306579571198</c:v>
                </c:pt>
                <c:pt idx="364">
                  <c:v>0.407552418000447</c:v>
                </c:pt>
                <c:pt idx="365">
                  <c:v>0.41177817444613701</c:v>
                </c:pt>
                <c:pt idx="366">
                  <c:v>0.41665899033647202</c:v>
                </c:pt>
                <c:pt idx="367">
                  <c:v>0.422688445008014</c:v>
                </c:pt>
                <c:pt idx="368">
                  <c:v>0.428007078611636</c:v>
                </c:pt>
                <c:pt idx="369">
                  <c:v>0.43117289002241199</c:v>
                </c:pt>
                <c:pt idx="370">
                  <c:v>0.436534655330023</c:v>
                </c:pt>
                <c:pt idx="371">
                  <c:v>0.44165336530778898</c:v>
                </c:pt>
                <c:pt idx="372">
                  <c:v>0.443793136507246</c:v>
                </c:pt>
                <c:pt idx="373">
                  <c:v>0.44499634892448497</c:v>
                </c:pt>
                <c:pt idx="374">
                  <c:v>0.45340561897957898</c:v>
                </c:pt>
                <c:pt idx="375">
                  <c:v>0.45310250926140699</c:v>
                </c:pt>
                <c:pt idx="376">
                  <c:v>0.45941046092897603</c:v>
                </c:pt>
                <c:pt idx="377">
                  <c:v>0.46542303605170399</c:v>
                </c:pt>
                <c:pt idx="378">
                  <c:v>0.46682391708879201</c:v>
                </c:pt>
                <c:pt idx="379">
                  <c:v>0.47081803049559501</c:v>
                </c:pt>
                <c:pt idx="380">
                  <c:v>0.47900086359013699</c:v>
                </c:pt>
                <c:pt idx="381">
                  <c:v>0.48001176387982197</c:v>
                </c:pt>
                <c:pt idx="382">
                  <c:v>0.48611264779344499</c:v>
                </c:pt>
                <c:pt idx="383">
                  <c:v>0.494502280425413</c:v>
                </c:pt>
                <c:pt idx="384">
                  <c:v>0.497395495404647</c:v>
                </c:pt>
                <c:pt idx="385">
                  <c:v>0.50149993501424905</c:v>
                </c:pt>
                <c:pt idx="386">
                  <c:v>0.49970858712265698</c:v>
                </c:pt>
                <c:pt idx="387">
                  <c:v>0.50641137343821396</c:v>
                </c:pt>
                <c:pt idx="388">
                  <c:v>0.50977526457186595</c:v>
                </c:pt>
                <c:pt idx="389">
                  <c:v>0.51841493668356398</c:v>
                </c:pt>
                <c:pt idx="390">
                  <c:v>0.52173268016665697</c:v>
                </c:pt>
                <c:pt idx="391">
                  <c:v>0.52502033149416805</c:v>
                </c:pt>
                <c:pt idx="392">
                  <c:v>0.52990179721564901</c:v>
                </c:pt>
                <c:pt idx="393">
                  <c:v>0.53300569125803798</c:v>
                </c:pt>
                <c:pt idx="394">
                  <c:v>0.542178059653869</c:v>
                </c:pt>
                <c:pt idx="395">
                  <c:v>0.54304862641526297</c:v>
                </c:pt>
                <c:pt idx="396">
                  <c:v>0.54740772135914095</c:v>
                </c:pt>
                <c:pt idx="397">
                  <c:v>0.55241966960434696</c:v>
                </c:pt>
                <c:pt idx="398">
                  <c:v>0.55694300071738301</c:v>
                </c:pt>
                <c:pt idx="399">
                  <c:v>0.56237661276963702</c:v>
                </c:pt>
                <c:pt idx="400">
                  <c:v>0.56527753233677402</c:v>
                </c:pt>
                <c:pt idx="401">
                  <c:v>0.57446896176409901</c:v>
                </c:pt>
                <c:pt idx="402">
                  <c:v>0.57677334083031795</c:v>
                </c:pt>
                <c:pt idx="403">
                  <c:v>0.57848785031772998</c:v>
                </c:pt>
                <c:pt idx="404">
                  <c:v>0.57864482229786596</c:v>
                </c:pt>
                <c:pt idx="405">
                  <c:v>0.58460071890152399</c:v>
                </c:pt>
                <c:pt idx="406">
                  <c:v>0.59264531830004696</c:v>
                </c:pt>
                <c:pt idx="407">
                  <c:v>0.59590225275154496</c:v>
                </c:pt>
                <c:pt idx="408">
                  <c:v>0.60133653557125699</c:v>
                </c:pt>
                <c:pt idx="409">
                  <c:v>0.606607953766654</c:v>
                </c:pt>
                <c:pt idx="410">
                  <c:v>0.61081819860799302</c:v>
                </c:pt>
                <c:pt idx="411">
                  <c:v>0.61685108432803004</c:v>
                </c:pt>
                <c:pt idx="412">
                  <c:v>0.62122050006040497</c:v>
                </c:pt>
                <c:pt idx="413">
                  <c:v>0.624484214944793</c:v>
                </c:pt>
                <c:pt idx="414">
                  <c:v>0.629880188532281</c:v>
                </c:pt>
                <c:pt idx="415">
                  <c:v>0.64007300096836595</c:v>
                </c:pt>
                <c:pt idx="416">
                  <c:v>0.636974768823655</c:v>
                </c:pt>
                <c:pt idx="417">
                  <c:v>0.64375885657882803</c:v>
                </c:pt>
                <c:pt idx="418">
                  <c:v>0.64348039571287896</c:v>
                </c:pt>
                <c:pt idx="419">
                  <c:v>0.65270488225077905</c:v>
                </c:pt>
                <c:pt idx="420">
                  <c:v>0.653738950775273</c:v>
                </c:pt>
                <c:pt idx="421">
                  <c:v>0.66152860066163299</c:v>
                </c:pt>
                <c:pt idx="422">
                  <c:v>0.66790511834028499</c:v>
                </c:pt>
                <c:pt idx="423">
                  <c:v>0.66780665633207403</c:v>
                </c:pt>
                <c:pt idx="424">
                  <c:v>0.67465954068016198</c:v>
                </c:pt>
                <c:pt idx="425">
                  <c:v>0.67483282791062504</c:v>
                </c:pt>
                <c:pt idx="426">
                  <c:v>0.68670344219665003</c:v>
                </c:pt>
                <c:pt idx="427">
                  <c:v>0.68592861566451102</c:v>
                </c:pt>
                <c:pt idx="428">
                  <c:v>0.68912153404113097</c:v>
                </c:pt>
                <c:pt idx="429">
                  <c:v>0.697252504177441</c:v>
                </c:pt>
                <c:pt idx="430">
                  <c:v>0.69878186169993595</c:v>
                </c:pt>
                <c:pt idx="431">
                  <c:v>0.69721666841521901</c:v>
                </c:pt>
                <c:pt idx="432">
                  <c:v>0.70620139397177595</c:v>
                </c:pt>
                <c:pt idx="433">
                  <c:v>0.71198017619168097</c:v>
                </c:pt>
                <c:pt idx="434">
                  <c:v>0.71633879105413201</c:v>
                </c:pt>
                <c:pt idx="435">
                  <c:v>0.723060697363338</c:v>
                </c:pt>
                <c:pt idx="436">
                  <c:v>0.72542711487892497</c:v>
                </c:pt>
                <c:pt idx="437">
                  <c:v>0.73100373161461596</c:v>
                </c:pt>
                <c:pt idx="438">
                  <c:v>0.73282748389334795</c:v>
                </c:pt>
                <c:pt idx="439">
                  <c:v>0.73304983614325903</c:v>
                </c:pt>
                <c:pt idx="440">
                  <c:v>0.74098055755519299</c:v>
                </c:pt>
                <c:pt idx="441">
                  <c:v>0.74840353957164596</c:v>
                </c:pt>
                <c:pt idx="442">
                  <c:v>0.75220582375803402</c:v>
                </c:pt>
                <c:pt idx="443">
                  <c:v>0.75508586269502098</c:v>
                </c:pt>
                <c:pt idx="444">
                  <c:v>0.75946256974801896</c:v>
                </c:pt>
                <c:pt idx="445">
                  <c:v>0.76591641664102605</c:v>
                </c:pt>
                <c:pt idx="446">
                  <c:v>0.76652320123163098</c:v>
                </c:pt>
                <c:pt idx="447">
                  <c:v>0.77921503748902299</c:v>
                </c:pt>
                <c:pt idx="448">
                  <c:v>0.78329117011692595</c:v>
                </c:pt>
                <c:pt idx="449">
                  <c:v>0.78211801776461898</c:v>
                </c:pt>
                <c:pt idx="450">
                  <c:v>0.79127091439349295</c:v>
                </c:pt>
                <c:pt idx="451">
                  <c:v>0.79413247711173696</c:v>
                </c:pt>
                <c:pt idx="452">
                  <c:v>0.79464641081066401</c:v>
                </c:pt>
                <c:pt idx="453">
                  <c:v>0.79983420328709198</c:v>
                </c:pt>
                <c:pt idx="454">
                  <c:v>0.809956791077176</c:v>
                </c:pt>
                <c:pt idx="455">
                  <c:v>0.81463766979535601</c:v>
                </c:pt>
                <c:pt idx="456">
                  <c:v>0.81294645779552799</c:v>
                </c:pt>
                <c:pt idx="457">
                  <c:v>0.82002354099407104</c:v>
                </c:pt>
                <c:pt idx="458">
                  <c:v>0.81654857217478205</c:v>
                </c:pt>
                <c:pt idx="459">
                  <c:v>0.82815023280964395</c:v>
                </c:pt>
                <c:pt idx="460">
                  <c:v>0.82897382515808105</c:v>
                </c:pt>
                <c:pt idx="461">
                  <c:v>0.84052134438780801</c:v>
                </c:pt>
                <c:pt idx="462">
                  <c:v>0.84455134351510597</c:v>
                </c:pt>
                <c:pt idx="463">
                  <c:v>0.84522017222384904</c:v>
                </c:pt>
                <c:pt idx="464">
                  <c:v>0.85105557102986196</c:v>
                </c:pt>
                <c:pt idx="465">
                  <c:v>0.85629630912956101</c:v>
                </c:pt>
                <c:pt idx="466">
                  <c:v>0.86443888762965204</c:v>
                </c:pt>
                <c:pt idx="467">
                  <c:v>0.86150226820801701</c:v>
                </c:pt>
                <c:pt idx="468">
                  <c:v>0.86992339794972395</c:v>
                </c:pt>
                <c:pt idx="469">
                  <c:v>0.87518140941545997</c:v>
                </c:pt>
                <c:pt idx="470">
                  <c:v>0.87500840781126699</c:v>
                </c:pt>
                <c:pt idx="471">
                  <c:v>0.88465078109191797</c:v>
                </c:pt>
                <c:pt idx="472">
                  <c:v>0.88899619065897795</c:v>
                </c:pt>
                <c:pt idx="473">
                  <c:v>0.89401889188849204</c:v>
                </c:pt>
                <c:pt idx="474">
                  <c:v>0.89867061016063599</c:v>
                </c:pt>
                <c:pt idx="475">
                  <c:v>0.89611302792343805</c:v>
                </c:pt>
                <c:pt idx="476">
                  <c:v>0.90275425264440401</c:v>
                </c:pt>
                <c:pt idx="477">
                  <c:v>0.91051158889801598</c:v>
                </c:pt>
                <c:pt idx="478">
                  <c:v>0.91300354599086797</c:v>
                </c:pt>
                <c:pt idx="479">
                  <c:v>0.91586809266307501</c:v>
                </c:pt>
                <c:pt idx="480">
                  <c:v>0.92346758571217302</c:v>
                </c:pt>
                <c:pt idx="481">
                  <c:v>0.92869484079993403</c:v>
                </c:pt>
                <c:pt idx="482">
                  <c:v>0.92921103472295696</c:v>
                </c:pt>
                <c:pt idx="483">
                  <c:v>0.93542797230545705</c:v>
                </c:pt>
                <c:pt idx="484">
                  <c:v>0.93836996891659596</c:v>
                </c:pt>
                <c:pt idx="485">
                  <c:v>0.94475144367846398</c:v>
                </c:pt>
                <c:pt idx="486">
                  <c:v>0.95285765284933999</c:v>
                </c:pt>
                <c:pt idx="487">
                  <c:v>0.95343497365930396</c:v>
                </c:pt>
                <c:pt idx="488">
                  <c:v>0.96029757739983701</c:v>
                </c:pt>
                <c:pt idx="489">
                  <c:v>0.96514790789194604</c:v>
                </c:pt>
                <c:pt idx="490">
                  <c:v>0.97181596199213405</c:v>
                </c:pt>
                <c:pt idx="491">
                  <c:v>0.96889213553576303</c:v>
                </c:pt>
                <c:pt idx="492">
                  <c:v>0.97766321295543901</c:v>
                </c:pt>
                <c:pt idx="493">
                  <c:v>0.98477966630972302</c:v>
                </c:pt>
                <c:pt idx="494">
                  <c:v>0.98587918568577004</c:v>
                </c:pt>
                <c:pt idx="495">
                  <c:v>0.98774353764015199</c:v>
                </c:pt>
                <c:pt idx="496">
                  <c:v>0.99611031136796901</c:v>
                </c:pt>
                <c:pt idx="497">
                  <c:v>1.00086437219071</c:v>
                </c:pt>
                <c:pt idx="498">
                  <c:v>1.0069836414862501</c:v>
                </c:pt>
                <c:pt idx="499">
                  <c:v>1.0107506310268199</c:v>
                </c:pt>
                <c:pt idx="500">
                  <c:v>1.01651721840853</c:v>
                </c:pt>
                <c:pt idx="501">
                  <c:v>1.02339158976793</c:v>
                </c:pt>
                <c:pt idx="502">
                  <c:v>1.0245068437631699</c:v>
                </c:pt>
                <c:pt idx="503">
                  <c:v>1.02847225135746</c:v>
                </c:pt>
                <c:pt idx="504">
                  <c:v>1.0393742896520699</c:v>
                </c:pt>
                <c:pt idx="505">
                  <c:v>1.0346567470549499</c:v>
                </c:pt>
                <c:pt idx="506">
                  <c:v>1.04100585233263</c:v>
                </c:pt>
                <c:pt idx="507">
                  <c:v>1.04713406846963</c:v>
                </c:pt>
                <c:pt idx="508">
                  <c:v>1.0467865689707501</c:v>
                </c:pt>
                <c:pt idx="509">
                  <c:v>1.0552854735356001</c:v>
                </c:pt>
                <c:pt idx="510">
                  <c:v>1.0595055456912399</c:v>
                </c:pt>
                <c:pt idx="511">
                  <c:v>1.06277189653188</c:v>
                </c:pt>
                <c:pt idx="512">
                  <c:v>1.06656552386588</c:v>
                </c:pt>
                <c:pt idx="513">
                  <c:v>1.07353474792022</c:v>
                </c:pt>
                <c:pt idx="514">
                  <c:v>1.07143975004243</c:v>
                </c:pt>
                <c:pt idx="515">
                  <c:v>1.0873618521916599</c:v>
                </c:pt>
                <c:pt idx="516">
                  <c:v>1.0869618206032801</c:v>
                </c:pt>
                <c:pt idx="517">
                  <c:v>1.0982515705820799</c:v>
                </c:pt>
                <c:pt idx="518">
                  <c:v>1.09092548300992</c:v>
                </c:pt>
                <c:pt idx="519">
                  <c:v>1.10508833180664</c:v>
                </c:pt>
                <c:pt idx="520">
                  <c:v>1.10358115698926</c:v>
                </c:pt>
                <c:pt idx="521">
                  <c:v>1.11141898204664</c:v>
                </c:pt>
                <c:pt idx="522">
                  <c:v>1.10784374445302</c:v>
                </c:pt>
                <c:pt idx="523">
                  <c:v>1.1194745014207299</c:v>
                </c:pt>
                <c:pt idx="524">
                  <c:v>1.13291179334129</c:v>
                </c:pt>
                <c:pt idx="525">
                  <c:v>1.12879108196496</c:v>
                </c:pt>
                <c:pt idx="526">
                  <c:v>1.12910864694279</c:v>
                </c:pt>
                <c:pt idx="527">
                  <c:v>1.13275875674434</c:v>
                </c:pt>
                <c:pt idx="528">
                  <c:v>1.14228611638948</c:v>
                </c:pt>
                <c:pt idx="529">
                  <c:v>1.14250473386867</c:v>
                </c:pt>
                <c:pt idx="530">
                  <c:v>1.1519006790130999</c:v>
                </c:pt>
                <c:pt idx="531">
                  <c:v>1.1521252391767101</c:v>
                </c:pt>
                <c:pt idx="532">
                  <c:v>1.1648811561375201</c:v>
                </c:pt>
                <c:pt idx="533">
                  <c:v>1.16339696913428</c:v>
                </c:pt>
                <c:pt idx="534">
                  <c:v>1.17131314625469</c:v>
                </c:pt>
                <c:pt idx="535">
                  <c:v>1.1803136745998599</c:v>
                </c:pt>
                <c:pt idx="536">
                  <c:v>1.1859638621178299</c:v>
                </c:pt>
                <c:pt idx="537">
                  <c:v>1.18913055618926</c:v>
                </c:pt>
                <c:pt idx="538">
                  <c:v>1.1934028706454201</c:v>
                </c:pt>
                <c:pt idx="539">
                  <c:v>1.1889132310055299</c:v>
                </c:pt>
                <c:pt idx="540">
                  <c:v>1.19716148631557</c:v>
                </c:pt>
                <c:pt idx="541">
                  <c:v>1.2048956875702099</c:v>
                </c:pt>
                <c:pt idx="542">
                  <c:v>1.2148743390283501</c:v>
                </c:pt>
                <c:pt idx="543">
                  <c:v>1.2232005119099501</c:v>
                </c:pt>
                <c:pt idx="544">
                  <c:v>1.22821409123044</c:v>
                </c:pt>
                <c:pt idx="545">
                  <c:v>1.2260496974466599</c:v>
                </c:pt>
                <c:pt idx="546">
                  <c:v>1.2307688865356601</c:v>
                </c:pt>
                <c:pt idx="547">
                  <c:v>1.2334296368839699</c:v>
                </c:pt>
                <c:pt idx="548">
                  <c:v>1.2337573352700399</c:v>
                </c:pt>
                <c:pt idx="549">
                  <c:v>1.2439899971491699</c:v>
                </c:pt>
                <c:pt idx="550">
                  <c:v>1.24534604635902</c:v>
                </c:pt>
                <c:pt idx="551">
                  <c:v>1.2557546521799301</c:v>
                </c:pt>
                <c:pt idx="552">
                  <c:v>1.26145508396818</c:v>
                </c:pt>
                <c:pt idx="553">
                  <c:v>1.26364632121718</c:v>
                </c:pt>
                <c:pt idx="554">
                  <c:v>1.2616792159854899</c:v>
                </c:pt>
                <c:pt idx="555">
                  <c:v>1.26892895429075</c:v>
                </c:pt>
                <c:pt idx="556">
                  <c:v>1.2833782947255501</c:v>
                </c:pt>
                <c:pt idx="557">
                  <c:v>1.28683635174847</c:v>
                </c:pt>
                <c:pt idx="558">
                  <c:v>1.2782514807650101</c:v>
                </c:pt>
                <c:pt idx="559">
                  <c:v>1.2990670857128099</c:v>
                </c:pt>
                <c:pt idx="560">
                  <c:v>1.2998965676440299</c:v>
                </c:pt>
                <c:pt idx="561">
                  <c:v>1.29703596318383</c:v>
                </c:pt>
                <c:pt idx="562">
                  <c:v>1.3042976941137201</c:v>
                </c:pt>
                <c:pt idx="563">
                  <c:v>1.3193642566656001</c:v>
                </c:pt>
                <c:pt idx="564">
                  <c:v>1.3163938445275001</c:v>
                </c:pt>
                <c:pt idx="565">
                  <c:v>1.3233603514816099</c:v>
                </c:pt>
                <c:pt idx="566">
                  <c:v>1.32533641829088</c:v>
                </c:pt>
                <c:pt idx="567">
                  <c:v>1.3320745501659901</c:v>
                </c:pt>
                <c:pt idx="568">
                  <c:v>1.33452948917546</c:v>
                </c:pt>
                <c:pt idx="569">
                  <c:v>1.35225509615961</c:v>
                </c:pt>
                <c:pt idx="570">
                  <c:v>1.3495667664309501</c:v>
                </c:pt>
                <c:pt idx="571">
                  <c:v>1.3529058309095701</c:v>
                </c:pt>
                <c:pt idx="572">
                  <c:v>1.3596548394661101</c:v>
                </c:pt>
                <c:pt idx="573">
                  <c:v>1.3659647200204199</c:v>
                </c:pt>
                <c:pt idx="574">
                  <c:v>1.3775730569896001</c:v>
                </c:pt>
                <c:pt idx="575">
                  <c:v>1.3889309748148599</c:v>
                </c:pt>
                <c:pt idx="576">
                  <c:v>1.3824005249082401</c:v>
                </c:pt>
                <c:pt idx="577">
                  <c:v>1.3884243501867</c:v>
                </c:pt>
                <c:pt idx="578">
                  <c:v>1.39812776158984</c:v>
                </c:pt>
                <c:pt idx="579">
                  <c:v>1.40111745036961</c:v>
                </c:pt>
                <c:pt idx="580">
                  <c:v>1.40078697956073</c:v>
                </c:pt>
                <c:pt idx="581">
                  <c:v>1.4146069551688401</c:v>
                </c:pt>
                <c:pt idx="582">
                  <c:v>1.4220845011201499</c:v>
                </c:pt>
                <c:pt idx="583">
                  <c:v>1.4346007512563901</c:v>
                </c:pt>
                <c:pt idx="584">
                  <c:v>1.43219538504223</c:v>
                </c:pt>
                <c:pt idx="585">
                  <c:v>1.44763420222994</c:v>
                </c:pt>
                <c:pt idx="586">
                  <c:v>1.4318079162567301</c:v>
                </c:pt>
                <c:pt idx="587">
                  <c:v>1.4498326825560399</c:v>
                </c:pt>
                <c:pt idx="588">
                  <c:v>1.45619822257156</c:v>
                </c:pt>
                <c:pt idx="589">
                  <c:v>1.46079788220652</c:v>
                </c:pt>
                <c:pt idx="590">
                  <c:v>1.4563970425089201</c:v>
                </c:pt>
                <c:pt idx="591">
                  <c:v>1.4703645265298699</c:v>
                </c:pt>
                <c:pt idx="592">
                  <c:v>1.48239091698308</c:v>
                </c:pt>
                <c:pt idx="593">
                  <c:v>1.4816643945194801</c:v>
                </c:pt>
                <c:pt idx="594">
                  <c:v>1.48912750309084</c:v>
                </c:pt>
                <c:pt idx="595">
                  <c:v>1.4841922453985601</c:v>
                </c:pt>
                <c:pt idx="596">
                  <c:v>1.49955865182218</c:v>
                </c:pt>
                <c:pt idx="597">
                  <c:v>1.49677948820925</c:v>
                </c:pt>
                <c:pt idx="598">
                  <c:v>1.5073149687193701</c:v>
                </c:pt>
                <c:pt idx="599">
                  <c:v>1.5170483352315001</c:v>
                </c:pt>
                <c:pt idx="600">
                  <c:v>1.51906003116225</c:v>
                </c:pt>
                <c:pt idx="601">
                  <c:v>1.5198244036192801</c:v>
                </c:pt>
                <c:pt idx="602">
                  <c:v>1.53056619042653</c:v>
                </c:pt>
                <c:pt idx="603">
                  <c:v>1.54337372077358</c:v>
                </c:pt>
                <c:pt idx="604">
                  <c:v>1.54147742634795</c:v>
                </c:pt>
                <c:pt idx="605">
                  <c:v>1.5615794774582901</c:v>
                </c:pt>
                <c:pt idx="606">
                  <c:v>1.55647396744511</c:v>
                </c:pt>
                <c:pt idx="607">
                  <c:v>1.56534420574247</c:v>
                </c:pt>
                <c:pt idx="608">
                  <c:v>1.5695454740981101</c:v>
                </c:pt>
                <c:pt idx="609">
                  <c:v>1.5728232979262</c:v>
                </c:pt>
                <c:pt idx="610">
                  <c:v>1.58707459198505</c:v>
                </c:pt>
                <c:pt idx="611">
                  <c:v>1.58489716666137</c:v>
                </c:pt>
                <c:pt idx="612">
                  <c:v>1.59901666386679</c:v>
                </c:pt>
                <c:pt idx="613">
                  <c:v>1.6097888388620101</c:v>
                </c:pt>
                <c:pt idx="614">
                  <c:v>1.60923558434153</c:v>
                </c:pt>
                <c:pt idx="615">
                  <c:v>1.6157500333024499</c:v>
                </c:pt>
                <c:pt idx="616">
                  <c:v>1.6187125267621501</c:v>
                </c:pt>
                <c:pt idx="617">
                  <c:v>1.6192837972074601</c:v>
                </c:pt>
                <c:pt idx="618">
                  <c:v>1.6369834737783699</c:v>
                </c:pt>
                <c:pt idx="619">
                  <c:v>1.64798576316595</c:v>
                </c:pt>
                <c:pt idx="620">
                  <c:v>1.6421300413706701</c:v>
                </c:pt>
                <c:pt idx="621">
                  <c:v>1.6446248716049101</c:v>
                </c:pt>
                <c:pt idx="622">
                  <c:v>1.6563218587978801</c:v>
                </c:pt>
                <c:pt idx="623">
                  <c:v>1.6645960801817701</c:v>
                </c:pt>
                <c:pt idx="624">
                  <c:v>1.6648086826319699</c:v>
                </c:pt>
                <c:pt idx="625">
                  <c:v>1.67492917770464</c:v>
                </c:pt>
                <c:pt idx="626">
                  <c:v>1.6776637411761299</c:v>
                </c:pt>
                <c:pt idx="627">
                  <c:v>1.6858204047316701</c:v>
                </c:pt>
                <c:pt idx="628">
                  <c:v>1.6911465799755501</c:v>
                </c:pt>
                <c:pt idx="629">
                  <c:v>1.70610782217571</c:v>
                </c:pt>
                <c:pt idx="630">
                  <c:v>1.7100505530054599</c:v>
                </c:pt>
                <c:pt idx="631">
                  <c:v>1.7108036017403001</c:v>
                </c:pt>
                <c:pt idx="632">
                  <c:v>1.7333902264735901</c:v>
                </c:pt>
                <c:pt idx="633">
                  <c:v>1.7315717392598799</c:v>
                </c:pt>
                <c:pt idx="634">
                  <c:v>1.7246594040552099</c:v>
                </c:pt>
                <c:pt idx="635">
                  <c:v>1.7394655571462001</c:v>
                </c:pt>
                <c:pt idx="636">
                  <c:v>1.7471574128330001</c:v>
                </c:pt>
                <c:pt idx="637">
                  <c:v>1.75104948688722</c:v>
                </c:pt>
                <c:pt idx="638">
                  <c:v>1.7615846970948299</c:v>
                </c:pt>
                <c:pt idx="639">
                  <c:v>1.7724287639174201</c:v>
                </c:pt>
                <c:pt idx="640">
                  <c:v>1.77620777184643</c:v>
                </c:pt>
                <c:pt idx="641">
                  <c:v>1.7846717571549999</c:v>
                </c:pt>
                <c:pt idx="642">
                  <c:v>1.7890956324655101</c:v>
                </c:pt>
                <c:pt idx="643">
                  <c:v>1.7939096009137601</c:v>
                </c:pt>
                <c:pt idx="644">
                  <c:v>1.79314221466642</c:v>
                </c:pt>
                <c:pt idx="645">
                  <c:v>1.7996260118943599</c:v>
                </c:pt>
                <c:pt idx="646">
                  <c:v>1.8065855376275399</c:v>
                </c:pt>
                <c:pt idx="647">
                  <c:v>1.81710119977856</c:v>
                </c:pt>
                <c:pt idx="648">
                  <c:v>1.8142725816212</c:v>
                </c:pt>
                <c:pt idx="649">
                  <c:v>1.8248498559565001</c:v>
                </c:pt>
                <c:pt idx="650">
                  <c:v>1.82002227975652</c:v>
                </c:pt>
                <c:pt idx="651">
                  <c:v>1.83216877765722</c:v>
                </c:pt>
                <c:pt idx="652">
                  <c:v>1.8409427796404001</c:v>
                </c:pt>
                <c:pt idx="653">
                  <c:v>1.85063397695104</c:v>
                </c:pt>
                <c:pt idx="654">
                  <c:v>1.8556521385190701</c:v>
                </c:pt>
                <c:pt idx="655">
                  <c:v>1.8650078671613199</c:v>
                </c:pt>
                <c:pt idx="656">
                  <c:v>1.8795307300173301</c:v>
                </c:pt>
                <c:pt idx="657">
                  <c:v>1.8800830724983399</c:v>
                </c:pt>
                <c:pt idx="658">
                  <c:v>1.8843263051583401</c:v>
                </c:pt>
                <c:pt idx="659">
                  <c:v>1.8814159126629</c:v>
                </c:pt>
                <c:pt idx="660">
                  <c:v>1.8929765140901</c:v>
                </c:pt>
                <c:pt idx="661">
                  <c:v>1.9093798113785501</c:v>
                </c:pt>
                <c:pt idx="662">
                  <c:v>1.9135299049740699</c:v>
                </c:pt>
                <c:pt idx="663">
                  <c:v>1.9061325039730499</c:v>
                </c:pt>
                <c:pt idx="664">
                  <c:v>1.92933780011851</c:v>
                </c:pt>
                <c:pt idx="665">
                  <c:v>1.9323396041679799</c:v>
                </c:pt>
                <c:pt idx="666">
                  <c:v>1.9384706529948801</c:v>
                </c:pt>
                <c:pt idx="667">
                  <c:v>1.9557111849853099</c:v>
                </c:pt>
                <c:pt idx="668">
                  <c:v>1.9502312645667801</c:v>
                </c:pt>
                <c:pt idx="669">
                  <c:v>1.9527609244508899</c:v>
                </c:pt>
                <c:pt idx="670">
                  <c:v>1.95581255641328</c:v>
                </c:pt>
                <c:pt idx="671">
                  <c:v>1.97210865252023</c:v>
                </c:pt>
                <c:pt idx="672">
                  <c:v>1.9914929893318001</c:v>
                </c:pt>
                <c:pt idx="673">
                  <c:v>1.9955492477213601</c:v>
                </c:pt>
                <c:pt idx="674">
                  <c:v>1.9988679245607499</c:v>
                </c:pt>
                <c:pt idx="675">
                  <c:v>2.0037886984293198</c:v>
                </c:pt>
                <c:pt idx="676">
                  <c:v>2.01367498565592</c:v>
                </c:pt>
                <c:pt idx="677">
                  <c:v>2.0238059579022298</c:v>
                </c:pt>
                <c:pt idx="678">
                  <c:v>2.0291518802345898</c:v>
                </c:pt>
                <c:pt idx="679">
                  <c:v>2.0436462300615101</c:v>
                </c:pt>
                <c:pt idx="680">
                  <c:v>2.05238321861246</c:v>
                </c:pt>
                <c:pt idx="681">
                  <c:v>2.0427918723054801</c:v>
                </c:pt>
                <c:pt idx="682">
                  <c:v>2.0538987478253699</c:v>
                </c:pt>
                <c:pt idx="683">
                  <c:v>2.06288985653776</c:v>
                </c:pt>
                <c:pt idx="684">
                  <c:v>2.0693639422836401</c:v>
                </c:pt>
                <c:pt idx="685">
                  <c:v>2.0701020750025299</c:v>
                </c:pt>
                <c:pt idx="686">
                  <c:v>2.0839172779792801</c:v>
                </c:pt>
                <c:pt idx="687">
                  <c:v>2.0981585497652402</c:v>
                </c:pt>
                <c:pt idx="688">
                  <c:v>2.09934290274317</c:v>
                </c:pt>
                <c:pt idx="689">
                  <c:v>2.0933971010268402</c:v>
                </c:pt>
                <c:pt idx="690">
                  <c:v>2.1061619179201099</c:v>
                </c:pt>
                <c:pt idx="691">
                  <c:v>2.1050510486204099</c:v>
                </c:pt>
                <c:pt idx="692">
                  <c:v>2.1218605330267599</c:v>
                </c:pt>
                <c:pt idx="693">
                  <c:v>2.1344469125255698</c:v>
                </c:pt>
                <c:pt idx="694">
                  <c:v>2.13855155249786</c:v>
                </c:pt>
                <c:pt idx="695">
                  <c:v>2.1438390873353299</c:v>
                </c:pt>
                <c:pt idx="696">
                  <c:v>2.1573028796800102</c:v>
                </c:pt>
                <c:pt idx="697">
                  <c:v>2.1624221963765602</c:v>
                </c:pt>
                <c:pt idx="698">
                  <c:v>2.1674079273963698</c:v>
                </c:pt>
                <c:pt idx="699">
                  <c:v>2.1713632940941601</c:v>
                </c:pt>
                <c:pt idx="700">
                  <c:v>2.1823938286949098</c:v>
                </c:pt>
                <c:pt idx="701">
                  <c:v>2.1877066250014301</c:v>
                </c:pt>
                <c:pt idx="702">
                  <c:v>2.1927562138079701</c:v>
                </c:pt>
                <c:pt idx="703">
                  <c:v>2.1968070497327199</c:v>
                </c:pt>
                <c:pt idx="704">
                  <c:v>2.21633318641967</c:v>
                </c:pt>
                <c:pt idx="705">
                  <c:v>2.21620500073612</c:v>
                </c:pt>
                <c:pt idx="706">
                  <c:v>2.2147893450580902</c:v>
                </c:pt>
                <c:pt idx="707">
                  <c:v>2.22660972043411</c:v>
                </c:pt>
                <c:pt idx="708">
                  <c:v>2.23827245457344</c:v>
                </c:pt>
                <c:pt idx="709">
                  <c:v>2.2419895658239102</c:v>
                </c:pt>
                <c:pt idx="710">
                  <c:v>2.2579474313607002</c:v>
                </c:pt>
                <c:pt idx="711">
                  <c:v>2.2530087540472801</c:v>
                </c:pt>
                <c:pt idx="712">
                  <c:v>2.2491948869970799</c:v>
                </c:pt>
                <c:pt idx="713">
                  <c:v>2.2733073406691502</c:v>
                </c:pt>
                <c:pt idx="714">
                  <c:v>2.2824641149286999</c:v>
                </c:pt>
                <c:pt idx="715">
                  <c:v>2.2986273925329299</c:v>
                </c:pt>
                <c:pt idx="716">
                  <c:v>2.2910829020570702</c:v>
                </c:pt>
                <c:pt idx="717">
                  <c:v>2.2964630393077701</c:v>
                </c:pt>
                <c:pt idx="718">
                  <c:v>2.3041864557798002</c:v>
                </c:pt>
                <c:pt idx="719">
                  <c:v>2.3203915668425901</c:v>
                </c:pt>
                <c:pt idx="720">
                  <c:v>2.3359275270413802</c:v>
                </c:pt>
                <c:pt idx="721">
                  <c:v>2.3479239328229902</c:v>
                </c:pt>
                <c:pt idx="722">
                  <c:v>2.3408073038837598</c:v>
                </c:pt>
                <c:pt idx="723">
                  <c:v>2.3464593733084</c:v>
                </c:pt>
                <c:pt idx="724">
                  <c:v>2.35808443548349</c:v>
                </c:pt>
                <c:pt idx="725">
                  <c:v>2.3683401739844698</c:v>
                </c:pt>
                <c:pt idx="726">
                  <c:v>2.3564510644505501</c:v>
                </c:pt>
                <c:pt idx="727">
                  <c:v>2.3737300997563802</c:v>
                </c:pt>
                <c:pt idx="728">
                  <c:v>2.3899674499041601</c:v>
                </c:pt>
                <c:pt idx="729">
                  <c:v>2.3933303831950501</c:v>
                </c:pt>
                <c:pt idx="730">
                  <c:v>2.3921400237728201</c:v>
                </c:pt>
                <c:pt idx="731">
                  <c:v>2.4063638105199798</c:v>
                </c:pt>
                <c:pt idx="732">
                  <c:v>2.4100969709061202</c:v>
                </c:pt>
                <c:pt idx="733">
                  <c:v>2.4152024835583901</c:v>
                </c:pt>
                <c:pt idx="734">
                  <c:v>2.4321692424972299</c:v>
                </c:pt>
                <c:pt idx="735">
                  <c:v>2.4382788926272898</c:v>
                </c:pt>
                <c:pt idx="736">
                  <c:v>2.42275342603231</c:v>
                </c:pt>
                <c:pt idx="737">
                  <c:v>2.4408623197683501</c:v>
                </c:pt>
                <c:pt idx="738">
                  <c:v>2.45530715999001</c:v>
                </c:pt>
                <c:pt idx="739">
                  <c:v>2.4672508377722999</c:v>
                </c:pt>
                <c:pt idx="740">
                  <c:v>2.4826607668346798</c:v>
                </c:pt>
                <c:pt idx="741">
                  <c:v>2.46392687487034</c:v>
                </c:pt>
                <c:pt idx="742">
                  <c:v>2.4812506425945302</c:v>
                </c:pt>
                <c:pt idx="743">
                  <c:v>2.4861082613056502</c:v>
                </c:pt>
                <c:pt idx="744">
                  <c:v>2.4990889378379202</c:v>
                </c:pt>
                <c:pt idx="745">
                  <c:v>2.5148487966194999</c:v>
                </c:pt>
                <c:pt idx="746">
                  <c:v>2.5239721614384201</c:v>
                </c:pt>
                <c:pt idx="747">
                  <c:v>2.5139901180588402</c:v>
                </c:pt>
                <c:pt idx="748">
                  <c:v>2.54051410748853</c:v>
                </c:pt>
                <c:pt idx="749">
                  <c:v>2.5496481214648101</c:v>
                </c:pt>
                <c:pt idx="750">
                  <c:v>2.5509486167273199</c:v>
                </c:pt>
                <c:pt idx="751">
                  <c:v>2.5497656816076799</c:v>
                </c:pt>
                <c:pt idx="752">
                  <c:v>2.56184002609865</c:v>
                </c:pt>
                <c:pt idx="753">
                  <c:v>2.56189754781769</c:v>
                </c:pt>
                <c:pt idx="754">
                  <c:v>2.5715004900437801</c:v>
                </c:pt>
                <c:pt idx="755">
                  <c:v>2.5866710720981301</c:v>
                </c:pt>
                <c:pt idx="756">
                  <c:v>2.6013390712638</c:v>
                </c:pt>
                <c:pt idx="757">
                  <c:v>2.6077170837924699</c:v>
                </c:pt>
                <c:pt idx="758">
                  <c:v>2.6076911684437198</c:v>
                </c:pt>
                <c:pt idx="759">
                  <c:v>2.6170092402980001</c:v>
                </c:pt>
                <c:pt idx="760">
                  <c:v>2.6146985357424901</c:v>
                </c:pt>
                <c:pt idx="761">
                  <c:v>2.6310233657794901</c:v>
                </c:pt>
                <c:pt idx="762">
                  <c:v>2.6310098422614199</c:v>
                </c:pt>
                <c:pt idx="763">
                  <c:v>2.6432256759240098</c:v>
                </c:pt>
                <c:pt idx="764">
                  <c:v>2.63878175716318</c:v>
                </c:pt>
                <c:pt idx="765">
                  <c:v>2.65128277424895</c:v>
                </c:pt>
                <c:pt idx="766">
                  <c:v>2.66839483762914</c:v>
                </c:pt>
                <c:pt idx="767">
                  <c:v>2.6878020227500499</c:v>
                </c:pt>
                <c:pt idx="768">
                  <c:v>2.6814519504043401</c:v>
                </c:pt>
                <c:pt idx="769">
                  <c:v>2.6913666139800001</c:v>
                </c:pt>
                <c:pt idx="770">
                  <c:v>2.6913461414914801</c:v>
                </c:pt>
                <c:pt idx="771">
                  <c:v>2.6995751412832498</c:v>
                </c:pt>
                <c:pt idx="772">
                  <c:v>2.69259973461517</c:v>
                </c:pt>
                <c:pt idx="773">
                  <c:v>2.7065358707182501</c:v>
                </c:pt>
                <c:pt idx="774">
                  <c:v>2.7278372544580201</c:v>
                </c:pt>
                <c:pt idx="775">
                  <c:v>2.7400677267285398</c:v>
                </c:pt>
                <c:pt idx="776">
                  <c:v>2.7396336968710799</c:v>
                </c:pt>
                <c:pt idx="777">
                  <c:v>2.74670595620168</c:v>
                </c:pt>
                <c:pt idx="778">
                  <c:v>2.7546724719344802</c:v>
                </c:pt>
                <c:pt idx="779">
                  <c:v>2.7594113925447301</c:v>
                </c:pt>
                <c:pt idx="780">
                  <c:v>2.7621597003380698</c:v>
                </c:pt>
                <c:pt idx="781">
                  <c:v>2.7704105922868498</c:v>
                </c:pt>
                <c:pt idx="782">
                  <c:v>2.7942626613287498</c:v>
                </c:pt>
                <c:pt idx="783">
                  <c:v>2.8081319999484502</c:v>
                </c:pt>
                <c:pt idx="784">
                  <c:v>2.8006016896957702</c:v>
                </c:pt>
                <c:pt idx="785">
                  <c:v>2.7991316399744299</c:v>
                </c:pt>
                <c:pt idx="786">
                  <c:v>2.8221851157922302</c:v>
                </c:pt>
                <c:pt idx="787">
                  <c:v>2.8341915012841299</c:v>
                </c:pt>
                <c:pt idx="788">
                  <c:v>2.8375415850154999</c:v>
                </c:pt>
                <c:pt idx="789">
                  <c:v>2.84183793421112</c:v>
                </c:pt>
                <c:pt idx="790">
                  <c:v>2.849156834635</c:v>
                </c:pt>
                <c:pt idx="791">
                  <c:v>2.8777052100726599</c:v>
                </c:pt>
                <c:pt idx="792">
                  <c:v>2.8762428670831302</c:v>
                </c:pt>
                <c:pt idx="793">
                  <c:v>2.8804920963874401</c:v>
                </c:pt>
                <c:pt idx="794">
                  <c:v>2.8865313776661798</c:v>
                </c:pt>
                <c:pt idx="795">
                  <c:v>2.8984533597994999</c:v>
                </c:pt>
                <c:pt idx="796">
                  <c:v>2.9161592556664702</c:v>
                </c:pt>
                <c:pt idx="797">
                  <c:v>2.9052345196771299</c:v>
                </c:pt>
                <c:pt idx="798">
                  <c:v>2.9231329938710902</c:v>
                </c:pt>
                <c:pt idx="799">
                  <c:v>2.9260900008443</c:v>
                </c:pt>
                <c:pt idx="800">
                  <c:v>2.9473538876167802</c:v>
                </c:pt>
                <c:pt idx="801">
                  <c:v>2.9459836292661898</c:v>
                </c:pt>
                <c:pt idx="802">
                  <c:v>2.9434211385642999</c:v>
                </c:pt>
                <c:pt idx="803">
                  <c:v>2.9579036596222901</c:v>
                </c:pt>
                <c:pt idx="804">
                  <c:v>2.9521841683379799</c:v>
                </c:pt>
                <c:pt idx="805">
                  <c:v>2.9754379839911</c:v>
                </c:pt>
                <c:pt idx="806">
                  <c:v>2.9872522998797399</c:v>
                </c:pt>
                <c:pt idx="807">
                  <c:v>2.98848658732518</c:v>
                </c:pt>
                <c:pt idx="808">
                  <c:v>2.9888184739283199</c:v>
                </c:pt>
                <c:pt idx="809">
                  <c:v>2.9892849947998599</c:v>
                </c:pt>
                <c:pt idx="810">
                  <c:v>3.00413645282342</c:v>
                </c:pt>
                <c:pt idx="811">
                  <c:v>3.0263710063379499</c:v>
                </c:pt>
                <c:pt idx="812">
                  <c:v>3.0312472810214799</c:v>
                </c:pt>
                <c:pt idx="813">
                  <c:v>3.0229229044675501</c:v>
                </c:pt>
                <c:pt idx="814">
                  <c:v>3.0430733648216299</c:v>
                </c:pt>
                <c:pt idx="815">
                  <c:v>3.06422921818716</c:v>
                </c:pt>
                <c:pt idx="816">
                  <c:v>3.0757804352330398</c:v>
                </c:pt>
                <c:pt idx="817">
                  <c:v>3.0670748883885399</c:v>
                </c:pt>
                <c:pt idx="818">
                  <c:v>3.0750096714435</c:v>
                </c:pt>
                <c:pt idx="819">
                  <c:v>3.0873457900297101</c:v>
                </c:pt>
                <c:pt idx="820">
                  <c:v>3.1163194767203199</c:v>
                </c:pt>
                <c:pt idx="821">
                  <c:v>3.1081502128070002</c:v>
                </c:pt>
                <c:pt idx="822">
                  <c:v>3.1144376008082499</c:v>
                </c:pt>
                <c:pt idx="823">
                  <c:v>3.12256161479183</c:v>
                </c:pt>
                <c:pt idx="824">
                  <c:v>3.1401524667704499</c:v>
                </c:pt>
                <c:pt idx="825">
                  <c:v>3.1496035474360702</c:v>
                </c:pt>
                <c:pt idx="826">
                  <c:v>3.15446812614032</c:v>
                </c:pt>
                <c:pt idx="827">
                  <c:v>3.18006501931057</c:v>
                </c:pt>
                <c:pt idx="828">
                  <c:v>3.1668595401147202</c:v>
                </c:pt>
                <c:pt idx="829">
                  <c:v>3.1697099933308199</c:v>
                </c:pt>
                <c:pt idx="830">
                  <c:v>3.1887607718360198</c:v>
                </c:pt>
                <c:pt idx="831">
                  <c:v>3.1865460147454301</c:v>
                </c:pt>
                <c:pt idx="832">
                  <c:v>3.21338102623058</c:v>
                </c:pt>
                <c:pt idx="833">
                  <c:v>3.2210276005632101</c:v>
                </c:pt>
                <c:pt idx="834">
                  <c:v>3.2063930726247301</c:v>
                </c:pt>
                <c:pt idx="835">
                  <c:v>3.2103200357961401</c:v>
                </c:pt>
                <c:pt idx="836">
                  <c:v>3.2296691061256899</c:v>
                </c:pt>
                <c:pt idx="837">
                  <c:v>3.2358562424468098</c:v>
                </c:pt>
                <c:pt idx="838">
                  <c:v>3.2434733307912902</c:v>
                </c:pt>
                <c:pt idx="839">
                  <c:v>3.2330583742627201</c:v>
                </c:pt>
                <c:pt idx="840">
                  <c:v>3.2488229061507199</c:v>
                </c:pt>
                <c:pt idx="841">
                  <c:v>3.2725505001692401</c:v>
                </c:pt>
                <c:pt idx="842">
                  <c:v>3.2723779321368802</c:v>
                </c:pt>
                <c:pt idx="843">
                  <c:v>3.28685791230378</c:v>
                </c:pt>
                <c:pt idx="844">
                  <c:v>3.28496164158476</c:v>
                </c:pt>
                <c:pt idx="845">
                  <c:v>3.2650240509996098</c:v>
                </c:pt>
                <c:pt idx="846">
                  <c:v>3.2945820852217</c:v>
                </c:pt>
                <c:pt idx="847">
                  <c:v>3.2948813744878498</c:v>
                </c:pt>
                <c:pt idx="848">
                  <c:v>3.32690533796836</c:v>
                </c:pt>
                <c:pt idx="849">
                  <c:v>3.3238870835640899</c:v>
                </c:pt>
                <c:pt idx="850">
                  <c:v>3.3203099515719399</c:v>
                </c:pt>
                <c:pt idx="851">
                  <c:v>3.3373763138144898</c:v>
                </c:pt>
                <c:pt idx="852">
                  <c:v>3.33782959496091</c:v>
                </c:pt>
                <c:pt idx="853">
                  <c:v>3.3387722639104802</c:v>
                </c:pt>
                <c:pt idx="854">
                  <c:v>3.3476538362399202</c:v>
                </c:pt>
                <c:pt idx="855">
                  <c:v>3.37208289295073</c:v>
                </c:pt>
                <c:pt idx="856">
                  <c:v>3.3827778902294598</c:v>
                </c:pt>
                <c:pt idx="857">
                  <c:v>3.3940496787737802</c:v>
                </c:pt>
                <c:pt idx="858">
                  <c:v>3.3825455051126001</c:v>
                </c:pt>
                <c:pt idx="859">
                  <c:v>3.3996359844536599</c:v>
                </c:pt>
                <c:pt idx="860">
                  <c:v>3.4179138469870298</c:v>
                </c:pt>
                <c:pt idx="861">
                  <c:v>3.4324689878435</c:v>
                </c:pt>
                <c:pt idx="862">
                  <c:v>3.4397274573905698</c:v>
                </c:pt>
                <c:pt idx="863">
                  <c:v>3.4648848864352799</c:v>
                </c:pt>
                <c:pt idx="864">
                  <c:v>3.44733972775084</c:v>
                </c:pt>
                <c:pt idx="865">
                  <c:v>3.4553210298533101</c:v>
                </c:pt>
                <c:pt idx="866">
                  <c:v>3.4653841596327002</c:v>
                </c:pt>
                <c:pt idx="867">
                  <c:v>3.4863827892541899</c:v>
                </c:pt>
                <c:pt idx="868">
                  <c:v>3.49249934652086</c:v>
                </c:pt>
                <c:pt idx="869">
                  <c:v>3.5079208812612701</c:v>
                </c:pt>
                <c:pt idx="870">
                  <c:v>3.5258811172133702</c:v>
                </c:pt>
                <c:pt idx="871">
                  <c:v>3.52797384411403</c:v>
                </c:pt>
                <c:pt idx="872">
                  <c:v>3.5119343989619098</c:v>
                </c:pt>
                <c:pt idx="873">
                  <c:v>3.5263590836945098</c:v>
                </c:pt>
                <c:pt idx="874">
                  <c:v>3.5246422382579898</c:v>
                </c:pt>
                <c:pt idx="875">
                  <c:v>3.5650049724797799</c:v>
                </c:pt>
                <c:pt idx="876">
                  <c:v>3.53887133852716</c:v>
                </c:pt>
                <c:pt idx="877">
                  <c:v>3.5410770615016398</c:v>
                </c:pt>
                <c:pt idx="878">
                  <c:v>3.5668530451351699</c:v>
                </c:pt>
                <c:pt idx="879">
                  <c:v>3.57252073375339</c:v>
                </c:pt>
                <c:pt idx="880">
                  <c:v>3.5894907259406899</c:v>
                </c:pt>
                <c:pt idx="881">
                  <c:v>3.60877409548922</c:v>
                </c:pt>
                <c:pt idx="882">
                  <c:v>3.6058790160459102</c:v>
                </c:pt>
                <c:pt idx="883">
                  <c:v>3.6334588496048599</c:v>
                </c:pt>
                <c:pt idx="884">
                  <c:v>3.64165225839889</c:v>
                </c:pt>
                <c:pt idx="885">
                  <c:v>3.65619973456961</c:v>
                </c:pt>
                <c:pt idx="886">
                  <c:v>3.6374970597623202</c:v>
                </c:pt>
                <c:pt idx="887">
                  <c:v>3.6443107993541801</c:v>
                </c:pt>
                <c:pt idx="888">
                  <c:v>3.6577470238943399</c:v>
                </c:pt>
                <c:pt idx="889">
                  <c:v>3.6680524468151399</c:v>
                </c:pt>
                <c:pt idx="890">
                  <c:v>3.6613166497426701</c:v>
                </c:pt>
                <c:pt idx="891">
                  <c:v>3.6776070526174101</c:v>
                </c:pt>
                <c:pt idx="892">
                  <c:v>3.6818502695292299</c:v>
                </c:pt>
                <c:pt idx="893">
                  <c:v>3.70445450859979</c:v>
                </c:pt>
                <c:pt idx="894">
                  <c:v>3.7184523308008299</c:v>
                </c:pt>
                <c:pt idx="895">
                  <c:v>3.7245764270626398</c:v>
                </c:pt>
                <c:pt idx="896">
                  <c:v>3.7227301187733199</c:v>
                </c:pt>
                <c:pt idx="897">
                  <c:v>3.7313659179666199</c:v>
                </c:pt>
                <c:pt idx="898">
                  <c:v>3.7559439136379802</c:v>
                </c:pt>
                <c:pt idx="899">
                  <c:v>3.7583788449781101</c:v>
                </c:pt>
                <c:pt idx="900">
                  <c:v>3.7566889924204698</c:v>
                </c:pt>
                <c:pt idx="901">
                  <c:v>3.7647867923328202</c:v>
                </c:pt>
                <c:pt idx="902">
                  <c:v>3.76535189236106</c:v>
                </c:pt>
                <c:pt idx="903">
                  <c:v>3.7870220110971098</c:v>
                </c:pt>
                <c:pt idx="904">
                  <c:v>3.8066738556417601</c:v>
                </c:pt>
                <c:pt idx="905">
                  <c:v>3.80573058573626</c:v>
                </c:pt>
                <c:pt idx="906">
                  <c:v>3.8154127931169302</c:v>
                </c:pt>
                <c:pt idx="907">
                  <c:v>3.8438066096933099</c:v>
                </c:pt>
                <c:pt idx="908">
                  <c:v>3.8167135000543699</c:v>
                </c:pt>
                <c:pt idx="909">
                  <c:v>3.8501113727936902</c:v>
                </c:pt>
                <c:pt idx="910">
                  <c:v>3.8461460519746802</c:v>
                </c:pt>
                <c:pt idx="911">
                  <c:v>3.85388657973014</c:v>
                </c:pt>
                <c:pt idx="912">
                  <c:v>3.8570840592861502</c:v>
                </c:pt>
                <c:pt idx="913">
                  <c:v>3.8841485373372699</c:v>
                </c:pt>
                <c:pt idx="914">
                  <c:v>3.8719175347700201</c:v>
                </c:pt>
                <c:pt idx="915">
                  <c:v>3.8881063622440499</c:v>
                </c:pt>
                <c:pt idx="916">
                  <c:v>3.9131792370887299</c:v>
                </c:pt>
                <c:pt idx="917">
                  <c:v>3.9187097170179999</c:v>
                </c:pt>
                <c:pt idx="918">
                  <c:v>3.9345651745334198</c:v>
                </c:pt>
                <c:pt idx="919">
                  <c:v>3.9409255955153499</c:v>
                </c:pt>
                <c:pt idx="920">
                  <c:v>3.9300919221236201</c:v>
                </c:pt>
                <c:pt idx="921">
                  <c:v>3.93026124019956</c:v>
                </c:pt>
                <c:pt idx="922">
                  <c:v>3.95648970424857</c:v>
                </c:pt>
                <c:pt idx="923">
                  <c:v>3.9722191973346899</c:v>
                </c:pt>
                <c:pt idx="924">
                  <c:v>3.9693555424707201</c:v>
                </c:pt>
                <c:pt idx="925">
                  <c:v>3.9560752495567599</c:v>
                </c:pt>
                <c:pt idx="926">
                  <c:v>3.9811816748912299</c:v>
                </c:pt>
                <c:pt idx="927">
                  <c:v>3.9908003991371901</c:v>
                </c:pt>
                <c:pt idx="928">
                  <c:v>4.0063165217011099</c:v>
                </c:pt>
                <c:pt idx="929">
                  <c:v>3.9845473764712298</c:v>
                </c:pt>
                <c:pt idx="930">
                  <c:v>4.0142903304020301</c:v>
                </c:pt>
                <c:pt idx="931">
                  <c:v>4.0235498296968402</c:v>
                </c:pt>
                <c:pt idx="932">
                  <c:v>4.0394521415571099</c:v>
                </c:pt>
                <c:pt idx="933">
                  <c:v>4.0459323950949404</c:v>
                </c:pt>
                <c:pt idx="934">
                  <c:v>4.0679453179458704</c:v>
                </c:pt>
                <c:pt idx="935">
                  <c:v>4.0728107194702501</c:v>
                </c:pt>
                <c:pt idx="936">
                  <c:v>4.08424406660993</c:v>
                </c:pt>
                <c:pt idx="937">
                  <c:v>4.0659662230696103</c:v>
                </c:pt>
                <c:pt idx="938">
                  <c:v>4.08081637943536</c:v>
                </c:pt>
                <c:pt idx="939">
                  <c:v>4.1139940535512798</c:v>
                </c:pt>
                <c:pt idx="940">
                  <c:v>4.0895905130050298</c:v>
                </c:pt>
                <c:pt idx="941">
                  <c:v>4.12073836432499</c:v>
                </c:pt>
                <c:pt idx="942">
                  <c:v>4.1367459039590502</c:v>
                </c:pt>
                <c:pt idx="943">
                  <c:v>4.1399139606060604</c:v>
                </c:pt>
                <c:pt idx="944">
                  <c:v>4.1384950061753498</c:v>
                </c:pt>
                <c:pt idx="945">
                  <c:v>4.1581002955289499</c:v>
                </c:pt>
                <c:pt idx="946">
                  <c:v>4.1715692454909501</c:v>
                </c:pt>
                <c:pt idx="947">
                  <c:v>4.1729637314359804</c:v>
                </c:pt>
                <c:pt idx="948">
                  <c:v>4.1747512223109702</c:v>
                </c:pt>
                <c:pt idx="949">
                  <c:v>4.1930686421591004</c:v>
                </c:pt>
                <c:pt idx="950">
                  <c:v>4.2005172688445898</c:v>
                </c:pt>
                <c:pt idx="951">
                  <c:v>4.2259814965220102</c:v>
                </c:pt>
                <c:pt idx="952">
                  <c:v>4.2266732667277997</c:v>
                </c:pt>
                <c:pt idx="953">
                  <c:v>4.2426585026831303</c:v>
                </c:pt>
                <c:pt idx="954">
                  <c:v>4.2489205479537802</c:v>
                </c:pt>
                <c:pt idx="955">
                  <c:v>4.2193386557545196</c:v>
                </c:pt>
                <c:pt idx="956">
                  <c:v>4.2517665288169901</c:v>
                </c:pt>
                <c:pt idx="957">
                  <c:v>4.2705371394396101</c:v>
                </c:pt>
                <c:pt idx="958">
                  <c:v>4.3005922367723697</c:v>
                </c:pt>
                <c:pt idx="959">
                  <c:v>4.2877115130509598</c:v>
                </c:pt>
                <c:pt idx="960">
                  <c:v>4.2923211812772202</c:v>
                </c:pt>
                <c:pt idx="961">
                  <c:v>4.3064558971147298</c:v>
                </c:pt>
                <c:pt idx="962">
                  <c:v>4.2950402929455596</c:v>
                </c:pt>
                <c:pt idx="963">
                  <c:v>4.3285646927970696</c:v>
                </c:pt>
                <c:pt idx="964">
                  <c:v>4.3339464745476803</c:v>
                </c:pt>
                <c:pt idx="965">
                  <c:v>4.3147481335792497</c:v>
                </c:pt>
                <c:pt idx="966">
                  <c:v>4.3406148797243604</c:v>
                </c:pt>
                <c:pt idx="967">
                  <c:v>4.3479287458879901</c:v>
                </c:pt>
                <c:pt idx="968">
                  <c:v>4.3569436570411897</c:v>
                </c:pt>
                <c:pt idx="969">
                  <c:v>4.3769543786249496</c:v>
                </c:pt>
                <c:pt idx="970">
                  <c:v>4.3868793692336299</c:v>
                </c:pt>
                <c:pt idx="971">
                  <c:v>4.3904378696015298</c:v>
                </c:pt>
                <c:pt idx="972">
                  <c:v>4.4138048838101502</c:v>
                </c:pt>
                <c:pt idx="973">
                  <c:v>4.4095389425345797</c:v>
                </c:pt>
                <c:pt idx="974">
                  <c:v>4.3941468551635099</c:v>
                </c:pt>
                <c:pt idx="975">
                  <c:v>4.4149648663636301</c:v>
                </c:pt>
                <c:pt idx="976">
                  <c:v>4.4486168650967199</c:v>
                </c:pt>
                <c:pt idx="977">
                  <c:v>4.4282050509885504</c:v>
                </c:pt>
                <c:pt idx="978">
                  <c:v>4.4522984525188001</c:v>
                </c:pt>
                <c:pt idx="979">
                  <c:v>4.455647030043</c:v>
                </c:pt>
                <c:pt idx="980">
                  <c:v>4.4734154516049003</c:v>
                </c:pt>
                <c:pt idx="981">
                  <c:v>4.4825820920096504</c:v>
                </c:pt>
                <c:pt idx="982">
                  <c:v>4.4839532173055501</c:v>
                </c:pt>
                <c:pt idx="983">
                  <c:v>4.5056561128891497</c:v>
                </c:pt>
                <c:pt idx="984">
                  <c:v>4.5017132659229997</c:v>
                </c:pt>
                <c:pt idx="985">
                  <c:v>4.5223904021503802</c:v>
                </c:pt>
                <c:pt idx="986">
                  <c:v>4.5275409397619404</c:v>
                </c:pt>
                <c:pt idx="987">
                  <c:v>4.5284064442550704</c:v>
                </c:pt>
                <c:pt idx="988">
                  <c:v>4.54715252629813</c:v>
                </c:pt>
                <c:pt idx="989">
                  <c:v>4.57363171775852</c:v>
                </c:pt>
                <c:pt idx="990">
                  <c:v>4.5671243212945303</c:v>
                </c:pt>
                <c:pt idx="991">
                  <c:v>4.5649714507189003</c:v>
                </c:pt>
                <c:pt idx="992">
                  <c:v>4.5602555482232896</c:v>
                </c:pt>
                <c:pt idx="993">
                  <c:v>4.5734649182810401</c:v>
                </c:pt>
                <c:pt idx="994">
                  <c:v>4.5670184986087401</c:v>
                </c:pt>
                <c:pt idx="995">
                  <c:v>4.5845114543649004</c:v>
                </c:pt>
                <c:pt idx="996">
                  <c:v>4.5967058489983499</c:v>
                </c:pt>
                <c:pt idx="997">
                  <c:v>4.6047370496625897</c:v>
                </c:pt>
                <c:pt idx="998">
                  <c:v>4.6196130941625002</c:v>
                </c:pt>
                <c:pt idx="999">
                  <c:v>4.6440838418845196</c:v>
                </c:pt>
                <c:pt idx="1000">
                  <c:v>4.6607957442200201</c:v>
                </c:pt>
                <c:pt idx="1001">
                  <c:v>4.6793444543910701</c:v>
                </c:pt>
                <c:pt idx="1002">
                  <c:v>4.6729224968979803</c:v>
                </c:pt>
                <c:pt idx="1003">
                  <c:v>4.6702146662685502</c:v>
                </c:pt>
                <c:pt idx="1004">
                  <c:v>4.6715355301585504</c:v>
                </c:pt>
                <c:pt idx="1005">
                  <c:v>4.7026509254900803</c:v>
                </c:pt>
                <c:pt idx="1006">
                  <c:v>4.7060708075683602</c:v>
                </c:pt>
                <c:pt idx="1007">
                  <c:v>4.7275938653459404</c:v>
                </c:pt>
                <c:pt idx="1008">
                  <c:v>4.7183137054178097</c:v>
                </c:pt>
                <c:pt idx="1009">
                  <c:v>4.73548460899777</c:v>
                </c:pt>
                <c:pt idx="1010">
                  <c:v>4.7688972697715997</c:v>
                </c:pt>
                <c:pt idx="1011">
                  <c:v>4.7735141753875698</c:v>
                </c:pt>
                <c:pt idx="1012">
                  <c:v>4.7798308356370303</c:v>
                </c:pt>
                <c:pt idx="1013">
                  <c:v>4.7836410422461704</c:v>
                </c:pt>
                <c:pt idx="1014">
                  <c:v>4.7927013110872796</c:v>
                </c:pt>
                <c:pt idx="1015">
                  <c:v>4.7889294041607702</c:v>
                </c:pt>
                <c:pt idx="1016">
                  <c:v>4.8153876733694698</c:v>
                </c:pt>
                <c:pt idx="1017">
                  <c:v>4.8314906938816504</c:v>
                </c:pt>
                <c:pt idx="1018">
                  <c:v>4.8331932716603401</c:v>
                </c:pt>
                <c:pt idx="1019">
                  <c:v>4.8256817054301999</c:v>
                </c:pt>
                <c:pt idx="1020">
                  <c:v>4.83792667177564</c:v>
                </c:pt>
                <c:pt idx="1021">
                  <c:v>4.8755921559559798</c:v>
                </c:pt>
                <c:pt idx="1022">
                  <c:v>4.8875259442575496</c:v>
                </c:pt>
                <c:pt idx="1023">
                  <c:v>4.8632170515310102</c:v>
                </c:pt>
                <c:pt idx="1024">
                  <c:v>4.8942045462494903</c:v>
                </c:pt>
                <c:pt idx="1025">
                  <c:v>4.8581009801609403</c:v>
                </c:pt>
                <c:pt idx="1026">
                  <c:v>4.8588127073869902</c:v>
                </c:pt>
                <c:pt idx="1027">
                  <c:v>4.8758096953746497</c:v>
                </c:pt>
                <c:pt idx="1028">
                  <c:v>4.9094603105729098</c:v>
                </c:pt>
                <c:pt idx="1029">
                  <c:v>4.9122965477702696</c:v>
                </c:pt>
                <c:pt idx="1030">
                  <c:v>4.9310406107559004</c:v>
                </c:pt>
                <c:pt idx="1031">
                  <c:v>4.9359056140867903</c:v>
                </c:pt>
                <c:pt idx="1032">
                  <c:v>4.9386314641465203</c:v>
                </c:pt>
                <c:pt idx="1033">
                  <c:v>4.9670087910532397</c:v>
                </c:pt>
                <c:pt idx="1034">
                  <c:v>4.9626323246963002</c:v>
                </c:pt>
                <c:pt idx="1035">
                  <c:v>4.9878019631906803</c:v>
                </c:pt>
                <c:pt idx="1036">
                  <c:v>5.0009721755634304</c:v>
                </c:pt>
                <c:pt idx="1037">
                  <c:v>5.0004810612633399</c:v>
                </c:pt>
                <c:pt idx="1038">
                  <c:v>5.0180119456525203</c:v>
                </c:pt>
                <c:pt idx="1039">
                  <c:v>5.0109873139793404</c:v>
                </c:pt>
                <c:pt idx="1040">
                  <c:v>5.0238578631203303</c:v>
                </c:pt>
                <c:pt idx="1041">
                  <c:v>5.0334676828640497</c:v>
                </c:pt>
                <c:pt idx="1042">
                  <c:v>5.0518180184508399</c:v>
                </c:pt>
                <c:pt idx="1043">
                  <c:v>5.0515848276738504</c:v>
                </c:pt>
                <c:pt idx="1044">
                  <c:v>5.0762658558238902</c:v>
                </c:pt>
                <c:pt idx="1045">
                  <c:v>5.0838597811102</c:v>
                </c:pt>
                <c:pt idx="1046">
                  <c:v>5.0977307347306802</c:v>
                </c:pt>
                <c:pt idx="1047">
                  <c:v>5.1037852534832204</c:v>
                </c:pt>
                <c:pt idx="1048">
                  <c:v>5.1072962265844</c:v>
                </c:pt>
                <c:pt idx="1049">
                  <c:v>5.1002131839773401</c:v>
                </c:pt>
                <c:pt idx="1050">
                  <c:v>5.1195581029564803</c:v>
                </c:pt>
                <c:pt idx="1051">
                  <c:v>5.1544055142568697</c:v>
                </c:pt>
                <c:pt idx="1052">
                  <c:v>5.1162112140457303</c:v>
                </c:pt>
                <c:pt idx="1053">
                  <c:v>5.1418839099225302</c:v>
                </c:pt>
                <c:pt idx="1054">
                  <c:v>5.1511485446464302</c:v>
                </c:pt>
                <c:pt idx="1055">
                  <c:v>5.1745612828846301</c:v>
                </c:pt>
                <c:pt idx="1056">
                  <c:v>5.1792114011180299</c:v>
                </c:pt>
                <c:pt idx="1057">
                  <c:v>5.1791500772736603</c:v>
                </c:pt>
                <c:pt idx="1058">
                  <c:v>5.2077971523641899</c:v>
                </c:pt>
                <c:pt idx="1059">
                  <c:v>5.21824905733133</c:v>
                </c:pt>
                <c:pt idx="1060">
                  <c:v>5.2201203083488403</c:v>
                </c:pt>
                <c:pt idx="1061">
                  <c:v>5.2205646977562896</c:v>
                </c:pt>
                <c:pt idx="1062">
                  <c:v>5.2487051668645597</c:v>
                </c:pt>
                <c:pt idx="1063">
                  <c:v>5.2621117269688904</c:v>
                </c:pt>
                <c:pt idx="1064">
                  <c:v>5.2300890006254699</c:v>
                </c:pt>
                <c:pt idx="1065">
                  <c:v>5.2560508870376799</c:v>
                </c:pt>
                <c:pt idx="1066">
                  <c:v>5.2800054687511597</c:v>
                </c:pt>
                <c:pt idx="1067">
                  <c:v>5.2621505318988904</c:v>
                </c:pt>
                <c:pt idx="1068">
                  <c:v>5.3098758990107902</c:v>
                </c:pt>
                <c:pt idx="1069">
                  <c:v>5.2946591697526699</c:v>
                </c:pt>
                <c:pt idx="1070">
                  <c:v>5.3235918101389297</c:v>
                </c:pt>
                <c:pt idx="1071">
                  <c:v>5.3372226774684801</c:v>
                </c:pt>
                <c:pt idx="1072">
                  <c:v>5.3359764576717499</c:v>
                </c:pt>
                <c:pt idx="1073">
                  <c:v>5.3574981609825203</c:v>
                </c:pt>
                <c:pt idx="1074">
                  <c:v>5.3626408962003396</c:v>
                </c:pt>
                <c:pt idx="1075">
                  <c:v>5.3647952630504001</c:v>
                </c:pt>
                <c:pt idx="1076">
                  <c:v>5.3641351798523296</c:v>
                </c:pt>
                <c:pt idx="1077">
                  <c:v>5.3989336570961397</c:v>
                </c:pt>
                <c:pt idx="1078">
                  <c:v>5.4197800436753596</c:v>
                </c:pt>
                <c:pt idx="1079">
                  <c:v>5.42762517218104</c:v>
                </c:pt>
                <c:pt idx="1080">
                  <c:v>5.4371352556978598</c:v>
                </c:pt>
                <c:pt idx="1081">
                  <c:v>5.4251031481062002</c:v>
                </c:pt>
                <c:pt idx="1082">
                  <c:v>5.4486569101989</c:v>
                </c:pt>
                <c:pt idx="1083">
                  <c:v>5.4634096346857</c:v>
                </c:pt>
                <c:pt idx="1084">
                  <c:v>5.4632454318871604</c:v>
                </c:pt>
                <c:pt idx="1085">
                  <c:v>5.4652922308766003</c:v>
                </c:pt>
                <c:pt idx="1086">
                  <c:v>5.4632513571915604</c:v>
                </c:pt>
                <c:pt idx="1087">
                  <c:v>5.4765528643735903</c:v>
                </c:pt>
                <c:pt idx="1088">
                  <c:v>5.4915580918737499</c:v>
                </c:pt>
                <c:pt idx="1089">
                  <c:v>5.5022101625062101</c:v>
                </c:pt>
                <c:pt idx="1090">
                  <c:v>5.4887112751841904</c:v>
                </c:pt>
                <c:pt idx="1091">
                  <c:v>5.5188302068524697</c:v>
                </c:pt>
                <c:pt idx="1092">
                  <c:v>5.53650208938903</c:v>
                </c:pt>
                <c:pt idx="1093">
                  <c:v>5.5434524550151503</c:v>
                </c:pt>
                <c:pt idx="1094">
                  <c:v>5.5809256627830601</c:v>
                </c:pt>
                <c:pt idx="1095">
                  <c:v>5.5491348089994998</c:v>
                </c:pt>
                <c:pt idx="1096">
                  <c:v>5.5749420527724496</c:v>
                </c:pt>
                <c:pt idx="1097">
                  <c:v>5.6087424128839896</c:v>
                </c:pt>
                <c:pt idx="1098">
                  <c:v>5.6084760326295298</c:v>
                </c:pt>
                <c:pt idx="1099">
                  <c:v>5.6297306442106496</c:v>
                </c:pt>
                <c:pt idx="1100">
                  <c:v>5.6283785721919104</c:v>
                </c:pt>
                <c:pt idx="1101">
                  <c:v>5.6318434906076797</c:v>
                </c:pt>
                <c:pt idx="1102">
                  <c:v>5.6433348280803104</c:v>
                </c:pt>
                <c:pt idx="1103">
                  <c:v>5.6688731613046297</c:v>
                </c:pt>
                <c:pt idx="1104">
                  <c:v>5.6632971579109501</c:v>
                </c:pt>
                <c:pt idx="1105">
                  <c:v>5.6797640022981604</c:v>
                </c:pt>
                <c:pt idx="1106">
                  <c:v>5.6784113640656999</c:v>
                </c:pt>
                <c:pt idx="1107">
                  <c:v>5.6852074156491597</c:v>
                </c:pt>
                <c:pt idx="1108">
                  <c:v>5.6948391689849798</c:v>
                </c:pt>
                <c:pt idx="1109">
                  <c:v>5.7449831991024798</c:v>
                </c:pt>
                <c:pt idx="1110">
                  <c:v>5.7224561065633397</c:v>
                </c:pt>
                <c:pt idx="1111">
                  <c:v>5.7401070046229297</c:v>
                </c:pt>
                <c:pt idx="1112">
                  <c:v>5.7428488068357604</c:v>
                </c:pt>
                <c:pt idx="1113">
                  <c:v>5.7298939322194604</c:v>
                </c:pt>
                <c:pt idx="1114">
                  <c:v>5.6695780986786399</c:v>
                </c:pt>
                <c:pt idx="1115">
                  <c:v>5.7196498347168001</c:v>
                </c:pt>
                <c:pt idx="1116">
                  <c:v>5.7152548900174303</c:v>
                </c:pt>
                <c:pt idx="1117">
                  <c:v>5.7505067014395701</c:v>
                </c:pt>
                <c:pt idx="1118">
                  <c:v>5.7516299455887099</c:v>
                </c:pt>
                <c:pt idx="1119">
                  <c:v>5.77080524885565</c:v>
                </c:pt>
                <c:pt idx="1120">
                  <c:v>5.7850628792395904</c:v>
                </c:pt>
                <c:pt idx="1121">
                  <c:v>5.7853161048292501</c:v>
                </c:pt>
                <c:pt idx="1122">
                  <c:v>5.8156366432957398</c:v>
                </c:pt>
                <c:pt idx="1123">
                  <c:v>5.8179136004337204</c:v>
                </c:pt>
                <c:pt idx="1124">
                  <c:v>5.8301744627042202</c:v>
                </c:pt>
                <c:pt idx="1125">
                  <c:v>5.8416295704133203</c:v>
                </c:pt>
                <c:pt idx="1126">
                  <c:v>5.8570154549424496</c:v>
                </c:pt>
                <c:pt idx="1127">
                  <c:v>5.8668576692798098</c:v>
                </c:pt>
                <c:pt idx="1128">
                  <c:v>5.8699653429361103</c:v>
                </c:pt>
                <c:pt idx="1129">
                  <c:v>5.9062994880101298</c:v>
                </c:pt>
                <c:pt idx="1130">
                  <c:v>5.9369299280974799</c:v>
                </c:pt>
                <c:pt idx="1131">
                  <c:v>5.9092205281030097</c:v>
                </c:pt>
                <c:pt idx="1132">
                  <c:v>5.9274600980131202</c:v>
                </c:pt>
                <c:pt idx="1133">
                  <c:v>5.9585029042126498</c:v>
                </c:pt>
                <c:pt idx="1134">
                  <c:v>5.9670861019136296</c:v>
                </c:pt>
                <c:pt idx="1135">
                  <c:v>5.9602577263011103</c:v>
                </c:pt>
                <c:pt idx="1136">
                  <c:v>5.9710958191727297</c:v>
                </c:pt>
                <c:pt idx="1137">
                  <c:v>5.9660910807805596</c:v>
                </c:pt>
                <c:pt idx="1138">
                  <c:v>5.9859950676493101</c:v>
                </c:pt>
                <c:pt idx="1139">
                  <c:v>6.01942247567683</c:v>
                </c:pt>
                <c:pt idx="1140">
                  <c:v>5.9765368254772397</c:v>
                </c:pt>
                <c:pt idx="1141">
                  <c:v>5.9959079968255198</c:v>
                </c:pt>
                <c:pt idx="1142">
                  <c:v>6.0058685287698097</c:v>
                </c:pt>
                <c:pt idx="1143">
                  <c:v>6.0280164698813703</c:v>
                </c:pt>
                <c:pt idx="1144">
                  <c:v>6.0444761099007902</c:v>
                </c:pt>
                <c:pt idx="1145">
                  <c:v>6.03809499551586</c:v>
                </c:pt>
                <c:pt idx="1146">
                  <c:v>6.0780471153924802</c:v>
                </c:pt>
                <c:pt idx="1147">
                  <c:v>6.0730722252439699</c:v>
                </c:pt>
                <c:pt idx="1148">
                  <c:v>6.1047132461843603</c:v>
                </c:pt>
                <c:pt idx="1149">
                  <c:v>6.1025916592288496</c:v>
                </c:pt>
                <c:pt idx="1150">
                  <c:v>6.1241173740383799</c:v>
                </c:pt>
                <c:pt idx="1151">
                  <c:v>6.0919120454684998</c:v>
                </c:pt>
                <c:pt idx="1152">
                  <c:v>6.1116645409340702</c:v>
                </c:pt>
                <c:pt idx="1153">
                  <c:v>6.1456230411421897</c:v>
                </c:pt>
                <c:pt idx="1154">
                  <c:v>6.1453905527822403</c:v>
                </c:pt>
                <c:pt idx="1155">
                  <c:v>6.13982394987916</c:v>
                </c:pt>
                <c:pt idx="1156">
                  <c:v>6.16017768511065</c:v>
                </c:pt>
                <c:pt idx="1157">
                  <c:v>6.1759783106094801</c:v>
                </c:pt>
                <c:pt idx="1158">
                  <c:v>6.2146663990353996</c:v>
                </c:pt>
                <c:pt idx="1159">
                  <c:v>6.1763059507399198</c:v>
                </c:pt>
                <c:pt idx="1160">
                  <c:v>6.21750351567582</c:v>
                </c:pt>
                <c:pt idx="1161">
                  <c:v>6.1962457777001996</c:v>
                </c:pt>
                <c:pt idx="1162">
                  <c:v>6.1962108082230598</c:v>
                </c:pt>
                <c:pt idx="1163">
                  <c:v>6.1886558521259101</c:v>
                </c:pt>
                <c:pt idx="1164">
                  <c:v>6.2379778797617096</c:v>
                </c:pt>
                <c:pt idx="1165">
                  <c:v>6.2583560508379996</c:v>
                </c:pt>
                <c:pt idx="1166">
                  <c:v>6.2600559080655103</c:v>
                </c:pt>
                <c:pt idx="1167">
                  <c:v>6.2898197435786303</c:v>
                </c:pt>
                <c:pt idx="1168">
                  <c:v>6.2922250837924301</c:v>
                </c:pt>
                <c:pt idx="1169">
                  <c:v>6.2998704910113501</c:v>
                </c:pt>
                <c:pt idx="1170">
                  <c:v>6.26877637190481</c:v>
                </c:pt>
                <c:pt idx="1171">
                  <c:v>6.3304080995366698</c:v>
                </c:pt>
                <c:pt idx="1172">
                  <c:v>6.3348017804088199</c:v>
                </c:pt>
                <c:pt idx="1173">
                  <c:v>6.3273898703652103</c:v>
                </c:pt>
                <c:pt idx="1174">
                  <c:v>6.3598054471759804</c:v>
                </c:pt>
                <c:pt idx="1175">
                  <c:v>6.3718095805275201</c:v>
                </c:pt>
                <c:pt idx="1176">
                  <c:v>6.3603647009530597</c:v>
                </c:pt>
                <c:pt idx="1177">
                  <c:v>6.3707126034740797</c:v>
                </c:pt>
                <c:pt idx="1178">
                  <c:v>6.3782352985282804</c:v>
                </c:pt>
                <c:pt idx="1179">
                  <c:v>6.4024122471984999</c:v>
                </c:pt>
                <c:pt idx="1180">
                  <c:v>6.4019169375902703</c:v>
                </c:pt>
                <c:pt idx="1181">
                  <c:v>6.40787488263845</c:v>
                </c:pt>
                <c:pt idx="1182">
                  <c:v>6.4301498906750396</c:v>
                </c:pt>
                <c:pt idx="1183">
                  <c:v>6.43922320841929</c:v>
                </c:pt>
                <c:pt idx="1184">
                  <c:v>6.4689710917481804</c:v>
                </c:pt>
                <c:pt idx="1185">
                  <c:v>6.45202153761507</c:v>
                </c:pt>
                <c:pt idx="1186">
                  <c:v>6.4871258109903103</c:v>
                </c:pt>
                <c:pt idx="1187">
                  <c:v>6.5102746399823399</c:v>
                </c:pt>
                <c:pt idx="1188">
                  <c:v>6.5166361405436399</c:v>
                </c:pt>
                <c:pt idx="1189">
                  <c:v>6.5273367068209298</c:v>
                </c:pt>
                <c:pt idx="1190">
                  <c:v>6.5362102256534396</c:v>
                </c:pt>
                <c:pt idx="1191">
                  <c:v>6.54641735657344</c:v>
                </c:pt>
                <c:pt idx="1192">
                  <c:v>6.5488682034568297</c:v>
                </c:pt>
                <c:pt idx="1193">
                  <c:v>6.5686799474845801</c:v>
                </c:pt>
                <c:pt idx="1194">
                  <c:v>6.5356452293052198</c:v>
                </c:pt>
                <c:pt idx="1195">
                  <c:v>6.5763731800567999</c:v>
                </c:pt>
                <c:pt idx="1196">
                  <c:v>6.5826086096056597</c:v>
                </c:pt>
                <c:pt idx="1197">
                  <c:v>6.6072649041718501</c:v>
                </c:pt>
                <c:pt idx="1198">
                  <c:v>6.5948335469072603</c:v>
                </c:pt>
                <c:pt idx="1199">
                  <c:v>6.6084653648517104</c:v>
                </c:pt>
                <c:pt idx="1200">
                  <c:v>6.6229061866369499</c:v>
                </c:pt>
                <c:pt idx="1201">
                  <c:v>6.5954074964457696</c:v>
                </c:pt>
                <c:pt idx="1202">
                  <c:v>6.6209560684425597</c:v>
                </c:pt>
                <c:pt idx="1203">
                  <c:v>6.6427906505863596</c:v>
                </c:pt>
                <c:pt idx="1204">
                  <c:v>6.6777459263727899</c:v>
                </c:pt>
                <c:pt idx="1205">
                  <c:v>6.6853730140463101</c:v>
                </c:pt>
                <c:pt idx="1206">
                  <c:v>6.7096816430384898</c:v>
                </c:pt>
                <c:pt idx="1207">
                  <c:v>6.7036752677025104</c:v>
                </c:pt>
                <c:pt idx="1208">
                  <c:v>6.7054982127455602</c:v>
                </c:pt>
                <c:pt idx="1209">
                  <c:v>6.7271426757812298</c:v>
                </c:pt>
                <c:pt idx="1210">
                  <c:v>6.6960348287008502</c:v>
                </c:pt>
                <c:pt idx="1211">
                  <c:v>6.7049685713432599</c:v>
                </c:pt>
                <c:pt idx="1212">
                  <c:v>6.7261446688168496</c:v>
                </c:pt>
                <c:pt idx="1213">
                  <c:v>6.7524785004357204</c:v>
                </c:pt>
                <c:pt idx="1214">
                  <c:v>6.7568106614803698</c:v>
                </c:pt>
                <c:pt idx="1215">
                  <c:v>6.7558610624706397</c:v>
                </c:pt>
                <c:pt idx="1216">
                  <c:v>6.7480443222378996</c:v>
                </c:pt>
                <c:pt idx="1217">
                  <c:v>6.7809146159946199</c:v>
                </c:pt>
                <c:pt idx="1218">
                  <c:v>6.7822587027733698</c:v>
                </c:pt>
                <c:pt idx="1219">
                  <c:v>6.7971914189322096</c:v>
                </c:pt>
                <c:pt idx="1220">
                  <c:v>6.8299887710025899</c:v>
                </c:pt>
                <c:pt idx="1221">
                  <c:v>6.8396697001804299</c:v>
                </c:pt>
                <c:pt idx="1222">
                  <c:v>6.8639149735481499</c:v>
                </c:pt>
                <c:pt idx="1223">
                  <c:v>6.8683201096140802</c:v>
                </c:pt>
                <c:pt idx="1224">
                  <c:v>6.8471571432120504</c:v>
                </c:pt>
                <c:pt idx="1225">
                  <c:v>6.8762537133288202</c:v>
                </c:pt>
                <c:pt idx="1226">
                  <c:v>6.8795271785404104</c:v>
                </c:pt>
                <c:pt idx="1227">
                  <c:v>6.8994170095708904</c:v>
                </c:pt>
                <c:pt idx="1228">
                  <c:v>6.9307095661890896</c:v>
                </c:pt>
                <c:pt idx="1229">
                  <c:v>6.9156466038828004</c:v>
                </c:pt>
                <c:pt idx="1230">
                  <c:v>6.9279670035197496</c:v>
                </c:pt>
                <c:pt idx="1231">
                  <c:v>6.9543634265034298</c:v>
                </c:pt>
                <c:pt idx="1232">
                  <c:v>6.9556780162815297</c:v>
                </c:pt>
                <c:pt idx="1233">
                  <c:v>6.9792335765806603</c:v>
                </c:pt>
                <c:pt idx="1234">
                  <c:v>6.9739618782791304</c:v>
                </c:pt>
                <c:pt idx="1235">
                  <c:v>6.9524938721460599</c:v>
                </c:pt>
                <c:pt idx="1236">
                  <c:v>6.9874762529566796</c:v>
                </c:pt>
                <c:pt idx="1237">
                  <c:v>7.0157703012867501</c:v>
                </c:pt>
                <c:pt idx="1238">
                  <c:v>7.0266860370591298</c:v>
                </c:pt>
                <c:pt idx="1239">
                  <c:v>7.0213411032030502</c:v>
                </c:pt>
                <c:pt idx="1240">
                  <c:v>7.0482586025420204</c:v>
                </c:pt>
                <c:pt idx="1241">
                  <c:v>7.0617528305944903</c:v>
                </c:pt>
                <c:pt idx="1242">
                  <c:v>7.0733378871955699</c:v>
                </c:pt>
                <c:pt idx="1243">
                  <c:v>7.0888149577095998</c:v>
                </c:pt>
                <c:pt idx="1244">
                  <c:v>7.1064642027674001</c:v>
                </c:pt>
                <c:pt idx="1245">
                  <c:v>7.0881283852415002</c:v>
                </c:pt>
                <c:pt idx="1246">
                  <c:v>7.1005139510907096</c:v>
                </c:pt>
                <c:pt idx="1247">
                  <c:v>7.1262990458118596</c:v>
                </c:pt>
                <c:pt idx="1248">
                  <c:v>7.1200542128416302</c:v>
                </c:pt>
                <c:pt idx="1249">
                  <c:v>7.1443889210523803</c:v>
                </c:pt>
                <c:pt idx="1250">
                  <c:v>7.1625534244877596</c:v>
                </c:pt>
                <c:pt idx="1251">
                  <c:v>7.1738586236461401</c:v>
                </c:pt>
                <c:pt idx="1252">
                  <c:v>7.1655717696765899</c:v>
                </c:pt>
                <c:pt idx="1253">
                  <c:v>7.1679669608573597</c:v>
                </c:pt>
                <c:pt idx="1254">
                  <c:v>7.1977937908126997</c:v>
                </c:pt>
                <c:pt idx="1255">
                  <c:v>7.1984225512521096</c:v>
                </c:pt>
                <c:pt idx="1256">
                  <c:v>7.2321030412849598</c:v>
                </c:pt>
                <c:pt idx="1257">
                  <c:v>7.2578880428256296</c:v>
                </c:pt>
                <c:pt idx="1258">
                  <c:v>7.2467191372806603</c:v>
                </c:pt>
                <c:pt idx="1259">
                  <c:v>7.23482481975058</c:v>
                </c:pt>
                <c:pt idx="1260">
                  <c:v>7.2597397255929499</c:v>
                </c:pt>
                <c:pt idx="1261">
                  <c:v>7.2509089231263903</c:v>
                </c:pt>
                <c:pt idx="1262">
                  <c:v>7.2593899261653796</c:v>
                </c:pt>
                <c:pt idx="1263">
                  <c:v>7.2850413070612499</c:v>
                </c:pt>
                <c:pt idx="1264">
                  <c:v>7.2850031580488901</c:v>
                </c:pt>
                <c:pt idx="1265">
                  <c:v>7.3137459740529298</c:v>
                </c:pt>
                <c:pt idx="1266">
                  <c:v>7.3468965550368601</c:v>
                </c:pt>
                <c:pt idx="1267">
                  <c:v>7.3437439329059897</c:v>
                </c:pt>
                <c:pt idx="1268">
                  <c:v>7.3471708951984898</c:v>
                </c:pt>
                <c:pt idx="1269">
                  <c:v>7.3660843223882004</c:v>
                </c:pt>
                <c:pt idx="1270">
                  <c:v>7.36096533268001</c:v>
                </c:pt>
                <c:pt idx="1271">
                  <c:v>7.3736189364651299</c:v>
                </c:pt>
                <c:pt idx="1272">
                  <c:v>7.4107141098499998</c:v>
                </c:pt>
                <c:pt idx="1273">
                  <c:v>7.3841295901899304</c:v>
                </c:pt>
                <c:pt idx="1274">
                  <c:v>7.4225726200440798</c:v>
                </c:pt>
                <c:pt idx="1275">
                  <c:v>7.4215265823817704</c:v>
                </c:pt>
                <c:pt idx="1276">
                  <c:v>7.4524465268382203</c:v>
                </c:pt>
                <c:pt idx="1277">
                  <c:v>7.47265138729143</c:v>
                </c:pt>
                <c:pt idx="1278">
                  <c:v>7.4298359022814697</c:v>
                </c:pt>
                <c:pt idx="1279">
                  <c:v>7.4673232878323796</c:v>
                </c:pt>
                <c:pt idx="1280">
                  <c:v>7.47936719632464</c:v>
                </c:pt>
                <c:pt idx="1281">
                  <c:v>7.4885992857694204</c:v>
                </c:pt>
                <c:pt idx="1282">
                  <c:v>7.4865192839542303</c:v>
                </c:pt>
                <c:pt idx="1283">
                  <c:v>7.5304061103889604</c:v>
                </c:pt>
                <c:pt idx="1284">
                  <c:v>7.5706843217756896</c:v>
                </c:pt>
                <c:pt idx="1285">
                  <c:v>7.5276439296351398</c:v>
                </c:pt>
                <c:pt idx="1286">
                  <c:v>7.5613934336732198</c:v>
                </c:pt>
                <c:pt idx="1287">
                  <c:v>7.5791878259908403</c:v>
                </c:pt>
                <c:pt idx="1288">
                  <c:v>7.5674287569961898</c:v>
                </c:pt>
                <c:pt idx="1289">
                  <c:v>7.5624535314971899</c:v>
                </c:pt>
                <c:pt idx="1290">
                  <c:v>7.5614643894343301</c:v>
                </c:pt>
                <c:pt idx="1291">
                  <c:v>7.5645072232739503</c:v>
                </c:pt>
                <c:pt idx="1292">
                  <c:v>7.5936495090961103</c:v>
                </c:pt>
                <c:pt idx="1293">
                  <c:v>7.6311447996542396</c:v>
                </c:pt>
                <c:pt idx="1294">
                  <c:v>7.6594960264485303</c:v>
                </c:pt>
                <c:pt idx="1295">
                  <c:v>7.6681030646424304</c:v>
                </c:pt>
                <c:pt idx="1296">
                  <c:v>7.6662538616539102</c:v>
                </c:pt>
                <c:pt idx="1297">
                  <c:v>7.67600956254004</c:v>
                </c:pt>
                <c:pt idx="1298">
                  <c:v>7.6994934958433801</c:v>
                </c:pt>
                <c:pt idx="1299">
                  <c:v>7.7297732263484704</c:v>
                </c:pt>
                <c:pt idx="1300">
                  <c:v>7.7433219453166702</c:v>
                </c:pt>
                <c:pt idx="1301">
                  <c:v>7.7515390655451899</c:v>
                </c:pt>
                <c:pt idx="1302">
                  <c:v>7.7179468437867698</c:v>
                </c:pt>
                <c:pt idx="1303">
                  <c:v>7.7481035161662097</c:v>
                </c:pt>
                <c:pt idx="1304">
                  <c:v>7.7721858737084899</c:v>
                </c:pt>
                <c:pt idx="1305">
                  <c:v>7.7944878705281102</c:v>
                </c:pt>
                <c:pt idx="1306">
                  <c:v>7.7925001089496702</c:v>
                </c:pt>
                <c:pt idx="1307">
                  <c:v>7.8133629522606496</c:v>
                </c:pt>
                <c:pt idx="1308">
                  <c:v>7.8187034246343901</c:v>
                </c:pt>
                <c:pt idx="1309">
                  <c:v>7.7956328308932603</c:v>
                </c:pt>
                <c:pt idx="1310">
                  <c:v>7.8246101934812904</c:v>
                </c:pt>
                <c:pt idx="1311">
                  <c:v>7.8402702633063397</c:v>
                </c:pt>
                <c:pt idx="1312">
                  <c:v>7.8164958570258003</c:v>
                </c:pt>
                <c:pt idx="1313">
                  <c:v>7.8356880665461599</c:v>
                </c:pt>
                <c:pt idx="1314">
                  <c:v>7.8625859296169498</c:v>
                </c:pt>
                <c:pt idx="1315">
                  <c:v>7.90075920116311</c:v>
                </c:pt>
                <c:pt idx="1316">
                  <c:v>7.9107683497260197</c:v>
                </c:pt>
                <c:pt idx="1317">
                  <c:v>7.8935484644564298</c:v>
                </c:pt>
                <c:pt idx="1318">
                  <c:v>7.8765158632494998</c:v>
                </c:pt>
                <c:pt idx="1319">
                  <c:v>7.8987465091319304</c:v>
                </c:pt>
                <c:pt idx="1320">
                  <c:v>7.9152903647275803</c:v>
                </c:pt>
                <c:pt idx="1321">
                  <c:v>7.9245690033050797</c:v>
                </c:pt>
                <c:pt idx="1322">
                  <c:v>7.9312191452318199</c:v>
                </c:pt>
                <c:pt idx="1323">
                  <c:v>7.9622831592617702</c:v>
                </c:pt>
                <c:pt idx="1324">
                  <c:v>7.9991771996284804</c:v>
                </c:pt>
                <c:pt idx="1325">
                  <c:v>7.99872516285168</c:v>
                </c:pt>
                <c:pt idx="1326">
                  <c:v>8.0228005158926301</c:v>
                </c:pt>
                <c:pt idx="1327">
                  <c:v>7.9891501099881896</c:v>
                </c:pt>
                <c:pt idx="1328">
                  <c:v>8.0267973836109991</c:v>
                </c:pt>
                <c:pt idx="1329">
                  <c:v>8.0353320432957602</c:v>
                </c:pt>
                <c:pt idx="1330">
                  <c:v>8.0418911559828903</c:v>
                </c:pt>
                <c:pt idx="1331">
                  <c:v>8.0385558634079004</c:v>
                </c:pt>
                <c:pt idx="1332">
                  <c:v>8.0586187547241703</c:v>
                </c:pt>
                <c:pt idx="1333">
                  <c:v>8.0981005124104204</c:v>
                </c:pt>
                <c:pt idx="1334">
                  <c:v>8.0973447999410801</c:v>
                </c:pt>
                <c:pt idx="1335">
                  <c:v>8.0780367968893803</c:v>
                </c:pt>
                <c:pt idx="1336">
                  <c:v>8.0924495699137502</c:v>
                </c:pt>
                <c:pt idx="1337">
                  <c:v>8.1294572316035207</c:v>
                </c:pt>
                <c:pt idx="1338">
                  <c:v>8.1409674485892101</c:v>
                </c:pt>
                <c:pt idx="1339">
                  <c:v>8.0967742437736305</c:v>
                </c:pt>
                <c:pt idx="1340">
                  <c:v>8.1014270569175597</c:v>
                </c:pt>
                <c:pt idx="1341">
                  <c:v>8.1331730348990501</c:v>
                </c:pt>
                <c:pt idx="1342">
                  <c:v>8.1648380929132696</c:v>
                </c:pt>
                <c:pt idx="1343">
                  <c:v>8.1534895156037095</c:v>
                </c:pt>
                <c:pt idx="1344">
                  <c:v>8.1911084025005998</c:v>
                </c:pt>
                <c:pt idx="1345">
                  <c:v>8.2158380934479993</c:v>
                </c:pt>
                <c:pt idx="1346">
                  <c:v>8.1947989917470903</c:v>
                </c:pt>
                <c:pt idx="1347">
                  <c:v>8.2075455941469908</c:v>
                </c:pt>
                <c:pt idx="1348">
                  <c:v>8.2481115713539204</c:v>
                </c:pt>
                <c:pt idx="1349">
                  <c:v>8.2331151237955496</c:v>
                </c:pt>
                <c:pt idx="1350">
                  <c:v>8.2541849966500909</c:v>
                </c:pt>
                <c:pt idx="1351">
                  <c:v>8.2686670980797601</c:v>
                </c:pt>
                <c:pt idx="1352">
                  <c:v>8.2918083395645006</c:v>
                </c:pt>
                <c:pt idx="1353">
                  <c:v>8.3077982317666503</c:v>
                </c:pt>
                <c:pt idx="1354">
                  <c:v>8.32388038612679</c:v>
                </c:pt>
                <c:pt idx="1355">
                  <c:v>8.3230440214346206</c:v>
                </c:pt>
                <c:pt idx="1356">
                  <c:v>8.3294297089575693</c:v>
                </c:pt>
                <c:pt idx="1357">
                  <c:v>8.3741869452627604</c:v>
                </c:pt>
                <c:pt idx="1358">
                  <c:v>8.3557069964965809</c:v>
                </c:pt>
                <c:pt idx="1359">
                  <c:v>8.3773479899850596</c:v>
                </c:pt>
                <c:pt idx="1360">
                  <c:v>8.3843913129981296</c:v>
                </c:pt>
                <c:pt idx="1361">
                  <c:v>8.3881218087475595</c:v>
                </c:pt>
                <c:pt idx="1362">
                  <c:v>8.41501538945273</c:v>
                </c:pt>
                <c:pt idx="1363">
                  <c:v>8.4345133870312203</c:v>
                </c:pt>
                <c:pt idx="1364">
                  <c:v>8.4477629265155993</c:v>
                </c:pt>
                <c:pt idx="1365">
                  <c:v>8.42994023486788</c:v>
                </c:pt>
                <c:pt idx="1366">
                  <c:v>8.4645943238767902</c:v>
                </c:pt>
                <c:pt idx="1367">
                  <c:v>8.4849939718046397</c:v>
                </c:pt>
                <c:pt idx="1368">
                  <c:v>8.4838626127334997</c:v>
                </c:pt>
                <c:pt idx="1369">
                  <c:v>8.4776066975249904</c:v>
                </c:pt>
                <c:pt idx="1370">
                  <c:v>8.5010371892435401</c:v>
                </c:pt>
                <c:pt idx="1371">
                  <c:v>8.5235105225772401</c:v>
                </c:pt>
                <c:pt idx="1372">
                  <c:v>8.5327052335052702</c:v>
                </c:pt>
                <c:pt idx="1373">
                  <c:v>8.5487374051003204</c:v>
                </c:pt>
                <c:pt idx="1374">
                  <c:v>8.5505903520475108</c:v>
                </c:pt>
                <c:pt idx="1375">
                  <c:v>8.5661196555084995</c:v>
                </c:pt>
                <c:pt idx="1376">
                  <c:v>8.5831297995457803</c:v>
                </c:pt>
                <c:pt idx="1377">
                  <c:v>8.5834310997952095</c:v>
                </c:pt>
                <c:pt idx="1378">
                  <c:v>8.6177203335840904</c:v>
                </c:pt>
                <c:pt idx="1379">
                  <c:v>8.5999861215916606</c:v>
                </c:pt>
                <c:pt idx="1380">
                  <c:v>8.5917393764759993</c:v>
                </c:pt>
                <c:pt idx="1381">
                  <c:v>8.6149896085751294</c:v>
                </c:pt>
                <c:pt idx="1382">
                  <c:v>8.6681947537191597</c:v>
                </c:pt>
                <c:pt idx="1383">
                  <c:v>8.6611687814759097</c:v>
                </c:pt>
                <c:pt idx="1384">
                  <c:v>8.6756398837261806</c:v>
                </c:pt>
                <c:pt idx="1385">
                  <c:v>8.6869013790716796</c:v>
                </c:pt>
                <c:pt idx="1386">
                  <c:v>8.6977372728511106</c:v>
                </c:pt>
                <c:pt idx="1387">
                  <c:v>8.7469683922808503</c:v>
                </c:pt>
                <c:pt idx="1388">
                  <c:v>8.7233279822842196</c:v>
                </c:pt>
                <c:pt idx="1389">
                  <c:v>8.7210205957393807</c:v>
                </c:pt>
                <c:pt idx="1390">
                  <c:v>8.7517221997845205</c:v>
                </c:pt>
                <c:pt idx="1391">
                  <c:v>8.7673769582203995</c:v>
                </c:pt>
                <c:pt idx="1392">
                  <c:v>8.7683736657862994</c:v>
                </c:pt>
                <c:pt idx="1393">
                  <c:v>8.7850507974275391</c:v>
                </c:pt>
                <c:pt idx="1394">
                  <c:v>8.7915698505614799</c:v>
                </c:pt>
                <c:pt idx="1395">
                  <c:v>8.8180831531021404</c:v>
                </c:pt>
                <c:pt idx="1396">
                  <c:v>8.7941302678972004</c:v>
                </c:pt>
                <c:pt idx="1397">
                  <c:v>8.8162025090262404</c:v>
                </c:pt>
                <c:pt idx="1398">
                  <c:v>8.8254042499601493</c:v>
                </c:pt>
                <c:pt idx="1399">
                  <c:v>8.8633995025176908</c:v>
                </c:pt>
                <c:pt idx="1400">
                  <c:v>8.87027623213209</c:v>
                </c:pt>
                <c:pt idx="1401">
                  <c:v>8.8893755100463192</c:v>
                </c:pt>
                <c:pt idx="1402">
                  <c:v>8.8583238883043904</c:v>
                </c:pt>
                <c:pt idx="1403">
                  <c:v>8.9082362814131493</c:v>
                </c:pt>
                <c:pt idx="1404">
                  <c:v>8.9413203422256302</c:v>
                </c:pt>
                <c:pt idx="1405">
                  <c:v>8.9252970367564899</c:v>
                </c:pt>
                <c:pt idx="1406">
                  <c:v>8.9519300498835896</c:v>
                </c:pt>
                <c:pt idx="1407">
                  <c:v>8.9511033812707996</c:v>
                </c:pt>
                <c:pt idx="1408">
                  <c:v>8.9904628332878307</c:v>
                </c:pt>
                <c:pt idx="1409">
                  <c:v>9.0020470128467593</c:v>
                </c:pt>
                <c:pt idx="1410">
                  <c:v>8.9602834479133495</c:v>
                </c:pt>
                <c:pt idx="1411">
                  <c:v>8.9548091016656102</c:v>
                </c:pt>
                <c:pt idx="1412">
                  <c:v>9.0009691987660592</c:v>
                </c:pt>
                <c:pt idx="1413">
                  <c:v>9.0003806711785401</c:v>
                </c:pt>
                <c:pt idx="1414">
                  <c:v>8.9990661679124404</c:v>
                </c:pt>
                <c:pt idx="1415">
                  <c:v>8.9711283540487798</c:v>
                </c:pt>
                <c:pt idx="1416">
                  <c:v>9.0094513823567208</c:v>
                </c:pt>
                <c:pt idx="1417">
                  <c:v>9.0473662558417107</c:v>
                </c:pt>
                <c:pt idx="1418">
                  <c:v>9.0928631634576806</c:v>
                </c:pt>
                <c:pt idx="1419">
                  <c:v>9.0776267882337898</c:v>
                </c:pt>
                <c:pt idx="1420">
                  <c:v>9.0831757857619593</c:v>
                </c:pt>
                <c:pt idx="1421">
                  <c:v>9.1016044661885491</c:v>
                </c:pt>
                <c:pt idx="1422">
                  <c:v>9.1113798950518294</c:v>
                </c:pt>
                <c:pt idx="1423">
                  <c:v>9.1396569768045399</c:v>
                </c:pt>
                <c:pt idx="1424">
                  <c:v>9.1631347639445906</c:v>
                </c:pt>
                <c:pt idx="1425">
                  <c:v>9.1523784437050892</c:v>
                </c:pt>
                <c:pt idx="1426">
                  <c:v>9.1836650317005706</c:v>
                </c:pt>
                <c:pt idx="1427">
                  <c:v>9.2119625582758395</c:v>
                </c:pt>
                <c:pt idx="1428">
                  <c:v>9.2295354823657796</c:v>
                </c:pt>
                <c:pt idx="1429">
                  <c:v>9.1781840335934408</c:v>
                </c:pt>
                <c:pt idx="1430">
                  <c:v>9.14220982051833</c:v>
                </c:pt>
                <c:pt idx="1431">
                  <c:v>9.1772704709808295</c:v>
                </c:pt>
                <c:pt idx="1432">
                  <c:v>9.2255854983811307</c:v>
                </c:pt>
                <c:pt idx="1433">
                  <c:v>9.2157454054578398</c:v>
                </c:pt>
                <c:pt idx="1434">
                  <c:v>9.2605668740874894</c:v>
                </c:pt>
                <c:pt idx="1435">
                  <c:v>9.2642757950103292</c:v>
                </c:pt>
                <c:pt idx="1436">
                  <c:v>9.2830521323507398</c:v>
                </c:pt>
                <c:pt idx="1437">
                  <c:v>9.2786250013711307</c:v>
                </c:pt>
                <c:pt idx="1438">
                  <c:v>9.3059946007323493</c:v>
                </c:pt>
                <c:pt idx="1439">
                  <c:v>9.3537292909798797</c:v>
                </c:pt>
                <c:pt idx="1440">
                  <c:v>9.3700506862132205</c:v>
                </c:pt>
                <c:pt idx="1441">
                  <c:v>9.3631378101640994</c:v>
                </c:pt>
                <c:pt idx="1442">
                  <c:v>9.3970128339894803</c:v>
                </c:pt>
                <c:pt idx="1443">
                  <c:v>9.4056047617716896</c:v>
                </c:pt>
                <c:pt idx="1444">
                  <c:v>9.4223268271665699</c:v>
                </c:pt>
                <c:pt idx="1445">
                  <c:v>9.4003037868292196</c:v>
                </c:pt>
                <c:pt idx="1446">
                  <c:v>9.3915008342378297</c:v>
                </c:pt>
                <c:pt idx="1447">
                  <c:v>9.4210975695401302</c:v>
                </c:pt>
                <c:pt idx="1448">
                  <c:v>9.4420823608531705</c:v>
                </c:pt>
                <c:pt idx="1449">
                  <c:v>9.4283982254780891</c:v>
                </c:pt>
                <c:pt idx="1450">
                  <c:v>9.4257156195321894</c:v>
                </c:pt>
                <c:pt idx="1451">
                  <c:v>9.4690715541210793</c:v>
                </c:pt>
                <c:pt idx="1452">
                  <c:v>9.4510572096775007</c:v>
                </c:pt>
                <c:pt idx="1453">
                  <c:v>9.4817030303460292</c:v>
                </c:pt>
                <c:pt idx="1454">
                  <c:v>9.5175742010371902</c:v>
                </c:pt>
                <c:pt idx="1455">
                  <c:v>9.5152934675824401</c:v>
                </c:pt>
                <c:pt idx="1456">
                  <c:v>9.5217843483298807</c:v>
                </c:pt>
                <c:pt idx="1457">
                  <c:v>9.5176476598685902</c:v>
                </c:pt>
                <c:pt idx="1458">
                  <c:v>9.5556440871088206</c:v>
                </c:pt>
                <c:pt idx="1459">
                  <c:v>9.5318943395862306</c:v>
                </c:pt>
                <c:pt idx="1460">
                  <c:v>9.5929817272567099</c:v>
                </c:pt>
                <c:pt idx="1461">
                  <c:v>9.6031779333698193</c:v>
                </c:pt>
                <c:pt idx="1462">
                  <c:v>9.61929278507281</c:v>
                </c:pt>
                <c:pt idx="1463">
                  <c:v>9.5982945634852097</c:v>
                </c:pt>
                <c:pt idx="1464">
                  <c:v>9.6428331214715204</c:v>
                </c:pt>
                <c:pt idx="1465">
                  <c:v>9.6251185931807797</c:v>
                </c:pt>
                <c:pt idx="1466">
                  <c:v>9.6320500342002298</c:v>
                </c:pt>
                <c:pt idx="1467">
                  <c:v>9.6047815249938004</c:v>
                </c:pt>
                <c:pt idx="1468">
                  <c:v>9.6255312266215292</c:v>
                </c:pt>
                <c:pt idx="1469">
                  <c:v>9.6341181164797103</c:v>
                </c:pt>
                <c:pt idx="1470">
                  <c:v>9.66562226283739</c:v>
                </c:pt>
                <c:pt idx="1471">
                  <c:v>9.6838491082311293</c:v>
                </c:pt>
                <c:pt idx="1472">
                  <c:v>9.7080113484988395</c:v>
                </c:pt>
                <c:pt idx="1473">
                  <c:v>9.7205172736003096</c:v>
                </c:pt>
                <c:pt idx="1474">
                  <c:v>9.6857967817532504</c:v>
                </c:pt>
                <c:pt idx="1475">
                  <c:v>9.7353696323196797</c:v>
                </c:pt>
                <c:pt idx="1476">
                  <c:v>9.7623923446737901</c:v>
                </c:pt>
                <c:pt idx="1477">
                  <c:v>9.7597624434477996</c:v>
                </c:pt>
                <c:pt idx="1478">
                  <c:v>9.7766871492733998</c:v>
                </c:pt>
                <c:pt idx="1479">
                  <c:v>9.7721364531333705</c:v>
                </c:pt>
                <c:pt idx="1480">
                  <c:v>9.8091333482473697</c:v>
                </c:pt>
                <c:pt idx="1481">
                  <c:v>9.8391656840516895</c:v>
                </c:pt>
                <c:pt idx="1482">
                  <c:v>9.8610914513572698</c:v>
                </c:pt>
                <c:pt idx="1483">
                  <c:v>9.8123789651857507</c:v>
                </c:pt>
                <c:pt idx="1484">
                  <c:v>9.7881187610995397</c:v>
                </c:pt>
                <c:pt idx="1485">
                  <c:v>9.8538366427840707</c:v>
                </c:pt>
                <c:pt idx="1486">
                  <c:v>9.8847143795079102</c:v>
                </c:pt>
                <c:pt idx="1487">
                  <c:v>9.8737070811457901</c:v>
                </c:pt>
                <c:pt idx="1488">
                  <c:v>9.9196003735720097</c:v>
                </c:pt>
                <c:pt idx="1489">
                  <c:v>9.9359979609134896</c:v>
                </c:pt>
                <c:pt idx="1490">
                  <c:v>9.9710996508518708</c:v>
                </c:pt>
                <c:pt idx="1491">
                  <c:v>9.9508697706044504</c:v>
                </c:pt>
                <c:pt idx="1492">
                  <c:v>9.9824566948127806</c:v>
                </c:pt>
                <c:pt idx="1493">
                  <c:v>9.9436481875148797</c:v>
                </c:pt>
                <c:pt idx="1494">
                  <c:v>9.9798563576571997</c:v>
                </c:pt>
                <c:pt idx="1495">
                  <c:v>9.99771072547599</c:v>
                </c:pt>
                <c:pt idx="1496">
                  <c:v>10.0300591193964</c:v>
                </c:pt>
                <c:pt idx="1497">
                  <c:v>10.029179930921901</c:v>
                </c:pt>
                <c:pt idx="1498">
                  <c:v>10.0419857286123</c:v>
                </c:pt>
                <c:pt idx="1499">
                  <c:v>10.065634514945099</c:v>
                </c:pt>
                <c:pt idx="1500">
                  <c:v>10.0571663786966</c:v>
                </c:pt>
                <c:pt idx="1501">
                  <c:v>10.0288256535889</c:v>
                </c:pt>
                <c:pt idx="1502">
                  <c:v>10.0506247424502</c:v>
                </c:pt>
                <c:pt idx="1503">
                  <c:v>10.0881797741533</c:v>
                </c:pt>
                <c:pt idx="1504">
                  <c:v>10.0275806025808</c:v>
                </c:pt>
                <c:pt idx="1505">
                  <c:v>10.089442253959399</c:v>
                </c:pt>
                <c:pt idx="1506">
                  <c:v>10.1038513122318</c:v>
                </c:pt>
                <c:pt idx="1507">
                  <c:v>10.152357293945</c:v>
                </c:pt>
                <c:pt idx="1508">
                  <c:v>10.154005149323201</c:v>
                </c:pt>
                <c:pt idx="1509">
                  <c:v>10.155530950485799</c:v>
                </c:pt>
                <c:pt idx="1510">
                  <c:v>10.2148651281229</c:v>
                </c:pt>
                <c:pt idx="1511">
                  <c:v>10.1953076016749</c:v>
                </c:pt>
                <c:pt idx="1512">
                  <c:v>10.2090836606005</c:v>
                </c:pt>
                <c:pt idx="1513">
                  <c:v>10.1869115433208</c:v>
                </c:pt>
                <c:pt idx="1514">
                  <c:v>10.190354353019901</c:v>
                </c:pt>
                <c:pt idx="1515">
                  <c:v>10.216243549153999</c:v>
                </c:pt>
                <c:pt idx="1516">
                  <c:v>10.2520494157587</c:v>
                </c:pt>
                <c:pt idx="1517">
                  <c:v>10.275893488778101</c:v>
                </c:pt>
                <c:pt idx="1518">
                  <c:v>10.2919988744069</c:v>
                </c:pt>
                <c:pt idx="1519">
                  <c:v>10.287993055160699</c:v>
                </c:pt>
                <c:pt idx="1520">
                  <c:v>10.296999758829401</c:v>
                </c:pt>
                <c:pt idx="1521">
                  <c:v>10.3110352973414</c:v>
                </c:pt>
                <c:pt idx="1522">
                  <c:v>10.2992370316177</c:v>
                </c:pt>
                <c:pt idx="1523">
                  <c:v>10.3408455083974</c:v>
                </c:pt>
                <c:pt idx="1524">
                  <c:v>10.368197698258999</c:v>
                </c:pt>
                <c:pt idx="1525">
                  <c:v>10.3492862823576</c:v>
                </c:pt>
                <c:pt idx="1526">
                  <c:v>10.343541054515599</c:v>
                </c:pt>
                <c:pt idx="1527">
                  <c:v>10.3739482436208</c:v>
                </c:pt>
                <c:pt idx="1528">
                  <c:v>10.3972008630594</c:v>
                </c:pt>
                <c:pt idx="1529">
                  <c:v>10.4255652611585</c:v>
                </c:pt>
                <c:pt idx="1530">
                  <c:v>10.423881219322499</c:v>
                </c:pt>
                <c:pt idx="1531">
                  <c:v>10.451472008819501</c:v>
                </c:pt>
                <c:pt idx="1532">
                  <c:v>10.494217874963001</c:v>
                </c:pt>
                <c:pt idx="1533">
                  <c:v>10.5148260350317</c:v>
                </c:pt>
                <c:pt idx="1534">
                  <c:v>10.4828568033584</c:v>
                </c:pt>
                <c:pt idx="1535">
                  <c:v>10.4924186178787</c:v>
                </c:pt>
                <c:pt idx="1536">
                  <c:v>10.4918530296522</c:v>
                </c:pt>
                <c:pt idx="1537">
                  <c:v>10.521596262298999</c:v>
                </c:pt>
                <c:pt idx="1538">
                  <c:v>10.522008603788301</c:v>
                </c:pt>
                <c:pt idx="1539">
                  <c:v>10.5317396924719</c:v>
                </c:pt>
                <c:pt idx="1540">
                  <c:v>10.5540259454548</c:v>
                </c:pt>
                <c:pt idx="1541">
                  <c:v>10.570127139212699</c:v>
                </c:pt>
                <c:pt idx="1542">
                  <c:v>10.592078882847501</c:v>
                </c:pt>
                <c:pt idx="1543">
                  <c:v>10.594808051157299</c:v>
                </c:pt>
                <c:pt idx="1544">
                  <c:v>10.606077448255</c:v>
                </c:pt>
                <c:pt idx="1545">
                  <c:v>10.6173655964541</c:v>
                </c:pt>
                <c:pt idx="1546">
                  <c:v>10.65192762525</c:v>
                </c:pt>
                <c:pt idx="1547">
                  <c:v>10.652673953330799</c:v>
                </c:pt>
                <c:pt idx="1548">
                  <c:v>10.6247538909042</c:v>
                </c:pt>
                <c:pt idx="1549">
                  <c:v>10.653595204191999</c:v>
                </c:pt>
                <c:pt idx="1550">
                  <c:v>10.6827691943312</c:v>
                </c:pt>
                <c:pt idx="1551">
                  <c:v>10.6827803093007</c:v>
                </c:pt>
                <c:pt idx="1552">
                  <c:v>10.701921870389301</c:v>
                </c:pt>
                <c:pt idx="1553">
                  <c:v>10.7010301712081</c:v>
                </c:pt>
                <c:pt idx="1554">
                  <c:v>10.6926839443035</c:v>
                </c:pt>
                <c:pt idx="1555">
                  <c:v>10.7499998655938</c:v>
                </c:pt>
                <c:pt idx="1556">
                  <c:v>10.7287016080047</c:v>
                </c:pt>
                <c:pt idx="1557">
                  <c:v>10.734054934568499</c:v>
                </c:pt>
                <c:pt idx="1558">
                  <c:v>10.7238017358367</c:v>
                </c:pt>
                <c:pt idx="1559">
                  <c:v>10.7543430891028</c:v>
                </c:pt>
                <c:pt idx="1560">
                  <c:v>10.7604196563461</c:v>
                </c:pt>
                <c:pt idx="1561">
                  <c:v>10.7582233152773</c:v>
                </c:pt>
                <c:pt idx="1562">
                  <c:v>10.809551420184199</c:v>
                </c:pt>
                <c:pt idx="1563">
                  <c:v>10.7863262563802</c:v>
                </c:pt>
                <c:pt idx="1564">
                  <c:v>10.832894108510301</c:v>
                </c:pt>
                <c:pt idx="1565">
                  <c:v>10.8240010781103</c:v>
                </c:pt>
                <c:pt idx="1566">
                  <c:v>10.837326172483399</c:v>
                </c:pt>
                <c:pt idx="1567">
                  <c:v>10.8515550395636</c:v>
                </c:pt>
                <c:pt idx="1568">
                  <c:v>10.8577619194163</c:v>
                </c:pt>
                <c:pt idx="1569">
                  <c:v>10.8889395030063</c:v>
                </c:pt>
                <c:pt idx="1570">
                  <c:v>10.881420014073401</c:v>
                </c:pt>
                <c:pt idx="1571">
                  <c:v>10.8670602189096</c:v>
                </c:pt>
                <c:pt idx="1572">
                  <c:v>10.9043188112751</c:v>
                </c:pt>
                <c:pt idx="1573">
                  <c:v>10.9517682080778</c:v>
                </c:pt>
                <c:pt idx="1574">
                  <c:v>10.970198828040701</c:v>
                </c:pt>
                <c:pt idx="1575">
                  <c:v>10.9758761836869</c:v>
                </c:pt>
                <c:pt idx="1576">
                  <c:v>10.9847156043302</c:v>
                </c:pt>
                <c:pt idx="1577">
                  <c:v>11.0026878754711</c:v>
                </c:pt>
                <c:pt idx="1578">
                  <c:v>10.9682484431414</c:v>
                </c:pt>
                <c:pt idx="1579">
                  <c:v>10.9738321755281</c:v>
                </c:pt>
                <c:pt idx="1580">
                  <c:v>10.978260449006701</c:v>
                </c:pt>
                <c:pt idx="1581">
                  <c:v>10.977614240492599</c:v>
                </c:pt>
                <c:pt idx="1582">
                  <c:v>11.009379061162401</c:v>
                </c:pt>
                <c:pt idx="1583">
                  <c:v>11.027614330147699</c:v>
                </c:pt>
                <c:pt idx="1584">
                  <c:v>11.0642248515476</c:v>
                </c:pt>
                <c:pt idx="1585">
                  <c:v>11.090808658544001</c:v>
                </c:pt>
                <c:pt idx="1586">
                  <c:v>11.097007773493701</c:v>
                </c:pt>
                <c:pt idx="1587">
                  <c:v>11.1303376815452</c:v>
                </c:pt>
                <c:pt idx="1588">
                  <c:v>11.131395016316599</c:v>
                </c:pt>
                <c:pt idx="1589">
                  <c:v>11.0844500520812</c:v>
                </c:pt>
                <c:pt idx="1590">
                  <c:v>11.1306430565522</c:v>
                </c:pt>
                <c:pt idx="1591">
                  <c:v>11.1527701134469</c:v>
                </c:pt>
                <c:pt idx="1592">
                  <c:v>11.1802351736542</c:v>
                </c:pt>
                <c:pt idx="1593">
                  <c:v>11.198434932654701</c:v>
                </c:pt>
                <c:pt idx="1594">
                  <c:v>11.1638039478074</c:v>
                </c:pt>
                <c:pt idx="1595">
                  <c:v>11.192963368748501</c:v>
                </c:pt>
                <c:pt idx="1596">
                  <c:v>11.210467335575</c:v>
                </c:pt>
                <c:pt idx="1597">
                  <c:v>11.2600278288732</c:v>
                </c:pt>
                <c:pt idx="1598">
                  <c:v>11.205227356022901</c:v>
                </c:pt>
                <c:pt idx="1599">
                  <c:v>11.244436279306999</c:v>
                </c:pt>
                <c:pt idx="1600">
                  <c:v>11.251571193770999</c:v>
                </c:pt>
                <c:pt idx="1601">
                  <c:v>11.2804726988485</c:v>
                </c:pt>
                <c:pt idx="1602">
                  <c:v>11.1844809166098</c:v>
                </c:pt>
                <c:pt idx="1603">
                  <c:v>11.2528471286141</c:v>
                </c:pt>
                <c:pt idx="1604">
                  <c:v>11.297169208485601</c:v>
                </c:pt>
                <c:pt idx="1605">
                  <c:v>11.265450371489299</c:v>
                </c:pt>
                <c:pt idx="1606">
                  <c:v>11.285667339006601</c:v>
                </c:pt>
                <c:pt idx="1607">
                  <c:v>11.3379697956616</c:v>
                </c:pt>
                <c:pt idx="1608">
                  <c:v>11.367480955601801</c:v>
                </c:pt>
                <c:pt idx="1609">
                  <c:v>11.3851077034999</c:v>
                </c:pt>
                <c:pt idx="1610">
                  <c:v>11.385483081249999</c:v>
                </c:pt>
                <c:pt idx="1611">
                  <c:v>11.414372460065699</c:v>
                </c:pt>
                <c:pt idx="1612">
                  <c:v>11.4367152760873</c:v>
                </c:pt>
                <c:pt idx="1613">
                  <c:v>11.426701866855099</c:v>
                </c:pt>
                <c:pt idx="1614">
                  <c:v>11.424162418880099</c:v>
                </c:pt>
                <c:pt idx="1615">
                  <c:v>11.4200198982253</c:v>
                </c:pt>
                <c:pt idx="1616">
                  <c:v>11.4645166515452</c:v>
                </c:pt>
                <c:pt idx="1617">
                  <c:v>11.4803699320632</c:v>
                </c:pt>
                <c:pt idx="1618">
                  <c:v>11.406131758714899</c:v>
                </c:pt>
                <c:pt idx="1619">
                  <c:v>11.4688739869364</c:v>
                </c:pt>
                <c:pt idx="1620">
                  <c:v>11.472854918288901</c:v>
                </c:pt>
                <c:pt idx="1621">
                  <c:v>11.5166709046748</c:v>
                </c:pt>
                <c:pt idx="1622">
                  <c:v>11.541414356650501</c:v>
                </c:pt>
                <c:pt idx="1623">
                  <c:v>11.570945283375201</c:v>
                </c:pt>
                <c:pt idx="1624">
                  <c:v>11.5036067215341</c:v>
                </c:pt>
                <c:pt idx="1625">
                  <c:v>11.5158646787857</c:v>
                </c:pt>
                <c:pt idx="1626">
                  <c:v>11.565320307116</c:v>
                </c:pt>
                <c:pt idx="1627">
                  <c:v>11.582884654968501</c:v>
                </c:pt>
                <c:pt idx="1628">
                  <c:v>11.5965897669216</c:v>
                </c:pt>
                <c:pt idx="1629">
                  <c:v>11.6087133438745</c:v>
                </c:pt>
                <c:pt idx="1630">
                  <c:v>11.6230596918562</c:v>
                </c:pt>
                <c:pt idx="1631">
                  <c:v>11.619787665778</c:v>
                </c:pt>
                <c:pt idx="1632">
                  <c:v>11.6816842744464</c:v>
                </c:pt>
                <c:pt idx="1633">
                  <c:v>11.673372027127099</c:v>
                </c:pt>
                <c:pt idx="1634">
                  <c:v>11.7095431960679</c:v>
                </c:pt>
                <c:pt idx="1635">
                  <c:v>11.7430262289054</c:v>
                </c:pt>
                <c:pt idx="1636">
                  <c:v>11.737451750806301</c:v>
                </c:pt>
                <c:pt idx="1637">
                  <c:v>11.754956275362</c:v>
                </c:pt>
                <c:pt idx="1638">
                  <c:v>11.7964233899996</c:v>
                </c:pt>
                <c:pt idx="1639">
                  <c:v>11.8009248918449</c:v>
                </c:pt>
                <c:pt idx="1640">
                  <c:v>11.8314171415101</c:v>
                </c:pt>
                <c:pt idx="1641">
                  <c:v>11.816933822540699</c:v>
                </c:pt>
                <c:pt idx="1642">
                  <c:v>11.8423168866401</c:v>
                </c:pt>
                <c:pt idx="1643">
                  <c:v>11.8273270127162</c:v>
                </c:pt>
                <c:pt idx="1644">
                  <c:v>11.841868171035101</c:v>
                </c:pt>
                <c:pt idx="1645">
                  <c:v>11.8770159463886</c:v>
                </c:pt>
                <c:pt idx="1646">
                  <c:v>11.903228402426899</c:v>
                </c:pt>
                <c:pt idx="1647">
                  <c:v>11.889750678085001</c:v>
                </c:pt>
                <c:pt idx="1648">
                  <c:v>11.914193817124699</c:v>
                </c:pt>
                <c:pt idx="1649">
                  <c:v>11.9226173366257</c:v>
                </c:pt>
                <c:pt idx="1650">
                  <c:v>11.9572899698905</c:v>
                </c:pt>
                <c:pt idx="1651">
                  <c:v>11.9645898764051</c:v>
                </c:pt>
                <c:pt idx="1652">
                  <c:v>11.944353231681699</c:v>
                </c:pt>
                <c:pt idx="1653">
                  <c:v>11.994960318658601</c:v>
                </c:pt>
                <c:pt idx="1654">
                  <c:v>12.0131994062953</c:v>
                </c:pt>
                <c:pt idx="1655">
                  <c:v>12.0067756957062</c:v>
                </c:pt>
                <c:pt idx="1656">
                  <c:v>12.0127885810442</c:v>
                </c:pt>
                <c:pt idx="1657">
                  <c:v>12.026977702923601</c:v>
                </c:pt>
                <c:pt idx="1658">
                  <c:v>12.018185468770399</c:v>
                </c:pt>
                <c:pt idx="1659">
                  <c:v>12.047728242912299</c:v>
                </c:pt>
                <c:pt idx="1660">
                  <c:v>12.032961113676301</c:v>
                </c:pt>
                <c:pt idx="1661">
                  <c:v>12.071234527205799</c:v>
                </c:pt>
                <c:pt idx="1662">
                  <c:v>12.058755221810801</c:v>
                </c:pt>
                <c:pt idx="1663">
                  <c:v>12.059991004786999</c:v>
                </c:pt>
                <c:pt idx="1664">
                  <c:v>12.0664656233774</c:v>
                </c:pt>
                <c:pt idx="1665">
                  <c:v>12.0994309444494</c:v>
                </c:pt>
                <c:pt idx="1666">
                  <c:v>12.092275872871699</c:v>
                </c:pt>
                <c:pt idx="1667">
                  <c:v>12.1177278432195</c:v>
                </c:pt>
                <c:pt idx="1668">
                  <c:v>12.1382331992516</c:v>
                </c:pt>
                <c:pt idx="1669">
                  <c:v>12.154655100712899</c:v>
                </c:pt>
                <c:pt idx="1670">
                  <c:v>12.1335958331904</c:v>
                </c:pt>
                <c:pt idx="1671">
                  <c:v>12.182093361190899</c:v>
                </c:pt>
                <c:pt idx="1672">
                  <c:v>12.189673267279501</c:v>
                </c:pt>
                <c:pt idx="1673">
                  <c:v>12.222669245932799</c:v>
                </c:pt>
                <c:pt idx="1674">
                  <c:v>12.2598693066547</c:v>
                </c:pt>
                <c:pt idx="1675">
                  <c:v>12.2579067575367</c:v>
                </c:pt>
                <c:pt idx="1676">
                  <c:v>12.2667014379513</c:v>
                </c:pt>
                <c:pt idx="1677">
                  <c:v>12.316682276208599</c:v>
                </c:pt>
                <c:pt idx="1678">
                  <c:v>12.2998448535372</c:v>
                </c:pt>
                <c:pt idx="1679">
                  <c:v>12.285117962641401</c:v>
                </c:pt>
                <c:pt idx="1680">
                  <c:v>12.3069362766448</c:v>
                </c:pt>
                <c:pt idx="1681">
                  <c:v>12.327925642961301</c:v>
                </c:pt>
                <c:pt idx="1682">
                  <c:v>12.310243436502899</c:v>
                </c:pt>
                <c:pt idx="1683">
                  <c:v>12.292208881280599</c:v>
                </c:pt>
                <c:pt idx="1684">
                  <c:v>12.330302970839501</c:v>
                </c:pt>
                <c:pt idx="1685">
                  <c:v>12.337728595995801</c:v>
                </c:pt>
                <c:pt idx="1686">
                  <c:v>12.319399568982501</c:v>
                </c:pt>
                <c:pt idx="1687">
                  <c:v>12.379156296587</c:v>
                </c:pt>
                <c:pt idx="1688">
                  <c:v>12.3901564218855</c:v>
                </c:pt>
                <c:pt idx="1689">
                  <c:v>12.3878600574225</c:v>
                </c:pt>
                <c:pt idx="1690">
                  <c:v>12.4001699067232</c:v>
                </c:pt>
                <c:pt idx="1691">
                  <c:v>12.430585806345601</c:v>
                </c:pt>
                <c:pt idx="1692">
                  <c:v>12.3566895692298</c:v>
                </c:pt>
                <c:pt idx="1693">
                  <c:v>12.3842835284476</c:v>
                </c:pt>
                <c:pt idx="1694">
                  <c:v>12.377250472837799</c:v>
                </c:pt>
                <c:pt idx="1695">
                  <c:v>12.4376978142841</c:v>
                </c:pt>
                <c:pt idx="1696">
                  <c:v>12.471980069269801</c:v>
                </c:pt>
                <c:pt idx="1697">
                  <c:v>12.472113162572899</c:v>
                </c:pt>
                <c:pt idx="1698">
                  <c:v>12.503385309302599</c:v>
                </c:pt>
                <c:pt idx="1699">
                  <c:v>12.5170624351495</c:v>
                </c:pt>
                <c:pt idx="1700">
                  <c:v>12.519724170047001</c:v>
                </c:pt>
                <c:pt idx="1701">
                  <c:v>12.548176263699499</c:v>
                </c:pt>
                <c:pt idx="1702">
                  <c:v>12.5430202616646</c:v>
                </c:pt>
                <c:pt idx="1703">
                  <c:v>12.5909300007489</c:v>
                </c:pt>
                <c:pt idx="1704">
                  <c:v>12.5607871364979</c:v>
                </c:pt>
                <c:pt idx="1705">
                  <c:v>12.584857001516299</c:v>
                </c:pt>
                <c:pt idx="1706">
                  <c:v>12.604284015247799</c:v>
                </c:pt>
                <c:pt idx="1707">
                  <c:v>12.581844023394</c:v>
                </c:pt>
                <c:pt idx="1708">
                  <c:v>12.6084033563261</c:v>
                </c:pt>
                <c:pt idx="1709">
                  <c:v>12.620070418280299</c:v>
                </c:pt>
                <c:pt idx="1710">
                  <c:v>12.6270639276837</c:v>
                </c:pt>
                <c:pt idx="1711">
                  <c:v>12.6438065258923</c:v>
                </c:pt>
                <c:pt idx="1712">
                  <c:v>12.711588034756099</c:v>
                </c:pt>
                <c:pt idx="1713">
                  <c:v>12.7314063434202</c:v>
                </c:pt>
                <c:pt idx="1714">
                  <c:v>12.771814408284801</c:v>
                </c:pt>
                <c:pt idx="1715">
                  <c:v>12.734382728979799</c:v>
                </c:pt>
                <c:pt idx="1716">
                  <c:v>12.7559694231027</c:v>
                </c:pt>
                <c:pt idx="1717">
                  <c:v>12.790304872890299</c:v>
                </c:pt>
                <c:pt idx="1718">
                  <c:v>12.8040480440654</c:v>
                </c:pt>
                <c:pt idx="1719">
                  <c:v>12.829549786646201</c:v>
                </c:pt>
                <c:pt idx="1720">
                  <c:v>12.8223443622479</c:v>
                </c:pt>
                <c:pt idx="1721">
                  <c:v>12.838315497240901</c:v>
                </c:pt>
                <c:pt idx="1722">
                  <c:v>12.8436089916306</c:v>
                </c:pt>
                <c:pt idx="1723">
                  <c:v>12.8272102423691</c:v>
                </c:pt>
                <c:pt idx="1724">
                  <c:v>12.8915375159968</c:v>
                </c:pt>
                <c:pt idx="1725">
                  <c:v>12.922019976333001</c:v>
                </c:pt>
                <c:pt idx="1726">
                  <c:v>12.9185543692554</c:v>
                </c:pt>
                <c:pt idx="1727">
                  <c:v>12.9282334042624</c:v>
                </c:pt>
                <c:pt idx="1728">
                  <c:v>12.960320239744201</c:v>
                </c:pt>
                <c:pt idx="1729">
                  <c:v>12.9779882731998</c:v>
                </c:pt>
                <c:pt idx="1730">
                  <c:v>13.0044367581242</c:v>
                </c:pt>
                <c:pt idx="1731">
                  <c:v>13.001729201587301</c:v>
                </c:pt>
                <c:pt idx="1732">
                  <c:v>13.0253784760167</c:v>
                </c:pt>
                <c:pt idx="1733">
                  <c:v>13.0148719423137</c:v>
                </c:pt>
                <c:pt idx="1734">
                  <c:v>13.0701719287168</c:v>
                </c:pt>
                <c:pt idx="1735">
                  <c:v>12.9929091186044</c:v>
                </c:pt>
                <c:pt idx="1736">
                  <c:v>13.0617477926398</c:v>
                </c:pt>
                <c:pt idx="1737">
                  <c:v>13.09248839736</c:v>
                </c:pt>
                <c:pt idx="1738">
                  <c:v>13.0585136292898</c:v>
                </c:pt>
                <c:pt idx="1739">
                  <c:v>13.0657036493234</c:v>
                </c:pt>
                <c:pt idx="1740">
                  <c:v>13.0685477904244</c:v>
                </c:pt>
                <c:pt idx="1741">
                  <c:v>13.092341153125901</c:v>
                </c:pt>
                <c:pt idx="1742">
                  <c:v>13.0869341979501</c:v>
                </c:pt>
                <c:pt idx="1743">
                  <c:v>13.062611450337901</c:v>
                </c:pt>
                <c:pt idx="1744">
                  <c:v>13.0706806648843</c:v>
                </c:pt>
                <c:pt idx="1745">
                  <c:v>13.120179932390601</c:v>
                </c:pt>
                <c:pt idx="1746">
                  <c:v>13.1473230158444</c:v>
                </c:pt>
                <c:pt idx="1747">
                  <c:v>13.1835376674983</c:v>
                </c:pt>
                <c:pt idx="1748">
                  <c:v>13.191484393255999</c:v>
                </c:pt>
                <c:pt idx="1749">
                  <c:v>13.2143891590405</c:v>
                </c:pt>
                <c:pt idx="1750">
                  <c:v>13.2200187112214</c:v>
                </c:pt>
                <c:pt idx="1751">
                  <c:v>13.2312341826094</c:v>
                </c:pt>
                <c:pt idx="1752">
                  <c:v>13.204923751106101</c:v>
                </c:pt>
                <c:pt idx="1753">
                  <c:v>13.226754653425299</c:v>
                </c:pt>
                <c:pt idx="1754">
                  <c:v>13.270681578562799</c:v>
                </c:pt>
                <c:pt idx="1755">
                  <c:v>13.278655092016299</c:v>
                </c:pt>
                <c:pt idx="1756">
                  <c:v>13.312476993273201</c:v>
                </c:pt>
                <c:pt idx="1757">
                  <c:v>13.3162583883308</c:v>
                </c:pt>
                <c:pt idx="1758">
                  <c:v>13.301181322626899</c:v>
                </c:pt>
                <c:pt idx="1759">
                  <c:v>13.3656157263507</c:v>
                </c:pt>
                <c:pt idx="1760">
                  <c:v>13.3639317651654</c:v>
                </c:pt>
                <c:pt idx="1761">
                  <c:v>13.412150778924101</c:v>
                </c:pt>
                <c:pt idx="1762">
                  <c:v>13.412946614536001</c:v>
                </c:pt>
                <c:pt idx="1763">
                  <c:v>13.4295507123008</c:v>
                </c:pt>
                <c:pt idx="1764">
                  <c:v>13.4329367909483</c:v>
                </c:pt>
                <c:pt idx="1765">
                  <c:v>13.462155830768801</c:v>
                </c:pt>
                <c:pt idx="1766">
                  <c:v>13.4980774349842</c:v>
                </c:pt>
                <c:pt idx="1767">
                  <c:v>13.4912020484257</c:v>
                </c:pt>
                <c:pt idx="1768">
                  <c:v>13.4581319360128</c:v>
                </c:pt>
                <c:pt idx="1769">
                  <c:v>13.4805268543062</c:v>
                </c:pt>
                <c:pt idx="1770">
                  <c:v>13.4797360155817</c:v>
                </c:pt>
                <c:pt idx="1771">
                  <c:v>13.533132221474199</c:v>
                </c:pt>
                <c:pt idx="1772">
                  <c:v>13.554821778890799</c:v>
                </c:pt>
                <c:pt idx="1773">
                  <c:v>13.5581446880656</c:v>
                </c:pt>
                <c:pt idx="1774">
                  <c:v>13.558269940426401</c:v>
                </c:pt>
                <c:pt idx="1775">
                  <c:v>13.590706426091</c:v>
                </c:pt>
                <c:pt idx="1776">
                  <c:v>13.580488899848399</c:v>
                </c:pt>
                <c:pt idx="1777">
                  <c:v>13.613503748438299</c:v>
                </c:pt>
                <c:pt idx="1778">
                  <c:v>13.645557851781399</c:v>
                </c:pt>
                <c:pt idx="1779">
                  <c:v>13.648523680185599</c:v>
                </c:pt>
                <c:pt idx="1780">
                  <c:v>13.655042333291499</c:v>
                </c:pt>
                <c:pt idx="1781">
                  <c:v>13.7034733870934</c:v>
                </c:pt>
                <c:pt idx="1782">
                  <c:v>13.543223683588799</c:v>
                </c:pt>
                <c:pt idx="1783">
                  <c:v>13.6412835259984</c:v>
                </c:pt>
                <c:pt idx="1784">
                  <c:v>13.6614234687042</c:v>
                </c:pt>
                <c:pt idx="1785">
                  <c:v>13.663214370499</c:v>
                </c:pt>
                <c:pt idx="1786">
                  <c:v>13.697764440658901</c:v>
                </c:pt>
                <c:pt idx="1787">
                  <c:v>13.669796570013901</c:v>
                </c:pt>
                <c:pt idx="1788">
                  <c:v>13.724450941672</c:v>
                </c:pt>
                <c:pt idx="1789">
                  <c:v>13.7231909148458</c:v>
                </c:pt>
                <c:pt idx="1790">
                  <c:v>13.7768318799219</c:v>
                </c:pt>
                <c:pt idx="1791">
                  <c:v>13.8090751985381</c:v>
                </c:pt>
                <c:pt idx="1792">
                  <c:v>13.793825903066599</c:v>
                </c:pt>
                <c:pt idx="1793">
                  <c:v>13.804820942177001</c:v>
                </c:pt>
                <c:pt idx="1794">
                  <c:v>13.8342297100449</c:v>
                </c:pt>
                <c:pt idx="1795">
                  <c:v>13.878590204991299</c:v>
                </c:pt>
                <c:pt idx="1796">
                  <c:v>13.9069164918296</c:v>
                </c:pt>
                <c:pt idx="1797">
                  <c:v>13.883160198067401</c:v>
                </c:pt>
                <c:pt idx="1798">
                  <c:v>13.898932835159201</c:v>
                </c:pt>
                <c:pt idx="1799">
                  <c:v>13.897727187402401</c:v>
                </c:pt>
                <c:pt idx="1800">
                  <c:v>13.8704298303503</c:v>
                </c:pt>
                <c:pt idx="1801">
                  <c:v>13.921064609769999</c:v>
                </c:pt>
                <c:pt idx="1802">
                  <c:v>13.960519927816399</c:v>
                </c:pt>
                <c:pt idx="1803">
                  <c:v>13.9677177918489</c:v>
                </c:pt>
                <c:pt idx="1804">
                  <c:v>13.9780646033694</c:v>
                </c:pt>
                <c:pt idx="1805">
                  <c:v>13.987581876422</c:v>
                </c:pt>
                <c:pt idx="1806">
                  <c:v>13.9910837129986</c:v>
                </c:pt>
                <c:pt idx="1807">
                  <c:v>13.8168900467189</c:v>
                </c:pt>
                <c:pt idx="1808">
                  <c:v>13.796055158119101</c:v>
                </c:pt>
                <c:pt idx="1809">
                  <c:v>13.830520086040099</c:v>
                </c:pt>
                <c:pt idx="1810">
                  <c:v>13.877873095782601</c:v>
                </c:pt>
                <c:pt idx="1811">
                  <c:v>13.8923265896471</c:v>
                </c:pt>
                <c:pt idx="1812">
                  <c:v>13.907577186711499</c:v>
                </c:pt>
                <c:pt idx="1813">
                  <c:v>13.9347591269104</c:v>
                </c:pt>
                <c:pt idx="1814">
                  <c:v>13.9733721903561</c:v>
                </c:pt>
                <c:pt idx="1815">
                  <c:v>13.9591748559771</c:v>
                </c:pt>
                <c:pt idx="1816">
                  <c:v>13.998792151278</c:v>
                </c:pt>
                <c:pt idx="1817">
                  <c:v>14.010188978477901</c:v>
                </c:pt>
                <c:pt idx="1818">
                  <c:v>14.045061856561899</c:v>
                </c:pt>
                <c:pt idx="1819">
                  <c:v>14.0030571102454</c:v>
                </c:pt>
                <c:pt idx="1820">
                  <c:v>14.020247441242599</c:v>
                </c:pt>
                <c:pt idx="1821">
                  <c:v>14.042591202709399</c:v>
                </c:pt>
                <c:pt idx="1822">
                  <c:v>14.0502711343977</c:v>
                </c:pt>
                <c:pt idx="1823">
                  <c:v>14.078645810802399</c:v>
                </c:pt>
                <c:pt idx="1824">
                  <c:v>14.0739421779704</c:v>
                </c:pt>
                <c:pt idx="1825">
                  <c:v>14.0918432571489</c:v>
                </c:pt>
                <c:pt idx="1826">
                  <c:v>14.122424663363599</c:v>
                </c:pt>
                <c:pt idx="1827">
                  <c:v>14.111139517686199</c:v>
                </c:pt>
                <c:pt idx="1828">
                  <c:v>14.1543944076084</c:v>
                </c:pt>
                <c:pt idx="1829">
                  <c:v>14.1566512544708</c:v>
                </c:pt>
                <c:pt idx="1830">
                  <c:v>14.1670412729357</c:v>
                </c:pt>
                <c:pt idx="1831">
                  <c:v>14.198219885268999</c:v>
                </c:pt>
                <c:pt idx="1832">
                  <c:v>14.1935403777742</c:v>
                </c:pt>
                <c:pt idx="1833">
                  <c:v>14.2247956874719</c:v>
                </c:pt>
                <c:pt idx="1834">
                  <c:v>14.2515413890783</c:v>
                </c:pt>
                <c:pt idx="1835">
                  <c:v>14.2715495502779</c:v>
                </c:pt>
                <c:pt idx="1836">
                  <c:v>14.2858965875376</c:v>
                </c:pt>
                <c:pt idx="1837">
                  <c:v>14.305251781782699</c:v>
                </c:pt>
                <c:pt idx="1838">
                  <c:v>14.2959329014395</c:v>
                </c:pt>
                <c:pt idx="1839">
                  <c:v>14.288755198125401</c:v>
                </c:pt>
                <c:pt idx="1840">
                  <c:v>14.2943506378121</c:v>
                </c:pt>
                <c:pt idx="1841">
                  <c:v>14.311009989891801</c:v>
                </c:pt>
                <c:pt idx="1842">
                  <c:v>14.348544876350999</c:v>
                </c:pt>
                <c:pt idx="1843">
                  <c:v>14.318782102163301</c:v>
                </c:pt>
                <c:pt idx="1844">
                  <c:v>14.3382373475027</c:v>
                </c:pt>
                <c:pt idx="1845">
                  <c:v>14.3523128862739</c:v>
                </c:pt>
                <c:pt idx="1846">
                  <c:v>14.3805246335899</c:v>
                </c:pt>
                <c:pt idx="1847">
                  <c:v>14.3326386789876</c:v>
                </c:pt>
                <c:pt idx="1848">
                  <c:v>14.3679138701754</c:v>
                </c:pt>
                <c:pt idx="1849">
                  <c:v>14.386610646522501</c:v>
                </c:pt>
                <c:pt idx="1850">
                  <c:v>14.4299972473141</c:v>
                </c:pt>
                <c:pt idx="1851">
                  <c:v>14.4475600500443</c:v>
                </c:pt>
                <c:pt idx="1852">
                  <c:v>14.4182791536157</c:v>
                </c:pt>
                <c:pt idx="1853">
                  <c:v>14.4621745936235</c:v>
                </c:pt>
                <c:pt idx="1854">
                  <c:v>14.440381290797401</c:v>
                </c:pt>
                <c:pt idx="1855">
                  <c:v>14.4579536310736</c:v>
                </c:pt>
                <c:pt idx="1856">
                  <c:v>14.473168639530099</c:v>
                </c:pt>
                <c:pt idx="1857">
                  <c:v>14.496951524447301</c:v>
                </c:pt>
                <c:pt idx="1858">
                  <c:v>14.478350147531</c:v>
                </c:pt>
                <c:pt idx="1859">
                  <c:v>14.447725144427</c:v>
                </c:pt>
                <c:pt idx="1860">
                  <c:v>14.475244546934</c:v>
                </c:pt>
                <c:pt idx="1861">
                  <c:v>14.4981641059588</c:v>
                </c:pt>
                <c:pt idx="1862">
                  <c:v>14.4930436753548</c:v>
                </c:pt>
                <c:pt idx="1863">
                  <c:v>14.5176905618015</c:v>
                </c:pt>
                <c:pt idx="1864">
                  <c:v>14.516646662304201</c:v>
                </c:pt>
                <c:pt idx="1865">
                  <c:v>14.5000726032151</c:v>
                </c:pt>
                <c:pt idx="1866">
                  <c:v>14.521354138788301</c:v>
                </c:pt>
                <c:pt idx="1867">
                  <c:v>14.557736072512499</c:v>
                </c:pt>
                <c:pt idx="1868">
                  <c:v>14.5366270121055</c:v>
                </c:pt>
                <c:pt idx="1869">
                  <c:v>14.528167031535</c:v>
                </c:pt>
                <c:pt idx="1870">
                  <c:v>14.514352462441201</c:v>
                </c:pt>
                <c:pt idx="1871">
                  <c:v>14.548956016425199</c:v>
                </c:pt>
                <c:pt idx="1872">
                  <c:v>14.553330514275901</c:v>
                </c:pt>
                <c:pt idx="1873">
                  <c:v>14.5554413623674</c:v>
                </c:pt>
                <c:pt idx="1874">
                  <c:v>14.561991403559199</c:v>
                </c:pt>
                <c:pt idx="1875">
                  <c:v>14.579275995153299</c:v>
                </c:pt>
                <c:pt idx="1876">
                  <c:v>14.592044290046401</c:v>
                </c:pt>
                <c:pt idx="1877">
                  <c:v>14.588732502394301</c:v>
                </c:pt>
                <c:pt idx="1878">
                  <c:v>14.5795662367587</c:v>
                </c:pt>
                <c:pt idx="1879">
                  <c:v>14.6164629588758</c:v>
                </c:pt>
                <c:pt idx="1880">
                  <c:v>14.612986187711201</c:v>
                </c:pt>
                <c:pt idx="1881">
                  <c:v>14.598089726780101</c:v>
                </c:pt>
                <c:pt idx="1882">
                  <c:v>14.6008167707501</c:v>
                </c:pt>
                <c:pt idx="1883">
                  <c:v>14.619135132941199</c:v>
                </c:pt>
                <c:pt idx="1884">
                  <c:v>14.635251519215</c:v>
                </c:pt>
                <c:pt idx="1885">
                  <c:v>14.639910194859301</c:v>
                </c:pt>
                <c:pt idx="1886">
                  <c:v>14.637773881226201</c:v>
                </c:pt>
                <c:pt idx="1887">
                  <c:v>14.657386075426601</c:v>
                </c:pt>
                <c:pt idx="1888">
                  <c:v>14.642797859932699</c:v>
                </c:pt>
                <c:pt idx="1889">
                  <c:v>14.6640546865854</c:v>
                </c:pt>
                <c:pt idx="1890">
                  <c:v>14.6667978902674</c:v>
                </c:pt>
                <c:pt idx="1891">
                  <c:v>14.6649347090001</c:v>
                </c:pt>
                <c:pt idx="1892">
                  <c:v>14.683556351763499</c:v>
                </c:pt>
                <c:pt idx="1893">
                  <c:v>14.679047433393</c:v>
                </c:pt>
                <c:pt idx="1894">
                  <c:v>14.652493446102399</c:v>
                </c:pt>
                <c:pt idx="1895">
                  <c:v>14.6991072708028</c:v>
                </c:pt>
                <c:pt idx="1896">
                  <c:v>14.6540922163961</c:v>
                </c:pt>
                <c:pt idx="1897">
                  <c:v>14.666015098903401</c:v>
                </c:pt>
                <c:pt idx="1898">
                  <c:v>14.687084147812801</c:v>
                </c:pt>
                <c:pt idx="1899">
                  <c:v>14.7129698595545</c:v>
                </c:pt>
                <c:pt idx="1900">
                  <c:v>14.736206218097699</c:v>
                </c:pt>
                <c:pt idx="1901">
                  <c:v>14.755360641064801</c:v>
                </c:pt>
                <c:pt idx="1902">
                  <c:v>14.7632330056143</c:v>
                </c:pt>
                <c:pt idx="1903">
                  <c:v>14.753789399701001</c:v>
                </c:pt>
                <c:pt idx="1904">
                  <c:v>14.768240992907</c:v>
                </c:pt>
                <c:pt idx="1905">
                  <c:v>14.7614377254188</c:v>
                </c:pt>
                <c:pt idx="1906">
                  <c:v>14.780673834852999</c:v>
                </c:pt>
                <c:pt idx="1907">
                  <c:v>14.7714080739834</c:v>
                </c:pt>
                <c:pt idx="1908">
                  <c:v>14.817403851077399</c:v>
                </c:pt>
                <c:pt idx="1909">
                  <c:v>14.8072681880315</c:v>
                </c:pt>
                <c:pt idx="1910">
                  <c:v>14.8314421715541</c:v>
                </c:pt>
                <c:pt idx="1911">
                  <c:v>14.810626491233799</c:v>
                </c:pt>
                <c:pt idx="1912">
                  <c:v>14.7995703316207</c:v>
                </c:pt>
                <c:pt idx="1913">
                  <c:v>14.7906391743371</c:v>
                </c:pt>
                <c:pt idx="1914">
                  <c:v>14.816097147716899</c:v>
                </c:pt>
                <c:pt idx="1915">
                  <c:v>14.8069760778599</c:v>
                </c:pt>
                <c:pt idx="1916">
                  <c:v>14.8258803930842</c:v>
                </c:pt>
                <c:pt idx="1917">
                  <c:v>14.834819808457199</c:v>
                </c:pt>
                <c:pt idx="1918">
                  <c:v>14.814411571395</c:v>
                </c:pt>
                <c:pt idx="1919">
                  <c:v>14.8157056080004</c:v>
                </c:pt>
                <c:pt idx="1920">
                  <c:v>14.8246901772815</c:v>
                </c:pt>
                <c:pt idx="1921">
                  <c:v>14.8455138548139</c:v>
                </c:pt>
                <c:pt idx="1922">
                  <c:v>14.861702483100199</c:v>
                </c:pt>
                <c:pt idx="1923">
                  <c:v>14.8444765070596</c:v>
                </c:pt>
                <c:pt idx="1924">
                  <c:v>14.866290544108001</c:v>
                </c:pt>
                <c:pt idx="1925">
                  <c:v>14.901716832839501</c:v>
                </c:pt>
                <c:pt idx="1926">
                  <c:v>14.9021878090381</c:v>
                </c:pt>
                <c:pt idx="1927">
                  <c:v>14.9161396666311</c:v>
                </c:pt>
                <c:pt idx="1928">
                  <c:v>14.8640227543024</c:v>
                </c:pt>
                <c:pt idx="1929">
                  <c:v>14.873231606612</c:v>
                </c:pt>
                <c:pt idx="1930">
                  <c:v>14.904261746194001</c:v>
                </c:pt>
                <c:pt idx="1931">
                  <c:v>14.9076495117537</c:v>
                </c:pt>
                <c:pt idx="1932">
                  <c:v>14.9430616187014</c:v>
                </c:pt>
                <c:pt idx="1933">
                  <c:v>14.9253649425973</c:v>
                </c:pt>
                <c:pt idx="1934">
                  <c:v>14.922625749016101</c:v>
                </c:pt>
                <c:pt idx="1935">
                  <c:v>14.9532037197866</c:v>
                </c:pt>
                <c:pt idx="1936">
                  <c:v>14.941648934724</c:v>
                </c:pt>
                <c:pt idx="1937">
                  <c:v>14.978401934641999</c:v>
                </c:pt>
                <c:pt idx="1938">
                  <c:v>14.984859158943999</c:v>
                </c:pt>
                <c:pt idx="1939">
                  <c:v>14.991485746863701</c:v>
                </c:pt>
                <c:pt idx="1940">
                  <c:v>14.980880621125801</c:v>
                </c:pt>
                <c:pt idx="1941">
                  <c:v>14.9546611222711</c:v>
                </c:pt>
                <c:pt idx="1942">
                  <c:v>14.954658564061701</c:v>
                </c:pt>
                <c:pt idx="1943">
                  <c:v>14.9701930875512</c:v>
                </c:pt>
                <c:pt idx="1944">
                  <c:v>14.987519543627</c:v>
                </c:pt>
                <c:pt idx="1945">
                  <c:v>15.002402204491601</c:v>
                </c:pt>
                <c:pt idx="1946">
                  <c:v>14.997461067499501</c:v>
                </c:pt>
                <c:pt idx="1947">
                  <c:v>14.985356312218901</c:v>
                </c:pt>
                <c:pt idx="1948">
                  <c:v>15.004877490127299</c:v>
                </c:pt>
                <c:pt idx="1949">
                  <c:v>15.0228568439037</c:v>
                </c:pt>
                <c:pt idx="1950">
                  <c:v>15.062641903404799</c:v>
                </c:pt>
                <c:pt idx="1951">
                  <c:v>15.0659873065366</c:v>
                </c:pt>
                <c:pt idx="1952">
                  <c:v>15.0728584542208</c:v>
                </c:pt>
                <c:pt idx="1953">
                  <c:v>15.0251406798647</c:v>
                </c:pt>
                <c:pt idx="1954">
                  <c:v>15.0104060066217</c:v>
                </c:pt>
                <c:pt idx="1955">
                  <c:v>15.024793705215201</c:v>
                </c:pt>
                <c:pt idx="1956">
                  <c:v>15.031979173553101</c:v>
                </c:pt>
                <c:pt idx="1957">
                  <c:v>15.0582082646609</c:v>
                </c:pt>
                <c:pt idx="1958">
                  <c:v>15.073231546834601</c:v>
                </c:pt>
                <c:pt idx="1959">
                  <c:v>15.0849940763818</c:v>
                </c:pt>
                <c:pt idx="1960">
                  <c:v>15.0890477842658</c:v>
                </c:pt>
                <c:pt idx="1961">
                  <c:v>15.065073785688799</c:v>
                </c:pt>
                <c:pt idx="1962">
                  <c:v>15.0665376124022</c:v>
                </c:pt>
                <c:pt idx="1963">
                  <c:v>15.0693169065321</c:v>
                </c:pt>
                <c:pt idx="1964">
                  <c:v>15.089480592033199</c:v>
                </c:pt>
                <c:pt idx="1965">
                  <c:v>15.116270216723599</c:v>
                </c:pt>
                <c:pt idx="1966">
                  <c:v>15.1028401739717</c:v>
                </c:pt>
                <c:pt idx="1967">
                  <c:v>15.0766182130406</c:v>
                </c:pt>
                <c:pt idx="1968">
                  <c:v>15.1195323831951</c:v>
                </c:pt>
                <c:pt idx="1969">
                  <c:v>15.112505723519201</c:v>
                </c:pt>
                <c:pt idx="1970">
                  <c:v>15.112596383166</c:v>
                </c:pt>
                <c:pt idx="1971">
                  <c:v>15.1291409348961</c:v>
                </c:pt>
                <c:pt idx="1972">
                  <c:v>15.1215372151535</c:v>
                </c:pt>
                <c:pt idx="1973">
                  <c:v>15.1346030101155</c:v>
                </c:pt>
                <c:pt idx="1974">
                  <c:v>15.158900821932701</c:v>
                </c:pt>
                <c:pt idx="1975">
                  <c:v>15.163783903733799</c:v>
                </c:pt>
                <c:pt idx="1976">
                  <c:v>15.1871927033422</c:v>
                </c:pt>
                <c:pt idx="1977">
                  <c:v>15.1184094416524</c:v>
                </c:pt>
                <c:pt idx="1978">
                  <c:v>15.1613887621856</c:v>
                </c:pt>
                <c:pt idx="1979">
                  <c:v>15.150298351050401</c:v>
                </c:pt>
                <c:pt idx="1980">
                  <c:v>15.1353788457245</c:v>
                </c:pt>
                <c:pt idx="1981">
                  <c:v>15.1658452588351</c:v>
                </c:pt>
                <c:pt idx="1982">
                  <c:v>15.1727689612548</c:v>
                </c:pt>
                <c:pt idx="1983">
                  <c:v>15.193902562463199</c:v>
                </c:pt>
                <c:pt idx="1984">
                  <c:v>15.1960765527813</c:v>
                </c:pt>
                <c:pt idx="1985">
                  <c:v>15.2008441640518</c:v>
                </c:pt>
                <c:pt idx="1986">
                  <c:v>15.195335393012799</c:v>
                </c:pt>
                <c:pt idx="1987">
                  <c:v>15.207919642085299</c:v>
                </c:pt>
                <c:pt idx="1988">
                  <c:v>15.247390466725101</c:v>
                </c:pt>
                <c:pt idx="1989">
                  <c:v>15.2438304599302</c:v>
                </c:pt>
                <c:pt idx="1990">
                  <c:v>15.2246037895606</c:v>
                </c:pt>
                <c:pt idx="1991">
                  <c:v>15.2114484317205</c:v>
                </c:pt>
                <c:pt idx="1992">
                  <c:v>15.232912086813601</c:v>
                </c:pt>
                <c:pt idx="1993">
                  <c:v>15.2719824528525</c:v>
                </c:pt>
                <c:pt idx="1994">
                  <c:v>15.229648268465301</c:v>
                </c:pt>
                <c:pt idx="1995">
                  <c:v>15.2280704296846</c:v>
                </c:pt>
                <c:pt idx="1996">
                  <c:v>15.2638930481695</c:v>
                </c:pt>
                <c:pt idx="1997">
                  <c:v>15.247028530341399</c:v>
                </c:pt>
                <c:pt idx="1998">
                  <c:v>15.2651739005137</c:v>
                </c:pt>
                <c:pt idx="1999">
                  <c:v>15.2428046210406</c:v>
                </c:pt>
                <c:pt idx="2000">
                  <c:v>15.279126043339</c:v>
                </c:pt>
                <c:pt idx="2001">
                  <c:v>15.281883740087199</c:v>
                </c:pt>
                <c:pt idx="2002">
                  <c:v>15.2555814058256</c:v>
                </c:pt>
                <c:pt idx="2003">
                  <c:v>15.2702084460112</c:v>
                </c:pt>
                <c:pt idx="2004">
                  <c:v>15.2740207351646</c:v>
                </c:pt>
                <c:pt idx="2005">
                  <c:v>15.292228220291401</c:v>
                </c:pt>
                <c:pt idx="2006">
                  <c:v>15.2800915902714</c:v>
                </c:pt>
                <c:pt idx="2007">
                  <c:v>15.2977075023284</c:v>
                </c:pt>
                <c:pt idx="2008">
                  <c:v>15.3052954659808</c:v>
                </c:pt>
                <c:pt idx="2009">
                  <c:v>15.306943530489599</c:v>
                </c:pt>
                <c:pt idx="2010">
                  <c:v>15.284862417156299</c:v>
                </c:pt>
                <c:pt idx="2011">
                  <c:v>15.3102764833985</c:v>
                </c:pt>
                <c:pt idx="2012">
                  <c:v>15.331457566268</c:v>
                </c:pt>
                <c:pt idx="2013">
                  <c:v>15.3265581854914</c:v>
                </c:pt>
                <c:pt idx="2014">
                  <c:v>15.3406417543543</c:v>
                </c:pt>
                <c:pt idx="2015">
                  <c:v>15.335059470589799</c:v>
                </c:pt>
                <c:pt idx="2016">
                  <c:v>15.306187228153499</c:v>
                </c:pt>
                <c:pt idx="2017">
                  <c:v>15.3192855911939</c:v>
                </c:pt>
                <c:pt idx="2018">
                  <c:v>15.351248843020899</c:v>
                </c:pt>
                <c:pt idx="2019">
                  <c:v>15.3666242570738</c:v>
                </c:pt>
                <c:pt idx="2020">
                  <c:v>15.3270524481887</c:v>
                </c:pt>
                <c:pt idx="2021">
                  <c:v>15.3419412350421</c:v>
                </c:pt>
                <c:pt idx="2022">
                  <c:v>15.3606644169717</c:v>
                </c:pt>
                <c:pt idx="2023">
                  <c:v>15.340158691462699</c:v>
                </c:pt>
                <c:pt idx="2024">
                  <c:v>15.345120065712599</c:v>
                </c:pt>
                <c:pt idx="2025">
                  <c:v>15.337449972533699</c:v>
                </c:pt>
                <c:pt idx="2026">
                  <c:v>15.3547215539921</c:v>
                </c:pt>
                <c:pt idx="2027">
                  <c:v>15.3664166429002</c:v>
                </c:pt>
                <c:pt idx="2028">
                  <c:v>15.3707818296756</c:v>
                </c:pt>
                <c:pt idx="2029">
                  <c:v>15.3783961724544</c:v>
                </c:pt>
                <c:pt idx="2030">
                  <c:v>15.3500091450419</c:v>
                </c:pt>
                <c:pt idx="2031">
                  <c:v>15.379789924447</c:v>
                </c:pt>
                <c:pt idx="2032">
                  <c:v>15.386236943999499</c:v>
                </c:pt>
                <c:pt idx="2033">
                  <c:v>15.378066645096601</c:v>
                </c:pt>
                <c:pt idx="2034">
                  <c:v>15.378640071577101</c:v>
                </c:pt>
                <c:pt idx="2035">
                  <c:v>15.3667913230979</c:v>
                </c:pt>
                <c:pt idx="2036">
                  <c:v>15.3888059751532</c:v>
                </c:pt>
                <c:pt idx="2037">
                  <c:v>15.396512709711301</c:v>
                </c:pt>
                <c:pt idx="2038">
                  <c:v>15.4049357625747</c:v>
                </c:pt>
                <c:pt idx="2039">
                  <c:v>15.394853595834601</c:v>
                </c:pt>
                <c:pt idx="2040">
                  <c:v>15.4059707023795</c:v>
                </c:pt>
                <c:pt idx="2041">
                  <c:v>15.4069831050203</c:v>
                </c:pt>
                <c:pt idx="2042">
                  <c:v>15.402944601574101</c:v>
                </c:pt>
                <c:pt idx="2043">
                  <c:v>15.401793445305399</c:v>
                </c:pt>
                <c:pt idx="2044">
                  <c:v>15.4101971591714</c:v>
                </c:pt>
                <c:pt idx="2045">
                  <c:v>15.3766027116564</c:v>
                </c:pt>
                <c:pt idx="2046">
                  <c:v>15.4024236627476</c:v>
                </c:pt>
                <c:pt idx="2047">
                  <c:v>15.4027869313952</c:v>
                </c:pt>
                <c:pt idx="2048">
                  <c:v>15.417840444838101</c:v>
                </c:pt>
                <c:pt idx="2049">
                  <c:v>15.417346221543299</c:v>
                </c:pt>
                <c:pt idx="2050">
                  <c:v>15.3939702977491</c:v>
                </c:pt>
                <c:pt idx="2051">
                  <c:v>15.396362623744899</c:v>
                </c:pt>
                <c:pt idx="2052">
                  <c:v>15.424218275919101</c:v>
                </c:pt>
                <c:pt idx="2053">
                  <c:v>15.430812850914601</c:v>
                </c:pt>
                <c:pt idx="2054">
                  <c:v>15.433414122727701</c:v>
                </c:pt>
                <c:pt idx="2055">
                  <c:v>15.4112091357024</c:v>
                </c:pt>
                <c:pt idx="2056">
                  <c:v>15.427539133556699</c:v>
                </c:pt>
                <c:pt idx="2057">
                  <c:v>15.4355747065208</c:v>
                </c:pt>
                <c:pt idx="2058">
                  <c:v>15.415122242479599</c:v>
                </c:pt>
                <c:pt idx="2059">
                  <c:v>15.4124553067119</c:v>
                </c:pt>
                <c:pt idx="2060">
                  <c:v>15.417225405520201</c:v>
                </c:pt>
                <c:pt idx="2061">
                  <c:v>15.4271360690203</c:v>
                </c:pt>
                <c:pt idx="2062">
                  <c:v>15.4181219161469</c:v>
                </c:pt>
                <c:pt idx="2063">
                  <c:v>15.429556919216999</c:v>
                </c:pt>
                <c:pt idx="2064">
                  <c:v>15.446951399510199</c:v>
                </c:pt>
                <c:pt idx="2065">
                  <c:v>15.4229106872616</c:v>
                </c:pt>
                <c:pt idx="2066">
                  <c:v>15.408004950451</c:v>
                </c:pt>
                <c:pt idx="2067">
                  <c:v>15.4199913702651</c:v>
                </c:pt>
                <c:pt idx="2068">
                  <c:v>15.4170551240572</c:v>
                </c:pt>
                <c:pt idx="2069">
                  <c:v>15.4298596437435</c:v>
                </c:pt>
                <c:pt idx="2070">
                  <c:v>15.414044299757199</c:v>
                </c:pt>
                <c:pt idx="2071">
                  <c:v>15.4218991470775</c:v>
                </c:pt>
                <c:pt idx="2072">
                  <c:v>15.4295522027034</c:v>
                </c:pt>
                <c:pt idx="2073">
                  <c:v>15.401723521722801</c:v>
                </c:pt>
                <c:pt idx="2074">
                  <c:v>15.401640798112</c:v>
                </c:pt>
                <c:pt idx="2075">
                  <c:v>15.4339078181597</c:v>
                </c:pt>
                <c:pt idx="2076">
                  <c:v>15.411367602819301</c:v>
                </c:pt>
                <c:pt idx="2077">
                  <c:v>15.4033994113954</c:v>
                </c:pt>
                <c:pt idx="2078">
                  <c:v>15.3842677608681</c:v>
                </c:pt>
                <c:pt idx="2079">
                  <c:v>15.404442900234001</c:v>
                </c:pt>
                <c:pt idx="2080">
                  <c:v>15.3950339340397</c:v>
                </c:pt>
                <c:pt idx="2081">
                  <c:v>15.407287999871199</c:v>
                </c:pt>
                <c:pt idx="2082">
                  <c:v>15.3921576342123</c:v>
                </c:pt>
                <c:pt idx="2083">
                  <c:v>15.389845887473999</c:v>
                </c:pt>
                <c:pt idx="2084">
                  <c:v>15.39560449995</c:v>
                </c:pt>
                <c:pt idx="2085">
                  <c:v>15.392011667557201</c:v>
                </c:pt>
                <c:pt idx="2086">
                  <c:v>15.382482715243199</c:v>
                </c:pt>
                <c:pt idx="2087">
                  <c:v>15.3511700668389</c:v>
                </c:pt>
                <c:pt idx="2088">
                  <c:v>15.371655253598201</c:v>
                </c:pt>
                <c:pt idx="2089">
                  <c:v>15.3582995824463</c:v>
                </c:pt>
                <c:pt idx="2090">
                  <c:v>15.3470785453632</c:v>
                </c:pt>
                <c:pt idx="2091">
                  <c:v>15.3559371856235</c:v>
                </c:pt>
                <c:pt idx="2092">
                  <c:v>15.3699778766601</c:v>
                </c:pt>
                <c:pt idx="2093">
                  <c:v>15.369306524046999</c:v>
                </c:pt>
                <c:pt idx="2094">
                  <c:v>15.3629062732579</c:v>
                </c:pt>
                <c:pt idx="2095">
                  <c:v>15.3541220808606</c:v>
                </c:pt>
                <c:pt idx="2096">
                  <c:v>15.317123181978999</c:v>
                </c:pt>
                <c:pt idx="2097">
                  <c:v>15.344243773871799</c:v>
                </c:pt>
                <c:pt idx="2098">
                  <c:v>15.328513350066499</c:v>
                </c:pt>
                <c:pt idx="2099">
                  <c:v>15.323208031908401</c:v>
                </c:pt>
                <c:pt idx="2100">
                  <c:v>15.3373126219581</c:v>
                </c:pt>
                <c:pt idx="2101">
                  <c:v>15.291159038037501</c:v>
                </c:pt>
                <c:pt idx="2102">
                  <c:v>15.2869478240909</c:v>
                </c:pt>
                <c:pt idx="2103">
                  <c:v>15.2982012299743</c:v>
                </c:pt>
                <c:pt idx="2104">
                  <c:v>15.2945415503898</c:v>
                </c:pt>
                <c:pt idx="2105">
                  <c:v>15.298863172511799</c:v>
                </c:pt>
                <c:pt idx="2106">
                  <c:v>15.305076908255799</c:v>
                </c:pt>
                <c:pt idx="2107">
                  <c:v>15.301469219016999</c:v>
                </c:pt>
                <c:pt idx="2108">
                  <c:v>15.2853155864751</c:v>
                </c:pt>
                <c:pt idx="2109">
                  <c:v>15.2768433861965</c:v>
                </c:pt>
                <c:pt idx="2110">
                  <c:v>15.2704083618375</c:v>
                </c:pt>
                <c:pt idx="2111">
                  <c:v>15.256932238190201</c:v>
                </c:pt>
                <c:pt idx="2112">
                  <c:v>15.257473975334401</c:v>
                </c:pt>
                <c:pt idx="2113">
                  <c:v>15.2617401373669</c:v>
                </c:pt>
                <c:pt idx="2114">
                  <c:v>15.2453722574958</c:v>
                </c:pt>
                <c:pt idx="2115">
                  <c:v>15.238917615686599</c:v>
                </c:pt>
                <c:pt idx="2116">
                  <c:v>15.223519520282199</c:v>
                </c:pt>
                <c:pt idx="2117">
                  <c:v>15.217676982773201</c:v>
                </c:pt>
                <c:pt idx="2118">
                  <c:v>15.224284039903999</c:v>
                </c:pt>
                <c:pt idx="2119">
                  <c:v>15.2207732395752</c:v>
                </c:pt>
                <c:pt idx="2120">
                  <c:v>15.219628122763</c:v>
                </c:pt>
                <c:pt idx="2121">
                  <c:v>15.198858128692301</c:v>
                </c:pt>
                <c:pt idx="2122">
                  <c:v>15.2033439895588</c:v>
                </c:pt>
                <c:pt idx="2123">
                  <c:v>15.1905136258087</c:v>
                </c:pt>
                <c:pt idx="2124">
                  <c:v>15.180179322333201</c:v>
                </c:pt>
                <c:pt idx="2125">
                  <c:v>15.179252494210701</c:v>
                </c:pt>
                <c:pt idx="2126">
                  <c:v>15.1597618122266</c:v>
                </c:pt>
                <c:pt idx="2127">
                  <c:v>15.181456187133399</c:v>
                </c:pt>
                <c:pt idx="2128">
                  <c:v>15.192816299512399</c:v>
                </c:pt>
                <c:pt idx="2129">
                  <c:v>15.1676497294748</c:v>
                </c:pt>
                <c:pt idx="2130">
                  <c:v>15.191139754143901</c:v>
                </c:pt>
                <c:pt idx="2131">
                  <c:v>15.183579399912899</c:v>
                </c:pt>
                <c:pt idx="2132">
                  <c:v>15.190721720413601</c:v>
                </c:pt>
                <c:pt idx="2133">
                  <c:v>15.1874693837843</c:v>
                </c:pt>
                <c:pt idx="2134">
                  <c:v>15.1853996421037</c:v>
                </c:pt>
                <c:pt idx="2135">
                  <c:v>15.1932520917356</c:v>
                </c:pt>
                <c:pt idx="2136">
                  <c:v>15.175217800550699</c:v>
                </c:pt>
                <c:pt idx="2137">
                  <c:v>15.179523552698701</c:v>
                </c:pt>
                <c:pt idx="2138">
                  <c:v>15.1960379925782</c:v>
                </c:pt>
                <c:pt idx="2139">
                  <c:v>15.1668536675545</c:v>
                </c:pt>
                <c:pt idx="2140">
                  <c:v>15.185722349529801</c:v>
                </c:pt>
                <c:pt idx="2141">
                  <c:v>15.1800606511921</c:v>
                </c:pt>
                <c:pt idx="2142">
                  <c:v>15.186644777488301</c:v>
                </c:pt>
                <c:pt idx="2143">
                  <c:v>15.1938830671562</c:v>
                </c:pt>
                <c:pt idx="2144">
                  <c:v>15.1936733650712</c:v>
                </c:pt>
                <c:pt idx="2145">
                  <c:v>15.1705738175352</c:v>
                </c:pt>
                <c:pt idx="2146">
                  <c:v>15.179425993408501</c:v>
                </c:pt>
                <c:pt idx="2147">
                  <c:v>15.1778647190726</c:v>
                </c:pt>
                <c:pt idx="2148">
                  <c:v>15.182474387214</c:v>
                </c:pt>
                <c:pt idx="2149">
                  <c:v>15.183948841981801</c:v>
                </c:pt>
                <c:pt idx="2150">
                  <c:v>15.194748967131799</c:v>
                </c:pt>
                <c:pt idx="2151">
                  <c:v>15.192382242785699</c:v>
                </c:pt>
                <c:pt idx="2152">
                  <c:v>15.175237562040399</c:v>
                </c:pt>
                <c:pt idx="2153">
                  <c:v>15.1816785722771</c:v>
                </c:pt>
                <c:pt idx="2154">
                  <c:v>15.170560536969401</c:v>
                </c:pt>
                <c:pt idx="2155">
                  <c:v>15.187775254879201</c:v>
                </c:pt>
                <c:pt idx="2156">
                  <c:v>15.196407343292</c:v>
                </c:pt>
                <c:pt idx="2157">
                  <c:v>15.1912407595254</c:v>
                </c:pt>
                <c:pt idx="2158">
                  <c:v>15.1817053103006</c:v>
                </c:pt>
                <c:pt idx="2159">
                  <c:v>15.1482224839797</c:v>
                </c:pt>
                <c:pt idx="2160">
                  <c:v>15.1459149278644</c:v>
                </c:pt>
                <c:pt idx="2161">
                  <c:v>15.166071133555301</c:v>
                </c:pt>
                <c:pt idx="2162">
                  <c:v>15.1588866249581</c:v>
                </c:pt>
                <c:pt idx="2163">
                  <c:v>15.1633449939706</c:v>
                </c:pt>
                <c:pt idx="2164">
                  <c:v>15.176029258477699</c:v>
                </c:pt>
                <c:pt idx="2165">
                  <c:v>15.1881606170863</c:v>
                </c:pt>
                <c:pt idx="2166">
                  <c:v>15.173203902793601</c:v>
                </c:pt>
                <c:pt idx="2167">
                  <c:v>15.1632726695501</c:v>
                </c:pt>
                <c:pt idx="2168">
                  <c:v>15.1606776255264</c:v>
                </c:pt>
                <c:pt idx="2169">
                  <c:v>15.162410621886099</c:v>
                </c:pt>
                <c:pt idx="2170">
                  <c:v>15.160284130220001</c:v>
                </c:pt>
                <c:pt idx="2171">
                  <c:v>15.1647959745353</c:v>
                </c:pt>
                <c:pt idx="2172">
                  <c:v>15.1656139049221</c:v>
                </c:pt>
                <c:pt idx="2173">
                  <c:v>15.165700588879099</c:v>
                </c:pt>
                <c:pt idx="2174">
                  <c:v>15.171430245723901</c:v>
                </c:pt>
                <c:pt idx="2175">
                  <c:v>15.1402829213774</c:v>
                </c:pt>
                <c:pt idx="2176">
                  <c:v>15.1619463458161</c:v>
                </c:pt>
                <c:pt idx="2177">
                  <c:v>15.170402177128899</c:v>
                </c:pt>
                <c:pt idx="2178">
                  <c:v>15.162462441046801</c:v>
                </c:pt>
                <c:pt idx="2179">
                  <c:v>15.156063599562099</c:v>
                </c:pt>
                <c:pt idx="2180">
                  <c:v>15.150360952519</c:v>
                </c:pt>
                <c:pt idx="2181">
                  <c:v>15.1600340584317</c:v>
                </c:pt>
                <c:pt idx="2182">
                  <c:v>15.1587459796001</c:v>
                </c:pt>
                <c:pt idx="2183">
                  <c:v>15.156374947533999</c:v>
                </c:pt>
                <c:pt idx="2184">
                  <c:v>15.1553661544558</c:v>
                </c:pt>
                <c:pt idx="2185">
                  <c:v>15.151930752467701</c:v>
                </c:pt>
                <c:pt idx="2186">
                  <c:v>15.173416353043701</c:v>
                </c:pt>
                <c:pt idx="2187">
                  <c:v>15.161014190771599</c:v>
                </c:pt>
                <c:pt idx="2188">
                  <c:v>15.160461562758099</c:v>
                </c:pt>
                <c:pt idx="2189">
                  <c:v>15.1575400184804</c:v>
                </c:pt>
                <c:pt idx="2190">
                  <c:v>15.159423462073899</c:v>
                </c:pt>
                <c:pt idx="2191">
                  <c:v>15.1455063525461</c:v>
                </c:pt>
                <c:pt idx="2192">
                  <c:v>15.1581332607819</c:v>
                </c:pt>
                <c:pt idx="2193">
                  <c:v>15.163651270968399</c:v>
                </c:pt>
                <c:pt idx="2194">
                  <c:v>15.1435785540859</c:v>
                </c:pt>
                <c:pt idx="2195">
                  <c:v>15.1563293746971</c:v>
                </c:pt>
                <c:pt idx="2196">
                  <c:v>15.160993562077</c:v>
                </c:pt>
                <c:pt idx="2197">
                  <c:v>15.1601011686507</c:v>
                </c:pt>
                <c:pt idx="2198">
                  <c:v>15.150092271100201</c:v>
                </c:pt>
                <c:pt idx="2199">
                  <c:v>15.148696831078899</c:v>
                </c:pt>
                <c:pt idx="2200">
                  <c:v>15.122038629474501</c:v>
                </c:pt>
                <c:pt idx="2201">
                  <c:v>15.103343745177501</c:v>
                </c:pt>
                <c:pt idx="2202">
                  <c:v>15.1254913401718</c:v>
                </c:pt>
                <c:pt idx="2203">
                  <c:v>15.1303845435034</c:v>
                </c:pt>
                <c:pt idx="2204">
                  <c:v>15.1420894514018</c:v>
                </c:pt>
                <c:pt idx="2205">
                  <c:v>15.138279996644799</c:v>
                </c:pt>
                <c:pt idx="2206">
                  <c:v>15.114945163845499</c:v>
                </c:pt>
                <c:pt idx="2207">
                  <c:v>15.1377992248688</c:v>
                </c:pt>
                <c:pt idx="2208">
                  <c:v>15.120160839688699</c:v>
                </c:pt>
                <c:pt idx="2209">
                  <c:v>15.125854027827501</c:v>
                </c:pt>
                <c:pt idx="2210">
                  <c:v>15.117864211462299</c:v>
                </c:pt>
                <c:pt idx="2211">
                  <c:v>15.133036617245899</c:v>
                </c:pt>
                <c:pt idx="2212">
                  <c:v>15.1368624686424</c:v>
                </c:pt>
                <c:pt idx="2213">
                  <c:v>15.1259444397942</c:v>
                </c:pt>
                <c:pt idx="2214">
                  <c:v>15.1235698939372</c:v>
                </c:pt>
                <c:pt idx="2215">
                  <c:v>15.1258597138604</c:v>
                </c:pt>
                <c:pt idx="2216">
                  <c:v>15.117727643712</c:v>
                </c:pt>
                <c:pt idx="2217">
                  <c:v>15.128709259290201</c:v>
                </c:pt>
                <c:pt idx="2218">
                  <c:v>15.131486004788901</c:v>
                </c:pt>
                <c:pt idx="2219">
                  <c:v>15.1114392386188</c:v>
                </c:pt>
                <c:pt idx="2220">
                  <c:v>15.113526684889001</c:v>
                </c:pt>
                <c:pt idx="2221">
                  <c:v>15.1018340574356</c:v>
                </c:pt>
                <c:pt idx="2222">
                  <c:v>15.093774296950899</c:v>
                </c:pt>
                <c:pt idx="2223">
                  <c:v>15.1067707773388</c:v>
                </c:pt>
                <c:pt idx="2224">
                  <c:v>15.110755575939001</c:v>
                </c:pt>
                <c:pt idx="2225">
                  <c:v>15.0926741100555</c:v>
                </c:pt>
                <c:pt idx="2226">
                  <c:v>15.103920086672201</c:v>
                </c:pt>
                <c:pt idx="2227">
                  <c:v>15.1002257727811</c:v>
                </c:pt>
                <c:pt idx="2228">
                  <c:v>15.079445760416499</c:v>
                </c:pt>
                <c:pt idx="2229">
                  <c:v>15.083308803926</c:v>
                </c:pt>
                <c:pt idx="2230">
                  <c:v>15.069540604506599</c:v>
                </c:pt>
                <c:pt idx="2231">
                  <c:v>15.080436357397099</c:v>
                </c:pt>
                <c:pt idx="2232">
                  <c:v>15.06786725345</c:v>
                </c:pt>
                <c:pt idx="2233">
                  <c:v>15.065967965050101</c:v>
                </c:pt>
                <c:pt idx="2234">
                  <c:v>15.0605510274818</c:v>
                </c:pt>
                <c:pt idx="2235">
                  <c:v>15.058776695502701</c:v>
                </c:pt>
                <c:pt idx="2236">
                  <c:v>15.059498734507001</c:v>
                </c:pt>
                <c:pt idx="2237">
                  <c:v>15.0585740099269</c:v>
                </c:pt>
                <c:pt idx="2238">
                  <c:v>15.051009716721801</c:v>
                </c:pt>
                <c:pt idx="2239">
                  <c:v>15.0430191522514</c:v>
                </c:pt>
                <c:pt idx="2240">
                  <c:v>15.038731195355901</c:v>
                </c:pt>
                <c:pt idx="2241">
                  <c:v>15.030705175382399</c:v>
                </c:pt>
                <c:pt idx="2242">
                  <c:v>15.0336081277933</c:v>
                </c:pt>
                <c:pt idx="2243">
                  <c:v>15.031539638490299</c:v>
                </c:pt>
                <c:pt idx="2244">
                  <c:v>15.016277280973201</c:v>
                </c:pt>
                <c:pt idx="2245">
                  <c:v>15.018158772961</c:v>
                </c:pt>
                <c:pt idx="2246">
                  <c:v>15.012636822639999</c:v>
                </c:pt>
                <c:pt idx="2247">
                  <c:v>15.015480197037601</c:v>
                </c:pt>
                <c:pt idx="2248">
                  <c:v>15.0133473203775</c:v>
                </c:pt>
                <c:pt idx="2249">
                  <c:v>15.0004925053129</c:v>
                </c:pt>
                <c:pt idx="2250">
                  <c:v>14.987926952003701</c:v>
                </c:pt>
                <c:pt idx="2251">
                  <c:v>14.9972476965378</c:v>
                </c:pt>
                <c:pt idx="2252">
                  <c:v>14.989875176313401</c:v>
                </c:pt>
                <c:pt idx="2253">
                  <c:v>14.994036991887899</c:v>
                </c:pt>
                <c:pt idx="2254">
                  <c:v>14.9908982132188</c:v>
                </c:pt>
                <c:pt idx="2255">
                  <c:v>14.982276940137901</c:v>
                </c:pt>
                <c:pt idx="2256">
                  <c:v>14.972486760866801</c:v>
                </c:pt>
                <c:pt idx="2257">
                  <c:v>14.988440318876201</c:v>
                </c:pt>
                <c:pt idx="2258">
                  <c:v>14.9729457829675</c:v>
                </c:pt>
                <c:pt idx="2259">
                  <c:v>14.965116700550301</c:v>
                </c:pt>
                <c:pt idx="2260">
                  <c:v>14.9590958533873</c:v>
                </c:pt>
                <c:pt idx="2261">
                  <c:v>14.972470623927</c:v>
                </c:pt>
                <c:pt idx="2262">
                  <c:v>14.9549746001807</c:v>
                </c:pt>
                <c:pt idx="2263">
                  <c:v>14.9707757813472</c:v>
                </c:pt>
                <c:pt idx="2264">
                  <c:v>14.948218774212799</c:v>
                </c:pt>
                <c:pt idx="2265">
                  <c:v>14.943717052883599</c:v>
                </c:pt>
                <c:pt idx="2266">
                  <c:v>14.9334147024956</c:v>
                </c:pt>
                <c:pt idx="2267">
                  <c:v>14.9393229734426</c:v>
                </c:pt>
                <c:pt idx="2268">
                  <c:v>14.9356994648557</c:v>
                </c:pt>
                <c:pt idx="2269">
                  <c:v>14.931696606052499</c:v>
                </c:pt>
                <c:pt idx="2270">
                  <c:v>14.9381393553563</c:v>
                </c:pt>
                <c:pt idx="2271">
                  <c:v>14.935438908671999</c:v>
                </c:pt>
                <c:pt idx="2272">
                  <c:v>14.8997132587783</c:v>
                </c:pt>
                <c:pt idx="2273">
                  <c:v>14.9302323884824</c:v>
                </c:pt>
                <c:pt idx="2274">
                  <c:v>14.923656568663899</c:v>
                </c:pt>
                <c:pt idx="2275">
                  <c:v>14.911512968948699</c:v>
                </c:pt>
                <c:pt idx="2276">
                  <c:v>14.9214426382481</c:v>
                </c:pt>
                <c:pt idx="2277">
                  <c:v>14.8812143744798</c:v>
                </c:pt>
                <c:pt idx="2278">
                  <c:v>14.904266875041399</c:v>
                </c:pt>
                <c:pt idx="2279">
                  <c:v>14.903333055192901</c:v>
                </c:pt>
                <c:pt idx="2280">
                  <c:v>14.906559173542</c:v>
                </c:pt>
                <c:pt idx="2281">
                  <c:v>14.8835636269052</c:v>
                </c:pt>
                <c:pt idx="2282">
                  <c:v>14.895960580295601</c:v>
                </c:pt>
                <c:pt idx="2283">
                  <c:v>14.886751630493301</c:v>
                </c:pt>
                <c:pt idx="2284">
                  <c:v>14.886444845539399</c:v>
                </c:pt>
                <c:pt idx="2285">
                  <c:v>14.8788069295657</c:v>
                </c:pt>
                <c:pt idx="2286">
                  <c:v>14.8781973277519</c:v>
                </c:pt>
                <c:pt idx="2287">
                  <c:v>14.8614590452803</c:v>
                </c:pt>
                <c:pt idx="2288">
                  <c:v>14.8680267625192</c:v>
                </c:pt>
                <c:pt idx="2289">
                  <c:v>14.8702751085501</c:v>
                </c:pt>
                <c:pt idx="2290">
                  <c:v>14.855493622452499</c:v>
                </c:pt>
                <c:pt idx="2291">
                  <c:v>14.8582595356774</c:v>
                </c:pt>
                <c:pt idx="2292">
                  <c:v>14.856409323812899</c:v>
                </c:pt>
                <c:pt idx="2293">
                  <c:v>14.837202530639001</c:v>
                </c:pt>
                <c:pt idx="2294">
                  <c:v>14.846035353705799</c:v>
                </c:pt>
                <c:pt idx="2295">
                  <c:v>14.835844496140099</c:v>
                </c:pt>
                <c:pt idx="2296">
                  <c:v>14.832176794921599</c:v>
                </c:pt>
                <c:pt idx="2297">
                  <c:v>14.836308309947899</c:v>
                </c:pt>
                <c:pt idx="2298">
                  <c:v>14.8269501283342</c:v>
                </c:pt>
                <c:pt idx="2299">
                  <c:v>14.8223142725919</c:v>
                </c:pt>
                <c:pt idx="2300">
                  <c:v>14.814720374783199</c:v>
                </c:pt>
                <c:pt idx="2301">
                  <c:v>14.812673441760699</c:v>
                </c:pt>
                <c:pt idx="2302">
                  <c:v>14.7978542129877</c:v>
                </c:pt>
                <c:pt idx="2303">
                  <c:v>14.7957768725049</c:v>
                </c:pt>
                <c:pt idx="2304">
                  <c:v>14.798309257898399</c:v>
                </c:pt>
                <c:pt idx="2305">
                  <c:v>14.7932577139161</c:v>
                </c:pt>
                <c:pt idx="2306">
                  <c:v>14.7859384663869</c:v>
                </c:pt>
                <c:pt idx="2307">
                  <c:v>14.787007607785499</c:v>
                </c:pt>
                <c:pt idx="2308">
                  <c:v>14.756332527598399</c:v>
                </c:pt>
                <c:pt idx="2309">
                  <c:v>14.765616486953601</c:v>
                </c:pt>
                <c:pt idx="2310">
                  <c:v>14.771060784408901</c:v>
                </c:pt>
                <c:pt idx="2311">
                  <c:v>14.7592758494617</c:v>
                </c:pt>
                <c:pt idx="2312">
                  <c:v>14.759057989387401</c:v>
                </c:pt>
                <c:pt idx="2313">
                  <c:v>14.7338048389903</c:v>
                </c:pt>
                <c:pt idx="2314">
                  <c:v>14.737369784344899</c:v>
                </c:pt>
                <c:pt idx="2315">
                  <c:v>14.7395451891152</c:v>
                </c:pt>
                <c:pt idx="2316">
                  <c:v>14.7343307075291</c:v>
                </c:pt>
                <c:pt idx="2317">
                  <c:v>14.7396800719507</c:v>
                </c:pt>
                <c:pt idx="2318">
                  <c:v>14.7271443740021</c:v>
                </c:pt>
                <c:pt idx="2319">
                  <c:v>14.720633992638501</c:v>
                </c:pt>
                <c:pt idx="2320">
                  <c:v>14.711395570962599</c:v>
                </c:pt>
                <c:pt idx="2321">
                  <c:v>14.7048572987139</c:v>
                </c:pt>
                <c:pt idx="2322">
                  <c:v>14.7065812028788</c:v>
                </c:pt>
                <c:pt idx="2323">
                  <c:v>14.6948626747922</c:v>
                </c:pt>
                <c:pt idx="2324">
                  <c:v>14.6944002674781</c:v>
                </c:pt>
                <c:pt idx="2325">
                  <c:v>14.698175581024801</c:v>
                </c:pt>
                <c:pt idx="2326">
                  <c:v>14.68715884231</c:v>
                </c:pt>
                <c:pt idx="2327">
                  <c:v>14.6711615237478</c:v>
                </c:pt>
                <c:pt idx="2328">
                  <c:v>14.6886406033029</c:v>
                </c:pt>
                <c:pt idx="2329">
                  <c:v>14.670905956422899</c:v>
                </c:pt>
                <c:pt idx="2330">
                  <c:v>14.668161029583899</c:v>
                </c:pt>
                <c:pt idx="2331">
                  <c:v>14.665650202821</c:v>
                </c:pt>
                <c:pt idx="2332">
                  <c:v>14.641919660527799</c:v>
                </c:pt>
                <c:pt idx="2333">
                  <c:v>14.6493314372019</c:v>
                </c:pt>
                <c:pt idx="2334">
                  <c:v>14.6539873144342</c:v>
                </c:pt>
                <c:pt idx="2335">
                  <c:v>14.6439258842185</c:v>
                </c:pt>
                <c:pt idx="2336">
                  <c:v>14.6386776071831</c:v>
                </c:pt>
                <c:pt idx="2337">
                  <c:v>14.632537082462401</c:v>
                </c:pt>
                <c:pt idx="2338">
                  <c:v>14.6402493546885</c:v>
                </c:pt>
                <c:pt idx="2339">
                  <c:v>14.6318815596441</c:v>
                </c:pt>
                <c:pt idx="2340">
                  <c:v>14.6258361508843</c:v>
                </c:pt>
                <c:pt idx="2341">
                  <c:v>14.6146304264277</c:v>
                </c:pt>
                <c:pt idx="2342">
                  <c:v>14.6173265522803</c:v>
                </c:pt>
                <c:pt idx="2343">
                  <c:v>14.6131773586728</c:v>
                </c:pt>
                <c:pt idx="2344">
                  <c:v>14.606199674967201</c:v>
                </c:pt>
                <c:pt idx="2345">
                  <c:v>14.6008326105647</c:v>
                </c:pt>
                <c:pt idx="2346">
                  <c:v>14.5977550641195</c:v>
                </c:pt>
                <c:pt idx="2347">
                  <c:v>14.591994180271</c:v>
                </c:pt>
                <c:pt idx="2348">
                  <c:v>14.5872975313277</c:v>
                </c:pt>
                <c:pt idx="2349">
                  <c:v>14.584258977714001</c:v>
                </c:pt>
                <c:pt idx="2350">
                  <c:v>14.5831716508236</c:v>
                </c:pt>
                <c:pt idx="2351">
                  <c:v>14.5694893388384</c:v>
                </c:pt>
                <c:pt idx="2352">
                  <c:v>14.5726429998198</c:v>
                </c:pt>
                <c:pt idx="2353">
                  <c:v>14.573449819516499</c:v>
                </c:pt>
                <c:pt idx="2354">
                  <c:v>14.557497930795501</c:v>
                </c:pt>
                <c:pt idx="2355">
                  <c:v>14.5537268493651</c:v>
                </c:pt>
                <c:pt idx="2356">
                  <c:v>14.5590512980051</c:v>
                </c:pt>
                <c:pt idx="2357">
                  <c:v>14.5538067409316</c:v>
                </c:pt>
                <c:pt idx="2358">
                  <c:v>14.5440850630751</c:v>
                </c:pt>
                <c:pt idx="2359">
                  <c:v>14.550580795692801</c:v>
                </c:pt>
                <c:pt idx="2360">
                  <c:v>14.548594453261501</c:v>
                </c:pt>
                <c:pt idx="2361">
                  <c:v>14.544437148988001</c:v>
                </c:pt>
                <c:pt idx="2362">
                  <c:v>14.5405329298405</c:v>
                </c:pt>
                <c:pt idx="2363">
                  <c:v>14.529278704564801</c:v>
                </c:pt>
                <c:pt idx="2364">
                  <c:v>14.5362016172068</c:v>
                </c:pt>
                <c:pt idx="2365">
                  <c:v>14.5222422033141</c:v>
                </c:pt>
                <c:pt idx="2366">
                  <c:v>14.5266264294936</c:v>
                </c:pt>
                <c:pt idx="2367">
                  <c:v>14.522579908259299</c:v>
                </c:pt>
                <c:pt idx="2368">
                  <c:v>14.5157083344684</c:v>
                </c:pt>
                <c:pt idx="2369">
                  <c:v>14.507874553059001</c:v>
                </c:pt>
                <c:pt idx="2370">
                  <c:v>14.509945316455299</c:v>
                </c:pt>
                <c:pt idx="2371">
                  <c:v>14.5123898845256</c:v>
                </c:pt>
                <c:pt idx="2372">
                  <c:v>14.502085872869401</c:v>
                </c:pt>
                <c:pt idx="2373">
                  <c:v>14.4998635736622</c:v>
                </c:pt>
                <c:pt idx="2374">
                  <c:v>14.4975781564145</c:v>
                </c:pt>
                <c:pt idx="2375">
                  <c:v>14.494719449483201</c:v>
                </c:pt>
                <c:pt idx="2376">
                  <c:v>14.4998197120879</c:v>
                </c:pt>
                <c:pt idx="2377">
                  <c:v>14.4728616103785</c:v>
                </c:pt>
                <c:pt idx="2378">
                  <c:v>14.494426880913901</c:v>
                </c:pt>
                <c:pt idx="2379">
                  <c:v>14.487318849935299</c:v>
                </c:pt>
                <c:pt idx="2380">
                  <c:v>14.484293157024499</c:v>
                </c:pt>
                <c:pt idx="2381">
                  <c:v>14.479749486097001</c:v>
                </c:pt>
                <c:pt idx="2382">
                  <c:v>14.4669855872678</c:v>
                </c:pt>
                <c:pt idx="2383">
                  <c:v>14.47211718848</c:v>
                </c:pt>
                <c:pt idx="2384">
                  <c:v>14.475121293979001</c:v>
                </c:pt>
                <c:pt idx="2385">
                  <c:v>14.4596482398921</c:v>
                </c:pt>
                <c:pt idx="2386">
                  <c:v>14.473171835432201</c:v>
                </c:pt>
                <c:pt idx="2387">
                  <c:v>14.456540132187</c:v>
                </c:pt>
                <c:pt idx="2388">
                  <c:v>14.445204383671699</c:v>
                </c:pt>
                <c:pt idx="2389">
                  <c:v>14.4549700289489</c:v>
                </c:pt>
                <c:pt idx="2390">
                  <c:v>14.4351139933427</c:v>
                </c:pt>
                <c:pt idx="2391">
                  <c:v>14.438727369372399</c:v>
                </c:pt>
                <c:pt idx="2392">
                  <c:v>14.440135208453601</c:v>
                </c:pt>
                <c:pt idx="2393">
                  <c:v>14.433185783037899</c:v>
                </c:pt>
                <c:pt idx="2394">
                  <c:v>14.4314229586133</c:v>
                </c:pt>
                <c:pt idx="2395">
                  <c:v>14.4239561750252</c:v>
                </c:pt>
                <c:pt idx="2396">
                  <c:v>14.425319597470599</c:v>
                </c:pt>
                <c:pt idx="2397">
                  <c:v>14.416106009431299</c:v>
                </c:pt>
                <c:pt idx="2398">
                  <c:v>14.424392206737201</c:v>
                </c:pt>
                <c:pt idx="2399">
                  <c:v>14.410730690621399</c:v>
                </c:pt>
                <c:pt idx="2400">
                  <c:v>14.413489286584401</c:v>
                </c:pt>
                <c:pt idx="2401">
                  <c:v>14.412938795112099</c:v>
                </c:pt>
                <c:pt idx="2402">
                  <c:v>14.418040648633699</c:v>
                </c:pt>
                <c:pt idx="2403">
                  <c:v>14.404423063740699</c:v>
                </c:pt>
                <c:pt idx="2404">
                  <c:v>14.4000999120776</c:v>
                </c:pt>
                <c:pt idx="2405">
                  <c:v>14.405179017308599</c:v>
                </c:pt>
                <c:pt idx="2406">
                  <c:v>14.3994641932362</c:v>
                </c:pt>
                <c:pt idx="2407">
                  <c:v>14.392965690828699</c:v>
                </c:pt>
                <c:pt idx="2408">
                  <c:v>14.3782714988868</c:v>
                </c:pt>
                <c:pt idx="2409">
                  <c:v>14.394389837542301</c:v>
                </c:pt>
                <c:pt idx="2410">
                  <c:v>14.393456117424501</c:v>
                </c:pt>
                <c:pt idx="2411">
                  <c:v>14.387152462450301</c:v>
                </c:pt>
                <c:pt idx="2412">
                  <c:v>14.366291725447599</c:v>
                </c:pt>
                <c:pt idx="2413">
                  <c:v>14.388725451254601</c:v>
                </c:pt>
                <c:pt idx="2414">
                  <c:v>14.3793534908329</c:v>
                </c:pt>
                <c:pt idx="2415">
                  <c:v>14.3796481337682</c:v>
                </c:pt>
                <c:pt idx="2416">
                  <c:v>14.376337184563299</c:v>
                </c:pt>
                <c:pt idx="2417">
                  <c:v>14.355690560049901</c:v>
                </c:pt>
                <c:pt idx="2418">
                  <c:v>14.369892829725901</c:v>
                </c:pt>
                <c:pt idx="2419">
                  <c:v>14.360229129238</c:v>
                </c:pt>
                <c:pt idx="2420">
                  <c:v>14.3723744697628</c:v>
                </c:pt>
                <c:pt idx="2421">
                  <c:v>14.358610655137801</c:v>
                </c:pt>
                <c:pt idx="2422">
                  <c:v>14.358422737343499</c:v>
                </c:pt>
                <c:pt idx="2423">
                  <c:v>14.361823397299901</c:v>
                </c:pt>
                <c:pt idx="2424">
                  <c:v>14.3583124918321</c:v>
                </c:pt>
                <c:pt idx="2425">
                  <c:v>14.353404989767601</c:v>
                </c:pt>
                <c:pt idx="2426">
                  <c:v>14.349187792119601</c:v>
                </c:pt>
                <c:pt idx="2427">
                  <c:v>14.341592190697</c:v>
                </c:pt>
                <c:pt idx="2428">
                  <c:v>14.3484000425053</c:v>
                </c:pt>
                <c:pt idx="2429">
                  <c:v>14.341715776944101</c:v>
                </c:pt>
                <c:pt idx="2430">
                  <c:v>14.336735318898199</c:v>
                </c:pt>
                <c:pt idx="2431">
                  <c:v>14.3274292073783</c:v>
                </c:pt>
                <c:pt idx="2432">
                  <c:v>14.326574094702201</c:v>
                </c:pt>
                <c:pt idx="2433">
                  <c:v>14.3280408939629</c:v>
                </c:pt>
                <c:pt idx="2434">
                  <c:v>14.3202431367764</c:v>
                </c:pt>
                <c:pt idx="2435">
                  <c:v>14.3159021631712</c:v>
                </c:pt>
                <c:pt idx="2436">
                  <c:v>14.3242819232741</c:v>
                </c:pt>
                <c:pt idx="2437">
                  <c:v>14.3186748781972</c:v>
                </c:pt>
                <c:pt idx="2438">
                  <c:v>14.302333928156999</c:v>
                </c:pt>
                <c:pt idx="2439">
                  <c:v>14.3054960645281</c:v>
                </c:pt>
                <c:pt idx="2440">
                  <c:v>14.2993742196517</c:v>
                </c:pt>
                <c:pt idx="2441">
                  <c:v>14.306839484296001</c:v>
                </c:pt>
                <c:pt idx="2442">
                  <c:v>14.2810976339265</c:v>
                </c:pt>
                <c:pt idx="2443">
                  <c:v>14.2888780033914</c:v>
                </c:pt>
                <c:pt idx="2444">
                  <c:v>14.2863555029128</c:v>
                </c:pt>
                <c:pt idx="2445">
                  <c:v>14.283875216626299</c:v>
                </c:pt>
                <c:pt idx="2446">
                  <c:v>14.286292505919899</c:v>
                </c:pt>
                <c:pt idx="2447">
                  <c:v>14.271424660283101</c:v>
                </c:pt>
                <c:pt idx="2448">
                  <c:v>14.2731603518268</c:v>
                </c:pt>
                <c:pt idx="2449">
                  <c:v>14.269119596103501</c:v>
                </c:pt>
                <c:pt idx="2450">
                  <c:v>14.263420537136399</c:v>
                </c:pt>
                <c:pt idx="2451">
                  <c:v>14.262571274702699</c:v>
                </c:pt>
                <c:pt idx="2452">
                  <c:v>14.263374522483801</c:v>
                </c:pt>
                <c:pt idx="2453">
                  <c:v>14.257547561892901</c:v>
                </c:pt>
                <c:pt idx="2454">
                  <c:v>14.258836272607001</c:v>
                </c:pt>
                <c:pt idx="2455">
                  <c:v>14.237314930507001</c:v>
                </c:pt>
                <c:pt idx="2456">
                  <c:v>14.251994107500799</c:v>
                </c:pt>
                <c:pt idx="2457">
                  <c:v>14.2493367026833</c:v>
                </c:pt>
                <c:pt idx="2458">
                  <c:v>14.2414820468531</c:v>
                </c:pt>
                <c:pt idx="2459">
                  <c:v>14.241620171793199</c:v>
                </c:pt>
                <c:pt idx="2460">
                  <c:v>14.228136499605499</c:v>
                </c:pt>
                <c:pt idx="2461">
                  <c:v>14.2353487639291</c:v>
                </c:pt>
                <c:pt idx="2462">
                  <c:v>14.2251335892973</c:v>
                </c:pt>
                <c:pt idx="2463">
                  <c:v>14.233274213809599</c:v>
                </c:pt>
                <c:pt idx="2464">
                  <c:v>14.2359043646575</c:v>
                </c:pt>
                <c:pt idx="2465">
                  <c:v>14.2319088818043</c:v>
                </c:pt>
                <c:pt idx="2466">
                  <c:v>14.216377522736799</c:v>
                </c:pt>
                <c:pt idx="2467">
                  <c:v>14.2272623096519</c:v>
                </c:pt>
                <c:pt idx="2468">
                  <c:v>14.2102746419153</c:v>
                </c:pt>
                <c:pt idx="2469">
                  <c:v>14.2076741817823</c:v>
                </c:pt>
                <c:pt idx="2470">
                  <c:v>14.214397709090299</c:v>
                </c:pt>
                <c:pt idx="2471">
                  <c:v>14.20261438138</c:v>
                </c:pt>
                <c:pt idx="2472">
                  <c:v>14.173503715013799</c:v>
                </c:pt>
                <c:pt idx="2473">
                  <c:v>14.1882868183732</c:v>
                </c:pt>
                <c:pt idx="2474">
                  <c:v>14.199168066193399</c:v>
                </c:pt>
                <c:pt idx="2475">
                  <c:v>14.200367652300701</c:v>
                </c:pt>
                <c:pt idx="2476">
                  <c:v>14.1908163124103</c:v>
                </c:pt>
                <c:pt idx="2477">
                  <c:v>14.195082061276899</c:v>
                </c:pt>
                <c:pt idx="2478">
                  <c:v>14.1850422787191</c:v>
                </c:pt>
                <c:pt idx="2479">
                  <c:v>14.1826086953957</c:v>
                </c:pt>
                <c:pt idx="2480">
                  <c:v>14.186173666437901</c:v>
                </c:pt>
                <c:pt idx="2481">
                  <c:v>14.1592728765681</c:v>
                </c:pt>
                <c:pt idx="2482">
                  <c:v>14.1729679461711</c:v>
                </c:pt>
                <c:pt idx="2483">
                  <c:v>14.162169976911899</c:v>
                </c:pt>
                <c:pt idx="2484">
                  <c:v>14.153920377644001</c:v>
                </c:pt>
                <c:pt idx="2485">
                  <c:v>14.1655123715322</c:v>
                </c:pt>
                <c:pt idx="2486">
                  <c:v>14.1582095738235</c:v>
                </c:pt>
                <c:pt idx="2487">
                  <c:v>14.142979897077</c:v>
                </c:pt>
                <c:pt idx="2488">
                  <c:v>14.151399279704799</c:v>
                </c:pt>
                <c:pt idx="2489">
                  <c:v>14.1440118269326</c:v>
                </c:pt>
                <c:pt idx="2490">
                  <c:v>14.138702647622701</c:v>
                </c:pt>
                <c:pt idx="2491">
                  <c:v>14.143541769256</c:v>
                </c:pt>
                <c:pt idx="2492">
                  <c:v>14.131258432605801</c:v>
                </c:pt>
                <c:pt idx="2493">
                  <c:v>14.1414197858448</c:v>
                </c:pt>
                <c:pt idx="2494">
                  <c:v>14.126053659751101</c:v>
                </c:pt>
                <c:pt idx="2495">
                  <c:v>14.1111453973555</c:v>
                </c:pt>
                <c:pt idx="2496">
                  <c:v>14.1209522217908</c:v>
                </c:pt>
                <c:pt idx="2497">
                  <c:v>14.115229816348601</c:v>
                </c:pt>
                <c:pt idx="2498">
                  <c:v>14.109742862204801</c:v>
                </c:pt>
                <c:pt idx="2499">
                  <c:v>14.100376858296499</c:v>
                </c:pt>
                <c:pt idx="2500">
                  <c:v>14.1002551049109</c:v>
                </c:pt>
                <c:pt idx="2501">
                  <c:v>14.0973964488406</c:v>
                </c:pt>
                <c:pt idx="2502">
                  <c:v>14.0941306761906</c:v>
                </c:pt>
                <c:pt idx="2503">
                  <c:v>14.101768290710501</c:v>
                </c:pt>
                <c:pt idx="2504">
                  <c:v>14.1026870388347</c:v>
                </c:pt>
                <c:pt idx="2505">
                  <c:v>14.0849284240202</c:v>
                </c:pt>
                <c:pt idx="2506">
                  <c:v>14.080876606503899</c:v>
                </c:pt>
                <c:pt idx="2507">
                  <c:v>14.0634065992709</c:v>
                </c:pt>
                <c:pt idx="2508">
                  <c:v>14.0637154579809</c:v>
                </c:pt>
                <c:pt idx="2509">
                  <c:v>14.0480394960941</c:v>
                </c:pt>
                <c:pt idx="2510">
                  <c:v>14.0502499392292</c:v>
                </c:pt>
                <c:pt idx="2511">
                  <c:v>14.0561396649772</c:v>
                </c:pt>
                <c:pt idx="2512">
                  <c:v>14.0472053444793</c:v>
                </c:pt>
                <c:pt idx="2513">
                  <c:v>14.037848349072499</c:v>
                </c:pt>
                <c:pt idx="2514">
                  <c:v>14.031793796463999</c:v>
                </c:pt>
                <c:pt idx="2515">
                  <c:v>14.043406868090701</c:v>
                </c:pt>
                <c:pt idx="2516">
                  <c:v>14.030472165485</c:v>
                </c:pt>
                <c:pt idx="2517">
                  <c:v>14.0353485330351</c:v>
                </c:pt>
                <c:pt idx="2518">
                  <c:v>14.0170684146198</c:v>
                </c:pt>
                <c:pt idx="2519">
                  <c:v>14.0291114533344</c:v>
                </c:pt>
                <c:pt idx="2520">
                  <c:v>14.0259092950777</c:v>
                </c:pt>
                <c:pt idx="2521">
                  <c:v>14.005683275386</c:v>
                </c:pt>
                <c:pt idx="2522">
                  <c:v>14.0170294623516</c:v>
                </c:pt>
                <c:pt idx="2523">
                  <c:v>14.016554352922901</c:v>
                </c:pt>
                <c:pt idx="2524">
                  <c:v>14.008852074048701</c:v>
                </c:pt>
                <c:pt idx="2525">
                  <c:v>14.004608850653099</c:v>
                </c:pt>
                <c:pt idx="2526">
                  <c:v>14.0086939595825</c:v>
                </c:pt>
                <c:pt idx="2527">
                  <c:v>14.0038605841626</c:v>
                </c:pt>
                <c:pt idx="2528">
                  <c:v>14.0050289835042</c:v>
                </c:pt>
                <c:pt idx="2529">
                  <c:v>14.0052987572085</c:v>
                </c:pt>
                <c:pt idx="2530">
                  <c:v>13.999906320253</c:v>
                </c:pt>
                <c:pt idx="2531">
                  <c:v>13.993334793088099</c:v>
                </c:pt>
                <c:pt idx="2532">
                  <c:v>13.988510518510701</c:v>
                </c:pt>
                <c:pt idx="2533">
                  <c:v>13.9826226377672</c:v>
                </c:pt>
                <c:pt idx="2534">
                  <c:v>13.9890317850118</c:v>
                </c:pt>
                <c:pt idx="2535">
                  <c:v>13.9788146625114</c:v>
                </c:pt>
                <c:pt idx="2536">
                  <c:v>13.9961805801852</c:v>
                </c:pt>
                <c:pt idx="2537">
                  <c:v>13.989645146542101</c:v>
                </c:pt>
                <c:pt idx="2538">
                  <c:v>13.9751982350526</c:v>
                </c:pt>
                <c:pt idx="2539">
                  <c:v>13.9729145141952</c:v>
                </c:pt>
                <c:pt idx="2540">
                  <c:v>13.934890363431</c:v>
                </c:pt>
                <c:pt idx="2541">
                  <c:v>13.9764995751828</c:v>
                </c:pt>
                <c:pt idx="2542">
                  <c:v>13.973657548424301</c:v>
                </c:pt>
                <c:pt idx="2543">
                  <c:v>13.959224678007001</c:v>
                </c:pt>
                <c:pt idx="2544">
                  <c:v>13.9564786081745</c:v>
                </c:pt>
                <c:pt idx="2545">
                  <c:v>13.9606634229281</c:v>
                </c:pt>
                <c:pt idx="2546">
                  <c:v>13.966712965374301</c:v>
                </c:pt>
                <c:pt idx="2547">
                  <c:v>13.956855380335</c:v>
                </c:pt>
                <c:pt idx="2548">
                  <c:v>13.950494641125299</c:v>
                </c:pt>
                <c:pt idx="2549">
                  <c:v>13.9544997076875</c:v>
                </c:pt>
                <c:pt idx="2550">
                  <c:v>13.941768068705599</c:v>
                </c:pt>
                <c:pt idx="2551">
                  <c:v>13.9505562620307</c:v>
                </c:pt>
                <c:pt idx="2552">
                  <c:v>13.937619314032199</c:v>
                </c:pt>
                <c:pt idx="2553">
                  <c:v>13.9485893198824</c:v>
                </c:pt>
                <c:pt idx="2554">
                  <c:v>13.943401107533299</c:v>
                </c:pt>
                <c:pt idx="2555">
                  <c:v>13.9346114392772</c:v>
                </c:pt>
                <c:pt idx="2556">
                  <c:v>13.9343286206143</c:v>
                </c:pt>
                <c:pt idx="2557">
                  <c:v>13.9354053216717</c:v>
                </c:pt>
                <c:pt idx="2558">
                  <c:v>13.932684608222701</c:v>
                </c:pt>
                <c:pt idx="2559">
                  <c:v>13.9301894682586</c:v>
                </c:pt>
                <c:pt idx="2560">
                  <c:v>13.9199139870005</c:v>
                </c:pt>
                <c:pt idx="2561">
                  <c:v>13.914269897352</c:v>
                </c:pt>
                <c:pt idx="2562">
                  <c:v>13.911289963643201</c:v>
                </c:pt>
                <c:pt idx="2563">
                  <c:v>13.925710408605999</c:v>
                </c:pt>
                <c:pt idx="2564">
                  <c:v>13.920311945196399</c:v>
                </c:pt>
                <c:pt idx="2565">
                  <c:v>13.9110556541516</c:v>
                </c:pt>
                <c:pt idx="2566">
                  <c:v>13.9093678002664</c:v>
                </c:pt>
                <c:pt idx="2567">
                  <c:v>13.8967499065729</c:v>
                </c:pt>
                <c:pt idx="2568">
                  <c:v>13.895279191936099</c:v>
                </c:pt>
                <c:pt idx="2569">
                  <c:v>13.891725837370201</c:v>
                </c:pt>
                <c:pt idx="2570">
                  <c:v>13.883104598830601</c:v>
                </c:pt>
                <c:pt idx="2571">
                  <c:v>13.883987442633099</c:v>
                </c:pt>
                <c:pt idx="2572">
                  <c:v>13.8815792416462</c:v>
                </c:pt>
                <c:pt idx="2573">
                  <c:v>13.8795566167346</c:v>
                </c:pt>
                <c:pt idx="2574">
                  <c:v>13.876945663854</c:v>
                </c:pt>
                <c:pt idx="2575">
                  <c:v>13.8698470536554</c:v>
                </c:pt>
                <c:pt idx="2576">
                  <c:v>13.866766428149599</c:v>
                </c:pt>
                <c:pt idx="2577">
                  <c:v>13.865374921688501</c:v>
                </c:pt>
                <c:pt idx="2578">
                  <c:v>13.8648669032938</c:v>
                </c:pt>
                <c:pt idx="2579">
                  <c:v>13.8563710777787</c:v>
                </c:pt>
                <c:pt idx="2580">
                  <c:v>13.8414464949708</c:v>
                </c:pt>
                <c:pt idx="2581">
                  <c:v>13.862516870778499</c:v>
                </c:pt>
                <c:pt idx="2582">
                  <c:v>13.847764220202301</c:v>
                </c:pt>
                <c:pt idx="2583">
                  <c:v>13.8475790368202</c:v>
                </c:pt>
                <c:pt idx="2584">
                  <c:v>13.8441948515134</c:v>
                </c:pt>
                <c:pt idx="2585">
                  <c:v>13.837294048438</c:v>
                </c:pt>
                <c:pt idx="2586">
                  <c:v>13.8384545711704</c:v>
                </c:pt>
                <c:pt idx="2587">
                  <c:v>13.8406640172088</c:v>
                </c:pt>
                <c:pt idx="2588">
                  <c:v>13.829478036751601</c:v>
                </c:pt>
                <c:pt idx="2589">
                  <c:v>13.8323565040643</c:v>
                </c:pt>
                <c:pt idx="2590">
                  <c:v>13.826478154977901</c:v>
                </c:pt>
                <c:pt idx="2591">
                  <c:v>13.819454107976799</c:v>
                </c:pt>
                <c:pt idx="2592">
                  <c:v>13.821689694590599</c:v>
                </c:pt>
                <c:pt idx="2593">
                  <c:v>13.822480671015301</c:v>
                </c:pt>
                <c:pt idx="2594">
                  <c:v>13.816832718901299</c:v>
                </c:pt>
                <c:pt idx="2595">
                  <c:v>13.8109367696307</c:v>
                </c:pt>
                <c:pt idx="2596">
                  <c:v>13.8180450922651</c:v>
                </c:pt>
                <c:pt idx="2597">
                  <c:v>13.806307200854899</c:v>
                </c:pt>
                <c:pt idx="2598">
                  <c:v>13.8057718530344</c:v>
                </c:pt>
                <c:pt idx="2599">
                  <c:v>13.800442910195301</c:v>
                </c:pt>
                <c:pt idx="2600">
                  <c:v>13.8034231036556</c:v>
                </c:pt>
                <c:pt idx="2601">
                  <c:v>13.8090329156646</c:v>
                </c:pt>
                <c:pt idx="2602">
                  <c:v>13.8002154511162</c:v>
                </c:pt>
                <c:pt idx="2603">
                  <c:v>13.802465117430501</c:v>
                </c:pt>
                <c:pt idx="2604">
                  <c:v>13.799586982478401</c:v>
                </c:pt>
                <c:pt idx="2605">
                  <c:v>13.795863266145799</c:v>
                </c:pt>
                <c:pt idx="2606">
                  <c:v>13.799549414013301</c:v>
                </c:pt>
                <c:pt idx="2607">
                  <c:v>13.793685183933199</c:v>
                </c:pt>
                <c:pt idx="2608">
                  <c:v>13.782692400213801</c:v>
                </c:pt>
                <c:pt idx="2609">
                  <c:v>13.7925257333694</c:v>
                </c:pt>
                <c:pt idx="2610">
                  <c:v>13.7866185071396</c:v>
                </c:pt>
                <c:pt idx="2611">
                  <c:v>13.7880663975999</c:v>
                </c:pt>
                <c:pt idx="2612">
                  <c:v>13.7807573561889</c:v>
                </c:pt>
                <c:pt idx="2613">
                  <c:v>13.776505767504499</c:v>
                </c:pt>
                <c:pt idx="2614">
                  <c:v>13.784352717755899</c:v>
                </c:pt>
                <c:pt idx="2615">
                  <c:v>13.781412614619301</c:v>
                </c:pt>
                <c:pt idx="2616">
                  <c:v>13.776640219276601</c:v>
                </c:pt>
                <c:pt idx="2617">
                  <c:v>13.7737835921355</c:v>
                </c:pt>
                <c:pt idx="2618">
                  <c:v>13.7733131980865</c:v>
                </c:pt>
                <c:pt idx="2619">
                  <c:v>13.768129502940299</c:v>
                </c:pt>
                <c:pt idx="2620">
                  <c:v>13.7649873733401</c:v>
                </c:pt>
                <c:pt idx="2621">
                  <c:v>13.762828103548401</c:v>
                </c:pt>
                <c:pt idx="2622">
                  <c:v>13.754505336508499</c:v>
                </c:pt>
                <c:pt idx="2623">
                  <c:v>13.758039229838801</c:v>
                </c:pt>
                <c:pt idx="2624">
                  <c:v>13.7443957673991</c:v>
                </c:pt>
                <c:pt idx="2625">
                  <c:v>13.759200268617301</c:v>
                </c:pt>
                <c:pt idx="2626">
                  <c:v>13.7481957094022</c:v>
                </c:pt>
                <c:pt idx="2627">
                  <c:v>13.741382892211501</c:v>
                </c:pt>
                <c:pt idx="2628">
                  <c:v>13.742647484132601</c:v>
                </c:pt>
                <c:pt idx="2629">
                  <c:v>13.7321340338393</c:v>
                </c:pt>
                <c:pt idx="2630">
                  <c:v>13.731795737324701</c:v>
                </c:pt>
                <c:pt idx="2631">
                  <c:v>13.7380825109637</c:v>
                </c:pt>
                <c:pt idx="2632">
                  <c:v>13.7238095439319</c:v>
                </c:pt>
                <c:pt idx="2633">
                  <c:v>13.7295376448116</c:v>
                </c:pt>
                <c:pt idx="2634">
                  <c:v>13.7325619865187</c:v>
                </c:pt>
                <c:pt idx="2635">
                  <c:v>13.713299931240501</c:v>
                </c:pt>
                <c:pt idx="2636">
                  <c:v>13.7288143426292</c:v>
                </c:pt>
                <c:pt idx="2637">
                  <c:v>13.7245531293915</c:v>
                </c:pt>
                <c:pt idx="2638">
                  <c:v>13.718595574869999</c:v>
                </c:pt>
                <c:pt idx="2639">
                  <c:v>13.708204865896199</c:v>
                </c:pt>
                <c:pt idx="2640">
                  <c:v>13.7171004396535</c:v>
                </c:pt>
                <c:pt idx="2641">
                  <c:v>13.695575476013101</c:v>
                </c:pt>
                <c:pt idx="2642">
                  <c:v>13.713251471570899</c:v>
                </c:pt>
                <c:pt idx="2643">
                  <c:v>13.702342824224701</c:v>
                </c:pt>
                <c:pt idx="2644">
                  <c:v>13.707195500102999</c:v>
                </c:pt>
                <c:pt idx="2645">
                  <c:v>13.684706483364501</c:v>
                </c:pt>
                <c:pt idx="2646">
                  <c:v>13.694192695330299</c:v>
                </c:pt>
                <c:pt idx="2647">
                  <c:v>13.700296594774001</c:v>
                </c:pt>
                <c:pt idx="2648">
                  <c:v>13.7115509232055</c:v>
                </c:pt>
                <c:pt idx="2649">
                  <c:v>13.6797067037663</c:v>
                </c:pt>
                <c:pt idx="2650">
                  <c:v>13.6943181841509</c:v>
                </c:pt>
                <c:pt idx="2651">
                  <c:v>13.684727463981901</c:v>
                </c:pt>
                <c:pt idx="2652">
                  <c:v>13.699810751406799</c:v>
                </c:pt>
                <c:pt idx="2653">
                  <c:v>13.6921375101573</c:v>
                </c:pt>
                <c:pt idx="2654">
                  <c:v>13.685633324170899</c:v>
                </c:pt>
                <c:pt idx="2655">
                  <c:v>13.6911590358475</c:v>
                </c:pt>
                <c:pt idx="2656">
                  <c:v>13.6838943915029</c:v>
                </c:pt>
                <c:pt idx="2657">
                  <c:v>13.680989370581599</c:v>
                </c:pt>
                <c:pt idx="2658">
                  <c:v>13.6762541258675</c:v>
                </c:pt>
                <c:pt idx="2659">
                  <c:v>13.661466343217199</c:v>
                </c:pt>
                <c:pt idx="2660">
                  <c:v>13.6745188195893</c:v>
                </c:pt>
                <c:pt idx="2661">
                  <c:v>13.6724020639281</c:v>
                </c:pt>
                <c:pt idx="2662">
                  <c:v>13.6647722589643</c:v>
                </c:pt>
                <c:pt idx="2663">
                  <c:v>13.6457675620904</c:v>
                </c:pt>
                <c:pt idx="2664">
                  <c:v>13.667780442508199</c:v>
                </c:pt>
                <c:pt idx="2665">
                  <c:v>13.66305390152</c:v>
                </c:pt>
                <c:pt idx="2666">
                  <c:v>13.6561623099223</c:v>
                </c:pt>
                <c:pt idx="2667">
                  <c:v>13.653059022294499</c:v>
                </c:pt>
                <c:pt idx="2668">
                  <c:v>13.648741319341999</c:v>
                </c:pt>
                <c:pt idx="2669">
                  <c:v>13.650006963573199</c:v>
                </c:pt>
                <c:pt idx="2670">
                  <c:v>13.6472347843821</c:v>
                </c:pt>
                <c:pt idx="2671">
                  <c:v>13.635021454697499</c:v>
                </c:pt>
                <c:pt idx="2672">
                  <c:v>13.629107976265701</c:v>
                </c:pt>
                <c:pt idx="2673">
                  <c:v>13.6413601221838</c:v>
                </c:pt>
                <c:pt idx="2674">
                  <c:v>13.6387226155897</c:v>
                </c:pt>
                <c:pt idx="2675">
                  <c:v>13.6329015461342</c:v>
                </c:pt>
                <c:pt idx="2676">
                  <c:v>13.6382026030085</c:v>
                </c:pt>
                <c:pt idx="2677">
                  <c:v>13.634123297092801</c:v>
                </c:pt>
                <c:pt idx="2678">
                  <c:v>13.626872341310101</c:v>
                </c:pt>
                <c:pt idx="2679">
                  <c:v>13.6298246828965</c:v>
                </c:pt>
                <c:pt idx="2680">
                  <c:v>13.6259732516373</c:v>
                </c:pt>
                <c:pt idx="2681">
                  <c:v>13.6199051341427</c:v>
                </c:pt>
                <c:pt idx="2682">
                  <c:v>13.624958730118999</c:v>
                </c:pt>
                <c:pt idx="2683">
                  <c:v>13.6292914285814</c:v>
                </c:pt>
                <c:pt idx="2684">
                  <c:v>13.6219601918938</c:v>
                </c:pt>
                <c:pt idx="2685">
                  <c:v>13.6027200195484</c:v>
                </c:pt>
                <c:pt idx="2686">
                  <c:v>13.6143361441764</c:v>
                </c:pt>
                <c:pt idx="2687">
                  <c:v>13.614394346978999</c:v>
                </c:pt>
                <c:pt idx="2688">
                  <c:v>13.6186589793952</c:v>
                </c:pt>
                <c:pt idx="2689">
                  <c:v>13.610321764918</c:v>
                </c:pt>
                <c:pt idx="2690">
                  <c:v>13.606082440737501</c:v>
                </c:pt>
                <c:pt idx="2691">
                  <c:v>13.608542656857701</c:v>
                </c:pt>
                <c:pt idx="2692">
                  <c:v>13.5973701235233</c:v>
                </c:pt>
                <c:pt idx="2693">
                  <c:v>13.6150676289835</c:v>
                </c:pt>
                <c:pt idx="2694">
                  <c:v>13.6076533615353</c:v>
                </c:pt>
                <c:pt idx="2695">
                  <c:v>13.602647684772601</c:v>
                </c:pt>
                <c:pt idx="2696">
                  <c:v>13.6041723594718</c:v>
                </c:pt>
                <c:pt idx="2697">
                  <c:v>13.5885884671405</c:v>
                </c:pt>
                <c:pt idx="2698">
                  <c:v>13.5975957119808</c:v>
                </c:pt>
                <c:pt idx="2699">
                  <c:v>13.600316053282</c:v>
                </c:pt>
                <c:pt idx="2700">
                  <c:v>13.597346003119601</c:v>
                </c:pt>
                <c:pt idx="2701">
                  <c:v>13.5903046215803</c:v>
                </c:pt>
                <c:pt idx="2702">
                  <c:v>13.5967357738778</c:v>
                </c:pt>
                <c:pt idx="2703">
                  <c:v>13.588664567682599</c:v>
                </c:pt>
                <c:pt idx="2704">
                  <c:v>13.589974739914499</c:v>
                </c:pt>
                <c:pt idx="2705">
                  <c:v>13.574764001533399</c:v>
                </c:pt>
                <c:pt idx="2706">
                  <c:v>13.582891396689201</c:v>
                </c:pt>
                <c:pt idx="2707">
                  <c:v>13.5758574153163</c:v>
                </c:pt>
                <c:pt idx="2708">
                  <c:v>13.5800198954386</c:v>
                </c:pt>
                <c:pt idx="2709">
                  <c:v>13.5780821084292</c:v>
                </c:pt>
                <c:pt idx="2710">
                  <c:v>13.567659293735501</c:v>
                </c:pt>
                <c:pt idx="2711">
                  <c:v>13.570408977558101</c:v>
                </c:pt>
                <c:pt idx="2712">
                  <c:v>13.5644309767194</c:v>
                </c:pt>
                <c:pt idx="2713">
                  <c:v>13.564903123622701</c:v>
                </c:pt>
                <c:pt idx="2714">
                  <c:v>13.570615632316599</c:v>
                </c:pt>
                <c:pt idx="2715">
                  <c:v>13.5693845934492</c:v>
                </c:pt>
                <c:pt idx="2716">
                  <c:v>13.561508933969</c:v>
                </c:pt>
                <c:pt idx="2717">
                  <c:v>13.5545252774199</c:v>
                </c:pt>
                <c:pt idx="2718">
                  <c:v>13.5412446215653</c:v>
                </c:pt>
                <c:pt idx="2719">
                  <c:v>13.5466079015502</c:v>
                </c:pt>
                <c:pt idx="2720">
                  <c:v>13.5558985464885</c:v>
                </c:pt>
                <c:pt idx="2721">
                  <c:v>13.5478382195408</c:v>
                </c:pt>
                <c:pt idx="2722">
                  <c:v>13.5456748258121</c:v>
                </c:pt>
                <c:pt idx="2723">
                  <c:v>13.536147840736</c:v>
                </c:pt>
                <c:pt idx="2724">
                  <c:v>13.5384204147133</c:v>
                </c:pt>
                <c:pt idx="2725">
                  <c:v>13.530529875601699</c:v>
                </c:pt>
                <c:pt idx="2726">
                  <c:v>13.544533012596901</c:v>
                </c:pt>
                <c:pt idx="2727">
                  <c:v>13.5276864289046</c:v>
                </c:pt>
                <c:pt idx="2728">
                  <c:v>13.523219300044101</c:v>
                </c:pt>
                <c:pt idx="2729">
                  <c:v>13.5319037427462</c:v>
                </c:pt>
                <c:pt idx="2730">
                  <c:v>13.527614452089599</c:v>
                </c:pt>
                <c:pt idx="2731">
                  <c:v>13.520581458505299</c:v>
                </c:pt>
                <c:pt idx="2732">
                  <c:v>13.519707053772599</c:v>
                </c:pt>
                <c:pt idx="2733">
                  <c:v>13.5188402052601</c:v>
                </c:pt>
                <c:pt idx="2734">
                  <c:v>13.509659513590799</c:v>
                </c:pt>
                <c:pt idx="2735">
                  <c:v>13.515291962743101</c:v>
                </c:pt>
                <c:pt idx="2736">
                  <c:v>13.5135401880153</c:v>
                </c:pt>
                <c:pt idx="2737">
                  <c:v>13.512773569114801</c:v>
                </c:pt>
                <c:pt idx="2738">
                  <c:v>13.5111478411694</c:v>
                </c:pt>
                <c:pt idx="2739">
                  <c:v>13.4905280599432</c:v>
                </c:pt>
                <c:pt idx="2740">
                  <c:v>13.495001917444499</c:v>
                </c:pt>
                <c:pt idx="2741">
                  <c:v>13.503237581674499</c:v>
                </c:pt>
                <c:pt idx="2742">
                  <c:v>13.4930935607262</c:v>
                </c:pt>
                <c:pt idx="2743">
                  <c:v>13.5012520525312</c:v>
                </c:pt>
                <c:pt idx="2744">
                  <c:v>13.4840370710517</c:v>
                </c:pt>
                <c:pt idx="2745">
                  <c:v>13.4893495751042</c:v>
                </c:pt>
                <c:pt idx="2746">
                  <c:v>13.491233778586199</c:v>
                </c:pt>
                <c:pt idx="2747">
                  <c:v>13.484955678939</c:v>
                </c:pt>
                <c:pt idx="2748">
                  <c:v>13.475822880424699</c:v>
                </c:pt>
                <c:pt idx="2749">
                  <c:v>13.4850757817904</c:v>
                </c:pt>
                <c:pt idx="2750">
                  <c:v>13.4836954699058</c:v>
                </c:pt>
                <c:pt idx="2751">
                  <c:v>13.475394312189399</c:v>
                </c:pt>
                <c:pt idx="2752">
                  <c:v>13.471251930028901</c:v>
                </c:pt>
                <c:pt idx="2753">
                  <c:v>13.475286204413401</c:v>
                </c:pt>
                <c:pt idx="2754">
                  <c:v>13.4672341354058</c:v>
                </c:pt>
                <c:pt idx="2755">
                  <c:v>13.465809180048399</c:v>
                </c:pt>
                <c:pt idx="2756">
                  <c:v>13.474142449317499</c:v>
                </c:pt>
                <c:pt idx="2757">
                  <c:v>13.472257962173201</c:v>
                </c:pt>
                <c:pt idx="2758">
                  <c:v>13.464612813264401</c:v>
                </c:pt>
                <c:pt idx="2759">
                  <c:v>13.4658227030014</c:v>
                </c:pt>
                <c:pt idx="2760">
                  <c:v>13.465212515037001</c:v>
                </c:pt>
                <c:pt idx="2761">
                  <c:v>13.4597822714546</c:v>
                </c:pt>
                <c:pt idx="2762">
                  <c:v>13.452872222722</c:v>
                </c:pt>
                <c:pt idx="2763">
                  <c:v>13.464538941388099</c:v>
                </c:pt>
                <c:pt idx="2764">
                  <c:v>13.4474804284927</c:v>
                </c:pt>
                <c:pt idx="2765">
                  <c:v>13.453208456314099</c:v>
                </c:pt>
                <c:pt idx="2766">
                  <c:v>13.4462261660119</c:v>
                </c:pt>
                <c:pt idx="2767">
                  <c:v>13.442475222600001</c:v>
                </c:pt>
                <c:pt idx="2768">
                  <c:v>13.4519046249368</c:v>
                </c:pt>
                <c:pt idx="2769">
                  <c:v>13.4408262023957</c:v>
                </c:pt>
                <c:pt idx="2770">
                  <c:v>13.442279533833601</c:v>
                </c:pt>
                <c:pt idx="2771">
                  <c:v>13.436216096365699</c:v>
                </c:pt>
                <c:pt idx="2772">
                  <c:v>13.4374875741238</c:v>
                </c:pt>
                <c:pt idx="2773">
                  <c:v>13.434664449127199</c:v>
                </c:pt>
                <c:pt idx="2774">
                  <c:v>13.4288922460675</c:v>
                </c:pt>
                <c:pt idx="2775">
                  <c:v>13.435710969306401</c:v>
                </c:pt>
                <c:pt idx="2776">
                  <c:v>13.432058545514201</c:v>
                </c:pt>
                <c:pt idx="2777">
                  <c:v>13.4252883871865</c:v>
                </c:pt>
                <c:pt idx="2778">
                  <c:v>13.423523149578401</c:v>
                </c:pt>
                <c:pt idx="2779">
                  <c:v>13.4280094956521</c:v>
                </c:pt>
                <c:pt idx="2780">
                  <c:v>13.4051074152563</c:v>
                </c:pt>
                <c:pt idx="2781">
                  <c:v>13.348812238285401</c:v>
                </c:pt>
                <c:pt idx="2782">
                  <c:v>13.412130332194399</c:v>
                </c:pt>
                <c:pt idx="2783">
                  <c:v>13.4095331240883</c:v>
                </c:pt>
                <c:pt idx="2784">
                  <c:v>13.4021267093216</c:v>
                </c:pt>
                <c:pt idx="2785">
                  <c:v>13.409128089972199</c:v>
                </c:pt>
                <c:pt idx="2786">
                  <c:v>13.418146175119199</c:v>
                </c:pt>
                <c:pt idx="2787">
                  <c:v>13.4136837165673</c:v>
                </c:pt>
                <c:pt idx="2788">
                  <c:v>13.3991818280864</c:v>
                </c:pt>
                <c:pt idx="2789">
                  <c:v>13.402022167480901</c:v>
                </c:pt>
                <c:pt idx="2790">
                  <c:v>13.4045294208802</c:v>
                </c:pt>
                <c:pt idx="2791">
                  <c:v>13.3736441189478</c:v>
                </c:pt>
                <c:pt idx="2792">
                  <c:v>13.389443807315899</c:v>
                </c:pt>
                <c:pt idx="2793">
                  <c:v>13.396360961020401</c:v>
                </c:pt>
                <c:pt idx="2794">
                  <c:v>13.3991629748398</c:v>
                </c:pt>
                <c:pt idx="2795">
                  <c:v>13.4012099842622</c:v>
                </c:pt>
                <c:pt idx="2796">
                  <c:v>13.3904408086603</c:v>
                </c:pt>
                <c:pt idx="2797">
                  <c:v>13.3905082733776</c:v>
                </c:pt>
                <c:pt idx="2798">
                  <c:v>13.390110335689201</c:v>
                </c:pt>
                <c:pt idx="2799">
                  <c:v>13.3804419818995</c:v>
                </c:pt>
                <c:pt idx="2800">
                  <c:v>13.389806540773501</c:v>
                </c:pt>
                <c:pt idx="2801">
                  <c:v>13.381074245410099</c:v>
                </c:pt>
                <c:pt idx="2802">
                  <c:v>13.380343037719999</c:v>
                </c:pt>
                <c:pt idx="2803">
                  <c:v>13.380293149832299</c:v>
                </c:pt>
                <c:pt idx="2804">
                  <c:v>13.382364696728899</c:v>
                </c:pt>
                <c:pt idx="2805">
                  <c:v>13.3780821850337</c:v>
                </c:pt>
                <c:pt idx="2806">
                  <c:v>13.373103400077101</c:v>
                </c:pt>
                <c:pt idx="2807">
                  <c:v>13.372403923709101</c:v>
                </c:pt>
                <c:pt idx="2808">
                  <c:v>13.3649401912702</c:v>
                </c:pt>
                <c:pt idx="2809">
                  <c:v>13.3667777433797</c:v>
                </c:pt>
                <c:pt idx="2810">
                  <c:v>13.3663410157013</c:v>
                </c:pt>
                <c:pt idx="2811">
                  <c:v>13.3599688180595</c:v>
                </c:pt>
                <c:pt idx="2812">
                  <c:v>13.358198574291499</c:v>
                </c:pt>
                <c:pt idx="2813">
                  <c:v>13.3466509650286</c:v>
                </c:pt>
                <c:pt idx="2814">
                  <c:v>13.3683460263354</c:v>
                </c:pt>
                <c:pt idx="2815">
                  <c:v>13.3554935305811</c:v>
                </c:pt>
                <c:pt idx="2816">
                  <c:v>13.352733194642299</c:v>
                </c:pt>
                <c:pt idx="2817">
                  <c:v>13.365610611757599</c:v>
                </c:pt>
                <c:pt idx="2818">
                  <c:v>13.3392861558977</c:v>
                </c:pt>
                <c:pt idx="2819">
                  <c:v>13.3540697443122</c:v>
                </c:pt>
                <c:pt idx="2820">
                  <c:v>13.3458983816223</c:v>
                </c:pt>
                <c:pt idx="2821">
                  <c:v>13.3502975939785</c:v>
                </c:pt>
                <c:pt idx="2822">
                  <c:v>13.3426020895908</c:v>
                </c:pt>
                <c:pt idx="2823">
                  <c:v>13.331040446486901</c:v>
                </c:pt>
                <c:pt idx="2824">
                  <c:v>13.3362840391174</c:v>
                </c:pt>
                <c:pt idx="2825">
                  <c:v>13.3280576945729</c:v>
                </c:pt>
                <c:pt idx="2826">
                  <c:v>13.324698151931299</c:v>
                </c:pt>
                <c:pt idx="2827">
                  <c:v>13.3230990015493</c:v>
                </c:pt>
                <c:pt idx="2828">
                  <c:v>13.3286002125826</c:v>
                </c:pt>
                <c:pt idx="2829">
                  <c:v>13.3230800978658</c:v>
                </c:pt>
                <c:pt idx="2830">
                  <c:v>13.3152457314835</c:v>
                </c:pt>
                <c:pt idx="2831">
                  <c:v>13.3224080107664</c:v>
                </c:pt>
                <c:pt idx="2832">
                  <c:v>13.318313485737599</c:v>
                </c:pt>
                <c:pt idx="2833">
                  <c:v>13.312670890207499</c:v>
                </c:pt>
                <c:pt idx="2834">
                  <c:v>13.298396779386399</c:v>
                </c:pt>
                <c:pt idx="2835">
                  <c:v>13.3043793259606</c:v>
                </c:pt>
                <c:pt idx="2836">
                  <c:v>13.2928960977308</c:v>
                </c:pt>
                <c:pt idx="2837">
                  <c:v>13.2974801849254</c:v>
                </c:pt>
                <c:pt idx="2838">
                  <c:v>13.304875546461201</c:v>
                </c:pt>
                <c:pt idx="2839">
                  <c:v>13.292270212565001</c:v>
                </c:pt>
                <c:pt idx="2840">
                  <c:v>13.2917602137794</c:v>
                </c:pt>
                <c:pt idx="2841">
                  <c:v>13.285950143148</c:v>
                </c:pt>
                <c:pt idx="2842">
                  <c:v>13.2847065251421</c:v>
                </c:pt>
                <c:pt idx="2843">
                  <c:v>13.2842744482</c:v>
                </c:pt>
                <c:pt idx="2844">
                  <c:v>13.276454242432401</c:v>
                </c:pt>
                <c:pt idx="2845">
                  <c:v>13.272688791691101</c:v>
                </c:pt>
                <c:pt idx="2846">
                  <c:v>13.2689696112836</c:v>
                </c:pt>
                <c:pt idx="2847">
                  <c:v>13.266627557010899</c:v>
                </c:pt>
                <c:pt idx="2848">
                  <c:v>13.2460815174065</c:v>
                </c:pt>
                <c:pt idx="2849">
                  <c:v>13.269543111028501</c:v>
                </c:pt>
                <c:pt idx="2850">
                  <c:v>13.2589513030658</c:v>
                </c:pt>
                <c:pt idx="2851">
                  <c:v>13.2540667505773</c:v>
                </c:pt>
                <c:pt idx="2852">
                  <c:v>13.2506128564335</c:v>
                </c:pt>
                <c:pt idx="2853">
                  <c:v>13.2446721709888</c:v>
                </c:pt>
                <c:pt idx="2854">
                  <c:v>13.250242628708699</c:v>
                </c:pt>
                <c:pt idx="2855">
                  <c:v>13.2486239352531</c:v>
                </c:pt>
                <c:pt idx="2856">
                  <c:v>13.236020521924299</c:v>
                </c:pt>
                <c:pt idx="2857">
                  <c:v>13.2432973719401</c:v>
                </c:pt>
                <c:pt idx="2858">
                  <c:v>13.231584209372</c:v>
                </c:pt>
                <c:pt idx="2859">
                  <c:v>13.237825962101001</c:v>
                </c:pt>
                <c:pt idx="2860">
                  <c:v>13.238615520039</c:v>
                </c:pt>
                <c:pt idx="2861">
                  <c:v>13.2410615991526</c:v>
                </c:pt>
                <c:pt idx="2862">
                  <c:v>13.225338369788</c:v>
                </c:pt>
                <c:pt idx="2863">
                  <c:v>13.235612227327501</c:v>
                </c:pt>
                <c:pt idx="2864">
                  <c:v>13.2260907266951</c:v>
                </c:pt>
                <c:pt idx="2865">
                  <c:v>13.230336862305901</c:v>
                </c:pt>
                <c:pt idx="2866">
                  <c:v>13.213823052878301</c:v>
                </c:pt>
                <c:pt idx="2867">
                  <c:v>13.2140371697496</c:v>
                </c:pt>
                <c:pt idx="2868">
                  <c:v>13.2243733615623</c:v>
                </c:pt>
                <c:pt idx="2869">
                  <c:v>13.2150395598063</c:v>
                </c:pt>
                <c:pt idx="2870">
                  <c:v>13.2147213966953</c:v>
                </c:pt>
                <c:pt idx="2871">
                  <c:v>13.202412392458299</c:v>
                </c:pt>
                <c:pt idx="2872">
                  <c:v>13.205337049437601</c:v>
                </c:pt>
                <c:pt idx="2873">
                  <c:v>13.2146113988127</c:v>
                </c:pt>
                <c:pt idx="2874">
                  <c:v>13.2030617404629</c:v>
                </c:pt>
                <c:pt idx="2875">
                  <c:v>13.197936817004701</c:v>
                </c:pt>
                <c:pt idx="2876">
                  <c:v>13.200147361579001</c:v>
                </c:pt>
                <c:pt idx="2877">
                  <c:v>13.1990462488024</c:v>
                </c:pt>
                <c:pt idx="2878">
                  <c:v>13.191200149258</c:v>
                </c:pt>
                <c:pt idx="2879">
                  <c:v>13.1783339933042</c:v>
                </c:pt>
                <c:pt idx="2880">
                  <c:v>13.1837546942399</c:v>
                </c:pt>
                <c:pt idx="2881">
                  <c:v>13.188708151087001</c:v>
                </c:pt>
                <c:pt idx="2882">
                  <c:v>13.1727436419793</c:v>
                </c:pt>
                <c:pt idx="2883">
                  <c:v>13.1779663704078</c:v>
                </c:pt>
                <c:pt idx="2884">
                  <c:v>13.176215020012201</c:v>
                </c:pt>
                <c:pt idx="2885">
                  <c:v>13.1602858459296</c:v>
                </c:pt>
                <c:pt idx="2886">
                  <c:v>13.169995222094901</c:v>
                </c:pt>
                <c:pt idx="2887">
                  <c:v>13.161784954486601</c:v>
                </c:pt>
                <c:pt idx="2888">
                  <c:v>13.1642044421155</c:v>
                </c:pt>
                <c:pt idx="2889">
                  <c:v>13.155653396712401</c:v>
                </c:pt>
                <c:pt idx="2890">
                  <c:v>13.1350195011255</c:v>
                </c:pt>
                <c:pt idx="2891">
                  <c:v>13.147311874842201</c:v>
                </c:pt>
                <c:pt idx="2892">
                  <c:v>13.145978123700001</c:v>
                </c:pt>
                <c:pt idx="2893">
                  <c:v>13.145454866628199</c:v>
                </c:pt>
                <c:pt idx="2894">
                  <c:v>13.137399134398301</c:v>
                </c:pt>
                <c:pt idx="2895">
                  <c:v>13.1243984913589</c:v>
                </c:pt>
                <c:pt idx="2896">
                  <c:v>13.137867479484701</c:v>
                </c:pt>
                <c:pt idx="2897">
                  <c:v>13.132474767514401</c:v>
                </c:pt>
                <c:pt idx="2898">
                  <c:v>13.130706871088099</c:v>
                </c:pt>
                <c:pt idx="2899">
                  <c:v>13.1274955230163</c:v>
                </c:pt>
                <c:pt idx="2900">
                  <c:v>13.115856693530199</c:v>
                </c:pt>
                <c:pt idx="2901">
                  <c:v>13.1289459292618</c:v>
                </c:pt>
                <c:pt idx="2902">
                  <c:v>13.112304845925999</c:v>
                </c:pt>
                <c:pt idx="2903">
                  <c:v>13.1182180842215</c:v>
                </c:pt>
                <c:pt idx="2904">
                  <c:v>13.119312002503101</c:v>
                </c:pt>
                <c:pt idx="2905">
                  <c:v>13.102367949156401</c:v>
                </c:pt>
                <c:pt idx="2906">
                  <c:v>13.1081932449419</c:v>
                </c:pt>
                <c:pt idx="2907">
                  <c:v>13.1083222081486</c:v>
                </c:pt>
                <c:pt idx="2908">
                  <c:v>13.1037885996749</c:v>
                </c:pt>
                <c:pt idx="2909">
                  <c:v>13.098031303094899</c:v>
                </c:pt>
                <c:pt idx="2910">
                  <c:v>13.101649705992999</c:v>
                </c:pt>
                <c:pt idx="2911">
                  <c:v>13.098637210298</c:v>
                </c:pt>
                <c:pt idx="2912">
                  <c:v>13.090250867878501</c:v>
                </c:pt>
                <c:pt idx="2913">
                  <c:v>13.0937745981077</c:v>
                </c:pt>
                <c:pt idx="2914">
                  <c:v>13.082423168443301</c:v>
                </c:pt>
                <c:pt idx="2915">
                  <c:v>13.0866045827036</c:v>
                </c:pt>
                <c:pt idx="2916">
                  <c:v>13.072385221674701</c:v>
                </c:pt>
                <c:pt idx="2917">
                  <c:v>13.0725232126949</c:v>
                </c:pt>
                <c:pt idx="2918">
                  <c:v>13.0766155434927</c:v>
                </c:pt>
                <c:pt idx="2919">
                  <c:v>13.0839836376758</c:v>
                </c:pt>
                <c:pt idx="2920">
                  <c:v>13.0738606742519</c:v>
                </c:pt>
                <c:pt idx="2921">
                  <c:v>13.0692488976409</c:v>
                </c:pt>
                <c:pt idx="2922">
                  <c:v>13.0610142752897</c:v>
                </c:pt>
                <c:pt idx="2923">
                  <c:v>13.056057265518501</c:v>
                </c:pt>
                <c:pt idx="2924">
                  <c:v>13.0440879740817</c:v>
                </c:pt>
                <c:pt idx="2925">
                  <c:v>13.041348517616999</c:v>
                </c:pt>
                <c:pt idx="2926">
                  <c:v>13.050437253860499</c:v>
                </c:pt>
                <c:pt idx="2927">
                  <c:v>13.0404380459581</c:v>
                </c:pt>
                <c:pt idx="2928">
                  <c:v>13.0415248950377</c:v>
                </c:pt>
                <c:pt idx="2929">
                  <c:v>13.038448443046001</c:v>
                </c:pt>
                <c:pt idx="2930">
                  <c:v>13.0261366501558</c:v>
                </c:pt>
                <c:pt idx="2931">
                  <c:v>13.023494512311901</c:v>
                </c:pt>
                <c:pt idx="2932">
                  <c:v>13.026427583972101</c:v>
                </c:pt>
                <c:pt idx="2933">
                  <c:v>13.0136341019191</c:v>
                </c:pt>
                <c:pt idx="2934">
                  <c:v>13.012671158161099</c:v>
                </c:pt>
                <c:pt idx="2935">
                  <c:v>13.0149391069783</c:v>
                </c:pt>
                <c:pt idx="2936">
                  <c:v>12.992376476798199</c:v>
                </c:pt>
                <c:pt idx="2937">
                  <c:v>13.005644559787999</c:v>
                </c:pt>
                <c:pt idx="2938">
                  <c:v>13.0040414998566</c:v>
                </c:pt>
                <c:pt idx="2939">
                  <c:v>13.002908567658601</c:v>
                </c:pt>
                <c:pt idx="2940">
                  <c:v>12.9934707878281</c:v>
                </c:pt>
                <c:pt idx="2941">
                  <c:v>12.9853052235605</c:v>
                </c:pt>
                <c:pt idx="2942">
                  <c:v>12.986433209504501</c:v>
                </c:pt>
                <c:pt idx="2943">
                  <c:v>12.9809084457737</c:v>
                </c:pt>
                <c:pt idx="2944">
                  <c:v>12.983432256220301</c:v>
                </c:pt>
                <c:pt idx="2945">
                  <c:v>12.970222458097499</c:v>
                </c:pt>
                <c:pt idx="2946">
                  <c:v>12.9573984414767</c:v>
                </c:pt>
                <c:pt idx="2947">
                  <c:v>12.9764312516012</c:v>
                </c:pt>
                <c:pt idx="2948">
                  <c:v>12.9667008997345</c:v>
                </c:pt>
                <c:pt idx="2949">
                  <c:v>12.9627035797993</c:v>
                </c:pt>
                <c:pt idx="2950">
                  <c:v>12.960515228790801</c:v>
                </c:pt>
                <c:pt idx="2951">
                  <c:v>12.9360074407467</c:v>
                </c:pt>
                <c:pt idx="2952">
                  <c:v>12.9498375858826</c:v>
                </c:pt>
                <c:pt idx="2953">
                  <c:v>12.947246964347899</c:v>
                </c:pt>
                <c:pt idx="2954">
                  <c:v>12.9363476597574</c:v>
                </c:pt>
                <c:pt idx="2955">
                  <c:v>12.926493727236601</c:v>
                </c:pt>
                <c:pt idx="2956">
                  <c:v>12.9349616051987</c:v>
                </c:pt>
                <c:pt idx="2957">
                  <c:v>12.9393357561566</c:v>
                </c:pt>
                <c:pt idx="2958">
                  <c:v>12.9063368060978</c:v>
                </c:pt>
                <c:pt idx="2959">
                  <c:v>12.9001434119655</c:v>
                </c:pt>
                <c:pt idx="2960">
                  <c:v>12.925058722613899</c:v>
                </c:pt>
                <c:pt idx="2961">
                  <c:v>12.901704834432699</c:v>
                </c:pt>
                <c:pt idx="2962">
                  <c:v>12.9096679957091</c:v>
                </c:pt>
                <c:pt idx="2963">
                  <c:v>12.910318990475499</c:v>
                </c:pt>
                <c:pt idx="2964">
                  <c:v>12.90608579937</c:v>
                </c:pt>
                <c:pt idx="2965">
                  <c:v>12.85890099829</c:v>
                </c:pt>
                <c:pt idx="2966">
                  <c:v>12.8828174030961</c:v>
                </c:pt>
                <c:pt idx="2967">
                  <c:v>12.890193711609699</c:v>
                </c:pt>
                <c:pt idx="2968">
                  <c:v>12.8900900224924</c:v>
                </c:pt>
                <c:pt idx="2969">
                  <c:v>12.8789260142172</c:v>
                </c:pt>
                <c:pt idx="2970">
                  <c:v>12.881635802476</c:v>
                </c:pt>
                <c:pt idx="2971">
                  <c:v>12.8696692467256</c:v>
                </c:pt>
                <c:pt idx="2972">
                  <c:v>12.8577673359733</c:v>
                </c:pt>
                <c:pt idx="2973">
                  <c:v>12.8586636422166</c:v>
                </c:pt>
                <c:pt idx="2974">
                  <c:v>12.8559663753246</c:v>
                </c:pt>
                <c:pt idx="2975">
                  <c:v>12.8533609348447</c:v>
                </c:pt>
                <c:pt idx="2976">
                  <c:v>12.8468773275087</c:v>
                </c:pt>
                <c:pt idx="2977">
                  <c:v>12.849845176862701</c:v>
                </c:pt>
                <c:pt idx="2978">
                  <c:v>12.841862212728699</c:v>
                </c:pt>
                <c:pt idx="2979">
                  <c:v>12.819576598941699</c:v>
                </c:pt>
                <c:pt idx="2980">
                  <c:v>12.833198731129</c:v>
                </c:pt>
                <c:pt idx="2981">
                  <c:v>12.8275144134978</c:v>
                </c:pt>
                <c:pt idx="2982">
                  <c:v>12.827640570004601</c:v>
                </c:pt>
                <c:pt idx="2983">
                  <c:v>12.8217524238735</c:v>
                </c:pt>
                <c:pt idx="2984">
                  <c:v>12.813879924241199</c:v>
                </c:pt>
                <c:pt idx="2985">
                  <c:v>12.8095734368524</c:v>
                </c:pt>
                <c:pt idx="2986">
                  <c:v>12.8122770708587</c:v>
                </c:pt>
                <c:pt idx="2987">
                  <c:v>12.803072411553501</c:v>
                </c:pt>
                <c:pt idx="2988">
                  <c:v>12.782539281739201</c:v>
                </c:pt>
                <c:pt idx="2989">
                  <c:v>12.7900322658921</c:v>
                </c:pt>
                <c:pt idx="2990">
                  <c:v>12.793857650666901</c:v>
                </c:pt>
                <c:pt idx="2991">
                  <c:v>12.7920270105136</c:v>
                </c:pt>
                <c:pt idx="2992">
                  <c:v>12.786395802990199</c:v>
                </c:pt>
                <c:pt idx="2993">
                  <c:v>12.776281251986701</c:v>
                </c:pt>
                <c:pt idx="2994">
                  <c:v>12.752124187513299</c:v>
                </c:pt>
                <c:pt idx="2995">
                  <c:v>12.7544509742819</c:v>
                </c:pt>
                <c:pt idx="2996">
                  <c:v>12.753171459058899</c:v>
                </c:pt>
                <c:pt idx="2997">
                  <c:v>12.7599853859105</c:v>
                </c:pt>
                <c:pt idx="2998">
                  <c:v>12.740957519573699</c:v>
                </c:pt>
                <c:pt idx="2999">
                  <c:v>12.735196888443401</c:v>
                </c:pt>
                <c:pt idx="3000">
                  <c:v>12.738522966033001</c:v>
                </c:pt>
                <c:pt idx="3001">
                  <c:v>12.729049441367099</c:v>
                </c:pt>
                <c:pt idx="3002">
                  <c:v>12.728850572667399</c:v>
                </c:pt>
                <c:pt idx="3003">
                  <c:v>12.7215828147087</c:v>
                </c:pt>
                <c:pt idx="3004">
                  <c:v>12.713466022456201</c:v>
                </c:pt>
                <c:pt idx="3005">
                  <c:v>12.7120700915826</c:v>
                </c:pt>
                <c:pt idx="3006">
                  <c:v>12.702724254203501</c:v>
                </c:pt>
                <c:pt idx="3007">
                  <c:v>12.700879831108599</c:v>
                </c:pt>
                <c:pt idx="3008">
                  <c:v>12.699332178896899</c:v>
                </c:pt>
                <c:pt idx="3009">
                  <c:v>12.695461021768301</c:v>
                </c:pt>
                <c:pt idx="3010">
                  <c:v>12.6843161346739</c:v>
                </c:pt>
                <c:pt idx="3011">
                  <c:v>12.6861975045527</c:v>
                </c:pt>
                <c:pt idx="3012">
                  <c:v>12.667368528862299</c:v>
                </c:pt>
                <c:pt idx="3013">
                  <c:v>12.6739575048462</c:v>
                </c:pt>
                <c:pt idx="3014">
                  <c:v>12.6791913556679</c:v>
                </c:pt>
                <c:pt idx="3015">
                  <c:v>12.669591557718199</c:v>
                </c:pt>
                <c:pt idx="3016">
                  <c:v>12.655449350284901</c:v>
                </c:pt>
                <c:pt idx="3017">
                  <c:v>12.6464472690497</c:v>
                </c:pt>
                <c:pt idx="3018">
                  <c:v>12.612534899410999</c:v>
                </c:pt>
                <c:pt idx="3019">
                  <c:v>12.6231769376112</c:v>
                </c:pt>
                <c:pt idx="3020">
                  <c:v>12.6218153707315</c:v>
                </c:pt>
                <c:pt idx="3021">
                  <c:v>12.605762574816399</c:v>
                </c:pt>
                <c:pt idx="3022">
                  <c:v>12.5922078418387</c:v>
                </c:pt>
                <c:pt idx="3023">
                  <c:v>12.593357899499001</c:v>
                </c:pt>
                <c:pt idx="3024">
                  <c:v>12.595659306519901</c:v>
                </c:pt>
                <c:pt idx="3025">
                  <c:v>12.5873074352417</c:v>
                </c:pt>
                <c:pt idx="3026">
                  <c:v>12.58219706137</c:v>
                </c:pt>
                <c:pt idx="3027">
                  <c:v>12.5670620278344</c:v>
                </c:pt>
                <c:pt idx="3028">
                  <c:v>12.5744699053307</c:v>
                </c:pt>
                <c:pt idx="3029">
                  <c:v>12.5739290022966</c:v>
                </c:pt>
                <c:pt idx="3030">
                  <c:v>12.5573870906236</c:v>
                </c:pt>
                <c:pt idx="3031">
                  <c:v>12.5551534579188</c:v>
                </c:pt>
                <c:pt idx="3032">
                  <c:v>12.547972096014901</c:v>
                </c:pt>
                <c:pt idx="3033">
                  <c:v>12.5553978527056</c:v>
                </c:pt>
                <c:pt idx="3034">
                  <c:v>12.5337861211876</c:v>
                </c:pt>
                <c:pt idx="3035">
                  <c:v>12.526322724479799</c:v>
                </c:pt>
                <c:pt idx="3036">
                  <c:v>12.525364655952</c:v>
                </c:pt>
                <c:pt idx="3037">
                  <c:v>12.4952655568165</c:v>
                </c:pt>
                <c:pt idx="3038">
                  <c:v>12.516125764535801</c:v>
                </c:pt>
                <c:pt idx="3039">
                  <c:v>12.465528624427</c:v>
                </c:pt>
                <c:pt idx="3040">
                  <c:v>12.472764885653801</c:v>
                </c:pt>
                <c:pt idx="3041">
                  <c:v>12.4733425756437</c:v>
                </c:pt>
                <c:pt idx="3042">
                  <c:v>12.466859099750399</c:v>
                </c:pt>
                <c:pt idx="3043">
                  <c:v>12.4549429404994</c:v>
                </c:pt>
                <c:pt idx="3044">
                  <c:v>12.458973035445</c:v>
                </c:pt>
                <c:pt idx="3045">
                  <c:v>12.462152374185999</c:v>
                </c:pt>
                <c:pt idx="3046">
                  <c:v>12.4556718614775</c:v>
                </c:pt>
                <c:pt idx="3047">
                  <c:v>12.449890076812499</c:v>
                </c:pt>
                <c:pt idx="3048">
                  <c:v>12.435625481108699</c:v>
                </c:pt>
                <c:pt idx="3049">
                  <c:v>12.4193419475478</c:v>
                </c:pt>
                <c:pt idx="3050">
                  <c:v>12.4080527262104</c:v>
                </c:pt>
                <c:pt idx="3051">
                  <c:v>12.3979524860776</c:v>
                </c:pt>
                <c:pt idx="3052">
                  <c:v>12.4140721067466</c:v>
                </c:pt>
                <c:pt idx="3053">
                  <c:v>12.4022973310908</c:v>
                </c:pt>
                <c:pt idx="3054">
                  <c:v>12.4025380006536</c:v>
                </c:pt>
                <c:pt idx="3055">
                  <c:v>12.4012486668887</c:v>
                </c:pt>
                <c:pt idx="3056">
                  <c:v>12.3795649768656</c:v>
                </c:pt>
                <c:pt idx="3057">
                  <c:v>12.381118489051</c:v>
                </c:pt>
                <c:pt idx="3058">
                  <c:v>12.374933853344199</c:v>
                </c:pt>
                <c:pt idx="3059">
                  <c:v>12.369486859853</c:v>
                </c:pt>
                <c:pt idx="3060">
                  <c:v>12.3479368163059</c:v>
                </c:pt>
                <c:pt idx="3061">
                  <c:v>12.356687232091801</c:v>
                </c:pt>
                <c:pt idx="3062">
                  <c:v>12.351724889305499</c:v>
                </c:pt>
                <c:pt idx="3063">
                  <c:v>12.351710475701299</c:v>
                </c:pt>
                <c:pt idx="3064">
                  <c:v>12.337367150177201</c:v>
                </c:pt>
                <c:pt idx="3065">
                  <c:v>12.326561590065401</c:v>
                </c:pt>
                <c:pt idx="3066">
                  <c:v>12.318968925477</c:v>
                </c:pt>
                <c:pt idx="3067">
                  <c:v>12.3235480018466</c:v>
                </c:pt>
                <c:pt idx="3068">
                  <c:v>12.3234926786296</c:v>
                </c:pt>
                <c:pt idx="3069">
                  <c:v>12.292334087248699</c:v>
                </c:pt>
                <c:pt idx="3070">
                  <c:v>12.2953221580094</c:v>
                </c:pt>
                <c:pt idx="3071">
                  <c:v>12.2995079102211</c:v>
                </c:pt>
                <c:pt idx="3072">
                  <c:v>12.2776351573558</c:v>
                </c:pt>
                <c:pt idx="3073">
                  <c:v>12.2814920850712</c:v>
                </c:pt>
                <c:pt idx="3074">
                  <c:v>12.2691700191279</c:v>
                </c:pt>
                <c:pt idx="3075">
                  <c:v>12.2635471843437</c:v>
                </c:pt>
                <c:pt idx="3076">
                  <c:v>12.261729588305601</c:v>
                </c:pt>
                <c:pt idx="3077">
                  <c:v>12.235892663169301</c:v>
                </c:pt>
                <c:pt idx="3078">
                  <c:v>12.2309234946465</c:v>
                </c:pt>
                <c:pt idx="3079">
                  <c:v>12.224087282426</c:v>
                </c:pt>
                <c:pt idx="3080">
                  <c:v>12.2210887159215</c:v>
                </c:pt>
                <c:pt idx="3081">
                  <c:v>12.2282132137183</c:v>
                </c:pt>
                <c:pt idx="3082">
                  <c:v>12.2148592980166</c:v>
                </c:pt>
                <c:pt idx="3083">
                  <c:v>12.185177402695199</c:v>
                </c:pt>
                <c:pt idx="3084">
                  <c:v>12.194795995880501</c:v>
                </c:pt>
                <c:pt idx="3085">
                  <c:v>12.1745268305385</c:v>
                </c:pt>
                <c:pt idx="3086">
                  <c:v>12.172173894150401</c:v>
                </c:pt>
                <c:pt idx="3087">
                  <c:v>12.173075652627499</c:v>
                </c:pt>
                <c:pt idx="3088">
                  <c:v>12.172895675297299</c:v>
                </c:pt>
                <c:pt idx="3089">
                  <c:v>12.1565880713542</c:v>
                </c:pt>
                <c:pt idx="3090">
                  <c:v>12.1521704860571</c:v>
                </c:pt>
                <c:pt idx="3091">
                  <c:v>12.1373241201679</c:v>
                </c:pt>
                <c:pt idx="3092">
                  <c:v>12.129653936616499</c:v>
                </c:pt>
                <c:pt idx="3093">
                  <c:v>12.1243572630869</c:v>
                </c:pt>
                <c:pt idx="3094">
                  <c:v>12.1220462271566</c:v>
                </c:pt>
                <c:pt idx="3095">
                  <c:v>12.1203247594655</c:v>
                </c:pt>
                <c:pt idx="3096">
                  <c:v>12.1245297913612</c:v>
                </c:pt>
                <c:pt idx="3097">
                  <c:v>12.0988086569355</c:v>
                </c:pt>
                <c:pt idx="3098">
                  <c:v>12.1079623737281</c:v>
                </c:pt>
                <c:pt idx="3099">
                  <c:v>12.108006696686299</c:v>
                </c:pt>
                <c:pt idx="3100">
                  <c:v>12.084258291140801</c:v>
                </c:pt>
                <c:pt idx="3101">
                  <c:v>12.087126730716401</c:v>
                </c:pt>
                <c:pt idx="3102">
                  <c:v>12.0634393117281</c:v>
                </c:pt>
                <c:pt idx="3103">
                  <c:v>12.0583829900159</c:v>
                </c:pt>
                <c:pt idx="3104">
                  <c:v>12.056244254012199</c:v>
                </c:pt>
                <c:pt idx="3105">
                  <c:v>12.0565052745469</c:v>
                </c:pt>
                <c:pt idx="3106">
                  <c:v>12.0486825733143</c:v>
                </c:pt>
                <c:pt idx="3107">
                  <c:v>12.0453252816574</c:v>
                </c:pt>
                <c:pt idx="3108">
                  <c:v>12.003871086267701</c:v>
                </c:pt>
                <c:pt idx="3109">
                  <c:v>12.029839724571699</c:v>
                </c:pt>
                <c:pt idx="3110">
                  <c:v>12.0193218897763</c:v>
                </c:pt>
                <c:pt idx="3111">
                  <c:v>12.0128717770039</c:v>
                </c:pt>
                <c:pt idx="3112">
                  <c:v>11.9865786999324</c:v>
                </c:pt>
                <c:pt idx="3113">
                  <c:v>11.9759229490018</c:v>
                </c:pt>
                <c:pt idx="3114">
                  <c:v>11.966468732676599</c:v>
                </c:pt>
                <c:pt idx="3115">
                  <c:v>11.967102977314701</c:v>
                </c:pt>
                <c:pt idx="3116">
                  <c:v>11.969050600506399</c:v>
                </c:pt>
                <c:pt idx="3117">
                  <c:v>11.943031091630701</c:v>
                </c:pt>
                <c:pt idx="3118">
                  <c:v>11.940162249237201</c:v>
                </c:pt>
                <c:pt idx="3119">
                  <c:v>11.9239789307829</c:v>
                </c:pt>
                <c:pt idx="3120">
                  <c:v>11.9229201466547</c:v>
                </c:pt>
                <c:pt idx="3121">
                  <c:v>11.9288339869304</c:v>
                </c:pt>
                <c:pt idx="3122">
                  <c:v>11.9035401563034</c:v>
                </c:pt>
                <c:pt idx="3123">
                  <c:v>11.9098021351843</c:v>
                </c:pt>
                <c:pt idx="3124">
                  <c:v>11.898642694458401</c:v>
                </c:pt>
                <c:pt idx="3125">
                  <c:v>11.872313414152099</c:v>
                </c:pt>
                <c:pt idx="3126">
                  <c:v>11.8775593341846</c:v>
                </c:pt>
                <c:pt idx="3127">
                  <c:v>11.8793192127617</c:v>
                </c:pt>
                <c:pt idx="3128">
                  <c:v>11.882178804452201</c:v>
                </c:pt>
                <c:pt idx="3129">
                  <c:v>11.868167582321799</c:v>
                </c:pt>
                <c:pt idx="3130">
                  <c:v>11.8317468688853</c:v>
                </c:pt>
                <c:pt idx="3131">
                  <c:v>11.825476042531699</c:v>
                </c:pt>
                <c:pt idx="3132">
                  <c:v>11.831448642431001</c:v>
                </c:pt>
                <c:pt idx="3133">
                  <c:v>11.827074442974199</c:v>
                </c:pt>
                <c:pt idx="3134">
                  <c:v>11.8214916334104</c:v>
                </c:pt>
                <c:pt idx="3135">
                  <c:v>11.7980376341163</c:v>
                </c:pt>
                <c:pt idx="3136">
                  <c:v>11.7836795382765</c:v>
                </c:pt>
                <c:pt idx="3137">
                  <c:v>11.7884680503659</c:v>
                </c:pt>
                <c:pt idx="3138">
                  <c:v>11.781171989299899</c:v>
                </c:pt>
                <c:pt idx="3139">
                  <c:v>11.769185890683699</c:v>
                </c:pt>
                <c:pt idx="3140">
                  <c:v>11.7718960447621</c:v>
                </c:pt>
                <c:pt idx="3141">
                  <c:v>11.756018850225599</c:v>
                </c:pt>
                <c:pt idx="3142">
                  <c:v>11.7449761471856</c:v>
                </c:pt>
                <c:pt idx="3143">
                  <c:v>11.727427640058499</c:v>
                </c:pt>
                <c:pt idx="3144">
                  <c:v>11.7089101328</c:v>
                </c:pt>
                <c:pt idx="3145">
                  <c:v>11.703128207448801</c:v>
                </c:pt>
                <c:pt idx="3146">
                  <c:v>11.7038794663159</c:v>
                </c:pt>
                <c:pt idx="3147">
                  <c:v>11.6979352904997</c:v>
                </c:pt>
                <c:pt idx="3148">
                  <c:v>11.698318931620999</c:v>
                </c:pt>
                <c:pt idx="3149">
                  <c:v>11.6627796896489</c:v>
                </c:pt>
                <c:pt idx="3150">
                  <c:v>11.6566358619745</c:v>
                </c:pt>
                <c:pt idx="3151">
                  <c:v>11.6499957049835</c:v>
                </c:pt>
                <c:pt idx="3152">
                  <c:v>11.6557600470643</c:v>
                </c:pt>
                <c:pt idx="3153">
                  <c:v>11.6466206234939</c:v>
                </c:pt>
                <c:pt idx="3154">
                  <c:v>11.649258002933999</c:v>
                </c:pt>
                <c:pt idx="3155">
                  <c:v>11.6542182655419</c:v>
                </c:pt>
                <c:pt idx="3156">
                  <c:v>11.5953824042056</c:v>
                </c:pt>
                <c:pt idx="3157">
                  <c:v>11.603249200567101</c:v>
                </c:pt>
                <c:pt idx="3158">
                  <c:v>11.596465807960801</c:v>
                </c:pt>
                <c:pt idx="3159">
                  <c:v>11.6059831154626</c:v>
                </c:pt>
                <c:pt idx="3160">
                  <c:v>11.581941910367499</c:v>
                </c:pt>
                <c:pt idx="3161">
                  <c:v>11.572823655560001</c:v>
                </c:pt>
                <c:pt idx="3162">
                  <c:v>11.567430540980901</c:v>
                </c:pt>
                <c:pt idx="3163">
                  <c:v>11.556886837458</c:v>
                </c:pt>
                <c:pt idx="3164">
                  <c:v>11.523162922479999</c:v>
                </c:pt>
                <c:pt idx="3165">
                  <c:v>11.517990999176901</c:v>
                </c:pt>
                <c:pt idx="3166">
                  <c:v>11.533944113044599</c:v>
                </c:pt>
                <c:pt idx="3167">
                  <c:v>11.498985327433701</c:v>
                </c:pt>
                <c:pt idx="3168">
                  <c:v>11.4942772796106</c:v>
                </c:pt>
                <c:pt idx="3169">
                  <c:v>11.4814246755595</c:v>
                </c:pt>
                <c:pt idx="3170">
                  <c:v>11.493234456791599</c:v>
                </c:pt>
                <c:pt idx="3171">
                  <c:v>11.4944433439191</c:v>
                </c:pt>
                <c:pt idx="3172">
                  <c:v>11.473950243318299</c:v>
                </c:pt>
                <c:pt idx="3173">
                  <c:v>11.448861302731</c:v>
                </c:pt>
                <c:pt idx="3174">
                  <c:v>11.444629607685901</c:v>
                </c:pt>
                <c:pt idx="3175">
                  <c:v>11.452118631995701</c:v>
                </c:pt>
                <c:pt idx="3176">
                  <c:v>11.445321347862199</c:v>
                </c:pt>
                <c:pt idx="3177">
                  <c:v>11.447382706666801</c:v>
                </c:pt>
                <c:pt idx="3178">
                  <c:v>11.404190485685101</c:v>
                </c:pt>
                <c:pt idx="3179">
                  <c:v>11.4034451818293</c:v>
                </c:pt>
                <c:pt idx="3180">
                  <c:v>11.3965304106161</c:v>
                </c:pt>
                <c:pt idx="3181">
                  <c:v>11.3929871533546</c:v>
                </c:pt>
                <c:pt idx="3182">
                  <c:v>11.3966056460687</c:v>
                </c:pt>
                <c:pt idx="3183">
                  <c:v>11.385801949348201</c:v>
                </c:pt>
                <c:pt idx="3184">
                  <c:v>11.379086523452401</c:v>
                </c:pt>
                <c:pt idx="3185">
                  <c:v>11.3683763707915</c:v>
                </c:pt>
                <c:pt idx="3186">
                  <c:v>11.3418858402525</c:v>
                </c:pt>
                <c:pt idx="3187">
                  <c:v>11.343336921472099</c:v>
                </c:pt>
                <c:pt idx="3188">
                  <c:v>11.3313383910418</c:v>
                </c:pt>
                <c:pt idx="3189">
                  <c:v>11.3250556769715</c:v>
                </c:pt>
                <c:pt idx="3190">
                  <c:v>11.308669185873899</c:v>
                </c:pt>
                <c:pt idx="3191">
                  <c:v>11.315726250144399</c:v>
                </c:pt>
                <c:pt idx="3192">
                  <c:v>11.2934554308438</c:v>
                </c:pt>
                <c:pt idx="3193">
                  <c:v>11.2783078573894</c:v>
                </c:pt>
                <c:pt idx="3194">
                  <c:v>11.273416071890299</c:v>
                </c:pt>
                <c:pt idx="3195">
                  <c:v>11.2590800599245</c:v>
                </c:pt>
                <c:pt idx="3196">
                  <c:v>11.2419018654409</c:v>
                </c:pt>
                <c:pt idx="3197">
                  <c:v>11.2370466882447</c:v>
                </c:pt>
                <c:pt idx="3198">
                  <c:v>11.235112859390499</c:v>
                </c:pt>
                <c:pt idx="3199">
                  <c:v>11.244132817340899</c:v>
                </c:pt>
                <c:pt idx="3200">
                  <c:v>11.220471715495</c:v>
                </c:pt>
                <c:pt idx="3201">
                  <c:v>11.2036128963636</c:v>
                </c:pt>
                <c:pt idx="3202">
                  <c:v>11.1876527044729</c:v>
                </c:pt>
                <c:pt idx="3203">
                  <c:v>11.1893406127418</c:v>
                </c:pt>
                <c:pt idx="3204">
                  <c:v>11.1922760455989</c:v>
                </c:pt>
                <c:pt idx="3205">
                  <c:v>11.1866200088984</c:v>
                </c:pt>
                <c:pt idx="3206">
                  <c:v>11.1985480035968</c:v>
                </c:pt>
                <c:pt idx="3207">
                  <c:v>11.1805159339707</c:v>
                </c:pt>
                <c:pt idx="3208">
                  <c:v>11.1529851409031</c:v>
                </c:pt>
                <c:pt idx="3209">
                  <c:v>11.143336577371601</c:v>
                </c:pt>
                <c:pt idx="3210">
                  <c:v>11.1386360933154</c:v>
                </c:pt>
                <c:pt idx="3211">
                  <c:v>11.1413856115865</c:v>
                </c:pt>
                <c:pt idx="3212">
                  <c:v>11.1138369005876</c:v>
                </c:pt>
                <c:pt idx="3213">
                  <c:v>11.0934950592102</c:v>
                </c:pt>
                <c:pt idx="3214">
                  <c:v>11.097734691213301</c:v>
                </c:pt>
                <c:pt idx="3215">
                  <c:v>11.087970444358</c:v>
                </c:pt>
                <c:pt idx="3216">
                  <c:v>11.0602150501262</c:v>
                </c:pt>
                <c:pt idx="3217">
                  <c:v>11.050055138397401</c:v>
                </c:pt>
                <c:pt idx="3218">
                  <c:v>11.053260730856399</c:v>
                </c:pt>
                <c:pt idx="3219">
                  <c:v>11.0377905980513</c:v>
                </c:pt>
                <c:pt idx="3220">
                  <c:v>11.047199724239</c:v>
                </c:pt>
                <c:pt idx="3221">
                  <c:v>11.028510149206801</c:v>
                </c:pt>
                <c:pt idx="3222">
                  <c:v>11.0321690249281</c:v>
                </c:pt>
                <c:pt idx="3223">
                  <c:v>11.0436780251566</c:v>
                </c:pt>
                <c:pt idx="3224">
                  <c:v>11.0096357002079</c:v>
                </c:pt>
                <c:pt idx="3225">
                  <c:v>11.0082700151323</c:v>
                </c:pt>
                <c:pt idx="3226">
                  <c:v>10.9826997907396</c:v>
                </c:pt>
                <c:pt idx="3227">
                  <c:v>11.009126174853201</c:v>
                </c:pt>
                <c:pt idx="3228">
                  <c:v>10.991294694776601</c:v>
                </c:pt>
                <c:pt idx="3229">
                  <c:v>10.971334408184999</c:v>
                </c:pt>
                <c:pt idx="3230">
                  <c:v>10.956290592782601</c:v>
                </c:pt>
                <c:pt idx="3231">
                  <c:v>10.9135635943178</c:v>
                </c:pt>
                <c:pt idx="3232">
                  <c:v>10.926587994933501</c:v>
                </c:pt>
                <c:pt idx="3233">
                  <c:v>10.938963319279299</c:v>
                </c:pt>
                <c:pt idx="3234">
                  <c:v>10.9270181008312</c:v>
                </c:pt>
                <c:pt idx="3235">
                  <c:v>10.9284293569031</c:v>
                </c:pt>
                <c:pt idx="3236">
                  <c:v>10.8966139218614</c:v>
                </c:pt>
                <c:pt idx="3237">
                  <c:v>10.878642063621101</c:v>
                </c:pt>
                <c:pt idx="3238">
                  <c:v>10.894564615765001</c:v>
                </c:pt>
                <c:pt idx="3239">
                  <c:v>10.9002566883245</c:v>
                </c:pt>
                <c:pt idx="3240">
                  <c:v>10.8774894712239</c:v>
                </c:pt>
                <c:pt idx="3241">
                  <c:v>10.8699359831162</c:v>
                </c:pt>
                <c:pt idx="3242">
                  <c:v>10.8477154227028</c:v>
                </c:pt>
                <c:pt idx="3243">
                  <c:v>10.8517709716702</c:v>
                </c:pt>
                <c:pt idx="3244">
                  <c:v>10.851518805341099</c:v>
                </c:pt>
                <c:pt idx="3245">
                  <c:v>10.8235306217196</c:v>
                </c:pt>
                <c:pt idx="3246">
                  <c:v>10.8082151694949</c:v>
                </c:pt>
                <c:pt idx="3247">
                  <c:v>10.783101011871301</c:v>
                </c:pt>
                <c:pt idx="3248">
                  <c:v>10.7673290920618</c:v>
                </c:pt>
                <c:pt idx="3249">
                  <c:v>10.778542307716</c:v>
                </c:pt>
                <c:pt idx="3250">
                  <c:v>10.7653749734079</c:v>
                </c:pt>
                <c:pt idx="3251">
                  <c:v>10.7551556607691</c:v>
                </c:pt>
                <c:pt idx="3252">
                  <c:v>10.734714305607699</c:v>
                </c:pt>
                <c:pt idx="3253">
                  <c:v>10.733907517783599</c:v>
                </c:pt>
                <c:pt idx="3254">
                  <c:v>10.742440636463501</c:v>
                </c:pt>
                <c:pt idx="3255">
                  <c:v>10.7159653747887</c:v>
                </c:pt>
                <c:pt idx="3256">
                  <c:v>10.700588289632099</c:v>
                </c:pt>
                <c:pt idx="3257">
                  <c:v>10.6873984225437</c:v>
                </c:pt>
                <c:pt idx="3258">
                  <c:v>10.7027951260509</c:v>
                </c:pt>
                <c:pt idx="3259">
                  <c:v>10.6866009257801</c:v>
                </c:pt>
                <c:pt idx="3260">
                  <c:v>10.667571544393301</c:v>
                </c:pt>
                <c:pt idx="3261">
                  <c:v>10.6699887873766</c:v>
                </c:pt>
                <c:pt idx="3262">
                  <c:v>10.669114926676601</c:v>
                </c:pt>
                <c:pt idx="3263">
                  <c:v>10.622337875300699</c:v>
                </c:pt>
                <c:pt idx="3264">
                  <c:v>10.62357259052</c:v>
                </c:pt>
                <c:pt idx="3265">
                  <c:v>10.6274527002896</c:v>
                </c:pt>
                <c:pt idx="3266">
                  <c:v>10.612223622992801</c:v>
                </c:pt>
                <c:pt idx="3267">
                  <c:v>10.607394314601301</c:v>
                </c:pt>
                <c:pt idx="3268">
                  <c:v>10.6125854550636</c:v>
                </c:pt>
                <c:pt idx="3269">
                  <c:v>10.585595369675</c:v>
                </c:pt>
                <c:pt idx="3270">
                  <c:v>10.5762000207301</c:v>
                </c:pt>
                <c:pt idx="3271">
                  <c:v>10.5663099932877</c:v>
                </c:pt>
                <c:pt idx="3272">
                  <c:v>10.581516318373</c:v>
                </c:pt>
                <c:pt idx="3273">
                  <c:v>10.599928448182499</c:v>
                </c:pt>
                <c:pt idx="3274">
                  <c:v>10.5879011897478</c:v>
                </c:pt>
                <c:pt idx="3275">
                  <c:v>10.562274384714801</c:v>
                </c:pt>
                <c:pt idx="3276">
                  <c:v>10.5730276291925</c:v>
                </c:pt>
                <c:pt idx="3277">
                  <c:v>10.5527892151706</c:v>
                </c:pt>
                <c:pt idx="3278">
                  <c:v>10.5702458585613</c:v>
                </c:pt>
                <c:pt idx="3279">
                  <c:v>10.5713915132786</c:v>
                </c:pt>
                <c:pt idx="3280">
                  <c:v>10.5323754691697</c:v>
                </c:pt>
                <c:pt idx="3281">
                  <c:v>10.5019283732681</c:v>
                </c:pt>
                <c:pt idx="3282">
                  <c:v>10.521056725574001</c:v>
                </c:pt>
                <c:pt idx="3283">
                  <c:v>10.50113956531</c:v>
                </c:pt>
                <c:pt idx="3284">
                  <c:v>10.452556414149299</c:v>
                </c:pt>
                <c:pt idx="3285">
                  <c:v>10.4882811585796</c:v>
                </c:pt>
                <c:pt idx="3286">
                  <c:v>10.475952128953001</c:v>
                </c:pt>
                <c:pt idx="3287">
                  <c:v>10.4712844366707</c:v>
                </c:pt>
                <c:pt idx="3288">
                  <c:v>10.4645355327677</c:v>
                </c:pt>
                <c:pt idx="3289">
                  <c:v>10.466158509963</c:v>
                </c:pt>
                <c:pt idx="3290">
                  <c:v>10.4505619417425</c:v>
                </c:pt>
                <c:pt idx="3291">
                  <c:v>10.4443493044686</c:v>
                </c:pt>
                <c:pt idx="3292">
                  <c:v>10.450701149745701</c:v>
                </c:pt>
                <c:pt idx="3293">
                  <c:v>10.442141683011499</c:v>
                </c:pt>
                <c:pt idx="3294">
                  <c:v>10.430925063472101</c:v>
                </c:pt>
                <c:pt idx="3295">
                  <c:v>10.438671044427201</c:v>
                </c:pt>
                <c:pt idx="3296">
                  <c:v>10.4190538108989</c:v>
                </c:pt>
                <c:pt idx="3297">
                  <c:v>10.388315907568099</c:v>
                </c:pt>
                <c:pt idx="3298">
                  <c:v>10.3901708349945</c:v>
                </c:pt>
                <c:pt idx="3299">
                  <c:v>10.404133070990399</c:v>
                </c:pt>
                <c:pt idx="3300">
                  <c:v>10.392404243677399</c:v>
                </c:pt>
                <c:pt idx="3301">
                  <c:v>10.419583213864099</c:v>
                </c:pt>
                <c:pt idx="3302">
                  <c:v>10.414283432981099</c:v>
                </c:pt>
                <c:pt idx="3303">
                  <c:v>10.421740348446599</c:v>
                </c:pt>
                <c:pt idx="3304">
                  <c:v>10.416304685415</c:v>
                </c:pt>
                <c:pt idx="3305">
                  <c:v>10.421155605724399</c:v>
                </c:pt>
                <c:pt idx="3306">
                  <c:v>10.4299855006496</c:v>
                </c:pt>
                <c:pt idx="3307">
                  <c:v>10.433098382734499</c:v>
                </c:pt>
                <c:pt idx="3308">
                  <c:v>10.433052435969399</c:v>
                </c:pt>
                <c:pt idx="3309">
                  <c:v>10.4432969663343</c:v>
                </c:pt>
                <c:pt idx="3310">
                  <c:v>10.4270438674644</c:v>
                </c:pt>
                <c:pt idx="3311">
                  <c:v>10.4441944248084</c:v>
                </c:pt>
                <c:pt idx="3312">
                  <c:v>10.4537173400765</c:v>
                </c:pt>
                <c:pt idx="3313">
                  <c:v>10.452507085724701</c:v>
                </c:pt>
                <c:pt idx="3314">
                  <c:v>10.4497984262296</c:v>
                </c:pt>
                <c:pt idx="3315">
                  <c:v>10.408450331293199</c:v>
                </c:pt>
                <c:pt idx="3316">
                  <c:v>10.4029802758039</c:v>
                </c:pt>
                <c:pt idx="3317">
                  <c:v>10.4152654478514</c:v>
                </c:pt>
                <c:pt idx="3318">
                  <c:v>10.4147666814081</c:v>
                </c:pt>
                <c:pt idx="3319">
                  <c:v>10.4311779854464</c:v>
                </c:pt>
                <c:pt idx="3320">
                  <c:v>10.4412823145083</c:v>
                </c:pt>
                <c:pt idx="3321">
                  <c:v>10.428843005301999</c:v>
                </c:pt>
                <c:pt idx="3322">
                  <c:v>10.4408355566929</c:v>
                </c:pt>
                <c:pt idx="3323">
                  <c:v>10.432275189864599</c:v>
                </c:pt>
                <c:pt idx="3324">
                  <c:v>10.450377052672</c:v>
                </c:pt>
                <c:pt idx="3325">
                  <c:v>10.452733881602301</c:v>
                </c:pt>
                <c:pt idx="3326">
                  <c:v>10.4400406036213</c:v>
                </c:pt>
                <c:pt idx="3327">
                  <c:v>10.4668622196527</c:v>
                </c:pt>
                <c:pt idx="3328">
                  <c:v>10.4677779709967</c:v>
                </c:pt>
                <c:pt idx="3329">
                  <c:v>10.4244025003381</c:v>
                </c:pt>
                <c:pt idx="3330">
                  <c:v>10.466722301200701</c:v>
                </c:pt>
                <c:pt idx="3331">
                  <c:v>10.4405656105296</c:v>
                </c:pt>
                <c:pt idx="3332">
                  <c:v>10.439177664660299</c:v>
                </c:pt>
                <c:pt idx="3333">
                  <c:v>10.437930937209901</c:v>
                </c:pt>
                <c:pt idx="3334">
                  <c:v>10.447253338153301</c:v>
                </c:pt>
                <c:pt idx="3335">
                  <c:v>10.428561640176801</c:v>
                </c:pt>
                <c:pt idx="3336">
                  <c:v>10.4402903647124</c:v>
                </c:pt>
                <c:pt idx="3337">
                  <c:v>10.4432662399158</c:v>
                </c:pt>
                <c:pt idx="3338">
                  <c:v>10.42912017267</c:v>
                </c:pt>
                <c:pt idx="3339">
                  <c:v>10.430320893166501</c:v>
                </c:pt>
                <c:pt idx="3340">
                  <c:v>10.415627162492299</c:v>
                </c:pt>
                <c:pt idx="3341">
                  <c:v>10.4416415661376</c:v>
                </c:pt>
                <c:pt idx="3342">
                  <c:v>10.4467122829184</c:v>
                </c:pt>
                <c:pt idx="3343">
                  <c:v>10.4626175857536</c:v>
                </c:pt>
                <c:pt idx="3344">
                  <c:v>10.4444762240909</c:v>
                </c:pt>
                <c:pt idx="3345">
                  <c:v>10.430222873794801</c:v>
                </c:pt>
                <c:pt idx="3346">
                  <c:v>10.437850018889799</c:v>
                </c:pt>
                <c:pt idx="3347">
                  <c:v>10.4505065876114</c:v>
                </c:pt>
                <c:pt idx="3348">
                  <c:v>10.4221517579488</c:v>
                </c:pt>
                <c:pt idx="3349">
                  <c:v>10.4181163377344</c:v>
                </c:pt>
                <c:pt idx="3350">
                  <c:v>10.4490039728733</c:v>
                </c:pt>
                <c:pt idx="3351">
                  <c:v>10.443463401231099</c:v>
                </c:pt>
                <c:pt idx="3352">
                  <c:v>10.4371676919449</c:v>
                </c:pt>
                <c:pt idx="3353">
                  <c:v>10.417858544391599</c:v>
                </c:pt>
                <c:pt idx="3354">
                  <c:v>10.233764428050099</c:v>
                </c:pt>
                <c:pt idx="3355">
                  <c:v>10.263486109064299</c:v>
                </c:pt>
                <c:pt idx="3356">
                  <c:v>10.2711441853154</c:v>
                </c:pt>
                <c:pt idx="3357">
                  <c:v>10.283991380966601</c:v>
                </c:pt>
                <c:pt idx="3358">
                  <c:v>10.298221401699401</c:v>
                </c:pt>
                <c:pt idx="3359">
                  <c:v>10.3108419697709</c:v>
                </c:pt>
                <c:pt idx="3360">
                  <c:v>10.285878619453401</c:v>
                </c:pt>
                <c:pt idx="3361">
                  <c:v>10.299491701238599</c:v>
                </c:pt>
                <c:pt idx="3362">
                  <c:v>10.3021000492233</c:v>
                </c:pt>
                <c:pt idx="3363">
                  <c:v>10.292246798108501</c:v>
                </c:pt>
                <c:pt idx="3364">
                  <c:v>10.305075568835001</c:v>
                </c:pt>
                <c:pt idx="3365">
                  <c:v>10.3159672059748</c:v>
                </c:pt>
                <c:pt idx="3366">
                  <c:v>10.324567071890201</c:v>
                </c:pt>
                <c:pt idx="3367">
                  <c:v>10.303680136155799</c:v>
                </c:pt>
                <c:pt idx="3368">
                  <c:v>10.307250473739799</c:v>
                </c:pt>
                <c:pt idx="3369">
                  <c:v>10.2912221260225</c:v>
                </c:pt>
                <c:pt idx="3370">
                  <c:v>10.319411188990401</c:v>
                </c:pt>
                <c:pt idx="3371">
                  <c:v>10.3063728250215</c:v>
                </c:pt>
                <c:pt idx="3372">
                  <c:v>10.266736819759601</c:v>
                </c:pt>
                <c:pt idx="3373">
                  <c:v>10.290700526989401</c:v>
                </c:pt>
                <c:pt idx="3374">
                  <c:v>10.280129510739</c:v>
                </c:pt>
                <c:pt idx="3375">
                  <c:v>10.2920864143424</c:v>
                </c:pt>
                <c:pt idx="3376">
                  <c:v>10.272794845480201</c:v>
                </c:pt>
                <c:pt idx="3377">
                  <c:v>10.2617913014141</c:v>
                </c:pt>
                <c:pt idx="3378">
                  <c:v>10.266557775746501</c:v>
                </c:pt>
                <c:pt idx="3379">
                  <c:v>10.2839112003828</c:v>
                </c:pt>
                <c:pt idx="3380">
                  <c:v>10.2726648911234</c:v>
                </c:pt>
                <c:pt idx="3381">
                  <c:v>10.2570495138614</c:v>
                </c:pt>
                <c:pt idx="3382">
                  <c:v>10.2742832796919</c:v>
                </c:pt>
                <c:pt idx="3383">
                  <c:v>10.2714421503326</c:v>
                </c:pt>
                <c:pt idx="3384">
                  <c:v>10.296476227117299</c:v>
                </c:pt>
                <c:pt idx="3385">
                  <c:v>10.2631174030137</c:v>
                </c:pt>
                <c:pt idx="3386">
                  <c:v>10.259384517130499</c:v>
                </c:pt>
                <c:pt idx="3387">
                  <c:v>10.279860639386801</c:v>
                </c:pt>
                <c:pt idx="3388">
                  <c:v>10.267649807617101</c:v>
                </c:pt>
                <c:pt idx="3389">
                  <c:v>10.2980360279566</c:v>
                </c:pt>
                <c:pt idx="3390">
                  <c:v>10.265759308442099</c:v>
                </c:pt>
                <c:pt idx="3391">
                  <c:v>10.2846459212657</c:v>
                </c:pt>
                <c:pt idx="3392">
                  <c:v>10.299410678351</c:v>
                </c:pt>
                <c:pt idx="3393">
                  <c:v>10.299523104089401</c:v>
                </c:pt>
                <c:pt idx="3394">
                  <c:v>10.2834555633937</c:v>
                </c:pt>
                <c:pt idx="3395">
                  <c:v>10.2978229648549</c:v>
                </c:pt>
                <c:pt idx="3396">
                  <c:v>10.302242129430899</c:v>
                </c:pt>
                <c:pt idx="3397">
                  <c:v>10.2955578568964</c:v>
                </c:pt>
                <c:pt idx="3398">
                  <c:v>10.2946277862334</c:v>
                </c:pt>
                <c:pt idx="3399">
                  <c:v>10.296471932121101</c:v>
                </c:pt>
                <c:pt idx="3400">
                  <c:v>10.306843654463099</c:v>
                </c:pt>
                <c:pt idx="3401">
                  <c:v>10.296323073588299</c:v>
                </c:pt>
                <c:pt idx="3402">
                  <c:v>10.298244542503101</c:v>
                </c:pt>
                <c:pt idx="3403">
                  <c:v>10.299416037166999</c:v>
                </c:pt>
                <c:pt idx="3404">
                  <c:v>10.2890364489422</c:v>
                </c:pt>
                <c:pt idx="3405">
                  <c:v>10.308564685818199</c:v>
                </c:pt>
                <c:pt idx="3406">
                  <c:v>10.301774526912601</c:v>
                </c:pt>
                <c:pt idx="3407">
                  <c:v>10.2828847042001</c:v>
                </c:pt>
                <c:pt idx="3408">
                  <c:v>10.2637839261875</c:v>
                </c:pt>
                <c:pt idx="3409">
                  <c:v>10.2792595750493</c:v>
                </c:pt>
                <c:pt idx="3410">
                  <c:v>10.2606072260894</c:v>
                </c:pt>
                <c:pt idx="3411">
                  <c:v>10.2568122167966</c:v>
                </c:pt>
                <c:pt idx="3412">
                  <c:v>10.247980834123799</c:v>
                </c:pt>
                <c:pt idx="3413">
                  <c:v>10.2358178293644</c:v>
                </c:pt>
                <c:pt idx="3414">
                  <c:v>10.239306460270299</c:v>
                </c:pt>
                <c:pt idx="3415">
                  <c:v>10.231163501459701</c:v>
                </c:pt>
                <c:pt idx="3416">
                  <c:v>10.2213378818695</c:v>
                </c:pt>
                <c:pt idx="3417">
                  <c:v>10.204276534799201</c:v>
                </c:pt>
                <c:pt idx="3418">
                  <c:v>10.165181631125201</c:v>
                </c:pt>
                <c:pt idx="3419">
                  <c:v>10.165316903806801</c:v>
                </c:pt>
                <c:pt idx="3420">
                  <c:v>10.1742747426295</c:v>
                </c:pt>
                <c:pt idx="3421">
                  <c:v>10.1672780491014</c:v>
                </c:pt>
                <c:pt idx="3422">
                  <c:v>10.1603773689432</c:v>
                </c:pt>
                <c:pt idx="3423">
                  <c:v>10.1543951996176</c:v>
                </c:pt>
                <c:pt idx="3424">
                  <c:v>10.129591142439001</c:v>
                </c:pt>
                <c:pt idx="3425">
                  <c:v>10.132724431645199</c:v>
                </c:pt>
                <c:pt idx="3426">
                  <c:v>10.1310071966585</c:v>
                </c:pt>
                <c:pt idx="3427">
                  <c:v>10.102793558621901</c:v>
                </c:pt>
                <c:pt idx="3428">
                  <c:v>10.1204331842948</c:v>
                </c:pt>
                <c:pt idx="3429">
                  <c:v>10.088567123485699</c:v>
                </c:pt>
                <c:pt idx="3430">
                  <c:v>10.0803684192747</c:v>
                </c:pt>
                <c:pt idx="3431">
                  <c:v>10.0798435430409</c:v>
                </c:pt>
                <c:pt idx="3432">
                  <c:v>10.066348466774899</c:v>
                </c:pt>
                <c:pt idx="3433">
                  <c:v>10.0577435615059</c:v>
                </c:pt>
                <c:pt idx="3434">
                  <c:v>10.040750228164899</c:v>
                </c:pt>
                <c:pt idx="3435">
                  <c:v>10.003095117719299</c:v>
                </c:pt>
                <c:pt idx="3436">
                  <c:v>10.0051745680826</c:v>
                </c:pt>
                <c:pt idx="3437">
                  <c:v>10.0050716271419</c:v>
                </c:pt>
                <c:pt idx="3438">
                  <c:v>10.0216791286022</c:v>
                </c:pt>
                <c:pt idx="3439">
                  <c:v>10.0067259868908</c:v>
                </c:pt>
                <c:pt idx="3440">
                  <c:v>9.9973595853453805</c:v>
                </c:pt>
                <c:pt idx="3441">
                  <c:v>9.9937194900466704</c:v>
                </c:pt>
                <c:pt idx="3442">
                  <c:v>9.9569847590113998</c:v>
                </c:pt>
                <c:pt idx="3443">
                  <c:v>9.9557043827302802</c:v>
                </c:pt>
                <c:pt idx="3444">
                  <c:v>9.9447015029303003</c:v>
                </c:pt>
                <c:pt idx="3445">
                  <c:v>9.9196498040742505</c:v>
                </c:pt>
                <c:pt idx="3446">
                  <c:v>9.9182277081038102</c:v>
                </c:pt>
                <c:pt idx="3447">
                  <c:v>9.9135038655867191</c:v>
                </c:pt>
                <c:pt idx="3448">
                  <c:v>9.8931697602268205</c:v>
                </c:pt>
                <c:pt idx="3449">
                  <c:v>9.8936902963783009</c:v>
                </c:pt>
                <c:pt idx="3450">
                  <c:v>9.8760424455096896</c:v>
                </c:pt>
                <c:pt idx="3451">
                  <c:v>9.8718200133627505</c:v>
                </c:pt>
                <c:pt idx="3452">
                  <c:v>9.8532161936713791</c:v>
                </c:pt>
                <c:pt idx="3453">
                  <c:v>9.8424829720712594</c:v>
                </c:pt>
                <c:pt idx="3454">
                  <c:v>9.8484561955371195</c:v>
                </c:pt>
                <c:pt idx="3455">
                  <c:v>9.8338551253391593</c:v>
                </c:pt>
                <c:pt idx="3456">
                  <c:v>9.8286555326170895</c:v>
                </c:pt>
                <c:pt idx="3457">
                  <c:v>9.8367107658879203</c:v>
                </c:pt>
                <c:pt idx="3458">
                  <c:v>9.8426559372257696</c:v>
                </c:pt>
                <c:pt idx="3459">
                  <c:v>9.7720050520028394</c:v>
                </c:pt>
                <c:pt idx="3460">
                  <c:v>9.7944104398104308</c:v>
                </c:pt>
                <c:pt idx="3461">
                  <c:v>9.7687143596096604</c:v>
                </c:pt>
                <c:pt idx="3462">
                  <c:v>9.7640970945174406</c:v>
                </c:pt>
                <c:pt idx="3463">
                  <c:v>9.7627094490273905</c:v>
                </c:pt>
                <c:pt idx="3464">
                  <c:v>9.7473177594939902</c:v>
                </c:pt>
                <c:pt idx="3465">
                  <c:v>9.7360744249145892</c:v>
                </c:pt>
                <c:pt idx="3466">
                  <c:v>9.7267674781539402</c:v>
                </c:pt>
                <c:pt idx="3467">
                  <c:v>9.7346694458928607</c:v>
                </c:pt>
                <c:pt idx="3468">
                  <c:v>9.7152991241258899</c:v>
                </c:pt>
                <c:pt idx="3469">
                  <c:v>9.6906151254865804</c:v>
                </c:pt>
                <c:pt idx="3470">
                  <c:v>9.7028199262319905</c:v>
                </c:pt>
                <c:pt idx="3471">
                  <c:v>9.6967043962647903</c:v>
                </c:pt>
                <c:pt idx="3472">
                  <c:v>9.6755322250423905</c:v>
                </c:pt>
                <c:pt idx="3473">
                  <c:v>9.6727422889118397</c:v>
                </c:pt>
                <c:pt idx="3474">
                  <c:v>9.6564372732129193</c:v>
                </c:pt>
                <c:pt idx="3475">
                  <c:v>9.6882123977536203</c:v>
                </c:pt>
                <c:pt idx="3476">
                  <c:v>9.6771088425369207</c:v>
                </c:pt>
                <c:pt idx="3477">
                  <c:v>9.65334776920038</c:v>
                </c:pt>
                <c:pt idx="3478">
                  <c:v>9.6355292772478904</c:v>
                </c:pt>
                <c:pt idx="3479">
                  <c:v>9.6215223092306701</c:v>
                </c:pt>
                <c:pt idx="3480">
                  <c:v>9.6153907215685592</c:v>
                </c:pt>
                <c:pt idx="3481">
                  <c:v>9.5940305973216393</c:v>
                </c:pt>
                <c:pt idx="3482">
                  <c:v>9.5962986395222298</c:v>
                </c:pt>
                <c:pt idx="3483">
                  <c:v>9.5989343429332195</c:v>
                </c:pt>
                <c:pt idx="3484">
                  <c:v>9.6029491135612304</c:v>
                </c:pt>
                <c:pt idx="3485">
                  <c:v>9.5443882441434305</c:v>
                </c:pt>
                <c:pt idx="3486">
                  <c:v>9.5166585150657994</c:v>
                </c:pt>
                <c:pt idx="3487">
                  <c:v>9.5328704421187407</c:v>
                </c:pt>
                <c:pt idx="3488">
                  <c:v>9.5451354484570903</c:v>
                </c:pt>
                <c:pt idx="3489">
                  <c:v>9.5254283971545899</c:v>
                </c:pt>
                <c:pt idx="3490">
                  <c:v>9.4917453351015908</c:v>
                </c:pt>
                <c:pt idx="3491">
                  <c:v>9.48856941601953</c:v>
                </c:pt>
                <c:pt idx="3492">
                  <c:v>9.4842787130394495</c:v>
                </c:pt>
                <c:pt idx="3493">
                  <c:v>9.48010995874656</c:v>
                </c:pt>
                <c:pt idx="3494">
                  <c:v>9.4552790570476901</c:v>
                </c:pt>
                <c:pt idx="3495">
                  <c:v>9.4516513707578103</c:v>
                </c:pt>
                <c:pt idx="3496">
                  <c:v>9.4690462527463506</c:v>
                </c:pt>
                <c:pt idx="3497">
                  <c:v>9.4361142260607291</c:v>
                </c:pt>
                <c:pt idx="3498">
                  <c:v>9.4303558339861908</c:v>
                </c:pt>
                <c:pt idx="3499">
                  <c:v>9.3934048427840597</c:v>
                </c:pt>
                <c:pt idx="3500">
                  <c:v>9.4166600444774193</c:v>
                </c:pt>
                <c:pt idx="3501">
                  <c:v>9.3643763944065306</c:v>
                </c:pt>
                <c:pt idx="3502">
                  <c:v>9.3875059458741408</c:v>
                </c:pt>
                <c:pt idx="3503">
                  <c:v>9.3730594298091994</c:v>
                </c:pt>
                <c:pt idx="3504">
                  <c:v>9.3585721704337193</c:v>
                </c:pt>
                <c:pt idx="3505">
                  <c:v>9.3315970654044307</c:v>
                </c:pt>
                <c:pt idx="3506">
                  <c:v>9.3497857372135105</c:v>
                </c:pt>
                <c:pt idx="3507">
                  <c:v>9.3411905569682805</c:v>
                </c:pt>
                <c:pt idx="3508">
                  <c:v>9.3507175724718792</c:v>
                </c:pt>
                <c:pt idx="3509">
                  <c:v>9.3348663074978298</c:v>
                </c:pt>
                <c:pt idx="3510">
                  <c:v>9.3046068057559594</c:v>
                </c:pt>
                <c:pt idx="3511">
                  <c:v>9.2837208640518298</c:v>
                </c:pt>
                <c:pt idx="3512">
                  <c:v>9.2982239892817393</c:v>
                </c:pt>
                <c:pt idx="3513">
                  <c:v>9.2660919123185703</c:v>
                </c:pt>
                <c:pt idx="3514">
                  <c:v>9.2719644800222802</c:v>
                </c:pt>
                <c:pt idx="3515">
                  <c:v>9.2497688215140705</c:v>
                </c:pt>
                <c:pt idx="3516">
                  <c:v>9.2146977882426295</c:v>
                </c:pt>
                <c:pt idx="3517">
                  <c:v>9.2247178690783702</c:v>
                </c:pt>
                <c:pt idx="3518">
                  <c:v>9.2322797915063806</c:v>
                </c:pt>
                <c:pt idx="3519">
                  <c:v>9.21623948402328</c:v>
                </c:pt>
                <c:pt idx="3520">
                  <c:v>9.1946005533906892</c:v>
                </c:pt>
                <c:pt idx="3521">
                  <c:v>9.1915274842240802</c:v>
                </c:pt>
                <c:pt idx="3522">
                  <c:v>9.1744021498071007</c:v>
                </c:pt>
                <c:pt idx="3523">
                  <c:v>9.1770934874682997</c:v>
                </c:pt>
                <c:pt idx="3524">
                  <c:v>9.1597292601265003</c:v>
                </c:pt>
                <c:pt idx="3525">
                  <c:v>9.15190295934568</c:v>
                </c:pt>
                <c:pt idx="3526">
                  <c:v>9.1431162988003205</c:v>
                </c:pt>
                <c:pt idx="3527">
                  <c:v>9.1247088235509501</c:v>
                </c:pt>
                <c:pt idx="3528">
                  <c:v>9.1327797998320808</c:v>
                </c:pt>
                <c:pt idx="3529">
                  <c:v>9.1219381365917993</c:v>
                </c:pt>
                <c:pt idx="3530">
                  <c:v>9.1252495456075806</c:v>
                </c:pt>
                <c:pt idx="3531">
                  <c:v>9.1066873457837492</c:v>
                </c:pt>
                <c:pt idx="3532">
                  <c:v>9.0890728623443895</c:v>
                </c:pt>
                <c:pt idx="3533">
                  <c:v>9.0922598710852203</c:v>
                </c:pt>
                <c:pt idx="3534">
                  <c:v>9.0608204835808799</c:v>
                </c:pt>
                <c:pt idx="3535">
                  <c:v>9.05932396677062</c:v>
                </c:pt>
                <c:pt idx="3536">
                  <c:v>9.0494177180295203</c:v>
                </c:pt>
                <c:pt idx="3537">
                  <c:v>9.0356593906948994</c:v>
                </c:pt>
                <c:pt idx="3538">
                  <c:v>9.0411636655646692</c:v>
                </c:pt>
                <c:pt idx="3539">
                  <c:v>9.0130072149486598</c:v>
                </c:pt>
                <c:pt idx="3540">
                  <c:v>9.0203014083071391</c:v>
                </c:pt>
                <c:pt idx="3541">
                  <c:v>9.0167030971838198</c:v>
                </c:pt>
                <c:pt idx="3542">
                  <c:v>9.0099703067885102</c:v>
                </c:pt>
                <c:pt idx="3543">
                  <c:v>8.9645682810527791</c:v>
                </c:pt>
                <c:pt idx="3544">
                  <c:v>8.9607719848318705</c:v>
                </c:pt>
                <c:pt idx="3545">
                  <c:v>8.9676586102156097</c:v>
                </c:pt>
                <c:pt idx="3546">
                  <c:v>8.9497507847130109</c:v>
                </c:pt>
                <c:pt idx="3547">
                  <c:v>8.9168989174813493</c:v>
                </c:pt>
                <c:pt idx="3548">
                  <c:v>8.9248408026788102</c:v>
                </c:pt>
                <c:pt idx="3549">
                  <c:v>8.9306388556399092</c:v>
                </c:pt>
                <c:pt idx="3550">
                  <c:v>8.9149093142121902</c:v>
                </c:pt>
                <c:pt idx="3551">
                  <c:v>8.8938257113858707</c:v>
                </c:pt>
                <c:pt idx="3552">
                  <c:v>8.8968195193115491</c:v>
                </c:pt>
                <c:pt idx="3553">
                  <c:v>8.8835626461569408</c:v>
                </c:pt>
                <c:pt idx="3554">
                  <c:v>8.8416457075956902</c:v>
                </c:pt>
                <c:pt idx="3555">
                  <c:v>8.8359538510816105</c:v>
                </c:pt>
                <c:pt idx="3556">
                  <c:v>8.8337334368435005</c:v>
                </c:pt>
                <c:pt idx="3557">
                  <c:v>8.8174920200581504</c:v>
                </c:pt>
                <c:pt idx="3558">
                  <c:v>8.8146734637867006</c:v>
                </c:pt>
                <c:pt idx="3559">
                  <c:v>8.7906308152021193</c:v>
                </c:pt>
                <c:pt idx="3560">
                  <c:v>8.7834131906778392</c:v>
                </c:pt>
                <c:pt idx="3561">
                  <c:v>8.7616524560484503</c:v>
                </c:pt>
                <c:pt idx="3562">
                  <c:v>8.7739394491244695</c:v>
                </c:pt>
                <c:pt idx="3563">
                  <c:v>8.7650945223804602</c:v>
                </c:pt>
                <c:pt idx="3564">
                  <c:v>8.7362661274713709</c:v>
                </c:pt>
                <c:pt idx="3565">
                  <c:v>8.7318401522869102</c:v>
                </c:pt>
                <c:pt idx="3566">
                  <c:v>8.7129682222813791</c:v>
                </c:pt>
                <c:pt idx="3567">
                  <c:v>8.7205389097583392</c:v>
                </c:pt>
                <c:pt idx="3568">
                  <c:v>8.7221558716220606</c:v>
                </c:pt>
                <c:pt idx="3569">
                  <c:v>8.6870407479226994</c:v>
                </c:pt>
                <c:pt idx="3570">
                  <c:v>8.6856533021873101</c:v>
                </c:pt>
                <c:pt idx="3571">
                  <c:v>8.6709423989616692</c:v>
                </c:pt>
                <c:pt idx="3572">
                  <c:v>8.6689654657195696</c:v>
                </c:pt>
                <c:pt idx="3573">
                  <c:v>8.66037447609461</c:v>
                </c:pt>
                <c:pt idx="3574">
                  <c:v>8.6507447740333507</c:v>
                </c:pt>
                <c:pt idx="3575">
                  <c:v>8.6347265309050805</c:v>
                </c:pt>
                <c:pt idx="3576">
                  <c:v>8.63690349994115</c:v>
                </c:pt>
                <c:pt idx="3577">
                  <c:v>8.6215420391975908</c:v>
                </c:pt>
                <c:pt idx="3578">
                  <c:v>8.6093014963954797</c:v>
                </c:pt>
                <c:pt idx="3579">
                  <c:v>8.6012496031327803</c:v>
                </c:pt>
                <c:pt idx="3580">
                  <c:v>8.5922815565396409</c:v>
                </c:pt>
                <c:pt idx="3581">
                  <c:v>8.5601217052685499</c:v>
                </c:pt>
                <c:pt idx="3582">
                  <c:v>8.5530250900057201</c:v>
                </c:pt>
                <c:pt idx="3583">
                  <c:v>8.5445966664958704</c:v>
                </c:pt>
                <c:pt idx="3584">
                  <c:v>8.5421521528867803</c:v>
                </c:pt>
                <c:pt idx="3585">
                  <c:v>8.5187623101995094</c:v>
                </c:pt>
                <c:pt idx="3586">
                  <c:v>8.5111772384581101</c:v>
                </c:pt>
                <c:pt idx="3587">
                  <c:v>8.5168045176455003</c:v>
                </c:pt>
                <c:pt idx="3588">
                  <c:v>8.5202041654450493</c:v>
                </c:pt>
                <c:pt idx="3589">
                  <c:v>8.4984850983552391</c:v>
                </c:pt>
                <c:pt idx="3590">
                  <c:v>8.4859027796621902</c:v>
                </c:pt>
                <c:pt idx="3591">
                  <c:v>8.4924954046236802</c:v>
                </c:pt>
                <c:pt idx="3592">
                  <c:v>8.4637772798656492</c:v>
                </c:pt>
                <c:pt idx="3593">
                  <c:v>8.4451138105726304</c:v>
                </c:pt>
                <c:pt idx="3594">
                  <c:v>8.4633000022181708</c:v>
                </c:pt>
                <c:pt idx="3595">
                  <c:v>8.4395406371346091</c:v>
                </c:pt>
                <c:pt idx="3596">
                  <c:v>8.43745033136633</c:v>
                </c:pt>
                <c:pt idx="3597">
                  <c:v>8.4276640247810999</c:v>
                </c:pt>
                <c:pt idx="3598">
                  <c:v>8.3990802061264898</c:v>
                </c:pt>
                <c:pt idx="3599">
                  <c:v>8.3976763888335704</c:v>
                </c:pt>
                <c:pt idx="3600">
                  <c:v>8.3991583787191608</c:v>
                </c:pt>
                <c:pt idx="3601">
                  <c:v>8.3779570391112106</c:v>
                </c:pt>
                <c:pt idx="3602">
                  <c:v>8.3623345641034508</c:v>
                </c:pt>
                <c:pt idx="3603">
                  <c:v>8.3380912318950902</c:v>
                </c:pt>
                <c:pt idx="3604">
                  <c:v>8.3277715813546198</c:v>
                </c:pt>
                <c:pt idx="3605">
                  <c:v>8.3307947537299505</c:v>
                </c:pt>
                <c:pt idx="3606">
                  <c:v>8.3299496712367205</c:v>
                </c:pt>
                <c:pt idx="3607">
                  <c:v>8.3042279050031897</c:v>
                </c:pt>
                <c:pt idx="3608">
                  <c:v>8.3099273091820898</c:v>
                </c:pt>
                <c:pt idx="3609">
                  <c:v>8.2839996927830803</c:v>
                </c:pt>
                <c:pt idx="3610">
                  <c:v>8.2671853499212098</c:v>
                </c:pt>
                <c:pt idx="3611">
                  <c:v>8.2604630050403802</c:v>
                </c:pt>
                <c:pt idx="3612">
                  <c:v>8.2448406329325508</c:v>
                </c:pt>
                <c:pt idx="3613">
                  <c:v>8.2370995345002296</c:v>
                </c:pt>
                <c:pt idx="3614">
                  <c:v>8.23198668516536</c:v>
                </c:pt>
                <c:pt idx="3615">
                  <c:v>8.2360123910868293</c:v>
                </c:pt>
                <c:pt idx="3616">
                  <c:v>8.2083843124733704</c:v>
                </c:pt>
                <c:pt idx="3617">
                  <c:v>8.1897002441616102</c:v>
                </c:pt>
                <c:pt idx="3618">
                  <c:v>8.1693627136000906</c:v>
                </c:pt>
                <c:pt idx="3619">
                  <c:v>8.1823845115951297</c:v>
                </c:pt>
                <c:pt idx="3620">
                  <c:v>8.1428784664039604</c:v>
                </c:pt>
                <c:pt idx="3621">
                  <c:v>8.1481620689668492</c:v>
                </c:pt>
                <c:pt idx="3622">
                  <c:v>8.1389167250204704</c:v>
                </c:pt>
                <c:pt idx="3623">
                  <c:v>8.12695449118619</c:v>
                </c:pt>
                <c:pt idx="3624">
                  <c:v>8.0921741301713208</c:v>
                </c:pt>
                <c:pt idx="3625">
                  <c:v>8.09723230868474</c:v>
                </c:pt>
                <c:pt idx="3626">
                  <c:v>8.0787577402631605</c:v>
                </c:pt>
                <c:pt idx="3627">
                  <c:v>8.0728778163216806</c:v>
                </c:pt>
                <c:pt idx="3628">
                  <c:v>8.0702885900780306</c:v>
                </c:pt>
                <c:pt idx="3629">
                  <c:v>8.0610294141104806</c:v>
                </c:pt>
                <c:pt idx="3630">
                  <c:v>8.05972445629852</c:v>
                </c:pt>
                <c:pt idx="3631">
                  <c:v>8.0325231783157207</c:v>
                </c:pt>
                <c:pt idx="3632">
                  <c:v>8.0279308399704306</c:v>
                </c:pt>
                <c:pt idx="3633">
                  <c:v>8.0180427918713502</c:v>
                </c:pt>
                <c:pt idx="3634">
                  <c:v>8.0245560544927592</c:v>
                </c:pt>
                <c:pt idx="3635">
                  <c:v>8.0201974536758698</c:v>
                </c:pt>
                <c:pt idx="3636">
                  <c:v>8.0001279103710505</c:v>
                </c:pt>
                <c:pt idx="3637">
                  <c:v>7.9967346337803002</c:v>
                </c:pt>
                <c:pt idx="3638">
                  <c:v>7.9324148256752096</c:v>
                </c:pt>
                <c:pt idx="3639">
                  <c:v>7.9323788089205998</c:v>
                </c:pt>
                <c:pt idx="3640">
                  <c:v>7.9028691293714299</c:v>
                </c:pt>
                <c:pt idx="3641">
                  <c:v>7.89835568254147</c:v>
                </c:pt>
                <c:pt idx="3642">
                  <c:v>7.9054035101573996</c:v>
                </c:pt>
                <c:pt idx="3643">
                  <c:v>7.9209183489741397</c:v>
                </c:pt>
                <c:pt idx="3644">
                  <c:v>7.9006766850050898</c:v>
                </c:pt>
                <c:pt idx="3645">
                  <c:v>7.8708186609672302</c:v>
                </c:pt>
                <c:pt idx="3646">
                  <c:v>7.8890936350526797</c:v>
                </c:pt>
                <c:pt idx="3647">
                  <c:v>7.8886636141787703</c:v>
                </c:pt>
                <c:pt idx="3648">
                  <c:v>7.8379633107806903</c:v>
                </c:pt>
                <c:pt idx="3649">
                  <c:v>7.8331041760817097</c:v>
                </c:pt>
                <c:pt idx="3650">
                  <c:v>7.83483030394917</c:v>
                </c:pt>
                <c:pt idx="3651">
                  <c:v>7.8200640292402301</c:v>
                </c:pt>
                <c:pt idx="3652">
                  <c:v>7.8126135535782897</c:v>
                </c:pt>
                <c:pt idx="3653">
                  <c:v>7.80447358975605</c:v>
                </c:pt>
                <c:pt idx="3654">
                  <c:v>7.7955661786132904</c:v>
                </c:pt>
                <c:pt idx="3655">
                  <c:v>7.7915330498913997</c:v>
                </c:pt>
                <c:pt idx="3656">
                  <c:v>7.77624441776487</c:v>
                </c:pt>
                <c:pt idx="3657">
                  <c:v>7.7658602413260098</c:v>
                </c:pt>
                <c:pt idx="3658">
                  <c:v>7.7476253635679697</c:v>
                </c:pt>
                <c:pt idx="3659">
                  <c:v>7.7374323924782296</c:v>
                </c:pt>
                <c:pt idx="3660">
                  <c:v>7.7067078433938496</c:v>
                </c:pt>
                <c:pt idx="3661">
                  <c:v>7.7000777019056601</c:v>
                </c:pt>
                <c:pt idx="3662">
                  <c:v>7.7075818712763002</c:v>
                </c:pt>
                <c:pt idx="3663">
                  <c:v>7.6837816943538799</c:v>
                </c:pt>
                <c:pt idx="3664">
                  <c:v>7.6721407536343396</c:v>
                </c:pt>
                <c:pt idx="3665">
                  <c:v>7.6720745930715797</c:v>
                </c:pt>
                <c:pt idx="3666">
                  <c:v>7.67666099664567</c:v>
                </c:pt>
                <c:pt idx="3667">
                  <c:v>7.6570301146164299</c:v>
                </c:pt>
                <c:pt idx="3668">
                  <c:v>7.6496080328973202</c:v>
                </c:pt>
                <c:pt idx="3669">
                  <c:v>7.6326326167665997</c:v>
                </c:pt>
                <c:pt idx="3670">
                  <c:v>7.6271495058208698</c:v>
                </c:pt>
                <c:pt idx="3671">
                  <c:v>7.6108498974049796</c:v>
                </c:pt>
                <c:pt idx="3672">
                  <c:v>7.6047508366166898</c:v>
                </c:pt>
                <c:pt idx="3673">
                  <c:v>7.5937378310898298</c:v>
                </c:pt>
                <c:pt idx="3674">
                  <c:v>7.5741399346179303</c:v>
                </c:pt>
                <c:pt idx="3675">
                  <c:v>7.5698401947207801</c:v>
                </c:pt>
                <c:pt idx="3676">
                  <c:v>7.5454351484901396</c:v>
                </c:pt>
                <c:pt idx="3677">
                  <c:v>7.5417643392814098</c:v>
                </c:pt>
                <c:pt idx="3678">
                  <c:v>7.5444977472208299</c:v>
                </c:pt>
                <c:pt idx="3679">
                  <c:v>7.5218311771335404</c:v>
                </c:pt>
                <c:pt idx="3680">
                  <c:v>7.5077257824295902</c:v>
                </c:pt>
                <c:pt idx="3681">
                  <c:v>7.5015749354633998</c:v>
                </c:pt>
                <c:pt idx="3682">
                  <c:v>7.4714814220795196</c:v>
                </c:pt>
                <c:pt idx="3683">
                  <c:v>7.4806819318423496</c:v>
                </c:pt>
                <c:pt idx="3684">
                  <c:v>7.4779969686967203</c:v>
                </c:pt>
                <c:pt idx="3685">
                  <c:v>7.4496271077204304</c:v>
                </c:pt>
                <c:pt idx="3686">
                  <c:v>7.4169446983903899</c:v>
                </c:pt>
                <c:pt idx="3687">
                  <c:v>7.4172336102787897</c:v>
                </c:pt>
                <c:pt idx="3688">
                  <c:v>7.4340307966320598</c:v>
                </c:pt>
                <c:pt idx="3689">
                  <c:v>7.4250490716932296</c:v>
                </c:pt>
                <c:pt idx="3690">
                  <c:v>7.4128987435808202</c:v>
                </c:pt>
                <c:pt idx="3691">
                  <c:v>7.3993160256412098</c:v>
                </c:pt>
                <c:pt idx="3692">
                  <c:v>7.4004069165895503</c:v>
                </c:pt>
                <c:pt idx="3693">
                  <c:v>7.3868087265642899</c:v>
                </c:pt>
                <c:pt idx="3694">
                  <c:v>7.3755473769786501</c:v>
                </c:pt>
                <c:pt idx="3695">
                  <c:v>7.3651317256868198</c:v>
                </c:pt>
                <c:pt idx="3696">
                  <c:v>7.3620077166217301</c:v>
                </c:pt>
                <c:pt idx="3697">
                  <c:v>7.3364978369459202</c:v>
                </c:pt>
                <c:pt idx="3698">
                  <c:v>7.3083174722165296</c:v>
                </c:pt>
                <c:pt idx="3699">
                  <c:v>7.2906310734390898</c:v>
                </c:pt>
                <c:pt idx="3700">
                  <c:v>7.2836820442195496</c:v>
                </c:pt>
                <c:pt idx="3701">
                  <c:v>7.2809672693862701</c:v>
                </c:pt>
                <c:pt idx="3702">
                  <c:v>7.2759145831148402</c:v>
                </c:pt>
                <c:pt idx="3703">
                  <c:v>7.2549427878907702</c:v>
                </c:pt>
                <c:pt idx="3704">
                  <c:v>7.2591111093829497</c:v>
                </c:pt>
                <c:pt idx="3705">
                  <c:v>7.2440336289640301</c:v>
                </c:pt>
                <c:pt idx="3706">
                  <c:v>7.2189059275540099</c:v>
                </c:pt>
                <c:pt idx="3707">
                  <c:v>7.2240266296884803</c:v>
                </c:pt>
                <c:pt idx="3708">
                  <c:v>7.2028646245574404</c:v>
                </c:pt>
                <c:pt idx="3709">
                  <c:v>7.2064521552984502</c:v>
                </c:pt>
                <c:pt idx="3710">
                  <c:v>7.1896466159191803</c:v>
                </c:pt>
                <c:pt idx="3711">
                  <c:v>7.1983586036493898</c:v>
                </c:pt>
                <c:pt idx="3712">
                  <c:v>7.19152158651322</c:v>
                </c:pt>
                <c:pt idx="3713">
                  <c:v>7.1548912612985696</c:v>
                </c:pt>
                <c:pt idx="3714">
                  <c:v>7.14378634572354</c:v>
                </c:pt>
                <c:pt idx="3715">
                  <c:v>7.14256564102425</c:v>
                </c:pt>
                <c:pt idx="3716">
                  <c:v>7.1417159557176202</c:v>
                </c:pt>
                <c:pt idx="3717">
                  <c:v>7.12432323899165</c:v>
                </c:pt>
                <c:pt idx="3718">
                  <c:v>7.1199940616300497</c:v>
                </c:pt>
                <c:pt idx="3719">
                  <c:v>7.0984427523174398</c:v>
                </c:pt>
                <c:pt idx="3720">
                  <c:v>7.0999830216465103</c:v>
                </c:pt>
                <c:pt idx="3721">
                  <c:v>7.0935143533518801</c:v>
                </c:pt>
                <c:pt idx="3722">
                  <c:v>7.0901843210732904</c:v>
                </c:pt>
                <c:pt idx="3723">
                  <c:v>7.0728317298649896</c:v>
                </c:pt>
                <c:pt idx="3724">
                  <c:v>7.0599571758992896</c:v>
                </c:pt>
                <c:pt idx="3725">
                  <c:v>7.0439509341619599</c:v>
                </c:pt>
                <c:pt idx="3726">
                  <c:v>7.0358640211805197</c:v>
                </c:pt>
                <c:pt idx="3727">
                  <c:v>7.0071716611414097</c:v>
                </c:pt>
                <c:pt idx="3728">
                  <c:v>7.0177470750591597</c:v>
                </c:pt>
                <c:pt idx="3729">
                  <c:v>7.0217013850298899</c:v>
                </c:pt>
                <c:pt idx="3730">
                  <c:v>6.9887813553387801</c:v>
                </c:pt>
                <c:pt idx="3731">
                  <c:v>6.9871849665853398</c:v>
                </c:pt>
                <c:pt idx="3732">
                  <c:v>6.9682308710524001</c:v>
                </c:pt>
                <c:pt idx="3733">
                  <c:v>6.9650614254063798</c:v>
                </c:pt>
                <c:pt idx="3734">
                  <c:v>6.9600706710914197</c:v>
                </c:pt>
                <c:pt idx="3735">
                  <c:v>6.9396480390956299</c:v>
                </c:pt>
                <c:pt idx="3736">
                  <c:v>6.92864661604749</c:v>
                </c:pt>
                <c:pt idx="3737">
                  <c:v>6.9090566855748801</c:v>
                </c:pt>
                <c:pt idx="3738">
                  <c:v>6.9152227080081801</c:v>
                </c:pt>
                <c:pt idx="3739">
                  <c:v>6.8952272972600701</c:v>
                </c:pt>
                <c:pt idx="3740">
                  <c:v>6.8855014892936204</c:v>
                </c:pt>
                <c:pt idx="3741">
                  <c:v>6.8741702442352803</c:v>
                </c:pt>
                <c:pt idx="3742">
                  <c:v>6.8735932356109197</c:v>
                </c:pt>
                <c:pt idx="3743">
                  <c:v>6.85738080450556</c:v>
                </c:pt>
                <c:pt idx="3744">
                  <c:v>6.8382139534393698</c:v>
                </c:pt>
                <c:pt idx="3745">
                  <c:v>6.8284921077198302</c:v>
                </c:pt>
                <c:pt idx="3746">
                  <c:v>6.8179706185579203</c:v>
                </c:pt>
                <c:pt idx="3747">
                  <c:v>6.8043127437247897</c:v>
                </c:pt>
                <c:pt idx="3748">
                  <c:v>6.8142087280887003</c:v>
                </c:pt>
                <c:pt idx="3749">
                  <c:v>6.7942622133448198</c:v>
                </c:pt>
                <c:pt idx="3750">
                  <c:v>6.7917539345831504</c:v>
                </c:pt>
                <c:pt idx="3751">
                  <c:v>6.78650822369538</c:v>
                </c:pt>
                <c:pt idx="3752">
                  <c:v>6.7740206687546403</c:v>
                </c:pt>
                <c:pt idx="3753">
                  <c:v>6.7595509984767297</c:v>
                </c:pt>
                <c:pt idx="3754">
                  <c:v>6.7436348202302696</c:v>
                </c:pt>
                <c:pt idx="3755">
                  <c:v>6.7352935110392904</c:v>
                </c:pt>
                <c:pt idx="3756">
                  <c:v>6.7372958447823699</c:v>
                </c:pt>
                <c:pt idx="3757">
                  <c:v>6.7120925621364904</c:v>
                </c:pt>
                <c:pt idx="3758">
                  <c:v>6.6934314880365697</c:v>
                </c:pt>
                <c:pt idx="3759">
                  <c:v>6.6892192175832603</c:v>
                </c:pt>
                <c:pt idx="3760">
                  <c:v>6.6747598148582403</c:v>
                </c:pt>
                <c:pt idx="3761">
                  <c:v>6.6707800413527796</c:v>
                </c:pt>
                <c:pt idx="3762">
                  <c:v>6.6488218023717103</c:v>
                </c:pt>
                <c:pt idx="3763">
                  <c:v>6.64148109521616</c:v>
                </c:pt>
                <c:pt idx="3764">
                  <c:v>6.6423731836764599</c:v>
                </c:pt>
                <c:pt idx="3765">
                  <c:v>6.6292955449384197</c:v>
                </c:pt>
                <c:pt idx="3766">
                  <c:v>6.61661113862412</c:v>
                </c:pt>
                <c:pt idx="3767">
                  <c:v>6.6079660456055498</c:v>
                </c:pt>
                <c:pt idx="3768">
                  <c:v>6.6069603308050899</c:v>
                </c:pt>
                <c:pt idx="3769">
                  <c:v>6.5989510282346897</c:v>
                </c:pt>
                <c:pt idx="3770">
                  <c:v>6.5854850414434303</c:v>
                </c:pt>
                <c:pt idx="3771">
                  <c:v>6.5715938662527504</c:v>
                </c:pt>
                <c:pt idx="3772">
                  <c:v>6.5672358228089598</c:v>
                </c:pt>
                <c:pt idx="3773">
                  <c:v>6.5637606396435197</c:v>
                </c:pt>
                <c:pt idx="3774">
                  <c:v>6.5637601346799999</c:v>
                </c:pt>
                <c:pt idx="3775">
                  <c:v>6.5448323169544897</c:v>
                </c:pt>
                <c:pt idx="3776">
                  <c:v>6.5424819310686697</c:v>
                </c:pt>
                <c:pt idx="3777">
                  <c:v>6.52019047732714</c:v>
                </c:pt>
                <c:pt idx="3778">
                  <c:v>6.5189344043955204</c:v>
                </c:pt>
                <c:pt idx="3779">
                  <c:v>6.4913476992235601</c:v>
                </c:pt>
                <c:pt idx="3780">
                  <c:v>6.4778978343210696</c:v>
                </c:pt>
                <c:pt idx="3781">
                  <c:v>6.4795393497734803</c:v>
                </c:pt>
                <c:pt idx="3782">
                  <c:v>6.4511426506274603</c:v>
                </c:pt>
                <c:pt idx="3783">
                  <c:v>6.4363812728411203</c:v>
                </c:pt>
                <c:pt idx="3784">
                  <c:v>6.4359098822851202</c:v>
                </c:pt>
                <c:pt idx="3785">
                  <c:v>6.4270026107684197</c:v>
                </c:pt>
                <c:pt idx="3786">
                  <c:v>6.4107593547608204</c:v>
                </c:pt>
                <c:pt idx="3787">
                  <c:v>6.3970267966667702</c:v>
                </c:pt>
                <c:pt idx="3788">
                  <c:v>6.4133825803632503</c:v>
                </c:pt>
                <c:pt idx="3789">
                  <c:v>6.3991985984012896</c:v>
                </c:pt>
                <c:pt idx="3790">
                  <c:v>6.37864200528466</c:v>
                </c:pt>
                <c:pt idx="3791">
                  <c:v>6.3690297691101199</c:v>
                </c:pt>
                <c:pt idx="3792">
                  <c:v>6.3623051128363102</c:v>
                </c:pt>
                <c:pt idx="3793">
                  <c:v>6.3337580352703604</c:v>
                </c:pt>
                <c:pt idx="3794">
                  <c:v>6.3397816129990403</c:v>
                </c:pt>
                <c:pt idx="3795">
                  <c:v>6.3339649118260697</c:v>
                </c:pt>
                <c:pt idx="3796">
                  <c:v>6.3252613269838003</c:v>
                </c:pt>
                <c:pt idx="3797">
                  <c:v>6.3204711689949598</c:v>
                </c:pt>
                <c:pt idx="3798">
                  <c:v>6.3145688879773401</c:v>
                </c:pt>
                <c:pt idx="3799">
                  <c:v>6.29574957619245</c:v>
                </c:pt>
                <c:pt idx="3800">
                  <c:v>6.2865106750972197</c:v>
                </c:pt>
                <c:pt idx="3801">
                  <c:v>6.3038337338946304</c:v>
                </c:pt>
                <c:pt idx="3802">
                  <c:v>6.2840160709036699</c:v>
                </c:pt>
                <c:pt idx="3803">
                  <c:v>6.2585158513518699</c:v>
                </c:pt>
                <c:pt idx="3804">
                  <c:v>6.2573126581851</c:v>
                </c:pt>
                <c:pt idx="3805">
                  <c:v>6.2614255627449804</c:v>
                </c:pt>
                <c:pt idx="3806">
                  <c:v>6.2258380665420496</c:v>
                </c:pt>
                <c:pt idx="3807">
                  <c:v>6.2266113390007298</c:v>
                </c:pt>
                <c:pt idx="3808">
                  <c:v>6.22867498217808</c:v>
                </c:pt>
                <c:pt idx="3809">
                  <c:v>6.22030573393452</c:v>
                </c:pt>
                <c:pt idx="3810">
                  <c:v>6.21289935595704</c:v>
                </c:pt>
                <c:pt idx="3811">
                  <c:v>6.1933499193169999</c:v>
                </c:pt>
                <c:pt idx="3812">
                  <c:v>6.1666551943159504</c:v>
                </c:pt>
                <c:pt idx="3813">
                  <c:v>6.1665312430531998</c:v>
                </c:pt>
                <c:pt idx="3814">
                  <c:v>6.1622705311222603</c:v>
                </c:pt>
                <c:pt idx="3815">
                  <c:v>6.1483689605542304</c:v>
                </c:pt>
                <c:pt idx="3816">
                  <c:v>6.1233270154312098</c:v>
                </c:pt>
                <c:pt idx="3817">
                  <c:v>6.1216546513975798</c:v>
                </c:pt>
                <c:pt idx="3818">
                  <c:v>6.1140845787392397</c:v>
                </c:pt>
                <c:pt idx="3819">
                  <c:v>6.1103189511427303</c:v>
                </c:pt>
                <c:pt idx="3820">
                  <c:v>6.10083419002566</c:v>
                </c:pt>
                <c:pt idx="3821">
                  <c:v>6.0943155654181398</c:v>
                </c:pt>
                <c:pt idx="3822">
                  <c:v>6.0863708630572999</c:v>
                </c:pt>
                <c:pt idx="3823">
                  <c:v>6.0699663080394499</c:v>
                </c:pt>
                <c:pt idx="3824">
                  <c:v>6.06205422621073</c:v>
                </c:pt>
                <c:pt idx="3825">
                  <c:v>6.0328521972607296</c:v>
                </c:pt>
                <c:pt idx="3826">
                  <c:v>6.00421478191892</c:v>
                </c:pt>
                <c:pt idx="3827">
                  <c:v>6.0042804139652901</c:v>
                </c:pt>
                <c:pt idx="3828">
                  <c:v>6.0024496029816703</c:v>
                </c:pt>
                <c:pt idx="3829">
                  <c:v>5.9843263126881601</c:v>
                </c:pt>
                <c:pt idx="3830">
                  <c:v>5.98025811472281</c:v>
                </c:pt>
                <c:pt idx="3831">
                  <c:v>5.9687837540461501</c:v>
                </c:pt>
                <c:pt idx="3832">
                  <c:v>5.9654305493191497</c:v>
                </c:pt>
                <c:pt idx="3833">
                  <c:v>5.9584828806724399</c:v>
                </c:pt>
                <c:pt idx="3834">
                  <c:v>5.94956714676169</c:v>
                </c:pt>
                <c:pt idx="3835">
                  <c:v>5.9511770571189997</c:v>
                </c:pt>
                <c:pt idx="3836">
                  <c:v>5.9425700556295604</c:v>
                </c:pt>
                <c:pt idx="3837">
                  <c:v>5.91806983780819</c:v>
                </c:pt>
                <c:pt idx="3838">
                  <c:v>5.9127505403296201</c:v>
                </c:pt>
                <c:pt idx="3839">
                  <c:v>5.9012280682352598</c:v>
                </c:pt>
                <c:pt idx="3840">
                  <c:v>5.8868948804328101</c:v>
                </c:pt>
                <c:pt idx="3841">
                  <c:v>5.8848771243723697</c:v>
                </c:pt>
                <c:pt idx="3842">
                  <c:v>5.8722102480536398</c:v>
                </c:pt>
                <c:pt idx="3843">
                  <c:v>5.8580145903146201</c:v>
                </c:pt>
                <c:pt idx="3844">
                  <c:v>5.8590530098753</c:v>
                </c:pt>
                <c:pt idx="3845">
                  <c:v>5.85750279661604</c:v>
                </c:pt>
                <c:pt idx="3846">
                  <c:v>5.8422158121700596</c:v>
                </c:pt>
                <c:pt idx="3847">
                  <c:v>5.8217064145748196</c:v>
                </c:pt>
                <c:pt idx="3848">
                  <c:v>5.8063286010212201</c:v>
                </c:pt>
                <c:pt idx="3849">
                  <c:v>5.8079210760749502</c:v>
                </c:pt>
                <c:pt idx="3850">
                  <c:v>5.7914512111260699</c:v>
                </c:pt>
                <c:pt idx="3851">
                  <c:v>5.7899057689880404</c:v>
                </c:pt>
                <c:pt idx="3852">
                  <c:v>5.7635274902456999</c:v>
                </c:pt>
                <c:pt idx="3853">
                  <c:v>5.7652497351358702</c:v>
                </c:pt>
                <c:pt idx="3854">
                  <c:v>5.75040645164741</c:v>
                </c:pt>
                <c:pt idx="3855">
                  <c:v>5.7488413284049997</c:v>
                </c:pt>
                <c:pt idx="3856">
                  <c:v>5.7337281853523798</c:v>
                </c:pt>
                <c:pt idx="3857">
                  <c:v>5.7253782858492199</c:v>
                </c:pt>
                <c:pt idx="3858">
                  <c:v>5.7120087848290897</c:v>
                </c:pt>
                <c:pt idx="3859">
                  <c:v>5.6984802242400896</c:v>
                </c:pt>
                <c:pt idx="3860">
                  <c:v>5.6959826344850999</c:v>
                </c:pt>
                <c:pt idx="3861">
                  <c:v>5.7034279653508504</c:v>
                </c:pt>
                <c:pt idx="3862">
                  <c:v>5.6860078028359604</c:v>
                </c:pt>
                <c:pt idx="3863">
                  <c:v>5.6844842087647303</c:v>
                </c:pt>
                <c:pt idx="3864">
                  <c:v>5.6688360963286</c:v>
                </c:pt>
                <c:pt idx="3865">
                  <c:v>5.6661753712022396</c:v>
                </c:pt>
                <c:pt idx="3866">
                  <c:v>5.6459281546095097</c:v>
                </c:pt>
                <c:pt idx="3867">
                  <c:v>5.6449478798739996</c:v>
                </c:pt>
                <c:pt idx="3868">
                  <c:v>5.6317036882676899</c:v>
                </c:pt>
                <c:pt idx="3869">
                  <c:v>5.6171993578955099</c:v>
                </c:pt>
                <c:pt idx="3870">
                  <c:v>5.61494564669366</c:v>
                </c:pt>
                <c:pt idx="3871">
                  <c:v>5.6066592953509504</c:v>
                </c:pt>
                <c:pt idx="3872">
                  <c:v>5.6071293337240098</c:v>
                </c:pt>
                <c:pt idx="3873">
                  <c:v>5.5940569673310803</c:v>
                </c:pt>
                <c:pt idx="3874">
                  <c:v>5.5698211574571799</c:v>
                </c:pt>
                <c:pt idx="3875">
                  <c:v>5.5534187619561202</c:v>
                </c:pt>
                <c:pt idx="3876">
                  <c:v>5.5550655201648</c:v>
                </c:pt>
                <c:pt idx="3877">
                  <c:v>5.5484934999173197</c:v>
                </c:pt>
                <c:pt idx="3878">
                  <c:v>5.5363427092672</c:v>
                </c:pt>
                <c:pt idx="3879">
                  <c:v>5.5341430694472402</c:v>
                </c:pt>
                <c:pt idx="3880">
                  <c:v>5.51869182719199</c:v>
                </c:pt>
                <c:pt idx="3881">
                  <c:v>5.5115036134759299</c:v>
                </c:pt>
                <c:pt idx="3882">
                  <c:v>5.5046398582359499</c:v>
                </c:pt>
                <c:pt idx="3883">
                  <c:v>5.4978281814614203</c:v>
                </c:pt>
                <c:pt idx="3884">
                  <c:v>5.4776867654846297</c:v>
                </c:pt>
                <c:pt idx="3885">
                  <c:v>5.4737778461764401</c:v>
                </c:pt>
                <c:pt idx="3886">
                  <c:v>5.4469561840570897</c:v>
                </c:pt>
                <c:pt idx="3887">
                  <c:v>5.4448892195379699</c:v>
                </c:pt>
                <c:pt idx="3888">
                  <c:v>5.4391580706782197</c:v>
                </c:pt>
                <c:pt idx="3889">
                  <c:v>5.4080323943941302</c:v>
                </c:pt>
                <c:pt idx="3890">
                  <c:v>5.4083998193758198</c:v>
                </c:pt>
                <c:pt idx="3891">
                  <c:v>5.4010208147732701</c:v>
                </c:pt>
                <c:pt idx="3892">
                  <c:v>5.3901625221631599</c:v>
                </c:pt>
                <c:pt idx="3893">
                  <c:v>5.3883488882318504</c:v>
                </c:pt>
                <c:pt idx="3894">
                  <c:v>5.3600049722686496</c:v>
                </c:pt>
                <c:pt idx="3895">
                  <c:v>5.3609841936648497</c:v>
                </c:pt>
                <c:pt idx="3896">
                  <c:v>5.3692879616277596</c:v>
                </c:pt>
                <c:pt idx="3897">
                  <c:v>5.3530320122446096</c:v>
                </c:pt>
                <c:pt idx="3898">
                  <c:v>5.3370834261272302</c:v>
                </c:pt>
                <c:pt idx="3899">
                  <c:v>5.3219064814913697</c:v>
                </c:pt>
                <c:pt idx="3900">
                  <c:v>5.3229130775906004</c:v>
                </c:pt>
                <c:pt idx="3901">
                  <c:v>5.3057540643859298</c:v>
                </c:pt>
                <c:pt idx="3902">
                  <c:v>5.2886899199809303</c:v>
                </c:pt>
                <c:pt idx="3903">
                  <c:v>5.2830105584743503</c:v>
                </c:pt>
                <c:pt idx="3904">
                  <c:v>5.2760830439264401</c:v>
                </c:pt>
                <c:pt idx="3905">
                  <c:v>5.2651461595954503</c:v>
                </c:pt>
                <c:pt idx="3906">
                  <c:v>5.2559070066198403</c:v>
                </c:pt>
                <c:pt idx="3907">
                  <c:v>5.2557338155413502</c:v>
                </c:pt>
                <c:pt idx="3908">
                  <c:v>5.24017319872475</c:v>
                </c:pt>
                <c:pt idx="3909">
                  <c:v>5.2332092577862497</c:v>
                </c:pt>
                <c:pt idx="3910">
                  <c:v>5.2260270735896999</c:v>
                </c:pt>
                <c:pt idx="3911">
                  <c:v>5.2238206661060103</c:v>
                </c:pt>
                <c:pt idx="3912">
                  <c:v>5.2154867558779401</c:v>
                </c:pt>
                <c:pt idx="3913">
                  <c:v>5.2059382763659903</c:v>
                </c:pt>
                <c:pt idx="3914">
                  <c:v>5.1773272804139401</c:v>
                </c:pt>
                <c:pt idx="3915">
                  <c:v>5.1892699616206102</c:v>
                </c:pt>
                <c:pt idx="3916">
                  <c:v>5.18248591586429</c:v>
                </c:pt>
                <c:pt idx="3917">
                  <c:v>5.1695220470945404</c:v>
                </c:pt>
                <c:pt idx="3918">
                  <c:v>5.1472698424601404</c:v>
                </c:pt>
                <c:pt idx="3919">
                  <c:v>5.1327617978495201</c:v>
                </c:pt>
                <c:pt idx="3920">
                  <c:v>5.12652079970045</c:v>
                </c:pt>
                <c:pt idx="3921">
                  <c:v>5.1325596308114703</c:v>
                </c:pt>
                <c:pt idx="3922">
                  <c:v>5.1141496677390297</c:v>
                </c:pt>
                <c:pt idx="3923">
                  <c:v>5.0999679539843896</c:v>
                </c:pt>
                <c:pt idx="3924">
                  <c:v>5.09653801443151</c:v>
                </c:pt>
                <c:pt idx="3925">
                  <c:v>5.0923576534288202</c:v>
                </c:pt>
                <c:pt idx="3926">
                  <c:v>5.0744869730181303</c:v>
                </c:pt>
                <c:pt idx="3927">
                  <c:v>5.0644522897242297</c:v>
                </c:pt>
                <c:pt idx="3928">
                  <c:v>5.05899719529853</c:v>
                </c:pt>
                <c:pt idx="3929">
                  <c:v>5.05481266957168</c:v>
                </c:pt>
                <c:pt idx="3930">
                  <c:v>5.0431346696461699</c:v>
                </c:pt>
                <c:pt idx="3931">
                  <c:v>5.0326623956903296</c:v>
                </c:pt>
                <c:pt idx="3932">
                  <c:v>5.0231386627896502</c:v>
                </c:pt>
                <c:pt idx="3933">
                  <c:v>5.0081675971843698</c:v>
                </c:pt>
                <c:pt idx="3934">
                  <c:v>5.0139994803114796</c:v>
                </c:pt>
                <c:pt idx="3935">
                  <c:v>4.9995966775646501</c:v>
                </c:pt>
                <c:pt idx="3936">
                  <c:v>4.9860842275072397</c:v>
                </c:pt>
                <c:pt idx="3937">
                  <c:v>4.984172640813</c:v>
                </c:pt>
                <c:pt idx="3938">
                  <c:v>4.9350204447456001</c:v>
                </c:pt>
                <c:pt idx="3939">
                  <c:v>4.9380526078514304</c:v>
                </c:pt>
                <c:pt idx="3940">
                  <c:v>4.9226608910341003</c:v>
                </c:pt>
                <c:pt idx="3941">
                  <c:v>4.9161795016874903</c:v>
                </c:pt>
                <c:pt idx="3942">
                  <c:v>4.91005211269096</c:v>
                </c:pt>
                <c:pt idx="3943">
                  <c:v>4.8957742906081698</c:v>
                </c:pt>
                <c:pt idx="3944">
                  <c:v>4.8956040078585801</c:v>
                </c:pt>
                <c:pt idx="3945">
                  <c:v>4.8998427080611897</c:v>
                </c:pt>
                <c:pt idx="3946">
                  <c:v>4.89554871318584</c:v>
                </c:pt>
                <c:pt idx="3947">
                  <c:v>4.8624360520635799</c:v>
                </c:pt>
                <c:pt idx="3948">
                  <c:v>4.8672419522891301</c:v>
                </c:pt>
                <c:pt idx="3949">
                  <c:v>4.8666662510063698</c:v>
                </c:pt>
                <c:pt idx="3950">
                  <c:v>4.8495152174634697</c:v>
                </c:pt>
                <c:pt idx="3951">
                  <c:v>4.85456133323322</c:v>
                </c:pt>
                <c:pt idx="3952">
                  <c:v>4.8385291721359698</c:v>
                </c:pt>
                <c:pt idx="3953">
                  <c:v>4.8316112146989099</c:v>
                </c:pt>
                <c:pt idx="3954">
                  <c:v>4.8226160326007603</c:v>
                </c:pt>
                <c:pt idx="3955">
                  <c:v>4.8112670269550604</c:v>
                </c:pt>
                <c:pt idx="3956">
                  <c:v>4.8011788209461299</c:v>
                </c:pt>
                <c:pt idx="3957">
                  <c:v>4.7799693783657</c:v>
                </c:pt>
                <c:pt idx="3958">
                  <c:v>4.7714840126819702</c:v>
                </c:pt>
                <c:pt idx="3959">
                  <c:v>4.76904615161253</c:v>
                </c:pt>
                <c:pt idx="3960">
                  <c:v>4.7625154825682801</c:v>
                </c:pt>
                <c:pt idx="3961">
                  <c:v>4.75045107885511</c:v>
                </c:pt>
                <c:pt idx="3962">
                  <c:v>4.7470446039520802</c:v>
                </c:pt>
                <c:pt idx="3963">
                  <c:v>4.73812524715132</c:v>
                </c:pt>
                <c:pt idx="3964">
                  <c:v>4.7236168584353901</c:v>
                </c:pt>
                <c:pt idx="3965">
                  <c:v>4.7167364904998399</c:v>
                </c:pt>
                <c:pt idx="3966">
                  <c:v>4.7107304125005003</c:v>
                </c:pt>
                <c:pt idx="3967">
                  <c:v>4.7011773199832003</c:v>
                </c:pt>
                <c:pt idx="3968">
                  <c:v>4.6996629034628796</c:v>
                </c:pt>
                <c:pt idx="3969">
                  <c:v>4.6817378542399597</c:v>
                </c:pt>
                <c:pt idx="3970">
                  <c:v>4.6794803957498399</c:v>
                </c:pt>
                <c:pt idx="3971">
                  <c:v>4.6564369543834001</c:v>
                </c:pt>
                <c:pt idx="3972">
                  <c:v>4.6562583195037597</c:v>
                </c:pt>
                <c:pt idx="3973">
                  <c:v>4.6529895995991799</c:v>
                </c:pt>
                <c:pt idx="3974">
                  <c:v>4.6322974006060704</c:v>
                </c:pt>
                <c:pt idx="3975">
                  <c:v>4.6297183863997198</c:v>
                </c:pt>
                <c:pt idx="3976">
                  <c:v>4.6088512066308001</c:v>
                </c:pt>
                <c:pt idx="3977">
                  <c:v>4.5959836641906202</c:v>
                </c:pt>
                <c:pt idx="3978">
                  <c:v>4.5996209287740104</c:v>
                </c:pt>
                <c:pt idx="3979">
                  <c:v>4.58898691765304</c:v>
                </c:pt>
                <c:pt idx="3980">
                  <c:v>4.5822799473742402</c:v>
                </c:pt>
                <c:pt idx="3981">
                  <c:v>4.5757572745577297</c:v>
                </c:pt>
                <c:pt idx="3982">
                  <c:v>4.5778369400165602</c:v>
                </c:pt>
                <c:pt idx="3983">
                  <c:v>4.5643818452989304</c:v>
                </c:pt>
                <c:pt idx="3984">
                  <c:v>4.5524357964687896</c:v>
                </c:pt>
                <c:pt idx="3985">
                  <c:v>4.5358654106758998</c:v>
                </c:pt>
                <c:pt idx="3986">
                  <c:v>4.5359190122089599</c:v>
                </c:pt>
                <c:pt idx="3987">
                  <c:v>4.5298331481197396</c:v>
                </c:pt>
                <c:pt idx="3988">
                  <c:v>4.5222043108412402</c:v>
                </c:pt>
                <c:pt idx="3989">
                  <c:v>4.4980581015160199</c:v>
                </c:pt>
                <c:pt idx="3990">
                  <c:v>4.49256416452367</c:v>
                </c:pt>
                <c:pt idx="3991">
                  <c:v>4.48873386118923</c:v>
                </c:pt>
                <c:pt idx="3992">
                  <c:v>4.4751163034434498</c:v>
                </c:pt>
                <c:pt idx="3993">
                  <c:v>4.4723200298664896</c:v>
                </c:pt>
                <c:pt idx="3994">
                  <c:v>4.4672963391046503</c:v>
                </c:pt>
                <c:pt idx="3995">
                  <c:v>4.4602205052293398</c:v>
                </c:pt>
                <c:pt idx="3996">
                  <c:v>4.4575910141698998</c:v>
                </c:pt>
                <c:pt idx="3997">
                  <c:v>4.4564567678635996</c:v>
                </c:pt>
                <c:pt idx="3998">
                  <c:v>4.4410862368058197</c:v>
                </c:pt>
                <c:pt idx="3999">
                  <c:v>4.4259588047880696</c:v>
                </c:pt>
                <c:pt idx="4000">
                  <c:v>4.4115590614580196</c:v>
                </c:pt>
                <c:pt idx="4001">
                  <c:v>4.3959018870127</c:v>
                </c:pt>
                <c:pt idx="4002">
                  <c:v>4.3830678618314698</c:v>
                </c:pt>
                <c:pt idx="4003">
                  <c:v>4.3873127664699796</c:v>
                </c:pt>
                <c:pt idx="4004">
                  <c:v>4.3689631516105001</c:v>
                </c:pt>
                <c:pt idx="4005">
                  <c:v>4.3550590187062603</c:v>
                </c:pt>
                <c:pt idx="4006">
                  <c:v>4.3508842617734098</c:v>
                </c:pt>
                <c:pt idx="4007">
                  <c:v>4.34892528816758</c:v>
                </c:pt>
                <c:pt idx="4008">
                  <c:v>4.3418601104372296</c:v>
                </c:pt>
                <c:pt idx="4009">
                  <c:v>4.3280355281545999</c:v>
                </c:pt>
                <c:pt idx="4010">
                  <c:v>4.3225695447371697</c:v>
                </c:pt>
                <c:pt idx="4011">
                  <c:v>4.3236749989976504</c:v>
                </c:pt>
                <c:pt idx="4012">
                  <c:v>4.3035415057814097</c:v>
                </c:pt>
                <c:pt idx="4013">
                  <c:v>4.2990559810913602</c:v>
                </c:pt>
                <c:pt idx="4014">
                  <c:v>4.2861267775685699</c:v>
                </c:pt>
                <c:pt idx="4015">
                  <c:v>4.2848093241840397</c:v>
                </c:pt>
                <c:pt idx="4016">
                  <c:v>4.2725348704486299</c:v>
                </c:pt>
                <c:pt idx="4017">
                  <c:v>4.2609722984490004</c:v>
                </c:pt>
                <c:pt idx="4018">
                  <c:v>4.2578867931965103</c:v>
                </c:pt>
                <c:pt idx="4019">
                  <c:v>4.2434028674472799</c:v>
                </c:pt>
                <c:pt idx="4020">
                  <c:v>4.2362806834397198</c:v>
                </c:pt>
                <c:pt idx="4021">
                  <c:v>4.2249594063132001</c:v>
                </c:pt>
                <c:pt idx="4022">
                  <c:v>4.2272925300967499</c:v>
                </c:pt>
                <c:pt idx="4023">
                  <c:v>4.2200460619182802</c:v>
                </c:pt>
                <c:pt idx="4024">
                  <c:v>4.2053074147470797</c:v>
                </c:pt>
                <c:pt idx="4025">
                  <c:v>4.1953073162906298</c:v>
                </c:pt>
                <c:pt idx="4026">
                  <c:v>4.1871175230800803</c:v>
                </c:pt>
                <c:pt idx="4027">
                  <c:v>4.1778501621629998</c:v>
                </c:pt>
                <c:pt idx="4028">
                  <c:v>4.17267829795012</c:v>
                </c:pt>
                <c:pt idx="4029">
                  <c:v>4.1652567983645801</c:v>
                </c:pt>
                <c:pt idx="4030">
                  <c:v>4.1436193450855097</c:v>
                </c:pt>
                <c:pt idx="4031">
                  <c:v>4.1392897436027303</c:v>
                </c:pt>
                <c:pt idx="4032">
                  <c:v>4.13794199490283</c:v>
                </c:pt>
                <c:pt idx="4033">
                  <c:v>4.1226290500599303</c:v>
                </c:pt>
                <c:pt idx="4034">
                  <c:v>4.1178330263969301</c:v>
                </c:pt>
                <c:pt idx="4035">
                  <c:v>4.1106723042303797</c:v>
                </c:pt>
                <c:pt idx="4036">
                  <c:v>4.1071627035442999</c:v>
                </c:pt>
                <c:pt idx="4037">
                  <c:v>4.0799255316913303</c:v>
                </c:pt>
                <c:pt idx="4038">
                  <c:v>4.0806004056042298</c:v>
                </c:pt>
                <c:pt idx="4039">
                  <c:v>4.0696158294495497</c:v>
                </c:pt>
                <c:pt idx="4040">
                  <c:v>4.0589041913009103</c:v>
                </c:pt>
                <c:pt idx="4041">
                  <c:v>4.05860641233817</c:v>
                </c:pt>
                <c:pt idx="4042">
                  <c:v>4.0435615755487104</c:v>
                </c:pt>
                <c:pt idx="4043">
                  <c:v>4.0275400287877696</c:v>
                </c:pt>
                <c:pt idx="4044">
                  <c:v>4.0304447522553604</c:v>
                </c:pt>
                <c:pt idx="4045">
                  <c:v>4.0183895423852496</c:v>
                </c:pt>
                <c:pt idx="4046">
                  <c:v>4.0135170500992396</c:v>
                </c:pt>
                <c:pt idx="4047">
                  <c:v>4.0080094852841901</c:v>
                </c:pt>
                <c:pt idx="4048">
                  <c:v>4.0090792409756997</c:v>
                </c:pt>
                <c:pt idx="4049">
                  <c:v>3.9751739509766302</c:v>
                </c:pt>
                <c:pt idx="4050">
                  <c:v>3.970967981881</c:v>
                </c:pt>
                <c:pt idx="4051">
                  <c:v>3.9662958811727398</c:v>
                </c:pt>
                <c:pt idx="4052">
                  <c:v>3.9632252474624701</c:v>
                </c:pt>
                <c:pt idx="4053">
                  <c:v>3.95096957199187</c:v>
                </c:pt>
                <c:pt idx="4054">
                  <c:v>3.9465449965763901</c:v>
                </c:pt>
                <c:pt idx="4055">
                  <c:v>3.92890891329513</c:v>
                </c:pt>
                <c:pt idx="4056">
                  <c:v>3.92747618620094</c:v>
                </c:pt>
                <c:pt idx="4057">
                  <c:v>3.9261692800022399</c:v>
                </c:pt>
                <c:pt idx="4058">
                  <c:v>3.9188546325282299</c:v>
                </c:pt>
                <c:pt idx="4059">
                  <c:v>3.91323701014091</c:v>
                </c:pt>
                <c:pt idx="4060">
                  <c:v>3.8931291131628898</c:v>
                </c:pt>
                <c:pt idx="4061">
                  <c:v>3.8824478049016702</c:v>
                </c:pt>
                <c:pt idx="4062">
                  <c:v>3.86382974761599</c:v>
                </c:pt>
                <c:pt idx="4063">
                  <c:v>3.8672853785466099</c:v>
                </c:pt>
                <c:pt idx="4064">
                  <c:v>3.8557809687884701</c:v>
                </c:pt>
                <c:pt idx="4065">
                  <c:v>3.8453752081444499</c:v>
                </c:pt>
                <c:pt idx="4066">
                  <c:v>3.8391969761758298</c:v>
                </c:pt>
                <c:pt idx="4067">
                  <c:v>3.8165685987753801</c:v>
                </c:pt>
                <c:pt idx="4068">
                  <c:v>3.8169123758582701</c:v>
                </c:pt>
                <c:pt idx="4069">
                  <c:v>3.8212196680712398</c:v>
                </c:pt>
                <c:pt idx="4070">
                  <c:v>3.8142756132334101</c:v>
                </c:pt>
                <c:pt idx="4071">
                  <c:v>3.7998304710037298</c:v>
                </c:pt>
                <c:pt idx="4072">
                  <c:v>3.7820728893442999</c:v>
                </c:pt>
                <c:pt idx="4073">
                  <c:v>3.7920084188748402</c:v>
                </c:pt>
                <c:pt idx="4074">
                  <c:v>3.7748068529770702</c:v>
                </c:pt>
                <c:pt idx="4075">
                  <c:v>3.7645850476768299</c:v>
                </c:pt>
                <c:pt idx="4076">
                  <c:v>3.7561671377920498</c:v>
                </c:pt>
                <c:pt idx="4077">
                  <c:v>3.7531627384447299</c:v>
                </c:pt>
                <c:pt idx="4078">
                  <c:v>3.7497576656368099</c:v>
                </c:pt>
                <c:pt idx="4079">
                  <c:v>3.7250862907747599</c:v>
                </c:pt>
                <c:pt idx="4080">
                  <c:v>3.7226525298031299</c:v>
                </c:pt>
                <c:pt idx="4081">
                  <c:v>3.71837733040097</c:v>
                </c:pt>
                <c:pt idx="4082">
                  <c:v>3.7053516558175401</c:v>
                </c:pt>
                <c:pt idx="4083">
                  <c:v>3.7023207168684298</c:v>
                </c:pt>
                <c:pt idx="4084">
                  <c:v>3.6994421162048399</c:v>
                </c:pt>
                <c:pt idx="4085">
                  <c:v>3.6955090337458798</c:v>
                </c:pt>
                <c:pt idx="4086">
                  <c:v>3.6855439909866199</c:v>
                </c:pt>
                <c:pt idx="4087">
                  <c:v>3.6766843170182502</c:v>
                </c:pt>
                <c:pt idx="4088">
                  <c:v>3.6718415836750702</c:v>
                </c:pt>
                <c:pt idx="4089">
                  <c:v>3.6549862356865002</c:v>
                </c:pt>
                <c:pt idx="4090">
                  <c:v>3.6509220792216799</c:v>
                </c:pt>
                <c:pt idx="4091">
                  <c:v>3.64003925844922</c:v>
                </c:pt>
                <c:pt idx="4092">
                  <c:v>3.6275727447364798</c:v>
                </c:pt>
                <c:pt idx="4093">
                  <c:v>3.6196826038734602</c:v>
                </c:pt>
                <c:pt idx="4094">
                  <c:v>3.6158731016149099</c:v>
                </c:pt>
                <c:pt idx="4095">
                  <c:v>3.6090406573327898</c:v>
                </c:pt>
                <c:pt idx="4096">
                  <c:v>3.6026344224609899</c:v>
                </c:pt>
                <c:pt idx="4097">
                  <c:v>3.5935559099938401</c:v>
                </c:pt>
                <c:pt idx="4098">
                  <c:v>3.56680623151501</c:v>
                </c:pt>
                <c:pt idx="4099">
                  <c:v>3.5702514232563498</c:v>
                </c:pt>
                <c:pt idx="4100">
                  <c:v>3.5510723700038902</c:v>
                </c:pt>
                <c:pt idx="4101">
                  <c:v>3.54747644480892</c:v>
                </c:pt>
                <c:pt idx="4102">
                  <c:v>3.5460948577453899</c:v>
                </c:pt>
                <c:pt idx="4103">
                  <c:v>3.52240606329898</c:v>
                </c:pt>
                <c:pt idx="4104">
                  <c:v>3.51274107401591</c:v>
                </c:pt>
                <c:pt idx="4105">
                  <c:v>3.50953594983757</c:v>
                </c:pt>
                <c:pt idx="4106">
                  <c:v>3.49120178066747</c:v>
                </c:pt>
                <c:pt idx="4107">
                  <c:v>3.4921900104581298</c:v>
                </c:pt>
                <c:pt idx="4108">
                  <c:v>3.4839498595481202</c:v>
                </c:pt>
                <c:pt idx="4109">
                  <c:v>3.4736160400791798</c:v>
                </c:pt>
                <c:pt idx="4110">
                  <c:v>3.4662760668559001</c:v>
                </c:pt>
                <c:pt idx="4111">
                  <c:v>3.46766807660285</c:v>
                </c:pt>
                <c:pt idx="4112">
                  <c:v>3.45195712301541</c:v>
                </c:pt>
                <c:pt idx="4113">
                  <c:v>3.4450903718505201</c:v>
                </c:pt>
                <c:pt idx="4114">
                  <c:v>3.4369077398639098</c:v>
                </c:pt>
                <c:pt idx="4115">
                  <c:v>3.43027879019388</c:v>
                </c:pt>
                <c:pt idx="4116">
                  <c:v>3.4276359362663098</c:v>
                </c:pt>
                <c:pt idx="4117">
                  <c:v>3.4270052677851699</c:v>
                </c:pt>
                <c:pt idx="4118">
                  <c:v>3.4215937688768201</c:v>
                </c:pt>
                <c:pt idx="4119">
                  <c:v>3.4025907712954</c:v>
                </c:pt>
                <c:pt idx="4120">
                  <c:v>3.3895268542970101</c:v>
                </c:pt>
                <c:pt idx="4121">
                  <c:v>3.3840811107187201</c:v>
                </c:pt>
                <c:pt idx="4122">
                  <c:v>3.3745431496707599</c:v>
                </c:pt>
                <c:pt idx="4123">
                  <c:v>3.36422163972586</c:v>
                </c:pt>
                <c:pt idx="4124">
                  <c:v>3.3547353433529099</c:v>
                </c:pt>
                <c:pt idx="4125">
                  <c:v>3.3526038785956902</c:v>
                </c:pt>
                <c:pt idx="4126">
                  <c:v>3.3491164267206401</c:v>
                </c:pt>
                <c:pt idx="4127">
                  <c:v>3.3442671651215599</c:v>
                </c:pt>
                <c:pt idx="4128">
                  <c:v>3.3390057229788601</c:v>
                </c:pt>
                <c:pt idx="4129">
                  <c:v>3.31557687824127</c:v>
                </c:pt>
                <c:pt idx="4130">
                  <c:v>3.3070537045459099</c:v>
                </c:pt>
                <c:pt idx="4131">
                  <c:v>3.30347846967484</c:v>
                </c:pt>
                <c:pt idx="4132">
                  <c:v>3.2997635257412998</c:v>
                </c:pt>
                <c:pt idx="4133">
                  <c:v>3.2921710702303</c:v>
                </c:pt>
                <c:pt idx="4134">
                  <c:v>3.2806854504644098</c:v>
                </c:pt>
                <c:pt idx="4135">
                  <c:v>3.27327362189508</c:v>
                </c:pt>
                <c:pt idx="4136">
                  <c:v>3.26640405843176</c:v>
                </c:pt>
                <c:pt idx="4137">
                  <c:v>3.25367101751847</c:v>
                </c:pt>
                <c:pt idx="4138">
                  <c:v>3.2554149358820799</c:v>
                </c:pt>
                <c:pt idx="4139">
                  <c:v>3.2431683962108901</c:v>
                </c:pt>
                <c:pt idx="4140">
                  <c:v>3.2310639286370901</c:v>
                </c:pt>
                <c:pt idx="4141">
                  <c:v>3.22065484550708</c:v>
                </c:pt>
                <c:pt idx="4142">
                  <c:v>3.2181758913701901</c:v>
                </c:pt>
                <c:pt idx="4143">
                  <c:v>3.20990195449285</c:v>
                </c:pt>
                <c:pt idx="4144">
                  <c:v>3.1980546785314798</c:v>
                </c:pt>
                <c:pt idx="4145">
                  <c:v>3.1940496773709799</c:v>
                </c:pt>
                <c:pt idx="4146">
                  <c:v>3.1855171027096301</c:v>
                </c:pt>
                <c:pt idx="4147">
                  <c:v>3.1791312234199798</c:v>
                </c:pt>
                <c:pt idx="4148">
                  <c:v>3.17233265970457</c:v>
                </c:pt>
                <c:pt idx="4149">
                  <c:v>3.1667641711132002</c:v>
                </c:pt>
                <c:pt idx="4150">
                  <c:v>3.15640068591969</c:v>
                </c:pt>
                <c:pt idx="4151">
                  <c:v>3.14941573132861</c:v>
                </c:pt>
                <c:pt idx="4152">
                  <c:v>3.1396372127749799</c:v>
                </c:pt>
                <c:pt idx="4153">
                  <c:v>3.13730081713372</c:v>
                </c:pt>
                <c:pt idx="4154">
                  <c:v>3.1299529879316399</c:v>
                </c:pt>
                <c:pt idx="4155">
                  <c:v>3.1130888440439901</c:v>
                </c:pt>
                <c:pt idx="4156">
                  <c:v>3.1096871887036199</c:v>
                </c:pt>
                <c:pt idx="4157">
                  <c:v>3.1063396733675099</c:v>
                </c:pt>
                <c:pt idx="4158">
                  <c:v>3.0888263427142801</c:v>
                </c:pt>
                <c:pt idx="4159">
                  <c:v>3.0862414126858502</c:v>
                </c:pt>
                <c:pt idx="4160">
                  <c:v>3.0818975916505398</c:v>
                </c:pt>
                <c:pt idx="4161">
                  <c:v>3.06833991331172</c:v>
                </c:pt>
                <c:pt idx="4162">
                  <c:v>3.0596013185615298</c:v>
                </c:pt>
                <c:pt idx="4163">
                  <c:v>3.0520212731293901</c:v>
                </c:pt>
                <c:pt idx="4164">
                  <c:v>3.03662649344164</c:v>
                </c:pt>
                <c:pt idx="4165">
                  <c:v>3.03270655432781</c:v>
                </c:pt>
                <c:pt idx="4166">
                  <c:v>3.02594183751894</c:v>
                </c:pt>
                <c:pt idx="4167">
                  <c:v>3.0187379787316999</c:v>
                </c:pt>
                <c:pt idx="4168">
                  <c:v>3.0112388725776502</c:v>
                </c:pt>
                <c:pt idx="4169">
                  <c:v>3.0055660073891</c:v>
                </c:pt>
                <c:pt idx="4170">
                  <c:v>2.9940654127770201</c:v>
                </c:pt>
                <c:pt idx="4171">
                  <c:v>2.9890630916752601</c:v>
                </c:pt>
                <c:pt idx="4172">
                  <c:v>2.9795428446205299</c:v>
                </c:pt>
                <c:pt idx="4173">
                  <c:v>2.9749875158401302</c:v>
                </c:pt>
                <c:pt idx="4174">
                  <c:v>2.9659511718823599</c:v>
                </c:pt>
                <c:pt idx="4175">
                  <c:v>2.9532921506759502</c:v>
                </c:pt>
                <c:pt idx="4176">
                  <c:v>2.94829358180333</c:v>
                </c:pt>
                <c:pt idx="4177">
                  <c:v>2.93964457361152</c:v>
                </c:pt>
                <c:pt idx="4178">
                  <c:v>2.9309432970883602</c:v>
                </c:pt>
                <c:pt idx="4179">
                  <c:v>2.92786161717871</c:v>
                </c:pt>
                <c:pt idx="4180">
                  <c:v>2.9112258229223502</c:v>
                </c:pt>
                <c:pt idx="4181">
                  <c:v>2.9062352453171401</c:v>
                </c:pt>
                <c:pt idx="4182">
                  <c:v>2.9064626280334198</c:v>
                </c:pt>
                <c:pt idx="4183">
                  <c:v>2.89186637761114</c:v>
                </c:pt>
                <c:pt idx="4184">
                  <c:v>2.8799806108524102</c:v>
                </c:pt>
                <c:pt idx="4185">
                  <c:v>2.8717890336875098</c:v>
                </c:pt>
                <c:pt idx="4186">
                  <c:v>2.8682773918493898</c:v>
                </c:pt>
                <c:pt idx="4187">
                  <c:v>2.8555940737708498</c:v>
                </c:pt>
                <c:pt idx="4188">
                  <c:v>2.8574888392523898</c:v>
                </c:pt>
                <c:pt idx="4189">
                  <c:v>2.8479878581434801</c:v>
                </c:pt>
                <c:pt idx="4190">
                  <c:v>2.8440868101989301</c:v>
                </c:pt>
                <c:pt idx="4191">
                  <c:v>2.8428970249046701</c:v>
                </c:pt>
                <c:pt idx="4192">
                  <c:v>2.81990372736036</c:v>
                </c:pt>
                <c:pt idx="4193">
                  <c:v>2.8229227498457501</c:v>
                </c:pt>
                <c:pt idx="4194">
                  <c:v>2.8031826117888898</c:v>
                </c:pt>
                <c:pt idx="4195">
                  <c:v>2.7961036087962099</c:v>
                </c:pt>
                <c:pt idx="4196">
                  <c:v>2.7866623517575402</c:v>
                </c:pt>
                <c:pt idx="4197">
                  <c:v>2.77987186847625</c:v>
                </c:pt>
                <c:pt idx="4198">
                  <c:v>2.7726846274710502</c:v>
                </c:pt>
                <c:pt idx="4199">
                  <c:v>2.7669743322588198</c:v>
                </c:pt>
                <c:pt idx="4200">
                  <c:v>2.7616928168484498</c:v>
                </c:pt>
                <c:pt idx="4201">
                  <c:v>2.7535438786092201</c:v>
                </c:pt>
                <c:pt idx="4202">
                  <c:v>2.7459211520867499</c:v>
                </c:pt>
                <c:pt idx="4203">
                  <c:v>2.7361277564802702</c:v>
                </c:pt>
                <c:pt idx="4204">
                  <c:v>2.73111681646877</c:v>
                </c:pt>
                <c:pt idx="4205">
                  <c:v>2.72526356821828</c:v>
                </c:pt>
                <c:pt idx="4206">
                  <c:v>2.71409256259061</c:v>
                </c:pt>
                <c:pt idx="4207">
                  <c:v>2.69648735531849</c:v>
                </c:pt>
                <c:pt idx="4208">
                  <c:v>2.6946947228834999</c:v>
                </c:pt>
                <c:pt idx="4209">
                  <c:v>2.6929806606572799</c:v>
                </c:pt>
                <c:pt idx="4210">
                  <c:v>2.6840573898833</c:v>
                </c:pt>
                <c:pt idx="4211">
                  <c:v>2.6686930207572002</c:v>
                </c:pt>
                <c:pt idx="4212">
                  <c:v>2.6627745821186601</c:v>
                </c:pt>
                <c:pt idx="4213">
                  <c:v>2.65573081937608</c:v>
                </c:pt>
                <c:pt idx="4214">
                  <c:v>2.6551146065137901</c:v>
                </c:pt>
                <c:pt idx="4215">
                  <c:v>2.6474219153064298</c:v>
                </c:pt>
                <c:pt idx="4216">
                  <c:v>2.6368781283668801</c:v>
                </c:pt>
                <c:pt idx="4217">
                  <c:v>2.6289770727452599</c:v>
                </c:pt>
                <c:pt idx="4218">
                  <c:v>2.6237328702708398</c:v>
                </c:pt>
                <c:pt idx="4219">
                  <c:v>2.6133583809433198</c:v>
                </c:pt>
                <c:pt idx="4220">
                  <c:v>2.5956792075622501</c:v>
                </c:pt>
                <c:pt idx="4221">
                  <c:v>2.5939759688923698</c:v>
                </c:pt>
                <c:pt idx="4222">
                  <c:v>2.5931705013359498</c:v>
                </c:pt>
                <c:pt idx="4223">
                  <c:v>2.5853809284142901</c:v>
                </c:pt>
                <c:pt idx="4224">
                  <c:v>2.5762757348018899</c:v>
                </c:pt>
                <c:pt idx="4225">
                  <c:v>2.5760875748308201</c:v>
                </c:pt>
                <c:pt idx="4226">
                  <c:v>2.5656723065629401</c:v>
                </c:pt>
                <c:pt idx="4227">
                  <c:v>2.5680115699638701</c:v>
                </c:pt>
                <c:pt idx="4228">
                  <c:v>2.5484714348584601</c:v>
                </c:pt>
                <c:pt idx="4229">
                  <c:v>2.53896916082422</c:v>
                </c:pt>
                <c:pt idx="4230">
                  <c:v>2.5320727572410702</c:v>
                </c:pt>
                <c:pt idx="4231">
                  <c:v>2.5218877369630599</c:v>
                </c:pt>
                <c:pt idx="4232">
                  <c:v>2.5233158238706301</c:v>
                </c:pt>
                <c:pt idx="4233">
                  <c:v>2.5110705657454599</c:v>
                </c:pt>
                <c:pt idx="4234">
                  <c:v>2.5086925247225098</c:v>
                </c:pt>
                <c:pt idx="4235">
                  <c:v>2.49777769548127</c:v>
                </c:pt>
                <c:pt idx="4236">
                  <c:v>2.4851650947423498</c:v>
                </c:pt>
                <c:pt idx="4237">
                  <c:v>2.4804883004608902</c:v>
                </c:pt>
                <c:pt idx="4238">
                  <c:v>2.47258536694775</c:v>
                </c:pt>
                <c:pt idx="4239">
                  <c:v>2.4602266062217799</c:v>
                </c:pt>
                <c:pt idx="4240">
                  <c:v>2.4488155602188999</c:v>
                </c:pt>
                <c:pt idx="4241">
                  <c:v>2.4456633203731699</c:v>
                </c:pt>
                <c:pt idx="4242">
                  <c:v>2.4405168318396502</c:v>
                </c:pt>
                <c:pt idx="4243">
                  <c:v>2.43627094419297</c:v>
                </c:pt>
                <c:pt idx="4244">
                  <c:v>2.4337086903652598</c:v>
                </c:pt>
                <c:pt idx="4245">
                  <c:v>2.4241445509130402</c:v>
                </c:pt>
                <c:pt idx="4246">
                  <c:v>2.4125002479267601</c:v>
                </c:pt>
                <c:pt idx="4247">
                  <c:v>2.41185924939853</c:v>
                </c:pt>
                <c:pt idx="4248">
                  <c:v>2.4021354382432198</c:v>
                </c:pt>
                <c:pt idx="4249">
                  <c:v>2.3941310103471101</c:v>
                </c:pt>
                <c:pt idx="4250">
                  <c:v>2.3899440297985399</c:v>
                </c:pt>
                <c:pt idx="4251">
                  <c:v>2.3814676155895498</c:v>
                </c:pt>
                <c:pt idx="4252">
                  <c:v>2.3768942174839198</c:v>
                </c:pt>
                <c:pt idx="4253">
                  <c:v>2.3763863246175001</c:v>
                </c:pt>
                <c:pt idx="4254">
                  <c:v>2.3577154632527502</c:v>
                </c:pt>
                <c:pt idx="4255">
                  <c:v>2.3486703913290499</c:v>
                </c:pt>
                <c:pt idx="4256">
                  <c:v>2.3425456585945001</c:v>
                </c:pt>
                <c:pt idx="4257">
                  <c:v>2.3381021741309902</c:v>
                </c:pt>
                <c:pt idx="4258">
                  <c:v>2.3317125344507499</c:v>
                </c:pt>
                <c:pt idx="4259">
                  <c:v>2.3212714812576798</c:v>
                </c:pt>
                <c:pt idx="4260">
                  <c:v>2.3156439113189702</c:v>
                </c:pt>
                <c:pt idx="4261">
                  <c:v>2.3135827002344</c:v>
                </c:pt>
                <c:pt idx="4262">
                  <c:v>2.30773679810898</c:v>
                </c:pt>
                <c:pt idx="4263">
                  <c:v>2.2944551926077499</c:v>
                </c:pt>
                <c:pt idx="4264">
                  <c:v>2.28168143185983</c:v>
                </c:pt>
                <c:pt idx="4265">
                  <c:v>2.2781364264055899</c:v>
                </c:pt>
                <c:pt idx="4266">
                  <c:v>2.2734276328201202</c:v>
                </c:pt>
                <c:pt idx="4267">
                  <c:v>2.2699523624248701</c:v>
                </c:pt>
                <c:pt idx="4268">
                  <c:v>2.2554185528739699</c:v>
                </c:pt>
                <c:pt idx="4269">
                  <c:v>2.2506525075699702</c:v>
                </c:pt>
                <c:pt idx="4270">
                  <c:v>2.2456084294238101</c:v>
                </c:pt>
                <c:pt idx="4271">
                  <c:v>2.23936747882966</c:v>
                </c:pt>
                <c:pt idx="4272">
                  <c:v>2.2302929013464898</c:v>
                </c:pt>
                <c:pt idx="4273">
                  <c:v>2.2267810594242001</c:v>
                </c:pt>
                <c:pt idx="4274">
                  <c:v>2.21786308051216</c:v>
                </c:pt>
                <c:pt idx="4275">
                  <c:v>2.2100122623490299</c:v>
                </c:pt>
                <c:pt idx="4276">
                  <c:v>2.20336055083953</c:v>
                </c:pt>
                <c:pt idx="4277">
                  <c:v>2.19938496345832</c:v>
                </c:pt>
                <c:pt idx="4278">
                  <c:v>2.1914384178083002</c:v>
                </c:pt>
                <c:pt idx="4279">
                  <c:v>2.1839316842249001</c:v>
                </c:pt>
                <c:pt idx="4280">
                  <c:v>2.1774378715671898</c:v>
                </c:pt>
                <c:pt idx="4281">
                  <c:v>2.1710057589748999</c:v>
                </c:pt>
                <c:pt idx="4282">
                  <c:v>2.1602015079105401</c:v>
                </c:pt>
                <c:pt idx="4283">
                  <c:v>2.1594387221389901</c:v>
                </c:pt>
                <c:pt idx="4284">
                  <c:v>2.14788375056456</c:v>
                </c:pt>
                <c:pt idx="4285">
                  <c:v>2.1368533577120599</c:v>
                </c:pt>
                <c:pt idx="4286">
                  <c:v>2.12919942043106</c:v>
                </c:pt>
                <c:pt idx="4287">
                  <c:v>2.1293022003764799</c:v>
                </c:pt>
                <c:pt idx="4288">
                  <c:v>2.1216009214398102</c:v>
                </c:pt>
                <c:pt idx="4289">
                  <c:v>2.1090526115243802</c:v>
                </c:pt>
                <c:pt idx="4290">
                  <c:v>2.10077946207088</c:v>
                </c:pt>
                <c:pt idx="4291">
                  <c:v>2.0981003817345401</c:v>
                </c:pt>
                <c:pt idx="4292">
                  <c:v>2.0913453379723701</c:v>
                </c:pt>
                <c:pt idx="4293">
                  <c:v>2.0874985132062802</c:v>
                </c:pt>
                <c:pt idx="4294">
                  <c:v>2.0847987087139899</c:v>
                </c:pt>
                <c:pt idx="4295">
                  <c:v>2.0708748956510199</c:v>
                </c:pt>
                <c:pt idx="4296">
                  <c:v>2.0582535886497699</c:v>
                </c:pt>
                <c:pt idx="4297">
                  <c:v>2.0547227790466298</c:v>
                </c:pt>
                <c:pt idx="4298">
                  <c:v>2.0465982064719901</c:v>
                </c:pt>
                <c:pt idx="4299">
                  <c:v>2.0446639828231001</c:v>
                </c:pt>
                <c:pt idx="4300">
                  <c:v>2.04331375996632</c:v>
                </c:pt>
                <c:pt idx="4301">
                  <c:v>2.0311467198603199</c:v>
                </c:pt>
                <c:pt idx="4302">
                  <c:v>2.0208819993998</c:v>
                </c:pt>
                <c:pt idx="4303">
                  <c:v>2.0063584166058401</c:v>
                </c:pt>
                <c:pt idx="4304">
                  <c:v>2.0054066003096001</c:v>
                </c:pt>
                <c:pt idx="4305">
                  <c:v>1.9989910513767799</c:v>
                </c:pt>
                <c:pt idx="4306">
                  <c:v>1.9940464826239801</c:v>
                </c:pt>
                <c:pt idx="4307">
                  <c:v>1.9861754431023899</c:v>
                </c:pt>
                <c:pt idx="4308">
                  <c:v>1.98058984192284</c:v>
                </c:pt>
                <c:pt idx="4309">
                  <c:v>1.977309652799</c:v>
                </c:pt>
                <c:pt idx="4310">
                  <c:v>1.97023456191601</c:v>
                </c:pt>
                <c:pt idx="4311">
                  <c:v>1.96132337833913</c:v>
                </c:pt>
                <c:pt idx="4312">
                  <c:v>1.9542985114532401</c:v>
                </c:pt>
                <c:pt idx="4313">
                  <c:v>1.9518164991953499</c:v>
                </c:pt>
                <c:pt idx="4314">
                  <c:v>1.9426892035441701</c:v>
                </c:pt>
                <c:pt idx="4315">
                  <c:v>1.93683596881512</c:v>
                </c:pt>
                <c:pt idx="4316">
                  <c:v>1.9319001156756499</c:v>
                </c:pt>
                <c:pt idx="4317">
                  <c:v>1.9225382691404</c:v>
                </c:pt>
                <c:pt idx="4318">
                  <c:v>1.9155452029776801</c:v>
                </c:pt>
                <c:pt idx="4319">
                  <c:v>1.9060459903557101</c:v>
                </c:pt>
                <c:pt idx="4320">
                  <c:v>1.9034499794975099</c:v>
                </c:pt>
                <c:pt idx="4321">
                  <c:v>1.89498107609481</c:v>
                </c:pt>
                <c:pt idx="4322">
                  <c:v>1.8930406020394901</c:v>
                </c:pt>
                <c:pt idx="4323">
                  <c:v>1.88372364422368</c:v>
                </c:pt>
                <c:pt idx="4324">
                  <c:v>1.87586271964583</c:v>
                </c:pt>
                <c:pt idx="4325">
                  <c:v>1.8754792381891301</c:v>
                </c:pt>
                <c:pt idx="4326">
                  <c:v>1.8607599784140301</c:v>
                </c:pt>
                <c:pt idx="4327">
                  <c:v>1.85529521541023</c:v>
                </c:pt>
                <c:pt idx="4328">
                  <c:v>1.8538388805700201</c:v>
                </c:pt>
                <c:pt idx="4329">
                  <c:v>1.8489745339496799</c:v>
                </c:pt>
                <c:pt idx="4330">
                  <c:v>1.8396001072332</c:v>
                </c:pt>
                <c:pt idx="4331">
                  <c:v>1.83469419752879</c:v>
                </c:pt>
                <c:pt idx="4332">
                  <c:v>1.8254569699493299</c:v>
                </c:pt>
                <c:pt idx="4333">
                  <c:v>1.8208512802322401</c:v>
                </c:pt>
                <c:pt idx="4334">
                  <c:v>1.81468938559327</c:v>
                </c:pt>
                <c:pt idx="4335">
                  <c:v>1.81120157100444</c:v>
                </c:pt>
                <c:pt idx="4336">
                  <c:v>1.8041092930321001</c:v>
                </c:pt>
                <c:pt idx="4337">
                  <c:v>1.7973237778835101</c:v>
                </c:pt>
                <c:pt idx="4338">
                  <c:v>1.7903601218849501</c:v>
                </c:pt>
                <c:pt idx="4339">
                  <c:v>1.78798303984208</c:v>
                </c:pt>
                <c:pt idx="4340">
                  <c:v>1.77588798892341</c:v>
                </c:pt>
                <c:pt idx="4341">
                  <c:v>1.7680601935023701</c:v>
                </c:pt>
                <c:pt idx="4342">
                  <c:v>1.76584524042476</c:v>
                </c:pt>
                <c:pt idx="4343">
                  <c:v>1.7570793558212501</c:v>
                </c:pt>
                <c:pt idx="4344">
                  <c:v>1.75321345270119</c:v>
                </c:pt>
                <c:pt idx="4345">
                  <c:v>1.7436745487754499</c:v>
                </c:pt>
                <c:pt idx="4346">
                  <c:v>1.7364364979739699</c:v>
                </c:pt>
                <c:pt idx="4347">
                  <c:v>1.7298878752912901</c:v>
                </c:pt>
                <c:pt idx="4348">
                  <c:v>1.7261208622059501</c:v>
                </c:pt>
                <c:pt idx="4349">
                  <c:v>1.7218258191712801</c:v>
                </c:pt>
                <c:pt idx="4350">
                  <c:v>1.71489428507332</c:v>
                </c:pt>
                <c:pt idx="4351">
                  <c:v>1.6974926366260901</c:v>
                </c:pt>
                <c:pt idx="4352">
                  <c:v>1.6960274030729801</c:v>
                </c:pt>
                <c:pt idx="4353">
                  <c:v>1.69320165000366</c:v>
                </c:pt>
                <c:pt idx="4354">
                  <c:v>1.6883428499436299</c:v>
                </c:pt>
                <c:pt idx="4355">
                  <c:v>1.68041475941457</c:v>
                </c:pt>
                <c:pt idx="4356">
                  <c:v>1.67551015292423</c:v>
                </c:pt>
                <c:pt idx="4357">
                  <c:v>1.66477900265554</c:v>
                </c:pt>
                <c:pt idx="4358">
                  <c:v>1.6670710082676901</c:v>
                </c:pt>
                <c:pt idx="4359">
                  <c:v>1.6569968417507199</c:v>
                </c:pt>
                <c:pt idx="4360">
                  <c:v>1.65310764462102</c:v>
                </c:pt>
                <c:pt idx="4361">
                  <c:v>1.64898295569555</c:v>
                </c:pt>
                <c:pt idx="4362">
                  <c:v>1.6350466630970699</c:v>
                </c:pt>
                <c:pt idx="4363">
                  <c:v>1.6310799974922201</c:v>
                </c:pt>
                <c:pt idx="4364">
                  <c:v>1.62549220096705</c:v>
                </c:pt>
                <c:pt idx="4365">
                  <c:v>1.6210928027031699</c:v>
                </c:pt>
                <c:pt idx="4366">
                  <c:v>1.61760756686598</c:v>
                </c:pt>
                <c:pt idx="4367">
                  <c:v>1.6095149637770401</c:v>
                </c:pt>
                <c:pt idx="4368">
                  <c:v>1.60225539942794</c:v>
                </c:pt>
                <c:pt idx="4369">
                  <c:v>1.59768772455317</c:v>
                </c:pt>
                <c:pt idx="4370">
                  <c:v>1.5901643278134501</c:v>
                </c:pt>
                <c:pt idx="4371">
                  <c:v>1.5835373077975901</c:v>
                </c:pt>
                <c:pt idx="4372">
                  <c:v>1.57989662644982</c:v>
                </c:pt>
                <c:pt idx="4373">
                  <c:v>1.5752263147541801</c:v>
                </c:pt>
                <c:pt idx="4374">
                  <c:v>1.5672413584803</c:v>
                </c:pt>
                <c:pt idx="4375">
                  <c:v>1.55678369196084</c:v>
                </c:pt>
                <c:pt idx="4376">
                  <c:v>1.55895857214012</c:v>
                </c:pt>
                <c:pt idx="4377">
                  <c:v>1.5564505965775399</c:v>
                </c:pt>
                <c:pt idx="4378">
                  <c:v>1.5446243517217699</c:v>
                </c:pt>
                <c:pt idx="4379">
                  <c:v>1.5343404295421801</c:v>
                </c:pt>
                <c:pt idx="4380">
                  <c:v>1.53495928644183</c:v>
                </c:pt>
                <c:pt idx="4381">
                  <c:v>1.53411881718413</c:v>
                </c:pt>
                <c:pt idx="4382">
                  <c:v>1.51404142806366</c:v>
                </c:pt>
                <c:pt idx="4383">
                  <c:v>1.51037459866316</c:v>
                </c:pt>
                <c:pt idx="4384">
                  <c:v>1.5059095310213499</c:v>
                </c:pt>
                <c:pt idx="4385">
                  <c:v>1.49991459317272</c:v>
                </c:pt>
                <c:pt idx="4386">
                  <c:v>1.49664469656779</c:v>
                </c:pt>
                <c:pt idx="4387">
                  <c:v>1.4918748718893999</c:v>
                </c:pt>
                <c:pt idx="4388">
                  <c:v>1.4878034450506099</c:v>
                </c:pt>
                <c:pt idx="4389">
                  <c:v>1.47587233538541</c:v>
                </c:pt>
                <c:pt idx="4390">
                  <c:v>1.4748757063832101</c:v>
                </c:pt>
                <c:pt idx="4391">
                  <c:v>1.46977643552753</c:v>
                </c:pt>
                <c:pt idx="4392">
                  <c:v>1.4641342132320101</c:v>
                </c:pt>
                <c:pt idx="4393">
                  <c:v>1.4578753645482001</c:v>
                </c:pt>
                <c:pt idx="4394">
                  <c:v>1.4496353458100899</c:v>
                </c:pt>
                <c:pt idx="4395">
                  <c:v>1.44813367167744</c:v>
                </c:pt>
                <c:pt idx="4396">
                  <c:v>1.4377574380229201</c:v>
                </c:pt>
                <c:pt idx="4397">
                  <c:v>1.43005099549144</c:v>
                </c:pt>
                <c:pt idx="4398">
                  <c:v>1.4275765015164501</c:v>
                </c:pt>
                <c:pt idx="4399">
                  <c:v>1.41962207827216</c:v>
                </c:pt>
                <c:pt idx="4400">
                  <c:v>1.41287151239445</c:v>
                </c:pt>
                <c:pt idx="4401">
                  <c:v>1.4092367526684899</c:v>
                </c:pt>
                <c:pt idx="4402">
                  <c:v>1.4056227483359101</c:v>
                </c:pt>
                <c:pt idx="4403">
                  <c:v>1.4012605486205401</c:v>
                </c:pt>
                <c:pt idx="4404">
                  <c:v>1.39030140629063</c:v>
                </c:pt>
                <c:pt idx="4405">
                  <c:v>1.3883646723816001</c:v>
                </c:pt>
                <c:pt idx="4406">
                  <c:v>1.37982516457218</c:v>
                </c:pt>
                <c:pt idx="4407">
                  <c:v>1.36936301771228</c:v>
                </c:pt>
                <c:pt idx="4408">
                  <c:v>1.36667877145936</c:v>
                </c:pt>
                <c:pt idx="4409">
                  <c:v>1.3629427795055999</c:v>
                </c:pt>
                <c:pt idx="4410">
                  <c:v>1.36110097724279</c:v>
                </c:pt>
                <c:pt idx="4411">
                  <c:v>1.3580008627395299</c:v>
                </c:pt>
                <c:pt idx="4412">
                  <c:v>1.3468900249713101</c:v>
                </c:pt>
                <c:pt idx="4413">
                  <c:v>1.33744764088219</c:v>
                </c:pt>
                <c:pt idx="4414">
                  <c:v>1.3352924884634301</c:v>
                </c:pt>
                <c:pt idx="4415">
                  <c:v>1.3334369957218399</c:v>
                </c:pt>
                <c:pt idx="4416">
                  <c:v>1.3305555431790199</c:v>
                </c:pt>
                <c:pt idx="4417">
                  <c:v>1.31835104749862</c:v>
                </c:pt>
                <c:pt idx="4418">
                  <c:v>1.3139335286201299</c:v>
                </c:pt>
                <c:pt idx="4419">
                  <c:v>1.31071756160526</c:v>
                </c:pt>
                <c:pt idx="4420">
                  <c:v>1.3040811494022799</c:v>
                </c:pt>
                <c:pt idx="4421">
                  <c:v>1.2983689496165201</c:v>
                </c:pt>
                <c:pt idx="4422">
                  <c:v>1.2918809447700099</c:v>
                </c:pt>
                <c:pt idx="4423">
                  <c:v>1.2864825838381599</c:v>
                </c:pt>
                <c:pt idx="4424">
                  <c:v>1.2834800333374601</c:v>
                </c:pt>
                <c:pt idx="4425">
                  <c:v>1.27617321119386</c:v>
                </c:pt>
                <c:pt idx="4426">
                  <c:v>1.27364105383982</c:v>
                </c:pt>
                <c:pt idx="4427">
                  <c:v>1.26575375847838</c:v>
                </c:pt>
                <c:pt idx="4428">
                  <c:v>1.2632560039290801</c:v>
                </c:pt>
                <c:pt idx="4429">
                  <c:v>1.2573866431187299</c:v>
                </c:pt>
                <c:pt idx="4430">
                  <c:v>1.2484001047969699</c:v>
                </c:pt>
                <c:pt idx="4431">
                  <c:v>1.2422789836854899</c:v>
                </c:pt>
                <c:pt idx="4432">
                  <c:v>1.2406581820637801</c:v>
                </c:pt>
                <c:pt idx="4433">
                  <c:v>1.2304244294278299</c:v>
                </c:pt>
                <c:pt idx="4434">
                  <c:v>1.2250308632720199</c:v>
                </c:pt>
                <c:pt idx="4435">
                  <c:v>1.21897661120389</c:v>
                </c:pt>
                <c:pt idx="4436">
                  <c:v>1.21371362040513</c:v>
                </c:pt>
                <c:pt idx="4437">
                  <c:v>1.21068052492464</c:v>
                </c:pt>
                <c:pt idx="4438">
                  <c:v>1.20516585972929</c:v>
                </c:pt>
                <c:pt idx="4439">
                  <c:v>1.1978985833940099</c:v>
                </c:pt>
                <c:pt idx="4440">
                  <c:v>1.19479134140892</c:v>
                </c:pt>
                <c:pt idx="4441">
                  <c:v>1.1876657521829499</c:v>
                </c:pt>
                <c:pt idx="4442">
                  <c:v>1.1835218069372699</c:v>
                </c:pt>
                <c:pt idx="4443">
                  <c:v>1.17875525514951</c:v>
                </c:pt>
                <c:pt idx="4444">
                  <c:v>1.17388048594846</c:v>
                </c:pt>
                <c:pt idx="4445">
                  <c:v>1.1663906409043201</c:v>
                </c:pt>
                <c:pt idx="4446">
                  <c:v>1.16455909644264</c:v>
                </c:pt>
                <c:pt idx="4447">
                  <c:v>1.15649835806211</c:v>
                </c:pt>
                <c:pt idx="4448">
                  <c:v>1.15284902389393</c:v>
                </c:pt>
                <c:pt idx="4449">
                  <c:v>1.1445507013904599</c:v>
                </c:pt>
                <c:pt idx="4450">
                  <c:v>1.1432276400356001</c:v>
                </c:pt>
                <c:pt idx="4451">
                  <c:v>1.13673809965287</c:v>
                </c:pt>
                <c:pt idx="4452">
                  <c:v>1.1304413512373299</c:v>
                </c:pt>
                <c:pt idx="4453">
                  <c:v>1.12944088873811</c:v>
                </c:pt>
                <c:pt idx="4454">
                  <c:v>1.12139024395926</c:v>
                </c:pt>
                <c:pt idx="4455">
                  <c:v>1.11232114806569</c:v>
                </c:pt>
                <c:pt idx="4456">
                  <c:v>1.10999138752897</c:v>
                </c:pt>
                <c:pt idx="4457">
                  <c:v>1.1010588957780001</c:v>
                </c:pt>
                <c:pt idx="4458">
                  <c:v>1.09918697889497</c:v>
                </c:pt>
                <c:pt idx="4459">
                  <c:v>1.1002024223423501</c:v>
                </c:pt>
                <c:pt idx="4460">
                  <c:v>1.0883763954012999</c:v>
                </c:pt>
                <c:pt idx="4461">
                  <c:v>1.08240171015348</c:v>
                </c:pt>
                <c:pt idx="4462">
                  <c:v>1.07877108072246</c:v>
                </c:pt>
                <c:pt idx="4463">
                  <c:v>1.0740536500095501</c:v>
                </c:pt>
                <c:pt idx="4464">
                  <c:v>1.06881712163159</c:v>
                </c:pt>
                <c:pt idx="4465">
                  <c:v>1.0647492752469401</c:v>
                </c:pt>
                <c:pt idx="4466">
                  <c:v>1.05868941114005</c:v>
                </c:pt>
                <c:pt idx="4467">
                  <c:v>1.0526030521707599</c:v>
                </c:pt>
                <c:pt idx="4468">
                  <c:v>1.05214209814833</c:v>
                </c:pt>
                <c:pt idx="4469">
                  <c:v>1.04395931860504</c:v>
                </c:pt>
                <c:pt idx="4470">
                  <c:v>1.03313949191786</c:v>
                </c:pt>
                <c:pt idx="4471">
                  <c:v>1.03062015193781</c:v>
                </c:pt>
                <c:pt idx="4472">
                  <c:v>1.0273026438367701</c:v>
                </c:pt>
                <c:pt idx="4473">
                  <c:v>1.02541202415856</c:v>
                </c:pt>
                <c:pt idx="4474">
                  <c:v>1.01349676315221</c:v>
                </c:pt>
                <c:pt idx="4475">
                  <c:v>1.0081364042485801</c:v>
                </c:pt>
                <c:pt idx="4476">
                  <c:v>1.00479263126578</c:v>
                </c:pt>
                <c:pt idx="4477">
                  <c:v>1.0011062239759601</c:v>
                </c:pt>
                <c:pt idx="4478">
                  <c:v>0.99778176667582197</c:v>
                </c:pt>
                <c:pt idx="4479">
                  <c:v>0.98599973724006895</c:v>
                </c:pt>
                <c:pt idx="4480">
                  <c:v>0.98300028236403902</c:v>
                </c:pt>
                <c:pt idx="4481">
                  <c:v>0.97760526810677295</c:v>
                </c:pt>
                <c:pt idx="4482">
                  <c:v>0.97741476088845403</c:v>
                </c:pt>
                <c:pt idx="4483">
                  <c:v>0.969917204779293</c:v>
                </c:pt>
                <c:pt idx="4484">
                  <c:v>0.96543049374076995</c:v>
                </c:pt>
                <c:pt idx="4485">
                  <c:v>0.960257525217594</c:v>
                </c:pt>
                <c:pt idx="4486">
                  <c:v>0.95440358774443701</c:v>
                </c:pt>
                <c:pt idx="4487">
                  <c:v>0.94967957043811302</c:v>
                </c:pt>
                <c:pt idx="4488">
                  <c:v>0.94254532791555701</c:v>
                </c:pt>
                <c:pt idx="4489">
                  <c:v>0.94023611202135404</c:v>
                </c:pt>
                <c:pt idx="4490">
                  <c:v>0.93517249732822105</c:v>
                </c:pt>
                <c:pt idx="4491">
                  <c:v>0.928500741600363</c:v>
                </c:pt>
                <c:pt idx="4492">
                  <c:v>0.92573961409047001</c:v>
                </c:pt>
                <c:pt idx="4493">
                  <c:v>0.917225377713632</c:v>
                </c:pt>
                <c:pt idx="4494">
                  <c:v>0.915261572925816</c:v>
                </c:pt>
                <c:pt idx="4495">
                  <c:v>0.91272258710767995</c:v>
                </c:pt>
                <c:pt idx="4496">
                  <c:v>0.909361923546669</c:v>
                </c:pt>
                <c:pt idx="4497">
                  <c:v>0.90161216624961704</c:v>
                </c:pt>
                <c:pt idx="4498">
                  <c:v>0.894920322695963</c:v>
                </c:pt>
                <c:pt idx="4499">
                  <c:v>0.89171374296773098</c:v>
                </c:pt>
                <c:pt idx="4500">
                  <c:v>0.88527240177675903</c:v>
                </c:pt>
                <c:pt idx="4501">
                  <c:v>0.87853195152555497</c:v>
                </c:pt>
                <c:pt idx="4502">
                  <c:v>0.87544103477197799</c:v>
                </c:pt>
                <c:pt idx="4503">
                  <c:v>0.87131579187507802</c:v>
                </c:pt>
                <c:pt idx="4504">
                  <c:v>0.86771283407684796</c:v>
                </c:pt>
                <c:pt idx="4505">
                  <c:v>0.85954467429613401</c:v>
                </c:pt>
                <c:pt idx="4506">
                  <c:v>0.854706196498353</c:v>
                </c:pt>
                <c:pt idx="4507">
                  <c:v>0.85158313541424602</c:v>
                </c:pt>
                <c:pt idx="4508">
                  <c:v>0.84583580172903305</c:v>
                </c:pt>
                <c:pt idx="4509">
                  <c:v>0.84247531902133699</c:v>
                </c:pt>
                <c:pt idx="4510">
                  <c:v>0.83720458907394701</c:v>
                </c:pt>
                <c:pt idx="4511">
                  <c:v>0.83535342078072505</c:v>
                </c:pt>
                <c:pt idx="4512">
                  <c:v>0.83045723257589898</c:v>
                </c:pt>
                <c:pt idx="4513">
                  <c:v>0.82179790304576705</c:v>
                </c:pt>
                <c:pt idx="4514">
                  <c:v>0.81811734806257097</c:v>
                </c:pt>
                <c:pt idx="4515">
                  <c:v>0.81386956772763597</c:v>
                </c:pt>
                <c:pt idx="4516">
                  <c:v>0.811151675680018</c:v>
                </c:pt>
                <c:pt idx="4517">
                  <c:v>0.80506690636191403</c:v>
                </c:pt>
                <c:pt idx="4518">
                  <c:v>0.80114007915817198</c:v>
                </c:pt>
                <c:pt idx="4519">
                  <c:v>0.79773514176106197</c:v>
                </c:pt>
                <c:pt idx="4520">
                  <c:v>0.78786054548412598</c:v>
                </c:pt>
                <c:pt idx="4521">
                  <c:v>0.78512914954589497</c:v>
                </c:pt>
                <c:pt idx="4522">
                  <c:v>0.78193096411325902</c:v>
                </c:pt>
                <c:pt idx="4523">
                  <c:v>0.777121859924919</c:v>
                </c:pt>
                <c:pt idx="4524">
                  <c:v>0.76994320793747595</c:v>
                </c:pt>
                <c:pt idx="4525">
                  <c:v>0.76394730254477705</c:v>
                </c:pt>
                <c:pt idx="4526">
                  <c:v>0.76100956373345297</c:v>
                </c:pt>
                <c:pt idx="4527">
                  <c:v>0.75496263931961205</c:v>
                </c:pt>
                <c:pt idx="4528">
                  <c:v>0.75072441812227297</c:v>
                </c:pt>
                <c:pt idx="4529">
                  <c:v>0.74976579114602604</c:v>
                </c:pt>
                <c:pt idx="4530">
                  <c:v>0.74347353392405502</c:v>
                </c:pt>
                <c:pt idx="4531">
                  <c:v>0.73441844718501603</c:v>
                </c:pt>
                <c:pt idx="4532">
                  <c:v>0.73165875053156304</c:v>
                </c:pt>
                <c:pt idx="4533">
                  <c:v>0.72713210996788702</c:v>
                </c:pt>
                <c:pt idx="4534">
                  <c:v>0.72466958129221004</c:v>
                </c:pt>
                <c:pt idx="4535">
                  <c:v>0.72141546313488603</c:v>
                </c:pt>
                <c:pt idx="4536">
                  <c:v>0.71532471462050695</c:v>
                </c:pt>
                <c:pt idx="4537">
                  <c:v>0.70697234097425099</c:v>
                </c:pt>
                <c:pt idx="4538">
                  <c:v>0.70496798635545999</c:v>
                </c:pt>
                <c:pt idx="4539">
                  <c:v>0.70093358092275904</c:v>
                </c:pt>
                <c:pt idx="4540">
                  <c:v>0.69704833127791899</c:v>
                </c:pt>
                <c:pt idx="4541">
                  <c:v>0.69423554592994297</c:v>
                </c:pt>
                <c:pt idx="4542">
                  <c:v>0.68590714524199503</c:v>
                </c:pt>
                <c:pt idx="4543">
                  <c:v>0.683936681969746</c:v>
                </c:pt>
                <c:pt idx="4544">
                  <c:v>0.67811245195061598</c:v>
                </c:pt>
                <c:pt idx="4545">
                  <c:v>0.67392213689753599</c:v>
                </c:pt>
                <c:pt idx="4546">
                  <c:v>0.669607732276986</c:v>
                </c:pt>
                <c:pt idx="4547">
                  <c:v>0.66642273992332501</c:v>
                </c:pt>
                <c:pt idx="4548">
                  <c:v>0.66112074191060999</c:v>
                </c:pt>
                <c:pt idx="4549">
                  <c:v>0.65700146067626997</c:v>
                </c:pt>
                <c:pt idx="4550">
                  <c:v>0.65099281235788498</c:v>
                </c:pt>
                <c:pt idx="4551">
                  <c:v>0.64630365542372403</c:v>
                </c:pt>
                <c:pt idx="4552">
                  <c:v>0.64397722264354496</c:v>
                </c:pt>
                <c:pt idx="4553">
                  <c:v>0.63724346976503798</c:v>
                </c:pt>
                <c:pt idx="4554">
                  <c:v>0.63332542450535501</c:v>
                </c:pt>
                <c:pt idx="4555">
                  <c:v>0.62938096217151895</c:v>
                </c:pt>
                <c:pt idx="4556">
                  <c:v>0.626475609329604</c:v>
                </c:pt>
                <c:pt idx="4557">
                  <c:v>0.62329608856214902</c:v>
                </c:pt>
                <c:pt idx="4558">
                  <c:v>0.61724122124510905</c:v>
                </c:pt>
                <c:pt idx="4559">
                  <c:v>0.60885674703604997</c:v>
                </c:pt>
                <c:pt idx="4560">
                  <c:v>0.60448981938590995</c:v>
                </c:pt>
                <c:pt idx="4561">
                  <c:v>0.60053658153740896</c:v>
                </c:pt>
                <c:pt idx="4562">
                  <c:v>0.59686327975272102</c:v>
                </c:pt>
                <c:pt idx="4563">
                  <c:v>0.59240163176437</c:v>
                </c:pt>
                <c:pt idx="4564">
                  <c:v>0.58808732451483303</c:v>
                </c:pt>
                <c:pt idx="4565">
                  <c:v>0.58673407204904404</c:v>
                </c:pt>
                <c:pt idx="4566">
                  <c:v>0.57845263215360898</c:v>
                </c:pt>
                <c:pt idx="4567">
                  <c:v>0.57390533465149696</c:v>
                </c:pt>
                <c:pt idx="4568">
                  <c:v>0.57179526109601397</c:v>
                </c:pt>
                <c:pt idx="4569">
                  <c:v>0.56667582294962104</c:v>
                </c:pt>
                <c:pt idx="4570">
                  <c:v>0.56360757726958799</c:v>
                </c:pt>
                <c:pt idx="4571">
                  <c:v>0.55959458518342398</c:v>
                </c:pt>
                <c:pt idx="4572">
                  <c:v>0.55482130766446003</c:v>
                </c:pt>
                <c:pt idx="4573">
                  <c:v>0.54937661457558795</c:v>
                </c:pt>
                <c:pt idx="4574">
                  <c:v>0.54712501406772795</c:v>
                </c:pt>
                <c:pt idx="4575">
                  <c:v>0.54250363678394398</c:v>
                </c:pt>
                <c:pt idx="4576">
                  <c:v>0.53485452491150298</c:v>
                </c:pt>
                <c:pt idx="4577">
                  <c:v>0.53229370259463504</c:v>
                </c:pt>
                <c:pt idx="4578">
                  <c:v>0.52778719446942202</c:v>
                </c:pt>
                <c:pt idx="4579">
                  <c:v>0.52473084855942198</c:v>
                </c:pt>
                <c:pt idx="4580">
                  <c:v>0.51856628749175004</c:v>
                </c:pt>
                <c:pt idx="4581">
                  <c:v>0.51525013518566598</c:v>
                </c:pt>
                <c:pt idx="4582">
                  <c:v>0.51149979272291601</c:v>
                </c:pt>
                <c:pt idx="4583">
                  <c:v>0.50606170006082996</c:v>
                </c:pt>
                <c:pt idx="4584">
                  <c:v>0.50187872194552297</c:v>
                </c:pt>
                <c:pt idx="4585">
                  <c:v>0.49816618236839899</c:v>
                </c:pt>
                <c:pt idx="4586">
                  <c:v>0.49575989840403301</c:v>
                </c:pt>
                <c:pt idx="4587">
                  <c:v>0.48939787976161703</c:v>
                </c:pt>
                <c:pt idx="4588">
                  <c:v>0.48514903960088002</c:v>
                </c:pt>
                <c:pt idx="4589">
                  <c:v>0.48041861857365697</c:v>
                </c:pt>
                <c:pt idx="4590">
                  <c:v>0.47838735550036199</c:v>
                </c:pt>
                <c:pt idx="4591">
                  <c:v>0.46956177582702802</c:v>
                </c:pt>
                <c:pt idx="4592">
                  <c:v>0.46668451772017899</c:v>
                </c:pt>
                <c:pt idx="4593">
                  <c:v>0.46428404062495399</c:v>
                </c:pt>
                <c:pt idx="4594">
                  <c:v>0.46181260222300502</c:v>
                </c:pt>
                <c:pt idx="4595">
                  <c:v>0.45583311313452901</c:v>
                </c:pt>
                <c:pt idx="4596">
                  <c:v>0.45185574614601898</c:v>
                </c:pt>
                <c:pt idx="4597">
                  <c:v>0.44678878712686798</c:v>
                </c:pt>
                <c:pt idx="4598">
                  <c:v>0.44131550989842699</c:v>
                </c:pt>
                <c:pt idx="4599">
                  <c:v>0.43815536036262998</c:v>
                </c:pt>
                <c:pt idx="4600">
                  <c:v>0.43410045959987997</c:v>
                </c:pt>
                <c:pt idx="4601">
                  <c:v>0.43144311728335799</c:v>
                </c:pt>
                <c:pt idx="4602">
                  <c:v>0.42676959833047301</c:v>
                </c:pt>
                <c:pt idx="4603">
                  <c:v>0.42119983424603802</c:v>
                </c:pt>
                <c:pt idx="4604">
                  <c:v>0.41852097989838</c:v>
                </c:pt>
                <c:pt idx="4605">
                  <c:v>0.41267296423284899</c:v>
                </c:pt>
                <c:pt idx="4606">
                  <c:v>0.40924829367887799</c:v>
                </c:pt>
                <c:pt idx="4607">
                  <c:v>0.40628650377701298</c:v>
                </c:pt>
                <c:pt idx="4608">
                  <c:v>0.400351865088241</c:v>
                </c:pt>
                <c:pt idx="4609">
                  <c:v>0.39743501579476698</c:v>
                </c:pt>
                <c:pt idx="4610">
                  <c:v>0.39295179817290499</c:v>
                </c:pt>
                <c:pt idx="4611">
                  <c:v>0.38712393869054701</c:v>
                </c:pt>
                <c:pt idx="4612">
                  <c:v>0.383304628534826</c:v>
                </c:pt>
                <c:pt idx="4613">
                  <c:v>0.37856868646546399</c:v>
                </c:pt>
                <c:pt idx="4614">
                  <c:v>0.375498739743584</c:v>
                </c:pt>
                <c:pt idx="4615">
                  <c:v>0.37029509218981599</c:v>
                </c:pt>
                <c:pt idx="4616">
                  <c:v>0.36612412036029401</c:v>
                </c:pt>
                <c:pt idx="4617">
                  <c:v>0.36214372934963102</c:v>
                </c:pt>
                <c:pt idx="4618">
                  <c:v>0.35798271399667603</c:v>
                </c:pt>
                <c:pt idx="4619">
                  <c:v>0.355774839096969</c:v>
                </c:pt>
                <c:pt idx="4620">
                  <c:v>0.34992646310158099</c:v>
                </c:pt>
                <c:pt idx="4621">
                  <c:v>0.347217433049401</c:v>
                </c:pt>
                <c:pt idx="4622">
                  <c:v>0.34297725809676399</c:v>
                </c:pt>
                <c:pt idx="4623">
                  <c:v>0.338745332114121</c:v>
                </c:pt>
                <c:pt idx="4624">
                  <c:v>0.33474871627447</c:v>
                </c:pt>
                <c:pt idx="4625">
                  <c:v>0.32947713385837302</c:v>
                </c:pt>
                <c:pt idx="4626">
                  <c:v>0.32601380415625197</c:v>
                </c:pt>
                <c:pt idx="4627">
                  <c:v>0.32190363592736498</c:v>
                </c:pt>
                <c:pt idx="4628">
                  <c:v>0.31861377017843401</c:v>
                </c:pt>
                <c:pt idx="4629">
                  <c:v>0.31448658567120802</c:v>
                </c:pt>
                <c:pt idx="4630">
                  <c:v>0.31044517485916401</c:v>
                </c:pt>
                <c:pt idx="4631">
                  <c:v>0.30639640791144102</c:v>
                </c:pt>
                <c:pt idx="4632">
                  <c:v>0.30161631528329202</c:v>
                </c:pt>
                <c:pt idx="4633">
                  <c:v>0.29738477358429299</c:v>
                </c:pt>
                <c:pt idx="4634">
                  <c:v>0.292529706039519</c:v>
                </c:pt>
                <c:pt idx="4635">
                  <c:v>0.28843643462413099</c:v>
                </c:pt>
                <c:pt idx="4636">
                  <c:v>0.28501270810585599</c:v>
                </c:pt>
                <c:pt idx="4637">
                  <c:v>0.28043935591463498</c:v>
                </c:pt>
                <c:pt idx="4638">
                  <c:v>0.27795845355808801</c:v>
                </c:pt>
                <c:pt idx="4639">
                  <c:v>0.27212745003925898</c:v>
                </c:pt>
                <c:pt idx="4640">
                  <c:v>0.268728720520169</c:v>
                </c:pt>
                <c:pt idx="4641">
                  <c:v>0.26561020620357501</c:v>
                </c:pt>
                <c:pt idx="4642">
                  <c:v>0.26186639104255299</c:v>
                </c:pt>
                <c:pt idx="4643">
                  <c:v>0.25638471009008601</c:v>
                </c:pt>
                <c:pt idx="4644">
                  <c:v>0.25429296753527397</c:v>
                </c:pt>
                <c:pt idx="4645">
                  <c:v>0.25007477389077998</c:v>
                </c:pt>
                <c:pt idx="4646">
                  <c:v>0.24514779792097699</c:v>
                </c:pt>
                <c:pt idx="4647">
                  <c:v>0.240946269012041</c:v>
                </c:pt>
                <c:pt idx="4648">
                  <c:v>0.237108314783191</c:v>
                </c:pt>
                <c:pt idx="4649">
                  <c:v>0.232558623983149</c:v>
                </c:pt>
                <c:pt idx="4650">
                  <c:v>0.22905445721343701</c:v>
                </c:pt>
                <c:pt idx="4651">
                  <c:v>0.224643915503001</c:v>
                </c:pt>
                <c:pt idx="4652">
                  <c:v>0.22060317099864701</c:v>
                </c:pt>
                <c:pt idx="4653">
                  <c:v>0.21684805922309699</c:v>
                </c:pt>
                <c:pt idx="4654">
                  <c:v>0.21419567269238499</c:v>
                </c:pt>
                <c:pt idx="4655">
                  <c:v>0.21003355003712501</c:v>
                </c:pt>
                <c:pt idx="4656">
                  <c:v>0.205179866335849</c:v>
                </c:pt>
                <c:pt idx="4657">
                  <c:v>0.201026103524895</c:v>
                </c:pt>
                <c:pt idx="4658">
                  <c:v>0.19731680972035301</c:v>
                </c:pt>
                <c:pt idx="4659">
                  <c:v>0.19294251083490599</c:v>
                </c:pt>
                <c:pt idx="4660">
                  <c:v>0.18905595557573801</c:v>
                </c:pt>
                <c:pt idx="4661">
                  <c:v>0.185325150552892</c:v>
                </c:pt>
                <c:pt idx="4662">
                  <c:v>0.18130293743543999</c:v>
                </c:pt>
                <c:pt idx="4663">
                  <c:v>0.17692100725837301</c:v>
                </c:pt>
                <c:pt idx="4664">
                  <c:v>0.17273176909194299</c:v>
                </c:pt>
                <c:pt idx="4665">
                  <c:v>0.16911540098489</c:v>
                </c:pt>
                <c:pt idx="4666">
                  <c:v>0.16581025982070799</c:v>
                </c:pt>
                <c:pt idx="4667">
                  <c:v>0.162290898581678</c:v>
                </c:pt>
                <c:pt idx="4668">
                  <c:v>0.15796596863788201</c:v>
                </c:pt>
                <c:pt idx="4669">
                  <c:v>0.15447862260120801</c:v>
                </c:pt>
                <c:pt idx="4670">
                  <c:v>0.15119486813920099</c:v>
                </c:pt>
                <c:pt idx="4671">
                  <c:v>0.14686087646698401</c:v>
                </c:pt>
                <c:pt idx="4672">
                  <c:v>0.143304221062934</c:v>
                </c:pt>
                <c:pt idx="4673">
                  <c:v>0.13902652250543901</c:v>
                </c:pt>
                <c:pt idx="4674">
                  <c:v>0.134556773192513</c:v>
                </c:pt>
                <c:pt idx="4675">
                  <c:v>0.13115861388525901</c:v>
                </c:pt>
                <c:pt idx="4676">
                  <c:v>0.126835895333787</c:v>
                </c:pt>
                <c:pt idx="4677">
                  <c:v>0.123862008297494</c:v>
                </c:pt>
                <c:pt idx="4678">
                  <c:v>0.120240099788379</c:v>
                </c:pt>
                <c:pt idx="4679">
                  <c:v>0.116337405416774</c:v>
                </c:pt>
                <c:pt idx="4680">
                  <c:v>0.112802265721223</c:v>
                </c:pt>
                <c:pt idx="4681">
                  <c:v>0.108432424435779</c:v>
                </c:pt>
                <c:pt idx="4682">
                  <c:v>0.104517333461164</c:v>
                </c:pt>
                <c:pt idx="4683">
                  <c:v>0.10105933846568201</c:v>
                </c:pt>
                <c:pt idx="4684">
                  <c:v>9.7251975016238001E-2</c:v>
                </c:pt>
                <c:pt idx="4685">
                  <c:v>9.4119237882321002E-2</c:v>
                </c:pt>
                <c:pt idx="4686">
                  <c:v>9.0724313920982999E-2</c:v>
                </c:pt>
                <c:pt idx="4687">
                  <c:v>8.6845982480491996E-2</c:v>
                </c:pt>
                <c:pt idx="4688">
                  <c:v>8.3279935879205E-2</c:v>
                </c:pt>
                <c:pt idx="4689">
                  <c:v>7.9815057360153999E-2</c:v>
                </c:pt>
                <c:pt idx="4690">
                  <c:v>7.6644993610177001E-2</c:v>
                </c:pt>
                <c:pt idx="4691">
                  <c:v>7.2534747286005993E-2</c:v>
                </c:pt>
                <c:pt idx="4692">
                  <c:v>6.8650265491724996E-2</c:v>
                </c:pt>
                <c:pt idx="4693">
                  <c:v>6.5727189328170996E-2</c:v>
                </c:pt>
                <c:pt idx="4694">
                  <c:v>6.2376784986051002E-2</c:v>
                </c:pt>
                <c:pt idx="4695">
                  <c:v>5.8961779566295003E-2</c:v>
                </c:pt>
                <c:pt idx="4696">
                  <c:v>5.5981757376572003E-2</c:v>
                </c:pt>
                <c:pt idx="4697">
                  <c:v>5.2680017510221E-2</c:v>
                </c:pt>
                <c:pt idx="4698">
                  <c:v>4.8625698153925999E-2</c:v>
                </c:pt>
                <c:pt idx="4699">
                  <c:v>4.5460929198444001E-2</c:v>
                </c:pt>
                <c:pt idx="4700">
                  <c:v>4.2351376916670999E-2</c:v>
                </c:pt>
                <c:pt idx="4701">
                  <c:v>3.9052501926298E-2</c:v>
                </c:pt>
                <c:pt idx="4702">
                  <c:v>3.5596701710061997E-2</c:v>
                </c:pt>
                <c:pt idx="4703">
                  <c:v>3.2797408932398998E-2</c:v>
                </c:pt>
                <c:pt idx="4704">
                  <c:v>2.8563746846174999E-2</c:v>
                </c:pt>
                <c:pt idx="4705">
                  <c:v>2.5205688044283001E-2</c:v>
                </c:pt>
                <c:pt idx="4706">
                  <c:v>2.2591891906211001E-2</c:v>
                </c:pt>
                <c:pt idx="4707">
                  <c:v>1.9139988889267E-2</c:v>
                </c:pt>
                <c:pt idx="4708">
                  <c:v>1.5623994728810001E-2</c:v>
                </c:pt>
                <c:pt idx="4709">
                  <c:v>1.3194764697465E-2</c:v>
                </c:pt>
                <c:pt idx="4710">
                  <c:v>1.0296785475237999E-2</c:v>
                </c:pt>
                <c:pt idx="4711">
                  <c:v>7.4131347489640002E-3</c:v>
                </c:pt>
                <c:pt idx="4712">
                  <c:v>5.0622094839450002E-3</c:v>
                </c:pt>
                <c:pt idx="4713">
                  <c:v>1.2843302025000001E-4</c:v>
                </c:pt>
                <c:pt idx="4714">
                  <c:v>7.6875089339970004E-3</c:v>
                </c:pt>
                <c:pt idx="4715">
                  <c:v>-6.0659085870300004E-4</c:v>
                </c:pt>
                <c:pt idx="4716">
                  <c:v>7.1030780094740002E-3</c:v>
                </c:pt>
                <c:pt idx="4717">
                  <c:v>-1.45359366531E-3</c:v>
                </c:pt>
                <c:pt idx="4718">
                  <c:v>6.3601535204900004E-3</c:v>
                </c:pt>
                <c:pt idx="4719">
                  <c:v>-1.9081250981969999E-3</c:v>
                </c:pt>
                <c:pt idx="4720">
                  <c:v>5.7963226512269999E-3</c:v>
                </c:pt>
                <c:pt idx="4721">
                  <c:v>-2.5158737677340001E-3</c:v>
                </c:pt>
                <c:pt idx="4722">
                  <c:v>5.3695413086680003E-3</c:v>
                </c:pt>
                <c:pt idx="4723">
                  <c:v>-2.8846632459720001E-3</c:v>
                </c:pt>
                <c:pt idx="4724">
                  <c:v>4.9680077676820004E-3</c:v>
                </c:pt>
                <c:pt idx="4725">
                  <c:v>-3.4463740077579999E-3</c:v>
                </c:pt>
                <c:pt idx="4726">
                  <c:v>4.2361830086469999E-3</c:v>
                </c:pt>
                <c:pt idx="4727">
                  <c:v>-4.2069426029920001E-3</c:v>
                </c:pt>
                <c:pt idx="4728">
                  <c:v>3.419511147976E-3</c:v>
                </c:pt>
                <c:pt idx="4729">
                  <c:v>-5.0211422899079997E-3</c:v>
                </c:pt>
                <c:pt idx="4730">
                  <c:v>2.7792256510079999E-3</c:v>
                </c:pt>
                <c:pt idx="4731">
                  <c:v>-5.4863124883019997E-3</c:v>
                </c:pt>
                <c:pt idx="4732">
                  <c:v>2.4894416280389999E-3</c:v>
                </c:pt>
                <c:pt idx="4733">
                  <c:v>-6.0018773374720001E-3</c:v>
                </c:pt>
                <c:pt idx="4734">
                  <c:v>1.68956230293E-3</c:v>
                </c:pt>
                <c:pt idx="4735">
                  <c:v>-6.4939568050400003E-3</c:v>
                </c:pt>
                <c:pt idx="4736">
                  <c:v>1.1473784491370001E-3</c:v>
                </c:pt>
                <c:pt idx="4737">
                  <c:v>-7.3901142891720003E-3</c:v>
                </c:pt>
                <c:pt idx="4738">
                  <c:v>-9.8247686507000007E-5</c:v>
                </c:pt>
                <c:pt idx="4739">
                  <c:v>-8.4246840241589994E-3</c:v>
                </c:pt>
                <c:pt idx="4740">
                  <c:v>-8.1925863148199995E-4</c:v>
                </c:pt>
                <c:pt idx="4741">
                  <c:v>-9.0199202249309999E-3</c:v>
                </c:pt>
                <c:pt idx="4742">
                  <c:v>-1.5711444375430001E-3</c:v>
                </c:pt>
                <c:pt idx="4743">
                  <c:v>-9.6772597983440008E-3</c:v>
                </c:pt>
                <c:pt idx="4744">
                  <c:v>-2.3576994405760002E-3</c:v>
                </c:pt>
                <c:pt idx="4745">
                  <c:v>-1.0356371110547999E-2</c:v>
                </c:pt>
                <c:pt idx="4746">
                  <c:v>-2.8077625232350001E-3</c:v>
                </c:pt>
                <c:pt idx="4747">
                  <c:v>-1.0632977167018E-2</c:v>
                </c:pt>
                <c:pt idx="4748">
                  <c:v>-3.4326122760020002E-3</c:v>
                </c:pt>
                <c:pt idx="4749">
                  <c:v>-1.1464540843469E-2</c:v>
                </c:pt>
                <c:pt idx="4750">
                  <c:v>-4.1535627799440004E-3</c:v>
                </c:pt>
                <c:pt idx="4751">
                  <c:v>-1.1800663761990999E-2</c:v>
                </c:pt>
                <c:pt idx="4752">
                  <c:v>-4.8129663122429998E-3</c:v>
                </c:pt>
                <c:pt idx="4753">
                  <c:v>-1.2449781363341E-2</c:v>
                </c:pt>
                <c:pt idx="4754">
                  <c:v>-5.381092053321E-3</c:v>
                </c:pt>
                <c:pt idx="4755">
                  <c:v>-1.2837425291218001E-2</c:v>
                </c:pt>
                <c:pt idx="4756">
                  <c:v>-6.1162691138399996E-3</c:v>
                </c:pt>
                <c:pt idx="4757">
                  <c:v>-1.3346714053423E-2</c:v>
                </c:pt>
                <c:pt idx="4758">
                  <c:v>-6.4784200117060002E-3</c:v>
                </c:pt>
                <c:pt idx="4759">
                  <c:v>-1.3555156225295E-2</c:v>
                </c:pt>
                <c:pt idx="4760">
                  <c:v>-7.0660462459650004E-3</c:v>
                </c:pt>
                <c:pt idx="4761">
                  <c:v>-1.4109306489567E-2</c:v>
                </c:pt>
                <c:pt idx="4762">
                  <c:v>-7.7410958996039997E-3</c:v>
                </c:pt>
                <c:pt idx="4763">
                  <c:v>-1.5024047721267E-2</c:v>
                </c:pt>
                <c:pt idx="4764">
                  <c:v>-8.7836532626640006E-3</c:v>
                </c:pt>
                <c:pt idx="4765">
                  <c:v>-1.5731339156441999E-2</c:v>
                </c:pt>
                <c:pt idx="4766">
                  <c:v>-9.7008655517990001E-3</c:v>
                </c:pt>
                <c:pt idx="4767">
                  <c:v>-1.6724069594906001E-2</c:v>
                </c:pt>
                <c:pt idx="4768">
                  <c:v>-1.0856824771591E-2</c:v>
                </c:pt>
                <c:pt idx="4769">
                  <c:v>-1.7185446313983999E-2</c:v>
                </c:pt>
                <c:pt idx="4770">
                  <c:v>-1.1247189447455E-2</c:v>
                </c:pt>
                <c:pt idx="4771">
                  <c:v>-1.7528642422184E-2</c:v>
                </c:pt>
                <c:pt idx="4772">
                  <c:v>-1.1821026659743E-2</c:v>
                </c:pt>
                <c:pt idx="4773">
                  <c:v>-1.7860397046366001E-2</c:v>
                </c:pt>
                <c:pt idx="4774">
                  <c:v>-1.2442356776061999E-2</c:v>
                </c:pt>
                <c:pt idx="4775">
                  <c:v>-1.8230551380479999E-2</c:v>
                </c:pt>
                <c:pt idx="4776">
                  <c:v>-1.285440506118E-2</c:v>
                </c:pt>
                <c:pt idx="4777">
                  <c:v>-1.8653624866304001E-2</c:v>
                </c:pt>
                <c:pt idx="4778">
                  <c:v>-1.3564851763194E-2</c:v>
                </c:pt>
                <c:pt idx="4779">
                  <c:v>-1.9019949503012001E-2</c:v>
                </c:pt>
                <c:pt idx="4780">
                  <c:v>-1.3828126059784999E-2</c:v>
                </c:pt>
                <c:pt idx="4781">
                  <c:v>-1.9543231677316E-2</c:v>
                </c:pt>
                <c:pt idx="4782">
                  <c:v>-1.4909306713434E-2</c:v>
                </c:pt>
                <c:pt idx="4783">
                  <c:v>-1.9957104894763999E-2</c:v>
                </c:pt>
                <c:pt idx="4784">
                  <c:v>-1.5327828628414E-2</c:v>
                </c:pt>
                <c:pt idx="4785">
                  <c:v>-2.0382283799449001E-2</c:v>
                </c:pt>
                <c:pt idx="4786">
                  <c:v>-1.6172015203460999E-2</c:v>
                </c:pt>
                <c:pt idx="4787">
                  <c:v>-2.0808038736510999E-2</c:v>
                </c:pt>
                <c:pt idx="4788">
                  <c:v>-1.6384661223372999E-2</c:v>
                </c:pt>
                <c:pt idx="4789">
                  <c:v>-2.11217990241E-2</c:v>
                </c:pt>
                <c:pt idx="4790">
                  <c:v>-1.6983292615614001E-2</c:v>
                </c:pt>
                <c:pt idx="4791">
                  <c:v>-2.1366043285375998E-2</c:v>
                </c:pt>
                <c:pt idx="4792">
                  <c:v>-1.7523314420109001E-2</c:v>
                </c:pt>
                <c:pt idx="4793">
                  <c:v>-2.1852969637643001E-2</c:v>
                </c:pt>
                <c:pt idx="4794">
                  <c:v>-1.7940826203012E-2</c:v>
                </c:pt>
                <c:pt idx="4795">
                  <c:v>-2.1742857401271E-2</c:v>
                </c:pt>
                <c:pt idx="4796">
                  <c:v>-1.8443427667937998E-2</c:v>
                </c:pt>
                <c:pt idx="4797">
                  <c:v>-2.2028233617588999E-2</c:v>
                </c:pt>
                <c:pt idx="4798">
                  <c:v>-1.8743279072058999E-2</c:v>
                </c:pt>
                <c:pt idx="4799">
                  <c:v>-2.2390325026252999E-2</c:v>
                </c:pt>
                <c:pt idx="4800">
                  <c:v>-1.9366639574792E-2</c:v>
                </c:pt>
                <c:pt idx="4801">
                  <c:v>-2.3004659445590998E-2</c:v>
                </c:pt>
                <c:pt idx="4802">
                  <c:v>-2.0105868040177999E-2</c:v>
                </c:pt>
                <c:pt idx="4803">
                  <c:v>-2.3488637904725999E-2</c:v>
                </c:pt>
                <c:pt idx="4804">
                  <c:v>-2.0772237026985E-2</c:v>
                </c:pt>
                <c:pt idx="4805">
                  <c:v>-2.4100961733886001E-2</c:v>
                </c:pt>
                <c:pt idx="4806">
                  <c:v>-2.1644569368647001E-2</c:v>
                </c:pt>
                <c:pt idx="4807">
                  <c:v>-2.4420410487699998E-2</c:v>
                </c:pt>
                <c:pt idx="4808">
                  <c:v>-2.2152732805797E-2</c:v>
                </c:pt>
                <c:pt idx="4809">
                  <c:v>-2.5013136326407E-2</c:v>
                </c:pt>
                <c:pt idx="4810">
                  <c:v>-2.3090488624695999E-2</c:v>
                </c:pt>
                <c:pt idx="4811">
                  <c:v>-2.6110392921518E-2</c:v>
                </c:pt>
                <c:pt idx="4812">
                  <c:v>-2.6674424689245999E-2</c:v>
                </c:pt>
                <c:pt idx="4813">
                  <c:v>-2.9315430651153999E-2</c:v>
                </c:pt>
                <c:pt idx="4814">
                  <c:v>-3.2053785235913998E-2</c:v>
                </c:pt>
                <c:pt idx="4815">
                  <c:v>-3.4410583414796997E-2</c:v>
                </c:pt>
                <c:pt idx="4816">
                  <c:v>-3.6444831094757997E-2</c:v>
                </c:pt>
                <c:pt idx="4817">
                  <c:v>-3.9521407091895E-2</c:v>
                </c:pt>
                <c:pt idx="4818">
                  <c:v>-4.1846808587835002E-2</c:v>
                </c:pt>
                <c:pt idx="4819">
                  <c:v>-4.4101600367799997E-2</c:v>
                </c:pt>
                <c:pt idx="4820">
                  <c:v>-4.6377831432128001E-2</c:v>
                </c:pt>
                <c:pt idx="4821">
                  <c:v>-4.9058814949194E-2</c:v>
                </c:pt>
                <c:pt idx="4822">
                  <c:v>-5.1453103307589003E-2</c:v>
                </c:pt>
                <c:pt idx="4823">
                  <c:v>-5.3265879852892002E-2</c:v>
                </c:pt>
                <c:pt idx="4824">
                  <c:v>-5.5290990020372001E-2</c:v>
                </c:pt>
                <c:pt idx="4825">
                  <c:v>-5.8271977830288001E-2</c:v>
                </c:pt>
                <c:pt idx="4826">
                  <c:v>-6.0915086595748999E-2</c:v>
                </c:pt>
                <c:pt idx="4827">
                  <c:v>-6.3529116357133E-2</c:v>
                </c:pt>
                <c:pt idx="4828">
                  <c:v>-6.6482674298635996E-2</c:v>
                </c:pt>
                <c:pt idx="4829">
                  <c:v>-6.7849433948310001E-2</c:v>
                </c:pt>
                <c:pt idx="4830">
                  <c:v>-7.0399928954731003E-2</c:v>
                </c:pt>
                <c:pt idx="4831">
                  <c:v>-7.2264138533998004E-2</c:v>
                </c:pt>
                <c:pt idx="4832">
                  <c:v>-7.4438663908451996E-2</c:v>
                </c:pt>
                <c:pt idx="4833">
                  <c:v>-7.6315443076776998E-2</c:v>
                </c:pt>
                <c:pt idx="4834">
                  <c:v>-7.8442692140818004E-2</c:v>
                </c:pt>
                <c:pt idx="4835">
                  <c:v>-8.0336803095917994E-2</c:v>
                </c:pt>
                <c:pt idx="4836">
                  <c:v>-8.2594739341533996E-2</c:v>
                </c:pt>
                <c:pt idx="4837">
                  <c:v>-8.3564902960762993E-2</c:v>
                </c:pt>
                <c:pt idx="4838">
                  <c:v>-8.5365269403163996E-2</c:v>
                </c:pt>
                <c:pt idx="4839">
                  <c:v>-8.7312629305635006E-2</c:v>
                </c:pt>
                <c:pt idx="4840">
                  <c:v>-8.9145682813294005E-2</c:v>
                </c:pt>
                <c:pt idx="4841">
                  <c:v>-9.1358899124541995E-2</c:v>
                </c:pt>
                <c:pt idx="4842">
                  <c:v>-9.2804012379683998E-2</c:v>
                </c:pt>
                <c:pt idx="4843">
                  <c:v>-9.4328247626344994E-2</c:v>
                </c:pt>
                <c:pt idx="4844">
                  <c:v>-9.6950441925825998E-2</c:v>
                </c:pt>
                <c:pt idx="4845">
                  <c:v>-9.829889167045E-2</c:v>
                </c:pt>
                <c:pt idx="4846">
                  <c:v>-0.10049046690959799</c:v>
                </c:pt>
                <c:pt idx="4847">
                  <c:v>-0.10249791906873799</c:v>
                </c:pt>
                <c:pt idx="4848">
                  <c:v>-0.103138151034153</c:v>
                </c:pt>
                <c:pt idx="4849">
                  <c:v>-0.10433100539159</c:v>
                </c:pt>
                <c:pt idx="4850">
                  <c:v>-0.106726345068412</c:v>
                </c:pt>
                <c:pt idx="4851">
                  <c:v>-0.107935942721555</c:v>
                </c:pt>
                <c:pt idx="4852">
                  <c:v>-0.108838243598166</c:v>
                </c:pt>
                <c:pt idx="4853">
                  <c:v>-0.110333672450976</c:v>
                </c:pt>
                <c:pt idx="4854">
                  <c:v>-0.11193584319303899</c:v>
                </c:pt>
                <c:pt idx="4855">
                  <c:v>-0.11364837732121399</c:v>
                </c:pt>
                <c:pt idx="4856">
                  <c:v>-0.115288275364442</c:v>
                </c:pt>
                <c:pt idx="4857">
                  <c:v>-0.11651590568355299</c:v>
                </c:pt>
                <c:pt idx="4858">
                  <c:v>-0.11777364794418101</c:v>
                </c:pt>
                <c:pt idx="4859">
                  <c:v>-0.11844287555182199</c:v>
                </c:pt>
                <c:pt idx="4860">
                  <c:v>-0.11967509109008299</c:v>
                </c:pt>
                <c:pt idx="4861">
                  <c:v>-0.120834825646098</c:v>
                </c:pt>
                <c:pt idx="4862">
                  <c:v>-0.12168442343664999</c:v>
                </c:pt>
                <c:pt idx="4863">
                  <c:v>-0.12308329033936</c:v>
                </c:pt>
                <c:pt idx="4864">
                  <c:v>-0.12410194361616</c:v>
                </c:pt>
                <c:pt idx="4865">
                  <c:v>-0.124504963210853</c:v>
                </c:pt>
                <c:pt idx="4866">
                  <c:v>-0.12559220087046499</c:v>
                </c:pt>
                <c:pt idx="4867">
                  <c:v>-0.12727903825179901</c:v>
                </c:pt>
                <c:pt idx="4868">
                  <c:v>-0.127832924271058</c:v>
                </c:pt>
                <c:pt idx="4869">
                  <c:v>-0.129196164549537</c:v>
                </c:pt>
                <c:pt idx="4870">
                  <c:v>-0.128643706915751</c:v>
                </c:pt>
                <c:pt idx="4871">
                  <c:v>-0.13029290640587099</c:v>
                </c:pt>
                <c:pt idx="4872">
                  <c:v>-0.131451022647637</c:v>
                </c:pt>
                <c:pt idx="4873">
                  <c:v>-0.13297561917766301</c:v>
                </c:pt>
                <c:pt idx="4874">
                  <c:v>-0.13340928833657101</c:v>
                </c:pt>
                <c:pt idx="4875">
                  <c:v>-0.134044893449633</c:v>
                </c:pt>
                <c:pt idx="4876">
                  <c:v>-0.13504741952478999</c:v>
                </c:pt>
                <c:pt idx="4877">
                  <c:v>-0.136361668072947</c:v>
                </c:pt>
                <c:pt idx="4878">
                  <c:v>-0.13714198476183401</c:v>
                </c:pt>
                <c:pt idx="4879">
                  <c:v>-0.138202161749958</c:v>
                </c:pt>
                <c:pt idx="4880">
                  <c:v>-0.13992231956484599</c:v>
                </c:pt>
                <c:pt idx="4881">
                  <c:v>-0.13932881565937899</c:v>
                </c:pt>
                <c:pt idx="4882">
                  <c:v>-0.1396690347332</c:v>
                </c:pt>
                <c:pt idx="4883">
                  <c:v>-0.14085756312191999</c:v>
                </c:pt>
                <c:pt idx="4884">
                  <c:v>-0.141390757689176</c:v>
                </c:pt>
                <c:pt idx="4885">
                  <c:v>-0.141874083824654</c:v>
                </c:pt>
                <c:pt idx="4886">
                  <c:v>-0.142126272338951</c:v>
                </c:pt>
                <c:pt idx="4887">
                  <c:v>-0.14244430336668201</c:v>
                </c:pt>
                <c:pt idx="4888">
                  <c:v>-0.14288077470338001</c:v>
                </c:pt>
                <c:pt idx="4889">
                  <c:v>-0.14354487901260901</c:v>
                </c:pt>
                <c:pt idx="4890">
                  <c:v>-0.143970267858893</c:v>
                </c:pt>
                <c:pt idx="4891">
                  <c:v>-0.14403074822678999</c:v>
                </c:pt>
                <c:pt idx="4892">
                  <c:v>-0.14507989749405301</c:v>
                </c:pt>
                <c:pt idx="4893">
                  <c:v>-0.14618791857159</c:v>
                </c:pt>
                <c:pt idx="4894">
                  <c:v>-0.14586354284362299</c:v>
                </c:pt>
                <c:pt idx="4895">
                  <c:v>-0.14745721145602</c:v>
                </c:pt>
                <c:pt idx="4896">
                  <c:v>-0.146171268297275</c:v>
                </c:pt>
                <c:pt idx="4897">
                  <c:v>-0.14700871852797101</c:v>
                </c:pt>
                <c:pt idx="4898">
                  <c:v>-0.14661473570379099</c:v>
                </c:pt>
                <c:pt idx="4899">
                  <c:v>-0.14773274201829001</c:v>
                </c:pt>
                <c:pt idx="4900">
                  <c:v>-0.148381194771562</c:v>
                </c:pt>
                <c:pt idx="4901">
                  <c:v>-0.148460908899607</c:v>
                </c:pt>
                <c:pt idx="4902">
                  <c:v>-0.148879237970934</c:v>
                </c:pt>
                <c:pt idx="4903">
                  <c:v>-0.149182281673925</c:v>
                </c:pt>
                <c:pt idx="4904">
                  <c:v>-0.149539071584918</c:v>
                </c:pt>
                <c:pt idx="4905">
                  <c:v>-0.15000502993812101</c:v>
                </c:pt>
                <c:pt idx="4906">
                  <c:v>-0.15070368079075699</c:v>
                </c:pt>
                <c:pt idx="4907">
                  <c:v>-0.15053944250231299</c:v>
                </c:pt>
                <c:pt idx="4908">
                  <c:v>-0.151001279719882</c:v>
                </c:pt>
                <c:pt idx="4909">
                  <c:v>-0.15118587371209199</c:v>
                </c:pt>
                <c:pt idx="4910">
                  <c:v>-0.15180348622165399</c:v>
                </c:pt>
                <c:pt idx="4911">
                  <c:v>-0.15133862728643899</c:v>
                </c:pt>
                <c:pt idx="4912">
                  <c:v>-0.15319712745939101</c:v>
                </c:pt>
                <c:pt idx="4913">
                  <c:v>-0.15166958588163501</c:v>
                </c:pt>
                <c:pt idx="4914">
                  <c:v>-0.15153147318113799</c:v>
                </c:pt>
                <c:pt idx="4915">
                  <c:v>-0.151845563359681</c:v>
                </c:pt>
                <c:pt idx="4916">
                  <c:v>-0.15215774598998399</c:v>
                </c:pt>
                <c:pt idx="4917">
                  <c:v>-0.152636130585144</c:v>
                </c:pt>
                <c:pt idx="4918">
                  <c:v>-0.15291038395214099</c:v>
                </c:pt>
                <c:pt idx="4919">
                  <c:v>-0.15283991642165001</c:v>
                </c:pt>
                <c:pt idx="4920">
                  <c:v>-0.15322661264457099</c:v>
                </c:pt>
                <c:pt idx="4921">
                  <c:v>-0.15397331533004899</c:v>
                </c:pt>
                <c:pt idx="4922">
                  <c:v>-0.15338658986253201</c:v>
                </c:pt>
                <c:pt idx="4923">
                  <c:v>-0.15253151730839601</c:v>
                </c:pt>
                <c:pt idx="4924">
                  <c:v>-0.154009161943888</c:v>
                </c:pt>
                <c:pt idx="4925">
                  <c:v>-0.15449978332775699</c:v>
                </c:pt>
                <c:pt idx="4926">
                  <c:v>-0.15364761583070899</c:v>
                </c:pt>
                <c:pt idx="4927">
                  <c:v>-0.153718655148675</c:v>
                </c:pt>
                <c:pt idx="4928">
                  <c:v>-0.15356172466906001</c:v>
                </c:pt>
                <c:pt idx="4929">
                  <c:v>-0.15369117304834801</c:v>
                </c:pt>
                <c:pt idx="4930">
                  <c:v>-0.15423141689314801</c:v>
                </c:pt>
                <c:pt idx="4931">
                  <c:v>-0.15472450593630599</c:v>
                </c:pt>
                <c:pt idx="4932">
                  <c:v>-0.154422953666083</c:v>
                </c:pt>
                <c:pt idx="4933">
                  <c:v>-0.154568779781286</c:v>
                </c:pt>
                <c:pt idx="4934">
                  <c:v>-0.15422836108653801</c:v>
                </c:pt>
                <c:pt idx="4935">
                  <c:v>-0.155197767338733</c:v>
                </c:pt>
                <c:pt idx="4936">
                  <c:v>-0.153984370705782</c:v>
                </c:pt>
                <c:pt idx="4937">
                  <c:v>-0.153896271158076</c:v>
                </c:pt>
                <c:pt idx="4938">
                  <c:v>-0.154593133563144</c:v>
                </c:pt>
                <c:pt idx="4939">
                  <c:v>-0.15449484352942899</c:v>
                </c:pt>
                <c:pt idx="4940">
                  <c:v>-0.15491787670941601</c:v>
                </c:pt>
                <c:pt idx="4941">
                  <c:v>-0.15481364608824899</c:v>
                </c:pt>
                <c:pt idx="4942">
                  <c:v>-0.154585674965695</c:v>
                </c:pt>
                <c:pt idx="4943">
                  <c:v>-0.15505375736983201</c:v>
                </c:pt>
                <c:pt idx="4944">
                  <c:v>-0.155312314917432</c:v>
                </c:pt>
                <c:pt idx="4945">
                  <c:v>-0.15486253508286499</c:v>
                </c:pt>
                <c:pt idx="4946">
                  <c:v>-0.155333159579507</c:v>
                </c:pt>
                <c:pt idx="4947">
                  <c:v>-0.15480779464487901</c:v>
                </c:pt>
                <c:pt idx="4948">
                  <c:v>-0.15499306960477199</c:v>
                </c:pt>
                <c:pt idx="4949">
                  <c:v>-0.15551586262200701</c:v>
                </c:pt>
                <c:pt idx="4950">
                  <c:v>-0.15425512934132601</c:v>
                </c:pt>
                <c:pt idx="4951">
                  <c:v>-0.15493643509455901</c:v>
                </c:pt>
                <c:pt idx="4952">
                  <c:v>-0.155110356466553</c:v>
                </c:pt>
                <c:pt idx="4953">
                  <c:v>-0.15502409751230101</c:v>
                </c:pt>
                <c:pt idx="4954">
                  <c:v>-0.155356826844956</c:v>
                </c:pt>
                <c:pt idx="4955">
                  <c:v>-0.15508683949326801</c:v>
                </c:pt>
                <c:pt idx="4956">
                  <c:v>-0.15569373212871801</c:v>
                </c:pt>
                <c:pt idx="4957">
                  <c:v>-0.154659505184394</c:v>
                </c:pt>
                <c:pt idx="4958">
                  <c:v>-0.156144401573933</c:v>
                </c:pt>
                <c:pt idx="4959">
                  <c:v>-0.155315984595154</c:v>
                </c:pt>
                <c:pt idx="4960">
                  <c:v>-0.15575187986296299</c:v>
                </c:pt>
                <c:pt idx="4961">
                  <c:v>-0.155565556712359</c:v>
                </c:pt>
                <c:pt idx="4962">
                  <c:v>-0.15621377985739501</c:v>
                </c:pt>
                <c:pt idx="4963">
                  <c:v>-0.155053532216433</c:v>
                </c:pt>
                <c:pt idx="4964">
                  <c:v>-0.15492548899397701</c:v>
                </c:pt>
                <c:pt idx="4965">
                  <c:v>-0.15540784766409699</c:v>
                </c:pt>
                <c:pt idx="4966">
                  <c:v>-0.155838839194993</c:v>
                </c:pt>
                <c:pt idx="4967">
                  <c:v>-0.15606599866948601</c:v>
                </c:pt>
                <c:pt idx="4968">
                  <c:v>-0.15553753058046799</c:v>
                </c:pt>
                <c:pt idx="4969">
                  <c:v>-0.154981939420724</c:v>
                </c:pt>
                <c:pt idx="4970">
                  <c:v>-0.15473295800955</c:v>
                </c:pt>
                <c:pt idx="4971">
                  <c:v>-0.15528932542691001</c:v>
                </c:pt>
                <c:pt idx="4972">
                  <c:v>-0.15522645787693701</c:v>
                </c:pt>
                <c:pt idx="4973">
                  <c:v>-0.15499958495830801</c:v>
                </c:pt>
                <c:pt idx="4974">
                  <c:v>-0.15567560247447601</c:v>
                </c:pt>
                <c:pt idx="4975">
                  <c:v>-0.155777831366642</c:v>
                </c:pt>
                <c:pt idx="4976">
                  <c:v>-0.15540193260808599</c:v>
                </c:pt>
                <c:pt idx="4977">
                  <c:v>-0.15614227581534901</c:v>
                </c:pt>
                <c:pt idx="4978">
                  <c:v>-0.15475436974883</c:v>
                </c:pt>
                <c:pt idx="4979">
                  <c:v>-0.15543803117914901</c:v>
                </c:pt>
                <c:pt idx="4980">
                  <c:v>-0.15587326444220101</c:v>
                </c:pt>
                <c:pt idx="4981">
                  <c:v>-0.15524803778066701</c:v>
                </c:pt>
                <c:pt idx="4982">
                  <c:v>-0.155329063664502</c:v>
                </c:pt>
                <c:pt idx="4983">
                  <c:v>-0.155008199607406</c:v>
                </c:pt>
                <c:pt idx="4984">
                  <c:v>-0.15367324449160499</c:v>
                </c:pt>
                <c:pt idx="4985">
                  <c:v>-0.154533315483697</c:v>
                </c:pt>
                <c:pt idx="4986">
                  <c:v>-0.155850658969413</c:v>
                </c:pt>
                <c:pt idx="4987">
                  <c:v>-0.15516675153650999</c:v>
                </c:pt>
                <c:pt idx="4988">
                  <c:v>-0.15525495217909699</c:v>
                </c:pt>
                <c:pt idx="4989">
                  <c:v>-0.15475112675539199</c:v>
                </c:pt>
                <c:pt idx="4990">
                  <c:v>-0.154725464166659</c:v>
                </c:pt>
                <c:pt idx="4991">
                  <c:v>-0.15607361136039699</c:v>
                </c:pt>
                <c:pt idx="4992">
                  <c:v>-0.15567080116864601</c:v>
                </c:pt>
                <c:pt idx="4993">
                  <c:v>-0.15574269412868999</c:v>
                </c:pt>
                <c:pt idx="4994">
                  <c:v>-0.15538344616444999</c:v>
                </c:pt>
                <c:pt idx="4995">
                  <c:v>-0.155422062778616</c:v>
                </c:pt>
                <c:pt idx="4996">
                  <c:v>-0.15537866050251201</c:v>
                </c:pt>
                <c:pt idx="4997">
                  <c:v>-0.15250332963026</c:v>
                </c:pt>
                <c:pt idx="4998">
                  <c:v>-0.15557631913637501</c:v>
                </c:pt>
                <c:pt idx="4999">
                  <c:v>-0.156151577356928</c:v>
                </c:pt>
                <c:pt idx="5000">
                  <c:v>-0.15400846567044199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A-4362-BD4B-ACFB331B8B65}"/>
            </c:ext>
          </c:extLst>
        </c:ser>
        <c:ser>
          <c:idx val="1"/>
          <c:order val="1"/>
          <c:tx>
            <c:strRef>
              <c:f>'Cyclic voltammetry'!$D$1</c:f>
              <c:strCache>
                <c:ptCount val="1"/>
                <c:pt idx="0">
                  <c:v>BA2_C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'Cyclic voltammetry'!$C$2:$C$2409</c:f>
              <c:numCache>
                <c:formatCode>General</c:formatCode>
                <c:ptCount val="2408"/>
                <c:pt idx="0">
                  <c:v>-0.59960633516311601</c:v>
                </c:pt>
                <c:pt idx="1">
                  <c:v>-0.60034155845642101</c:v>
                </c:pt>
                <c:pt idx="2">
                  <c:v>-0.59809237718582198</c:v>
                </c:pt>
                <c:pt idx="3">
                  <c:v>-0.59809041023254395</c:v>
                </c:pt>
                <c:pt idx="4">
                  <c:v>-0.59590947628021196</c:v>
                </c:pt>
                <c:pt idx="5">
                  <c:v>-0.59671980142593395</c:v>
                </c:pt>
                <c:pt idx="6">
                  <c:v>-0.59410703182220503</c:v>
                </c:pt>
                <c:pt idx="7">
                  <c:v>-0.59421414136886597</c:v>
                </c:pt>
                <c:pt idx="8">
                  <c:v>-0.59219330549240101</c:v>
                </c:pt>
                <c:pt idx="9">
                  <c:v>-0.59190607070922896</c:v>
                </c:pt>
                <c:pt idx="10">
                  <c:v>-0.58945637941360496</c:v>
                </c:pt>
                <c:pt idx="11">
                  <c:v>-0.59009969234466597</c:v>
                </c:pt>
                <c:pt idx="12">
                  <c:v>-0.58756011724472001</c:v>
                </c:pt>
                <c:pt idx="13">
                  <c:v>-0.58755004405975297</c:v>
                </c:pt>
                <c:pt idx="14">
                  <c:v>-0.58647441864013705</c:v>
                </c:pt>
                <c:pt idx="15">
                  <c:v>-0.58565330505371105</c:v>
                </c:pt>
                <c:pt idx="16">
                  <c:v>-0.584386587142944</c:v>
                </c:pt>
                <c:pt idx="17">
                  <c:v>-0.58345842361450195</c:v>
                </c:pt>
                <c:pt idx="18">
                  <c:v>-0.58320277929305997</c:v>
                </c:pt>
                <c:pt idx="19">
                  <c:v>-0.58120995759964</c:v>
                </c:pt>
                <c:pt idx="20">
                  <c:v>-0.581099092960358</c:v>
                </c:pt>
                <c:pt idx="21">
                  <c:v>-0.57956296205520597</c:v>
                </c:pt>
                <c:pt idx="22">
                  <c:v>-0.57885015010833696</c:v>
                </c:pt>
                <c:pt idx="23">
                  <c:v>-0.57687920331955</c:v>
                </c:pt>
                <c:pt idx="24">
                  <c:v>-0.57745891809463501</c:v>
                </c:pt>
                <c:pt idx="25">
                  <c:v>-0.57483917474746704</c:v>
                </c:pt>
                <c:pt idx="26">
                  <c:v>-0.57518953084945701</c:v>
                </c:pt>
                <c:pt idx="27">
                  <c:v>-0.57254993915557895</c:v>
                </c:pt>
                <c:pt idx="28">
                  <c:v>-0.57357680797576904</c:v>
                </c:pt>
                <c:pt idx="29">
                  <c:v>-0.57047766447067305</c:v>
                </c:pt>
                <c:pt idx="30">
                  <c:v>-0.57094061374664296</c:v>
                </c:pt>
                <c:pt idx="31">
                  <c:v>-0.56967467069625899</c:v>
                </c:pt>
                <c:pt idx="32">
                  <c:v>-0.56898128986358598</c:v>
                </c:pt>
                <c:pt idx="33">
                  <c:v>-0.56714761257171598</c:v>
                </c:pt>
                <c:pt idx="34">
                  <c:v>-0.56784939765930198</c:v>
                </c:pt>
                <c:pt idx="35">
                  <c:v>-0.56498730182647705</c:v>
                </c:pt>
                <c:pt idx="36">
                  <c:v>-0.56442052125930797</c:v>
                </c:pt>
                <c:pt idx="37">
                  <c:v>-0.563468217849731</c:v>
                </c:pt>
                <c:pt idx="38">
                  <c:v>-0.56232035160064697</c:v>
                </c:pt>
                <c:pt idx="39">
                  <c:v>-0.56080871820449796</c:v>
                </c:pt>
                <c:pt idx="40">
                  <c:v>-0.56063473224639904</c:v>
                </c:pt>
                <c:pt idx="41">
                  <c:v>-0.55959630012512196</c:v>
                </c:pt>
                <c:pt idx="42">
                  <c:v>-0.55829030275344804</c:v>
                </c:pt>
                <c:pt idx="43">
                  <c:v>-0.55753761529922496</c:v>
                </c:pt>
                <c:pt idx="44">
                  <c:v>-0.55660676956176802</c:v>
                </c:pt>
                <c:pt idx="45">
                  <c:v>-0.55597025156021096</c:v>
                </c:pt>
                <c:pt idx="46">
                  <c:v>-0.55503672361373901</c:v>
                </c:pt>
                <c:pt idx="47">
                  <c:v>-0.55441403388977095</c:v>
                </c:pt>
                <c:pt idx="48">
                  <c:v>-0.552165627479553</c:v>
                </c:pt>
                <c:pt idx="49">
                  <c:v>-0.55160170793533303</c:v>
                </c:pt>
                <c:pt idx="50">
                  <c:v>-0.550609171390533</c:v>
                </c:pt>
                <c:pt idx="51">
                  <c:v>-0.54959988594055198</c:v>
                </c:pt>
                <c:pt idx="52">
                  <c:v>-0.54804694652557395</c:v>
                </c:pt>
                <c:pt idx="53">
                  <c:v>-0.54787117242813099</c:v>
                </c:pt>
                <c:pt idx="54">
                  <c:v>-0.54629868268966697</c:v>
                </c:pt>
                <c:pt idx="55">
                  <c:v>-0.54600775241851796</c:v>
                </c:pt>
                <c:pt idx="56">
                  <c:v>-0.54446029663085904</c:v>
                </c:pt>
                <c:pt idx="57">
                  <c:v>-0.54426085948944103</c:v>
                </c:pt>
                <c:pt idx="58">
                  <c:v>-0.54199582338333097</c:v>
                </c:pt>
                <c:pt idx="59">
                  <c:v>-0.54218477010726895</c:v>
                </c:pt>
                <c:pt idx="60">
                  <c:v>-0.53966414928436302</c:v>
                </c:pt>
                <c:pt idx="61">
                  <c:v>-0.53975868225097701</c:v>
                </c:pt>
                <c:pt idx="62">
                  <c:v>-0.53814619779586803</c:v>
                </c:pt>
                <c:pt idx="63">
                  <c:v>-0.537708699703217</c:v>
                </c:pt>
                <c:pt idx="64">
                  <c:v>-0.53590786457061801</c:v>
                </c:pt>
                <c:pt idx="65">
                  <c:v>-0.53623932600021396</c:v>
                </c:pt>
                <c:pt idx="66">
                  <c:v>-0.53420835733413696</c:v>
                </c:pt>
                <c:pt idx="67">
                  <c:v>-0.53419786691665605</c:v>
                </c:pt>
                <c:pt idx="68">
                  <c:v>-0.53219014406204201</c:v>
                </c:pt>
                <c:pt idx="69">
                  <c:v>-0.53279966115951505</c:v>
                </c:pt>
                <c:pt idx="70">
                  <c:v>-0.52970623970031705</c:v>
                </c:pt>
                <c:pt idx="71">
                  <c:v>-0.53076386451721203</c:v>
                </c:pt>
                <c:pt idx="72">
                  <c:v>-0.52824127674102805</c:v>
                </c:pt>
                <c:pt idx="73">
                  <c:v>-0.52782142162322998</c:v>
                </c:pt>
                <c:pt idx="74">
                  <c:v>-0.52606976032257102</c:v>
                </c:pt>
                <c:pt idx="75">
                  <c:v>-0.52678507566452004</c:v>
                </c:pt>
                <c:pt idx="76">
                  <c:v>-0.52405309677124001</c:v>
                </c:pt>
                <c:pt idx="77">
                  <c:v>-0.52411484718322798</c:v>
                </c:pt>
                <c:pt idx="78">
                  <c:v>-0.52207028865814198</c:v>
                </c:pt>
                <c:pt idx="79">
                  <c:v>-0.52235788106918302</c:v>
                </c:pt>
                <c:pt idx="80">
                  <c:v>-0.51971292495727495</c:v>
                </c:pt>
                <c:pt idx="81">
                  <c:v>-0.52016305923461903</c:v>
                </c:pt>
                <c:pt idx="82">
                  <c:v>-0.51812040805816695</c:v>
                </c:pt>
                <c:pt idx="83">
                  <c:v>-0.51809555292129505</c:v>
                </c:pt>
                <c:pt idx="84">
                  <c:v>-0.51593887805938698</c:v>
                </c:pt>
                <c:pt idx="85">
                  <c:v>-0.51570504903793302</c:v>
                </c:pt>
                <c:pt idx="86">
                  <c:v>-0.51422351598739602</c:v>
                </c:pt>
                <c:pt idx="87">
                  <c:v>-0.51401430368423495</c:v>
                </c:pt>
                <c:pt idx="88">
                  <c:v>-0.51203817129135099</c:v>
                </c:pt>
                <c:pt idx="89">
                  <c:v>-0.51167643070220903</c:v>
                </c:pt>
                <c:pt idx="90">
                  <c:v>-0.51039028167724598</c:v>
                </c:pt>
                <c:pt idx="91">
                  <c:v>-0.50988805294036899</c:v>
                </c:pt>
                <c:pt idx="92">
                  <c:v>-0.51206243038177501</c:v>
                </c:pt>
                <c:pt idx="93">
                  <c:v>-0.50869894027710005</c:v>
                </c:pt>
                <c:pt idx="94">
                  <c:v>-0.50570386648178101</c:v>
                </c:pt>
                <c:pt idx="95">
                  <c:v>-0.50763046741485596</c:v>
                </c:pt>
                <c:pt idx="96">
                  <c:v>-0.50618880987167403</c:v>
                </c:pt>
                <c:pt idx="97">
                  <c:v>-0.50584322214126598</c:v>
                </c:pt>
                <c:pt idx="98">
                  <c:v>-0.50487548112869296</c:v>
                </c:pt>
                <c:pt idx="99">
                  <c:v>-0.50361901521682695</c:v>
                </c:pt>
                <c:pt idx="100">
                  <c:v>-0.50256180763244596</c:v>
                </c:pt>
                <c:pt idx="101">
                  <c:v>-0.50109058618545499</c:v>
                </c:pt>
                <c:pt idx="102">
                  <c:v>-0.50085115432739302</c:v>
                </c:pt>
                <c:pt idx="103">
                  <c:v>-0.49865055084228499</c:v>
                </c:pt>
                <c:pt idx="104">
                  <c:v>-0.49993824958801297</c:v>
                </c:pt>
                <c:pt idx="105">
                  <c:v>-0.49731492996215798</c:v>
                </c:pt>
                <c:pt idx="106">
                  <c:v>-0.49709215760231001</c:v>
                </c:pt>
                <c:pt idx="107">
                  <c:v>-0.49531212449073803</c:v>
                </c:pt>
                <c:pt idx="108">
                  <c:v>-0.49557837843894997</c:v>
                </c:pt>
                <c:pt idx="109">
                  <c:v>-0.49297165870666498</c:v>
                </c:pt>
                <c:pt idx="110">
                  <c:v>-0.49335491657257102</c:v>
                </c:pt>
                <c:pt idx="111">
                  <c:v>-0.49128842353820801</c:v>
                </c:pt>
                <c:pt idx="112">
                  <c:v>-0.4914231300354</c:v>
                </c:pt>
                <c:pt idx="113">
                  <c:v>-0.48851752281188998</c:v>
                </c:pt>
                <c:pt idx="114">
                  <c:v>-0.48949977755546598</c:v>
                </c:pt>
                <c:pt idx="115">
                  <c:v>-0.48667696118354797</c:v>
                </c:pt>
                <c:pt idx="116">
                  <c:v>-0.48711913824081399</c:v>
                </c:pt>
                <c:pt idx="117">
                  <c:v>-0.48500829935073902</c:v>
                </c:pt>
                <c:pt idx="118">
                  <c:v>-0.485096305608749</c:v>
                </c:pt>
                <c:pt idx="119">
                  <c:v>-0.483410865068436</c:v>
                </c:pt>
                <c:pt idx="120">
                  <c:v>-0.48332476615905801</c:v>
                </c:pt>
                <c:pt idx="121">
                  <c:v>-0.48127070069312999</c:v>
                </c:pt>
                <c:pt idx="122">
                  <c:v>-0.48181730508804299</c:v>
                </c:pt>
                <c:pt idx="123">
                  <c:v>-0.47962990403175398</c:v>
                </c:pt>
                <c:pt idx="124">
                  <c:v>-0.47905164957046498</c:v>
                </c:pt>
                <c:pt idx="125">
                  <c:v>-0.47754219174385099</c:v>
                </c:pt>
                <c:pt idx="126">
                  <c:v>-0.47678250074386602</c:v>
                </c:pt>
                <c:pt idx="127">
                  <c:v>-0.47580987215042098</c:v>
                </c:pt>
                <c:pt idx="128">
                  <c:v>-0.47433850169181802</c:v>
                </c:pt>
                <c:pt idx="129">
                  <c:v>-0.47378018498420699</c:v>
                </c:pt>
                <c:pt idx="130">
                  <c:v>-0.47198554873466497</c:v>
                </c:pt>
                <c:pt idx="131">
                  <c:v>-0.47195687890052801</c:v>
                </c:pt>
                <c:pt idx="132">
                  <c:v>-0.46923908591270402</c:v>
                </c:pt>
                <c:pt idx="133">
                  <c:v>-0.47030705213546797</c:v>
                </c:pt>
                <c:pt idx="134">
                  <c:v>-0.46833315491676297</c:v>
                </c:pt>
                <c:pt idx="135">
                  <c:v>-0.468118846416473</c:v>
                </c:pt>
                <c:pt idx="136">
                  <c:v>-0.46635612845420799</c:v>
                </c:pt>
                <c:pt idx="137">
                  <c:v>-0.46671959757804898</c:v>
                </c:pt>
                <c:pt idx="138">
                  <c:v>-0.46418845653533902</c:v>
                </c:pt>
                <c:pt idx="139">
                  <c:v>-0.46401345729827898</c:v>
                </c:pt>
                <c:pt idx="140">
                  <c:v>-0.462973862886429</c:v>
                </c:pt>
                <c:pt idx="141">
                  <c:v>-0.46240082383155801</c:v>
                </c:pt>
                <c:pt idx="142">
                  <c:v>-0.46026661992073098</c:v>
                </c:pt>
                <c:pt idx="143">
                  <c:v>-0.45961111783981301</c:v>
                </c:pt>
                <c:pt idx="144">
                  <c:v>-0.45880475640296903</c:v>
                </c:pt>
                <c:pt idx="145">
                  <c:v>-0.45695790648460399</c:v>
                </c:pt>
                <c:pt idx="146">
                  <c:v>-0.45674604177474998</c:v>
                </c:pt>
                <c:pt idx="147">
                  <c:v>-0.454915791749954</c:v>
                </c:pt>
                <c:pt idx="148">
                  <c:v>-0.45484563708305398</c:v>
                </c:pt>
                <c:pt idx="149">
                  <c:v>-0.452615946531296</c:v>
                </c:pt>
                <c:pt idx="150">
                  <c:v>-0.45376798510551503</c:v>
                </c:pt>
                <c:pt idx="151">
                  <c:v>-0.451152503490448</c:v>
                </c:pt>
                <c:pt idx="152">
                  <c:v>-0.451231509447098</c:v>
                </c:pt>
                <c:pt idx="153">
                  <c:v>-0.44943967461585999</c:v>
                </c:pt>
                <c:pt idx="154">
                  <c:v>-0.44952040910720797</c:v>
                </c:pt>
                <c:pt idx="155">
                  <c:v>-0.44729360938072199</c:v>
                </c:pt>
                <c:pt idx="156">
                  <c:v>-0.447362691164017</c:v>
                </c:pt>
                <c:pt idx="157">
                  <c:v>-0.44580006599426297</c:v>
                </c:pt>
                <c:pt idx="158">
                  <c:v>-0.444763213396072</c:v>
                </c:pt>
                <c:pt idx="159">
                  <c:v>-0.44365295767784102</c:v>
                </c:pt>
                <c:pt idx="160">
                  <c:v>-0.44214576482772799</c:v>
                </c:pt>
                <c:pt idx="161">
                  <c:v>-0.44130536913871798</c:v>
                </c:pt>
                <c:pt idx="162">
                  <c:v>-0.44025093317031899</c:v>
                </c:pt>
                <c:pt idx="163">
                  <c:v>-0.43965080380439803</c:v>
                </c:pt>
                <c:pt idx="164">
                  <c:v>-0.43809318542480502</c:v>
                </c:pt>
                <c:pt idx="165">
                  <c:v>-0.43839314579963701</c:v>
                </c:pt>
                <c:pt idx="166">
                  <c:v>-0.43583998084068298</c:v>
                </c:pt>
                <c:pt idx="167">
                  <c:v>-0.43629935383796697</c:v>
                </c:pt>
                <c:pt idx="168">
                  <c:v>-0.43416202068328902</c:v>
                </c:pt>
                <c:pt idx="169">
                  <c:v>-0.434673070907593</c:v>
                </c:pt>
                <c:pt idx="170">
                  <c:v>-0.43266072869300798</c:v>
                </c:pt>
                <c:pt idx="171">
                  <c:v>-0.43239229917526201</c:v>
                </c:pt>
                <c:pt idx="172">
                  <c:v>-0.43009239435195901</c:v>
                </c:pt>
                <c:pt idx="173">
                  <c:v>-0.43053796887397799</c:v>
                </c:pt>
                <c:pt idx="174">
                  <c:v>-0.42816600203514099</c:v>
                </c:pt>
                <c:pt idx="175">
                  <c:v>-0.42776280641555797</c:v>
                </c:pt>
                <c:pt idx="176">
                  <c:v>-0.42606446146964999</c:v>
                </c:pt>
                <c:pt idx="177">
                  <c:v>-0.42583233118057301</c:v>
                </c:pt>
                <c:pt idx="178">
                  <c:v>-0.42407020926475503</c:v>
                </c:pt>
                <c:pt idx="179">
                  <c:v>-0.42328405380249001</c:v>
                </c:pt>
                <c:pt idx="180">
                  <c:v>-0.42274919152259799</c:v>
                </c:pt>
                <c:pt idx="181">
                  <c:v>-0.42146679759025601</c:v>
                </c:pt>
                <c:pt idx="182">
                  <c:v>-0.42108687758445701</c:v>
                </c:pt>
                <c:pt idx="183">
                  <c:v>-0.41893354058265703</c:v>
                </c:pt>
                <c:pt idx="184">
                  <c:v>-0.41996783018112199</c:v>
                </c:pt>
                <c:pt idx="185">
                  <c:v>-0.41713130474090598</c:v>
                </c:pt>
                <c:pt idx="186">
                  <c:v>-0.41720011830329901</c:v>
                </c:pt>
                <c:pt idx="187">
                  <c:v>-0.41560682654380798</c:v>
                </c:pt>
                <c:pt idx="188">
                  <c:v>-0.415621668100357</c:v>
                </c:pt>
                <c:pt idx="189">
                  <c:v>-0.412888944149017</c:v>
                </c:pt>
                <c:pt idx="190">
                  <c:v>-0.41283589601516701</c:v>
                </c:pt>
                <c:pt idx="191">
                  <c:v>-0.41136559844017001</c:v>
                </c:pt>
                <c:pt idx="192">
                  <c:v>-0.41120618581771901</c:v>
                </c:pt>
                <c:pt idx="193">
                  <c:v>-0.40876549482345598</c:v>
                </c:pt>
                <c:pt idx="194">
                  <c:v>-0.40885570645332298</c:v>
                </c:pt>
                <c:pt idx="195">
                  <c:v>-0.40738227963447599</c:v>
                </c:pt>
                <c:pt idx="196">
                  <c:v>-0.40679982304573098</c:v>
                </c:pt>
                <c:pt idx="197">
                  <c:v>-0.40599969029426602</c:v>
                </c:pt>
                <c:pt idx="198">
                  <c:v>-0.40490517020225503</c:v>
                </c:pt>
                <c:pt idx="199">
                  <c:v>-0.40398296713829002</c:v>
                </c:pt>
                <c:pt idx="200">
                  <c:v>-0.40280047059059099</c:v>
                </c:pt>
                <c:pt idx="201">
                  <c:v>-0.40219473838806202</c:v>
                </c:pt>
                <c:pt idx="202">
                  <c:v>-0.40082186460495001</c:v>
                </c:pt>
                <c:pt idx="203">
                  <c:v>-0.39986515045165999</c:v>
                </c:pt>
                <c:pt idx="204">
                  <c:v>-0.39869624376297003</c:v>
                </c:pt>
                <c:pt idx="205">
                  <c:v>-0.39777749776840199</c:v>
                </c:pt>
                <c:pt idx="206">
                  <c:v>-0.39591887593269298</c:v>
                </c:pt>
                <c:pt idx="207">
                  <c:v>-0.39568445086479198</c:v>
                </c:pt>
                <c:pt idx="208">
                  <c:v>-0.39424383640289301</c:v>
                </c:pt>
                <c:pt idx="209">
                  <c:v>-0.39413684606552102</c:v>
                </c:pt>
                <c:pt idx="210">
                  <c:v>-0.39192700386047402</c:v>
                </c:pt>
                <c:pt idx="211">
                  <c:v>-0.39277565479278598</c:v>
                </c:pt>
                <c:pt idx="212">
                  <c:v>-0.38979166746139499</c:v>
                </c:pt>
                <c:pt idx="213">
                  <c:v>-0.39029121398925798</c:v>
                </c:pt>
                <c:pt idx="214">
                  <c:v>-0.38829225301742598</c:v>
                </c:pt>
                <c:pt idx="215">
                  <c:v>-0.38866284489631697</c:v>
                </c:pt>
                <c:pt idx="216">
                  <c:v>-0.38632157444953902</c:v>
                </c:pt>
                <c:pt idx="217">
                  <c:v>-0.38648176193237299</c:v>
                </c:pt>
                <c:pt idx="218">
                  <c:v>-0.38426148891449002</c:v>
                </c:pt>
                <c:pt idx="219">
                  <c:v>-0.38398239016532898</c:v>
                </c:pt>
                <c:pt idx="220">
                  <c:v>-0.38203689455986001</c:v>
                </c:pt>
                <c:pt idx="221">
                  <c:v>-0.38219487667083701</c:v>
                </c:pt>
                <c:pt idx="222">
                  <c:v>-0.37958979606628401</c:v>
                </c:pt>
                <c:pt idx="223">
                  <c:v>-0.380038291215897</c:v>
                </c:pt>
                <c:pt idx="224">
                  <c:v>-0.37813001871108998</c:v>
                </c:pt>
                <c:pt idx="225">
                  <c:v>-0.378090649843216</c:v>
                </c:pt>
                <c:pt idx="226">
                  <c:v>-0.37666821479797402</c:v>
                </c:pt>
                <c:pt idx="227">
                  <c:v>-0.37606230378150901</c:v>
                </c:pt>
                <c:pt idx="228">
                  <c:v>-0.37449866533279402</c:v>
                </c:pt>
                <c:pt idx="229">
                  <c:v>-0.37449771165847801</c:v>
                </c:pt>
                <c:pt idx="230">
                  <c:v>-0.37240779399871798</c:v>
                </c:pt>
                <c:pt idx="231">
                  <c:v>-0.37163683772087103</c:v>
                </c:pt>
                <c:pt idx="232">
                  <c:v>-0.37086427211761502</c:v>
                </c:pt>
                <c:pt idx="233">
                  <c:v>-0.36919769644737199</c:v>
                </c:pt>
                <c:pt idx="234">
                  <c:v>-0.36854463815689098</c:v>
                </c:pt>
                <c:pt idx="235">
                  <c:v>-0.36708560585975603</c:v>
                </c:pt>
                <c:pt idx="236">
                  <c:v>-0.36683180928230302</c:v>
                </c:pt>
                <c:pt idx="237">
                  <c:v>-0.36509227752685502</c:v>
                </c:pt>
                <c:pt idx="238">
                  <c:v>-0.36572211980819702</c:v>
                </c:pt>
                <c:pt idx="239">
                  <c:v>-0.36266878247260997</c:v>
                </c:pt>
                <c:pt idx="240">
                  <c:v>-0.36350214481353799</c:v>
                </c:pt>
                <c:pt idx="241">
                  <c:v>-0.36161696910858199</c:v>
                </c:pt>
                <c:pt idx="242">
                  <c:v>-0.36069515347480802</c:v>
                </c:pt>
                <c:pt idx="243">
                  <c:v>-0.35925340652465798</c:v>
                </c:pt>
                <c:pt idx="244">
                  <c:v>-0.35904240608215299</c:v>
                </c:pt>
                <c:pt idx="245">
                  <c:v>-0.35741510987281799</c:v>
                </c:pt>
                <c:pt idx="246">
                  <c:v>-0.35657584667205799</c:v>
                </c:pt>
                <c:pt idx="247">
                  <c:v>-0.35625773668289201</c:v>
                </c:pt>
                <c:pt idx="248">
                  <c:v>-0.35375303030013999</c:v>
                </c:pt>
                <c:pt idx="249">
                  <c:v>-0.35427504777908297</c:v>
                </c:pt>
                <c:pt idx="250">
                  <c:v>-0.35241118073463401</c:v>
                </c:pt>
                <c:pt idx="251">
                  <c:v>-0.35203260183334401</c:v>
                </c:pt>
                <c:pt idx="252">
                  <c:v>-0.350182354450226</c:v>
                </c:pt>
                <c:pt idx="253">
                  <c:v>-0.35042273998260498</c:v>
                </c:pt>
                <c:pt idx="254">
                  <c:v>-0.34805116057395902</c:v>
                </c:pt>
                <c:pt idx="255">
                  <c:v>-0.34815725684165999</c:v>
                </c:pt>
                <c:pt idx="256">
                  <c:v>-0.34586888551711997</c:v>
                </c:pt>
                <c:pt idx="257">
                  <c:v>-0.34679511189460799</c:v>
                </c:pt>
                <c:pt idx="258">
                  <c:v>-0.34443816542625399</c:v>
                </c:pt>
                <c:pt idx="259">
                  <c:v>-0.34393194317817699</c:v>
                </c:pt>
                <c:pt idx="260">
                  <c:v>-0.34233430027961698</c:v>
                </c:pt>
                <c:pt idx="261">
                  <c:v>-0.34234681725501998</c:v>
                </c:pt>
                <c:pt idx="262">
                  <c:v>-0.34029015898704501</c:v>
                </c:pt>
                <c:pt idx="263">
                  <c:v>-0.33971264958381697</c:v>
                </c:pt>
                <c:pt idx="264">
                  <c:v>-0.338788002729416</c:v>
                </c:pt>
                <c:pt idx="265">
                  <c:v>-0.33754363656044001</c:v>
                </c:pt>
                <c:pt idx="266">
                  <c:v>-0.33687850832939098</c:v>
                </c:pt>
                <c:pt idx="267">
                  <c:v>-0.33553761243820202</c:v>
                </c:pt>
                <c:pt idx="268">
                  <c:v>-0.334822118282318</c:v>
                </c:pt>
                <c:pt idx="269">
                  <c:v>-0.33345204591751099</c:v>
                </c:pt>
                <c:pt idx="270">
                  <c:v>-0.33314332365989702</c:v>
                </c:pt>
                <c:pt idx="271">
                  <c:v>-0.33093893527984602</c:v>
                </c:pt>
                <c:pt idx="272">
                  <c:v>-0.33106094598770103</c:v>
                </c:pt>
                <c:pt idx="273">
                  <c:v>-0.32923403382301297</c:v>
                </c:pt>
                <c:pt idx="274">
                  <c:v>-0.32929888367652899</c:v>
                </c:pt>
                <c:pt idx="275">
                  <c:v>-0.326941847801208</c:v>
                </c:pt>
                <c:pt idx="276">
                  <c:v>-0.32793572545051602</c:v>
                </c:pt>
                <c:pt idx="277">
                  <c:v>-0.32508215308189398</c:v>
                </c:pt>
                <c:pt idx="278">
                  <c:v>-0.32499617338180498</c:v>
                </c:pt>
                <c:pt idx="279">
                  <c:v>-0.32336464524269098</c:v>
                </c:pt>
                <c:pt idx="280">
                  <c:v>-0.32354912161827099</c:v>
                </c:pt>
                <c:pt idx="281">
                  <c:v>-0.32069346308708202</c:v>
                </c:pt>
                <c:pt idx="282">
                  <c:v>-0.32106050848960899</c:v>
                </c:pt>
                <c:pt idx="283">
                  <c:v>-0.319177895784378</c:v>
                </c:pt>
                <c:pt idx="284">
                  <c:v>-0.31916481256485002</c:v>
                </c:pt>
                <c:pt idx="285">
                  <c:v>-0.31662705540656999</c:v>
                </c:pt>
                <c:pt idx="286">
                  <c:v>-0.317643612623215</c:v>
                </c:pt>
                <c:pt idx="287">
                  <c:v>-0.31473767757415799</c:v>
                </c:pt>
                <c:pt idx="288">
                  <c:v>-0.31490772962570202</c:v>
                </c:pt>
                <c:pt idx="289">
                  <c:v>-0.31382566690444902</c:v>
                </c:pt>
                <c:pt idx="290">
                  <c:v>-0.31368651986122098</c:v>
                </c:pt>
                <c:pt idx="291">
                  <c:v>-0.31114917993545499</c:v>
                </c:pt>
                <c:pt idx="292">
                  <c:v>-0.31075793504714999</c:v>
                </c:pt>
                <c:pt idx="293">
                  <c:v>-0.30967676639556901</c:v>
                </c:pt>
                <c:pt idx="294">
                  <c:v>-0.30854910612106301</c:v>
                </c:pt>
                <c:pt idx="295">
                  <c:v>-0.30806851387023898</c:v>
                </c:pt>
                <c:pt idx="296">
                  <c:v>-0.306568533182144</c:v>
                </c:pt>
                <c:pt idx="297">
                  <c:v>-0.30562865734100297</c:v>
                </c:pt>
                <c:pt idx="298">
                  <c:v>-0.30453598499298101</c:v>
                </c:pt>
                <c:pt idx="299">
                  <c:v>-0.30395680665969799</c:v>
                </c:pt>
                <c:pt idx="300">
                  <c:v>-0.30241510272026101</c:v>
                </c:pt>
                <c:pt idx="301">
                  <c:v>-0.30203136801719699</c:v>
                </c:pt>
                <c:pt idx="302">
                  <c:v>-0.300656497478485</c:v>
                </c:pt>
                <c:pt idx="303">
                  <c:v>-0.300557881593704</c:v>
                </c:pt>
                <c:pt idx="304">
                  <c:v>-0.29807025194168102</c:v>
                </c:pt>
                <c:pt idx="305">
                  <c:v>-0.29841235280036899</c:v>
                </c:pt>
                <c:pt idx="306">
                  <c:v>-0.296278536319733</c:v>
                </c:pt>
                <c:pt idx="307">
                  <c:v>-0.29596114158630399</c:v>
                </c:pt>
                <c:pt idx="308">
                  <c:v>-0.29407516121864302</c:v>
                </c:pt>
                <c:pt idx="309">
                  <c:v>-0.29394462704658503</c:v>
                </c:pt>
                <c:pt idx="310">
                  <c:v>-0.29233327507972701</c:v>
                </c:pt>
                <c:pt idx="311">
                  <c:v>-0.29228872060775801</c:v>
                </c:pt>
                <c:pt idx="312">
                  <c:v>-0.290416449308395</c:v>
                </c:pt>
                <c:pt idx="313">
                  <c:v>-0.29076644778251598</c:v>
                </c:pt>
                <c:pt idx="314">
                  <c:v>-0.28813770413398698</c:v>
                </c:pt>
                <c:pt idx="315">
                  <c:v>-0.28838488459587103</c:v>
                </c:pt>
                <c:pt idx="316">
                  <c:v>-0.28596726059913602</c:v>
                </c:pt>
                <c:pt idx="317">
                  <c:v>-0.28619560599327099</c:v>
                </c:pt>
                <c:pt idx="318">
                  <c:v>-0.28405779600143399</c:v>
                </c:pt>
                <c:pt idx="319">
                  <c:v>-0.28396156430244401</c:v>
                </c:pt>
                <c:pt idx="320">
                  <c:v>-0.28248137235641502</c:v>
                </c:pt>
                <c:pt idx="321">
                  <c:v>-0.28237742185592701</c:v>
                </c:pt>
                <c:pt idx="322">
                  <c:v>-0.27975106239318798</c:v>
                </c:pt>
                <c:pt idx="323">
                  <c:v>-0.28051775693893399</c:v>
                </c:pt>
                <c:pt idx="324">
                  <c:v>-0.278259336948395</c:v>
                </c:pt>
                <c:pt idx="325">
                  <c:v>-0.278273075819016</c:v>
                </c:pt>
                <c:pt idx="326">
                  <c:v>-0.27626383304595897</c:v>
                </c:pt>
                <c:pt idx="327">
                  <c:v>-0.27677193284034701</c:v>
                </c:pt>
                <c:pt idx="328">
                  <c:v>-0.273867428302765</c:v>
                </c:pt>
                <c:pt idx="329">
                  <c:v>-0.273789942264557</c:v>
                </c:pt>
                <c:pt idx="330">
                  <c:v>-0.27239182591438299</c:v>
                </c:pt>
                <c:pt idx="331">
                  <c:v>-0.27213829755783098</c:v>
                </c:pt>
                <c:pt idx="332">
                  <c:v>-0.27019062638282798</c:v>
                </c:pt>
                <c:pt idx="333">
                  <c:v>-0.27017787098884599</c:v>
                </c:pt>
                <c:pt idx="334">
                  <c:v>-0.26825556159019498</c:v>
                </c:pt>
                <c:pt idx="335">
                  <c:v>-0.26888048648834201</c:v>
                </c:pt>
                <c:pt idx="336">
                  <c:v>-0.26613610982894897</c:v>
                </c:pt>
                <c:pt idx="337">
                  <c:v>-0.266102194786072</c:v>
                </c:pt>
                <c:pt idx="338">
                  <c:v>-0.26409935951232899</c:v>
                </c:pt>
                <c:pt idx="339">
                  <c:v>-0.26475584506988498</c:v>
                </c:pt>
                <c:pt idx="340">
                  <c:v>-0.26183766126632702</c:v>
                </c:pt>
                <c:pt idx="341">
                  <c:v>-0.26167479157447798</c:v>
                </c:pt>
                <c:pt idx="342">
                  <c:v>-0.26030158996581998</c:v>
                </c:pt>
                <c:pt idx="343">
                  <c:v>-0.25965660810470598</c:v>
                </c:pt>
                <c:pt idx="344">
                  <c:v>-0.258410394191742</c:v>
                </c:pt>
                <c:pt idx="345">
                  <c:v>-0.25780439376831099</c:v>
                </c:pt>
                <c:pt idx="346">
                  <c:v>-0.25731828808784502</c:v>
                </c:pt>
                <c:pt idx="347">
                  <c:v>-0.25564351677894598</c:v>
                </c:pt>
                <c:pt idx="348">
                  <c:v>-0.25496986508369401</c:v>
                </c:pt>
                <c:pt idx="349">
                  <c:v>-0.25367245078086897</c:v>
                </c:pt>
                <c:pt idx="350">
                  <c:v>-0.25306463241577098</c:v>
                </c:pt>
                <c:pt idx="351">
                  <c:v>-0.25148802995681802</c:v>
                </c:pt>
                <c:pt idx="352">
                  <c:v>-0.25111481547355702</c:v>
                </c:pt>
                <c:pt idx="353">
                  <c:v>-0.24895390868187001</c:v>
                </c:pt>
                <c:pt idx="354">
                  <c:v>-0.24880318343639399</c:v>
                </c:pt>
                <c:pt idx="355">
                  <c:v>-0.246964871883392</c:v>
                </c:pt>
                <c:pt idx="356">
                  <c:v>-0.247121706604958</c:v>
                </c:pt>
                <c:pt idx="357">
                  <c:v>-0.24471801519393899</c:v>
                </c:pt>
                <c:pt idx="358">
                  <c:v>-0.24559186398982999</c:v>
                </c:pt>
                <c:pt idx="359">
                  <c:v>-0.24281170964241</c:v>
                </c:pt>
                <c:pt idx="360">
                  <c:v>-0.243007943034172</c:v>
                </c:pt>
                <c:pt idx="361">
                  <c:v>-0.24150595068931599</c:v>
                </c:pt>
                <c:pt idx="362">
                  <c:v>-0.24152599275112199</c:v>
                </c:pt>
                <c:pt idx="363">
                  <c:v>-0.239130258560181</c:v>
                </c:pt>
                <c:pt idx="364">
                  <c:v>-0.23990610241890001</c:v>
                </c:pt>
                <c:pt idx="365">
                  <c:v>-0.23711082339286799</c:v>
                </c:pt>
                <c:pt idx="366">
                  <c:v>-0.237089768052101</c:v>
                </c:pt>
                <c:pt idx="367">
                  <c:v>-0.23513451218605</c:v>
                </c:pt>
                <c:pt idx="368">
                  <c:v>-0.23518526554107699</c:v>
                </c:pt>
                <c:pt idx="369">
                  <c:v>-0.23269565403461501</c:v>
                </c:pt>
                <c:pt idx="370">
                  <c:v>-0.232836738228798</c:v>
                </c:pt>
                <c:pt idx="371">
                  <c:v>-0.23142293095588701</c:v>
                </c:pt>
                <c:pt idx="372">
                  <c:v>-0.23134097456932101</c:v>
                </c:pt>
                <c:pt idx="373">
                  <c:v>-0.229225248098373</c:v>
                </c:pt>
                <c:pt idx="374">
                  <c:v>-0.22926178574562101</c:v>
                </c:pt>
                <c:pt idx="375">
                  <c:v>-0.22769279778003701</c:v>
                </c:pt>
                <c:pt idx="376">
                  <c:v>-0.227358639240265</c:v>
                </c:pt>
                <c:pt idx="377">
                  <c:v>-0.22570905089378401</c:v>
                </c:pt>
                <c:pt idx="378">
                  <c:v>-0.22487738728523299</c:v>
                </c:pt>
                <c:pt idx="379">
                  <c:v>-0.22328080236911799</c:v>
                </c:pt>
                <c:pt idx="380">
                  <c:v>-0.223031520843506</c:v>
                </c:pt>
                <c:pt idx="381">
                  <c:v>-0.220803782343864</c:v>
                </c:pt>
                <c:pt idx="382">
                  <c:v>-0.22081862390041401</c:v>
                </c:pt>
                <c:pt idx="383">
                  <c:v>-0.21987447142600999</c:v>
                </c:pt>
                <c:pt idx="384">
                  <c:v>-0.218948408961296</c:v>
                </c:pt>
                <c:pt idx="385">
                  <c:v>-0.217514097690582</c:v>
                </c:pt>
                <c:pt idx="386">
                  <c:v>-0.21771253645420099</c:v>
                </c:pt>
                <c:pt idx="387">
                  <c:v>-0.215316116809845</c:v>
                </c:pt>
                <c:pt idx="388">
                  <c:v>-0.21486538648605299</c:v>
                </c:pt>
                <c:pt idx="389">
                  <c:v>-0.213386461138725</c:v>
                </c:pt>
                <c:pt idx="390">
                  <c:v>-0.21302199363708499</c:v>
                </c:pt>
                <c:pt idx="391">
                  <c:v>-0.21091684699058499</c:v>
                </c:pt>
                <c:pt idx="392">
                  <c:v>-0.211046293377876</c:v>
                </c:pt>
                <c:pt idx="393">
                  <c:v>-0.20913681387901301</c:v>
                </c:pt>
                <c:pt idx="394">
                  <c:v>-0.20937018096446999</c:v>
                </c:pt>
                <c:pt idx="395">
                  <c:v>-0.20762574672699</c:v>
                </c:pt>
                <c:pt idx="396">
                  <c:v>-0.20715622603893299</c:v>
                </c:pt>
                <c:pt idx="397">
                  <c:v>-0.205424964427948</c:v>
                </c:pt>
                <c:pt idx="398">
                  <c:v>-0.205375090241432</c:v>
                </c:pt>
                <c:pt idx="399">
                  <c:v>-0.20304550230503099</c:v>
                </c:pt>
                <c:pt idx="400">
                  <c:v>-0.20282573997974401</c:v>
                </c:pt>
                <c:pt idx="401">
                  <c:v>-0.20138531923294101</c:v>
                </c:pt>
                <c:pt idx="402">
                  <c:v>-0.20079430937767001</c:v>
                </c:pt>
                <c:pt idx="403">
                  <c:v>-0.19935490190982799</c:v>
                </c:pt>
                <c:pt idx="404">
                  <c:v>-0.19920109212398501</c:v>
                </c:pt>
                <c:pt idx="405">
                  <c:v>-0.19786973297596</c:v>
                </c:pt>
                <c:pt idx="406">
                  <c:v>-0.19701260328292799</c:v>
                </c:pt>
                <c:pt idx="407">
                  <c:v>-0.195924162864685</c:v>
                </c:pt>
                <c:pt idx="408">
                  <c:v>-0.19563138484954801</c:v>
                </c:pt>
                <c:pt idx="409">
                  <c:v>-0.193121463060379</c:v>
                </c:pt>
                <c:pt idx="410">
                  <c:v>-0.19310878217220301</c:v>
                </c:pt>
                <c:pt idx="411">
                  <c:v>-0.19125121831893899</c:v>
                </c:pt>
                <c:pt idx="412">
                  <c:v>-0.19063824415206901</c:v>
                </c:pt>
                <c:pt idx="413">
                  <c:v>-0.18904575705528301</c:v>
                </c:pt>
                <c:pt idx="414">
                  <c:v>-0.18896621465683</c:v>
                </c:pt>
                <c:pt idx="415">
                  <c:v>-0.187225386500359</c:v>
                </c:pt>
                <c:pt idx="416">
                  <c:v>-0.18769641220569599</c:v>
                </c:pt>
                <c:pt idx="417">
                  <c:v>-0.18497724831104301</c:v>
                </c:pt>
                <c:pt idx="418">
                  <c:v>-0.18571373820304901</c:v>
                </c:pt>
                <c:pt idx="419">
                  <c:v>-0.18322288990020799</c:v>
                </c:pt>
                <c:pt idx="420">
                  <c:v>-0.18294706940650901</c:v>
                </c:pt>
                <c:pt idx="421">
                  <c:v>-0.181230664253235</c:v>
                </c:pt>
                <c:pt idx="422">
                  <c:v>-0.180521085858345</c:v>
                </c:pt>
                <c:pt idx="423">
                  <c:v>-0.17915779352188099</c:v>
                </c:pt>
                <c:pt idx="424">
                  <c:v>-0.17927670478820801</c:v>
                </c:pt>
                <c:pt idx="425">
                  <c:v>-0.17713266611099199</c:v>
                </c:pt>
                <c:pt idx="426">
                  <c:v>-0.17767581343650801</c:v>
                </c:pt>
                <c:pt idx="427">
                  <c:v>-0.17505472898483301</c:v>
                </c:pt>
                <c:pt idx="428">
                  <c:v>-0.17502163350582101</c:v>
                </c:pt>
                <c:pt idx="429">
                  <c:v>-0.17299181222915599</c:v>
                </c:pt>
                <c:pt idx="430">
                  <c:v>-0.173129111528397</c:v>
                </c:pt>
                <c:pt idx="431">
                  <c:v>-0.17104670405387901</c:v>
                </c:pt>
                <c:pt idx="432">
                  <c:v>-0.17064775526523601</c:v>
                </c:pt>
                <c:pt idx="433">
                  <c:v>-0.169916927814484</c:v>
                </c:pt>
                <c:pt idx="434">
                  <c:v>-0.168780878186226</c:v>
                </c:pt>
                <c:pt idx="435">
                  <c:v>-0.16784830391406999</c:v>
                </c:pt>
                <c:pt idx="436">
                  <c:v>-0.166471347212791</c:v>
                </c:pt>
                <c:pt idx="437">
                  <c:v>-0.16581894457340199</c:v>
                </c:pt>
                <c:pt idx="438">
                  <c:v>-0.16456079483032199</c:v>
                </c:pt>
                <c:pt idx="439">
                  <c:v>-0.16401867568492901</c:v>
                </c:pt>
                <c:pt idx="440">
                  <c:v>-0.16235959529876701</c:v>
                </c:pt>
                <c:pt idx="441">
                  <c:v>-0.16221743822097801</c:v>
                </c:pt>
                <c:pt idx="442">
                  <c:v>-0.16012865304946899</c:v>
                </c:pt>
                <c:pt idx="443">
                  <c:v>-0.16086910665035201</c:v>
                </c:pt>
                <c:pt idx="444">
                  <c:v>-0.15836857259273501</c:v>
                </c:pt>
                <c:pt idx="445">
                  <c:v>-0.15780545771122001</c:v>
                </c:pt>
                <c:pt idx="446">
                  <c:v>-0.15619333088397999</c:v>
                </c:pt>
                <c:pt idx="447">
                  <c:v>-0.15577609837055201</c:v>
                </c:pt>
                <c:pt idx="448">
                  <c:v>-0.15418906509876301</c:v>
                </c:pt>
                <c:pt idx="449">
                  <c:v>-0.153719007968903</c:v>
                </c:pt>
                <c:pt idx="450">
                  <c:v>-0.152627527713776</c:v>
                </c:pt>
                <c:pt idx="451">
                  <c:v>-0.15193162858486201</c:v>
                </c:pt>
                <c:pt idx="452">
                  <c:v>-0.15042206645011899</c:v>
                </c:pt>
                <c:pt idx="453">
                  <c:v>-0.149365499615669</c:v>
                </c:pt>
                <c:pt idx="454">
                  <c:v>-0.148670420050621</c:v>
                </c:pt>
                <c:pt idx="455">
                  <c:v>-0.14786443114280701</c:v>
                </c:pt>
                <c:pt idx="456">
                  <c:v>-0.14655967056751301</c:v>
                </c:pt>
                <c:pt idx="457">
                  <c:v>-0.14563775062560999</c:v>
                </c:pt>
                <c:pt idx="458">
                  <c:v>-0.14447826147079501</c:v>
                </c:pt>
                <c:pt idx="459">
                  <c:v>-0.14363914728164701</c:v>
                </c:pt>
                <c:pt idx="460">
                  <c:v>-0.14293792843818701</c:v>
                </c:pt>
                <c:pt idx="461">
                  <c:v>-0.14186751842498799</c:v>
                </c:pt>
                <c:pt idx="462">
                  <c:v>-0.14067308604717299</c:v>
                </c:pt>
                <c:pt idx="463">
                  <c:v>-0.139507070183754</c:v>
                </c:pt>
                <c:pt idx="464">
                  <c:v>-0.13897679746151001</c:v>
                </c:pt>
                <c:pt idx="465">
                  <c:v>-0.13696548342704801</c:v>
                </c:pt>
                <c:pt idx="466">
                  <c:v>-0.137224286794662</c:v>
                </c:pt>
                <c:pt idx="467">
                  <c:v>-0.13561820983886699</c:v>
                </c:pt>
                <c:pt idx="468">
                  <c:v>-0.13482235372066501</c:v>
                </c:pt>
                <c:pt idx="469">
                  <c:v>-0.13327485322952301</c:v>
                </c:pt>
                <c:pt idx="470">
                  <c:v>-0.13326106965541801</c:v>
                </c:pt>
                <c:pt idx="471">
                  <c:v>-0.131209567189217</c:v>
                </c:pt>
                <c:pt idx="472">
                  <c:v>-0.13129960000515001</c:v>
                </c:pt>
                <c:pt idx="473">
                  <c:v>-0.12930202484130901</c:v>
                </c:pt>
                <c:pt idx="474">
                  <c:v>-0.12972214818000799</c:v>
                </c:pt>
                <c:pt idx="475">
                  <c:v>-0.12737454473972301</c:v>
                </c:pt>
                <c:pt idx="476">
                  <c:v>-0.12705528736114499</c:v>
                </c:pt>
                <c:pt idx="477">
                  <c:v>-0.124797783792019</c:v>
                </c:pt>
                <c:pt idx="478">
                  <c:v>-0.124931029975414</c:v>
                </c:pt>
                <c:pt idx="479">
                  <c:v>-0.123021952807903</c:v>
                </c:pt>
                <c:pt idx="480">
                  <c:v>-0.123345509171486</c:v>
                </c:pt>
                <c:pt idx="481">
                  <c:v>-0.12162484228610999</c:v>
                </c:pt>
                <c:pt idx="482">
                  <c:v>-0.121235527098179</c:v>
                </c:pt>
                <c:pt idx="483">
                  <c:v>-0.120081335306168</c:v>
                </c:pt>
                <c:pt idx="484">
                  <c:v>-0.11831717193126701</c:v>
                </c:pt>
                <c:pt idx="485">
                  <c:v>-0.1176533177495</c:v>
                </c:pt>
                <c:pt idx="486">
                  <c:v>-0.116397075355053</c:v>
                </c:pt>
                <c:pt idx="487">
                  <c:v>-0.115719214081764</c:v>
                </c:pt>
                <c:pt idx="488">
                  <c:v>-0.114819586277008</c:v>
                </c:pt>
                <c:pt idx="489">
                  <c:v>-0.114008098840714</c:v>
                </c:pt>
                <c:pt idx="490">
                  <c:v>-0.112419039011002</c:v>
                </c:pt>
                <c:pt idx="491">
                  <c:v>-0.112745709717274</c:v>
                </c:pt>
                <c:pt idx="492">
                  <c:v>-0.10984329879283899</c:v>
                </c:pt>
                <c:pt idx="493">
                  <c:v>-0.109589718282223</c:v>
                </c:pt>
                <c:pt idx="494">
                  <c:v>-0.107930615544319</c:v>
                </c:pt>
                <c:pt idx="495">
                  <c:v>-0.108107447624207</c:v>
                </c:pt>
                <c:pt idx="496">
                  <c:v>-0.106467738747597</c:v>
                </c:pt>
                <c:pt idx="497">
                  <c:v>-0.105865187942982</c:v>
                </c:pt>
                <c:pt idx="498">
                  <c:v>-0.10456137359142301</c:v>
                </c:pt>
                <c:pt idx="499">
                  <c:v>-0.10384006798267401</c:v>
                </c:pt>
                <c:pt idx="500">
                  <c:v>-0.102373018860817</c:v>
                </c:pt>
                <c:pt idx="501">
                  <c:v>-0.101149804890156</c:v>
                </c:pt>
                <c:pt idx="502">
                  <c:v>-0.100952483713627</c:v>
                </c:pt>
                <c:pt idx="503">
                  <c:v>-9.9062092602253002E-2</c:v>
                </c:pt>
                <c:pt idx="504">
                  <c:v>-9.9802553653716999E-2</c:v>
                </c:pt>
                <c:pt idx="505">
                  <c:v>-9.6959665417670995E-2</c:v>
                </c:pt>
                <c:pt idx="506">
                  <c:v>-9.7267173230647999E-2</c:v>
                </c:pt>
                <c:pt idx="507">
                  <c:v>-9.5240063965321003E-2</c:v>
                </c:pt>
                <c:pt idx="508">
                  <c:v>-9.5242060720921007E-2</c:v>
                </c:pt>
                <c:pt idx="509">
                  <c:v>-9.3356966972351005E-2</c:v>
                </c:pt>
                <c:pt idx="510">
                  <c:v>-9.2830061912536996E-2</c:v>
                </c:pt>
                <c:pt idx="511">
                  <c:v>-9.1440051794051999E-2</c:v>
                </c:pt>
                <c:pt idx="512">
                  <c:v>-9.0931244194508001E-2</c:v>
                </c:pt>
                <c:pt idx="513">
                  <c:v>-8.9332178235054002E-2</c:v>
                </c:pt>
                <c:pt idx="514">
                  <c:v>-8.8828288018703003E-2</c:v>
                </c:pt>
                <c:pt idx="515">
                  <c:v>-8.7909616529942003E-2</c:v>
                </c:pt>
                <c:pt idx="516">
                  <c:v>-8.6456276476383001E-2</c:v>
                </c:pt>
                <c:pt idx="517">
                  <c:v>-8.6079478263854994E-2</c:v>
                </c:pt>
                <c:pt idx="518">
                  <c:v>-8.3954840898514002E-2</c:v>
                </c:pt>
                <c:pt idx="519">
                  <c:v>-8.3850875496864E-2</c:v>
                </c:pt>
                <c:pt idx="520">
                  <c:v>-8.2036308944225006E-2</c:v>
                </c:pt>
                <c:pt idx="521">
                  <c:v>-8.2644730806350999E-2</c:v>
                </c:pt>
                <c:pt idx="522">
                  <c:v>-8.0216325819491993E-2</c:v>
                </c:pt>
                <c:pt idx="523">
                  <c:v>-8.0128438770770999E-2</c:v>
                </c:pt>
                <c:pt idx="524">
                  <c:v>-7.8112863004208E-2</c:v>
                </c:pt>
                <c:pt idx="525">
                  <c:v>-7.8085280954837993E-2</c:v>
                </c:pt>
                <c:pt idx="526">
                  <c:v>-7.6123811304568995E-2</c:v>
                </c:pt>
                <c:pt idx="527">
                  <c:v>-7.5524479150771998E-2</c:v>
                </c:pt>
                <c:pt idx="528">
                  <c:v>-7.4946291744709001E-2</c:v>
                </c:pt>
                <c:pt idx="529">
                  <c:v>-7.3418639600277003E-2</c:v>
                </c:pt>
                <c:pt idx="530">
                  <c:v>-7.3657386004924996E-2</c:v>
                </c:pt>
                <c:pt idx="531">
                  <c:v>-7.0698738098145003E-2</c:v>
                </c:pt>
                <c:pt idx="532">
                  <c:v>-7.1159362792969E-2</c:v>
                </c:pt>
                <c:pt idx="533">
                  <c:v>-6.8866685032845001E-2</c:v>
                </c:pt>
                <c:pt idx="534">
                  <c:v>-6.9370448589325007E-2</c:v>
                </c:pt>
                <c:pt idx="535">
                  <c:v>-6.7751757800579002E-2</c:v>
                </c:pt>
                <c:pt idx="536">
                  <c:v>-6.6808678209781994E-2</c:v>
                </c:pt>
                <c:pt idx="537">
                  <c:v>-6.5968170762062003E-2</c:v>
                </c:pt>
                <c:pt idx="538">
                  <c:v>-6.4011275768280002E-2</c:v>
                </c:pt>
                <c:pt idx="539">
                  <c:v>-6.3822634518147001E-2</c:v>
                </c:pt>
                <c:pt idx="540">
                  <c:v>-6.2547326087951993E-2</c:v>
                </c:pt>
                <c:pt idx="541">
                  <c:v>-6.2505960464477997E-2</c:v>
                </c:pt>
                <c:pt idx="542">
                  <c:v>-6.0266807675362001E-2</c:v>
                </c:pt>
                <c:pt idx="543">
                  <c:v>-6.0077726840972998E-2</c:v>
                </c:pt>
                <c:pt idx="544">
                  <c:v>-5.8501247316599003E-2</c:v>
                </c:pt>
                <c:pt idx="545">
                  <c:v>-5.7968802750111001E-2</c:v>
                </c:pt>
                <c:pt idx="546">
                  <c:v>-5.6550469249487E-2</c:v>
                </c:pt>
                <c:pt idx="547">
                  <c:v>-5.5279608815908002E-2</c:v>
                </c:pt>
                <c:pt idx="548">
                  <c:v>-5.4847847670317001E-2</c:v>
                </c:pt>
                <c:pt idx="549">
                  <c:v>-5.3506817668676002E-2</c:v>
                </c:pt>
                <c:pt idx="550">
                  <c:v>-5.2980788052081999E-2</c:v>
                </c:pt>
                <c:pt idx="551">
                  <c:v>-5.1111422479152999E-2</c:v>
                </c:pt>
                <c:pt idx="552">
                  <c:v>-5.0962034612894003E-2</c:v>
                </c:pt>
                <c:pt idx="553">
                  <c:v>-4.9212727695703999E-2</c:v>
                </c:pt>
                <c:pt idx="554">
                  <c:v>-4.8423610627650999E-2</c:v>
                </c:pt>
                <c:pt idx="555">
                  <c:v>-4.7919578850268998E-2</c:v>
                </c:pt>
                <c:pt idx="556">
                  <c:v>-4.6448137611150998E-2</c:v>
                </c:pt>
                <c:pt idx="557">
                  <c:v>-4.6207398176193001E-2</c:v>
                </c:pt>
                <c:pt idx="558">
                  <c:v>-4.4118627905846003E-2</c:v>
                </c:pt>
                <c:pt idx="559">
                  <c:v>-4.4263087213039003E-2</c:v>
                </c:pt>
                <c:pt idx="560">
                  <c:v>-4.2068056762217997E-2</c:v>
                </c:pt>
                <c:pt idx="561">
                  <c:v>-4.1945002973080001E-2</c:v>
                </c:pt>
                <c:pt idx="562">
                  <c:v>-4.0239185094832999E-2</c:v>
                </c:pt>
                <c:pt idx="563">
                  <c:v>-4.0435437113047E-2</c:v>
                </c:pt>
                <c:pt idx="564">
                  <c:v>-3.8784757256507998E-2</c:v>
                </c:pt>
                <c:pt idx="565">
                  <c:v>-3.7849135696887998E-2</c:v>
                </c:pt>
                <c:pt idx="566">
                  <c:v>-3.6570876836776997E-2</c:v>
                </c:pt>
                <c:pt idx="567">
                  <c:v>-3.5293601453303999E-2</c:v>
                </c:pt>
                <c:pt idx="568">
                  <c:v>-3.4802440553904003E-2</c:v>
                </c:pt>
                <c:pt idx="569">
                  <c:v>-3.3183615654706997E-2</c:v>
                </c:pt>
                <c:pt idx="570">
                  <c:v>-3.3187858760357E-2</c:v>
                </c:pt>
                <c:pt idx="571">
                  <c:v>-3.0843118205667E-2</c:v>
                </c:pt>
                <c:pt idx="572">
                  <c:v>-3.1675118952990002E-2</c:v>
                </c:pt>
                <c:pt idx="573">
                  <c:v>-2.9106989502907001E-2</c:v>
                </c:pt>
                <c:pt idx="574">
                  <c:v>-2.9017742723226998E-2</c:v>
                </c:pt>
                <c:pt idx="575">
                  <c:v>-2.7229189872742001E-2</c:v>
                </c:pt>
                <c:pt idx="576">
                  <c:v>-2.6810077950357999E-2</c:v>
                </c:pt>
                <c:pt idx="577">
                  <c:v>-2.5878755375742999E-2</c:v>
                </c:pt>
                <c:pt idx="578">
                  <c:v>-2.4611573666334E-2</c:v>
                </c:pt>
                <c:pt idx="579">
                  <c:v>-2.4007452651858E-2</c:v>
                </c:pt>
                <c:pt idx="580">
                  <c:v>-2.2187072783708999E-2</c:v>
                </c:pt>
                <c:pt idx="581">
                  <c:v>-2.1997295320033999E-2</c:v>
                </c:pt>
                <c:pt idx="582">
                  <c:v>-2.0490810275078E-2</c:v>
                </c:pt>
                <c:pt idx="583">
                  <c:v>-2.0086379721761E-2</c:v>
                </c:pt>
                <c:pt idx="584">
                  <c:v>-1.8268374726176002E-2</c:v>
                </c:pt>
                <c:pt idx="585">
                  <c:v>-1.8123039975761999E-2</c:v>
                </c:pt>
                <c:pt idx="586">
                  <c:v>-1.6411814838647999E-2</c:v>
                </c:pt>
                <c:pt idx="587">
                  <c:v>-1.5860294923186E-2</c:v>
                </c:pt>
                <c:pt idx="588">
                  <c:v>-1.5109677799046E-2</c:v>
                </c:pt>
                <c:pt idx="589">
                  <c:v>-1.3225198723376E-2</c:v>
                </c:pt>
                <c:pt idx="590">
                  <c:v>-1.30660738796E-2</c:v>
                </c:pt>
                <c:pt idx="591">
                  <c:v>-1.1056865565478999E-2</c:v>
                </c:pt>
                <c:pt idx="592">
                  <c:v>-1.1716700159013001E-2</c:v>
                </c:pt>
                <c:pt idx="593">
                  <c:v>-9.0786470100279997E-3</c:v>
                </c:pt>
                <c:pt idx="594">
                  <c:v>-8.7813893333079998E-3</c:v>
                </c:pt>
                <c:pt idx="595">
                  <c:v>-7.0325634442270002E-3</c:v>
                </c:pt>
                <c:pt idx="596">
                  <c:v>-7.090429309756E-3</c:v>
                </c:pt>
                <c:pt idx="597">
                  <c:v>-5.306117236614E-3</c:v>
                </c:pt>
                <c:pt idx="598">
                  <c:v>-4.5696496963499996E-3</c:v>
                </c:pt>
                <c:pt idx="599">
                  <c:v>-3.8008019328119999E-3</c:v>
                </c:pt>
                <c:pt idx="600">
                  <c:v>-2.4417028762399999E-3</c:v>
                </c:pt>
                <c:pt idx="601">
                  <c:v>-2.4864361621439999E-3</c:v>
                </c:pt>
                <c:pt idx="602">
                  <c:v>1.8178638129E-5</c:v>
                </c:pt>
                <c:pt idx="603">
                  <c:v>-9.8595439339999995E-5</c:v>
                </c:pt>
                <c:pt idx="604">
                  <c:v>2.3074443452060001E-3</c:v>
                </c:pt>
                <c:pt idx="605">
                  <c:v>1.847255509347E-3</c:v>
                </c:pt>
                <c:pt idx="606">
                  <c:v>3.4595029428599999E-3</c:v>
                </c:pt>
                <c:pt idx="607">
                  <c:v>4.2190556414429996E-3</c:v>
                </c:pt>
                <c:pt idx="608">
                  <c:v>4.624501802027E-3</c:v>
                </c:pt>
                <c:pt idx="609">
                  <c:v>6.7809540778399997E-3</c:v>
                </c:pt>
                <c:pt idx="610">
                  <c:v>6.9791837595400003E-3</c:v>
                </c:pt>
                <c:pt idx="611">
                  <c:v>9.0309698134659992E-3</c:v>
                </c:pt>
                <c:pt idx="612">
                  <c:v>8.8177425786849992E-3</c:v>
                </c:pt>
                <c:pt idx="613">
                  <c:v>1.0863018222152999E-2</c:v>
                </c:pt>
                <c:pt idx="614">
                  <c:v>1.0881052352487999E-2</c:v>
                </c:pt>
                <c:pt idx="615">
                  <c:v>1.2204928323627001E-2</c:v>
                </c:pt>
                <c:pt idx="616">
                  <c:v>1.3551154173910999E-2</c:v>
                </c:pt>
                <c:pt idx="617">
                  <c:v>1.3716171495616001E-2</c:v>
                </c:pt>
                <c:pt idx="618">
                  <c:v>1.6186250373721001E-2</c:v>
                </c:pt>
                <c:pt idx="619">
                  <c:v>1.5992118045688002E-2</c:v>
                </c:pt>
                <c:pt idx="620">
                  <c:v>1.790046878159E-2</c:v>
                </c:pt>
                <c:pt idx="621">
                  <c:v>1.7627913504838999E-2</c:v>
                </c:pt>
                <c:pt idx="622">
                  <c:v>1.9423834979534E-2</c:v>
                </c:pt>
                <c:pt idx="623">
                  <c:v>2.047305367887E-2</c:v>
                </c:pt>
                <c:pt idx="624">
                  <c:v>2.114243619144E-2</c:v>
                </c:pt>
                <c:pt idx="625">
                  <c:v>2.2430902346969001E-2</c:v>
                </c:pt>
                <c:pt idx="626">
                  <c:v>2.3167556151747998E-2</c:v>
                </c:pt>
                <c:pt idx="627">
                  <c:v>2.4297682568431001E-2</c:v>
                </c:pt>
                <c:pt idx="628">
                  <c:v>2.4927467107773001E-2</c:v>
                </c:pt>
                <c:pt idx="629">
                  <c:v>2.6799831539391999E-2</c:v>
                </c:pt>
                <c:pt idx="630">
                  <c:v>2.7150880545377998E-2</c:v>
                </c:pt>
                <c:pt idx="631">
                  <c:v>2.8642490506172E-2</c:v>
                </c:pt>
                <c:pt idx="632">
                  <c:v>2.9045268893242E-2</c:v>
                </c:pt>
                <c:pt idx="633">
                  <c:v>3.0191296711564002E-2</c:v>
                </c:pt>
                <c:pt idx="634">
                  <c:v>3.1507782638073002E-2</c:v>
                </c:pt>
                <c:pt idx="635">
                  <c:v>3.2214291393756998E-2</c:v>
                </c:pt>
                <c:pt idx="636">
                  <c:v>3.3991180360317001E-2</c:v>
                </c:pt>
                <c:pt idx="637">
                  <c:v>3.3911731094122002E-2</c:v>
                </c:pt>
                <c:pt idx="638">
                  <c:v>3.5807315260172001E-2</c:v>
                </c:pt>
                <c:pt idx="639">
                  <c:v>3.5674814134836003E-2</c:v>
                </c:pt>
                <c:pt idx="640">
                  <c:v>3.7352941930294002E-2</c:v>
                </c:pt>
                <c:pt idx="641">
                  <c:v>3.8406342267990001E-2</c:v>
                </c:pt>
                <c:pt idx="642">
                  <c:v>3.8712721318007001E-2</c:v>
                </c:pt>
                <c:pt idx="643">
                  <c:v>4.0635142475367002E-2</c:v>
                </c:pt>
                <c:pt idx="644">
                  <c:v>4.1070278733968998E-2</c:v>
                </c:pt>
                <c:pt idx="645">
                  <c:v>4.2827874422073003E-2</c:v>
                </c:pt>
                <c:pt idx="646">
                  <c:v>4.3110050261021E-2</c:v>
                </c:pt>
                <c:pt idx="647">
                  <c:v>4.4107303023337999E-2</c:v>
                </c:pt>
                <c:pt idx="648">
                  <c:v>4.5320812612772002E-2</c:v>
                </c:pt>
                <c:pt idx="649">
                  <c:v>4.6032175421714998E-2</c:v>
                </c:pt>
                <c:pt idx="650">
                  <c:v>4.7977130860089999E-2</c:v>
                </c:pt>
                <c:pt idx="651">
                  <c:v>4.7753293067216998E-2</c:v>
                </c:pt>
                <c:pt idx="652">
                  <c:v>4.9544990062713998E-2</c:v>
                </c:pt>
                <c:pt idx="653">
                  <c:v>4.9906771630049002E-2</c:v>
                </c:pt>
                <c:pt idx="654">
                  <c:v>5.1397513598203999E-2</c:v>
                </c:pt>
                <c:pt idx="655">
                  <c:v>5.2762519568204998E-2</c:v>
                </c:pt>
                <c:pt idx="656">
                  <c:v>5.3211420774459998E-2</c:v>
                </c:pt>
                <c:pt idx="657">
                  <c:v>5.4735656827688002E-2</c:v>
                </c:pt>
                <c:pt idx="658">
                  <c:v>5.4499100893735997E-2</c:v>
                </c:pt>
                <c:pt idx="659">
                  <c:v>5.6366145610809E-2</c:v>
                </c:pt>
                <c:pt idx="660">
                  <c:v>5.7401526719331998E-2</c:v>
                </c:pt>
                <c:pt idx="661">
                  <c:v>5.8282509446144E-2</c:v>
                </c:pt>
                <c:pt idx="662">
                  <c:v>5.9496652334928998E-2</c:v>
                </c:pt>
                <c:pt idx="663">
                  <c:v>5.9800054877996001E-2</c:v>
                </c:pt>
                <c:pt idx="664">
                  <c:v>6.1512313783169001E-2</c:v>
                </c:pt>
                <c:pt idx="665">
                  <c:v>6.2123265117406998E-2</c:v>
                </c:pt>
                <c:pt idx="666">
                  <c:v>6.3297629356384E-2</c:v>
                </c:pt>
                <c:pt idx="667">
                  <c:v>6.4238548278808996E-2</c:v>
                </c:pt>
                <c:pt idx="668">
                  <c:v>6.5064936876296997E-2</c:v>
                </c:pt>
                <c:pt idx="669">
                  <c:v>6.6637791693211004E-2</c:v>
                </c:pt>
                <c:pt idx="670">
                  <c:v>6.7022167146205999E-2</c:v>
                </c:pt>
                <c:pt idx="671">
                  <c:v>6.8770833313464994E-2</c:v>
                </c:pt>
                <c:pt idx="672">
                  <c:v>6.8818144500256001E-2</c:v>
                </c:pt>
                <c:pt idx="673">
                  <c:v>7.1054369211196997E-2</c:v>
                </c:pt>
                <c:pt idx="674">
                  <c:v>7.0503801107407005E-2</c:v>
                </c:pt>
                <c:pt idx="675">
                  <c:v>7.2798371315001997E-2</c:v>
                </c:pt>
                <c:pt idx="676">
                  <c:v>7.3259413242340005E-2</c:v>
                </c:pt>
                <c:pt idx="677">
                  <c:v>7.4452206492423997E-2</c:v>
                </c:pt>
                <c:pt idx="678">
                  <c:v>7.5765982270241006E-2</c:v>
                </c:pt>
                <c:pt idx="679">
                  <c:v>7.5461052358149996E-2</c:v>
                </c:pt>
                <c:pt idx="680">
                  <c:v>7.7853210270404996E-2</c:v>
                </c:pt>
                <c:pt idx="681">
                  <c:v>7.8154228627681996E-2</c:v>
                </c:pt>
                <c:pt idx="682">
                  <c:v>7.9804070293903004E-2</c:v>
                </c:pt>
                <c:pt idx="683">
                  <c:v>7.9866960644721999E-2</c:v>
                </c:pt>
                <c:pt idx="684">
                  <c:v>8.2078486680983997E-2</c:v>
                </c:pt>
                <c:pt idx="685">
                  <c:v>8.1714622676373E-2</c:v>
                </c:pt>
                <c:pt idx="686">
                  <c:v>8.3528883755207006E-2</c:v>
                </c:pt>
                <c:pt idx="687">
                  <c:v>8.3771571516990995E-2</c:v>
                </c:pt>
                <c:pt idx="688">
                  <c:v>8.5559837520123E-2</c:v>
                </c:pt>
                <c:pt idx="689">
                  <c:v>8.6660206317902E-2</c:v>
                </c:pt>
                <c:pt idx="690">
                  <c:v>8.6869187653065005E-2</c:v>
                </c:pt>
                <c:pt idx="691">
                  <c:v>8.9234441518784E-2</c:v>
                </c:pt>
                <c:pt idx="692">
                  <c:v>8.8220678269863004E-2</c:v>
                </c:pt>
                <c:pt idx="693">
                  <c:v>9.1118909418583E-2</c:v>
                </c:pt>
                <c:pt idx="694">
                  <c:v>9.0922608971596E-2</c:v>
                </c:pt>
                <c:pt idx="695">
                  <c:v>9.3111090362072005E-2</c:v>
                </c:pt>
                <c:pt idx="696">
                  <c:v>9.3050636351108995E-2</c:v>
                </c:pt>
                <c:pt idx="697">
                  <c:v>9.4200573861598996E-2</c:v>
                </c:pt>
                <c:pt idx="698">
                  <c:v>9.5640100538730996E-2</c:v>
                </c:pt>
                <c:pt idx="699">
                  <c:v>9.5423698425292997E-2</c:v>
                </c:pt>
                <c:pt idx="700">
                  <c:v>9.8105520009995006E-2</c:v>
                </c:pt>
                <c:pt idx="701">
                  <c:v>9.7804196178913005E-2</c:v>
                </c:pt>
                <c:pt idx="702">
                  <c:v>0.10012209415435799</c:v>
                </c:pt>
                <c:pt idx="703">
                  <c:v>9.9843740463257002E-2</c:v>
                </c:pt>
                <c:pt idx="704">
                  <c:v>0.101315535604954</c:v>
                </c:pt>
                <c:pt idx="705">
                  <c:v>0.10228187590837499</c:v>
                </c:pt>
                <c:pt idx="706">
                  <c:v>0.103130608797073</c:v>
                </c:pt>
                <c:pt idx="707">
                  <c:v>0.104607284069061</c:v>
                </c:pt>
                <c:pt idx="708">
                  <c:v>0.104602009057999</c:v>
                </c:pt>
                <c:pt idx="709">
                  <c:v>0.106893368065357</c:v>
                </c:pt>
                <c:pt idx="710">
                  <c:v>0.107246659696102</c:v>
                </c:pt>
                <c:pt idx="711">
                  <c:v>0.108551435172558</c:v>
                </c:pt>
                <c:pt idx="712">
                  <c:v>0.109103076159954</c:v>
                </c:pt>
                <c:pt idx="713">
                  <c:v>0.110361181199551</c:v>
                </c:pt>
                <c:pt idx="714">
                  <c:v>0.11134035140276</c:v>
                </c:pt>
                <c:pt idx="715">
                  <c:v>0.11234510689973801</c:v>
                </c:pt>
                <c:pt idx="716">
                  <c:v>0.11402212828397799</c:v>
                </c:pt>
                <c:pt idx="717">
                  <c:v>0.11405224353075</c:v>
                </c:pt>
                <c:pt idx="718">
                  <c:v>0.115468040108681</c:v>
                </c:pt>
                <c:pt idx="719">
                  <c:v>0.116197884082794</c:v>
                </c:pt>
                <c:pt idx="720">
                  <c:v>0.116997763514519</c:v>
                </c:pt>
                <c:pt idx="721">
                  <c:v>0.118209227919579</c:v>
                </c:pt>
                <c:pt idx="722">
                  <c:v>0.119052283465862</c:v>
                </c:pt>
                <c:pt idx="723">
                  <c:v>0.120649106800556</c:v>
                </c:pt>
                <c:pt idx="724">
                  <c:v>0.120547279715538</c:v>
                </c:pt>
                <c:pt idx="725">
                  <c:v>0.12264655530452701</c:v>
                </c:pt>
                <c:pt idx="726">
                  <c:v>0.123149491846561</c:v>
                </c:pt>
                <c:pt idx="727">
                  <c:v>0.124394834041595</c:v>
                </c:pt>
                <c:pt idx="728">
                  <c:v>0.12499321252107599</c:v>
                </c:pt>
                <c:pt idx="729">
                  <c:v>0.12653033435344699</c:v>
                </c:pt>
                <c:pt idx="730">
                  <c:v>0.12742249667644501</c:v>
                </c:pt>
                <c:pt idx="731">
                  <c:v>0.12804733216762501</c:v>
                </c:pt>
                <c:pt idx="732">
                  <c:v>0.12978820502758001</c:v>
                </c:pt>
                <c:pt idx="733">
                  <c:v>0.129538848996162</c:v>
                </c:pt>
                <c:pt idx="734">
                  <c:v>0.13161595165729501</c:v>
                </c:pt>
                <c:pt idx="735">
                  <c:v>0.13220046460628501</c:v>
                </c:pt>
                <c:pt idx="736">
                  <c:v>0.13373441994190199</c:v>
                </c:pt>
                <c:pt idx="737">
                  <c:v>0.13415235280990601</c:v>
                </c:pt>
                <c:pt idx="738">
                  <c:v>0.13508167862892201</c:v>
                </c:pt>
                <c:pt idx="739">
                  <c:v>0.136663377285004</c:v>
                </c:pt>
                <c:pt idx="740">
                  <c:v>0.136424675583839</c:v>
                </c:pt>
                <c:pt idx="741">
                  <c:v>0.13900248706340801</c:v>
                </c:pt>
                <c:pt idx="742">
                  <c:v>0.13936316967010501</c:v>
                </c:pt>
                <c:pt idx="743">
                  <c:v>0.1405099183321</c:v>
                </c:pt>
                <c:pt idx="744">
                  <c:v>0.14104688167571999</c:v>
                </c:pt>
                <c:pt idx="745">
                  <c:v>0.14208313822746299</c:v>
                </c:pt>
                <c:pt idx="746">
                  <c:v>0.14388865232467701</c:v>
                </c:pt>
                <c:pt idx="747">
                  <c:v>0.14393004775047299</c:v>
                </c:pt>
                <c:pt idx="748">
                  <c:v>0.14587347209453599</c:v>
                </c:pt>
                <c:pt idx="749">
                  <c:v>0.145833849906921</c:v>
                </c:pt>
                <c:pt idx="750">
                  <c:v>0.14758883416652699</c:v>
                </c:pt>
                <c:pt idx="751">
                  <c:v>0.14833034574985501</c:v>
                </c:pt>
                <c:pt idx="752">
                  <c:v>0.14867728948593101</c:v>
                </c:pt>
                <c:pt idx="753">
                  <c:v>0.15066416561603499</c:v>
                </c:pt>
                <c:pt idx="754">
                  <c:v>0.15102930366993</c:v>
                </c:pt>
                <c:pt idx="755">
                  <c:v>0.15265429019928001</c:v>
                </c:pt>
                <c:pt idx="756">
                  <c:v>0.15252697467803999</c:v>
                </c:pt>
                <c:pt idx="757">
                  <c:v>0.15460515022277799</c:v>
                </c:pt>
                <c:pt idx="758">
                  <c:v>0.155381664633751</c:v>
                </c:pt>
                <c:pt idx="759">
                  <c:v>0.15607431530952501</c:v>
                </c:pt>
                <c:pt idx="760">
                  <c:v>0.15768791735172299</c:v>
                </c:pt>
                <c:pt idx="761">
                  <c:v>0.157819449901581</c:v>
                </c:pt>
                <c:pt idx="762">
                  <c:v>0.15966634452343001</c:v>
                </c:pt>
                <c:pt idx="763">
                  <c:v>0.15987002849578899</c:v>
                </c:pt>
                <c:pt idx="764">
                  <c:v>0.161005154252052</c:v>
                </c:pt>
                <c:pt idx="765">
                  <c:v>0.162379935383797</c:v>
                </c:pt>
                <c:pt idx="766">
                  <c:v>0.16337832808494601</c:v>
                </c:pt>
                <c:pt idx="767">
                  <c:v>0.16476044058799699</c:v>
                </c:pt>
                <c:pt idx="768">
                  <c:v>0.164222598075867</c:v>
                </c:pt>
                <c:pt idx="769">
                  <c:v>0.166242301464081</c:v>
                </c:pt>
                <c:pt idx="770">
                  <c:v>0.16697438061237299</c:v>
                </c:pt>
                <c:pt idx="771">
                  <c:v>0.16830544173717499</c:v>
                </c:pt>
                <c:pt idx="772">
                  <c:v>0.16946095228195199</c:v>
                </c:pt>
                <c:pt idx="773">
                  <c:v>0.16973996162414601</c:v>
                </c:pt>
                <c:pt idx="774">
                  <c:v>0.1715337485075</c:v>
                </c:pt>
                <c:pt idx="775">
                  <c:v>0.17195180058479301</c:v>
                </c:pt>
                <c:pt idx="776">
                  <c:v>0.17350403964519501</c:v>
                </c:pt>
                <c:pt idx="777">
                  <c:v>0.17400130629539501</c:v>
                </c:pt>
                <c:pt idx="778">
                  <c:v>0.175362348556519</c:v>
                </c:pt>
                <c:pt idx="779">
                  <c:v>0.176487430930138</c:v>
                </c:pt>
                <c:pt idx="780">
                  <c:v>0.176562145352364</c:v>
                </c:pt>
                <c:pt idx="781">
                  <c:v>0.179019689559937</c:v>
                </c:pt>
                <c:pt idx="782">
                  <c:v>0.17898827791214</c:v>
                </c:pt>
                <c:pt idx="783">
                  <c:v>0.18086196482181499</c:v>
                </c:pt>
                <c:pt idx="784">
                  <c:v>0.180953979492188</c:v>
                </c:pt>
                <c:pt idx="785">
                  <c:v>0.18282420933246599</c:v>
                </c:pt>
                <c:pt idx="786">
                  <c:v>0.18325015902519201</c:v>
                </c:pt>
                <c:pt idx="787">
                  <c:v>0.18414069712162001</c:v>
                </c:pt>
                <c:pt idx="788">
                  <c:v>0.18578217923641199</c:v>
                </c:pt>
                <c:pt idx="789">
                  <c:v>0.18540096282959001</c:v>
                </c:pt>
                <c:pt idx="790">
                  <c:v>0.18766477704048201</c:v>
                </c:pt>
                <c:pt idx="791">
                  <c:v>0.18824802339076999</c:v>
                </c:pt>
                <c:pt idx="792">
                  <c:v>0.18991903960704801</c:v>
                </c:pt>
                <c:pt idx="793">
                  <c:v>0.19015030562877699</c:v>
                </c:pt>
                <c:pt idx="794">
                  <c:v>0.191055178642273</c:v>
                </c:pt>
                <c:pt idx="795">
                  <c:v>0.19274933636188499</c:v>
                </c:pt>
                <c:pt idx="796">
                  <c:v>0.19332440197467801</c:v>
                </c:pt>
                <c:pt idx="797">
                  <c:v>0.19498343765735601</c:v>
                </c:pt>
                <c:pt idx="798">
                  <c:v>0.19540789723396301</c:v>
                </c:pt>
                <c:pt idx="799">
                  <c:v>0.196705147624016</c:v>
                </c:pt>
                <c:pt idx="800">
                  <c:v>0.197065800428391</c:v>
                </c:pt>
                <c:pt idx="801">
                  <c:v>0.19805033504962899</c:v>
                </c:pt>
                <c:pt idx="802">
                  <c:v>0.19995445013046301</c:v>
                </c:pt>
                <c:pt idx="803">
                  <c:v>0.20012633502483401</c:v>
                </c:pt>
                <c:pt idx="804">
                  <c:v>0.20194563269615201</c:v>
                </c:pt>
                <c:pt idx="805">
                  <c:v>0.201393127441406</c:v>
                </c:pt>
                <c:pt idx="806">
                  <c:v>0.20385618507862099</c:v>
                </c:pt>
                <c:pt idx="807">
                  <c:v>0.204364314675331</c:v>
                </c:pt>
                <c:pt idx="808">
                  <c:v>0.20516528189182301</c:v>
                </c:pt>
                <c:pt idx="809">
                  <c:v>0.20650400221347801</c:v>
                </c:pt>
                <c:pt idx="810">
                  <c:v>0.20686535537242901</c:v>
                </c:pt>
                <c:pt idx="811">
                  <c:v>0.20901924371719399</c:v>
                </c:pt>
                <c:pt idx="812">
                  <c:v>0.20907013118267101</c:v>
                </c:pt>
                <c:pt idx="813">
                  <c:v>0.210785627365112</c:v>
                </c:pt>
                <c:pt idx="814">
                  <c:v>0.211346685886383</c:v>
                </c:pt>
                <c:pt idx="815">
                  <c:v>0.21227286756038699</c:v>
                </c:pt>
                <c:pt idx="816">
                  <c:v>0.21378022432327301</c:v>
                </c:pt>
                <c:pt idx="817">
                  <c:v>0.21387787163257599</c:v>
                </c:pt>
                <c:pt idx="818">
                  <c:v>0.21576926112174999</c:v>
                </c:pt>
                <c:pt idx="819">
                  <c:v>0.21599629521369901</c:v>
                </c:pt>
                <c:pt idx="820">
                  <c:v>0.21740204095840501</c:v>
                </c:pt>
                <c:pt idx="821">
                  <c:v>0.218451023101807</c:v>
                </c:pt>
                <c:pt idx="822">
                  <c:v>0.21944244205951699</c:v>
                </c:pt>
                <c:pt idx="823">
                  <c:v>0.22081246972084001</c:v>
                </c:pt>
                <c:pt idx="824">
                  <c:v>0.22083683311939201</c:v>
                </c:pt>
                <c:pt idx="825">
                  <c:v>0.222559913992882</c:v>
                </c:pt>
                <c:pt idx="826">
                  <c:v>0.22341254353523299</c:v>
                </c:pt>
                <c:pt idx="827">
                  <c:v>0.22439049184322399</c:v>
                </c:pt>
                <c:pt idx="828">
                  <c:v>0.225485384464264</c:v>
                </c:pt>
                <c:pt idx="829">
                  <c:v>0.22572726011276201</c:v>
                </c:pt>
                <c:pt idx="830">
                  <c:v>0.227603644132614</c:v>
                </c:pt>
                <c:pt idx="831">
                  <c:v>0.22841539978980999</c:v>
                </c:pt>
                <c:pt idx="832">
                  <c:v>0.229474261403084</c:v>
                </c:pt>
                <c:pt idx="833">
                  <c:v>0.23021882772445701</c:v>
                </c:pt>
                <c:pt idx="834">
                  <c:v>0.23094548285007499</c:v>
                </c:pt>
                <c:pt idx="835">
                  <c:v>0.23282314836978901</c:v>
                </c:pt>
                <c:pt idx="836">
                  <c:v>0.23318381607532501</c:v>
                </c:pt>
                <c:pt idx="837">
                  <c:v>0.23433907330036199</c:v>
                </c:pt>
                <c:pt idx="838">
                  <c:v>0.23516756296157801</c:v>
                </c:pt>
                <c:pt idx="839">
                  <c:v>0.23621129989624001</c:v>
                </c:pt>
                <c:pt idx="840">
                  <c:v>0.23756718635559099</c:v>
                </c:pt>
                <c:pt idx="841">
                  <c:v>0.23813681304454801</c:v>
                </c:pt>
                <c:pt idx="842">
                  <c:v>0.23969300091266599</c:v>
                </c:pt>
                <c:pt idx="843">
                  <c:v>0.24001768231391901</c:v>
                </c:pt>
                <c:pt idx="844">
                  <c:v>0.24140623211860701</c:v>
                </c:pt>
                <c:pt idx="845">
                  <c:v>0.24268564581870999</c:v>
                </c:pt>
                <c:pt idx="846">
                  <c:v>0.243290320038795</c:v>
                </c:pt>
                <c:pt idx="847">
                  <c:v>0.24476483464241</c:v>
                </c:pt>
                <c:pt idx="848">
                  <c:v>0.244974926114082</c:v>
                </c:pt>
                <c:pt idx="849">
                  <c:v>0.246584191918373</c:v>
                </c:pt>
                <c:pt idx="850">
                  <c:v>0.24708916246891</c:v>
                </c:pt>
                <c:pt idx="851">
                  <c:v>0.248550981283188</c:v>
                </c:pt>
                <c:pt idx="852">
                  <c:v>0.249592751264572</c:v>
                </c:pt>
                <c:pt idx="853">
                  <c:v>0.249763518571854</c:v>
                </c:pt>
                <c:pt idx="854">
                  <c:v>0.25152975320816001</c:v>
                </c:pt>
                <c:pt idx="855">
                  <c:v>0.25186178088188199</c:v>
                </c:pt>
                <c:pt idx="856">
                  <c:v>0.25387519598007202</c:v>
                </c:pt>
                <c:pt idx="857">
                  <c:v>0.25408211350441001</c:v>
                </c:pt>
                <c:pt idx="858">
                  <c:v>0.25494033098220797</c:v>
                </c:pt>
                <c:pt idx="859">
                  <c:v>0.25701117515563998</c:v>
                </c:pt>
                <c:pt idx="860">
                  <c:v>0.25675860047340399</c:v>
                </c:pt>
                <c:pt idx="861">
                  <c:v>0.25883784890174899</c:v>
                </c:pt>
                <c:pt idx="862">
                  <c:v>0.25853547453880299</c:v>
                </c:pt>
                <c:pt idx="863">
                  <c:v>0.26036643981933599</c:v>
                </c:pt>
                <c:pt idx="864">
                  <c:v>0.26201483607292197</c:v>
                </c:pt>
                <c:pt idx="865">
                  <c:v>0.26175081729888899</c:v>
                </c:pt>
                <c:pt idx="866">
                  <c:v>0.26409754157066301</c:v>
                </c:pt>
                <c:pt idx="867">
                  <c:v>0.26399129629135099</c:v>
                </c:pt>
                <c:pt idx="868">
                  <c:v>0.26545739173889199</c:v>
                </c:pt>
                <c:pt idx="869">
                  <c:v>0.26642507314682001</c:v>
                </c:pt>
                <c:pt idx="870">
                  <c:v>0.26690644025802601</c:v>
                </c:pt>
                <c:pt idx="871">
                  <c:v>0.26924601197242698</c:v>
                </c:pt>
                <c:pt idx="872">
                  <c:v>0.26887536048889199</c:v>
                </c:pt>
                <c:pt idx="873">
                  <c:v>0.27059042453765902</c:v>
                </c:pt>
                <c:pt idx="874">
                  <c:v>0.27189752459526101</c:v>
                </c:pt>
                <c:pt idx="875">
                  <c:v>0.27198889851570102</c:v>
                </c:pt>
                <c:pt idx="876">
                  <c:v>0.273592889308929</c:v>
                </c:pt>
                <c:pt idx="877">
                  <c:v>0.27353665232658397</c:v>
                </c:pt>
                <c:pt idx="878">
                  <c:v>0.275622248649597</c:v>
                </c:pt>
                <c:pt idx="879">
                  <c:v>0.27665972709655801</c:v>
                </c:pt>
                <c:pt idx="880">
                  <c:v>0.27702784538268999</c:v>
                </c:pt>
                <c:pt idx="881">
                  <c:v>0.278800308704376</c:v>
                </c:pt>
                <c:pt idx="882">
                  <c:v>0.27923962473869302</c:v>
                </c:pt>
                <c:pt idx="883">
                  <c:v>0.28033632040023798</c:v>
                </c:pt>
                <c:pt idx="884">
                  <c:v>0.28138568997383101</c:v>
                </c:pt>
                <c:pt idx="885">
                  <c:v>0.28183338046073902</c:v>
                </c:pt>
                <c:pt idx="886">
                  <c:v>0.28374576568603499</c:v>
                </c:pt>
                <c:pt idx="887">
                  <c:v>0.28424140810966497</c:v>
                </c:pt>
                <c:pt idx="888">
                  <c:v>0.28579139709472701</c:v>
                </c:pt>
                <c:pt idx="889">
                  <c:v>0.28637477755546598</c:v>
                </c:pt>
                <c:pt idx="890">
                  <c:v>0.28693062067031899</c:v>
                </c:pt>
                <c:pt idx="891">
                  <c:v>0.28894633054733299</c:v>
                </c:pt>
                <c:pt idx="892">
                  <c:v>0.28870648145675698</c:v>
                </c:pt>
                <c:pt idx="893">
                  <c:v>0.29104545712471003</c:v>
                </c:pt>
                <c:pt idx="894">
                  <c:v>0.29092255234718301</c:v>
                </c:pt>
                <c:pt idx="895">
                  <c:v>0.29249352216720598</c:v>
                </c:pt>
                <c:pt idx="896">
                  <c:v>0.29383867979049699</c:v>
                </c:pt>
                <c:pt idx="897">
                  <c:v>0.29354912042617798</c:v>
                </c:pt>
                <c:pt idx="898">
                  <c:v>0.29625016450882002</c:v>
                </c:pt>
                <c:pt idx="899">
                  <c:v>0.29574611783027599</c:v>
                </c:pt>
                <c:pt idx="900">
                  <c:v>0.29811289906501798</c:v>
                </c:pt>
                <c:pt idx="901">
                  <c:v>0.29833880066871599</c:v>
                </c:pt>
                <c:pt idx="902">
                  <c:v>0.29905167222022999</c:v>
                </c:pt>
                <c:pt idx="903">
                  <c:v>0.301148921251297</c:v>
                </c:pt>
                <c:pt idx="904">
                  <c:v>0.30074897408485401</c:v>
                </c:pt>
                <c:pt idx="905">
                  <c:v>0.30276548862457298</c:v>
                </c:pt>
                <c:pt idx="906">
                  <c:v>0.30324721336364702</c:v>
                </c:pt>
                <c:pt idx="907">
                  <c:v>0.30448734760284402</c:v>
                </c:pt>
                <c:pt idx="908">
                  <c:v>0.30604121088981601</c:v>
                </c:pt>
                <c:pt idx="909">
                  <c:v>0.30551105737686202</c:v>
                </c:pt>
                <c:pt idx="910">
                  <c:v>0.30788514018058799</c:v>
                </c:pt>
                <c:pt idx="911">
                  <c:v>0.30823844671249401</c:v>
                </c:pt>
                <c:pt idx="912">
                  <c:v>0.30959418416023299</c:v>
                </c:pt>
                <c:pt idx="913">
                  <c:v>0.31084671616554299</c:v>
                </c:pt>
                <c:pt idx="914">
                  <c:v>0.31083214282989502</c:v>
                </c:pt>
                <c:pt idx="915">
                  <c:v>0.31267261505126998</c:v>
                </c:pt>
                <c:pt idx="916">
                  <c:v>0.31329432129859902</c:v>
                </c:pt>
                <c:pt idx="917">
                  <c:v>0.31467762589454701</c:v>
                </c:pt>
                <c:pt idx="918">
                  <c:v>0.315768033266068</c:v>
                </c:pt>
                <c:pt idx="919">
                  <c:v>0.31586578488349898</c:v>
                </c:pt>
                <c:pt idx="920">
                  <c:v>0.31775498390197798</c:v>
                </c:pt>
                <c:pt idx="921">
                  <c:v>0.31806910037994401</c:v>
                </c:pt>
                <c:pt idx="922">
                  <c:v>0.31965619325637801</c:v>
                </c:pt>
                <c:pt idx="923">
                  <c:v>0.32033821940422103</c:v>
                </c:pt>
                <c:pt idx="924">
                  <c:v>0.32074552774429299</c:v>
                </c:pt>
                <c:pt idx="925">
                  <c:v>0.322838544845581</c:v>
                </c:pt>
                <c:pt idx="926">
                  <c:v>0.32317486405372597</c:v>
                </c:pt>
                <c:pt idx="927">
                  <c:v>0.32453700900077798</c:v>
                </c:pt>
                <c:pt idx="928">
                  <c:v>0.32557976245880099</c:v>
                </c:pt>
                <c:pt idx="929">
                  <c:v>0.32624381780624401</c:v>
                </c:pt>
                <c:pt idx="930">
                  <c:v>0.32774385809898399</c:v>
                </c:pt>
                <c:pt idx="931">
                  <c:v>0.327993154525757</c:v>
                </c:pt>
                <c:pt idx="932">
                  <c:v>0.329517602920532</c:v>
                </c:pt>
                <c:pt idx="933">
                  <c:v>0.33068236708641102</c:v>
                </c:pt>
                <c:pt idx="934">
                  <c:v>0.33110985159874001</c:v>
                </c:pt>
                <c:pt idx="935">
                  <c:v>0.33298236131668102</c:v>
                </c:pt>
                <c:pt idx="936">
                  <c:v>0.33220252394676197</c:v>
                </c:pt>
                <c:pt idx="937">
                  <c:v>0.33502945303916898</c:v>
                </c:pt>
                <c:pt idx="938">
                  <c:v>0.33553457260131803</c:v>
                </c:pt>
                <c:pt idx="939">
                  <c:v>0.33614453673362699</c:v>
                </c:pt>
                <c:pt idx="940">
                  <c:v>0.33806043863296498</c:v>
                </c:pt>
                <c:pt idx="941">
                  <c:v>0.33746632933616599</c:v>
                </c:pt>
                <c:pt idx="942">
                  <c:v>0.339711993932724</c:v>
                </c:pt>
                <c:pt idx="943">
                  <c:v>0.34052577614784202</c:v>
                </c:pt>
                <c:pt idx="944">
                  <c:v>0.340796768665314</c:v>
                </c:pt>
                <c:pt idx="945">
                  <c:v>0.34318527579307601</c:v>
                </c:pt>
                <c:pt idx="946">
                  <c:v>0.3429996073246</c:v>
                </c:pt>
                <c:pt idx="947">
                  <c:v>0.34449318051338201</c:v>
                </c:pt>
                <c:pt idx="948">
                  <c:v>0.34553501009941101</c:v>
                </c:pt>
                <c:pt idx="949">
                  <c:v>0.34603798389434798</c:v>
                </c:pt>
                <c:pt idx="950">
                  <c:v>0.347964316606522</c:v>
                </c:pt>
                <c:pt idx="951">
                  <c:v>0.34819236397743197</c:v>
                </c:pt>
                <c:pt idx="952">
                  <c:v>0.34945476055145303</c:v>
                </c:pt>
                <c:pt idx="953">
                  <c:v>0.35043707489967302</c:v>
                </c:pt>
                <c:pt idx="954">
                  <c:v>0.35127380490303001</c:v>
                </c:pt>
                <c:pt idx="955">
                  <c:v>0.35269236564636203</c:v>
                </c:pt>
                <c:pt idx="956">
                  <c:v>0.35301595926284801</c:v>
                </c:pt>
                <c:pt idx="957">
                  <c:v>0.354327082633972</c:v>
                </c:pt>
                <c:pt idx="958">
                  <c:v>0.35521396994590798</c:v>
                </c:pt>
                <c:pt idx="959">
                  <c:v>0.35634377598762501</c:v>
                </c:pt>
                <c:pt idx="960">
                  <c:v>0.357776910066605</c:v>
                </c:pt>
                <c:pt idx="961">
                  <c:v>0.358114004135132</c:v>
                </c:pt>
                <c:pt idx="962">
                  <c:v>0.359463661909103</c:v>
                </c:pt>
                <c:pt idx="963">
                  <c:v>0.36050432920455899</c:v>
                </c:pt>
                <c:pt idx="964">
                  <c:v>0.36117368936538702</c:v>
                </c:pt>
                <c:pt idx="965">
                  <c:v>0.36312246322631803</c:v>
                </c:pt>
                <c:pt idx="966">
                  <c:v>0.36282438039779702</c:v>
                </c:pt>
                <c:pt idx="967">
                  <c:v>0.36469671130180398</c:v>
                </c:pt>
                <c:pt idx="968">
                  <c:v>0.36568012833595298</c:v>
                </c:pt>
                <c:pt idx="969">
                  <c:v>0.36626467108726501</c:v>
                </c:pt>
                <c:pt idx="970">
                  <c:v>0.36785688996315002</c:v>
                </c:pt>
                <c:pt idx="971">
                  <c:v>0.36763447523117099</c:v>
                </c:pt>
                <c:pt idx="972">
                  <c:v>0.36942803859710699</c:v>
                </c:pt>
                <c:pt idx="973">
                  <c:v>0.370619297027588</c:v>
                </c:pt>
                <c:pt idx="974">
                  <c:v>0.370989620685577</c:v>
                </c:pt>
                <c:pt idx="975">
                  <c:v>0.373059242963791</c:v>
                </c:pt>
                <c:pt idx="976">
                  <c:v>0.37318816781044001</c:v>
                </c:pt>
                <c:pt idx="977">
                  <c:v>0.37417626380920399</c:v>
                </c:pt>
                <c:pt idx="978">
                  <c:v>0.37576645612716703</c:v>
                </c:pt>
                <c:pt idx="979">
                  <c:v>0.37603798508644098</c:v>
                </c:pt>
                <c:pt idx="980">
                  <c:v>0.377779901027679</c:v>
                </c:pt>
                <c:pt idx="981">
                  <c:v>0.37807887792587302</c:v>
                </c:pt>
                <c:pt idx="982">
                  <c:v>0.37888637185096702</c:v>
                </c:pt>
                <c:pt idx="983">
                  <c:v>0.38086053729057301</c:v>
                </c:pt>
                <c:pt idx="984">
                  <c:v>0.38067489862442</c:v>
                </c:pt>
                <c:pt idx="985">
                  <c:v>0.38242101669311501</c:v>
                </c:pt>
                <c:pt idx="986">
                  <c:v>0.38347655534744302</c:v>
                </c:pt>
                <c:pt idx="987">
                  <c:v>0.38342243432998702</c:v>
                </c:pt>
                <c:pt idx="988">
                  <c:v>0.386374741792679</c:v>
                </c:pt>
                <c:pt idx="989">
                  <c:v>0.38583263754844699</c:v>
                </c:pt>
                <c:pt idx="990">
                  <c:v>0.38722124695777899</c:v>
                </c:pt>
                <c:pt idx="991">
                  <c:v>0.38874652981758101</c:v>
                </c:pt>
                <c:pt idx="992">
                  <c:v>0.388904809951782</c:v>
                </c:pt>
                <c:pt idx="993">
                  <c:v>0.39107614755630499</c:v>
                </c:pt>
                <c:pt idx="994">
                  <c:v>0.39140200614929199</c:v>
                </c:pt>
                <c:pt idx="995">
                  <c:v>0.391871958971024</c:v>
                </c:pt>
                <c:pt idx="996">
                  <c:v>0.39378139376640298</c:v>
                </c:pt>
                <c:pt idx="997">
                  <c:v>0.39378991723060602</c:v>
                </c:pt>
                <c:pt idx="998">
                  <c:v>0.39577993750572199</c:v>
                </c:pt>
                <c:pt idx="999">
                  <c:v>0.396656274795532</c:v>
                </c:pt>
                <c:pt idx="1000">
                  <c:v>0.39713680744171098</c:v>
                </c:pt>
                <c:pt idx="1001">
                  <c:v>0.39875873923301702</c:v>
                </c:pt>
                <c:pt idx="1002">
                  <c:v>0.398554116487503</c:v>
                </c:pt>
                <c:pt idx="1003">
                  <c:v>0.40036407113075301</c:v>
                </c:pt>
                <c:pt idx="1004">
                  <c:v>0.401539266109467</c:v>
                </c:pt>
                <c:pt idx="1005">
                  <c:v>0.40218111872673001</c:v>
                </c:pt>
                <c:pt idx="1006">
                  <c:v>0.40341165661811801</c:v>
                </c:pt>
                <c:pt idx="1007">
                  <c:v>0.40372565388679499</c:v>
                </c:pt>
                <c:pt idx="1008">
                  <c:v>0.40529242157936102</c:v>
                </c:pt>
                <c:pt idx="1009">
                  <c:v>0.40622386336326599</c:v>
                </c:pt>
                <c:pt idx="1010">
                  <c:v>0.40712994337081898</c:v>
                </c:pt>
                <c:pt idx="1011">
                  <c:v>0.40887808799743702</c:v>
                </c:pt>
                <c:pt idx="1012">
                  <c:v>0.40884837508201599</c:v>
                </c:pt>
                <c:pt idx="1013">
                  <c:v>0.41106128692626998</c:v>
                </c:pt>
                <c:pt idx="1014">
                  <c:v>0.41093611717224099</c:v>
                </c:pt>
                <c:pt idx="1015">
                  <c:v>0.41216027736663802</c:v>
                </c:pt>
                <c:pt idx="1016">
                  <c:v>0.41398274898529103</c:v>
                </c:pt>
                <c:pt idx="1017">
                  <c:v>0.41387575864791898</c:v>
                </c:pt>
                <c:pt idx="1018">
                  <c:v>0.41566634178161599</c:v>
                </c:pt>
                <c:pt idx="1019">
                  <c:v>0.416086345911026</c:v>
                </c:pt>
                <c:pt idx="1020">
                  <c:v>0.41717571020126298</c:v>
                </c:pt>
                <c:pt idx="1021">
                  <c:v>0.41901111602783198</c:v>
                </c:pt>
                <c:pt idx="1022">
                  <c:v>0.418358564376831</c:v>
                </c:pt>
                <c:pt idx="1023">
                  <c:v>0.42028409242629999</c:v>
                </c:pt>
                <c:pt idx="1024">
                  <c:v>0.42157298326492298</c:v>
                </c:pt>
                <c:pt idx="1025">
                  <c:v>0.422182947397232</c:v>
                </c:pt>
                <c:pt idx="1026">
                  <c:v>0.42384418845176702</c:v>
                </c:pt>
                <c:pt idx="1027">
                  <c:v>0.42397058010101302</c:v>
                </c:pt>
                <c:pt idx="1028">
                  <c:v>0.42557764053344699</c:v>
                </c:pt>
                <c:pt idx="1029">
                  <c:v>0.42676681280136097</c:v>
                </c:pt>
                <c:pt idx="1030">
                  <c:v>0.42679649591445901</c:v>
                </c:pt>
                <c:pt idx="1031">
                  <c:v>0.42854791879653897</c:v>
                </c:pt>
                <c:pt idx="1032">
                  <c:v>0.42898821830749501</c:v>
                </c:pt>
                <c:pt idx="1033">
                  <c:v>0.43030044436454801</c:v>
                </c:pt>
                <c:pt idx="1034">
                  <c:v>0.43178558349609403</c:v>
                </c:pt>
                <c:pt idx="1035">
                  <c:v>0.43172615766525302</c:v>
                </c:pt>
                <c:pt idx="1036">
                  <c:v>0.43393161892890902</c:v>
                </c:pt>
                <c:pt idx="1037">
                  <c:v>0.43388044834137002</c:v>
                </c:pt>
                <c:pt idx="1038">
                  <c:v>0.43538710474968001</c:v>
                </c:pt>
                <c:pt idx="1039">
                  <c:v>0.43653410673141502</c:v>
                </c:pt>
                <c:pt idx="1040">
                  <c:v>0.43679374456405601</c:v>
                </c:pt>
                <c:pt idx="1041">
                  <c:v>0.43921670317649802</c:v>
                </c:pt>
                <c:pt idx="1042">
                  <c:v>0.43936398625373801</c:v>
                </c:pt>
                <c:pt idx="1043">
                  <c:v>0.439981549978256</c:v>
                </c:pt>
                <c:pt idx="1044">
                  <c:v>0.44186344742775002</c:v>
                </c:pt>
                <c:pt idx="1045">
                  <c:v>0.44218379259109503</c:v>
                </c:pt>
                <c:pt idx="1046">
                  <c:v>0.44352892041206399</c:v>
                </c:pt>
                <c:pt idx="1047">
                  <c:v>0.44461491703987099</c:v>
                </c:pt>
                <c:pt idx="1048">
                  <c:v>0.44427251815795898</c:v>
                </c:pt>
                <c:pt idx="1049">
                  <c:v>0.44661283493041998</c:v>
                </c:pt>
                <c:pt idx="1050">
                  <c:v>0.44707003235817</c:v>
                </c:pt>
                <c:pt idx="1051">
                  <c:v>0.44835996627807601</c:v>
                </c:pt>
                <c:pt idx="1052">
                  <c:v>0.44954493641853299</c:v>
                </c:pt>
                <c:pt idx="1053">
                  <c:v>0.45000734925270103</c:v>
                </c:pt>
                <c:pt idx="1054">
                  <c:v>0.451331406831741</c:v>
                </c:pt>
                <c:pt idx="1055">
                  <c:v>0.45219910144805903</c:v>
                </c:pt>
                <c:pt idx="1056">
                  <c:v>0.45345190167427102</c:v>
                </c:pt>
                <c:pt idx="1057">
                  <c:v>0.454555183649063</c:v>
                </c:pt>
                <c:pt idx="1058">
                  <c:v>0.45492857694625899</c:v>
                </c:pt>
                <c:pt idx="1059">
                  <c:v>0.45694124698638899</c:v>
                </c:pt>
                <c:pt idx="1060">
                  <c:v>0.45671397447586098</c:v>
                </c:pt>
                <c:pt idx="1061">
                  <c:v>0.458251953125</c:v>
                </c:pt>
                <c:pt idx="1062">
                  <c:v>0.459970712661743</c:v>
                </c:pt>
                <c:pt idx="1063">
                  <c:v>0.45979356765747098</c:v>
                </c:pt>
                <c:pt idx="1064">
                  <c:v>0.46182483434677102</c:v>
                </c:pt>
                <c:pt idx="1065">
                  <c:v>0.46171686053276101</c:v>
                </c:pt>
                <c:pt idx="1066">
                  <c:v>0.46326479315757801</c:v>
                </c:pt>
                <c:pt idx="1067">
                  <c:v>0.46492800116539001</c:v>
                </c:pt>
                <c:pt idx="1068">
                  <c:v>0.46445271372795099</c:v>
                </c:pt>
                <c:pt idx="1069">
                  <c:v>0.46646180748939498</c:v>
                </c:pt>
                <c:pt idx="1070">
                  <c:v>0.46738588809967002</c:v>
                </c:pt>
                <c:pt idx="1071">
                  <c:v>0.46845081448554998</c:v>
                </c:pt>
                <c:pt idx="1072">
                  <c:v>0.47015357017517101</c:v>
                </c:pt>
                <c:pt idx="1073">
                  <c:v>0.46953302621841397</c:v>
                </c:pt>
                <c:pt idx="1074">
                  <c:v>0.47139367461204501</c:v>
                </c:pt>
                <c:pt idx="1075">
                  <c:v>0.47252562642097501</c:v>
                </c:pt>
                <c:pt idx="1076">
                  <c:v>0.473029494285583</c:v>
                </c:pt>
                <c:pt idx="1077">
                  <c:v>0.47456875443458602</c:v>
                </c:pt>
                <c:pt idx="1078">
                  <c:v>0.47522699832916299</c:v>
                </c:pt>
                <c:pt idx="1079">
                  <c:v>0.47601783275604198</c:v>
                </c:pt>
                <c:pt idx="1080">
                  <c:v>0.47801646590232799</c:v>
                </c:pt>
                <c:pt idx="1081">
                  <c:v>0.47804483771324202</c:v>
                </c:pt>
                <c:pt idx="1082">
                  <c:v>0.47966822981834401</c:v>
                </c:pt>
                <c:pt idx="1083">
                  <c:v>0.48001539707183799</c:v>
                </c:pt>
                <c:pt idx="1084">
                  <c:v>0.48087641596794101</c:v>
                </c:pt>
                <c:pt idx="1085">
                  <c:v>0.48296523094177202</c:v>
                </c:pt>
                <c:pt idx="1086">
                  <c:v>0.48306384682655301</c:v>
                </c:pt>
                <c:pt idx="1087">
                  <c:v>0.48497867584228499</c:v>
                </c:pt>
                <c:pt idx="1088">
                  <c:v>0.48533093929290799</c:v>
                </c:pt>
                <c:pt idx="1089">
                  <c:v>0.48591220378875699</c:v>
                </c:pt>
                <c:pt idx="1090">
                  <c:v>0.48796594142913802</c:v>
                </c:pt>
                <c:pt idx="1091">
                  <c:v>0.48841220140457198</c:v>
                </c:pt>
                <c:pt idx="1092">
                  <c:v>0.48934608697891202</c:v>
                </c:pt>
                <c:pt idx="1093">
                  <c:v>0.49050462245941201</c:v>
                </c:pt>
                <c:pt idx="1094">
                  <c:v>0.49106994271278398</c:v>
                </c:pt>
                <c:pt idx="1095">
                  <c:v>0.49302083253860501</c:v>
                </c:pt>
                <c:pt idx="1096">
                  <c:v>0.49320116639137301</c:v>
                </c:pt>
                <c:pt idx="1097">
                  <c:v>0.49408057332038902</c:v>
                </c:pt>
                <c:pt idx="1098">
                  <c:v>0.49547117948532099</c:v>
                </c:pt>
                <c:pt idx="1099">
                  <c:v>0.495788484811783</c:v>
                </c:pt>
                <c:pt idx="1100">
                  <c:v>0.49742633104324302</c:v>
                </c:pt>
                <c:pt idx="1101">
                  <c:v>0.49886491894722002</c:v>
                </c:pt>
                <c:pt idx="1102">
                  <c:v>0.49851909279823298</c:v>
                </c:pt>
                <c:pt idx="1103">
                  <c:v>0.50143039226532005</c:v>
                </c:pt>
                <c:pt idx="1104">
                  <c:v>0.50106078386306796</c:v>
                </c:pt>
                <c:pt idx="1105">
                  <c:v>0.50228559970855702</c:v>
                </c:pt>
                <c:pt idx="1106">
                  <c:v>0.50397807359695401</c:v>
                </c:pt>
                <c:pt idx="1107">
                  <c:v>0.50337231159210205</c:v>
                </c:pt>
                <c:pt idx="1108">
                  <c:v>0.50531238317489602</c:v>
                </c:pt>
                <c:pt idx="1109">
                  <c:v>0.506222724914551</c:v>
                </c:pt>
                <c:pt idx="1110">
                  <c:v>0.50699329376220703</c:v>
                </c:pt>
                <c:pt idx="1111">
                  <c:v>0.50907850265502896</c:v>
                </c:pt>
                <c:pt idx="1112">
                  <c:v>0.50910723209381104</c:v>
                </c:pt>
                <c:pt idx="1113">
                  <c:v>0.51072585582733199</c:v>
                </c:pt>
                <c:pt idx="1114">
                  <c:v>0.51108878850936901</c:v>
                </c:pt>
                <c:pt idx="1115">
                  <c:v>0.51233965158462502</c:v>
                </c:pt>
                <c:pt idx="1116">
                  <c:v>0.51360398530960105</c:v>
                </c:pt>
                <c:pt idx="1117">
                  <c:v>0.51362597942352295</c:v>
                </c:pt>
                <c:pt idx="1118">
                  <c:v>0.51572144031524703</c:v>
                </c:pt>
                <c:pt idx="1119">
                  <c:v>0.51623058319091797</c:v>
                </c:pt>
                <c:pt idx="1120">
                  <c:v>0.51725322008132901</c:v>
                </c:pt>
                <c:pt idx="1121">
                  <c:v>0.518257856369019</c:v>
                </c:pt>
                <c:pt idx="1122">
                  <c:v>0.519262135028839</c:v>
                </c:pt>
                <c:pt idx="1123">
                  <c:v>0.52052700519561801</c:v>
                </c:pt>
                <c:pt idx="1124">
                  <c:v>0.52110403776168801</c:v>
                </c:pt>
                <c:pt idx="1125">
                  <c:v>0.522177994251251</c:v>
                </c:pt>
                <c:pt idx="1126">
                  <c:v>0.52362996339797996</c:v>
                </c:pt>
                <c:pt idx="1127">
                  <c:v>0.52371543645858798</c:v>
                </c:pt>
                <c:pt idx="1128">
                  <c:v>0.52585870027542103</c:v>
                </c:pt>
                <c:pt idx="1129">
                  <c:v>0.525987029075623</c:v>
                </c:pt>
                <c:pt idx="1130">
                  <c:v>0.52667033672332797</c:v>
                </c:pt>
                <c:pt idx="1131">
                  <c:v>0.52921938896179199</c:v>
                </c:pt>
                <c:pt idx="1132">
                  <c:v>0.52921545505523704</c:v>
                </c:pt>
                <c:pt idx="1133">
                  <c:v>0.53054225444793701</c:v>
                </c:pt>
                <c:pt idx="1134">
                  <c:v>0.53110343217849698</c:v>
                </c:pt>
                <c:pt idx="1135">
                  <c:v>0.53221625089645397</c:v>
                </c:pt>
                <c:pt idx="1136">
                  <c:v>0.53412359952926602</c:v>
                </c:pt>
                <c:pt idx="1137">
                  <c:v>0.53339654207229603</c:v>
                </c:pt>
                <c:pt idx="1138">
                  <c:v>0.53540933132171598</c:v>
                </c:pt>
                <c:pt idx="1139">
                  <c:v>0.53661894798278797</c:v>
                </c:pt>
                <c:pt idx="1140">
                  <c:v>0.53682768344879195</c:v>
                </c:pt>
                <c:pt idx="1141">
                  <c:v>0.53893870115280196</c:v>
                </c:pt>
                <c:pt idx="1142">
                  <c:v>0.53941953182220503</c:v>
                </c:pt>
                <c:pt idx="1143">
                  <c:v>0.54045462608337402</c:v>
                </c:pt>
                <c:pt idx="1144">
                  <c:v>0.541442811489105</c:v>
                </c:pt>
                <c:pt idx="1145">
                  <c:v>0.54175412654876698</c:v>
                </c:pt>
                <c:pt idx="1146">
                  <c:v>0.54352146387100198</c:v>
                </c:pt>
                <c:pt idx="1147">
                  <c:v>0.54468721151351895</c:v>
                </c:pt>
                <c:pt idx="1148">
                  <c:v>0.54477643966674805</c:v>
                </c:pt>
                <c:pt idx="1149">
                  <c:v>0.54721844196319602</c:v>
                </c:pt>
                <c:pt idx="1150">
                  <c:v>0.546494960784912</c:v>
                </c:pt>
                <c:pt idx="1151">
                  <c:v>0.54861551523208596</c:v>
                </c:pt>
                <c:pt idx="1152">
                  <c:v>0.54959088563919101</c:v>
                </c:pt>
                <c:pt idx="1153">
                  <c:v>0.54953426122665405</c:v>
                </c:pt>
                <c:pt idx="1154">
                  <c:v>0.55209493637085005</c:v>
                </c:pt>
                <c:pt idx="1155">
                  <c:v>0.55251729488372803</c:v>
                </c:pt>
                <c:pt idx="1156">
                  <c:v>0.55292677879333496</c:v>
                </c:pt>
                <c:pt idx="1157">
                  <c:v>0.55469411611556996</c:v>
                </c:pt>
                <c:pt idx="1158">
                  <c:v>0.55489879846572898</c:v>
                </c:pt>
                <c:pt idx="1159">
                  <c:v>0.55635195970535301</c:v>
                </c:pt>
                <c:pt idx="1160">
                  <c:v>0.55734825134277299</c:v>
                </c:pt>
                <c:pt idx="1161">
                  <c:v>0.55804949998855602</c:v>
                </c:pt>
                <c:pt idx="1162">
                  <c:v>0.559459388256073</c:v>
                </c:pt>
                <c:pt idx="1163">
                  <c:v>0.56015205383300803</c:v>
                </c:pt>
                <c:pt idx="1164">
                  <c:v>0.56113153696060203</c:v>
                </c:pt>
                <c:pt idx="1165">
                  <c:v>0.56278395652770996</c:v>
                </c:pt>
                <c:pt idx="1166">
                  <c:v>0.562799572944641</c:v>
                </c:pt>
                <c:pt idx="1167">
                  <c:v>0.56484830379486095</c:v>
                </c:pt>
                <c:pt idx="1168">
                  <c:v>0.56514853239059404</c:v>
                </c:pt>
                <c:pt idx="1169">
                  <c:v>0.56595999002456698</c:v>
                </c:pt>
                <c:pt idx="1170">
                  <c:v>0.56789290904998802</c:v>
                </c:pt>
                <c:pt idx="1171">
                  <c:v>0.56852942705154397</c:v>
                </c:pt>
                <c:pt idx="1172">
                  <c:v>0.56868427991867099</c:v>
                </c:pt>
                <c:pt idx="1173">
                  <c:v>0.57101064920425404</c:v>
                </c:pt>
                <c:pt idx="1174">
                  <c:v>0.57122689485549905</c:v>
                </c:pt>
                <c:pt idx="1175">
                  <c:v>0.572581827640533</c:v>
                </c:pt>
                <c:pt idx="1176">
                  <c:v>0.57346618175506603</c:v>
                </c:pt>
                <c:pt idx="1177">
                  <c:v>0.57419848442077603</c:v>
                </c:pt>
                <c:pt idx="1178">
                  <c:v>0.57566559314727805</c:v>
                </c:pt>
                <c:pt idx="1179">
                  <c:v>0.57663953304290805</c:v>
                </c:pt>
                <c:pt idx="1180">
                  <c:v>0.57701390981674205</c:v>
                </c:pt>
                <c:pt idx="1181">
                  <c:v>0.57870572805404696</c:v>
                </c:pt>
                <c:pt idx="1182">
                  <c:v>0.57895106077194203</c:v>
                </c:pt>
                <c:pt idx="1183">
                  <c:v>0.58092838525772095</c:v>
                </c:pt>
                <c:pt idx="1184">
                  <c:v>0.58187669515609697</c:v>
                </c:pt>
                <c:pt idx="1185">
                  <c:v>0.58198702335357699</c:v>
                </c:pt>
                <c:pt idx="1186">
                  <c:v>0.58338546752929699</c:v>
                </c:pt>
                <c:pt idx="1187">
                  <c:v>0.58479404449462902</c:v>
                </c:pt>
                <c:pt idx="1188">
                  <c:v>0.58489453792571999</c:v>
                </c:pt>
                <c:pt idx="1189">
                  <c:v>0.58667802810668901</c:v>
                </c:pt>
                <c:pt idx="1190">
                  <c:v>0.58727431297302202</c:v>
                </c:pt>
                <c:pt idx="1191">
                  <c:v>0.58832490444183305</c:v>
                </c:pt>
                <c:pt idx="1192">
                  <c:v>0.58971524238586404</c:v>
                </c:pt>
                <c:pt idx="1193">
                  <c:v>0.59024441242217995</c:v>
                </c:pt>
                <c:pt idx="1194">
                  <c:v>0.59155362844467196</c:v>
                </c:pt>
                <c:pt idx="1195">
                  <c:v>0.592268586158752</c:v>
                </c:pt>
                <c:pt idx="1196">
                  <c:v>0.59293043613433805</c:v>
                </c:pt>
                <c:pt idx="1197">
                  <c:v>0.595173180103302</c:v>
                </c:pt>
                <c:pt idx="1198">
                  <c:v>0.59539294242858898</c:v>
                </c:pt>
                <c:pt idx="1199">
                  <c:v>0.59629237651824996</c:v>
                </c:pt>
                <c:pt idx="1200">
                  <c:v>0.59784072637557995</c:v>
                </c:pt>
                <c:pt idx="1201">
                  <c:v>0.59808140993118297</c:v>
                </c:pt>
                <c:pt idx="1202">
                  <c:v>0.59885972738266002</c:v>
                </c:pt>
                <c:pt idx="1203">
                  <c:v>0.59793871641159102</c:v>
                </c:pt>
                <c:pt idx="1204">
                  <c:v>0.59750485420227095</c:v>
                </c:pt>
                <c:pt idx="1205">
                  <c:v>0.59659892320632901</c:v>
                </c:pt>
                <c:pt idx="1206">
                  <c:v>0.59469276666641202</c:v>
                </c:pt>
                <c:pt idx="1207">
                  <c:v>0.59463536739349399</c:v>
                </c:pt>
                <c:pt idx="1208">
                  <c:v>0.59343773126602195</c:v>
                </c:pt>
                <c:pt idx="1209">
                  <c:v>0.59161806106567405</c:v>
                </c:pt>
                <c:pt idx="1210">
                  <c:v>0.59178704023361195</c:v>
                </c:pt>
                <c:pt idx="1211">
                  <c:v>0.59000092744827304</c:v>
                </c:pt>
                <c:pt idx="1212">
                  <c:v>0.58892804384231601</c:v>
                </c:pt>
                <c:pt idx="1213">
                  <c:v>0.58841282129287698</c:v>
                </c:pt>
                <c:pt idx="1214">
                  <c:v>0.587013959884644</c:v>
                </c:pt>
                <c:pt idx="1215">
                  <c:v>0.58595883846283003</c:v>
                </c:pt>
                <c:pt idx="1216">
                  <c:v>0.58587008714675903</c:v>
                </c:pt>
                <c:pt idx="1217">
                  <c:v>0.584025979042053</c:v>
                </c:pt>
                <c:pt idx="1218">
                  <c:v>0.58327877521514904</c:v>
                </c:pt>
                <c:pt idx="1219">
                  <c:v>0.58270412683486905</c:v>
                </c:pt>
                <c:pt idx="1220">
                  <c:v>0.58110129833221402</c:v>
                </c:pt>
                <c:pt idx="1221">
                  <c:v>0.58006286621093806</c:v>
                </c:pt>
                <c:pt idx="1222">
                  <c:v>0.57991850376129195</c:v>
                </c:pt>
                <c:pt idx="1223">
                  <c:v>0.57823503017425504</c:v>
                </c:pt>
                <c:pt idx="1224">
                  <c:v>0.57753282785415605</c:v>
                </c:pt>
                <c:pt idx="1225">
                  <c:v>0.57588416337966897</c:v>
                </c:pt>
                <c:pt idx="1226">
                  <c:v>0.57497119903564498</c:v>
                </c:pt>
                <c:pt idx="1227">
                  <c:v>0.57497715950012196</c:v>
                </c:pt>
                <c:pt idx="1228">
                  <c:v>0.57271742820739702</c:v>
                </c:pt>
                <c:pt idx="1229">
                  <c:v>0.57171827554702803</c:v>
                </c:pt>
                <c:pt idx="1230">
                  <c:v>0.57168608903884899</c:v>
                </c:pt>
                <c:pt idx="1231">
                  <c:v>0.56991672515869096</c:v>
                </c:pt>
                <c:pt idx="1232">
                  <c:v>0.569014191627502</c:v>
                </c:pt>
                <c:pt idx="1233">
                  <c:v>0.568697810173035</c:v>
                </c:pt>
                <c:pt idx="1234">
                  <c:v>0.56704854965210005</c:v>
                </c:pt>
                <c:pt idx="1235">
                  <c:v>0.56652021408081099</c:v>
                </c:pt>
                <c:pt idx="1236">
                  <c:v>0.56541383266448997</c:v>
                </c:pt>
                <c:pt idx="1237">
                  <c:v>0.56411105394363403</c:v>
                </c:pt>
                <c:pt idx="1238">
                  <c:v>0.56303429603576705</c:v>
                </c:pt>
                <c:pt idx="1239">
                  <c:v>0.56231927871704102</c:v>
                </c:pt>
                <c:pt idx="1240">
                  <c:v>0.56077051162719704</c:v>
                </c:pt>
                <c:pt idx="1241">
                  <c:v>0.56092160940170299</c:v>
                </c:pt>
                <c:pt idx="1242">
                  <c:v>0.55918776988983199</c:v>
                </c:pt>
                <c:pt idx="1243">
                  <c:v>0.558000087738037</c:v>
                </c:pt>
                <c:pt idx="1244">
                  <c:v>0.557655930519104</c:v>
                </c:pt>
                <c:pt idx="1245">
                  <c:v>0.55602663755416903</c:v>
                </c:pt>
                <c:pt idx="1246">
                  <c:v>0.55459916591644298</c:v>
                </c:pt>
                <c:pt idx="1247">
                  <c:v>0.55475991964340199</c:v>
                </c:pt>
                <c:pt idx="1248">
                  <c:v>0.553064405918121</c:v>
                </c:pt>
                <c:pt idx="1249">
                  <c:v>0.55199962854385398</c:v>
                </c:pt>
                <c:pt idx="1250">
                  <c:v>0.55171656608581499</c:v>
                </c:pt>
                <c:pt idx="1251">
                  <c:v>0.54927647113800004</c:v>
                </c:pt>
                <c:pt idx="1252">
                  <c:v>0.54928499460220304</c:v>
                </c:pt>
                <c:pt idx="1253">
                  <c:v>0.54881733655929599</c:v>
                </c:pt>
                <c:pt idx="1254">
                  <c:v>0.54703176021575906</c:v>
                </c:pt>
                <c:pt idx="1255">
                  <c:v>0.54628992080688499</c:v>
                </c:pt>
                <c:pt idx="1256">
                  <c:v>0.545773565769196</c:v>
                </c:pt>
                <c:pt idx="1257">
                  <c:v>0.54399609565734897</c:v>
                </c:pt>
                <c:pt idx="1258">
                  <c:v>0.54292589426040605</c:v>
                </c:pt>
                <c:pt idx="1259">
                  <c:v>0.54250836372375499</c:v>
                </c:pt>
                <c:pt idx="1260">
                  <c:v>0.54094779491424605</c:v>
                </c:pt>
                <c:pt idx="1261">
                  <c:v>0.54068160057067904</c:v>
                </c:pt>
                <c:pt idx="1262">
                  <c:v>0.53916466236114502</c:v>
                </c:pt>
                <c:pt idx="1263">
                  <c:v>0.53818893432617199</c:v>
                </c:pt>
                <c:pt idx="1264">
                  <c:v>0.53754794597625699</c:v>
                </c:pt>
                <c:pt idx="1265">
                  <c:v>0.53659731149673495</c:v>
                </c:pt>
                <c:pt idx="1266">
                  <c:v>0.535145103931427</c:v>
                </c:pt>
                <c:pt idx="1267">
                  <c:v>0.53424882888793901</c:v>
                </c:pt>
                <c:pt idx="1268">
                  <c:v>0.53330779075622603</c:v>
                </c:pt>
                <c:pt idx="1269">
                  <c:v>0.531655073165894</c:v>
                </c:pt>
                <c:pt idx="1270">
                  <c:v>0.53163349628448497</c:v>
                </c:pt>
                <c:pt idx="1271">
                  <c:v>0.53023248910903897</c:v>
                </c:pt>
                <c:pt idx="1272">
                  <c:v>0.52916866540908802</c:v>
                </c:pt>
                <c:pt idx="1273">
                  <c:v>0.52871656417846702</c:v>
                </c:pt>
                <c:pt idx="1274">
                  <c:v>0.52734738588333097</c:v>
                </c:pt>
                <c:pt idx="1275">
                  <c:v>0.52583986520767201</c:v>
                </c:pt>
                <c:pt idx="1276">
                  <c:v>0.52597749233245805</c:v>
                </c:pt>
                <c:pt idx="1277">
                  <c:v>0.523767590522766</c:v>
                </c:pt>
                <c:pt idx="1278">
                  <c:v>0.52303051948547397</c:v>
                </c:pt>
                <c:pt idx="1279">
                  <c:v>0.52276957035064697</c:v>
                </c:pt>
                <c:pt idx="1280">
                  <c:v>0.52088999748230003</c:v>
                </c:pt>
                <c:pt idx="1281">
                  <c:v>0.52012920379638705</c:v>
                </c:pt>
                <c:pt idx="1282">
                  <c:v>0.51992636919021595</c:v>
                </c:pt>
                <c:pt idx="1283">
                  <c:v>0.51779001951217696</c:v>
                </c:pt>
                <c:pt idx="1284">
                  <c:v>0.51742541790008501</c:v>
                </c:pt>
                <c:pt idx="1285">
                  <c:v>0.51666653156280495</c:v>
                </c:pt>
                <c:pt idx="1286">
                  <c:v>0.51507431268692005</c:v>
                </c:pt>
                <c:pt idx="1287">
                  <c:v>0.51382118463516202</c:v>
                </c:pt>
                <c:pt idx="1288">
                  <c:v>0.51360511779785201</c:v>
                </c:pt>
                <c:pt idx="1289">
                  <c:v>0.51178294420242298</c:v>
                </c:pt>
                <c:pt idx="1290">
                  <c:v>0.51147282123565696</c:v>
                </c:pt>
                <c:pt idx="1291">
                  <c:v>0.510903120040894</c:v>
                </c:pt>
                <c:pt idx="1292">
                  <c:v>0.50893008708953902</c:v>
                </c:pt>
                <c:pt idx="1293">
                  <c:v>0.50878679752349898</c:v>
                </c:pt>
                <c:pt idx="1294">
                  <c:v>0.50776147842407204</c:v>
                </c:pt>
                <c:pt idx="1295">
                  <c:v>0.50531470775604204</c:v>
                </c:pt>
                <c:pt idx="1296">
                  <c:v>0.50550884008407604</c:v>
                </c:pt>
                <c:pt idx="1297">
                  <c:v>0.50438767671585105</c:v>
                </c:pt>
                <c:pt idx="1298">
                  <c:v>0.50278991460800204</c:v>
                </c:pt>
                <c:pt idx="1299">
                  <c:v>0.50231641530990601</c:v>
                </c:pt>
                <c:pt idx="1300">
                  <c:v>0.50168985128402699</c:v>
                </c:pt>
                <c:pt idx="1301">
                  <c:v>0.49974006414413502</c:v>
                </c:pt>
                <c:pt idx="1302">
                  <c:v>0.49987307190895103</c:v>
                </c:pt>
                <c:pt idx="1303">
                  <c:v>0.498363167047501</c:v>
                </c:pt>
                <c:pt idx="1304">
                  <c:v>0.49661603569984403</c:v>
                </c:pt>
                <c:pt idx="1305">
                  <c:v>0.49663078784942599</c:v>
                </c:pt>
                <c:pt idx="1306">
                  <c:v>0.49548777937889099</c:v>
                </c:pt>
                <c:pt idx="1307">
                  <c:v>0.49410918354988098</c:v>
                </c:pt>
                <c:pt idx="1308">
                  <c:v>0.49346852302551297</c:v>
                </c:pt>
                <c:pt idx="1309">
                  <c:v>0.49248814582824701</c:v>
                </c:pt>
                <c:pt idx="1310">
                  <c:v>0.49097135663032498</c:v>
                </c:pt>
                <c:pt idx="1311">
                  <c:v>0.490471541881561</c:v>
                </c:pt>
                <c:pt idx="1312">
                  <c:v>0.48881992697715798</c:v>
                </c:pt>
                <c:pt idx="1313">
                  <c:v>0.48832342028617898</c:v>
                </c:pt>
                <c:pt idx="1314">
                  <c:v>0.48744809627532998</c:v>
                </c:pt>
                <c:pt idx="1315">
                  <c:v>0.48612335324287398</c:v>
                </c:pt>
                <c:pt idx="1316">
                  <c:v>0.48498034477233898</c:v>
                </c:pt>
                <c:pt idx="1317">
                  <c:v>0.48436021804809598</c:v>
                </c:pt>
                <c:pt idx="1318">
                  <c:v>0.48320952057838401</c:v>
                </c:pt>
                <c:pt idx="1319">
                  <c:v>0.48193299770355202</c:v>
                </c:pt>
                <c:pt idx="1320">
                  <c:v>0.48197332024574302</c:v>
                </c:pt>
                <c:pt idx="1321">
                  <c:v>0.48016151785850503</c:v>
                </c:pt>
                <c:pt idx="1322">
                  <c:v>0.47887679934501598</c:v>
                </c:pt>
                <c:pt idx="1323">
                  <c:v>0.47894740104675299</c:v>
                </c:pt>
                <c:pt idx="1324">
                  <c:v>0.47722610831260698</c:v>
                </c:pt>
                <c:pt idx="1325">
                  <c:v>0.47603693604469299</c:v>
                </c:pt>
                <c:pt idx="1326">
                  <c:v>0.47541657090187101</c:v>
                </c:pt>
                <c:pt idx="1327">
                  <c:v>0.474170953035355</c:v>
                </c:pt>
                <c:pt idx="1328">
                  <c:v>0.47326171398162797</c:v>
                </c:pt>
                <c:pt idx="1329">
                  <c:v>0.47282159328460699</c:v>
                </c:pt>
                <c:pt idx="1330">
                  <c:v>0.47035199403762801</c:v>
                </c:pt>
                <c:pt idx="1331">
                  <c:v>0.47051951289176902</c:v>
                </c:pt>
                <c:pt idx="1332">
                  <c:v>0.46938025951385498</c:v>
                </c:pt>
                <c:pt idx="1333">
                  <c:v>0.46815806627273598</c:v>
                </c:pt>
                <c:pt idx="1334">
                  <c:v>0.467717915773392</c:v>
                </c:pt>
                <c:pt idx="1335">
                  <c:v>0.466004908084869</c:v>
                </c:pt>
                <c:pt idx="1336">
                  <c:v>0.46492817997932401</c:v>
                </c:pt>
                <c:pt idx="1337">
                  <c:v>0.46473062038421598</c:v>
                </c:pt>
                <c:pt idx="1338">
                  <c:v>0.46325612068176297</c:v>
                </c:pt>
                <c:pt idx="1339">
                  <c:v>0.46239575743675199</c:v>
                </c:pt>
                <c:pt idx="1340">
                  <c:v>0.46125674247741699</c:v>
                </c:pt>
                <c:pt idx="1341">
                  <c:v>0.45964080095291099</c:v>
                </c:pt>
                <c:pt idx="1342">
                  <c:v>0.45959833264350902</c:v>
                </c:pt>
                <c:pt idx="1343">
                  <c:v>0.45862990617752097</c:v>
                </c:pt>
                <c:pt idx="1344">
                  <c:v>0.45673093199729897</c:v>
                </c:pt>
                <c:pt idx="1345">
                  <c:v>0.45673635601997398</c:v>
                </c:pt>
                <c:pt idx="1346">
                  <c:v>0.455416560173035</c:v>
                </c:pt>
                <c:pt idx="1347">
                  <c:v>0.454027980566025</c:v>
                </c:pt>
                <c:pt idx="1348">
                  <c:v>0.453621476888657</c:v>
                </c:pt>
                <c:pt idx="1349">
                  <c:v>0.45182782411575301</c:v>
                </c:pt>
                <c:pt idx="1350">
                  <c:v>0.45145425200462302</c:v>
                </c:pt>
                <c:pt idx="1351">
                  <c:v>0.45044448971748402</c:v>
                </c:pt>
                <c:pt idx="1352">
                  <c:v>0.44867819547653198</c:v>
                </c:pt>
                <c:pt idx="1353">
                  <c:v>0.44824600219726601</c:v>
                </c:pt>
                <c:pt idx="1354">
                  <c:v>0.44712087512016302</c:v>
                </c:pt>
                <c:pt idx="1355">
                  <c:v>0.44597953557968101</c:v>
                </c:pt>
                <c:pt idx="1356">
                  <c:v>0.445996403694153</c:v>
                </c:pt>
                <c:pt idx="1357">
                  <c:v>0.44421428442001298</c:v>
                </c:pt>
                <c:pt idx="1358">
                  <c:v>0.44280248880386402</c:v>
                </c:pt>
                <c:pt idx="1359">
                  <c:v>0.44307380914688099</c:v>
                </c:pt>
                <c:pt idx="1360">
                  <c:v>0.44125404953956598</c:v>
                </c:pt>
                <c:pt idx="1361">
                  <c:v>0.43971630930900601</c:v>
                </c:pt>
                <c:pt idx="1362">
                  <c:v>0.43957853317260698</c:v>
                </c:pt>
                <c:pt idx="1363">
                  <c:v>0.43809324502944902</c:v>
                </c:pt>
                <c:pt idx="1364">
                  <c:v>0.43740689754486101</c:v>
                </c:pt>
                <c:pt idx="1365">
                  <c:v>0.436050355434418</c:v>
                </c:pt>
                <c:pt idx="1366">
                  <c:v>0.43502855300903298</c:v>
                </c:pt>
                <c:pt idx="1367">
                  <c:v>0.43439400196075401</c:v>
                </c:pt>
                <c:pt idx="1368">
                  <c:v>0.43382766842842102</c:v>
                </c:pt>
                <c:pt idx="1369">
                  <c:v>0.43184500932693498</c:v>
                </c:pt>
                <c:pt idx="1370">
                  <c:v>0.431680768728256</c:v>
                </c:pt>
                <c:pt idx="1371">
                  <c:v>0.42996945977210999</c:v>
                </c:pt>
                <c:pt idx="1372">
                  <c:v>0.42925864458084101</c:v>
                </c:pt>
                <c:pt idx="1373">
                  <c:v>0.42851611971855202</c:v>
                </c:pt>
                <c:pt idx="1374">
                  <c:v>0.42694604396820102</c:v>
                </c:pt>
                <c:pt idx="1375">
                  <c:v>0.42565336823463401</c:v>
                </c:pt>
                <c:pt idx="1376">
                  <c:v>0.42550119757652299</c:v>
                </c:pt>
                <c:pt idx="1377">
                  <c:v>0.423818320035934</c:v>
                </c:pt>
                <c:pt idx="1378">
                  <c:v>0.42325547337531999</c:v>
                </c:pt>
                <c:pt idx="1379">
                  <c:v>0.42275899648666398</c:v>
                </c:pt>
                <c:pt idx="1380">
                  <c:v>0.42070633172988903</c:v>
                </c:pt>
                <c:pt idx="1381">
                  <c:v>0.42060658335685702</c:v>
                </c:pt>
                <c:pt idx="1382">
                  <c:v>0.419594436883926</c:v>
                </c:pt>
                <c:pt idx="1383">
                  <c:v>0.41746336221694902</c:v>
                </c:pt>
                <c:pt idx="1384">
                  <c:v>0.41803294420242298</c:v>
                </c:pt>
                <c:pt idx="1385">
                  <c:v>0.416316628456116</c:v>
                </c:pt>
                <c:pt idx="1386">
                  <c:v>0.41474336385726901</c:v>
                </c:pt>
                <c:pt idx="1387">
                  <c:v>0.414724111557007</c:v>
                </c:pt>
                <c:pt idx="1388">
                  <c:v>0.41289970278739901</c:v>
                </c:pt>
                <c:pt idx="1389">
                  <c:v>0.41227480769157399</c:v>
                </c:pt>
                <c:pt idx="1390">
                  <c:v>0.41138374805450401</c:v>
                </c:pt>
                <c:pt idx="1391">
                  <c:v>0.41002804040908802</c:v>
                </c:pt>
                <c:pt idx="1392">
                  <c:v>0.409408450126648</c:v>
                </c:pt>
                <c:pt idx="1393">
                  <c:v>0.40834552049636802</c:v>
                </c:pt>
                <c:pt idx="1394">
                  <c:v>0.40694722533226002</c:v>
                </c:pt>
                <c:pt idx="1395">
                  <c:v>0.40679356455802901</c:v>
                </c:pt>
                <c:pt idx="1396">
                  <c:v>0.40516012907028198</c:v>
                </c:pt>
                <c:pt idx="1397">
                  <c:v>0.40367472171783397</c:v>
                </c:pt>
                <c:pt idx="1398">
                  <c:v>0.40377229452133201</c:v>
                </c:pt>
                <c:pt idx="1399">
                  <c:v>0.40199750661849998</c:v>
                </c:pt>
                <c:pt idx="1400">
                  <c:v>0.40113827586174</c:v>
                </c:pt>
                <c:pt idx="1401">
                  <c:v>0.40073835849762002</c:v>
                </c:pt>
                <c:pt idx="1402">
                  <c:v>0.39901769161224399</c:v>
                </c:pt>
                <c:pt idx="1403">
                  <c:v>0.39831012487411499</c:v>
                </c:pt>
                <c:pt idx="1404">
                  <c:v>0.39757704734802202</c:v>
                </c:pt>
                <c:pt idx="1405">
                  <c:v>0.39554026722907998</c:v>
                </c:pt>
                <c:pt idx="1406">
                  <c:v>0.39573833346366899</c:v>
                </c:pt>
                <c:pt idx="1407">
                  <c:v>0.39457386732101402</c:v>
                </c:pt>
                <c:pt idx="1408">
                  <c:v>0.39279377460479697</c:v>
                </c:pt>
                <c:pt idx="1409">
                  <c:v>0.39228361845016502</c:v>
                </c:pt>
                <c:pt idx="1410">
                  <c:v>0.39125880599021901</c:v>
                </c:pt>
                <c:pt idx="1411">
                  <c:v>0.38975504040718101</c:v>
                </c:pt>
                <c:pt idx="1412">
                  <c:v>0.38975450396537797</c:v>
                </c:pt>
                <c:pt idx="1413">
                  <c:v>0.38764768838882402</c:v>
                </c:pt>
                <c:pt idx="1414">
                  <c:v>0.38708335161209101</c:v>
                </c:pt>
                <c:pt idx="1415">
                  <c:v>0.38640865683555597</c:v>
                </c:pt>
                <c:pt idx="1416">
                  <c:v>0.38533091545105003</c:v>
                </c:pt>
                <c:pt idx="1417">
                  <c:v>0.38438037037849399</c:v>
                </c:pt>
                <c:pt idx="1418">
                  <c:v>0.38359642028808599</c:v>
                </c:pt>
                <c:pt idx="1419">
                  <c:v>0.38183677196502702</c:v>
                </c:pt>
                <c:pt idx="1420">
                  <c:v>0.38216221332549999</c:v>
                </c:pt>
                <c:pt idx="1421">
                  <c:v>0.38012751936912498</c:v>
                </c:pt>
                <c:pt idx="1422">
                  <c:v>0.37894684076309199</c:v>
                </c:pt>
                <c:pt idx="1423">
                  <c:v>0.37890440225601202</c:v>
                </c:pt>
                <c:pt idx="1424">
                  <c:v>0.37720641493797302</c:v>
                </c:pt>
                <c:pt idx="1425">
                  <c:v>0.37626925110817</c:v>
                </c:pt>
                <c:pt idx="1426">
                  <c:v>0.375327378511429</c:v>
                </c:pt>
                <c:pt idx="1427">
                  <c:v>0.37414231896400502</c:v>
                </c:pt>
                <c:pt idx="1428">
                  <c:v>0.37313973903656</c:v>
                </c:pt>
                <c:pt idx="1429">
                  <c:v>0.37310594320297202</c:v>
                </c:pt>
                <c:pt idx="1430">
                  <c:v>0.37019392848014798</c:v>
                </c:pt>
                <c:pt idx="1431">
                  <c:v>0.36988312005996699</c:v>
                </c:pt>
                <c:pt idx="1432">
                  <c:v>0.36994460225105302</c:v>
                </c:pt>
                <c:pt idx="1433">
                  <c:v>0.36791744828224199</c:v>
                </c:pt>
                <c:pt idx="1434">
                  <c:v>0.36709526181221003</c:v>
                </c:pt>
                <c:pt idx="1435">
                  <c:v>0.366754710674286</c:v>
                </c:pt>
                <c:pt idx="1436">
                  <c:v>0.36509579420089699</c:v>
                </c:pt>
                <c:pt idx="1437">
                  <c:v>0.36437213420867898</c:v>
                </c:pt>
                <c:pt idx="1438">
                  <c:v>0.36301416158676098</c:v>
                </c:pt>
                <c:pt idx="1439">
                  <c:v>0.362132698297501</c:v>
                </c:pt>
                <c:pt idx="1440">
                  <c:v>0.36159905791282698</c:v>
                </c:pt>
                <c:pt idx="1441">
                  <c:v>0.36024141311645502</c:v>
                </c:pt>
                <c:pt idx="1442">
                  <c:v>0.35940107703208901</c:v>
                </c:pt>
                <c:pt idx="1443">
                  <c:v>0.35880798101425199</c:v>
                </c:pt>
                <c:pt idx="1444">
                  <c:v>0.35674265027046198</c:v>
                </c:pt>
                <c:pt idx="1445">
                  <c:v>0.35661640763282798</c:v>
                </c:pt>
                <c:pt idx="1446">
                  <c:v>0.355260580778122</c:v>
                </c:pt>
                <c:pt idx="1447">
                  <c:v>0.353952646255493</c:v>
                </c:pt>
                <c:pt idx="1448">
                  <c:v>0.35332027077674899</c:v>
                </c:pt>
                <c:pt idx="1449">
                  <c:v>0.352185308933258</c:v>
                </c:pt>
                <c:pt idx="1450">
                  <c:v>0.35130462050437899</c:v>
                </c:pt>
                <c:pt idx="1451">
                  <c:v>0.35037449002265902</c:v>
                </c:pt>
                <c:pt idx="1452">
                  <c:v>0.34898051619529702</c:v>
                </c:pt>
                <c:pt idx="1453">
                  <c:v>0.347951620817184</c:v>
                </c:pt>
                <c:pt idx="1454">
                  <c:v>0.34776696562767001</c:v>
                </c:pt>
                <c:pt idx="1455">
                  <c:v>0.345830619335175</c:v>
                </c:pt>
                <c:pt idx="1456">
                  <c:v>0.345930725336075</c:v>
                </c:pt>
                <c:pt idx="1457">
                  <c:v>0.34416440129280101</c:v>
                </c:pt>
                <c:pt idx="1458">
                  <c:v>0.342883050441742</c:v>
                </c:pt>
                <c:pt idx="1459">
                  <c:v>0.34300172328949002</c:v>
                </c:pt>
                <c:pt idx="1460">
                  <c:v>0.34071043133735701</c:v>
                </c:pt>
                <c:pt idx="1461">
                  <c:v>0.33980014920234702</c:v>
                </c:pt>
                <c:pt idx="1462">
                  <c:v>0.33967497944831798</c:v>
                </c:pt>
                <c:pt idx="1463">
                  <c:v>0.33821421861648598</c:v>
                </c:pt>
                <c:pt idx="1464">
                  <c:v>0.33752045035362199</c:v>
                </c:pt>
                <c:pt idx="1465">
                  <c:v>0.33635121583938599</c:v>
                </c:pt>
                <c:pt idx="1466">
                  <c:v>0.33498933911323497</c:v>
                </c:pt>
                <c:pt idx="1467">
                  <c:v>0.33454161882400502</c:v>
                </c:pt>
                <c:pt idx="1468">
                  <c:v>0.33354958891868602</c:v>
                </c:pt>
                <c:pt idx="1469">
                  <c:v>0.33200520277023299</c:v>
                </c:pt>
                <c:pt idx="1470">
                  <c:v>0.33165302872657798</c:v>
                </c:pt>
                <c:pt idx="1471">
                  <c:v>0.329521805047989</c:v>
                </c:pt>
                <c:pt idx="1472">
                  <c:v>0.32990777492523199</c:v>
                </c:pt>
                <c:pt idx="1473">
                  <c:v>0.32865512371063199</c:v>
                </c:pt>
                <c:pt idx="1474">
                  <c:v>0.32692810893058799</c:v>
                </c:pt>
                <c:pt idx="1475">
                  <c:v>0.32629364728927601</c:v>
                </c:pt>
                <c:pt idx="1476">
                  <c:v>0.32543867826461798</c:v>
                </c:pt>
                <c:pt idx="1477">
                  <c:v>0.32400315999984702</c:v>
                </c:pt>
                <c:pt idx="1478">
                  <c:v>0.32378908991813699</c:v>
                </c:pt>
                <c:pt idx="1479">
                  <c:v>0.32196977734565702</c:v>
                </c:pt>
                <c:pt idx="1480">
                  <c:v>0.32113495469093301</c:v>
                </c:pt>
                <c:pt idx="1481">
                  <c:v>0.32049199938774098</c:v>
                </c:pt>
                <c:pt idx="1482">
                  <c:v>0.31892582774162298</c:v>
                </c:pt>
                <c:pt idx="1483">
                  <c:v>0.31858360767364502</c:v>
                </c:pt>
                <c:pt idx="1484">
                  <c:v>0.31703689694404602</c:v>
                </c:pt>
                <c:pt idx="1485">
                  <c:v>0.31586682796478299</c:v>
                </c:pt>
                <c:pt idx="1486">
                  <c:v>0.31614157557487499</c:v>
                </c:pt>
                <c:pt idx="1487">
                  <c:v>0.31331947445869401</c:v>
                </c:pt>
                <c:pt idx="1488">
                  <c:v>0.313161730766296</c:v>
                </c:pt>
                <c:pt idx="1489">
                  <c:v>0.31261008977889998</c:v>
                </c:pt>
                <c:pt idx="1490">
                  <c:v>0.31102842092513999</c:v>
                </c:pt>
                <c:pt idx="1491">
                  <c:v>0.31059771776199302</c:v>
                </c:pt>
                <c:pt idx="1492">
                  <c:v>0.30920475721359297</c:v>
                </c:pt>
                <c:pt idx="1493">
                  <c:v>0.30810475349426297</c:v>
                </c:pt>
                <c:pt idx="1494">
                  <c:v>0.30793526768684398</c:v>
                </c:pt>
                <c:pt idx="1495">
                  <c:v>0.30579289793968201</c:v>
                </c:pt>
                <c:pt idx="1496">
                  <c:v>0.30547177791595498</c:v>
                </c:pt>
                <c:pt idx="1497">
                  <c:v>0.30433675646781899</c:v>
                </c:pt>
                <c:pt idx="1498">
                  <c:v>0.30301278829574602</c:v>
                </c:pt>
                <c:pt idx="1499">
                  <c:v>0.30235597491264299</c:v>
                </c:pt>
                <c:pt idx="1500">
                  <c:v>0.30139395594596902</c:v>
                </c:pt>
                <c:pt idx="1501">
                  <c:v>0.30007961392402599</c:v>
                </c:pt>
                <c:pt idx="1502">
                  <c:v>0.29984399676322898</c:v>
                </c:pt>
                <c:pt idx="1503">
                  <c:v>0.29735749959945701</c:v>
                </c:pt>
                <c:pt idx="1504">
                  <c:v>0.297653317451477</c:v>
                </c:pt>
                <c:pt idx="1505">
                  <c:v>0.29651522636413602</c:v>
                </c:pt>
                <c:pt idx="1506">
                  <c:v>0.29472029209137002</c:v>
                </c:pt>
                <c:pt idx="1507">
                  <c:v>0.29463043808937101</c:v>
                </c:pt>
                <c:pt idx="1508">
                  <c:v>0.29311740398406999</c:v>
                </c:pt>
                <c:pt idx="1509">
                  <c:v>0.29170867800712602</c:v>
                </c:pt>
                <c:pt idx="1510">
                  <c:v>0.291652411222458</c:v>
                </c:pt>
                <c:pt idx="1511">
                  <c:v>0.28983190655708302</c:v>
                </c:pt>
                <c:pt idx="1512">
                  <c:v>0.28944504261016801</c:v>
                </c:pt>
                <c:pt idx="1513">
                  <c:v>0.288478404283524</c:v>
                </c:pt>
                <c:pt idx="1514">
                  <c:v>0.28718808293342601</c:v>
                </c:pt>
                <c:pt idx="1515">
                  <c:v>0.286430984735489</c:v>
                </c:pt>
                <c:pt idx="1516">
                  <c:v>0.28527402877807601</c:v>
                </c:pt>
                <c:pt idx="1517">
                  <c:v>0.28391575813293501</c:v>
                </c:pt>
                <c:pt idx="1518">
                  <c:v>0.28342139720916698</c:v>
                </c:pt>
                <c:pt idx="1519">
                  <c:v>0.28203299641609197</c:v>
                </c:pt>
                <c:pt idx="1520">
                  <c:v>0.28185668587684598</c:v>
                </c:pt>
                <c:pt idx="1521">
                  <c:v>0.279986292123795</c:v>
                </c:pt>
                <c:pt idx="1522">
                  <c:v>0.27876117825508101</c:v>
                </c:pt>
                <c:pt idx="1523">
                  <c:v>0.27883437275886502</c:v>
                </c:pt>
                <c:pt idx="1524">
                  <c:v>0.27715581655502303</c:v>
                </c:pt>
                <c:pt idx="1525">
                  <c:v>0.27583652734756497</c:v>
                </c:pt>
                <c:pt idx="1526">
                  <c:v>0.27585488557815602</c:v>
                </c:pt>
                <c:pt idx="1527">
                  <c:v>0.27408614754676802</c:v>
                </c:pt>
                <c:pt idx="1528">
                  <c:v>0.27370849251747098</c:v>
                </c:pt>
                <c:pt idx="1529">
                  <c:v>0.27229556441307101</c:v>
                </c:pt>
                <c:pt idx="1530">
                  <c:v>0.27099382877349898</c:v>
                </c:pt>
                <c:pt idx="1531">
                  <c:v>0.270424485206604</c:v>
                </c:pt>
                <c:pt idx="1532">
                  <c:v>0.268884927034378</c:v>
                </c:pt>
                <c:pt idx="1533">
                  <c:v>0.26788923144340498</c:v>
                </c:pt>
                <c:pt idx="1534">
                  <c:v>0.26772350072860701</c:v>
                </c:pt>
                <c:pt idx="1535">
                  <c:v>0.26572683453559898</c:v>
                </c:pt>
                <c:pt idx="1536">
                  <c:v>0.26545944809913602</c:v>
                </c:pt>
                <c:pt idx="1537">
                  <c:v>0.26428726315498402</c:v>
                </c:pt>
                <c:pt idx="1538">
                  <c:v>0.26313000917434698</c:v>
                </c:pt>
                <c:pt idx="1539">
                  <c:v>0.262906074523926</c:v>
                </c:pt>
                <c:pt idx="1540">
                  <c:v>0.26065179705619801</c:v>
                </c:pt>
                <c:pt idx="1541">
                  <c:v>0.260217905044556</c:v>
                </c:pt>
                <c:pt idx="1542">
                  <c:v>0.25980207324027998</c:v>
                </c:pt>
                <c:pt idx="1543">
                  <c:v>0.25786215066909801</c:v>
                </c:pt>
                <c:pt idx="1544">
                  <c:v>0.257192432880402</c:v>
                </c:pt>
                <c:pt idx="1545">
                  <c:v>0.25630244612693798</c:v>
                </c:pt>
                <c:pt idx="1546">
                  <c:v>0.25513559579849199</c:v>
                </c:pt>
                <c:pt idx="1547">
                  <c:v>0.25469207763671903</c:v>
                </c:pt>
                <c:pt idx="1548">
                  <c:v>0.25276145339012102</c:v>
                </c:pt>
                <c:pt idx="1549">
                  <c:v>0.25249934196472201</c:v>
                </c:pt>
                <c:pt idx="1550">
                  <c:v>0.25089007616043102</c:v>
                </c:pt>
                <c:pt idx="1551">
                  <c:v>0.250163733959198</c:v>
                </c:pt>
                <c:pt idx="1552">
                  <c:v>0.24961815774440799</c:v>
                </c:pt>
                <c:pt idx="1553">
                  <c:v>0.248194664716721</c:v>
                </c:pt>
                <c:pt idx="1554">
                  <c:v>0.247527271509171</c:v>
                </c:pt>
                <c:pt idx="1555">
                  <c:v>0.24530602991580999</c:v>
                </c:pt>
                <c:pt idx="1556">
                  <c:v>0.24568885564804099</c:v>
                </c:pt>
                <c:pt idx="1557">
                  <c:v>0.24372209608554801</c:v>
                </c:pt>
                <c:pt idx="1558">
                  <c:v>0.24313120543956801</c:v>
                </c:pt>
                <c:pt idx="1559">
                  <c:v>0.24226239323616</c:v>
                </c:pt>
                <c:pt idx="1560">
                  <c:v>0.241017460823059</c:v>
                </c:pt>
                <c:pt idx="1561">
                  <c:v>0.240499287843704</c:v>
                </c:pt>
                <c:pt idx="1562">
                  <c:v>0.23877227306366</c:v>
                </c:pt>
                <c:pt idx="1563">
                  <c:v>0.238239705562592</c:v>
                </c:pt>
                <c:pt idx="1564">
                  <c:v>0.23696252703666701</c:v>
                </c:pt>
                <c:pt idx="1565">
                  <c:v>0.23649232089519501</c:v>
                </c:pt>
                <c:pt idx="1566">
                  <c:v>0.235434889793396</c:v>
                </c:pt>
                <c:pt idx="1567">
                  <c:v>0.23355618119239799</c:v>
                </c:pt>
                <c:pt idx="1568">
                  <c:v>0.233784139156342</c:v>
                </c:pt>
                <c:pt idx="1569">
                  <c:v>0.23195962607860601</c:v>
                </c:pt>
                <c:pt idx="1570">
                  <c:v>0.23134651780128501</c:v>
                </c:pt>
                <c:pt idx="1571">
                  <c:v>0.230161532759666</c:v>
                </c:pt>
                <c:pt idx="1572">
                  <c:v>0.22913783788681</c:v>
                </c:pt>
                <c:pt idx="1573">
                  <c:v>0.22853530943393699</c:v>
                </c:pt>
                <c:pt idx="1574">
                  <c:v>0.22696736454963701</c:v>
                </c:pt>
                <c:pt idx="1575">
                  <c:v>0.22627793252468101</c:v>
                </c:pt>
                <c:pt idx="1576">
                  <c:v>0.22502392530441301</c:v>
                </c:pt>
                <c:pt idx="1577">
                  <c:v>0.2242771089077</c:v>
                </c:pt>
                <c:pt idx="1578">
                  <c:v>0.223593935370445</c:v>
                </c:pt>
                <c:pt idx="1579">
                  <c:v>0.22207587957382199</c:v>
                </c:pt>
                <c:pt idx="1580">
                  <c:v>0.22177590429782901</c:v>
                </c:pt>
                <c:pt idx="1581">
                  <c:v>0.21994045376777599</c:v>
                </c:pt>
                <c:pt idx="1582">
                  <c:v>0.21944378316402399</c:v>
                </c:pt>
                <c:pt idx="1583">
                  <c:v>0.218381062150002</c:v>
                </c:pt>
                <c:pt idx="1584">
                  <c:v>0.21693299710750599</c:v>
                </c:pt>
                <c:pt idx="1585">
                  <c:v>0.21679922938346899</c:v>
                </c:pt>
                <c:pt idx="1586">
                  <c:v>0.214732855558395</c:v>
                </c:pt>
                <c:pt idx="1587">
                  <c:v>0.21469242870807601</c:v>
                </c:pt>
                <c:pt idx="1588">
                  <c:v>0.21317553520202601</c:v>
                </c:pt>
                <c:pt idx="1589">
                  <c:v>0.212300360202789</c:v>
                </c:pt>
                <c:pt idx="1590">
                  <c:v>0.21197050809860199</c:v>
                </c:pt>
                <c:pt idx="1591">
                  <c:v>0.209328979253769</c:v>
                </c:pt>
                <c:pt idx="1592">
                  <c:v>0.209967792034149</c:v>
                </c:pt>
                <c:pt idx="1593">
                  <c:v>0.20778018236160301</c:v>
                </c:pt>
                <c:pt idx="1594">
                  <c:v>0.20764122903346999</c:v>
                </c:pt>
                <c:pt idx="1595">
                  <c:v>0.20648066699504899</c:v>
                </c:pt>
                <c:pt idx="1596">
                  <c:v>0.20462423563003501</c:v>
                </c:pt>
                <c:pt idx="1597">
                  <c:v>0.20510634779930101</c:v>
                </c:pt>
                <c:pt idx="1598">
                  <c:v>0.202835664153099</c:v>
                </c:pt>
                <c:pt idx="1599">
                  <c:v>0.202314168214798</c:v>
                </c:pt>
                <c:pt idx="1600">
                  <c:v>0.20158071815967599</c:v>
                </c:pt>
                <c:pt idx="1601">
                  <c:v>0.200005397200584</c:v>
                </c:pt>
                <c:pt idx="1602">
                  <c:v>0.199867263436317</c:v>
                </c:pt>
                <c:pt idx="1603">
                  <c:v>0.19737133383750899</c:v>
                </c:pt>
                <c:pt idx="1604">
                  <c:v>0.19765117764473</c:v>
                </c:pt>
                <c:pt idx="1605">
                  <c:v>0.19636780023574801</c:v>
                </c:pt>
                <c:pt idx="1606">
                  <c:v>0.19518816471099901</c:v>
                </c:pt>
                <c:pt idx="1607">
                  <c:v>0.19489954411983501</c:v>
                </c:pt>
                <c:pt idx="1608">
                  <c:v>0.19268462061882</c:v>
                </c:pt>
                <c:pt idx="1609">
                  <c:v>0.19280546903610199</c:v>
                </c:pt>
                <c:pt idx="1610">
                  <c:v>0.190951213240623</c:v>
                </c:pt>
                <c:pt idx="1611">
                  <c:v>0.190236210823059</c:v>
                </c:pt>
                <c:pt idx="1612">
                  <c:v>0.18974602222442599</c:v>
                </c:pt>
                <c:pt idx="1613">
                  <c:v>0.18770931661129001</c:v>
                </c:pt>
                <c:pt idx="1614">
                  <c:v>0.18749640882015201</c:v>
                </c:pt>
                <c:pt idx="1615">
                  <c:v>0.18544340133667001</c:v>
                </c:pt>
                <c:pt idx="1616">
                  <c:v>0.18557070195674899</c:v>
                </c:pt>
                <c:pt idx="1617">
                  <c:v>0.18455865979194599</c:v>
                </c:pt>
                <c:pt idx="1618">
                  <c:v>0.18303108215332001</c:v>
                </c:pt>
                <c:pt idx="1619">
                  <c:v>0.18230344355106401</c:v>
                </c:pt>
                <c:pt idx="1620">
                  <c:v>0.18088503181934401</c:v>
                </c:pt>
                <c:pt idx="1621">
                  <c:v>0.18021209537982899</c:v>
                </c:pt>
                <c:pt idx="1622">
                  <c:v>0.17928847670555101</c:v>
                </c:pt>
                <c:pt idx="1623">
                  <c:v>0.17793592810630801</c:v>
                </c:pt>
                <c:pt idx="1624">
                  <c:v>0.17736108601093301</c:v>
                </c:pt>
                <c:pt idx="1625">
                  <c:v>0.17610281705856301</c:v>
                </c:pt>
                <c:pt idx="1626">
                  <c:v>0.17559030652046201</c:v>
                </c:pt>
                <c:pt idx="1627">
                  <c:v>0.174334421753883</c:v>
                </c:pt>
                <c:pt idx="1628">
                  <c:v>0.17236444354057301</c:v>
                </c:pt>
                <c:pt idx="1629">
                  <c:v>0.172693431377411</c:v>
                </c:pt>
                <c:pt idx="1630">
                  <c:v>0.17065548896789601</c:v>
                </c:pt>
                <c:pt idx="1631">
                  <c:v>0.17063695192337</c:v>
                </c:pt>
                <c:pt idx="1632">
                  <c:v>0.16895389556884799</c:v>
                </c:pt>
                <c:pt idx="1633">
                  <c:v>0.16796839237213099</c:v>
                </c:pt>
                <c:pt idx="1634">
                  <c:v>0.16806809604167899</c:v>
                </c:pt>
                <c:pt idx="1635">
                  <c:v>0.16515506803989399</c:v>
                </c:pt>
                <c:pt idx="1636">
                  <c:v>0.165399134159088</c:v>
                </c:pt>
                <c:pt idx="1637">
                  <c:v>0.16415788233280201</c:v>
                </c:pt>
                <c:pt idx="1638">
                  <c:v>0.16302597522735601</c:v>
                </c:pt>
                <c:pt idx="1639">
                  <c:v>0.16294471919536599</c:v>
                </c:pt>
                <c:pt idx="1640">
                  <c:v>0.160536229610443</c:v>
                </c:pt>
                <c:pt idx="1641">
                  <c:v>0.16042724251747101</c:v>
                </c:pt>
                <c:pt idx="1642">
                  <c:v>0.15931202471256301</c:v>
                </c:pt>
                <c:pt idx="1643">
                  <c:v>0.157792404294014</c:v>
                </c:pt>
                <c:pt idx="1644">
                  <c:v>0.15777808427810699</c:v>
                </c:pt>
                <c:pt idx="1645">
                  <c:v>0.15585798025131201</c:v>
                </c:pt>
                <c:pt idx="1646">
                  <c:v>0.15542241930961601</c:v>
                </c:pt>
                <c:pt idx="1647">
                  <c:v>0.15446300804615001</c:v>
                </c:pt>
                <c:pt idx="1648">
                  <c:v>0.15321731567382799</c:v>
                </c:pt>
                <c:pt idx="1649">
                  <c:v>0.15249091386795</c:v>
                </c:pt>
                <c:pt idx="1650">
                  <c:v>0.150482773780823</c:v>
                </c:pt>
                <c:pt idx="1651">
                  <c:v>0.150500223040581</c:v>
                </c:pt>
                <c:pt idx="1652">
                  <c:v>0.14882470667362199</c:v>
                </c:pt>
                <c:pt idx="1653">
                  <c:v>0.14800439774990101</c:v>
                </c:pt>
                <c:pt idx="1654">
                  <c:v>0.14765670895576499</c:v>
                </c:pt>
                <c:pt idx="1655">
                  <c:v>0.14590953290462499</c:v>
                </c:pt>
                <c:pt idx="1656">
                  <c:v>0.14541518688201899</c:v>
                </c:pt>
                <c:pt idx="1657">
                  <c:v>0.143957614898682</c:v>
                </c:pt>
                <c:pt idx="1658">
                  <c:v>0.143134385347366</c:v>
                </c:pt>
                <c:pt idx="1659">
                  <c:v>0.14284269511699699</c:v>
                </c:pt>
                <c:pt idx="1660">
                  <c:v>0.140976697206497</c:v>
                </c:pt>
                <c:pt idx="1661">
                  <c:v>0.14083559811115301</c:v>
                </c:pt>
                <c:pt idx="1662">
                  <c:v>0.13874365389347099</c:v>
                </c:pt>
                <c:pt idx="1663">
                  <c:v>0.137934640049934</c:v>
                </c:pt>
                <c:pt idx="1664">
                  <c:v>0.137504607439041</c:v>
                </c:pt>
                <c:pt idx="1665">
                  <c:v>0.13612075150013001</c:v>
                </c:pt>
                <c:pt idx="1666">
                  <c:v>0.13584122061729401</c:v>
                </c:pt>
                <c:pt idx="1667">
                  <c:v>0.133441641926765</c:v>
                </c:pt>
                <c:pt idx="1668">
                  <c:v>0.133655980229378</c:v>
                </c:pt>
                <c:pt idx="1669">
                  <c:v>0.13210816681384999</c:v>
                </c:pt>
                <c:pt idx="1670">
                  <c:v>0.13156303763389601</c:v>
                </c:pt>
                <c:pt idx="1671">
                  <c:v>0.13094975054264099</c:v>
                </c:pt>
                <c:pt idx="1672">
                  <c:v>0.128921449184418</c:v>
                </c:pt>
                <c:pt idx="1673">
                  <c:v>0.12882046401500699</c:v>
                </c:pt>
                <c:pt idx="1674">
                  <c:v>0.126409396529198</c:v>
                </c:pt>
                <c:pt idx="1675">
                  <c:v>0.12673492729663799</c:v>
                </c:pt>
                <c:pt idx="1676">
                  <c:v>0.12517458200454701</c:v>
                </c:pt>
                <c:pt idx="1677">
                  <c:v>0.12404164671897901</c:v>
                </c:pt>
                <c:pt idx="1678">
                  <c:v>0.123903915286064</c:v>
                </c:pt>
                <c:pt idx="1679">
                  <c:v>0.121483989059925</c:v>
                </c:pt>
                <c:pt idx="1680">
                  <c:v>0.122011266648769</c:v>
                </c:pt>
                <c:pt idx="1681">
                  <c:v>0.11973787099123</c:v>
                </c:pt>
                <c:pt idx="1682">
                  <c:v>0.119263686239719</c:v>
                </c:pt>
                <c:pt idx="1683">
                  <c:v>0.118838287889957</c:v>
                </c:pt>
                <c:pt idx="1684">
                  <c:v>0.11690334230661401</c:v>
                </c:pt>
                <c:pt idx="1685">
                  <c:v>0.116844795644283</c:v>
                </c:pt>
                <c:pt idx="1686">
                  <c:v>0.1142268627882</c:v>
                </c:pt>
                <c:pt idx="1687">
                  <c:v>0.11465398967266099</c:v>
                </c:pt>
                <c:pt idx="1688">
                  <c:v>0.112976148724556</c:v>
                </c:pt>
                <c:pt idx="1689">
                  <c:v>0.11231313645839699</c:v>
                </c:pt>
                <c:pt idx="1690">
                  <c:v>0.111739307641983</c:v>
                </c:pt>
                <c:pt idx="1691">
                  <c:v>0.10927385836839699</c:v>
                </c:pt>
                <c:pt idx="1692">
                  <c:v>0.109871834516525</c:v>
                </c:pt>
                <c:pt idx="1693">
                  <c:v>0.108067706227303</c:v>
                </c:pt>
                <c:pt idx="1694">
                  <c:v>0.107647620141506</c:v>
                </c:pt>
                <c:pt idx="1695">
                  <c:v>0.10645209997892401</c:v>
                </c:pt>
                <c:pt idx="1696">
                  <c:v>0.104911744594574</c:v>
                </c:pt>
                <c:pt idx="1697">
                  <c:v>0.10474864393472701</c:v>
                </c:pt>
                <c:pt idx="1698">
                  <c:v>0.102847367525101</c:v>
                </c:pt>
                <c:pt idx="1699">
                  <c:v>0.102758258581161</c:v>
                </c:pt>
                <c:pt idx="1700">
                  <c:v>0.101355850696564</c:v>
                </c:pt>
                <c:pt idx="1701">
                  <c:v>0.100063756108284</c:v>
                </c:pt>
                <c:pt idx="1702">
                  <c:v>9.9789246916771004E-2</c:v>
                </c:pt>
                <c:pt idx="1703">
                  <c:v>9.7892247140408006E-2</c:v>
                </c:pt>
                <c:pt idx="1704">
                  <c:v>9.7979232668876995E-2</c:v>
                </c:pt>
                <c:pt idx="1705">
                  <c:v>9.5957301557064001E-2</c:v>
                </c:pt>
                <c:pt idx="1706">
                  <c:v>9.5165915787220001E-2</c:v>
                </c:pt>
                <c:pt idx="1707">
                  <c:v>9.4586566090583996E-2</c:v>
                </c:pt>
                <c:pt idx="1708">
                  <c:v>9.2772684991360002E-2</c:v>
                </c:pt>
                <c:pt idx="1709">
                  <c:v>9.2996820807456998E-2</c:v>
                </c:pt>
                <c:pt idx="1710">
                  <c:v>9.0584211051463998E-2</c:v>
                </c:pt>
                <c:pt idx="1711">
                  <c:v>9.0676493942737996E-2</c:v>
                </c:pt>
                <c:pt idx="1712">
                  <c:v>8.9354678988457004E-2</c:v>
                </c:pt>
                <c:pt idx="1713">
                  <c:v>8.8095508515835003E-2</c:v>
                </c:pt>
                <c:pt idx="1714">
                  <c:v>8.7308175861834994E-2</c:v>
                </c:pt>
                <c:pt idx="1715">
                  <c:v>8.5321441292763006E-2</c:v>
                </c:pt>
                <c:pt idx="1716">
                  <c:v>8.5977025330067E-2</c:v>
                </c:pt>
                <c:pt idx="1717">
                  <c:v>8.4075860679150002E-2</c:v>
                </c:pt>
                <c:pt idx="1718">
                  <c:v>8.3661235868930997E-2</c:v>
                </c:pt>
                <c:pt idx="1719">
                  <c:v>8.2091599702835E-2</c:v>
                </c:pt>
                <c:pt idx="1720">
                  <c:v>8.0915823578835006E-2</c:v>
                </c:pt>
                <c:pt idx="1721">
                  <c:v>8.0553017556666995E-2</c:v>
                </c:pt>
                <c:pt idx="1722">
                  <c:v>7.9004310071468006E-2</c:v>
                </c:pt>
                <c:pt idx="1723">
                  <c:v>7.8803718090056998E-2</c:v>
                </c:pt>
                <c:pt idx="1724">
                  <c:v>7.6962895691395E-2</c:v>
                </c:pt>
                <c:pt idx="1725">
                  <c:v>7.6376549899577997E-2</c:v>
                </c:pt>
                <c:pt idx="1726">
                  <c:v>7.5103551149367995E-2</c:v>
                </c:pt>
                <c:pt idx="1727">
                  <c:v>7.3987558484076996E-2</c:v>
                </c:pt>
                <c:pt idx="1728">
                  <c:v>7.3677800595759999E-2</c:v>
                </c:pt>
                <c:pt idx="1729">
                  <c:v>7.1974240243435003E-2</c:v>
                </c:pt>
                <c:pt idx="1730">
                  <c:v>7.1595393121242995E-2</c:v>
                </c:pt>
                <c:pt idx="1731">
                  <c:v>7.0162743330001998E-2</c:v>
                </c:pt>
                <c:pt idx="1732">
                  <c:v>6.9206401705741993E-2</c:v>
                </c:pt>
                <c:pt idx="1733">
                  <c:v>6.8242117762566001E-2</c:v>
                </c:pt>
                <c:pt idx="1734">
                  <c:v>6.6673934459686002E-2</c:v>
                </c:pt>
                <c:pt idx="1735">
                  <c:v>6.6433399915694996E-2</c:v>
                </c:pt>
                <c:pt idx="1736">
                  <c:v>6.5107367932796006E-2</c:v>
                </c:pt>
                <c:pt idx="1737">
                  <c:v>6.4256586134433996E-2</c:v>
                </c:pt>
                <c:pt idx="1738">
                  <c:v>6.2966622412205006E-2</c:v>
                </c:pt>
                <c:pt idx="1739">
                  <c:v>6.1741020530462001E-2</c:v>
                </c:pt>
                <c:pt idx="1740">
                  <c:v>6.1631042510271003E-2</c:v>
                </c:pt>
                <c:pt idx="1741">
                  <c:v>5.9999417513609002E-2</c:v>
                </c:pt>
                <c:pt idx="1742">
                  <c:v>5.9644114226103002E-2</c:v>
                </c:pt>
                <c:pt idx="1743">
                  <c:v>5.8047566562891E-2</c:v>
                </c:pt>
                <c:pt idx="1744">
                  <c:v>5.6811697781086003E-2</c:v>
                </c:pt>
                <c:pt idx="1745">
                  <c:v>5.6431926786899997E-2</c:v>
                </c:pt>
                <c:pt idx="1746">
                  <c:v>5.5185463279486001E-2</c:v>
                </c:pt>
                <c:pt idx="1747">
                  <c:v>5.4718688130379001E-2</c:v>
                </c:pt>
                <c:pt idx="1748">
                  <c:v>5.2955940365791002E-2</c:v>
                </c:pt>
                <c:pt idx="1749">
                  <c:v>5.2332881838082997E-2</c:v>
                </c:pt>
                <c:pt idx="1750">
                  <c:v>5.1643349230289001E-2</c:v>
                </c:pt>
                <c:pt idx="1751">
                  <c:v>4.9972131848335002E-2</c:v>
                </c:pt>
                <c:pt idx="1752">
                  <c:v>5.0018165260552999E-2</c:v>
                </c:pt>
                <c:pt idx="1753">
                  <c:v>4.7697763890028E-2</c:v>
                </c:pt>
                <c:pt idx="1754">
                  <c:v>4.7960154712199998E-2</c:v>
                </c:pt>
                <c:pt idx="1755">
                  <c:v>4.6102646738291002E-2</c:v>
                </c:pt>
                <c:pt idx="1756">
                  <c:v>4.5157551765441999E-2</c:v>
                </c:pt>
                <c:pt idx="1757">
                  <c:v>4.4610060751438002E-2</c:v>
                </c:pt>
                <c:pt idx="1758">
                  <c:v>4.2550034821032999E-2</c:v>
                </c:pt>
                <c:pt idx="1759">
                  <c:v>4.3238412588834998E-2</c:v>
                </c:pt>
                <c:pt idx="1760">
                  <c:v>4.0902469307183997E-2</c:v>
                </c:pt>
                <c:pt idx="1761">
                  <c:v>4.0408577769994999E-2</c:v>
                </c:pt>
                <c:pt idx="1762">
                  <c:v>3.9245452731847999E-2</c:v>
                </c:pt>
                <c:pt idx="1763">
                  <c:v>3.8222562521696E-2</c:v>
                </c:pt>
                <c:pt idx="1764">
                  <c:v>3.7977769970893999E-2</c:v>
                </c:pt>
                <c:pt idx="1765">
                  <c:v>3.5704415291547997E-2</c:v>
                </c:pt>
                <c:pt idx="1766">
                  <c:v>3.5683203488588E-2</c:v>
                </c:pt>
                <c:pt idx="1767">
                  <c:v>3.3841598778962999E-2</c:v>
                </c:pt>
                <c:pt idx="1768">
                  <c:v>3.3423662185669001E-2</c:v>
                </c:pt>
                <c:pt idx="1769">
                  <c:v>3.2392509281635E-2</c:v>
                </c:pt>
                <c:pt idx="1770">
                  <c:v>3.1096003949642001E-2</c:v>
                </c:pt>
                <c:pt idx="1771">
                  <c:v>3.0904175713658E-2</c:v>
                </c:pt>
                <c:pt idx="1772">
                  <c:v>2.8779333457351002E-2</c:v>
                </c:pt>
                <c:pt idx="1773">
                  <c:v>2.8564883396029001E-2</c:v>
                </c:pt>
                <c:pt idx="1774">
                  <c:v>2.6692686602472999E-2</c:v>
                </c:pt>
                <c:pt idx="1775">
                  <c:v>2.7157261967659E-2</c:v>
                </c:pt>
                <c:pt idx="1776">
                  <c:v>2.5463188067079E-2</c:v>
                </c:pt>
                <c:pt idx="1777">
                  <c:v>2.4146698415279E-2</c:v>
                </c:pt>
                <c:pt idx="1778">
                  <c:v>2.3770231753588E-2</c:v>
                </c:pt>
                <c:pt idx="1779">
                  <c:v>2.1410826593637002E-2</c:v>
                </c:pt>
                <c:pt idx="1780">
                  <c:v>2.1716287359595E-2</c:v>
                </c:pt>
                <c:pt idx="1781">
                  <c:v>1.9636061042547E-2</c:v>
                </c:pt>
                <c:pt idx="1782">
                  <c:v>1.9985070452093998E-2</c:v>
                </c:pt>
                <c:pt idx="1783">
                  <c:v>1.7843041568995001E-2</c:v>
                </c:pt>
                <c:pt idx="1784">
                  <c:v>1.7027486115694001E-2</c:v>
                </c:pt>
                <c:pt idx="1785">
                  <c:v>1.6512993723153999E-2</c:v>
                </c:pt>
                <c:pt idx="1786">
                  <c:v>1.456212438643E-2</c:v>
                </c:pt>
                <c:pt idx="1787">
                  <c:v>1.5125424601138001E-2</c:v>
                </c:pt>
                <c:pt idx="1788">
                  <c:v>1.2268614955245999E-2</c:v>
                </c:pt>
                <c:pt idx="1789">
                  <c:v>1.2813880108297E-2</c:v>
                </c:pt>
                <c:pt idx="1790">
                  <c:v>1.1047445237637E-2</c:v>
                </c:pt>
                <c:pt idx="1791">
                  <c:v>1.0089674964546999E-2</c:v>
                </c:pt>
                <c:pt idx="1792">
                  <c:v>9.7437044605609997E-3</c:v>
                </c:pt>
                <c:pt idx="1793">
                  <c:v>7.8619364649060008E-3</c:v>
                </c:pt>
                <c:pt idx="1794">
                  <c:v>7.9011879861350005E-3</c:v>
                </c:pt>
                <c:pt idx="1795">
                  <c:v>5.5951466783879999E-3</c:v>
                </c:pt>
                <c:pt idx="1796">
                  <c:v>5.7901404798030003E-3</c:v>
                </c:pt>
                <c:pt idx="1797">
                  <c:v>4.2295674793420002E-3</c:v>
                </c:pt>
                <c:pt idx="1798">
                  <c:v>2.921663457528E-3</c:v>
                </c:pt>
                <c:pt idx="1799">
                  <c:v>2.8261889237910002E-3</c:v>
                </c:pt>
                <c:pt idx="1800">
                  <c:v>1.88195044757E-4</c:v>
                </c:pt>
                <c:pt idx="1801">
                  <c:v>9.9626148585199993E-4</c:v>
                </c:pt>
                <c:pt idx="1802">
                  <c:v>-1.2026719050480001E-3</c:v>
                </c:pt>
                <c:pt idx="1803">
                  <c:v>-1.2007125187670001E-3</c:v>
                </c:pt>
                <c:pt idx="1804">
                  <c:v>-3.3191861584779998E-3</c:v>
                </c:pt>
                <c:pt idx="1805">
                  <c:v>-4.057522397488E-3</c:v>
                </c:pt>
                <c:pt idx="1806">
                  <c:v>-4.2718099430200003E-3</c:v>
                </c:pt>
                <c:pt idx="1807">
                  <c:v>-6.2578576616940003E-3</c:v>
                </c:pt>
                <c:pt idx="1808">
                  <c:v>-5.8588087558749998E-3</c:v>
                </c:pt>
                <c:pt idx="1809">
                  <c:v>-8.3274338394400006E-3</c:v>
                </c:pt>
                <c:pt idx="1810">
                  <c:v>-8.8768647983669992E-3</c:v>
                </c:pt>
                <c:pt idx="1811">
                  <c:v>-9.8804086446760003E-3</c:v>
                </c:pt>
                <c:pt idx="1812">
                  <c:v>-1.0945024900138E-2</c:v>
                </c:pt>
                <c:pt idx="1813">
                  <c:v>-1.1305099353194001E-2</c:v>
                </c:pt>
                <c:pt idx="1814">
                  <c:v>-1.3213484548031999E-2</c:v>
                </c:pt>
                <c:pt idx="1815">
                  <c:v>-1.3344010338186999E-2</c:v>
                </c:pt>
                <c:pt idx="1816">
                  <c:v>-1.5518708154559E-2</c:v>
                </c:pt>
                <c:pt idx="1817">
                  <c:v>-1.5665166079997999E-2</c:v>
                </c:pt>
                <c:pt idx="1818">
                  <c:v>-1.6439506784081001E-2</c:v>
                </c:pt>
                <c:pt idx="1819">
                  <c:v>-1.8400305882095999E-2</c:v>
                </c:pt>
                <c:pt idx="1820">
                  <c:v>-1.7946941778064E-2</c:v>
                </c:pt>
                <c:pt idx="1821">
                  <c:v>-2.0200142636894999E-2</c:v>
                </c:pt>
                <c:pt idx="1822">
                  <c:v>-2.0004587247968001E-2</c:v>
                </c:pt>
                <c:pt idx="1823">
                  <c:v>-2.2113876417279001E-2</c:v>
                </c:pt>
                <c:pt idx="1824">
                  <c:v>-2.2548951208591E-2</c:v>
                </c:pt>
                <c:pt idx="1825">
                  <c:v>-2.3751795291900999E-2</c:v>
                </c:pt>
                <c:pt idx="1826">
                  <c:v>-2.5085255503654001E-2</c:v>
                </c:pt>
                <c:pt idx="1827">
                  <c:v>-2.4901732802391E-2</c:v>
                </c:pt>
                <c:pt idx="1828">
                  <c:v>-2.7830678969621998E-2</c:v>
                </c:pt>
                <c:pt idx="1829">
                  <c:v>-2.7321320027112999E-2</c:v>
                </c:pt>
                <c:pt idx="1830">
                  <c:v>-2.9145047068596001E-2</c:v>
                </c:pt>
                <c:pt idx="1831">
                  <c:v>-2.9571641236543999E-2</c:v>
                </c:pt>
                <c:pt idx="1832">
                  <c:v>-3.0325742438435999E-2</c:v>
                </c:pt>
                <c:pt idx="1833">
                  <c:v>-3.2047465443610999E-2</c:v>
                </c:pt>
                <c:pt idx="1834">
                  <c:v>-3.2173972576857002E-2</c:v>
                </c:pt>
                <c:pt idx="1835">
                  <c:v>-3.4800320863723998E-2</c:v>
                </c:pt>
                <c:pt idx="1836">
                  <c:v>-3.3699426800012998E-2</c:v>
                </c:pt>
                <c:pt idx="1837">
                  <c:v>-3.5855840891600002E-2</c:v>
                </c:pt>
                <c:pt idx="1838">
                  <c:v>-3.6560233682394E-2</c:v>
                </c:pt>
                <c:pt idx="1839">
                  <c:v>-3.7470228970050999E-2</c:v>
                </c:pt>
                <c:pt idx="1840">
                  <c:v>-3.9571925997734E-2</c:v>
                </c:pt>
                <c:pt idx="1841">
                  <c:v>-3.9244178682566001E-2</c:v>
                </c:pt>
                <c:pt idx="1842">
                  <c:v>-4.1196051985025003E-2</c:v>
                </c:pt>
                <c:pt idx="1843">
                  <c:v>-4.0928721427917002E-2</c:v>
                </c:pt>
                <c:pt idx="1844">
                  <c:v>-4.3326623737812001E-2</c:v>
                </c:pt>
                <c:pt idx="1845">
                  <c:v>-4.3989211320876999E-2</c:v>
                </c:pt>
                <c:pt idx="1846">
                  <c:v>-4.4390235096216001E-2</c:v>
                </c:pt>
                <c:pt idx="1847">
                  <c:v>-4.6410024166106997E-2</c:v>
                </c:pt>
                <c:pt idx="1848">
                  <c:v>-4.5833993703126998E-2</c:v>
                </c:pt>
                <c:pt idx="1849">
                  <c:v>-4.8312969505787E-2</c:v>
                </c:pt>
                <c:pt idx="1850">
                  <c:v>-4.8582598567009E-2</c:v>
                </c:pt>
                <c:pt idx="1851">
                  <c:v>-4.9965031445026002E-2</c:v>
                </c:pt>
                <c:pt idx="1852">
                  <c:v>-5.0667122006416002E-2</c:v>
                </c:pt>
                <c:pt idx="1853">
                  <c:v>-5.1485016942024002E-2</c:v>
                </c:pt>
                <c:pt idx="1854">
                  <c:v>-5.32141700387E-2</c:v>
                </c:pt>
                <c:pt idx="1855">
                  <c:v>-5.3205683827399999E-2</c:v>
                </c:pt>
                <c:pt idx="1856">
                  <c:v>-5.5305920541285997E-2</c:v>
                </c:pt>
                <c:pt idx="1857">
                  <c:v>-5.5159728974103997E-2</c:v>
                </c:pt>
                <c:pt idx="1858">
                  <c:v>-5.6738104671239999E-2</c:v>
                </c:pt>
                <c:pt idx="1859">
                  <c:v>-5.8098223060368999E-2</c:v>
                </c:pt>
                <c:pt idx="1860">
                  <c:v>-5.8494973927735998E-2</c:v>
                </c:pt>
                <c:pt idx="1861">
                  <c:v>-6.0075789690017999E-2</c:v>
                </c:pt>
                <c:pt idx="1862">
                  <c:v>-6.0306865721941001E-2</c:v>
                </c:pt>
                <c:pt idx="1863">
                  <c:v>-6.2149453908204998E-2</c:v>
                </c:pt>
                <c:pt idx="1864">
                  <c:v>-6.2788136303425002E-2</c:v>
                </c:pt>
                <c:pt idx="1865">
                  <c:v>-6.4047344028950001E-2</c:v>
                </c:pt>
                <c:pt idx="1866">
                  <c:v>-6.4983844757079995E-2</c:v>
                </c:pt>
                <c:pt idx="1867">
                  <c:v>-6.5145298838615001E-2</c:v>
                </c:pt>
                <c:pt idx="1868">
                  <c:v>-6.7435562610625999E-2</c:v>
                </c:pt>
                <c:pt idx="1869">
                  <c:v>-6.7765548825264005E-2</c:v>
                </c:pt>
                <c:pt idx="1870">
                  <c:v>-6.8862445652485005E-2</c:v>
                </c:pt>
                <c:pt idx="1871">
                  <c:v>-7.0211604237556E-2</c:v>
                </c:pt>
                <c:pt idx="1872">
                  <c:v>-7.0094071328639998E-2</c:v>
                </c:pt>
                <c:pt idx="1873">
                  <c:v>-7.2078064084052998E-2</c:v>
                </c:pt>
                <c:pt idx="1874">
                  <c:v>-7.2532907128334004E-2</c:v>
                </c:pt>
                <c:pt idx="1875">
                  <c:v>-7.4028678238392001E-2</c:v>
                </c:pt>
                <c:pt idx="1876">
                  <c:v>-7.4793532490729994E-2</c:v>
                </c:pt>
                <c:pt idx="1877">
                  <c:v>-7.5424723327160006E-2</c:v>
                </c:pt>
                <c:pt idx="1878">
                  <c:v>-7.7153891324997004E-2</c:v>
                </c:pt>
                <c:pt idx="1879">
                  <c:v>-7.7395744621753998E-2</c:v>
                </c:pt>
                <c:pt idx="1880">
                  <c:v>-7.9836033284664001E-2</c:v>
                </c:pt>
                <c:pt idx="1881">
                  <c:v>-7.9072915017604994E-2</c:v>
                </c:pt>
                <c:pt idx="1882">
                  <c:v>-8.0924056470393996E-2</c:v>
                </c:pt>
                <c:pt idx="1883">
                  <c:v>-8.1604652106762002E-2</c:v>
                </c:pt>
                <c:pt idx="1884">
                  <c:v>-8.3210147917270993E-2</c:v>
                </c:pt>
                <c:pt idx="1885">
                  <c:v>-8.3809554576874001E-2</c:v>
                </c:pt>
                <c:pt idx="1886">
                  <c:v>-8.4404639899731002E-2</c:v>
                </c:pt>
                <c:pt idx="1887">
                  <c:v>-8.6393684148787994E-2</c:v>
                </c:pt>
                <c:pt idx="1888">
                  <c:v>-8.6106486618518996E-2</c:v>
                </c:pt>
                <c:pt idx="1889">
                  <c:v>-8.8171631097793995E-2</c:v>
                </c:pt>
                <c:pt idx="1890">
                  <c:v>-8.8381752371787997E-2</c:v>
                </c:pt>
                <c:pt idx="1891">
                  <c:v>-9.0052492916584001E-2</c:v>
                </c:pt>
                <c:pt idx="1892">
                  <c:v>-9.0998739004134993E-2</c:v>
                </c:pt>
                <c:pt idx="1893">
                  <c:v>-9.1166503727435996E-2</c:v>
                </c:pt>
                <c:pt idx="1894">
                  <c:v>-9.3169197440146997E-2</c:v>
                </c:pt>
                <c:pt idx="1895">
                  <c:v>-9.3448296189308E-2</c:v>
                </c:pt>
                <c:pt idx="1896">
                  <c:v>-9.5523178577422999E-2</c:v>
                </c:pt>
                <c:pt idx="1897">
                  <c:v>-9.5588289201260002E-2</c:v>
                </c:pt>
                <c:pt idx="1898">
                  <c:v>-9.6506558358669003E-2</c:v>
                </c:pt>
                <c:pt idx="1899">
                  <c:v>-9.8343908786774001E-2</c:v>
                </c:pt>
                <c:pt idx="1900">
                  <c:v>-9.8312921822071006E-2</c:v>
                </c:pt>
                <c:pt idx="1901">
                  <c:v>-0.100702121853828</c:v>
                </c:pt>
                <c:pt idx="1902">
                  <c:v>-0.100182212889194</c:v>
                </c:pt>
                <c:pt idx="1903">
                  <c:v>-0.101954966783524</c:v>
                </c:pt>
                <c:pt idx="1904">
                  <c:v>-0.102557525038719</c:v>
                </c:pt>
                <c:pt idx="1905">
                  <c:v>-0.103721663355827</c:v>
                </c:pt>
                <c:pt idx="1906">
                  <c:v>-0.105345383286476</c:v>
                </c:pt>
                <c:pt idx="1907">
                  <c:v>-0.10538877546787299</c:v>
                </c:pt>
                <c:pt idx="1908">
                  <c:v>-0.106953598558903</c:v>
                </c:pt>
                <c:pt idx="1909">
                  <c:v>-0.10739278793335</c:v>
                </c:pt>
                <c:pt idx="1910">
                  <c:v>-0.108734592795372</c:v>
                </c:pt>
                <c:pt idx="1911">
                  <c:v>-0.110163658857346</c:v>
                </c:pt>
                <c:pt idx="1912">
                  <c:v>-0.110168427228928</c:v>
                </c:pt>
                <c:pt idx="1913">
                  <c:v>-0.1120370849967</c:v>
                </c:pt>
                <c:pt idx="1914">
                  <c:v>-0.112360633909702</c:v>
                </c:pt>
                <c:pt idx="1915">
                  <c:v>-0.114110998809338</c:v>
                </c:pt>
                <c:pt idx="1916">
                  <c:v>-0.11454169452190401</c:v>
                </c:pt>
                <c:pt idx="1917">
                  <c:v>-0.115763895213604</c:v>
                </c:pt>
                <c:pt idx="1918">
                  <c:v>-0.117170430719852</c:v>
                </c:pt>
                <c:pt idx="1919">
                  <c:v>-0.11762812733650201</c:v>
                </c:pt>
                <c:pt idx="1920">
                  <c:v>-0.11890805512666699</c:v>
                </c:pt>
                <c:pt idx="1921">
                  <c:v>-0.119705811142921</c:v>
                </c:pt>
                <c:pt idx="1922">
                  <c:v>-0.120701886713505</c:v>
                </c:pt>
                <c:pt idx="1923">
                  <c:v>-0.12241517752408999</c:v>
                </c:pt>
                <c:pt idx="1924">
                  <c:v>-0.12213008105754899</c:v>
                </c:pt>
                <c:pt idx="1925">
                  <c:v>-0.124148555099964</c:v>
                </c:pt>
                <c:pt idx="1926">
                  <c:v>-0.12473625689744899</c:v>
                </c:pt>
                <c:pt idx="1927">
                  <c:v>-0.12522511184215501</c:v>
                </c:pt>
                <c:pt idx="1928">
                  <c:v>-0.12746044993400599</c:v>
                </c:pt>
                <c:pt idx="1929">
                  <c:v>-0.12722626328468301</c:v>
                </c:pt>
                <c:pt idx="1930">
                  <c:v>-0.12935934960842099</c:v>
                </c:pt>
                <c:pt idx="1931">
                  <c:v>-0.129132330417633</c:v>
                </c:pt>
                <c:pt idx="1932">
                  <c:v>-0.13034576177596999</c:v>
                </c:pt>
                <c:pt idx="1933">
                  <c:v>-0.132077187299728</c:v>
                </c:pt>
                <c:pt idx="1934">
                  <c:v>-0.13238698244094799</c:v>
                </c:pt>
                <c:pt idx="1935">
                  <c:v>-0.13473454117774999</c:v>
                </c:pt>
                <c:pt idx="1936">
                  <c:v>-0.13376283645629899</c:v>
                </c:pt>
                <c:pt idx="1937">
                  <c:v>-0.13555882871151001</c:v>
                </c:pt>
                <c:pt idx="1938">
                  <c:v>-0.13697502017021199</c:v>
                </c:pt>
                <c:pt idx="1939">
                  <c:v>-0.137438759207726</c:v>
                </c:pt>
                <c:pt idx="1940">
                  <c:v>-0.13917730748653401</c:v>
                </c:pt>
                <c:pt idx="1941">
                  <c:v>-0.13937400281429299</c:v>
                </c:pt>
                <c:pt idx="1942">
                  <c:v>-0.140768557786942</c:v>
                </c:pt>
                <c:pt idx="1943">
                  <c:v>-0.142403289675713</c:v>
                </c:pt>
                <c:pt idx="1944">
                  <c:v>-0.14231897890567799</c:v>
                </c:pt>
                <c:pt idx="1945">
                  <c:v>-0.14393301308155099</c:v>
                </c:pt>
                <c:pt idx="1946">
                  <c:v>-0.144741520285606</c:v>
                </c:pt>
                <c:pt idx="1947">
                  <c:v>-0.14588810503482799</c:v>
                </c:pt>
                <c:pt idx="1948">
                  <c:v>-0.146943628787994</c:v>
                </c:pt>
                <c:pt idx="1949">
                  <c:v>-0.14743478596210499</c:v>
                </c:pt>
                <c:pt idx="1950">
                  <c:v>-0.149219110608101</c:v>
                </c:pt>
                <c:pt idx="1951">
                  <c:v>-0.14986737072467801</c:v>
                </c:pt>
                <c:pt idx="1952">
                  <c:v>-0.15074138343334201</c:v>
                </c:pt>
                <c:pt idx="1953">
                  <c:v>-0.15170675516128501</c:v>
                </c:pt>
                <c:pt idx="1954">
                  <c:v>-0.15237401425838501</c:v>
                </c:pt>
                <c:pt idx="1955">
                  <c:v>-0.15435563027858701</c:v>
                </c:pt>
                <c:pt idx="1956">
                  <c:v>-0.15475560724735299</c:v>
                </c:pt>
                <c:pt idx="1957">
                  <c:v>-0.15547372400760701</c:v>
                </c:pt>
                <c:pt idx="1958">
                  <c:v>-0.15708832442760501</c:v>
                </c:pt>
                <c:pt idx="1959">
                  <c:v>-0.15685024857521099</c:v>
                </c:pt>
                <c:pt idx="1960">
                  <c:v>-0.15978918969631201</c:v>
                </c:pt>
                <c:pt idx="1961">
                  <c:v>-0.15940184891223899</c:v>
                </c:pt>
                <c:pt idx="1962">
                  <c:v>-0.160801246762276</c:v>
                </c:pt>
                <c:pt idx="1963">
                  <c:v>-0.16199582815170299</c:v>
                </c:pt>
                <c:pt idx="1964">
                  <c:v>-0.16185994446277599</c:v>
                </c:pt>
                <c:pt idx="1965">
                  <c:v>-0.164273336529732</c:v>
                </c:pt>
                <c:pt idx="1966">
                  <c:v>-0.16461817920207999</c:v>
                </c:pt>
                <c:pt idx="1967">
                  <c:v>-0.16560676693916301</c:v>
                </c:pt>
                <c:pt idx="1968">
                  <c:v>-0.16685563325882</c:v>
                </c:pt>
                <c:pt idx="1969">
                  <c:v>-0.16730409860611001</c:v>
                </c:pt>
                <c:pt idx="1970">
                  <c:v>-0.16899082064628601</c:v>
                </c:pt>
                <c:pt idx="1971">
                  <c:v>-0.16988247632980299</c:v>
                </c:pt>
                <c:pt idx="1972">
                  <c:v>-0.170245781540871</c:v>
                </c:pt>
                <c:pt idx="1973">
                  <c:v>-0.17170961201190901</c:v>
                </c:pt>
                <c:pt idx="1974">
                  <c:v>-0.17234197258949299</c:v>
                </c:pt>
                <c:pt idx="1975">
                  <c:v>-0.173934265971184</c:v>
                </c:pt>
                <c:pt idx="1976">
                  <c:v>-0.17483770847320601</c:v>
                </c:pt>
                <c:pt idx="1977">
                  <c:v>-0.17573450505733501</c:v>
                </c:pt>
                <c:pt idx="1978">
                  <c:v>-0.17684130370616899</c:v>
                </c:pt>
                <c:pt idx="1979">
                  <c:v>-0.177552744746208</c:v>
                </c:pt>
                <c:pt idx="1980">
                  <c:v>-0.17889365553855899</c:v>
                </c:pt>
                <c:pt idx="1981">
                  <c:v>-0.17986004054546401</c:v>
                </c:pt>
                <c:pt idx="1982">
                  <c:v>-0.18050079047679901</c:v>
                </c:pt>
                <c:pt idx="1983">
                  <c:v>-0.182165697216988</c:v>
                </c:pt>
                <c:pt idx="1984">
                  <c:v>-0.18249621987342801</c:v>
                </c:pt>
                <c:pt idx="1985">
                  <c:v>-0.18415720760822299</c:v>
                </c:pt>
                <c:pt idx="1986">
                  <c:v>-0.18473985791206399</c:v>
                </c:pt>
                <c:pt idx="1987">
                  <c:v>-0.18526498973369601</c:v>
                </c:pt>
                <c:pt idx="1988">
                  <c:v>-0.187073335051537</c:v>
                </c:pt>
                <c:pt idx="1989">
                  <c:v>-0.18728056550025901</c:v>
                </c:pt>
                <c:pt idx="1990">
                  <c:v>-0.189749389886856</c:v>
                </c:pt>
                <c:pt idx="1991">
                  <c:v>-0.18893969058990501</c:v>
                </c:pt>
                <c:pt idx="1992">
                  <c:v>-0.19081310927867901</c:v>
                </c:pt>
                <c:pt idx="1993">
                  <c:v>-0.191889628767967</c:v>
                </c:pt>
                <c:pt idx="1994">
                  <c:v>-0.192616522312164</c:v>
                </c:pt>
                <c:pt idx="1995">
                  <c:v>-0.194282397627831</c:v>
                </c:pt>
                <c:pt idx="1996">
                  <c:v>-0.19397968053817699</c:v>
                </c:pt>
                <c:pt idx="1997">
                  <c:v>-0.19645671546459201</c:v>
                </c:pt>
                <c:pt idx="1998">
                  <c:v>-0.19645307958126099</c:v>
                </c:pt>
                <c:pt idx="1999">
                  <c:v>-0.19810947775840801</c:v>
                </c:pt>
                <c:pt idx="2000">
                  <c:v>-0.198858767747879</c:v>
                </c:pt>
                <c:pt idx="2001">
                  <c:v>-0.19924563169479401</c:v>
                </c:pt>
                <c:pt idx="2002">
                  <c:v>-0.20161551237106301</c:v>
                </c:pt>
                <c:pt idx="2003">
                  <c:v>-0.201160073280334</c:v>
                </c:pt>
                <c:pt idx="2004">
                  <c:v>-0.20318552851676899</c:v>
                </c:pt>
                <c:pt idx="2005">
                  <c:v>-0.20373898744583099</c:v>
                </c:pt>
                <c:pt idx="2006">
                  <c:v>-0.20451264083385501</c:v>
                </c:pt>
                <c:pt idx="2007">
                  <c:v>-0.20636484026908899</c:v>
                </c:pt>
                <c:pt idx="2008">
                  <c:v>-0.206139951944351</c:v>
                </c:pt>
                <c:pt idx="2009">
                  <c:v>-0.20825628936290699</c:v>
                </c:pt>
                <c:pt idx="2010">
                  <c:v>-0.20923216640949199</c:v>
                </c:pt>
                <c:pt idx="2011">
                  <c:v>-0.20922379195690199</c:v>
                </c:pt>
                <c:pt idx="2012">
                  <c:v>-0.21120995283126801</c:v>
                </c:pt>
                <c:pt idx="2013">
                  <c:v>-0.21110782027244601</c:v>
                </c:pt>
                <c:pt idx="2014">
                  <c:v>-0.21369199454784399</c:v>
                </c:pt>
                <c:pt idx="2015">
                  <c:v>-0.21360035240650199</c:v>
                </c:pt>
                <c:pt idx="2016">
                  <c:v>-0.214502453804016</c:v>
                </c:pt>
                <c:pt idx="2017">
                  <c:v>-0.21595264971256301</c:v>
                </c:pt>
                <c:pt idx="2018">
                  <c:v>-0.21637906134128601</c:v>
                </c:pt>
                <c:pt idx="2019">
                  <c:v>-0.21873304247856101</c:v>
                </c:pt>
                <c:pt idx="2020">
                  <c:v>-0.21846029162406899</c:v>
                </c:pt>
                <c:pt idx="2021">
                  <c:v>-0.21985645592212699</c:v>
                </c:pt>
                <c:pt idx="2022">
                  <c:v>-0.22087393701076499</c:v>
                </c:pt>
                <c:pt idx="2023">
                  <c:v>-0.22145727276802099</c:v>
                </c:pt>
                <c:pt idx="2024">
                  <c:v>-0.22331477701663999</c:v>
                </c:pt>
                <c:pt idx="2025">
                  <c:v>-0.22343464195728299</c:v>
                </c:pt>
                <c:pt idx="2026">
                  <c:v>-0.225146800279617</c:v>
                </c:pt>
                <c:pt idx="2027">
                  <c:v>-0.22570057213306399</c:v>
                </c:pt>
                <c:pt idx="2028">
                  <c:v>-0.22664259374141699</c:v>
                </c:pt>
                <c:pt idx="2029">
                  <c:v>-0.22794528305530501</c:v>
                </c:pt>
                <c:pt idx="2030">
                  <c:v>-0.22846934199333199</c:v>
                </c:pt>
                <c:pt idx="2031">
                  <c:v>-0.22985793650150299</c:v>
                </c:pt>
                <c:pt idx="2032">
                  <c:v>-0.231029734015465</c:v>
                </c:pt>
                <c:pt idx="2033">
                  <c:v>-0.23138551414012901</c:v>
                </c:pt>
                <c:pt idx="2034">
                  <c:v>-0.233524650335312</c:v>
                </c:pt>
                <c:pt idx="2035">
                  <c:v>-0.23344033956527699</c:v>
                </c:pt>
                <c:pt idx="2036">
                  <c:v>-0.23507933318615001</c:v>
                </c:pt>
                <c:pt idx="2037">
                  <c:v>-0.23641151189804099</c:v>
                </c:pt>
                <c:pt idx="2038">
                  <c:v>-0.23595663905143699</c:v>
                </c:pt>
                <c:pt idx="2039">
                  <c:v>-0.23814922571182301</c:v>
                </c:pt>
                <c:pt idx="2040">
                  <c:v>-0.23849734663963301</c:v>
                </c:pt>
                <c:pt idx="2041">
                  <c:v>-0.24041634798049899</c:v>
                </c:pt>
                <c:pt idx="2042">
                  <c:v>-0.24090735614299799</c:v>
                </c:pt>
                <c:pt idx="2043">
                  <c:v>-0.24120138585567499</c:v>
                </c:pt>
                <c:pt idx="2044">
                  <c:v>-0.243001818656921</c:v>
                </c:pt>
                <c:pt idx="2045">
                  <c:v>-0.243364423513412</c:v>
                </c:pt>
                <c:pt idx="2046">
                  <c:v>-0.245616540312767</c:v>
                </c:pt>
                <c:pt idx="2047">
                  <c:v>-0.245765075087547</c:v>
                </c:pt>
                <c:pt idx="2048">
                  <c:v>-0.246367603540421</c:v>
                </c:pt>
                <c:pt idx="2049">
                  <c:v>-0.24830172955989799</c:v>
                </c:pt>
                <c:pt idx="2050">
                  <c:v>-0.248060688376427</c:v>
                </c:pt>
                <c:pt idx="2051">
                  <c:v>-0.25012606382370001</c:v>
                </c:pt>
                <c:pt idx="2052">
                  <c:v>-0.25085490942001298</c:v>
                </c:pt>
                <c:pt idx="2053">
                  <c:v>-0.251546591520309</c:v>
                </c:pt>
                <c:pt idx="2054">
                  <c:v>-0.25357252359390298</c:v>
                </c:pt>
                <c:pt idx="2055">
                  <c:v>-0.25353562831878701</c:v>
                </c:pt>
                <c:pt idx="2056">
                  <c:v>-0.25519272685050998</c:v>
                </c:pt>
                <c:pt idx="2057">
                  <c:v>-0.25571402907371499</c:v>
                </c:pt>
                <c:pt idx="2058">
                  <c:v>-0.25684648752212502</c:v>
                </c:pt>
                <c:pt idx="2059">
                  <c:v>-0.258049637079239</c:v>
                </c:pt>
                <c:pt idx="2060">
                  <c:v>-0.25845256447792098</c:v>
                </c:pt>
                <c:pt idx="2061">
                  <c:v>-0.260098427534103</c:v>
                </c:pt>
                <c:pt idx="2062">
                  <c:v>-0.26102188229560902</c:v>
                </c:pt>
                <c:pt idx="2063">
                  <c:v>-0.26112264394760099</c:v>
                </c:pt>
                <c:pt idx="2064">
                  <c:v>-0.26320067048072798</c:v>
                </c:pt>
                <c:pt idx="2065">
                  <c:v>-0.26310321688652</c:v>
                </c:pt>
                <c:pt idx="2066">
                  <c:v>-0.264938443899155</c:v>
                </c:pt>
                <c:pt idx="2067">
                  <c:v>-0.265957921743393</c:v>
                </c:pt>
                <c:pt idx="2068">
                  <c:v>-0.26638224720954901</c:v>
                </c:pt>
                <c:pt idx="2069">
                  <c:v>-0.268742024898529</c:v>
                </c:pt>
                <c:pt idx="2070">
                  <c:v>-0.26786741614341703</c:v>
                </c:pt>
                <c:pt idx="2071">
                  <c:v>-0.26986593008041398</c:v>
                </c:pt>
                <c:pt idx="2072">
                  <c:v>-0.27105838060379001</c:v>
                </c:pt>
                <c:pt idx="2073">
                  <c:v>-0.27145639061927801</c:v>
                </c:pt>
                <c:pt idx="2074">
                  <c:v>-0.27320080995559698</c:v>
                </c:pt>
                <c:pt idx="2075">
                  <c:v>-0.27328187227249101</c:v>
                </c:pt>
                <c:pt idx="2076">
                  <c:v>-0.27498769760131803</c:v>
                </c:pt>
                <c:pt idx="2077">
                  <c:v>-0.27647602558135997</c:v>
                </c:pt>
                <c:pt idx="2078">
                  <c:v>-0.27618741989135698</c:v>
                </c:pt>
                <c:pt idx="2079">
                  <c:v>-0.27786993980407698</c:v>
                </c:pt>
                <c:pt idx="2080">
                  <c:v>-0.27823382616043102</c:v>
                </c:pt>
                <c:pt idx="2081">
                  <c:v>-0.27962252497673001</c:v>
                </c:pt>
                <c:pt idx="2082">
                  <c:v>-0.28093680739402799</c:v>
                </c:pt>
                <c:pt idx="2083">
                  <c:v>-0.28150892257690402</c:v>
                </c:pt>
                <c:pt idx="2084">
                  <c:v>-0.28292268514633201</c:v>
                </c:pt>
                <c:pt idx="2085">
                  <c:v>-0.28373953700065602</c:v>
                </c:pt>
                <c:pt idx="2086">
                  <c:v>-0.28490161895751998</c:v>
                </c:pt>
                <c:pt idx="2087">
                  <c:v>-0.28593966364860501</c:v>
                </c:pt>
                <c:pt idx="2088">
                  <c:v>-0.28664934635162398</c:v>
                </c:pt>
                <c:pt idx="2089">
                  <c:v>-0.28834456205367998</c:v>
                </c:pt>
                <c:pt idx="2090">
                  <c:v>-0.28867450356483498</c:v>
                </c:pt>
                <c:pt idx="2091">
                  <c:v>-0.28927683830261203</c:v>
                </c:pt>
                <c:pt idx="2092">
                  <c:v>-0.29164692759513899</c:v>
                </c:pt>
                <c:pt idx="2093">
                  <c:v>-0.29122143983840898</c:v>
                </c:pt>
                <c:pt idx="2094">
                  <c:v>-0.29319044947624201</c:v>
                </c:pt>
                <c:pt idx="2095">
                  <c:v>-0.29338365793228099</c:v>
                </c:pt>
                <c:pt idx="2096">
                  <c:v>-0.29441082477569602</c:v>
                </c:pt>
                <c:pt idx="2097">
                  <c:v>-0.29634854197502097</c:v>
                </c:pt>
                <c:pt idx="2098">
                  <c:v>-0.29621586203575101</c:v>
                </c:pt>
                <c:pt idx="2099">
                  <c:v>-0.298361986875534</c:v>
                </c:pt>
                <c:pt idx="2100">
                  <c:v>-0.29839211702346802</c:v>
                </c:pt>
                <c:pt idx="2101">
                  <c:v>-0.29970178008079501</c:v>
                </c:pt>
                <c:pt idx="2102">
                  <c:v>-0.30077111721038802</c:v>
                </c:pt>
                <c:pt idx="2103">
                  <c:v>-0.30142247676849399</c:v>
                </c:pt>
                <c:pt idx="2104">
                  <c:v>-0.30336910486221302</c:v>
                </c:pt>
                <c:pt idx="2105">
                  <c:v>-0.303237795829773</c:v>
                </c:pt>
                <c:pt idx="2106">
                  <c:v>-0.30490836501121499</c:v>
                </c:pt>
                <c:pt idx="2107">
                  <c:v>-0.30599677562713601</c:v>
                </c:pt>
                <c:pt idx="2108">
                  <c:v>-0.30611395835876498</c:v>
                </c:pt>
                <c:pt idx="2109">
                  <c:v>-0.30820432305335999</c:v>
                </c:pt>
                <c:pt idx="2110">
                  <c:v>-0.30818846821785001</c:v>
                </c:pt>
                <c:pt idx="2111">
                  <c:v>-0.31019338965415999</c:v>
                </c:pt>
                <c:pt idx="2112">
                  <c:v>-0.31088611483573902</c:v>
                </c:pt>
                <c:pt idx="2113">
                  <c:v>-0.31117159128189098</c:v>
                </c:pt>
                <c:pt idx="2114">
                  <c:v>-0.31331965327262901</c:v>
                </c:pt>
                <c:pt idx="2115">
                  <c:v>-0.31366556882858299</c:v>
                </c:pt>
                <c:pt idx="2116">
                  <c:v>-0.31544446945190402</c:v>
                </c:pt>
                <c:pt idx="2117">
                  <c:v>-0.31554317474365201</c:v>
                </c:pt>
                <c:pt idx="2118">
                  <c:v>-0.31661581993103</c:v>
                </c:pt>
                <c:pt idx="2119">
                  <c:v>-0.31811991333961498</c:v>
                </c:pt>
                <c:pt idx="2120">
                  <c:v>-0.31880515813827498</c:v>
                </c:pt>
                <c:pt idx="2121">
                  <c:v>-0.31958809494972201</c:v>
                </c:pt>
                <c:pt idx="2122">
                  <c:v>-0.32082614302635198</c:v>
                </c:pt>
                <c:pt idx="2123">
                  <c:v>-0.32159411907196001</c:v>
                </c:pt>
                <c:pt idx="2124">
                  <c:v>-0.32334551215171797</c:v>
                </c:pt>
                <c:pt idx="2125">
                  <c:v>-0.32369139790535001</c:v>
                </c:pt>
                <c:pt idx="2126">
                  <c:v>-0.32500892877578702</c:v>
                </c:pt>
                <c:pt idx="2127">
                  <c:v>-0.32549583911895802</c:v>
                </c:pt>
                <c:pt idx="2128">
                  <c:v>-0.32657259702682501</c:v>
                </c:pt>
                <c:pt idx="2129">
                  <c:v>-0.32816594839096103</c:v>
                </c:pt>
                <c:pt idx="2130">
                  <c:v>-0.32825163006782498</c:v>
                </c:pt>
                <c:pt idx="2131">
                  <c:v>-0.33042553067207298</c:v>
                </c:pt>
                <c:pt idx="2132">
                  <c:v>-0.33036631345748901</c:v>
                </c:pt>
                <c:pt idx="2133">
                  <c:v>-0.33138239383697499</c:v>
                </c:pt>
                <c:pt idx="2134">
                  <c:v>-0.33312320709228499</c:v>
                </c:pt>
                <c:pt idx="2135">
                  <c:v>-0.33332175016403198</c:v>
                </c:pt>
                <c:pt idx="2136">
                  <c:v>-0.335478246212006</c:v>
                </c:pt>
                <c:pt idx="2137">
                  <c:v>-0.335667103528976</c:v>
                </c:pt>
                <c:pt idx="2138">
                  <c:v>-0.33633962273597701</c:v>
                </c:pt>
                <c:pt idx="2139">
                  <c:v>-0.33827564120292702</c:v>
                </c:pt>
                <c:pt idx="2140">
                  <c:v>-0.33837416768074002</c:v>
                </c:pt>
                <c:pt idx="2141">
                  <c:v>-0.33992096781730702</c:v>
                </c:pt>
                <c:pt idx="2142">
                  <c:v>-0.34099978208541898</c:v>
                </c:pt>
                <c:pt idx="2143">
                  <c:v>-0.34141778945922902</c:v>
                </c:pt>
                <c:pt idx="2144">
                  <c:v>-0.34320932626724199</c:v>
                </c:pt>
                <c:pt idx="2145">
                  <c:v>-0.34369221329688998</c:v>
                </c:pt>
                <c:pt idx="2146">
                  <c:v>-0.34489414095878601</c:v>
                </c:pt>
                <c:pt idx="2147">
                  <c:v>-0.34603661298751798</c:v>
                </c:pt>
                <c:pt idx="2148">
                  <c:v>-0.34640899300575301</c:v>
                </c:pt>
                <c:pt idx="2149">
                  <c:v>-0.34809377789497398</c:v>
                </c:pt>
                <c:pt idx="2150">
                  <c:v>-0.34867277741432201</c:v>
                </c:pt>
                <c:pt idx="2151">
                  <c:v>-0.349294453859329</c:v>
                </c:pt>
                <c:pt idx="2152">
                  <c:v>-0.351656764745712</c:v>
                </c:pt>
                <c:pt idx="2153">
                  <c:v>-0.35120287537574801</c:v>
                </c:pt>
                <c:pt idx="2154">
                  <c:v>-0.35331812500953702</c:v>
                </c:pt>
                <c:pt idx="2155">
                  <c:v>-0.35361942648887601</c:v>
                </c:pt>
                <c:pt idx="2156">
                  <c:v>-0.35444474220275901</c:v>
                </c:pt>
                <c:pt idx="2157">
                  <c:v>-0.35621395707130399</c:v>
                </c:pt>
                <c:pt idx="2158">
                  <c:v>-0.35609433054924</c:v>
                </c:pt>
                <c:pt idx="2159">
                  <c:v>-0.35826891660690302</c:v>
                </c:pt>
                <c:pt idx="2160">
                  <c:v>-0.35913360118866</c:v>
                </c:pt>
                <c:pt idx="2161">
                  <c:v>-0.35940945148468001</c:v>
                </c:pt>
                <c:pt idx="2162">
                  <c:v>-0.36161702871322599</c:v>
                </c:pt>
                <c:pt idx="2163">
                  <c:v>-0.36113435029983498</c:v>
                </c:pt>
                <c:pt idx="2164">
                  <c:v>-0.36276468634605402</c:v>
                </c:pt>
                <c:pt idx="2165">
                  <c:v>-0.36415985226631198</c:v>
                </c:pt>
                <c:pt idx="2166">
                  <c:v>-0.364311963319778</c:v>
                </c:pt>
                <c:pt idx="2167">
                  <c:v>-0.36599400639534002</c:v>
                </c:pt>
                <c:pt idx="2168">
                  <c:v>-0.36690416932106001</c:v>
                </c:pt>
                <c:pt idx="2169">
                  <c:v>-0.36762973666191101</c:v>
                </c:pt>
                <c:pt idx="2170">
                  <c:v>-0.36929106712341297</c:v>
                </c:pt>
                <c:pt idx="2171">
                  <c:v>-0.36992645263671903</c:v>
                </c:pt>
                <c:pt idx="2172">
                  <c:v>-0.37090566754341098</c:v>
                </c:pt>
                <c:pt idx="2173">
                  <c:v>-0.372765272855759</c:v>
                </c:pt>
                <c:pt idx="2174">
                  <c:v>-0.37191137671470598</c:v>
                </c:pt>
                <c:pt idx="2175">
                  <c:v>-0.37472993135452298</c:v>
                </c:pt>
                <c:pt idx="2176">
                  <c:v>-0.37486645579338101</c:v>
                </c:pt>
                <c:pt idx="2177">
                  <c:v>-0.37553510069847101</c:v>
                </c:pt>
                <c:pt idx="2178">
                  <c:v>-0.377437144517899</c:v>
                </c:pt>
                <c:pt idx="2179">
                  <c:v>-0.37766420841217002</c:v>
                </c:pt>
                <c:pt idx="2180">
                  <c:v>-0.37892228364944502</c:v>
                </c:pt>
                <c:pt idx="2181">
                  <c:v>-0.38020119071006803</c:v>
                </c:pt>
                <c:pt idx="2182">
                  <c:v>-0.38042870163917503</c:v>
                </c:pt>
                <c:pt idx="2183">
                  <c:v>-0.382125943899155</c:v>
                </c:pt>
                <c:pt idx="2184">
                  <c:v>-0.38276991248130798</c:v>
                </c:pt>
                <c:pt idx="2185">
                  <c:v>-0.38355705142021201</c:v>
                </c:pt>
                <c:pt idx="2186">
                  <c:v>-0.38473773002624501</c:v>
                </c:pt>
                <c:pt idx="2187">
                  <c:v>-0.385905772447586</c:v>
                </c:pt>
                <c:pt idx="2188">
                  <c:v>-0.38693746924400302</c:v>
                </c:pt>
                <c:pt idx="2189">
                  <c:v>-0.38834670186042802</c:v>
                </c:pt>
                <c:pt idx="2190">
                  <c:v>-0.38814938068389898</c:v>
                </c:pt>
                <c:pt idx="2191">
                  <c:v>-0.39031332731246898</c:v>
                </c:pt>
                <c:pt idx="2192">
                  <c:v>-0.39079937338829002</c:v>
                </c:pt>
                <c:pt idx="2193">
                  <c:v>-0.39181035757064803</c:v>
                </c:pt>
                <c:pt idx="2194">
                  <c:v>-0.39359247684478799</c:v>
                </c:pt>
                <c:pt idx="2195">
                  <c:v>-0.39374101161956798</c:v>
                </c:pt>
                <c:pt idx="2196">
                  <c:v>-0.39450582861900302</c:v>
                </c:pt>
                <c:pt idx="2197">
                  <c:v>-0.39665192365646401</c:v>
                </c:pt>
                <c:pt idx="2198">
                  <c:v>-0.39656779170036299</c:v>
                </c:pt>
                <c:pt idx="2199">
                  <c:v>-0.39829939603805498</c:v>
                </c:pt>
                <c:pt idx="2200">
                  <c:v>-0.39877358078956598</c:v>
                </c:pt>
                <c:pt idx="2201">
                  <c:v>-0.39933833479881298</c:v>
                </c:pt>
                <c:pt idx="2202">
                  <c:v>-0.40115410089492798</c:v>
                </c:pt>
                <c:pt idx="2203">
                  <c:v>-0.40191698074340798</c:v>
                </c:pt>
                <c:pt idx="2204">
                  <c:v>-0.402440845966339</c:v>
                </c:pt>
                <c:pt idx="2205">
                  <c:v>-0.40441823005676297</c:v>
                </c:pt>
                <c:pt idx="2206">
                  <c:v>-0.40451368689536998</c:v>
                </c:pt>
                <c:pt idx="2207">
                  <c:v>-0.40646991133689903</c:v>
                </c:pt>
                <c:pt idx="2208">
                  <c:v>-0.40637415647506703</c:v>
                </c:pt>
                <c:pt idx="2209">
                  <c:v>-0.40766543149948098</c:v>
                </c:pt>
                <c:pt idx="2210">
                  <c:v>-0.40909329056739802</c:v>
                </c:pt>
                <c:pt idx="2211">
                  <c:v>-0.40915957093238797</c:v>
                </c:pt>
                <c:pt idx="2212">
                  <c:v>-0.41159158945083602</c:v>
                </c:pt>
                <c:pt idx="2213">
                  <c:v>-0.41127339005470298</c:v>
                </c:pt>
                <c:pt idx="2214">
                  <c:v>-0.41266512870788602</c:v>
                </c:pt>
                <c:pt idx="2215">
                  <c:v>-0.41453313827514598</c:v>
                </c:pt>
                <c:pt idx="2216">
                  <c:v>-0.41415274143219</c:v>
                </c:pt>
                <c:pt idx="2217">
                  <c:v>-0.41596958041191101</c:v>
                </c:pt>
                <c:pt idx="2218">
                  <c:v>-0.41688090562820401</c:v>
                </c:pt>
                <c:pt idx="2219">
                  <c:v>-0.41760012507438699</c:v>
                </c:pt>
                <c:pt idx="2220">
                  <c:v>-0.41885569691657998</c:v>
                </c:pt>
                <c:pt idx="2221">
                  <c:v>-0.419598698616028</c:v>
                </c:pt>
                <c:pt idx="2222">
                  <c:v>-0.42122071981430098</c:v>
                </c:pt>
                <c:pt idx="2223">
                  <c:v>-0.42251056432723999</c:v>
                </c:pt>
                <c:pt idx="2224">
                  <c:v>-0.42244488000869801</c:v>
                </c:pt>
                <c:pt idx="2225">
                  <c:v>-0.42388445138931302</c:v>
                </c:pt>
                <c:pt idx="2226">
                  <c:v>-0.424915581941605</c:v>
                </c:pt>
                <c:pt idx="2227">
                  <c:v>-0.425776988267899</c:v>
                </c:pt>
                <c:pt idx="2228">
                  <c:v>-0.42744556069374101</c:v>
                </c:pt>
                <c:pt idx="2229">
                  <c:v>-0.427029818296432</c:v>
                </c:pt>
                <c:pt idx="2230">
                  <c:v>-0.42935961484909102</c:v>
                </c:pt>
                <c:pt idx="2231">
                  <c:v>-0.42983570694923401</c:v>
                </c:pt>
                <c:pt idx="2232">
                  <c:v>-0.43080633878707902</c:v>
                </c:pt>
                <c:pt idx="2233">
                  <c:v>-0.432151138782501</c:v>
                </c:pt>
                <c:pt idx="2234">
                  <c:v>-0.43234455585479697</c:v>
                </c:pt>
                <c:pt idx="2235">
                  <c:v>-0.43457001447677601</c:v>
                </c:pt>
                <c:pt idx="2236">
                  <c:v>-0.435047537088394</c:v>
                </c:pt>
                <c:pt idx="2237">
                  <c:v>-0.43550896644592302</c:v>
                </c:pt>
                <c:pt idx="2238">
                  <c:v>-0.437351614236832</c:v>
                </c:pt>
                <c:pt idx="2239">
                  <c:v>-0.43750444054603599</c:v>
                </c:pt>
                <c:pt idx="2240">
                  <c:v>-0.43898478150367698</c:v>
                </c:pt>
                <c:pt idx="2241">
                  <c:v>-0.440156489610672</c:v>
                </c:pt>
                <c:pt idx="2242">
                  <c:v>-0.44094261527061501</c:v>
                </c:pt>
                <c:pt idx="2243">
                  <c:v>-0.44187712669372597</c:v>
                </c:pt>
                <c:pt idx="2244">
                  <c:v>-0.442781001329422</c:v>
                </c:pt>
                <c:pt idx="2245">
                  <c:v>-0.44385668635368303</c:v>
                </c:pt>
                <c:pt idx="2246">
                  <c:v>-0.44573643803596502</c:v>
                </c:pt>
                <c:pt idx="2247">
                  <c:v>-0.44554674625396701</c:v>
                </c:pt>
                <c:pt idx="2248">
                  <c:v>-0.44675800204277</c:v>
                </c:pt>
                <c:pt idx="2249">
                  <c:v>-0.447944015264511</c:v>
                </c:pt>
                <c:pt idx="2250">
                  <c:v>-0.44813790917396501</c:v>
                </c:pt>
                <c:pt idx="2251">
                  <c:v>-0.45053139328956598</c:v>
                </c:pt>
                <c:pt idx="2252">
                  <c:v>-0.45032262802124001</c:v>
                </c:pt>
                <c:pt idx="2253">
                  <c:v>-0.451605975627899</c:v>
                </c:pt>
                <c:pt idx="2254">
                  <c:v>-0.45371285080909701</c:v>
                </c:pt>
                <c:pt idx="2255">
                  <c:v>-0.45343816280365001</c:v>
                </c:pt>
                <c:pt idx="2256">
                  <c:v>-0.45474177598953203</c:v>
                </c:pt>
                <c:pt idx="2257">
                  <c:v>-0.45627292990684498</c:v>
                </c:pt>
                <c:pt idx="2258">
                  <c:v>-0.456241846084595</c:v>
                </c:pt>
                <c:pt idx="2259">
                  <c:v>-0.458301842212677</c:v>
                </c:pt>
                <c:pt idx="2260">
                  <c:v>-0.458847045898438</c:v>
                </c:pt>
                <c:pt idx="2261">
                  <c:v>-0.46005973219871499</c:v>
                </c:pt>
                <c:pt idx="2262">
                  <c:v>-0.46140688657760598</c:v>
                </c:pt>
                <c:pt idx="2263">
                  <c:v>-0.461355000734329</c:v>
                </c:pt>
                <c:pt idx="2264">
                  <c:v>-0.46311217546463002</c:v>
                </c:pt>
                <c:pt idx="2265">
                  <c:v>-0.46422696113586398</c:v>
                </c:pt>
                <c:pt idx="2266">
                  <c:v>-0.46465733647346502</c:v>
                </c:pt>
                <c:pt idx="2267">
                  <c:v>-0.466088056564331</c:v>
                </c:pt>
                <c:pt idx="2268">
                  <c:v>-0.46655520796775801</c:v>
                </c:pt>
                <c:pt idx="2269">
                  <c:v>-0.46858015656471302</c:v>
                </c:pt>
                <c:pt idx="2270">
                  <c:v>-0.46943962574005099</c:v>
                </c:pt>
                <c:pt idx="2271">
                  <c:v>-0.469489455223083</c:v>
                </c:pt>
                <c:pt idx="2272">
                  <c:v>-0.471644908189774</c:v>
                </c:pt>
                <c:pt idx="2273">
                  <c:v>-0.471879482269287</c:v>
                </c:pt>
                <c:pt idx="2274">
                  <c:v>-0.47316628694534302</c:v>
                </c:pt>
                <c:pt idx="2275">
                  <c:v>-0.47427165508270303</c:v>
                </c:pt>
                <c:pt idx="2276">
                  <c:v>-0.474312543869019</c:v>
                </c:pt>
                <c:pt idx="2277">
                  <c:v>-0.476402878761292</c:v>
                </c:pt>
                <c:pt idx="2278">
                  <c:v>-0.47713905572891202</c:v>
                </c:pt>
                <c:pt idx="2279">
                  <c:v>-0.47760891914367698</c:v>
                </c:pt>
                <c:pt idx="2280">
                  <c:v>-0.47969457507133501</c:v>
                </c:pt>
                <c:pt idx="2281">
                  <c:v>-0.47974357008933999</c:v>
                </c:pt>
                <c:pt idx="2282">
                  <c:v>-0.48093777894973799</c:v>
                </c:pt>
                <c:pt idx="2283">
                  <c:v>-0.48040312528610202</c:v>
                </c:pt>
                <c:pt idx="2284">
                  <c:v>-0.48095166683196999</c:v>
                </c:pt>
                <c:pt idx="2285">
                  <c:v>-0.48278906941413902</c:v>
                </c:pt>
                <c:pt idx="2286">
                  <c:v>-0.48384562134742698</c:v>
                </c:pt>
                <c:pt idx="2287">
                  <c:v>-0.48369923233985901</c:v>
                </c:pt>
                <c:pt idx="2288">
                  <c:v>-0.48538920283317599</c:v>
                </c:pt>
                <c:pt idx="2289">
                  <c:v>-0.48610094189643899</c:v>
                </c:pt>
                <c:pt idx="2290">
                  <c:v>-0.48768308758735701</c:v>
                </c:pt>
                <c:pt idx="2291">
                  <c:v>-0.48849099874496499</c:v>
                </c:pt>
                <c:pt idx="2292">
                  <c:v>-0.48909986019134499</c:v>
                </c:pt>
                <c:pt idx="2293">
                  <c:v>-0.49060717225074801</c:v>
                </c:pt>
                <c:pt idx="2294">
                  <c:v>-0.49153771996498102</c:v>
                </c:pt>
                <c:pt idx="2295">
                  <c:v>-0.492032080888748</c:v>
                </c:pt>
                <c:pt idx="2296">
                  <c:v>-0.49390655755996699</c:v>
                </c:pt>
                <c:pt idx="2297">
                  <c:v>-0.49378767609596302</c:v>
                </c:pt>
                <c:pt idx="2298">
                  <c:v>-0.49537718296050998</c:v>
                </c:pt>
                <c:pt idx="2299">
                  <c:v>-0.49654799699783297</c:v>
                </c:pt>
                <c:pt idx="2300">
                  <c:v>-0.496706932783127</c:v>
                </c:pt>
                <c:pt idx="2301">
                  <c:v>-0.49906527996063199</c:v>
                </c:pt>
                <c:pt idx="2302">
                  <c:v>-0.499088555574417</c:v>
                </c:pt>
                <c:pt idx="2303">
                  <c:v>-0.49992674589157099</c:v>
                </c:pt>
                <c:pt idx="2304">
                  <c:v>-0.501933753490448</c:v>
                </c:pt>
                <c:pt idx="2305">
                  <c:v>-0.50272196531295799</c:v>
                </c:pt>
                <c:pt idx="2306">
                  <c:v>-0.50297230482101396</c:v>
                </c:pt>
                <c:pt idx="2307">
                  <c:v>-0.50464099645614602</c:v>
                </c:pt>
                <c:pt idx="2308">
                  <c:v>-0.50482982397079501</c:v>
                </c:pt>
                <c:pt idx="2309">
                  <c:v>-0.506749987602234</c:v>
                </c:pt>
                <c:pt idx="2310">
                  <c:v>-0.50769639015197798</c:v>
                </c:pt>
                <c:pt idx="2311">
                  <c:v>-0.50772911310195901</c:v>
                </c:pt>
                <c:pt idx="2312">
                  <c:v>-0.51008808612823497</c:v>
                </c:pt>
                <c:pt idx="2313">
                  <c:v>-0.51097208261489901</c:v>
                </c:pt>
                <c:pt idx="2314">
                  <c:v>-0.51077896356582597</c:v>
                </c:pt>
                <c:pt idx="2315">
                  <c:v>-0.51251316070556596</c:v>
                </c:pt>
                <c:pt idx="2316">
                  <c:v>-0.51302045583724998</c:v>
                </c:pt>
                <c:pt idx="2317">
                  <c:v>-0.51492369174957298</c:v>
                </c:pt>
                <c:pt idx="2318">
                  <c:v>-0.51550072431564298</c:v>
                </c:pt>
                <c:pt idx="2319">
                  <c:v>-0.51584017276763905</c:v>
                </c:pt>
                <c:pt idx="2320">
                  <c:v>-0.51792019605636597</c:v>
                </c:pt>
                <c:pt idx="2321">
                  <c:v>-0.51835751533508301</c:v>
                </c:pt>
                <c:pt idx="2322">
                  <c:v>-0.51914960145950295</c:v>
                </c:pt>
                <c:pt idx="2323">
                  <c:v>-0.52085894346237205</c:v>
                </c:pt>
                <c:pt idx="2324">
                  <c:v>-0.52081757783889804</c:v>
                </c:pt>
                <c:pt idx="2325">
                  <c:v>-0.52295625209808305</c:v>
                </c:pt>
                <c:pt idx="2326">
                  <c:v>-0.52325540781021096</c:v>
                </c:pt>
                <c:pt idx="2327">
                  <c:v>-0.52424716949462902</c:v>
                </c:pt>
                <c:pt idx="2328">
                  <c:v>-0.52643781900405895</c:v>
                </c:pt>
                <c:pt idx="2329">
                  <c:v>-0.52559345960617099</c:v>
                </c:pt>
                <c:pt idx="2330">
                  <c:v>-0.52694469690322898</c:v>
                </c:pt>
                <c:pt idx="2331">
                  <c:v>-0.52883851528167702</c:v>
                </c:pt>
                <c:pt idx="2332">
                  <c:v>-0.52886724472045898</c:v>
                </c:pt>
                <c:pt idx="2333">
                  <c:v>-0.53059208393096902</c:v>
                </c:pt>
                <c:pt idx="2334">
                  <c:v>-0.53124696016311601</c:v>
                </c:pt>
                <c:pt idx="2335">
                  <c:v>-0.53218460083007801</c:v>
                </c:pt>
                <c:pt idx="2336">
                  <c:v>-0.53434848785400402</c:v>
                </c:pt>
                <c:pt idx="2337">
                  <c:v>-0.53419446945190396</c:v>
                </c:pt>
                <c:pt idx="2338">
                  <c:v>-0.53540503978729204</c:v>
                </c:pt>
                <c:pt idx="2339">
                  <c:v>-0.53669464588165305</c:v>
                </c:pt>
                <c:pt idx="2340">
                  <c:v>-0.53692257404327404</c:v>
                </c:pt>
                <c:pt idx="2341">
                  <c:v>-0.53871589899063099</c:v>
                </c:pt>
                <c:pt idx="2342">
                  <c:v>-0.539570152759552</c:v>
                </c:pt>
                <c:pt idx="2343">
                  <c:v>-0.53950726985931396</c:v>
                </c:pt>
                <c:pt idx="2344">
                  <c:v>-0.54204672574996904</c:v>
                </c:pt>
                <c:pt idx="2345">
                  <c:v>-0.54240542650222801</c:v>
                </c:pt>
                <c:pt idx="2346">
                  <c:v>-0.54329752922058105</c:v>
                </c:pt>
                <c:pt idx="2347">
                  <c:v>-0.54480153322219804</c:v>
                </c:pt>
                <c:pt idx="2348">
                  <c:v>-0.54486757516860995</c:v>
                </c:pt>
                <c:pt idx="2349">
                  <c:v>-0.54637384414672896</c:v>
                </c:pt>
                <c:pt idx="2350">
                  <c:v>-0.54767137765884399</c:v>
                </c:pt>
                <c:pt idx="2351">
                  <c:v>-0.54789417982101396</c:v>
                </c:pt>
                <c:pt idx="2352">
                  <c:v>-0.54938876628875699</c:v>
                </c:pt>
                <c:pt idx="2353">
                  <c:v>-0.55068308115005504</c:v>
                </c:pt>
                <c:pt idx="2354">
                  <c:v>-0.55149078369140603</c:v>
                </c:pt>
                <c:pt idx="2355">
                  <c:v>-0.55327045917510997</c:v>
                </c:pt>
                <c:pt idx="2356">
                  <c:v>-0.55311685800552401</c:v>
                </c:pt>
                <c:pt idx="2357">
                  <c:v>-0.55412650108337402</c:v>
                </c:pt>
                <c:pt idx="2358">
                  <c:v>-0.55601590871810902</c:v>
                </c:pt>
                <c:pt idx="2359">
                  <c:v>-0.556338131427765</c:v>
                </c:pt>
                <c:pt idx="2360">
                  <c:v>-0.55735576152801503</c:v>
                </c:pt>
                <c:pt idx="2361">
                  <c:v>-0.55828917026519798</c:v>
                </c:pt>
                <c:pt idx="2362">
                  <c:v>-0.55909246206283603</c:v>
                </c:pt>
                <c:pt idx="2363">
                  <c:v>-0.56070578098297097</c:v>
                </c:pt>
                <c:pt idx="2364">
                  <c:v>-0.56127429008483898</c:v>
                </c:pt>
                <c:pt idx="2365">
                  <c:v>-0.561839818954468</c:v>
                </c:pt>
                <c:pt idx="2366">
                  <c:v>-0.56380915641784701</c:v>
                </c:pt>
                <c:pt idx="2367">
                  <c:v>-0.56443142890930198</c:v>
                </c:pt>
                <c:pt idx="2368">
                  <c:v>-0.56501591205596902</c:v>
                </c:pt>
                <c:pt idx="2369">
                  <c:v>-0.56698787212371804</c:v>
                </c:pt>
                <c:pt idx="2370">
                  <c:v>-0.56692326068878196</c:v>
                </c:pt>
                <c:pt idx="2371">
                  <c:v>-0.56847733259201005</c:v>
                </c:pt>
                <c:pt idx="2372">
                  <c:v>-0.56992018222808805</c:v>
                </c:pt>
                <c:pt idx="2373">
                  <c:v>-0.56981116533279397</c:v>
                </c:pt>
                <c:pt idx="2374">
                  <c:v>-0.57162511348724399</c:v>
                </c:pt>
                <c:pt idx="2375">
                  <c:v>-0.57242476940154996</c:v>
                </c:pt>
                <c:pt idx="2376">
                  <c:v>-0.57294178009033203</c:v>
                </c:pt>
                <c:pt idx="2377">
                  <c:v>-0.57507580518722501</c:v>
                </c:pt>
                <c:pt idx="2378">
                  <c:v>-0.57524353265762296</c:v>
                </c:pt>
                <c:pt idx="2379">
                  <c:v>-0.57631272077560403</c:v>
                </c:pt>
                <c:pt idx="2380">
                  <c:v>-0.57792621850967396</c:v>
                </c:pt>
                <c:pt idx="2381">
                  <c:v>-0.57819926738739003</c:v>
                </c:pt>
                <c:pt idx="2382">
                  <c:v>-0.57944959402084395</c:v>
                </c:pt>
                <c:pt idx="2383">
                  <c:v>-0.58051455020904497</c:v>
                </c:pt>
                <c:pt idx="2384">
                  <c:v>-0.58026003837585405</c:v>
                </c:pt>
                <c:pt idx="2385">
                  <c:v>-0.58324515819549605</c:v>
                </c:pt>
                <c:pt idx="2386">
                  <c:v>-0.58367496728897095</c:v>
                </c:pt>
                <c:pt idx="2387">
                  <c:v>-0.58370453119277999</c:v>
                </c:pt>
                <c:pt idx="2388">
                  <c:v>-0.58562737703323398</c:v>
                </c:pt>
                <c:pt idx="2389">
                  <c:v>-0.58625453710555997</c:v>
                </c:pt>
                <c:pt idx="2390">
                  <c:v>-0.58734637498855602</c:v>
                </c:pt>
                <c:pt idx="2391">
                  <c:v>-0.588273465633392</c:v>
                </c:pt>
                <c:pt idx="2392">
                  <c:v>-0.58935350179672197</c:v>
                </c:pt>
                <c:pt idx="2393">
                  <c:v>-0.59035909175872803</c:v>
                </c:pt>
                <c:pt idx="2394">
                  <c:v>-0.59177213907241799</c:v>
                </c:pt>
                <c:pt idx="2395">
                  <c:v>-0.59150189161300704</c:v>
                </c:pt>
                <c:pt idx="2396">
                  <c:v>-0.59342628717422496</c:v>
                </c:pt>
                <c:pt idx="2397">
                  <c:v>-0.59454727172851596</c:v>
                </c:pt>
                <c:pt idx="2398">
                  <c:v>-0.59496575593948398</c:v>
                </c:pt>
                <c:pt idx="2399">
                  <c:v>-0.59688639640808105</c:v>
                </c:pt>
                <c:pt idx="2400">
                  <c:v>-0.59728527069091797</c:v>
                </c:pt>
                <c:pt idx="2401">
                  <c:v>-0.59798008203506503</c:v>
                </c:pt>
                <c:pt idx="2402">
                  <c:v>-0.59992456436157204</c:v>
                </c:pt>
                <c:pt idx="2403">
                  <c:v>-0.600341737270355</c:v>
                </c:pt>
                <c:pt idx="2404">
                  <c:v>-0.600366830825806</c:v>
                </c:pt>
                <c:pt idx="2405">
                  <c:v>-0.60028088092803999</c:v>
                </c:pt>
                <c:pt idx="2406">
                  <c:v>-0.60179185867309604</c:v>
                </c:pt>
                <c:pt idx="2407">
                  <c:v>-0.60108286142349199</c:v>
                </c:pt>
              </c:numCache>
            </c:numRef>
          </c:xVal>
          <c:yVal>
            <c:numRef>
              <c:f>'Cyclic voltammetry'!$D$2:$D$2409</c:f>
              <c:numCache>
                <c:formatCode>General</c:formatCode>
                <c:ptCount val="2408"/>
                <c:pt idx="0">
                  <c:v>-0.15139918272990699</c:v>
                </c:pt>
                <c:pt idx="1">
                  <c:v>-0.13988769940120199</c:v>
                </c:pt>
                <c:pt idx="2">
                  <c:v>-0.13321847963265601</c:v>
                </c:pt>
                <c:pt idx="3">
                  <c:v>-0.12954214180836299</c:v>
                </c:pt>
                <c:pt idx="4">
                  <c:v>-0.126053384960054</c:v>
                </c:pt>
                <c:pt idx="5">
                  <c:v>-0.125265467963635</c:v>
                </c:pt>
                <c:pt idx="6">
                  <c:v>-0.123293028537157</c:v>
                </c:pt>
                <c:pt idx="7">
                  <c:v>-0.12346961836022299</c:v>
                </c:pt>
                <c:pt idx="8">
                  <c:v>-0.120151845553101</c:v>
                </c:pt>
                <c:pt idx="9">
                  <c:v>-0.11970757995976899</c:v>
                </c:pt>
                <c:pt idx="10">
                  <c:v>-0.11777650714363599</c:v>
                </c:pt>
                <c:pt idx="11">
                  <c:v>-0.11760268821587699</c:v>
                </c:pt>
                <c:pt idx="12">
                  <c:v>-0.11406026948714899</c:v>
                </c:pt>
                <c:pt idx="13">
                  <c:v>-0.111543567458746</c:v>
                </c:pt>
                <c:pt idx="14">
                  <c:v>-0.113869799413871</c:v>
                </c:pt>
                <c:pt idx="15">
                  <c:v>-0.112067747495545</c:v>
                </c:pt>
                <c:pt idx="16">
                  <c:v>-0.11038943325752699</c:v>
                </c:pt>
                <c:pt idx="17">
                  <c:v>-0.110073151543086</c:v>
                </c:pt>
                <c:pt idx="18">
                  <c:v>-0.108984739384269</c:v>
                </c:pt>
                <c:pt idx="19">
                  <c:v>-0.10919018611951201</c:v>
                </c:pt>
                <c:pt idx="20">
                  <c:v>-0.108174584714547</c:v>
                </c:pt>
                <c:pt idx="21">
                  <c:v>-0.105381317663563</c:v>
                </c:pt>
                <c:pt idx="22">
                  <c:v>-0.10626531502402201</c:v>
                </c:pt>
                <c:pt idx="23">
                  <c:v>-0.10523597059245</c:v>
                </c:pt>
                <c:pt idx="24">
                  <c:v>-0.10484420107991201</c:v>
                </c:pt>
                <c:pt idx="25">
                  <c:v>-0.10247610566588999</c:v>
                </c:pt>
                <c:pt idx="26">
                  <c:v>-0.102624119089297</c:v>
                </c:pt>
                <c:pt idx="27">
                  <c:v>-0.102911170823746</c:v>
                </c:pt>
                <c:pt idx="28">
                  <c:v>-0.101171470856559</c:v>
                </c:pt>
                <c:pt idx="29">
                  <c:v>-0.101183944451323</c:v>
                </c:pt>
                <c:pt idx="30">
                  <c:v>-0.100077611258117</c:v>
                </c:pt>
                <c:pt idx="31">
                  <c:v>-9.7015608844312998E-2</c:v>
                </c:pt>
                <c:pt idx="32">
                  <c:v>-9.5772816791535001E-2</c:v>
                </c:pt>
                <c:pt idx="33">
                  <c:v>-9.4960890392810998E-2</c:v>
                </c:pt>
                <c:pt idx="34">
                  <c:v>-9.3953037774257994E-2</c:v>
                </c:pt>
                <c:pt idx="35">
                  <c:v>-9.8275017853991994E-2</c:v>
                </c:pt>
                <c:pt idx="36">
                  <c:v>-9.4637887030469006E-2</c:v>
                </c:pt>
                <c:pt idx="37">
                  <c:v>-9.3365973690232001E-2</c:v>
                </c:pt>
                <c:pt idx="38">
                  <c:v>-9.2644361517223994E-2</c:v>
                </c:pt>
                <c:pt idx="39">
                  <c:v>-9.0467339107678998E-2</c:v>
                </c:pt>
                <c:pt idx="40">
                  <c:v>-9.1183166334607005E-2</c:v>
                </c:pt>
                <c:pt idx="41">
                  <c:v>-8.9509124867733006E-2</c:v>
                </c:pt>
                <c:pt idx="42">
                  <c:v>-9.0079790970962997E-2</c:v>
                </c:pt>
                <c:pt idx="43">
                  <c:v>-8.7753393525494994E-2</c:v>
                </c:pt>
                <c:pt idx="44">
                  <c:v>-8.686306568195E-2</c:v>
                </c:pt>
                <c:pt idx="45">
                  <c:v>-8.6812223408450004E-2</c:v>
                </c:pt>
                <c:pt idx="46">
                  <c:v>-8.6001707147386003E-2</c:v>
                </c:pt>
                <c:pt idx="47">
                  <c:v>-8.3550526014278995E-2</c:v>
                </c:pt>
                <c:pt idx="48">
                  <c:v>-8.4078202136522007E-2</c:v>
                </c:pt>
                <c:pt idx="49">
                  <c:v>-8.1917557215980999E-2</c:v>
                </c:pt>
                <c:pt idx="50">
                  <c:v>-8.1909063290486001E-2</c:v>
                </c:pt>
                <c:pt idx="51">
                  <c:v>-8.2103352702850005E-2</c:v>
                </c:pt>
                <c:pt idx="52">
                  <c:v>-8.0111189716572995E-2</c:v>
                </c:pt>
                <c:pt idx="53">
                  <c:v>-7.9875379512260994E-2</c:v>
                </c:pt>
                <c:pt idx="54">
                  <c:v>-7.806147531457E-2</c:v>
                </c:pt>
                <c:pt idx="55">
                  <c:v>-7.6902879036474997E-2</c:v>
                </c:pt>
                <c:pt idx="56">
                  <c:v>-7.4733213948759994E-2</c:v>
                </c:pt>
                <c:pt idx="57">
                  <c:v>-7.4914217654765997E-2</c:v>
                </c:pt>
                <c:pt idx="58">
                  <c:v>-7.1826959984365002E-2</c:v>
                </c:pt>
                <c:pt idx="59">
                  <c:v>-7.2245229643732006E-2</c:v>
                </c:pt>
                <c:pt idx="60">
                  <c:v>-6.9712106140723998E-2</c:v>
                </c:pt>
                <c:pt idx="61">
                  <c:v>-6.9298849936685003E-2</c:v>
                </c:pt>
                <c:pt idx="62">
                  <c:v>-6.7352890371941004E-2</c:v>
                </c:pt>
                <c:pt idx="63">
                  <c:v>-6.6506617471108004E-2</c:v>
                </c:pt>
                <c:pt idx="64">
                  <c:v>-6.6266790634361E-2</c:v>
                </c:pt>
                <c:pt idx="65">
                  <c:v>-6.4014154173117996E-2</c:v>
                </c:pt>
                <c:pt idx="66">
                  <c:v>-6.247251939765E-2</c:v>
                </c:pt>
                <c:pt idx="67">
                  <c:v>-6.1372999667833002E-2</c:v>
                </c:pt>
                <c:pt idx="68">
                  <c:v>-6.0846060707138001E-2</c:v>
                </c:pt>
                <c:pt idx="69">
                  <c:v>-5.8497266051837998E-2</c:v>
                </c:pt>
                <c:pt idx="70">
                  <c:v>-5.6696983307567998E-2</c:v>
                </c:pt>
                <c:pt idx="71">
                  <c:v>-5.4882717711150997E-2</c:v>
                </c:pt>
                <c:pt idx="72">
                  <c:v>-5.4638159757531002E-2</c:v>
                </c:pt>
                <c:pt idx="73">
                  <c:v>-5.0675126377749999E-2</c:v>
                </c:pt>
                <c:pt idx="74">
                  <c:v>-4.9596306457519002E-2</c:v>
                </c:pt>
                <c:pt idx="75">
                  <c:v>-4.7809515762515999E-2</c:v>
                </c:pt>
                <c:pt idx="76">
                  <c:v>-4.4935606120468999E-2</c:v>
                </c:pt>
                <c:pt idx="77">
                  <c:v>-4.3195430625471001E-2</c:v>
                </c:pt>
                <c:pt idx="78">
                  <c:v>-4.1300040815016002E-2</c:v>
                </c:pt>
                <c:pt idx="79">
                  <c:v>-3.8778085503931997E-2</c:v>
                </c:pt>
                <c:pt idx="80">
                  <c:v>-3.8007783973843003E-2</c:v>
                </c:pt>
                <c:pt idx="81">
                  <c:v>-3.2031141149917002E-2</c:v>
                </c:pt>
                <c:pt idx="82">
                  <c:v>-3.0769707432871999E-2</c:v>
                </c:pt>
                <c:pt idx="83">
                  <c:v>-2.9249123897243001E-2</c:v>
                </c:pt>
                <c:pt idx="84">
                  <c:v>-2.5472522431655001E-2</c:v>
                </c:pt>
                <c:pt idx="85">
                  <c:v>-2.2897688218590999E-2</c:v>
                </c:pt>
                <c:pt idx="86">
                  <c:v>-2.0284721107365001E-2</c:v>
                </c:pt>
                <c:pt idx="87">
                  <c:v>-1.9656592043708999E-2</c:v>
                </c:pt>
                <c:pt idx="88">
                  <c:v>-1.5988078902489999E-2</c:v>
                </c:pt>
                <c:pt idx="89">
                  <c:v>-1.2148431918725999E-2</c:v>
                </c:pt>
                <c:pt idx="90">
                  <c:v>-9.0308668783520007E-3</c:v>
                </c:pt>
                <c:pt idx="91">
                  <c:v>-6.3896111893079997E-3</c:v>
                </c:pt>
                <c:pt idx="92">
                  <c:v>-2.5552841685840002E-3</c:v>
                </c:pt>
                <c:pt idx="93">
                  <c:v>-2.8695705164330002E-3</c:v>
                </c:pt>
                <c:pt idx="94">
                  <c:v>-1.630802660997E-3</c:v>
                </c:pt>
                <c:pt idx="95">
                  <c:v>1.8236842548179999E-3</c:v>
                </c:pt>
                <c:pt idx="96">
                  <c:v>5.239673034826E-3</c:v>
                </c:pt>
                <c:pt idx="97">
                  <c:v>7.5566539625139999E-3</c:v>
                </c:pt>
                <c:pt idx="98">
                  <c:v>1.1555171250848E-2</c:v>
                </c:pt>
                <c:pt idx="99">
                  <c:v>1.6242746997098999E-2</c:v>
                </c:pt>
                <c:pt idx="100">
                  <c:v>1.8846012149980999E-2</c:v>
                </c:pt>
                <c:pt idx="101">
                  <c:v>2.4257838965678999E-2</c:v>
                </c:pt>
                <c:pt idx="102">
                  <c:v>2.9280771269587998E-2</c:v>
                </c:pt>
                <c:pt idx="103">
                  <c:v>3.2630736117626E-2</c:v>
                </c:pt>
                <c:pt idx="104">
                  <c:v>3.8791631558805002E-2</c:v>
                </c:pt>
                <c:pt idx="105">
                  <c:v>4.1511894461461002E-2</c:v>
                </c:pt>
                <c:pt idx="106">
                  <c:v>4.7840620773228003E-2</c:v>
                </c:pt>
                <c:pt idx="107">
                  <c:v>5.1758999875186E-2</c:v>
                </c:pt>
                <c:pt idx="108">
                  <c:v>5.7912785149307998E-2</c:v>
                </c:pt>
                <c:pt idx="109">
                  <c:v>6.0704471880832001E-2</c:v>
                </c:pt>
                <c:pt idx="110">
                  <c:v>6.4866752105833994E-2</c:v>
                </c:pt>
                <c:pt idx="111">
                  <c:v>7.3087199822142998E-2</c:v>
                </c:pt>
                <c:pt idx="112">
                  <c:v>7.6266797737343003E-2</c:v>
                </c:pt>
                <c:pt idx="113">
                  <c:v>8.2775655799173994E-2</c:v>
                </c:pt>
                <c:pt idx="114">
                  <c:v>9.0306171789470993E-2</c:v>
                </c:pt>
                <c:pt idx="115">
                  <c:v>9.3143585188839001E-2</c:v>
                </c:pt>
                <c:pt idx="116">
                  <c:v>9.6994454095002E-2</c:v>
                </c:pt>
                <c:pt idx="117">
                  <c:v>0.103246716855287</c:v>
                </c:pt>
                <c:pt idx="118">
                  <c:v>0.10848554965993799</c:v>
                </c:pt>
                <c:pt idx="119">
                  <c:v>0.116711028353671</c:v>
                </c:pt>
                <c:pt idx="120">
                  <c:v>0.12560020115557</c:v>
                </c:pt>
                <c:pt idx="121">
                  <c:v>0.12879578691058599</c:v>
                </c:pt>
                <c:pt idx="122">
                  <c:v>0.13501317401110099</c:v>
                </c:pt>
                <c:pt idx="123">
                  <c:v>0.13960460178464701</c:v>
                </c:pt>
                <c:pt idx="124">
                  <c:v>0.14295668113797</c:v>
                </c:pt>
                <c:pt idx="125">
                  <c:v>0.149195337961988</c:v>
                </c:pt>
                <c:pt idx="126">
                  <c:v>0.15420811500578399</c:v>
                </c:pt>
                <c:pt idx="127">
                  <c:v>0.163352691840568</c:v>
                </c:pt>
                <c:pt idx="128">
                  <c:v>0.16833710772197799</c:v>
                </c:pt>
                <c:pt idx="129">
                  <c:v>0.172158965708366</c:v>
                </c:pt>
                <c:pt idx="130">
                  <c:v>0.18063453474691499</c:v>
                </c:pt>
                <c:pt idx="131">
                  <c:v>0.187870932449095</c:v>
                </c:pt>
                <c:pt idx="132">
                  <c:v>0.194457147396354</c:v>
                </c:pt>
                <c:pt idx="133">
                  <c:v>0.20111472552946</c:v>
                </c:pt>
                <c:pt idx="134">
                  <c:v>0.205849229123789</c:v>
                </c:pt>
                <c:pt idx="135">
                  <c:v>0.21178925692266001</c:v>
                </c:pt>
                <c:pt idx="136">
                  <c:v>0.22033403678664601</c:v>
                </c:pt>
                <c:pt idx="137">
                  <c:v>0.22421858129823599</c:v>
                </c:pt>
                <c:pt idx="138">
                  <c:v>0.23460999016488199</c:v>
                </c:pt>
                <c:pt idx="139">
                  <c:v>0.23589770392774501</c:v>
                </c:pt>
                <c:pt idx="140">
                  <c:v>0.24558679644713799</c:v>
                </c:pt>
                <c:pt idx="141">
                  <c:v>0.25296610618558901</c:v>
                </c:pt>
                <c:pt idx="142">
                  <c:v>0.258622083777231</c:v>
                </c:pt>
                <c:pt idx="143">
                  <c:v>0.266147928556703</c:v>
                </c:pt>
                <c:pt idx="144">
                  <c:v>0.275149661075479</c:v>
                </c:pt>
                <c:pt idx="145">
                  <c:v>0.28042013639572899</c:v>
                </c:pt>
                <c:pt idx="146">
                  <c:v>0.28927413361830001</c:v>
                </c:pt>
                <c:pt idx="147">
                  <c:v>0.29363506910473303</c:v>
                </c:pt>
                <c:pt idx="148">
                  <c:v>0.30392958735862202</c:v>
                </c:pt>
                <c:pt idx="149">
                  <c:v>0.30557263818347302</c:v>
                </c:pt>
                <c:pt idx="150">
                  <c:v>0.31853821482</c:v>
                </c:pt>
                <c:pt idx="151">
                  <c:v>0.323827633380456</c:v>
                </c:pt>
                <c:pt idx="152">
                  <c:v>0.32759698301118501</c:v>
                </c:pt>
                <c:pt idx="153">
                  <c:v>0.33331174492833998</c:v>
                </c:pt>
                <c:pt idx="154">
                  <c:v>0.34329521394731299</c:v>
                </c:pt>
                <c:pt idx="155">
                  <c:v>0.352614061347715</c:v>
                </c:pt>
                <c:pt idx="156">
                  <c:v>0.36487413228488802</c:v>
                </c:pt>
                <c:pt idx="157">
                  <c:v>0.36881217312892001</c:v>
                </c:pt>
                <c:pt idx="158">
                  <c:v>0.37661028986476303</c:v>
                </c:pt>
                <c:pt idx="159">
                  <c:v>0.38135661780195401</c:v>
                </c:pt>
                <c:pt idx="160">
                  <c:v>0.39226257153557298</c:v>
                </c:pt>
                <c:pt idx="161">
                  <c:v>0.39199392574082298</c:v>
                </c:pt>
                <c:pt idx="162">
                  <c:v>0.40662003758170101</c:v>
                </c:pt>
                <c:pt idx="163">
                  <c:v>0.418674252126712</c:v>
                </c:pt>
                <c:pt idx="164">
                  <c:v>0.42454201759952298</c:v>
                </c:pt>
                <c:pt idx="165">
                  <c:v>0.432964815430607</c:v>
                </c:pt>
                <c:pt idx="166">
                  <c:v>0.44588400713431597</c:v>
                </c:pt>
                <c:pt idx="167">
                  <c:v>0.43356730953533901</c:v>
                </c:pt>
                <c:pt idx="168">
                  <c:v>0.44711264391715599</c:v>
                </c:pt>
                <c:pt idx="169">
                  <c:v>0.46350019884862098</c:v>
                </c:pt>
                <c:pt idx="170">
                  <c:v>0.47338639415963502</c:v>
                </c:pt>
                <c:pt idx="171">
                  <c:v>0.48485824185583898</c:v>
                </c:pt>
                <c:pt idx="172">
                  <c:v>0.49311564077376602</c:v>
                </c:pt>
                <c:pt idx="173">
                  <c:v>0.48817076354797501</c:v>
                </c:pt>
                <c:pt idx="174">
                  <c:v>0.50155965993984497</c:v>
                </c:pt>
                <c:pt idx="175">
                  <c:v>0.513894163517853</c:v>
                </c:pt>
                <c:pt idx="176">
                  <c:v>0.53123475274255205</c:v>
                </c:pt>
                <c:pt idx="177">
                  <c:v>0.53150648333986705</c:v>
                </c:pt>
                <c:pt idx="178">
                  <c:v>0.54359699577587695</c:v>
                </c:pt>
                <c:pt idx="179">
                  <c:v>0.55237036085015301</c:v>
                </c:pt>
                <c:pt idx="180">
                  <c:v>0.558302823066128</c:v>
                </c:pt>
                <c:pt idx="181">
                  <c:v>0.572531537814711</c:v>
                </c:pt>
                <c:pt idx="182">
                  <c:v>0.58215722532244296</c:v>
                </c:pt>
                <c:pt idx="183">
                  <c:v>0.59576555296364897</c:v>
                </c:pt>
                <c:pt idx="184">
                  <c:v>0.60038416181563703</c:v>
                </c:pt>
                <c:pt idx="185">
                  <c:v>0.60719327015382296</c:v>
                </c:pt>
                <c:pt idx="186">
                  <c:v>0.62388946897909203</c:v>
                </c:pt>
                <c:pt idx="187">
                  <c:v>0.63505617524490598</c:v>
                </c:pt>
                <c:pt idx="188">
                  <c:v>0.63759734536701695</c:v>
                </c:pt>
                <c:pt idx="189">
                  <c:v>0.64846408536982203</c:v>
                </c:pt>
                <c:pt idx="190">
                  <c:v>0.65723842173826796</c:v>
                </c:pt>
                <c:pt idx="191">
                  <c:v>0.67124397329307095</c:v>
                </c:pt>
                <c:pt idx="192">
                  <c:v>0.68908618594900894</c:v>
                </c:pt>
                <c:pt idx="193">
                  <c:v>0.69427995976373502</c:v>
                </c:pt>
                <c:pt idx="194">
                  <c:v>0.71043605717548697</c:v>
                </c:pt>
                <c:pt idx="195">
                  <c:v>0.70970360545164202</c:v>
                </c:pt>
                <c:pt idx="196">
                  <c:v>0.72386688391986298</c:v>
                </c:pt>
                <c:pt idx="197">
                  <c:v>0.73786879928200799</c:v>
                </c:pt>
                <c:pt idx="198">
                  <c:v>0.75124220838681499</c:v>
                </c:pt>
                <c:pt idx="199">
                  <c:v>0.76470599226353797</c:v>
                </c:pt>
                <c:pt idx="200">
                  <c:v>0.768376424417343</c:v>
                </c:pt>
                <c:pt idx="201">
                  <c:v>0.77418434379576895</c:v>
                </c:pt>
                <c:pt idx="202">
                  <c:v>0.79088639226634605</c:v>
                </c:pt>
                <c:pt idx="203">
                  <c:v>0.79259976012626399</c:v>
                </c:pt>
                <c:pt idx="204">
                  <c:v>0.82106696745749597</c:v>
                </c:pt>
                <c:pt idx="205">
                  <c:v>0.82989475288782799</c:v>
                </c:pt>
                <c:pt idx="206">
                  <c:v>0.84480288790874303</c:v>
                </c:pt>
                <c:pt idx="207">
                  <c:v>0.86034303027404302</c:v>
                </c:pt>
                <c:pt idx="208">
                  <c:v>0.87068323334407105</c:v>
                </c:pt>
                <c:pt idx="209">
                  <c:v>0.88817726041812495</c:v>
                </c:pt>
                <c:pt idx="210">
                  <c:v>0.899549617757888</c:v>
                </c:pt>
                <c:pt idx="211">
                  <c:v>0.91486450201884695</c:v>
                </c:pt>
                <c:pt idx="212">
                  <c:v>0.92030999244818001</c:v>
                </c:pt>
                <c:pt idx="213">
                  <c:v>0.93206117105897701</c:v>
                </c:pt>
                <c:pt idx="214">
                  <c:v>0.94774085319677503</c:v>
                </c:pt>
                <c:pt idx="215">
                  <c:v>0.95310660762395005</c:v>
                </c:pt>
                <c:pt idx="216">
                  <c:v>0.96471019033023797</c:v>
                </c:pt>
                <c:pt idx="217">
                  <c:v>0.97149930437818199</c:v>
                </c:pt>
                <c:pt idx="218">
                  <c:v>0.99139586220023501</c:v>
                </c:pt>
                <c:pt idx="219">
                  <c:v>1.0038679857558901</c:v>
                </c:pt>
                <c:pt idx="220">
                  <c:v>1.0219445234498501</c:v>
                </c:pt>
                <c:pt idx="221">
                  <c:v>1.03263752614506</c:v>
                </c:pt>
                <c:pt idx="222">
                  <c:v>1.0485024433841601</c:v>
                </c:pt>
                <c:pt idx="223">
                  <c:v>1.0534605456769901</c:v>
                </c:pt>
                <c:pt idx="224">
                  <c:v>1.0809338469705001</c:v>
                </c:pt>
                <c:pt idx="225">
                  <c:v>1.0928813593657301</c:v>
                </c:pt>
                <c:pt idx="226">
                  <c:v>1.0740496755737701</c:v>
                </c:pt>
                <c:pt idx="227">
                  <c:v>1.1251529394028901</c:v>
                </c:pt>
                <c:pt idx="228">
                  <c:v>1.1202014579723101</c:v>
                </c:pt>
                <c:pt idx="229">
                  <c:v>1.12540000098504</c:v>
                </c:pt>
                <c:pt idx="230">
                  <c:v>1.1379698110376799</c:v>
                </c:pt>
                <c:pt idx="231">
                  <c:v>1.15502965466758</c:v>
                </c:pt>
                <c:pt idx="232">
                  <c:v>1.16664983509618</c:v>
                </c:pt>
                <c:pt idx="233">
                  <c:v>1.1838216655779601</c:v>
                </c:pt>
                <c:pt idx="234">
                  <c:v>1.2115618459159301</c:v>
                </c:pt>
                <c:pt idx="235">
                  <c:v>1.2331797269573499</c:v>
                </c:pt>
                <c:pt idx="236">
                  <c:v>1.232093505288</c:v>
                </c:pt>
                <c:pt idx="237">
                  <c:v>1.2470146060615801</c:v>
                </c:pt>
                <c:pt idx="238">
                  <c:v>1.2666592532265799</c:v>
                </c:pt>
                <c:pt idx="239">
                  <c:v>1.29511438005395</c:v>
                </c:pt>
                <c:pt idx="240">
                  <c:v>1.29367778071416</c:v>
                </c:pt>
                <c:pt idx="241">
                  <c:v>1.3028799640482001</c:v>
                </c:pt>
                <c:pt idx="242">
                  <c:v>1.3429035786828101</c:v>
                </c:pt>
                <c:pt idx="243">
                  <c:v>1.3521369537629599</c:v>
                </c:pt>
                <c:pt idx="244">
                  <c:v>1.34979219131988</c:v>
                </c:pt>
                <c:pt idx="245">
                  <c:v>1.3833886128703701</c:v>
                </c:pt>
                <c:pt idx="246">
                  <c:v>1.3809548542301999</c:v>
                </c:pt>
                <c:pt idx="247">
                  <c:v>1.4063101683689501</c:v>
                </c:pt>
                <c:pt idx="248">
                  <c:v>1.4236370120097299</c:v>
                </c:pt>
                <c:pt idx="249">
                  <c:v>1.43835619858001</c:v>
                </c:pt>
                <c:pt idx="250">
                  <c:v>1.4580587187515299</c:v>
                </c:pt>
                <c:pt idx="251">
                  <c:v>1.4869348760783401</c:v>
                </c:pt>
                <c:pt idx="252">
                  <c:v>1.4674357605405799</c:v>
                </c:pt>
                <c:pt idx="253">
                  <c:v>1.4748099184945</c:v>
                </c:pt>
                <c:pt idx="254">
                  <c:v>1.5146855886566299</c:v>
                </c:pt>
                <c:pt idx="255">
                  <c:v>1.5298174961746001</c:v>
                </c:pt>
                <c:pt idx="256">
                  <c:v>1.54489324360561</c:v>
                </c:pt>
                <c:pt idx="257">
                  <c:v>1.55442010936593</c:v>
                </c:pt>
                <c:pt idx="258">
                  <c:v>1.5646807704978301</c:v>
                </c:pt>
                <c:pt idx="259">
                  <c:v>1.59335915729461</c:v>
                </c:pt>
                <c:pt idx="260">
                  <c:v>1.6093857169632699</c:v>
                </c:pt>
                <c:pt idx="261">
                  <c:v>1.6402385098947501</c:v>
                </c:pt>
                <c:pt idx="262">
                  <c:v>1.6246668688816299</c:v>
                </c:pt>
                <c:pt idx="263">
                  <c:v>1.6417645349899199</c:v>
                </c:pt>
                <c:pt idx="264">
                  <c:v>1.6588970214104699</c:v>
                </c:pt>
                <c:pt idx="265">
                  <c:v>1.6807033139669501</c:v>
                </c:pt>
                <c:pt idx="266">
                  <c:v>1.6956685809080201</c:v>
                </c:pt>
                <c:pt idx="267">
                  <c:v>1.7244774595222401</c:v>
                </c:pt>
                <c:pt idx="268">
                  <c:v>1.72868294699669</c:v>
                </c:pt>
                <c:pt idx="269">
                  <c:v>1.7499372823335799</c:v>
                </c:pt>
                <c:pt idx="270">
                  <c:v>1.7692236000280801</c:v>
                </c:pt>
                <c:pt idx="271">
                  <c:v>1.8003312720970399</c:v>
                </c:pt>
                <c:pt idx="272">
                  <c:v>1.78502722762785</c:v>
                </c:pt>
                <c:pt idx="273">
                  <c:v>1.8173805092886099</c:v>
                </c:pt>
                <c:pt idx="274">
                  <c:v>1.8354964920287899</c:v>
                </c:pt>
                <c:pt idx="275">
                  <c:v>1.8460198520245099</c:v>
                </c:pt>
                <c:pt idx="276">
                  <c:v>1.8343455540345099</c:v>
                </c:pt>
                <c:pt idx="277">
                  <c:v>1.8853278325554601</c:v>
                </c:pt>
                <c:pt idx="278">
                  <c:v>1.89586910213808</c:v>
                </c:pt>
                <c:pt idx="279">
                  <c:v>1.9300551345047801</c:v>
                </c:pt>
                <c:pt idx="280">
                  <c:v>1.9234480291799001</c:v>
                </c:pt>
                <c:pt idx="281">
                  <c:v>1.9584249157393301</c:v>
                </c:pt>
                <c:pt idx="282">
                  <c:v>1.9908201559157199</c:v>
                </c:pt>
                <c:pt idx="283">
                  <c:v>1.9924030301865301</c:v>
                </c:pt>
                <c:pt idx="284">
                  <c:v>1.9848525478066099</c:v>
                </c:pt>
                <c:pt idx="285">
                  <c:v>1.9961491838393499</c:v>
                </c:pt>
                <c:pt idx="286">
                  <c:v>2.0452148008416899</c:v>
                </c:pt>
                <c:pt idx="287">
                  <c:v>2.0521108558852399</c:v>
                </c:pt>
                <c:pt idx="288">
                  <c:v>2.0607550481707801</c:v>
                </c:pt>
                <c:pt idx="289">
                  <c:v>2.07252145486409</c:v>
                </c:pt>
                <c:pt idx="290">
                  <c:v>2.1082918274370801</c:v>
                </c:pt>
                <c:pt idx="291">
                  <c:v>2.13170294987808</c:v>
                </c:pt>
                <c:pt idx="292">
                  <c:v>2.1279997531900499</c:v>
                </c:pt>
                <c:pt idx="293">
                  <c:v>2.10901146548512</c:v>
                </c:pt>
                <c:pt idx="294">
                  <c:v>2.1933347667060401</c:v>
                </c:pt>
                <c:pt idx="295">
                  <c:v>2.1639326358831901</c:v>
                </c:pt>
                <c:pt idx="296">
                  <c:v>2.1746438030632098</c:v>
                </c:pt>
                <c:pt idx="297">
                  <c:v>2.2049010882193301</c:v>
                </c:pt>
                <c:pt idx="298">
                  <c:v>2.2410425924707398</c:v>
                </c:pt>
                <c:pt idx="299">
                  <c:v>2.2674379780533198</c:v>
                </c:pt>
                <c:pt idx="300">
                  <c:v>2.27349069788362</c:v>
                </c:pt>
                <c:pt idx="301">
                  <c:v>2.30529724213191</c:v>
                </c:pt>
                <c:pt idx="302">
                  <c:v>2.3378300856788599</c:v>
                </c:pt>
                <c:pt idx="303">
                  <c:v>2.3507004225472401</c:v>
                </c:pt>
                <c:pt idx="304">
                  <c:v>2.36212087833173</c:v>
                </c:pt>
                <c:pt idx="305">
                  <c:v>2.3555022603297502</c:v>
                </c:pt>
                <c:pt idx="306">
                  <c:v>2.3763367691727</c:v>
                </c:pt>
                <c:pt idx="307">
                  <c:v>2.3881161286891399</c:v>
                </c:pt>
                <c:pt idx="308">
                  <c:v>2.43645044238446</c:v>
                </c:pt>
                <c:pt idx="309">
                  <c:v>2.4256560416606301</c:v>
                </c:pt>
                <c:pt idx="310">
                  <c:v>2.4437794602705298</c:v>
                </c:pt>
                <c:pt idx="311">
                  <c:v>2.47558198835655</c:v>
                </c:pt>
                <c:pt idx="312">
                  <c:v>2.5126501880613099</c:v>
                </c:pt>
                <c:pt idx="313">
                  <c:v>2.52059144008643</c:v>
                </c:pt>
                <c:pt idx="314">
                  <c:v>2.5330647675113802</c:v>
                </c:pt>
                <c:pt idx="315">
                  <c:v>2.5316545787690599</c:v>
                </c:pt>
                <c:pt idx="316">
                  <c:v>2.5497464128471501</c:v>
                </c:pt>
                <c:pt idx="317">
                  <c:v>2.6123192331390999</c:v>
                </c:pt>
                <c:pt idx="318">
                  <c:v>2.6269625379899399</c:v>
                </c:pt>
                <c:pt idx="319">
                  <c:v>2.6015122393083199</c:v>
                </c:pt>
                <c:pt idx="320">
                  <c:v>2.6168639401910099</c:v>
                </c:pt>
                <c:pt idx="321">
                  <c:v>2.6642239213792398</c:v>
                </c:pt>
                <c:pt idx="322">
                  <c:v>2.6773269095657302</c:v>
                </c:pt>
                <c:pt idx="323">
                  <c:v>2.71680165415275</c:v>
                </c:pt>
                <c:pt idx="324">
                  <c:v>2.7279298508805199</c:v>
                </c:pt>
                <c:pt idx="325">
                  <c:v>2.72199686755568</c:v>
                </c:pt>
                <c:pt idx="326">
                  <c:v>2.7221229991353901</c:v>
                </c:pt>
                <c:pt idx="327">
                  <c:v>2.7966202507020301</c:v>
                </c:pt>
                <c:pt idx="328">
                  <c:v>2.8007929011766199</c:v>
                </c:pt>
                <c:pt idx="329">
                  <c:v>2.8166498731712699</c:v>
                </c:pt>
                <c:pt idx="330">
                  <c:v>2.8639479970117301</c:v>
                </c:pt>
                <c:pt idx="331">
                  <c:v>2.8557059242392202</c:v>
                </c:pt>
                <c:pt idx="332">
                  <c:v>2.8845686761591498</c:v>
                </c:pt>
                <c:pt idx="333">
                  <c:v>2.9009670030784802</c:v>
                </c:pt>
                <c:pt idx="334">
                  <c:v>2.9215431421092299</c:v>
                </c:pt>
                <c:pt idx="335">
                  <c:v>2.9480081667418299</c:v>
                </c:pt>
                <c:pt idx="336">
                  <c:v>2.9713751534567301</c:v>
                </c:pt>
                <c:pt idx="337">
                  <c:v>2.9933833208448299</c:v>
                </c:pt>
                <c:pt idx="338">
                  <c:v>3.00214713797051</c:v>
                </c:pt>
                <c:pt idx="339">
                  <c:v>2.9868314407228298</c:v>
                </c:pt>
                <c:pt idx="340">
                  <c:v>2.98083135252153</c:v>
                </c:pt>
                <c:pt idx="341">
                  <c:v>3.0090243961255001</c:v>
                </c:pt>
                <c:pt idx="342">
                  <c:v>3.0476970080378201</c:v>
                </c:pt>
                <c:pt idx="343">
                  <c:v>3.0769678304333601</c:v>
                </c:pt>
                <c:pt idx="344">
                  <c:v>3.0883581285848698</c:v>
                </c:pt>
                <c:pt idx="345">
                  <c:v>3.1287975833576702</c:v>
                </c:pt>
                <c:pt idx="346">
                  <c:v>3.1436941859848302</c:v>
                </c:pt>
                <c:pt idx="347">
                  <c:v>3.1508366076248402</c:v>
                </c:pt>
                <c:pt idx="348">
                  <c:v>3.2010986297161299</c:v>
                </c:pt>
                <c:pt idx="349">
                  <c:v>3.2119284123825902</c:v>
                </c:pt>
                <c:pt idx="350">
                  <c:v>3.2126068343052898</c:v>
                </c:pt>
                <c:pt idx="351">
                  <c:v>3.2183254315084802</c:v>
                </c:pt>
                <c:pt idx="352">
                  <c:v>3.1909867641204901</c:v>
                </c:pt>
                <c:pt idx="353">
                  <c:v>3.27510363185135</c:v>
                </c:pt>
                <c:pt idx="354">
                  <c:v>3.28547930309472</c:v>
                </c:pt>
                <c:pt idx="355">
                  <c:v>3.2702975291784102</c:v>
                </c:pt>
                <c:pt idx="356">
                  <c:v>3.3629009228543199</c:v>
                </c:pt>
                <c:pt idx="357">
                  <c:v>3.4011086692223498</c:v>
                </c:pt>
                <c:pt idx="358">
                  <c:v>3.41059399135756</c:v>
                </c:pt>
                <c:pt idx="359">
                  <c:v>3.3560971898467198</c:v>
                </c:pt>
                <c:pt idx="360">
                  <c:v>3.3992060351979099</c:v>
                </c:pt>
                <c:pt idx="361">
                  <c:v>3.3907928459095098</c:v>
                </c:pt>
                <c:pt idx="362">
                  <c:v>3.4524312146344398</c:v>
                </c:pt>
                <c:pt idx="363">
                  <c:v>3.4461617078392601</c:v>
                </c:pt>
                <c:pt idx="364">
                  <c:v>3.4554687911006901</c:v>
                </c:pt>
                <c:pt idx="365">
                  <c:v>3.48053078072435</c:v>
                </c:pt>
                <c:pt idx="366">
                  <c:v>3.5791055030357701</c:v>
                </c:pt>
                <c:pt idx="367">
                  <c:v>3.5602235293067301</c:v>
                </c:pt>
                <c:pt idx="368">
                  <c:v>3.54885324014024</c:v>
                </c:pt>
                <c:pt idx="369">
                  <c:v>3.5910036862657999</c:v>
                </c:pt>
                <c:pt idx="370">
                  <c:v>3.5836980197964801</c:v>
                </c:pt>
                <c:pt idx="371">
                  <c:v>3.6984632132086701</c:v>
                </c:pt>
                <c:pt idx="372">
                  <c:v>3.6204980963294999</c:v>
                </c:pt>
                <c:pt idx="373">
                  <c:v>3.64790766756134</c:v>
                </c:pt>
                <c:pt idx="374">
                  <c:v>3.6835945456763501</c:v>
                </c:pt>
                <c:pt idx="375">
                  <c:v>3.6909752187850899</c:v>
                </c:pt>
                <c:pt idx="376">
                  <c:v>3.68825331085556</c:v>
                </c:pt>
                <c:pt idx="377">
                  <c:v>3.68296924518472</c:v>
                </c:pt>
                <c:pt idx="378">
                  <c:v>3.7469221191630599</c:v>
                </c:pt>
                <c:pt idx="379">
                  <c:v>3.7661603559175099</c:v>
                </c:pt>
                <c:pt idx="380">
                  <c:v>3.7844402914413799</c:v>
                </c:pt>
                <c:pt idx="381">
                  <c:v>3.8194810517897202</c:v>
                </c:pt>
                <c:pt idx="382">
                  <c:v>3.8582688190185301</c:v>
                </c:pt>
                <c:pt idx="383">
                  <c:v>3.8243366920881798</c:v>
                </c:pt>
                <c:pt idx="384">
                  <c:v>3.8863001921201801</c:v>
                </c:pt>
                <c:pt idx="385">
                  <c:v>3.8255124427247802</c:v>
                </c:pt>
                <c:pt idx="386">
                  <c:v>3.8836309353189402</c:v>
                </c:pt>
                <c:pt idx="387">
                  <c:v>3.9130573595593798</c:v>
                </c:pt>
                <c:pt idx="388">
                  <c:v>3.9402740182280298</c:v>
                </c:pt>
                <c:pt idx="389">
                  <c:v>3.9969395078977401</c:v>
                </c:pt>
                <c:pt idx="390">
                  <c:v>3.9971921601050302</c:v>
                </c:pt>
                <c:pt idx="391">
                  <c:v>4.03428179121891</c:v>
                </c:pt>
                <c:pt idx="392">
                  <c:v>4.0505219163593003</c:v>
                </c:pt>
                <c:pt idx="393">
                  <c:v>4.08790821394423</c:v>
                </c:pt>
                <c:pt idx="394">
                  <c:v>4.0599016594425601</c:v>
                </c:pt>
                <c:pt idx="395">
                  <c:v>4.1480667258857702</c:v>
                </c:pt>
                <c:pt idx="396">
                  <c:v>4.1389572242472399</c:v>
                </c:pt>
                <c:pt idx="397">
                  <c:v>4.1414622151469098</c:v>
                </c:pt>
                <c:pt idx="398">
                  <c:v>4.18780424782625</c:v>
                </c:pt>
                <c:pt idx="399">
                  <c:v>4.1935061295499203</c:v>
                </c:pt>
                <c:pt idx="400">
                  <c:v>4.2388155004367301</c:v>
                </c:pt>
                <c:pt idx="401">
                  <c:v>4.1999973447430303</c:v>
                </c:pt>
                <c:pt idx="402">
                  <c:v>4.2632609368261303</c:v>
                </c:pt>
                <c:pt idx="403">
                  <c:v>4.2925732312294196</c:v>
                </c:pt>
                <c:pt idx="404">
                  <c:v>4.29757819006928</c:v>
                </c:pt>
                <c:pt idx="405">
                  <c:v>4.3524335053675802</c:v>
                </c:pt>
                <c:pt idx="406">
                  <c:v>4.3595838326984104</c:v>
                </c:pt>
                <c:pt idx="407">
                  <c:v>4.37003656544446</c:v>
                </c:pt>
                <c:pt idx="408">
                  <c:v>4.3725526892486704</c:v>
                </c:pt>
                <c:pt idx="409">
                  <c:v>4.3931095328717804</c:v>
                </c:pt>
                <c:pt idx="410">
                  <c:v>4.4226523210846702</c:v>
                </c:pt>
                <c:pt idx="411">
                  <c:v>4.5238448823903399</c:v>
                </c:pt>
                <c:pt idx="412">
                  <c:v>4.44839089608094</c:v>
                </c:pt>
                <c:pt idx="413">
                  <c:v>4.4936239210185596</c:v>
                </c:pt>
                <c:pt idx="414">
                  <c:v>4.5186893105751302</c:v>
                </c:pt>
                <c:pt idx="415">
                  <c:v>4.47563360127862</c:v>
                </c:pt>
                <c:pt idx="416">
                  <c:v>4.4813353183332802</c:v>
                </c:pt>
                <c:pt idx="417">
                  <c:v>4.51732589674197</c:v>
                </c:pt>
                <c:pt idx="418">
                  <c:v>4.5313478198927903</c:v>
                </c:pt>
                <c:pt idx="419">
                  <c:v>4.5619840582583704</c:v>
                </c:pt>
                <c:pt idx="420">
                  <c:v>4.6157059110276197</c:v>
                </c:pt>
                <c:pt idx="421">
                  <c:v>4.6659581150782596</c:v>
                </c:pt>
                <c:pt idx="422">
                  <c:v>4.5727955009931804</c:v>
                </c:pt>
                <c:pt idx="423">
                  <c:v>4.6954964979544798</c:v>
                </c:pt>
                <c:pt idx="424">
                  <c:v>4.7469138488839304</c:v>
                </c:pt>
                <c:pt idx="425">
                  <c:v>4.7273593906840699</c:v>
                </c:pt>
                <c:pt idx="426">
                  <c:v>4.6941040336168403</c:v>
                </c:pt>
                <c:pt idx="427">
                  <c:v>4.7458448177118999</c:v>
                </c:pt>
                <c:pt idx="428">
                  <c:v>4.7815722294161702</c:v>
                </c:pt>
                <c:pt idx="429">
                  <c:v>4.8067407332504501</c:v>
                </c:pt>
                <c:pt idx="430">
                  <c:v>4.7206607846323099</c:v>
                </c:pt>
                <c:pt idx="431">
                  <c:v>4.7683238278480999</c:v>
                </c:pt>
                <c:pt idx="432">
                  <c:v>4.71006400724501</c:v>
                </c:pt>
                <c:pt idx="433">
                  <c:v>4.7519032664808103</c:v>
                </c:pt>
                <c:pt idx="434">
                  <c:v>4.8310267092002404</c:v>
                </c:pt>
                <c:pt idx="435">
                  <c:v>4.8054424248985903</c:v>
                </c:pt>
                <c:pt idx="436">
                  <c:v>4.8767335421972504</c:v>
                </c:pt>
                <c:pt idx="437">
                  <c:v>4.8803374442494896</c:v>
                </c:pt>
                <c:pt idx="438">
                  <c:v>4.8976542994711103</c:v>
                </c:pt>
                <c:pt idx="439">
                  <c:v>4.9084669520713602</c:v>
                </c:pt>
                <c:pt idx="440">
                  <c:v>4.9281064364957698</c:v>
                </c:pt>
                <c:pt idx="441">
                  <c:v>4.9693192577266601</c:v>
                </c:pt>
                <c:pt idx="442">
                  <c:v>4.90729273242742</c:v>
                </c:pt>
                <c:pt idx="443">
                  <c:v>4.9309030208743998</c:v>
                </c:pt>
                <c:pt idx="444">
                  <c:v>5.0428373981904198</c:v>
                </c:pt>
                <c:pt idx="445">
                  <c:v>5.1043960131114696</c:v>
                </c:pt>
                <c:pt idx="446">
                  <c:v>5.1139313144014098</c:v>
                </c:pt>
                <c:pt idx="447">
                  <c:v>5.1269249816071003</c:v>
                </c:pt>
                <c:pt idx="448">
                  <c:v>5.1460832408775197</c:v>
                </c:pt>
                <c:pt idx="449">
                  <c:v>5.2047824339480897</c:v>
                </c:pt>
                <c:pt idx="450">
                  <c:v>5.2041538623610002</c:v>
                </c:pt>
                <c:pt idx="451">
                  <c:v>5.3082081341538103</c:v>
                </c:pt>
                <c:pt idx="452">
                  <c:v>5.2467458643328504</c:v>
                </c:pt>
                <c:pt idx="453">
                  <c:v>5.2863316051218598</c:v>
                </c:pt>
                <c:pt idx="454">
                  <c:v>5.3614276122143796</c:v>
                </c:pt>
                <c:pt idx="455">
                  <c:v>5.3443272540105298</c:v>
                </c:pt>
                <c:pt idx="456">
                  <c:v>5.2629036254840402</c:v>
                </c:pt>
                <c:pt idx="457">
                  <c:v>5.2854664466534302</c:v>
                </c:pt>
                <c:pt idx="458">
                  <c:v>5.3429494760701104</c:v>
                </c:pt>
                <c:pt idx="459">
                  <c:v>5.3563308991149503</c:v>
                </c:pt>
                <c:pt idx="460">
                  <c:v>5.34587322255671</c:v>
                </c:pt>
                <c:pt idx="461">
                  <c:v>5.4884638804585597</c:v>
                </c:pt>
                <c:pt idx="462">
                  <c:v>5.4867915371038203</c:v>
                </c:pt>
                <c:pt idx="463">
                  <c:v>5.5718959628067504</c:v>
                </c:pt>
                <c:pt idx="464">
                  <c:v>5.5005934437629698</c:v>
                </c:pt>
                <c:pt idx="465">
                  <c:v>5.4543180109486</c:v>
                </c:pt>
                <c:pt idx="466">
                  <c:v>5.5221841958529803</c:v>
                </c:pt>
                <c:pt idx="467">
                  <c:v>5.5737785030512699</c:v>
                </c:pt>
                <c:pt idx="468">
                  <c:v>5.6554877428335697</c:v>
                </c:pt>
                <c:pt idx="469">
                  <c:v>5.6061523132944604</c:v>
                </c:pt>
                <c:pt idx="470">
                  <c:v>5.5819986073679004</c:v>
                </c:pt>
                <c:pt idx="471">
                  <c:v>5.6059516072684996</c:v>
                </c:pt>
                <c:pt idx="472">
                  <c:v>5.7177310075775098</c:v>
                </c:pt>
                <c:pt idx="473">
                  <c:v>5.7273367528329802</c:v>
                </c:pt>
                <c:pt idx="474">
                  <c:v>5.7732865756049403</c:v>
                </c:pt>
                <c:pt idx="475">
                  <c:v>5.8379552994487396</c:v>
                </c:pt>
                <c:pt idx="476">
                  <c:v>5.8603249823635197</c:v>
                </c:pt>
                <c:pt idx="477">
                  <c:v>5.7520142248872101</c:v>
                </c:pt>
                <c:pt idx="478">
                  <c:v>5.8415414095224003</c:v>
                </c:pt>
                <c:pt idx="479">
                  <c:v>5.9180267413169796</c:v>
                </c:pt>
                <c:pt idx="480">
                  <c:v>5.8847426770001103</c:v>
                </c:pt>
                <c:pt idx="481">
                  <c:v>5.9355803347127196</c:v>
                </c:pt>
                <c:pt idx="482">
                  <c:v>5.96167114670068</c:v>
                </c:pt>
                <c:pt idx="483">
                  <c:v>5.9730922620665998</c:v>
                </c:pt>
                <c:pt idx="484">
                  <c:v>5.8406999523198397</c:v>
                </c:pt>
                <c:pt idx="485">
                  <c:v>6.0052133727390498</c:v>
                </c:pt>
                <c:pt idx="486">
                  <c:v>5.98777727572618</c:v>
                </c:pt>
                <c:pt idx="487">
                  <c:v>6.0434584599559704</c:v>
                </c:pt>
                <c:pt idx="488">
                  <c:v>6.0986133452345896</c:v>
                </c:pt>
                <c:pt idx="489">
                  <c:v>6.1032675414645903</c:v>
                </c:pt>
                <c:pt idx="490">
                  <c:v>6.1082203398630197</c:v>
                </c:pt>
                <c:pt idx="491">
                  <c:v>6.1931142635398597</c:v>
                </c:pt>
                <c:pt idx="492">
                  <c:v>6.0948108480413703</c:v>
                </c:pt>
                <c:pt idx="493">
                  <c:v>6.1402242193011602</c:v>
                </c:pt>
                <c:pt idx="494">
                  <c:v>6.1472557901202602</c:v>
                </c:pt>
                <c:pt idx="495">
                  <c:v>6.1742448102434597</c:v>
                </c:pt>
                <c:pt idx="496">
                  <c:v>6.19118077725222</c:v>
                </c:pt>
                <c:pt idx="497">
                  <c:v>6.2122391735431197</c:v>
                </c:pt>
                <c:pt idx="498">
                  <c:v>6.2202275188031297</c:v>
                </c:pt>
                <c:pt idx="499">
                  <c:v>6.3033655471946197</c:v>
                </c:pt>
                <c:pt idx="500">
                  <c:v>6.31452996752492</c:v>
                </c:pt>
                <c:pt idx="501">
                  <c:v>6.3220982952205</c:v>
                </c:pt>
                <c:pt idx="502">
                  <c:v>6.36901394947827</c:v>
                </c:pt>
                <c:pt idx="503">
                  <c:v>6.19180506369025</c:v>
                </c:pt>
                <c:pt idx="504">
                  <c:v>6.3298053991911498</c:v>
                </c:pt>
                <c:pt idx="505">
                  <c:v>6.3866837076224501</c:v>
                </c:pt>
                <c:pt idx="506">
                  <c:v>6.3507001827432896</c:v>
                </c:pt>
                <c:pt idx="507">
                  <c:v>6.4350413118188801</c:v>
                </c:pt>
                <c:pt idx="508">
                  <c:v>6.5584996975851002</c:v>
                </c:pt>
                <c:pt idx="509">
                  <c:v>6.5689201697926096</c:v>
                </c:pt>
                <c:pt idx="510">
                  <c:v>6.5906470266991697</c:v>
                </c:pt>
                <c:pt idx="511">
                  <c:v>6.5301915420356602</c:v>
                </c:pt>
                <c:pt idx="512">
                  <c:v>6.5062746675560001</c:v>
                </c:pt>
                <c:pt idx="513">
                  <c:v>6.5167678786352301</c:v>
                </c:pt>
                <c:pt idx="514">
                  <c:v>6.56754404066118</c:v>
                </c:pt>
                <c:pt idx="515">
                  <c:v>6.5905754740447398</c:v>
                </c:pt>
                <c:pt idx="516">
                  <c:v>6.6255598263427897</c:v>
                </c:pt>
                <c:pt idx="517">
                  <c:v>6.67808495245397</c:v>
                </c:pt>
                <c:pt idx="518">
                  <c:v>6.74937208749731</c:v>
                </c:pt>
                <c:pt idx="519">
                  <c:v>6.7877611472508299</c:v>
                </c:pt>
                <c:pt idx="520">
                  <c:v>6.7020897833331796</c:v>
                </c:pt>
                <c:pt idx="521">
                  <c:v>6.7652002396226099</c:v>
                </c:pt>
                <c:pt idx="522">
                  <c:v>6.8208885726898201</c:v>
                </c:pt>
                <c:pt idx="523">
                  <c:v>6.80146791862661</c:v>
                </c:pt>
                <c:pt idx="524">
                  <c:v>6.8734802870956599</c:v>
                </c:pt>
                <c:pt idx="525">
                  <c:v>6.9403209611978198</c:v>
                </c:pt>
                <c:pt idx="526">
                  <c:v>7.0188882498799696</c:v>
                </c:pt>
                <c:pt idx="527">
                  <c:v>6.9269226120493004</c:v>
                </c:pt>
                <c:pt idx="528">
                  <c:v>6.9170605673908403</c:v>
                </c:pt>
                <c:pt idx="529">
                  <c:v>7.0465164371189104</c:v>
                </c:pt>
                <c:pt idx="530">
                  <c:v>7.0480587649517696</c:v>
                </c:pt>
                <c:pt idx="531">
                  <c:v>7.0516736115420597</c:v>
                </c:pt>
                <c:pt idx="532">
                  <c:v>7.1177622307853801</c:v>
                </c:pt>
                <c:pt idx="533">
                  <c:v>6.9508009222142597</c:v>
                </c:pt>
                <c:pt idx="534">
                  <c:v>6.9667463628282702</c:v>
                </c:pt>
                <c:pt idx="535">
                  <c:v>7.0152711988112699</c:v>
                </c:pt>
                <c:pt idx="536">
                  <c:v>7.1018338996280201</c:v>
                </c:pt>
                <c:pt idx="537">
                  <c:v>7.1440583055226101</c:v>
                </c:pt>
                <c:pt idx="538">
                  <c:v>7.1595021838728998</c:v>
                </c:pt>
                <c:pt idx="539">
                  <c:v>7.2077810911558799</c:v>
                </c:pt>
                <c:pt idx="540">
                  <c:v>7.0844678142972501</c:v>
                </c:pt>
                <c:pt idx="541">
                  <c:v>7.2265524973276696</c:v>
                </c:pt>
                <c:pt idx="542">
                  <c:v>7.2416538793824596</c:v>
                </c:pt>
                <c:pt idx="543">
                  <c:v>7.2286869842525601</c:v>
                </c:pt>
                <c:pt idx="544">
                  <c:v>7.2862037022779296</c:v>
                </c:pt>
                <c:pt idx="545">
                  <c:v>7.3413683514719104</c:v>
                </c:pt>
                <c:pt idx="546">
                  <c:v>7.3913685391626203</c:v>
                </c:pt>
                <c:pt idx="547">
                  <c:v>7.3525957157777801</c:v>
                </c:pt>
                <c:pt idx="548">
                  <c:v>7.4473619679778196</c:v>
                </c:pt>
                <c:pt idx="549">
                  <c:v>7.5122296042383097</c:v>
                </c:pt>
                <c:pt idx="550">
                  <c:v>7.58158181894433</c:v>
                </c:pt>
                <c:pt idx="551">
                  <c:v>7.5934896209122904</c:v>
                </c:pt>
                <c:pt idx="552">
                  <c:v>7.6284543928380204</c:v>
                </c:pt>
                <c:pt idx="553">
                  <c:v>7.6667756427635103</c:v>
                </c:pt>
                <c:pt idx="554">
                  <c:v>7.5408932644516504</c:v>
                </c:pt>
                <c:pt idx="555">
                  <c:v>7.6563364340282902</c:v>
                </c:pt>
                <c:pt idx="556">
                  <c:v>7.5933548570610396</c:v>
                </c:pt>
                <c:pt idx="557">
                  <c:v>7.6215003150137397</c:v>
                </c:pt>
                <c:pt idx="558">
                  <c:v>7.6781800302885701</c:v>
                </c:pt>
                <c:pt idx="559">
                  <c:v>7.6236420587546396</c:v>
                </c:pt>
                <c:pt idx="560">
                  <c:v>7.65757686735604</c:v>
                </c:pt>
                <c:pt idx="561">
                  <c:v>7.6941406681322198</c:v>
                </c:pt>
                <c:pt idx="562">
                  <c:v>7.7571131682407</c:v>
                </c:pt>
                <c:pt idx="563">
                  <c:v>7.8247648509150904</c:v>
                </c:pt>
                <c:pt idx="564">
                  <c:v>7.856134872838</c:v>
                </c:pt>
                <c:pt idx="565">
                  <c:v>7.8004581680185998</c:v>
                </c:pt>
                <c:pt idx="566">
                  <c:v>7.8883621282485104</c:v>
                </c:pt>
                <c:pt idx="567">
                  <c:v>7.8444623688334598</c:v>
                </c:pt>
                <c:pt idx="568">
                  <c:v>7.8738702637791498</c:v>
                </c:pt>
                <c:pt idx="569">
                  <c:v>7.8595768389426199</c:v>
                </c:pt>
                <c:pt idx="570">
                  <c:v>7.8244159128595303</c:v>
                </c:pt>
                <c:pt idx="571">
                  <c:v>7.8952050387007304</c:v>
                </c:pt>
                <c:pt idx="572">
                  <c:v>7.9337502410415901</c:v>
                </c:pt>
                <c:pt idx="573">
                  <c:v>7.9936485165159796</c:v>
                </c:pt>
                <c:pt idx="574">
                  <c:v>8.02481729953635</c:v>
                </c:pt>
                <c:pt idx="575">
                  <c:v>8.0900204710551709</c:v>
                </c:pt>
                <c:pt idx="576">
                  <c:v>8.1200750825800601</c:v>
                </c:pt>
                <c:pt idx="577">
                  <c:v>8.0908562375790698</c:v>
                </c:pt>
                <c:pt idx="578">
                  <c:v>8.1894880456463497</c:v>
                </c:pt>
                <c:pt idx="579">
                  <c:v>8.1746256009757499</c:v>
                </c:pt>
                <c:pt idx="580">
                  <c:v>8.1694892716942</c:v>
                </c:pt>
                <c:pt idx="581">
                  <c:v>8.2176137541844003</c:v>
                </c:pt>
                <c:pt idx="582">
                  <c:v>8.1905625498218697</c:v>
                </c:pt>
                <c:pt idx="583">
                  <c:v>8.2376406287141908</c:v>
                </c:pt>
                <c:pt idx="584">
                  <c:v>8.2038100376635796</c:v>
                </c:pt>
                <c:pt idx="585">
                  <c:v>8.2747835618886096</c:v>
                </c:pt>
                <c:pt idx="586">
                  <c:v>8.4132834083057801</c:v>
                </c:pt>
                <c:pt idx="587">
                  <c:v>8.33080635172748</c:v>
                </c:pt>
                <c:pt idx="588">
                  <c:v>8.2986042378856197</c:v>
                </c:pt>
                <c:pt idx="589">
                  <c:v>8.3380530232041306</c:v>
                </c:pt>
                <c:pt idx="590">
                  <c:v>8.3904933983718095</c:v>
                </c:pt>
                <c:pt idx="591">
                  <c:v>8.4334170548925904</c:v>
                </c:pt>
                <c:pt idx="592">
                  <c:v>8.3087769294411995</c:v>
                </c:pt>
                <c:pt idx="593">
                  <c:v>8.3684087567777201</c:v>
                </c:pt>
                <c:pt idx="594">
                  <c:v>8.4338176045948003</c:v>
                </c:pt>
                <c:pt idx="595">
                  <c:v>8.5175137314717109</c:v>
                </c:pt>
                <c:pt idx="596">
                  <c:v>8.5066351262026707</c:v>
                </c:pt>
                <c:pt idx="597">
                  <c:v>8.5579573429394404</c:v>
                </c:pt>
                <c:pt idx="598">
                  <c:v>8.4847531475241205</c:v>
                </c:pt>
                <c:pt idx="599">
                  <c:v>8.6198694119228207</c:v>
                </c:pt>
                <c:pt idx="600">
                  <c:v>8.6979369033309801</c:v>
                </c:pt>
                <c:pt idx="601">
                  <c:v>8.7262520461698294</c:v>
                </c:pt>
                <c:pt idx="602">
                  <c:v>8.7569170636318407</c:v>
                </c:pt>
                <c:pt idx="603">
                  <c:v>8.7025659262919195</c:v>
                </c:pt>
                <c:pt idx="604">
                  <c:v>8.7210897103895508</c:v>
                </c:pt>
                <c:pt idx="605">
                  <c:v>8.7479762488291009</c:v>
                </c:pt>
                <c:pt idx="606">
                  <c:v>8.8518746897834202</c:v>
                </c:pt>
                <c:pt idx="607">
                  <c:v>8.7372472660771692</c:v>
                </c:pt>
                <c:pt idx="608">
                  <c:v>8.8431941501205902</c:v>
                </c:pt>
                <c:pt idx="609">
                  <c:v>8.9218214300643695</c:v>
                </c:pt>
                <c:pt idx="610">
                  <c:v>8.8490013925539799</c:v>
                </c:pt>
                <c:pt idx="611">
                  <c:v>8.8789672582258099</c:v>
                </c:pt>
                <c:pt idx="612">
                  <c:v>8.7831726567857995</c:v>
                </c:pt>
                <c:pt idx="613">
                  <c:v>8.9252102320566298</c:v>
                </c:pt>
                <c:pt idx="614">
                  <c:v>8.9780793043018505</c:v>
                </c:pt>
                <c:pt idx="615">
                  <c:v>9.0349206289475994</c:v>
                </c:pt>
                <c:pt idx="616">
                  <c:v>9.1415059611151896</c:v>
                </c:pt>
                <c:pt idx="617">
                  <c:v>9.1523016601913305</c:v>
                </c:pt>
                <c:pt idx="618">
                  <c:v>9.1218826825198303</c:v>
                </c:pt>
                <c:pt idx="619">
                  <c:v>9.1706478064678301</c:v>
                </c:pt>
                <c:pt idx="620">
                  <c:v>9.0504333944352702</c:v>
                </c:pt>
                <c:pt idx="621">
                  <c:v>9.1887853718843093</c:v>
                </c:pt>
                <c:pt idx="622">
                  <c:v>9.2176455119024201</c:v>
                </c:pt>
                <c:pt idx="623">
                  <c:v>9.2028552533315704</c:v>
                </c:pt>
                <c:pt idx="624">
                  <c:v>9.2440991057635404</c:v>
                </c:pt>
                <c:pt idx="625">
                  <c:v>9.2124284221595296</c:v>
                </c:pt>
                <c:pt idx="626">
                  <c:v>9.2804214457738894</c:v>
                </c:pt>
                <c:pt idx="627">
                  <c:v>9.2164825666045704</c:v>
                </c:pt>
                <c:pt idx="628">
                  <c:v>9.1498669434395197</c:v>
                </c:pt>
                <c:pt idx="629">
                  <c:v>9.3379461647059401</c:v>
                </c:pt>
                <c:pt idx="630">
                  <c:v>9.3548904360272598</c:v>
                </c:pt>
                <c:pt idx="631">
                  <c:v>9.4785982131236999</c:v>
                </c:pt>
                <c:pt idx="632">
                  <c:v>9.4449621385723006</c:v>
                </c:pt>
                <c:pt idx="633">
                  <c:v>9.5616114912945402</c:v>
                </c:pt>
                <c:pt idx="634">
                  <c:v>9.4776967545541204</c:v>
                </c:pt>
                <c:pt idx="635">
                  <c:v>9.3901875042490808</c:v>
                </c:pt>
                <c:pt idx="636">
                  <c:v>9.4706077878103496</c:v>
                </c:pt>
                <c:pt idx="637">
                  <c:v>9.38323943574885</c:v>
                </c:pt>
                <c:pt idx="638">
                  <c:v>9.4855984135502904</c:v>
                </c:pt>
                <c:pt idx="639">
                  <c:v>9.5717559342885696</c:v>
                </c:pt>
                <c:pt idx="640">
                  <c:v>9.6311216834515001</c:v>
                </c:pt>
                <c:pt idx="641">
                  <c:v>9.7466679752851402</c:v>
                </c:pt>
                <c:pt idx="642">
                  <c:v>9.6560122287822399</c:v>
                </c:pt>
                <c:pt idx="643">
                  <c:v>9.7008449838549993</c:v>
                </c:pt>
                <c:pt idx="644">
                  <c:v>9.4875939646329108</c:v>
                </c:pt>
                <c:pt idx="645">
                  <c:v>9.6583296035132395</c:v>
                </c:pt>
                <c:pt idx="646">
                  <c:v>9.5666765947888592</c:v>
                </c:pt>
                <c:pt idx="647">
                  <c:v>9.6444007000661696</c:v>
                </c:pt>
                <c:pt idx="648">
                  <c:v>9.7406152863567108</c:v>
                </c:pt>
                <c:pt idx="649">
                  <c:v>9.7571526755070508</c:v>
                </c:pt>
                <c:pt idx="650">
                  <c:v>9.7633114361623896</c:v>
                </c:pt>
                <c:pt idx="651">
                  <c:v>9.8605316677647696</c:v>
                </c:pt>
                <c:pt idx="652">
                  <c:v>9.9063083894302899</c:v>
                </c:pt>
                <c:pt idx="653">
                  <c:v>9.95878926316899</c:v>
                </c:pt>
                <c:pt idx="654">
                  <c:v>9.8492979354734</c:v>
                </c:pt>
                <c:pt idx="655">
                  <c:v>9.8956405689185498</c:v>
                </c:pt>
                <c:pt idx="656">
                  <c:v>9.9867660189788907</c:v>
                </c:pt>
                <c:pt idx="657">
                  <c:v>9.9290990966494892</c:v>
                </c:pt>
                <c:pt idx="658">
                  <c:v>9.9812792165065805</c:v>
                </c:pt>
                <c:pt idx="659">
                  <c:v>10.1836884433334</c:v>
                </c:pt>
                <c:pt idx="660">
                  <c:v>10.093872059885999</c:v>
                </c:pt>
                <c:pt idx="661">
                  <c:v>10.149764799546499</c:v>
                </c:pt>
                <c:pt idx="662">
                  <c:v>10.141160497635299</c:v>
                </c:pt>
                <c:pt idx="663">
                  <c:v>10.092120714341499</c:v>
                </c:pt>
                <c:pt idx="664">
                  <c:v>10.1318241099044</c:v>
                </c:pt>
                <c:pt idx="665">
                  <c:v>10.2013052369077</c:v>
                </c:pt>
                <c:pt idx="666">
                  <c:v>10.2500840049329</c:v>
                </c:pt>
                <c:pt idx="667">
                  <c:v>10.269967968492001</c:v>
                </c:pt>
                <c:pt idx="668">
                  <c:v>10.3433702078878</c:v>
                </c:pt>
                <c:pt idx="669">
                  <c:v>10.318819485622599</c:v>
                </c:pt>
                <c:pt idx="670">
                  <c:v>10.380097966852199</c:v>
                </c:pt>
                <c:pt idx="671">
                  <c:v>10.3003625808776</c:v>
                </c:pt>
                <c:pt idx="672">
                  <c:v>10.3231857875265</c:v>
                </c:pt>
                <c:pt idx="673">
                  <c:v>10.3196632700752</c:v>
                </c:pt>
                <c:pt idx="674">
                  <c:v>10.442318932518001</c:v>
                </c:pt>
                <c:pt idx="675">
                  <c:v>10.4380294036847</c:v>
                </c:pt>
                <c:pt idx="676">
                  <c:v>10.3425134090804</c:v>
                </c:pt>
                <c:pt idx="677">
                  <c:v>10.332990184242799</c:v>
                </c:pt>
                <c:pt idx="678">
                  <c:v>10.4792269656991</c:v>
                </c:pt>
                <c:pt idx="679">
                  <c:v>10.5749206466194</c:v>
                </c:pt>
                <c:pt idx="680">
                  <c:v>10.586816964911501</c:v>
                </c:pt>
                <c:pt idx="681">
                  <c:v>10.581300129696</c:v>
                </c:pt>
                <c:pt idx="682">
                  <c:v>10.642324759264</c:v>
                </c:pt>
                <c:pt idx="683">
                  <c:v>10.5631244773703</c:v>
                </c:pt>
                <c:pt idx="684">
                  <c:v>10.589092774416001</c:v>
                </c:pt>
                <c:pt idx="685">
                  <c:v>10.694666502695499</c:v>
                </c:pt>
                <c:pt idx="686">
                  <c:v>10.7817340736663</c:v>
                </c:pt>
                <c:pt idx="687">
                  <c:v>10.508426432074</c:v>
                </c:pt>
                <c:pt idx="688">
                  <c:v>10.5929046189578</c:v>
                </c:pt>
                <c:pt idx="689">
                  <c:v>10.658328875844299</c:v>
                </c:pt>
                <c:pt idx="690">
                  <c:v>10.7538621916718</c:v>
                </c:pt>
                <c:pt idx="691">
                  <c:v>10.8568381669142</c:v>
                </c:pt>
                <c:pt idx="692">
                  <c:v>10.8362189341087</c:v>
                </c:pt>
                <c:pt idx="693">
                  <c:v>10.8211522797691</c:v>
                </c:pt>
                <c:pt idx="694">
                  <c:v>10.906624431907399</c:v>
                </c:pt>
                <c:pt idx="695">
                  <c:v>10.881121624822001</c:v>
                </c:pt>
                <c:pt idx="696">
                  <c:v>10.8457289988383</c:v>
                </c:pt>
                <c:pt idx="697">
                  <c:v>10.835589147924001</c:v>
                </c:pt>
                <c:pt idx="698">
                  <c:v>10.8787992268014</c:v>
                </c:pt>
                <c:pt idx="699">
                  <c:v>10.9652694057297</c:v>
                </c:pt>
                <c:pt idx="700">
                  <c:v>11.144795853972701</c:v>
                </c:pt>
                <c:pt idx="701">
                  <c:v>11.0289550138513</c:v>
                </c:pt>
                <c:pt idx="702">
                  <c:v>11.0700916394623</c:v>
                </c:pt>
                <c:pt idx="703">
                  <c:v>11.2222973160341</c:v>
                </c:pt>
                <c:pt idx="704">
                  <c:v>11.134072555885901</c:v>
                </c:pt>
                <c:pt idx="705">
                  <c:v>11.0911873444925</c:v>
                </c:pt>
                <c:pt idx="706">
                  <c:v>10.855369796057699</c:v>
                </c:pt>
                <c:pt idx="707">
                  <c:v>11.1040673378218</c:v>
                </c:pt>
                <c:pt idx="708">
                  <c:v>11.137125904580399</c:v>
                </c:pt>
                <c:pt idx="709">
                  <c:v>11.218926053756499</c:v>
                </c:pt>
                <c:pt idx="710">
                  <c:v>11.3344984318211</c:v>
                </c:pt>
                <c:pt idx="711">
                  <c:v>11.187014159120499</c:v>
                </c:pt>
                <c:pt idx="712">
                  <c:v>11.299024592999301</c:v>
                </c:pt>
                <c:pt idx="713">
                  <c:v>11.376289732225199</c:v>
                </c:pt>
                <c:pt idx="714">
                  <c:v>11.2059892317723</c:v>
                </c:pt>
                <c:pt idx="715">
                  <c:v>11.2963766833624</c:v>
                </c:pt>
                <c:pt idx="716">
                  <c:v>11.412193951998299</c:v>
                </c:pt>
                <c:pt idx="717">
                  <c:v>11.3369540310142</c:v>
                </c:pt>
                <c:pt idx="718">
                  <c:v>11.396166189993901</c:v>
                </c:pt>
                <c:pt idx="719">
                  <c:v>11.396453631004899</c:v>
                </c:pt>
                <c:pt idx="720">
                  <c:v>11.3227320631203</c:v>
                </c:pt>
                <c:pt idx="721">
                  <c:v>11.376111385034401</c:v>
                </c:pt>
                <c:pt idx="722">
                  <c:v>11.425184078530799</c:v>
                </c:pt>
                <c:pt idx="723">
                  <c:v>11.4483007710322</c:v>
                </c:pt>
                <c:pt idx="724">
                  <c:v>11.6484597758592</c:v>
                </c:pt>
                <c:pt idx="725">
                  <c:v>11.6085837975227</c:v>
                </c:pt>
                <c:pt idx="726">
                  <c:v>11.6119713803194</c:v>
                </c:pt>
                <c:pt idx="727">
                  <c:v>11.6165934107333</c:v>
                </c:pt>
                <c:pt idx="728">
                  <c:v>11.668707036306399</c:v>
                </c:pt>
                <c:pt idx="729">
                  <c:v>11.487816336165</c:v>
                </c:pt>
                <c:pt idx="730">
                  <c:v>11.5410176069994</c:v>
                </c:pt>
                <c:pt idx="731">
                  <c:v>11.646126925440701</c:v>
                </c:pt>
                <c:pt idx="732">
                  <c:v>11.611075419739899</c:v>
                </c:pt>
                <c:pt idx="733">
                  <c:v>11.679880834452</c:v>
                </c:pt>
                <c:pt idx="734">
                  <c:v>11.7911729495233</c:v>
                </c:pt>
                <c:pt idx="735">
                  <c:v>11.8446782441588</c:v>
                </c:pt>
                <c:pt idx="736">
                  <c:v>11.8774746458671</c:v>
                </c:pt>
                <c:pt idx="737">
                  <c:v>11.953304009006199</c:v>
                </c:pt>
                <c:pt idx="738">
                  <c:v>11.915089941332299</c:v>
                </c:pt>
                <c:pt idx="739">
                  <c:v>11.847804274562799</c:v>
                </c:pt>
                <c:pt idx="740">
                  <c:v>11.927922727603899</c:v>
                </c:pt>
                <c:pt idx="741">
                  <c:v>11.9459317237049</c:v>
                </c:pt>
                <c:pt idx="742">
                  <c:v>12.0672419366746</c:v>
                </c:pt>
                <c:pt idx="743">
                  <c:v>11.9209479048313</c:v>
                </c:pt>
                <c:pt idx="744">
                  <c:v>11.9015377742613</c:v>
                </c:pt>
                <c:pt idx="745">
                  <c:v>11.928106770845201</c:v>
                </c:pt>
                <c:pt idx="746">
                  <c:v>11.9668658909298</c:v>
                </c:pt>
                <c:pt idx="747">
                  <c:v>12.0757884993614</c:v>
                </c:pt>
                <c:pt idx="748">
                  <c:v>12.0956309044566</c:v>
                </c:pt>
                <c:pt idx="749">
                  <c:v>12.120269126299499</c:v>
                </c:pt>
                <c:pt idx="750">
                  <c:v>12.1884408789258</c:v>
                </c:pt>
                <c:pt idx="751">
                  <c:v>12.1958344290426</c:v>
                </c:pt>
                <c:pt idx="752">
                  <c:v>12.332895411627099</c:v>
                </c:pt>
                <c:pt idx="753">
                  <c:v>12.185803698748501</c:v>
                </c:pt>
                <c:pt idx="754">
                  <c:v>12.2415821010299</c:v>
                </c:pt>
                <c:pt idx="755">
                  <c:v>12.2971959476835</c:v>
                </c:pt>
                <c:pt idx="756">
                  <c:v>12.224010997682001</c:v>
                </c:pt>
                <c:pt idx="757">
                  <c:v>12.3717410217542</c:v>
                </c:pt>
                <c:pt idx="758">
                  <c:v>12.375751642198701</c:v>
                </c:pt>
                <c:pt idx="759">
                  <c:v>12.2945726824081</c:v>
                </c:pt>
                <c:pt idx="760">
                  <c:v>12.2149530335512</c:v>
                </c:pt>
                <c:pt idx="761">
                  <c:v>12.244504772278299</c:v>
                </c:pt>
                <c:pt idx="762">
                  <c:v>12.3698885049648</c:v>
                </c:pt>
                <c:pt idx="763">
                  <c:v>12.4484906371727</c:v>
                </c:pt>
                <c:pt idx="764">
                  <c:v>12.3725625026409</c:v>
                </c:pt>
                <c:pt idx="765">
                  <c:v>12.4782947253478</c:v>
                </c:pt>
                <c:pt idx="766">
                  <c:v>12.5329683534446</c:v>
                </c:pt>
                <c:pt idx="767">
                  <c:v>12.5998124740621</c:v>
                </c:pt>
                <c:pt idx="768">
                  <c:v>12.6767990111759</c:v>
                </c:pt>
                <c:pt idx="769">
                  <c:v>12.713557520724001</c:v>
                </c:pt>
                <c:pt idx="770">
                  <c:v>12.5875810639977</c:v>
                </c:pt>
                <c:pt idx="771">
                  <c:v>12.516281960504401</c:v>
                </c:pt>
                <c:pt idx="772">
                  <c:v>12.568725693974001</c:v>
                </c:pt>
                <c:pt idx="773">
                  <c:v>12.570837840216001</c:v>
                </c:pt>
                <c:pt idx="774">
                  <c:v>12.7280269073171</c:v>
                </c:pt>
                <c:pt idx="775">
                  <c:v>12.6965180493566</c:v>
                </c:pt>
                <c:pt idx="776">
                  <c:v>12.6601317184136</c:v>
                </c:pt>
                <c:pt idx="777">
                  <c:v>12.612291115023099</c:v>
                </c:pt>
                <c:pt idx="778">
                  <c:v>12.691613661731299</c:v>
                </c:pt>
                <c:pt idx="779">
                  <c:v>12.7541891950129</c:v>
                </c:pt>
                <c:pt idx="780">
                  <c:v>12.608293279981501</c:v>
                </c:pt>
                <c:pt idx="781">
                  <c:v>12.619781990264499</c:v>
                </c:pt>
                <c:pt idx="782">
                  <c:v>12.6584252176071</c:v>
                </c:pt>
                <c:pt idx="783">
                  <c:v>12.724491475185699</c:v>
                </c:pt>
                <c:pt idx="784">
                  <c:v>12.796125751865199</c:v>
                </c:pt>
                <c:pt idx="785">
                  <c:v>12.7970526211076</c:v>
                </c:pt>
                <c:pt idx="786">
                  <c:v>12.871994398001601</c:v>
                </c:pt>
                <c:pt idx="787">
                  <c:v>12.897310183167701</c:v>
                </c:pt>
                <c:pt idx="788">
                  <c:v>12.9744969610528</c:v>
                </c:pt>
                <c:pt idx="789">
                  <c:v>12.970026116184201</c:v>
                </c:pt>
                <c:pt idx="790">
                  <c:v>12.7765955811791</c:v>
                </c:pt>
                <c:pt idx="791">
                  <c:v>12.8887131806807</c:v>
                </c:pt>
                <c:pt idx="792">
                  <c:v>12.812543875512301</c:v>
                </c:pt>
                <c:pt idx="793">
                  <c:v>12.670850358813301</c:v>
                </c:pt>
                <c:pt idx="794">
                  <c:v>12.853217747892099</c:v>
                </c:pt>
                <c:pt idx="795">
                  <c:v>12.9332113801456</c:v>
                </c:pt>
                <c:pt idx="796">
                  <c:v>12.975558257771</c:v>
                </c:pt>
                <c:pt idx="797">
                  <c:v>12.979971399781499</c:v>
                </c:pt>
                <c:pt idx="798">
                  <c:v>13.114796493958901</c:v>
                </c:pt>
                <c:pt idx="799">
                  <c:v>13.0680248673179</c:v>
                </c:pt>
                <c:pt idx="800">
                  <c:v>13.1182864239669</c:v>
                </c:pt>
                <c:pt idx="801">
                  <c:v>13.011927240818499</c:v>
                </c:pt>
                <c:pt idx="802">
                  <c:v>13.100644073761501</c:v>
                </c:pt>
                <c:pt idx="803">
                  <c:v>13.1569893684278</c:v>
                </c:pt>
                <c:pt idx="804">
                  <c:v>13.265979385808</c:v>
                </c:pt>
                <c:pt idx="805">
                  <c:v>13.117595602903499</c:v>
                </c:pt>
                <c:pt idx="806">
                  <c:v>13.109525800491999</c:v>
                </c:pt>
                <c:pt idx="807">
                  <c:v>13.199856167956</c:v>
                </c:pt>
                <c:pt idx="808">
                  <c:v>13.229418025781699</c:v>
                </c:pt>
                <c:pt idx="809">
                  <c:v>13.0339899911119</c:v>
                </c:pt>
                <c:pt idx="810">
                  <c:v>13.196848556760999</c:v>
                </c:pt>
                <c:pt idx="811">
                  <c:v>13.125233476697</c:v>
                </c:pt>
                <c:pt idx="812">
                  <c:v>13.1938459923135</c:v>
                </c:pt>
                <c:pt idx="813">
                  <c:v>13.2684354822371</c:v>
                </c:pt>
                <c:pt idx="814">
                  <c:v>13.363842388350699</c:v>
                </c:pt>
                <c:pt idx="815">
                  <c:v>13.379960686032501</c:v>
                </c:pt>
                <c:pt idx="816">
                  <c:v>13.3921743441548</c:v>
                </c:pt>
                <c:pt idx="817">
                  <c:v>13.4071748541059</c:v>
                </c:pt>
                <c:pt idx="818">
                  <c:v>13.332534062659199</c:v>
                </c:pt>
                <c:pt idx="819">
                  <c:v>13.531501032452301</c:v>
                </c:pt>
                <c:pt idx="820">
                  <c:v>13.252503309140801</c:v>
                </c:pt>
                <c:pt idx="821">
                  <c:v>13.3636963074044</c:v>
                </c:pt>
                <c:pt idx="822">
                  <c:v>13.3486231081742</c:v>
                </c:pt>
                <c:pt idx="823">
                  <c:v>13.2213815111662</c:v>
                </c:pt>
                <c:pt idx="824">
                  <c:v>13.3367796677879</c:v>
                </c:pt>
                <c:pt idx="825">
                  <c:v>13.246034214405899</c:v>
                </c:pt>
                <c:pt idx="826">
                  <c:v>13.3951392258002</c:v>
                </c:pt>
                <c:pt idx="827">
                  <c:v>13.451346399475399</c:v>
                </c:pt>
                <c:pt idx="828">
                  <c:v>13.632464473730501</c:v>
                </c:pt>
                <c:pt idx="829">
                  <c:v>13.4829398315898</c:v>
                </c:pt>
                <c:pt idx="830">
                  <c:v>13.4063883519198</c:v>
                </c:pt>
                <c:pt idx="831">
                  <c:v>13.3881752191306</c:v>
                </c:pt>
                <c:pt idx="832">
                  <c:v>13.5373759481735</c:v>
                </c:pt>
                <c:pt idx="833">
                  <c:v>13.7218813391663</c:v>
                </c:pt>
                <c:pt idx="834">
                  <c:v>13.595914203305499</c:v>
                </c:pt>
                <c:pt idx="835">
                  <c:v>13.730841063222901</c:v>
                </c:pt>
                <c:pt idx="836">
                  <c:v>13.692815012434901</c:v>
                </c:pt>
                <c:pt idx="837">
                  <c:v>13.694282100737899</c:v>
                </c:pt>
                <c:pt idx="838">
                  <c:v>13.7060686339186</c:v>
                </c:pt>
                <c:pt idx="839">
                  <c:v>13.654052573295701</c:v>
                </c:pt>
                <c:pt idx="840">
                  <c:v>13.749181094992</c:v>
                </c:pt>
                <c:pt idx="841">
                  <c:v>13.7640410790122</c:v>
                </c:pt>
                <c:pt idx="842">
                  <c:v>13.741674839048301</c:v>
                </c:pt>
                <c:pt idx="843">
                  <c:v>13.8246622908562</c:v>
                </c:pt>
                <c:pt idx="844">
                  <c:v>13.536139406650999</c:v>
                </c:pt>
                <c:pt idx="845">
                  <c:v>13.755770501673201</c:v>
                </c:pt>
                <c:pt idx="846">
                  <c:v>13.781076629114599</c:v>
                </c:pt>
                <c:pt idx="847">
                  <c:v>13.594561601642599</c:v>
                </c:pt>
                <c:pt idx="848">
                  <c:v>13.7224510636124</c:v>
                </c:pt>
                <c:pt idx="849">
                  <c:v>13.716947733462201</c:v>
                </c:pt>
                <c:pt idx="850">
                  <c:v>13.7142111383661</c:v>
                </c:pt>
                <c:pt idx="851">
                  <c:v>13.8271615662242</c:v>
                </c:pt>
                <c:pt idx="852">
                  <c:v>13.7553157005814</c:v>
                </c:pt>
                <c:pt idx="853">
                  <c:v>13.816909402873099</c:v>
                </c:pt>
                <c:pt idx="854">
                  <c:v>13.744222513986401</c:v>
                </c:pt>
                <c:pt idx="855">
                  <c:v>13.892542278933799</c:v>
                </c:pt>
                <c:pt idx="856">
                  <c:v>13.9193868409288</c:v>
                </c:pt>
                <c:pt idx="857">
                  <c:v>13.9456139956537</c:v>
                </c:pt>
                <c:pt idx="858">
                  <c:v>13.8392159743335</c:v>
                </c:pt>
                <c:pt idx="859">
                  <c:v>13.8616450936387</c:v>
                </c:pt>
                <c:pt idx="860">
                  <c:v>13.8612087269174</c:v>
                </c:pt>
                <c:pt idx="861">
                  <c:v>13.9744543758974</c:v>
                </c:pt>
                <c:pt idx="862">
                  <c:v>13.950636409093001</c:v>
                </c:pt>
                <c:pt idx="863">
                  <c:v>13.761876780153701</c:v>
                </c:pt>
                <c:pt idx="864">
                  <c:v>13.8101900041459</c:v>
                </c:pt>
                <c:pt idx="865">
                  <c:v>13.8729979480479</c:v>
                </c:pt>
                <c:pt idx="866">
                  <c:v>13.9879258968498</c:v>
                </c:pt>
                <c:pt idx="867">
                  <c:v>13.7396123732939</c:v>
                </c:pt>
                <c:pt idx="868">
                  <c:v>13.824715301016299</c:v>
                </c:pt>
                <c:pt idx="869">
                  <c:v>13.8924025743478</c:v>
                </c:pt>
                <c:pt idx="870">
                  <c:v>13.8988880243311</c:v>
                </c:pt>
                <c:pt idx="871">
                  <c:v>13.927140795083201</c:v>
                </c:pt>
                <c:pt idx="872">
                  <c:v>13.9634245850418</c:v>
                </c:pt>
                <c:pt idx="873">
                  <c:v>13.825795011774501</c:v>
                </c:pt>
                <c:pt idx="874">
                  <c:v>13.863552811411999</c:v>
                </c:pt>
                <c:pt idx="875">
                  <c:v>13.949884331468599</c:v>
                </c:pt>
                <c:pt idx="876">
                  <c:v>14.0076893295817</c:v>
                </c:pt>
                <c:pt idx="877">
                  <c:v>14.0104729719554</c:v>
                </c:pt>
                <c:pt idx="878">
                  <c:v>14.081687783407601</c:v>
                </c:pt>
                <c:pt idx="879">
                  <c:v>13.802247422573901</c:v>
                </c:pt>
                <c:pt idx="880">
                  <c:v>13.9454871854003</c:v>
                </c:pt>
                <c:pt idx="881">
                  <c:v>14.0706339255378</c:v>
                </c:pt>
                <c:pt idx="882">
                  <c:v>14.0221302000853</c:v>
                </c:pt>
                <c:pt idx="883">
                  <c:v>14.105753509559401</c:v>
                </c:pt>
                <c:pt idx="884">
                  <c:v>14.0617120245228</c:v>
                </c:pt>
                <c:pt idx="885">
                  <c:v>14.142049951908801</c:v>
                </c:pt>
                <c:pt idx="886">
                  <c:v>14.143276909426</c:v>
                </c:pt>
                <c:pt idx="887">
                  <c:v>14.115856217251601</c:v>
                </c:pt>
                <c:pt idx="888">
                  <c:v>14.052776029599601</c:v>
                </c:pt>
                <c:pt idx="889">
                  <c:v>14.1605325479479</c:v>
                </c:pt>
                <c:pt idx="890">
                  <c:v>14.117601600192</c:v>
                </c:pt>
                <c:pt idx="891">
                  <c:v>14.173201962310699</c:v>
                </c:pt>
                <c:pt idx="892">
                  <c:v>14.246450842778099</c:v>
                </c:pt>
                <c:pt idx="893">
                  <c:v>14.170705118200001</c:v>
                </c:pt>
                <c:pt idx="894">
                  <c:v>14.192283559751299</c:v>
                </c:pt>
                <c:pt idx="895">
                  <c:v>14.0845530527519</c:v>
                </c:pt>
                <c:pt idx="896">
                  <c:v>14.1117329691967</c:v>
                </c:pt>
                <c:pt idx="897">
                  <c:v>14.1125597918066</c:v>
                </c:pt>
                <c:pt idx="898">
                  <c:v>14.212920193859</c:v>
                </c:pt>
                <c:pt idx="899">
                  <c:v>14.3370922698762</c:v>
                </c:pt>
                <c:pt idx="900">
                  <c:v>14.231456533858299</c:v>
                </c:pt>
                <c:pt idx="901">
                  <c:v>14.1256436085738</c:v>
                </c:pt>
                <c:pt idx="902">
                  <c:v>14.112996637367999</c:v>
                </c:pt>
                <c:pt idx="903">
                  <c:v>14.2424689386868</c:v>
                </c:pt>
                <c:pt idx="904">
                  <c:v>14.1557792442861</c:v>
                </c:pt>
                <c:pt idx="905">
                  <c:v>14.212335647454699</c:v>
                </c:pt>
                <c:pt idx="906">
                  <c:v>14.179311689846401</c:v>
                </c:pt>
                <c:pt idx="907">
                  <c:v>14.135451131805</c:v>
                </c:pt>
                <c:pt idx="908">
                  <c:v>14.162832835107</c:v>
                </c:pt>
                <c:pt idx="909">
                  <c:v>14.1782505870883</c:v>
                </c:pt>
                <c:pt idx="910">
                  <c:v>14.214468731551699</c:v>
                </c:pt>
                <c:pt idx="911">
                  <c:v>14.1884704171229</c:v>
                </c:pt>
                <c:pt idx="912">
                  <c:v>14.1937641842584</c:v>
                </c:pt>
                <c:pt idx="913">
                  <c:v>14.158443518776201</c:v>
                </c:pt>
                <c:pt idx="914">
                  <c:v>14.2167233239892</c:v>
                </c:pt>
                <c:pt idx="915">
                  <c:v>14.0648438283073</c:v>
                </c:pt>
                <c:pt idx="916">
                  <c:v>14.119403674274499</c:v>
                </c:pt>
                <c:pt idx="917">
                  <c:v>14.1428547952508</c:v>
                </c:pt>
                <c:pt idx="918">
                  <c:v>14.109819896400399</c:v>
                </c:pt>
                <c:pt idx="919">
                  <c:v>14.138142074020999</c:v>
                </c:pt>
                <c:pt idx="920">
                  <c:v>14.139665487677799</c:v>
                </c:pt>
                <c:pt idx="921">
                  <c:v>14.144823531055801</c:v>
                </c:pt>
                <c:pt idx="922">
                  <c:v>13.962220271813001</c:v>
                </c:pt>
                <c:pt idx="923">
                  <c:v>14.115809841553499</c:v>
                </c:pt>
                <c:pt idx="924">
                  <c:v>14.0361178992238</c:v>
                </c:pt>
                <c:pt idx="925">
                  <c:v>14.132147266432501</c:v>
                </c:pt>
                <c:pt idx="926">
                  <c:v>14.1350486675782</c:v>
                </c:pt>
                <c:pt idx="927">
                  <c:v>14.132020862780699</c:v>
                </c:pt>
                <c:pt idx="928">
                  <c:v>14.217155580591999</c:v>
                </c:pt>
                <c:pt idx="929">
                  <c:v>14.1458775931006</c:v>
                </c:pt>
                <c:pt idx="930">
                  <c:v>14.171216827952801</c:v>
                </c:pt>
                <c:pt idx="931">
                  <c:v>14.187898651087201</c:v>
                </c:pt>
                <c:pt idx="932">
                  <c:v>14.2169155307139</c:v>
                </c:pt>
                <c:pt idx="933">
                  <c:v>14.262340889481999</c:v>
                </c:pt>
                <c:pt idx="934">
                  <c:v>14.2011063559113</c:v>
                </c:pt>
                <c:pt idx="935">
                  <c:v>14.189377793406299</c:v>
                </c:pt>
                <c:pt idx="936">
                  <c:v>14.0735940454407</c:v>
                </c:pt>
                <c:pt idx="937">
                  <c:v>14.2068049652623</c:v>
                </c:pt>
                <c:pt idx="938">
                  <c:v>14.1468011545841</c:v>
                </c:pt>
                <c:pt idx="939">
                  <c:v>14.2286073579752</c:v>
                </c:pt>
                <c:pt idx="940">
                  <c:v>14.2331725080114</c:v>
                </c:pt>
                <c:pt idx="941">
                  <c:v>14.159556290130499</c:v>
                </c:pt>
                <c:pt idx="942">
                  <c:v>14.143949006768199</c:v>
                </c:pt>
                <c:pt idx="943">
                  <c:v>14.2133791805086</c:v>
                </c:pt>
                <c:pt idx="944">
                  <c:v>14.266421353249999</c:v>
                </c:pt>
                <c:pt idx="945">
                  <c:v>14.2414967315268</c:v>
                </c:pt>
                <c:pt idx="946">
                  <c:v>14.203696584147201</c:v>
                </c:pt>
                <c:pt idx="947">
                  <c:v>14.212452626794599</c:v>
                </c:pt>
                <c:pt idx="948">
                  <c:v>14.1602594649758</c:v>
                </c:pt>
                <c:pt idx="949">
                  <c:v>14.1463209226009</c:v>
                </c:pt>
                <c:pt idx="950">
                  <c:v>14.175696951456301</c:v>
                </c:pt>
                <c:pt idx="951">
                  <c:v>14.2062682540917</c:v>
                </c:pt>
                <c:pt idx="952">
                  <c:v>14.0973366395688</c:v>
                </c:pt>
                <c:pt idx="953">
                  <c:v>14.147762119585</c:v>
                </c:pt>
                <c:pt idx="954">
                  <c:v>14.1738931149349</c:v>
                </c:pt>
                <c:pt idx="955">
                  <c:v>14.1288489675433</c:v>
                </c:pt>
                <c:pt idx="956">
                  <c:v>14.1955060202223</c:v>
                </c:pt>
                <c:pt idx="957">
                  <c:v>14.178216209259199</c:v>
                </c:pt>
                <c:pt idx="958">
                  <c:v>14.0321409507259</c:v>
                </c:pt>
                <c:pt idx="959">
                  <c:v>14.139723068627299</c:v>
                </c:pt>
                <c:pt idx="960">
                  <c:v>14.1210602766823</c:v>
                </c:pt>
                <c:pt idx="961">
                  <c:v>14.1832482942668</c:v>
                </c:pt>
                <c:pt idx="962">
                  <c:v>14.1605340313328</c:v>
                </c:pt>
                <c:pt idx="963">
                  <c:v>13.9904163271387</c:v>
                </c:pt>
                <c:pt idx="964">
                  <c:v>14.0854037774443</c:v>
                </c:pt>
                <c:pt idx="965">
                  <c:v>14.074029876002299</c:v>
                </c:pt>
                <c:pt idx="966">
                  <c:v>14.142468040977599</c:v>
                </c:pt>
                <c:pt idx="967">
                  <c:v>14.147007350035301</c:v>
                </c:pt>
                <c:pt idx="968">
                  <c:v>14.0757830211118</c:v>
                </c:pt>
                <c:pt idx="969">
                  <c:v>14.233436531824401</c:v>
                </c:pt>
                <c:pt idx="970">
                  <c:v>14.1642803856071</c:v>
                </c:pt>
                <c:pt idx="971">
                  <c:v>14.0663672630756</c:v>
                </c:pt>
                <c:pt idx="972">
                  <c:v>14.0977521089857</c:v>
                </c:pt>
                <c:pt idx="973">
                  <c:v>14.177895234160699</c:v>
                </c:pt>
                <c:pt idx="974">
                  <c:v>14.2081365158997</c:v>
                </c:pt>
                <c:pt idx="975">
                  <c:v>14.1349852439352</c:v>
                </c:pt>
                <c:pt idx="976">
                  <c:v>14.2060858395926</c:v>
                </c:pt>
                <c:pt idx="977">
                  <c:v>14.148992643851299</c:v>
                </c:pt>
                <c:pt idx="978">
                  <c:v>14.179985321221601</c:v>
                </c:pt>
                <c:pt idx="979">
                  <c:v>14.1879644126125</c:v>
                </c:pt>
                <c:pt idx="980">
                  <c:v>14.187816055806801</c:v>
                </c:pt>
                <c:pt idx="981">
                  <c:v>14.179024735285299</c:v>
                </c:pt>
                <c:pt idx="982">
                  <c:v>14.1847321482603</c:v>
                </c:pt>
                <c:pt idx="983">
                  <c:v>14.208334177272601</c:v>
                </c:pt>
                <c:pt idx="984">
                  <c:v>14.1259787670459</c:v>
                </c:pt>
                <c:pt idx="985">
                  <c:v>14.159360061667901</c:v>
                </c:pt>
                <c:pt idx="986">
                  <c:v>14.232032646462001</c:v>
                </c:pt>
                <c:pt idx="987">
                  <c:v>14.1569054965493</c:v>
                </c:pt>
                <c:pt idx="988">
                  <c:v>14.183645735988501</c:v>
                </c:pt>
                <c:pt idx="989">
                  <c:v>14.242705784281201</c:v>
                </c:pt>
                <c:pt idx="990">
                  <c:v>14.212321649445601</c:v>
                </c:pt>
                <c:pt idx="991">
                  <c:v>14.126966238745</c:v>
                </c:pt>
                <c:pt idx="992">
                  <c:v>14.165239528044699</c:v>
                </c:pt>
                <c:pt idx="993">
                  <c:v>14.1577679770994</c:v>
                </c:pt>
                <c:pt idx="994">
                  <c:v>14.1094541670642</c:v>
                </c:pt>
                <c:pt idx="995">
                  <c:v>14.227383709993999</c:v>
                </c:pt>
                <c:pt idx="996">
                  <c:v>14.239733070756801</c:v>
                </c:pt>
                <c:pt idx="997">
                  <c:v>14.0832982870153</c:v>
                </c:pt>
                <c:pt idx="998">
                  <c:v>14.131294095391199</c:v>
                </c:pt>
                <c:pt idx="999">
                  <c:v>14.1513833206544</c:v>
                </c:pt>
                <c:pt idx="1000">
                  <c:v>14.133418494012201</c:v>
                </c:pt>
                <c:pt idx="1001">
                  <c:v>14.1439571372762</c:v>
                </c:pt>
                <c:pt idx="1002">
                  <c:v>14.1801865534255</c:v>
                </c:pt>
                <c:pt idx="1003">
                  <c:v>14.078271311396101</c:v>
                </c:pt>
                <c:pt idx="1004">
                  <c:v>14.0188304869821</c:v>
                </c:pt>
                <c:pt idx="1005">
                  <c:v>14.110523698667899</c:v>
                </c:pt>
                <c:pt idx="1006">
                  <c:v>14.0740374455766</c:v>
                </c:pt>
                <c:pt idx="1007">
                  <c:v>14.0648271749626</c:v>
                </c:pt>
                <c:pt idx="1008">
                  <c:v>14.040653568718399</c:v>
                </c:pt>
                <c:pt idx="1009">
                  <c:v>14.1373421555565</c:v>
                </c:pt>
                <c:pt idx="1010">
                  <c:v>14.085507474329001</c:v>
                </c:pt>
                <c:pt idx="1011">
                  <c:v>14.060792918535901</c:v>
                </c:pt>
                <c:pt idx="1012">
                  <c:v>14.069987278286201</c:v>
                </c:pt>
                <c:pt idx="1013">
                  <c:v>14.008421621101601</c:v>
                </c:pt>
                <c:pt idx="1014">
                  <c:v>13.9963865336046</c:v>
                </c:pt>
                <c:pt idx="1015">
                  <c:v>14.0500929378103</c:v>
                </c:pt>
                <c:pt idx="1016">
                  <c:v>14.001545553839099</c:v>
                </c:pt>
                <c:pt idx="1017">
                  <c:v>14.0065576586608</c:v>
                </c:pt>
                <c:pt idx="1018">
                  <c:v>13.9878609584917</c:v>
                </c:pt>
                <c:pt idx="1019">
                  <c:v>14.065361185988399</c:v>
                </c:pt>
                <c:pt idx="1020">
                  <c:v>14.0515581669047</c:v>
                </c:pt>
                <c:pt idx="1021">
                  <c:v>14.0260583063514</c:v>
                </c:pt>
                <c:pt idx="1022">
                  <c:v>14.027589130996001</c:v>
                </c:pt>
                <c:pt idx="1023">
                  <c:v>14.0560164711551</c:v>
                </c:pt>
                <c:pt idx="1024">
                  <c:v>13.9860807625926</c:v>
                </c:pt>
                <c:pt idx="1025">
                  <c:v>13.9728735763372</c:v>
                </c:pt>
                <c:pt idx="1026">
                  <c:v>14.0037431551988</c:v>
                </c:pt>
                <c:pt idx="1027">
                  <c:v>14.010676196063001</c:v>
                </c:pt>
                <c:pt idx="1028">
                  <c:v>13.919978615089001</c:v>
                </c:pt>
                <c:pt idx="1029">
                  <c:v>13.996669192979001</c:v>
                </c:pt>
                <c:pt idx="1030">
                  <c:v>13.9765614252668</c:v>
                </c:pt>
                <c:pt idx="1031">
                  <c:v>13.968170898785701</c:v>
                </c:pt>
                <c:pt idx="1032">
                  <c:v>13.9595445715557</c:v>
                </c:pt>
                <c:pt idx="1033">
                  <c:v>13.9158705588407</c:v>
                </c:pt>
                <c:pt idx="1034">
                  <c:v>13.974597181032699</c:v>
                </c:pt>
                <c:pt idx="1035">
                  <c:v>13.9364685862773</c:v>
                </c:pt>
                <c:pt idx="1036">
                  <c:v>13.9880947920228</c:v>
                </c:pt>
                <c:pt idx="1037">
                  <c:v>13.9268274532517</c:v>
                </c:pt>
                <c:pt idx="1038">
                  <c:v>13.9599851243747</c:v>
                </c:pt>
                <c:pt idx="1039">
                  <c:v>13.847748413602501</c:v>
                </c:pt>
                <c:pt idx="1040">
                  <c:v>13.958797977004499</c:v>
                </c:pt>
                <c:pt idx="1041">
                  <c:v>13.940063912240401</c:v>
                </c:pt>
                <c:pt idx="1042">
                  <c:v>13.9454792647901</c:v>
                </c:pt>
                <c:pt idx="1043">
                  <c:v>13.9051877804523</c:v>
                </c:pt>
                <c:pt idx="1044">
                  <c:v>13.8563130075656</c:v>
                </c:pt>
                <c:pt idx="1045">
                  <c:v>13.9152603389756</c:v>
                </c:pt>
                <c:pt idx="1046">
                  <c:v>13.8826938923375</c:v>
                </c:pt>
                <c:pt idx="1047">
                  <c:v>13.8992973088915</c:v>
                </c:pt>
                <c:pt idx="1048">
                  <c:v>13.8988341745551</c:v>
                </c:pt>
                <c:pt idx="1049">
                  <c:v>13.922743535599899</c:v>
                </c:pt>
                <c:pt idx="1050">
                  <c:v>13.8665699970721</c:v>
                </c:pt>
                <c:pt idx="1051">
                  <c:v>13.870883027533001</c:v>
                </c:pt>
                <c:pt idx="1052">
                  <c:v>13.8446831726996</c:v>
                </c:pt>
                <c:pt idx="1053">
                  <c:v>13.8683930404557</c:v>
                </c:pt>
                <c:pt idx="1054">
                  <c:v>13.8328889411896</c:v>
                </c:pt>
                <c:pt idx="1055">
                  <c:v>13.831361018191799</c:v>
                </c:pt>
                <c:pt idx="1056">
                  <c:v>13.828430972322201</c:v>
                </c:pt>
                <c:pt idx="1057">
                  <c:v>13.832479967763501</c:v>
                </c:pt>
                <c:pt idx="1058">
                  <c:v>13.8413425867241</c:v>
                </c:pt>
                <c:pt idx="1059">
                  <c:v>13.7703160857632</c:v>
                </c:pt>
                <c:pt idx="1060">
                  <c:v>13.8306953800543</c:v>
                </c:pt>
                <c:pt idx="1061">
                  <c:v>13.8213801199839</c:v>
                </c:pt>
                <c:pt idx="1062">
                  <c:v>13.739699996491201</c:v>
                </c:pt>
                <c:pt idx="1063">
                  <c:v>13.8119399416188</c:v>
                </c:pt>
                <c:pt idx="1064">
                  <c:v>13.709582793136599</c:v>
                </c:pt>
                <c:pt idx="1065">
                  <c:v>13.811854547346901</c:v>
                </c:pt>
                <c:pt idx="1066">
                  <c:v>13.7703847833221</c:v>
                </c:pt>
                <c:pt idx="1067">
                  <c:v>13.777776935840601</c:v>
                </c:pt>
                <c:pt idx="1068">
                  <c:v>13.7653391611675</c:v>
                </c:pt>
                <c:pt idx="1069">
                  <c:v>13.737433713804799</c:v>
                </c:pt>
                <c:pt idx="1070">
                  <c:v>13.6694830948262</c:v>
                </c:pt>
                <c:pt idx="1071">
                  <c:v>13.7532186193613</c:v>
                </c:pt>
                <c:pt idx="1072">
                  <c:v>13.7169676625261</c:v>
                </c:pt>
                <c:pt idx="1073">
                  <c:v>13.7088708002084</c:v>
                </c:pt>
                <c:pt idx="1074">
                  <c:v>13.706988967961999</c:v>
                </c:pt>
                <c:pt idx="1075">
                  <c:v>13.721653426226601</c:v>
                </c:pt>
                <c:pt idx="1076">
                  <c:v>13.6751391393675</c:v>
                </c:pt>
                <c:pt idx="1077">
                  <c:v>13.6924133442723</c:v>
                </c:pt>
                <c:pt idx="1078">
                  <c:v>13.6964539899085</c:v>
                </c:pt>
                <c:pt idx="1079">
                  <c:v>13.657084766618199</c:v>
                </c:pt>
                <c:pt idx="1080">
                  <c:v>13.6377657659904</c:v>
                </c:pt>
                <c:pt idx="1081">
                  <c:v>13.718220658527899</c:v>
                </c:pt>
                <c:pt idx="1082">
                  <c:v>13.7073690176156</c:v>
                </c:pt>
                <c:pt idx="1083">
                  <c:v>13.657727193165799</c:v>
                </c:pt>
                <c:pt idx="1084">
                  <c:v>13.691498222137501</c:v>
                </c:pt>
                <c:pt idx="1085">
                  <c:v>13.7000589702127</c:v>
                </c:pt>
                <c:pt idx="1086">
                  <c:v>13.629372561051801</c:v>
                </c:pt>
                <c:pt idx="1087">
                  <c:v>13.646120759634</c:v>
                </c:pt>
                <c:pt idx="1088">
                  <c:v>13.640922964438101</c:v>
                </c:pt>
                <c:pt idx="1089">
                  <c:v>13.644523465909099</c:v>
                </c:pt>
                <c:pt idx="1090">
                  <c:v>13.61053897028</c:v>
                </c:pt>
                <c:pt idx="1091">
                  <c:v>13.6645048357239</c:v>
                </c:pt>
                <c:pt idx="1092">
                  <c:v>13.6215832664756</c:v>
                </c:pt>
                <c:pt idx="1093">
                  <c:v>13.685199476772899</c:v>
                </c:pt>
                <c:pt idx="1094">
                  <c:v>13.6326823200619</c:v>
                </c:pt>
                <c:pt idx="1095">
                  <c:v>13.541084236868601</c:v>
                </c:pt>
                <c:pt idx="1096">
                  <c:v>13.6197816670579</c:v>
                </c:pt>
                <c:pt idx="1097">
                  <c:v>13.5972975038959</c:v>
                </c:pt>
                <c:pt idx="1098">
                  <c:v>13.6263140820947</c:v>
                </c:pt>
                <c:pt idx="1099">
                  <c:v>13.6401211520334</c:v>
                </c:pt>
                <c:pt idx="1100">
                  <c:v>13.5899669248598</c:v>
                </c:pt>
                <c:pt idx="1101">
                  <c:v>13.6267688172332</c:v>
                </c:pt>
                <c:pt idx="1102">
                  <c:v>13.645494300403699</c:v>
                </c:pt>
                <c:pt idx="1103">
                  <c:v>13.6211536026748</c:v>
                </c:pt>
                <c:pt idx="1104">
                  <c:v>13.6223080815543</c:v>
                </c:pt>
                <c:pt idx="1105">
                  <c:v>13.5616377266445</c:v>
                </c:pt>
                <c:pt idx="1106">
                  <c:v>13.576029751644</c:v>
                </c:pt>
                <c:pt idx="1107">
                  <c:v>13.591972540044599</c:v>
                </c:pt>
                <c:pt idx="1108">
                  <c:v>13.5769954172304</c:v>
                </c:pt>
                <c:pt idx="1109">
                  <c:v>13.583090924864599</c:v>
                </c:pt>
                <c:pt idx="1110">
                  <c:v>13.599252985348899</c:v>
                </c:pt>
                <c:pt idx="1111">
                  <c:v>13.559772984285001</c:v>
                </c:pt>
                <c:pt idx="1112">
                  <c:v>13.556078169308099</c:v>
                </c:pt>
                <c:pt idx="1113">
                  <c:v>13.569986721118401</c:v>
                </c:pt>
                <c:pt idx="1114">
                  <c:v>13.574688906210399</c:v>
                </c:pt>
                <c:pt idx="1115">
                  <c:v>13.6151633602126</c:v>
                </c:pt>
                <c:pt idx="1116">
                  <c:v>13.5566068039761</c:v>
                </c:pt>
                <c:pt idx="1117">
                  <c:v>13.504245230130101</c:v>
                </c:pt>
                <c:pt idx="1118">
                  <c:v>13.544009802454999</c:v>
                </c:pt>
                <c:pt idx="1119">
                  <c:v>13.5747907467409</c:v>
                </c:pt>
                <c:pt idx="1120">
                  <c:v>13.539677282915401</c:v>
                </c:pt>
                <c:pt idx="1121">
                  <c:v>13.544928968269099</c:v>
                </c:pt>
                <c:pt idx="1122">
                  <c:v>13.495176397613401</c:v>
                </c:pt>
                <c:pt idx="1123">
                  <c:v>13.538767154080301</c:v>
                </c:pt>
                <c:pt idx="1124">
                  <c:v>13.547865477995</c:v>
                </c:pt>
                <c:pt idx="1125">
                  <c:v>13.524903514693399</c:v>
                </c:pt>
                <c:pt idx="1126">
                  <c:v>13.5196409684006</c:v>
                </c:pt>
                <c:pt idx="1127">
                  <c:v>13.5234156710455</c:v>
                </c:pt>
                <c:pt idx="1128">
                  <c:v>13.484761557103299</c:v>
                </c:pt>
                <c:pt idx="1129">
                  <c:v>13.5149043446012</c:v>
                </c:pt>
                <c:pt idx="1130">
                  <c:v>13.5064826279333</c:v>
                </c:pt>
                <c:pt idx="1131">
                  <c:v>13.486214884540599</c:v>
                </c:pt>
                <c:pt idx="1132">
                  <c:v>13.4634041054872</c:v>
                </c:pt>
                <c:pt idx="1133">
                  <c:v>13.4782663735638</c:v>
                </c:pt>
                <c:pt idx="1134">
                  <c:v>13.4500044948586</c:v>
                </c:pt>
                <c:pt idx="1135">
                  <c:v>13.4468351822727</c:v>
                </c:pt>
                <c:pt idx="1136">
                  <c:v>13.455072519397801</c:v>
                </c:pt>
                <c:pt idx="1137">
                  <c:v>13.4699318091647</c:v>
                </c:pt>
                <c:pt idx="1138">
                  <c:v>13.418490086332</c:v>
                </c:pt>
                <c:pt idx="1139">
                  <c:v>13.468940946763199</c:v>
                </c:pt>
                <c:pt idx="1140">
                  <c:v>13.4473149738691</c:v>
                </c:pt>
                <c:pt idx="1141">
                  <c:v>13.416840802517401</c:v>
                </c:pt>
                <c:pt idx="1142">
                  <c:v>13.4547557765714</c:v>
                </c:pt>
                <c:pt idx="1143">
                  <c:v>13.4465148075396</c:v>
                </c:pt>
                <c:pt idx="1144">
                  <c:v>13.3861331501449</c:v>
                </c:pt>
                <c:pt idx="1145">
                  <c:v>13.438512241342099</c:v>
                </c:pt>
                <c:pt idx="1146">
                  <c:v>13.4313418535847</c:v>
                </c:pt>
                <c:pt idx="1147">
                  <c:v>13.448878372567901</c:v>
                </c:pt>
                <c:pt idx="1148">
                  <c:v>13.377525572748601</c:v>
                </c:pt>
                <c:pt idx="1149">
                  <c:v>13.4256489203617</c:v>
                </c:pt>
                <c:pt idx="1150">
                  <c:v>13.437708713425501</c:v>
                </c:pt>
                <c:pt idx="1151">
                  <c:v>13.4384728139347</c:v>
                </c:pt>
                <c:pt idx="1152">
                  <c:v>13.4192311745942</c:v>
                </c:pt>
                <c:pt idx="1153">
                  <c:v>13.3992671238034</c:v>
                </c:pt>
                <c:pt idx="1154">
                  <c:v>13.3934534782772</c:v>
                </c:pt>
                <c:pt idx="1155">
                  <c:v>13.4372563072177</c:v>
                </c:pt>
                <c:pt idx="1156">
                  <c:v>13.4011300056177</c:v>
                </c:pt>
                <c:pt idx="1157">
                  <c:v>13.407379122582499</c:v>
                </c:pt>
                <c:pt idx="1158">
                  <c:v>13.3741302049102</c:v>
                </c:pt>
                <c:pt idx="1159">
                  <c:v>13.387023351987301</c:v>
                </c:pt>
                <c:pt idx="1160">
                  <c:v>13.378925980841601</c:v>
                </c:pt>
                <c:pt idx="1161">
                  <c:v>13.3883543464302</c:v>
                </c:pt>
                <c:pt idx="1162">
                  <c:v>13.392514175185999</c:v>
                </c:pt>
                <c:pt idx="1163">
                  <c:v>13.242914780702099</c:v>
                </c:pt>
                <c:pt idx="1164">
                  <c:v>13.3484915033099</c:v>
                </c:pt>
                <c:pt idx="1165">
                  <c:v>13.3624231699819</c:v>
                </c:pt>
                <c:pt idx="1166">
                  <c:v>13.3373667663438</c:v>
                </c:pt>
                <c:pt idx="1167">
                  <c:v>13.3571762625233</c:v>
                </c:pt>
                <c:pt idx="1168">
                  <c:v>13.3674310627918</c:v>
                </c:pt>
                <c:pt idx="1169">
                  <c:v>13.346863101606001</c:v>
                </c:pt>
                <c:pt idx="1170">
                  <c:v>13.4022968016505</c:v>
                </c:pt>
                <c:pt idx="1171">
                  <c:v>13.290327558123</c:v>
                </c:pt>
                <c:pt idx="1172">
                  <c:v>13.332542842001301</c:v>
                </c:pt>
                <c:pt idx="1173">
                  <c:v>13.3150152562364</c:v>
                </c:pt>
                <c:pt idx="1174">
                  <c:v>13.311994822092499</c:v>
                </c:pt>
                <c:pt idx="1175">
                  <c:v>13.3535217705425</c:v>
                </c:pt>
                <c:pt idx="1176">
                  <c:v>13.303920693953</c:v>
                </c:pt>
                <c:pt idx="1177">
                  <c:v>13.3209616241476</c:v>
                </c:pt>
                <c:pt idx="1178">
                  <c:v>13.281307839021199</c:v>
                </c:pt>
                <c:pt idx="1179">
                  <c:v>13.2828308365737</c:v>
                </c:pt>
                <c:pt idx="1180">
                  <c:v>13.3167558799951</c:v>
                </c:pt>
                <c:pt idx="1181">
                  <c:v>13.2743946876242</c:v>
                </c:pt>
                <c:pt idx="1182">
                  <c:v>13.259142218275301</c:v>
                </c:pt>
                <c:pt idx="1183">
                  <c:v>13.3168877476731</c:v>
                </c:pt>
                <c:pt idx="1184">
                  <c:v>13.309488517368999</c:v>
                </c:pt>
                <c:pt idx="1185">
                  <c:v>13.2981538824778</c:v>
                </c:pt>
                <c:pt idx="1186">
                  <c:v>13.242120781030501</c:v>
                </c:pt>
                <c:pt idx="1187">
                  <c:v>13.267429211088</c:v>
                </c:pt>
                <c:pt idx="1188">
                  <c:v>13.2800063527154</c:v>
                </c:pt>
                <c:pt idx="1189">
                  <c:v>13.2677947876274</c:v>
                </c:pt>
                <c:pt idx="1190">
                  <c:v>13.264926431480299</c:v>
                </c:pt>
                <c:pt idx="1191">
                  <c:v>13.274163941785501</c:v>
                </c:pt>
                <c:pt idx="1192">
                  <c:v>13.276305790745701</c:v>
                </c:pt>
                <c:pt idx="1193">
                  <c:v>13.2777545340273</c:v>
                </c:pt>
                <c:pt idx="1194">
                  <c:v>13.283896593288899</c:v>
                </c:pt>
                <c:pt idx="1195">
                  <c:v>13.265366850004501</c:v>
                </c:pt>
                <c:pt idx="1196">
                  <c:v>13.277916818578801</c:v>
                </c:pt>
                <c:pt idx="1197">
                  <c:v>13.2450003880005</c:v>
                </c:pt>
                <c:pt idx="1198">
                  <c:v>13.2138959030076</c:v>
                </c:pt>
                <c:pt idx="1199">
                  <c:v>13.213008139504501</c:v>
                </c:pt>
                <c:pt idx="1200">
                  <c:v>13.278163941810099</c:v>
                </c:pt>
                <c:pt idx="1201">
                  <c:v>13.2211255620148</c:v>
                </c:pt>
                <c:pt idx="1202">
                  <c:v>13.301122539741799</c:v>
                </c:pt>
                <c:pt idx="1203">
                  <c:v>13.1927550273699</c:v>
                </c:pt>
                <c:pt idx="1204">
                  <c:v>13.260768640327001</c:v>
                </c:pt>
                <c:pt idx="1205">
                  <c:v>13.2232595325966</c:v>
                </c:pt>
                <c:pt idx="1206">
                  <c:v>13.205629450632999</c:v>
                </c:pt>
                <c:pt idx="1207">
                  <c:v>13.1987817728637</c:v>
                </c:pt>
                <c:pt idx="1208">
                  <c:v>13.207689020962</c:v>
                </c:pt>
                <c:pt idx="1209">
                  <c:v>13.218316300568899</c:v>
                </c:pt>
                <c:pt idx="1210">
                  <c:v>13.174142800626999</c:v>
                </c:pt>
                <c:pt idx="1211">
                  <c:v>13.1654120621458</c:v>
                </c:pt>
                <c:pt idx="1212">
                  <c:v>13.126755625023501</c:v>
                </c:pt>
                <c:pt idx="1213">
                  <c:v>13.154747990496301</c:v>
                </c:pt>
                <c:pt idx="1214">
                  <c:v>13.164188220628899</c:v>
                </c:pt>
                <c:pt idx="1215">
                  <c:v>13.139179217856601</c:v>
                </c:pt>
                <c:pt idx="1216">
                  <c:v>13.155114650203</c:v>
                </c:pt>
                <c:pt idx="1217">
                  <c:v>13.1320236291788</c:v>
                </c:pt>
                <c:pt idx="1218">
                  <c:v>13.1274306190641</c:v>
                </c:pt>
                <c:pt idx="1219">
                  <c:v>13.1749891627694</c:v>
                </c:pt>
                <c:pt idx="1220">
                  <c:v>13.159987035697901</c:v>
                </c:pt>
                <c:pt idx="1221">
                  <c:v>13.1318778406139</c:v>
                </c:pt>
                <c:pt idx="1222">
                  <c:v>13.132503092152101</c:v>
                </c:pt>
                <c:pt idx="1223">
                  <c:v>13.092350679931601</c:v>
                </c:pt>
                <c:pt idx="1224">
                  <c:v>13.1385995680464</c:v>
                </c:pt>
                <c:pt idx="1225">
                  <c:v>13.0941014915356</c:v>
                </c:pt>
                <c:pt idx="1226">
                  <c:v>13.1076817980972</c:v>
                </c:pt>
                <c:pt idx="1227">
                  <c:v>13.033534943640699</c:v>
                </c:pt>
                <c:pt idx="1228">
                  <c:v>13.086977314286599</c:v>
                </c:pt>
                <c:pt idx="1229">
                  <c:v>13.0674137758943</c:v>
                </c:pt>
                <c:pt idx="1230">
                  <c:v>13.056043422702</c:v>
                </c:pt>
                <c:pt idx="1231">
                  <c:v>13.0896553593871</c:v>
                </c:pt>
                <c:pt idx="1232">
                  <c:v>13.091623486347</c:v>
                </c:pt>
                <c:pt idx="1233">
                  <c:v>13.087526112253</c:v>
                </c:pt>
                <c:pt idx="1234">
                  <c:v>13.0724046807909</c:v>
                </c:pt>
                <c:pt idx="1235">
                  <c:v>13.049542393195599</c:v>
                </c:pt>
                <c:pt idx="1236">
                  <c:v>13.0936399833324</c:v>
                </c:pt>
                <c:pt idx="1237">
                  <c:v>13.010324963833</c:v>
                </c:pt>
                <c:pt idx="1238">
                  <c:v>13.0690084259105</c:v>
                </c:pt>
                <c:pt idx="1239">
                  <c:v>13.0516154770164</c:v>
                </c:pt>
                <c:pt idx="1240">
                  <c:v>13.0476314739917</c:v>
                </c:pt>
                <c:pt idx="1241">
                  <c:v>13.051816433922101</c:v>
                </c:pt>
                <c:pt idx="1242">
                  <c:v>13.028731966099199</c:v>
                </c:pt>
                <c:pt idx="1243">
                  <c:v>13.025821620657499</c:v>
                </c:pt>
                <c:pt idx="1244">
                  <c:v>13.001696570765301</c:v>
                </c:pt>
                <c:pt idx="1245">
                  <c:v>13.0303989918339</c:v>
                </c:pt>
                <c:pt idx="1246">
                  <c:v>13.0228102829898</c:v>
                </c:pt>
                <c:pt idx="1247">
                  <c:v>13.0158273758409</c:v>
                </c:pt>
                <c:pt idx="1248">
                  <c:v>13.025332238108399</c:v>
                </c:pt>
                <c:pt idx="1249">
                  <c:v>12.9864919063473</c:v>
                </c:pt>
                <c:pt idx="1250">
                  <c:v>13.0125400391236</c:v>
                </c:pt>
                <c:pt idx="1251">
                  <c:v>12.9790276187394</c:v>
                </c:pt>
                <c:pt idx="1252">
                  <c:v>13.0490233351725</c:v>
                </c:pt>
                <c:pt idx="1253">
                  <c:v>12.9896643720028</c:v>
                </c:pt>
                <c:pt idx="1254">
                  <c:v>12.936886696738</c:v>
                </c:pt>
                <c:pt idx="1255">
                  <c:v>12.9802942957262</c:v>
                </c:pt>
                <c:pt idx="1256">
                  <c:v>12.987517928317001</c:v>
                </c:pt>
                <c:pt idx="1257">
                  <c:v>12.9986809723948</c:v>
                </c:pt>
                <c:pt idx="1258">
                  <c:v>13.0126092110951</c:v>
                </c:pt>
                <c:pt idx="1259">
                  <c:v>12.9595760566378</c:v>
                </c:pt>
                <c:pt idx="1260">
                  <c:v>12.949031679202299</c:v>
                </c:pt>
                <c:pt idx="1261">
                  <c:v>12.9674676342671</c:v>
                </c:pt>
                <c:pt idx="1262">
                  <c:v>12.915692676534601</c:v>
                </c:pt>
                <c:pt idx="1263">
                  <c:v>12.968981244402601</c:v>
                </c:pt>
                <c:pt idx="1264">
                  <c:v>12.9468881996518</c:v>
                </c:pt>
                <c:pt idx="1265">
                  <c:v>12.9499257266891</c:v>
                </c:pt>
                <c:pt idx="1266">
                  <c:v>12.949182624490501</c:v>
                </c:pt>
                <c:pt idx="1267">
                  <c:v>12.9556909487867</c:v>
                </c:pt>
                <c:pt idx="1268">
                  <c:v>12.9028302099697</c:v>
                </c:pt>
                <c:pt idx="1269">
                  <c:v>12.9267235112153</c:v>
                </c:pt>
                <c:pt idx="1270">
                  <c:v>12.922098485862801</c:v>
                </c:pt>
                <c:pt idx="1271">
                  <c:v>12.9067413976358</c:v>
                </c:pt>
                <c:pt idx="1272">
                  <c:v>12.923976672518499</c:v>
                </c:pt>
                <c:pt idx="1273">
                  <c:v>12.935634850755299</c:v>
                </c:pt>
                <c:pt idx="1274">
                  <c:v>12.907474566968499</c:v>
                </c:pt>
                <c:pt idx="1275">
                  <c:v>12.921467156086001</c:v>
                </c:pt>
                <c:pt idx="1276">
                  <c:v>12.925738593845599</c:v>
                </c:pt>
                <c:pt idx="1277">
                  <c:v>12.9030484005542</c:v>
                </c:pt>
                <c:pt idx="1278">
                  <c:v>12.916961832867599</c:v>
                </c:pt>
                <c:pt idx="1279">
                  <c:v>12.9147498820767</c:v>
                </c:pt>
                <c:pt idx="1280">
                  <c:v>12.8863400893967</c:v>
                </c:pt>
                <c:pt idx="1281">
                  <c:v>12.863064264117799</c:v>
                </c:pt>
                <c:pt idx="1282">
                  <c:v>12.8834301745998</c:v>
                </c:pt>
                <c:pt idx="1283">
                  <c:v>12.8699376901466</c:v>
                </c:pt>
                <c:pt idx="1284">
                  <c:v>12.906848993417301</c:v>
                </c:pt>
                <c:pt idx="1285">
                  <c:v>12.8664625305938</c:v>
                </c:pt>
                <c:pt idx="1286">
                  <c:v>12.863629215257401</c:v>
                </c:pt>
                <c:pt idx="1287">
                  <c:v>12.874147203341799</c:v>
                </c:pt>
                <c:pt idx="1288">
                  <c:v>12.863041599468</c:v>
                </c:pt>
                <c:pt idx="1289">
                  <c:v>12.8543225051009</c:v>
                </c:pt>
                <c:pt idx="1290">
                  <c:v>12.8267456841215</c:v>
                </c:pt>
                <c:pt idx="1291">
                  <c:v>12.8699751670953</c:v>
                </c:pt>
                <c:pt idx="1292">
                  <c:v>12.784058837746599</c:v>
                </c:pt>
                <c:pt idx="1293">
                  <c:v>12.8804785221968</c:v>
                </c:pt>
                <c:pt idx="1294">
                  <c:v>12.8535154100396</c:v>
                </c:pt>
                <c:pt idx="1295">
                  <c:v>12.850555170160501</c:v>
                </c:pt>
                <c:pt idx="1296">
                  <c:v>12.8615479691037</c:v>
                </c:pt>
                <c:pt idx="1297">
                  <c:v>12.8420380196322</c:v>
                </c:pt>
                <c:pt idx="1298">
                  <c:v>12.868817470297</c:v>
                </c:pt>
                <c:pt idx="1299">
                  <c:v>12.8240669138877</c:v>
                </c:pt>
                <c:pt idx="1300">
                  <c:v>12.826852311734299</c:v>
                </c:pt>
                <c:pt idx="1301">
                  <c:v>12.8043664019532</c:v>
                </c:pt>
                <c:pt idx="1302">
                  <c:v>12.853084879755</c:v>
                </c:pt>
                <c:pt idx="1303">
                  <c:v>12.8491852793502</c:v>
                </c:pt>
                <c:pt idx="1304">
                  <c:v>12.830185354364501</c:v>
                </c:pt>
                <c:pt idx="1305">
                  <c:v>12.805206850026799</c:v>
                </c:pt>
                <c:pt idx="1306">
                  <c:v>12.819508450893</c:v>
                </c:pt>
                <c:pt idx="1307">
                  <c:v>12.7972673273678</c:v>
                </c:pt>
                <c:pt idx="1308">
                  <c:v>12.801832317122001</c:v>
                </c:pt>
                <c:pt idx="1309">
                  <c:v>12.817939798276299</c:v>
                </c:pt>
                <c:pt idx="1310">
                  <c:v>12.742847382153601</c:v>
                </c:pt>
                <c:pt idx="1311">
                  <c:v>12.7976445015795</c:v>
                </c:pt>
                <c:pt idx="1312">
                  <c:v>12.798968528927301</c:v>
                </c:pt>
                <c:pt idx="1313">
                  <c:v>12.786718127774799</c:v>
                </c:pt>
                <c:pt idx="1314">
                  <c:v>12.7453812715202</c:v>
                </c:pt>
                <c:pt idx="1315">
                  <c:v>12.767749181426399</c:v>
                </c:pt>
                <c:pt idx="1316">
                  <c:v>12.802112752327901</c:v>
                </c:pt>
                <c:pt idx="1317">
                  <c:v>12.783814519434801</c:v>
                </c:pt>
                <c:pt idx="1318">
                  <c:v>12.725730247227199</c:v>
                </c:pt>
                <c:pt idx="1319">
                  <c:v>12.736007666346399</c:v>
                </c:pt>
                <c:pt idx="1320">
                  <c:v>12.7926234722089</c:v>
                </c:pt>
                <c:pt idx="1321">
                  <c:v>12.7122957636926</c:v>
                </c:pt>
                <c:pt idx="1322">
                  <c:v>12.783910292782901</c:v>
                </c:pt>
                <c:pt idx="1323">
                  <c:v>12.748456507109401</c:v>
                </c:pt>
                <c:pt idx="1324">
                  <c:v>12.686164250264101</c:v>
                </c:pt>
                <c:pt idx="1325">
                  <c:v>12.7294036980831</c:v>
                </c:pt>
                <c:pt idx="1326">
                  <c:v>12.7252173961202</c:v>
                </c:pt>
                <c:pt idx="1327">
                  <c:v>12.7374840851682</c:v>
                </c:pt>
                <c:pt idx="1328">
                  <c:v>12.685076369297001</c:v>
                </c:pt>
                <c:pt idx="1329">
                  <c:v>12.7200878228298</c:v>
                </c:pt>
                <c:pt idx="1330">
                  <c:v>12.737765703284801</c:v>
                </c:pt>
                <c:pt idx="1331">
                  <c:v>12.7277959590708</c:v>
                </c:pt>
                <c:pt idx="1332">
                  <c:v>12.7014623759164</c:v>
                </c:pt>
                <c:pt idx="1333">
                  <c:v>12.6718642895482</c:v>
                </c:pt>
                <c:pt idx="1334">
                  <c:v>12.7213347772379</c:v>
                </c:pt>
                <c:pt idx="1335">
                  <c:v>12.697788766423599</c:v>
                </c:pt>
                <c:pt idx="1336">
                  <c:v>12.6883052125284</c:v>
                </c:pt>
                <c:pt idx="1337">
                  <c:v>12.719642882440001</c:v>
                </c:pt>
                <c:pt idx="1338">
                  <c:v>12.7082396932873</c:v>
                </c:pt>
                <c:pt idx="1339">
                  <c:v>12.6733246658391</c:v>
                </c:pt>
                <c:pt idx="1340">
                  <c:v>12.6776077457135</c:v>
                </c:pt>
                <c:pt idx="1341">
                  <c:v>12.6249613142901</c:v>
                </c:pt>
                <c:pt idx="1342">
                  <c:v>12.6649551242855</c:v>
                </c:pt>
                <c:pt idx="1343">
                  <c:v>12.6614899335028</c:v>
                </c:pt>
                <c:pt idx="1344">
                  <c:v>12.7039656450964</c:v>
                </c:pt>
                <c:pt idx="1345">
                  <c:v>12.6955722341942</c:v>
                </c:pt>
                <c:pt idx="1346">
                  <c:v>12.670245579912899</c:v>
                </c:pt>
                <c:pt idx="1347">
                  <c:v>12.669942446550699</c:v>
                </c:pt>
                <c:pt idx="1348">
                  <c:v>12.6791407349107</c:v>
                </c:pt>
                <c:pt idx="1349">
                  <c:v>12.630731041497</c:v>
                </c:pt>
                <c:pt idx="1350">
                  <c:v>12.6982357389673</c:v>
                </c:pt>
                <c:pt idx="1351">
                  <c:v>12.635743579403</c:v>
                </c:pt>
                <c:pt idx="1352">
                  <c:v>12.700057425947699</c:v>
                </c:pt>
                <c:pt idx="1353">
                  <c:v>12.6598476972972</c:v>
                </c:pt>
                <c:pt idx="1354">
                  <c:v>12.652887275258999</c:v>
                </c:pt>
                <c:pt idx="1355">
                  <c:v>12.668779806289599</c:v>
                </c:pt>
                <c:pt idx="1356">
                  <c:v>12.678074974662501</c:v>
                </c:pt>
                <c:pt idx="1357">
                  <c:v>12.638173044143601</c:v>
                </c:pt>
                <c:pt idx="1358">
                  <c:v>12.629995566072401</c:v>
                </c:pt>
                <c:pt idx="1359">
                  <c:v>12.654738067165599</c:v>
                </c:pt>
                <c:pt idx="1360">
                  <c:v>12.6778258605032</c:v>
                </c:pt>
                <c:pt idx="1361">
                  <c:v>12.6049249900055</c:v>
                </c:pt>
                <c:pt idx="1362">
                  <c:v>12.636953202935899</c:v>
                </c:pt>
                <c:pt idx="1363">
                  <c:v>12.667575118401301</c:v>
                </c:pt>
                <c:pt idx="1364">
                  <c:v>12.5641317134312</c:v>
                </c:pt>
                <c:pt idx="1365">
                  <c:v>12.634859754669799</c:v>
                </c:pt>
                <c:pt idx="1366">
                  <c:v>12.5704574346271</c:v>
                </c:pt>
                <c:pt idx="1367">
                  <c:v>12.6634865491529</c:v>
                </c:pt>
                <c:pt idx="1368">
                  <c:v>12.5801913900759</c:v>
                </c:pt>
                <c:pt idx="1369">
                  <c:v>12.624978831122601</c:v>
                </c:pt>
                <c:pt idx="1370">
                  <c:v>12.5649679509409</c:v>
                </c:pt>
                <c:pt idx="1371">
                  <c:v>12.6117974674936</c:v>
                </c:pt>
                <c:pt idx="1372">
                  <c:v>12.587962567119799</c:v>
                </c:pt>
                <c:pt idx="1373">
                  <c:v>12.6129687412063</c:v>
                </c:pt>
                <c:pt idx="1374">
                  <c:v>12.571519452243299</c:v>
                </c:pt>
                <c:pt idx="1375">
                  <c:v>12.651979932228301</c:v>
                </c:pt>
                <c:pt idx="1376">
                  <c:v>12.6037162408832</c:v>
                </c:pt>
                <c:pt idx="1377">
                  <c:v>12.6188670583405</c:v>
                </c:pt>
                <c:pt idx="1378">
                  <c:v>12.5972850402779</c:v>
                </c:pt>
                <c:pt idx="1379">
                  <c:v>12.547219026853099</c:v>
                </c:pt>
                <c:pt idx="1380">
                  <c:v>12.5330358225303</c:v>
                </c:pt>
                <c:pt idx="1381">
                  <c:v>12.551092116410301</c:v>
                </c:pt>
                <c:pt idx="1382">
                  <c:v>12.585674050607899</c:v>
                </c:pt>
                <c:pt idx="1383">
                  <c:v>12.5613611454205</c:v>
                </c:pt>
                <c:pt idx="1384">
                  <c:v>12.5319649504649</c:v>
                </c:pt>
                <c:pt idx="1385">
                  <c:v>12.5717391418254</c:v>
                </c:pt>
                <c:pt idx="1386">
                  <c:v>12.6015087890444</c:v>
                </c:pt>
                <c:pt idx="1387">
                  <c:v>12.598926448653801</c:v>
                </c:pt>
                <c:pt idx="1388">
                  <c:v>12.4722043153636</c:v>
                </c:pt>
                <c:pt idx="1389">
                  <c:v>12.561933512256701</c:v>
                </c:pt>
                <c:pt idx="1390">
                  <c:v>12.5501191984948</c:v>
                </c:pt>
                <c:pt idx="1391">
                  <c:v>12.543581277210199</c:v>
                </c:pt>
                <c:pt idx="1392">
                  <c:v>12.5380778057205</c:v>
                </c:pt>
                <c:pt idx="1393">
                  <c:v>12.5573004985427</c:v>
                </c:pt>
                <c:pt idx="1394">
                  <c:v>12.4441390178156</c:v>
                </c:pt>
                <c:pt idx="1395">
                  <c:v>12.5324562789217</c:v>
                </c:pt>
                <c:pt idx="1396">
                  <c:v>12.536683269967799</c:v>
                </c:pt>
                <c:pt idx="1397">
                  <c:v>12.4953640676141</c:v>
                </c:pt>
                <c:pt idx="1398">
                  <c:v>12.530252646959401</c:v>
                </c:pt>
                <c:pt idx="1399">
                  <c:v>12.5113596831658</c:v>
                </c:pt>
                <c:pt idx="1400">
                  <c:v>12.470723071987299</c:v>
                </c:pt>
                <c:pt idx="1401">
                  <c:v>12.5278713056614</c:v>
                </c:pt>
                <c:pt idx="1402">
                  <c:v>12.519232264741801</c:v>
                </c:pt>
                <c:pt idx="1403">
                  <c:v>12.447972074427801</c:v>
                </c:pt>
                <c:pt idx="1404">
                  <c:v>12.489845064465699</c:v>
                </c:pt>
                <c:pt idx="1405">
                  <c:v>12.489294467935499</c:v>
                </c:pt>
                <c:pt idx="1406">
                  <c:v>12.4697136016556</c:v>
                </c:pt>
                <c:pt idx="1407">
                  <c:v>12.4216368515859</c:v>
                </c:pt>
                <c:pt idx="1408">
                  <c:v>12.4217715478727</c:v>
                </c:pt>
                <c:pt idx="1409">
                  <c:v>12.4645905637304</c:v>
                </c:pt>
                <c:pt idx="1410">
                  <c:v>12.548397139094</c:v>
                </c:pt>
                <c:pt idx="1411">
                  <c:v>12.434151200057199</c:v>
                </c:pt>
                <c:pt idx="1412">
                  <c:v>12.4634178432536</c:v>
                </c:pt>
                <c:pt idx="1413">
                  <c:v>12.507216702880401</c:v>
                </c:pt>
                <c:pt idx="1414">
                  <c:v>12.433056980841</c:v>
                </c:pt>
                <c:pt idx="1415">
                  <c:v>12.367153392546699</c:v>
                </c:pt>
                <c:pt idx="1416">
                  <c:v>12.4185014525657</c:v>
                </c:pt>
                <c:pt idx="1417">
                  <c:v>12.412410157070299</c:v>
                </c:pt>
                <c:pt idx="1418">
                  <c:v>12.4087232132506</c:v>
                </c:pt>
                <c:pt idx="1419">
                  <c:v>12.4077819188054</c:v>
                </c:pt>
                <c:pt idx="1420">
                  <c:v>12.423062612132</c:v>
                </c:pt>
                <c:pt idx="1421">
                  <c:v>12.439802496861899</c:v>
                </c:pt>
                <c:pt idx="1422">
                  <c:v>12.341186110352</c:v>
                </c:pt>
                <c:pt idx="1423">
                  <c:v>12.41834203837</c:v>
                </c:pt>
                <c:pt idx="1424">
                  <c:v>12.4155747783519</c:v>
                </c:pt>
                <c:pt idx="1425">
                  <c:v>12.367641008568199</c:v>
                </c:pt>
                <c:pt idx="1426">
                  <c:v>12.430011036900501</c:v>
                </c:pt>
                <c:pt idx="1427">
                  <c:v>12.371309297666899</c:v>
                </c:pt>
                <c:pt idx="1428">
                  <c:v>12.216512384119399</c:v>
                </c:pt>
                <c:pt idx="1429">
                  <c:v>12.388198642143699</c:v>
                </c:pt>
                <c:pt idx="1430">
                  <c:v>12.3220256183986</c:v>
                </c:pt>
                <c:pt idx="1431">
                  <c:v>12.3211887474995</c:v>
                </c:pt>
                <c:pt idx="1432">
                  <c:v>12.3398645854104</c:v>
                </c:pt>
                <c:pt idx="1433">
                  <c:v>12.3603079084064</c:v>
                </c:pt>
                <c:pt idx="1434">
                  <c:v>12.304289772664401</c:v>
                </c:pt>
                <c:pt idx="1435">
                  <c:v>12.3594801340705</c:v>
                </c:pt>
                <c:pt idx="1436">
                  <c:v>12.2928067229061</c:v>
                </c:pt>
                <c:pt idx="1437">
                  <c:v>12.2920462151059</c:v>
                </c:pt>
                <c:pt idx="1438">
                  <c:v>12.302017241795699</c:v>
                </c:pt>
                <c:pt idx="1439">
                  <c:v>12.341614639252001</c:v>
                </c:pt>
                <c:pt idx="1440">
                  <c:v>12.333005738620001</c:v>
                </c:pt>
                <c:pt idx="1441">
                  <c:v>12.332388462083999</c:v>
                </c:pt>
                <c:pt idx="1442">
                  <c:v>12.3385772820836</c:v>
                </c:pt>
                <c:pt idx="1443">
                  <c:v>12.327590479582501</c:v>
                </c:pt>
                <c:pt idx="1444">
                  <c:v>12.277316360416</c:v>
                </c:pt>
                <c:pt idx="1445">
                  <c:v>12.300127303636501</c:v>
                </c:pt>
                <c:pt idx="1446">
                  <c:v>12.240832353697201</c:v>
                </c:pt>
                <c:pt idx="1447">
                  <c:v>12.2694693448155</c:v>
                </c:pt>
                <c:pt idx="1448">
                  <c:v>12.2546439322262</c:v>
                </c:pt>
                <c:pt idx="1449">
                  <c:v>12.284708854425901</c:v>
                </c:pt>
                <c:pt idx="1450">
                  <c:v>12.3239616794156</c:v>
                </c:pt>
                <c:pt idx="1451">
                  <c:v>12.2500761138285</c:v>
                </c:pt>
                <c:pt idx="1452">
                  <c:v>12.2537499975599</c:v>
                </c:pt>
                <c:pt idx="1453">
                  <c:v>12.272462143400899</c:v>
                </c:pt>
                <c:pt idx="1454">
                  <c:v>12.270176460685599</c:v>
                </c:pt>
                <c:pt idx="1455">
                  <c:v>12.2857158519225</c:v>
                </c:pt>
                <c:pt idx="1456">
                  <c:v>12.2490685080865</c:v>
                </c:pt>
                <c:pt idx="1457">
                  <c:v>12.254999338168499</c:v>
                </c:pt>
                <c:pt idx="1458">
                  <c:v>12.328336632543699</c:v>
                </c:pt>
                <c:pt idx="1459">
                  <c:v>12.262130172890201</c:v>
                </c:pt>
                <c:pt idx="1460">
                  <c:v>12.3016594984932</c:v>
                </c:pt>
                <c:pt idx="1461">
                  <c:v>12.1985263050407</c:v>
                </c:pt>
                <c:pt idx="1462">
                  <c:v>12.149982161972</c:v>
                </c:pt>
                <c:pt idx="1463">
                  <c:v>12.2201193548836</c:v>
                </c:pt>
                <c:pt idx="1464">
                  <c:v>12.214171190687299</c:v>
                </c:pt>
                <c:pt idx="1465">
                  <c:v>12.221828756614601</c:v>
                </c:pt>
                <c:pt idx="1466">
                  <c:v>12.1825369474287</c:v>
                </c:pt>
                <c:pt idx="1467">
                  <c:v>12.1613694731869</c:v>
                </c:pt>
                <c:pt idx="1468">
                  <c:v>12.1683008195872</c:v>
                </c:pt>
                <c:pt idx="1469">
                  <c:v>12.1677669123229</c:v>
                </c:pt>
                <c:pt idx="1470">
                  <c:v>12.024665483938501</c:v>
                </c:pt>
                <c:pt idx="1471">
                  <c:v>12.170652433468099</c:v>
                </c:pt>
                <c:pt idx="1472">
                  <c:v>12.1733013073721</c:v>
                </c:pt>
                <c:pt idx="1473">
                  <c:v>12.194095984591099</c:v>
                </c:pt>
                <c:pt idx="1474">
                  <c:v>12.213260458495199</c:v>
                </c:pt>
                <c:pt idx="1475">
                  <c:v>12.177388399578</c:v>
                </c:pt>
                <c:pt idx="1476">
                  <c:v>12.1002407287772</c:v>
                </c:pt>
                <c:pt idx="1477">
                  <c:v>12.0435245662998</c:v>
                </c:pt>
                <c:pt idx="1478">
                  <c:v>11.9928389788156</c:v>
                </c:pt>
                <c:pt idx="1479">
                  <c:v>11.8934302453598</c:v>
                </c:pt>
                <c:pt idx="1480">
                  <c:v>11.9468357166387</c:v>
                </c:pt>
                <c:pt idx="1481">
                  <c:v>11.982810324608099</c:v>
                </c:pt>
                <c:pt idx="1482">
                  <c:v>11.880947713174301</c:v>
                </c:pt>
                <c:pt idx="1483">
                  <c:v>11.8647725326139</c:v>
                </c:pt>
                <c:pt idx="1484">
                  <c:v>11.9512449135569</c:v>
                </c:pt>
                <c:pt idx="1485">
                  <c:v>12.027334389793699</c:v>
                </c:pt>
                <c:pt idx="1486">
                  <c:v>11.9366962689522</c:v>
                </c:pt>
                <c:pt idx="1487">
                  <c:v>11.8615116747487</c:v>
                </c:pt>
                <c:pt idx="1488">
                  <c:v>11.8773219369078</c:v>
                </c:pt>
                <c:pt idx="1489">
                  <c:v>11.838902482524</c:v>
                </c:pt>
                <c:pt idx="1490">
                  <c:v>11.843081979745699</c:v>
                </c:pt>
                <c:pt idx="1491">
                  <c:v>11.872416520339</c:v>
                </c:pt>
                <c:pt idx="1492">
                  <c:v>11.881410677784899</c:v>
                </c:pt>
                <c:pt idx="1493">
                  <c:v>11.8356367772609</c:v>
                </c:pt>
                <c:pt idx="1494">
                  <c:v>11.801573371422499</c:v>
                </c:pt>
                <c:pt idx="1495">
                  <c:v>11.855190157524801</c:v>
                </c:pt>
                <c:pt idx="1496">
                  <c:v>11.8365129216775</c:v>
                </c:pt>
                <c:pt idx="1497">
                  <c:v>11.832882422733899</c:v>
                </c:pt>
                <c:pt idx="1498">
                  <c:v>11.8087588016268</c:v>
                </c:pt>
                <c:pt idx="1499">
                  <c:v>11.817220669457001</c:v>
                </c:pt>
                <c:pt idx="1500">
                  <c:v>11.799617427227499</c:v>
                </c:pt>
                <c:pt idx="1501">
                  <c:v>11.875013005719101</c:v>
                </c:pt>
                <c:pt idx="1502">
                  <c:v>11.8475840341357</c:v>
                </c:pt>
                <c:pt idx="1503">
                  <c:v>11.875282056669599</c:v>
                </c:pt>
                <c:pt idx="1504">
                  <c:v>11.8717055343804</c:v>
                </c:pt>
                <c:pt idx="1505">
                  <c:v>11.816283212308701</c:v>
                </c:pt>
                <c:pt idx="1506">
                  <c:v>11.8346533022595</c:v>
                </c:pt>
                <c:pt idx="1507">
                  <c:v>11.841751846839101</c:v>
                </c:pt>
                <c:pt idx="1508">
                  <c:v>11.8015362212327</c:v>
                </c:pt>
                <c:pt idx="1509">
                  <c:v>11.8207536636695</c:v>
                </c:pt>
                <c:pt idx="1510">
                  <c:v>11.822845350984799</c:v>
                </c:pt>
                <c:pt idx="1511">
                  <c:v>11.8105389827209</c:v>
                </c:pt>
                <c:pt idx="1512">
                  <c:v>11.833245360114701</c:v>
                </c:pt>
                <c:pt idx="1513">
                  <c:v>11.8042483644524</c:v>
                </c:pt>
                <c:pt idx="1514">
                  <c:v>11.7176625765411</c:v>
                </c:pt>
                <c:pt idx="1515">
                  <c:v>11.7068366589516</c:v>
                </c:pt>
                <c:pt idx="1516">
                  <c:v>11.676310830743599</c:v>
                </c:pt>
                <c:pt idx="1517">
                  <c:v>11.667975687289999</c:v>
                </c:pt>
                <c:pt idx="1518">
                  <c:v>11.668372927028701</c:v>
                </c:pt>
                <c:pt idx="1519">
                  <c:v>11.69973020055</c:v>
                </c:pt>
                <c:pt idx="1520">
                  <c:v>11.5526418468956</c:v>
                </c:pt>
                <c:pt idx="1521">
                  <c:v>11.5435827889364</c:v>
                </c:pt>
                <c:pt idx="1522">
                  <c:v>11.6360836620249</c:v>
                </c:pt>
                <c:pt idx="1523">
                  <c:v>11.6206696987339</c:v>
                </c:pt>
                <c:pt idx="1524">
                  <c:v>11.609905356073501</c:v>
                </c:pt>
                <c:pt idx="1525">
                  <c:v>11.575148226391001</c:v>
                </c:pt>
                <c:pt idx="1526">
                  <c:v>11.5743203351101</c:v>
                </c:pt>
                <c:pt idx="1527">
                  <c:v>11.5920013330158</c:v>
                </c:pt>
                <c:pt idx="1528">
                  <c:v>11.6103436951784</c:v>
                </c:pt>
                <c:pt idx="1529">
                  <c:v>11.6086738438045</c:v>
                </c:pt>
                <c:pt idx="1530">
                  <c:v>11.518640708798699</c:v>
                </c:pt>
                <c:pt idx="1531">
                  <c:v>11.480191182908801</c:v>
                </c:pt>
                <c:pt idx="1532">
                  <c:v>11.5542385576067</c:v>
                </c:pt>
                <c:pt idx="1533">
                  <c:v>11.598459217748401</c:v>
                </c:pt>
                <c:pt idx="1534">
                  <c:v>11.4595536779269</c:v>
                </c:pt>
                <c:pt idx="1535">
                  <c:v>11.481961765989199</c:v>
                </c:pt>
                <c:pt idx="1536">
                  <c:v>11.401890293657599</c:v>
                </c:pt>
                <c:pt idx="1537">
                  <c:v>11.482304644196301</c:v>
                </c:pt>
                <c:pt idx="1538">
                  <c:v>11.473686595638799</c:v>
                </c:pt>
                <c:pt idx="1539">
                  <c:v>11.485055706461401</c:v>
                </c:pt>
                <c:pt idx="1540">
                  <c:v>11.5249467739457</c:v>
                </c:pt>
                <c:pt idx="1541">
                  <c:v>11.422157208388199</c:v>
                </c:pt>
                <c:pt idx="1542">
                  <c:v>11.4600384221072</c:v>
                </c:pt>
                <c:pt idx="1543">
                  <c:v>11.424492353855699</c:v>
                </c:pt>
                <c:pt idx="1544">
                  <c:v>11.3883815303736</c:v>
                </c:pt>
                <c:pt idx="1545">
                  <c:v>11.404255932462799</c:v>
                </c:pt>
                <c:pt idx="1546">
                  <c:v>11.282874750030301</c:v>
                </c:pt>
                <c:pt idx="1547">
                  <c:v>11.2714398629476</c:v>
                </c:pt>
                <c:pt idx="1548">
                  <c:v>11.350072681473099</c:v>
                </c:pt>
                <c:pt idx="1549">
                  <c:v>11.386528788021501</c:v>
                </c:pt>
                <c:pt idx="1550">
                  <c:v>11.4396052121318</c:v>
                </c:pt>
                <c:pt idx="1551">
                  <c:v>11.388665035165101</c:v>
                </c:pt>
                <c:pt idx="1552">
                  <c:v>11.358770588413501</c:v>
                </c:pt>
                <c:pt idx="1553">
                  <c:v>11.366950927455299</c:v>
                </c:pt>
                <c:pt idx="1554">
                  <c:v>11.207002815148799</c:v>
                </c:pt>
                <c:pt idx="1555">
                  <c:v>11.2262865969732</c:v>
                </c:pt>
                <c:pt idx="1556">
                  <c:v>11.3195870258676</c:v>
                </c:pt>
                <c:pt idx="1557">
                  <c:v>11.180284269838101</c:v>
                </c:pt>
                <c:pt idx="1558">
                  <c:v>11.1837432217414</c:v>
                </c:pt>
                <c:pt idx="1559">
                  <c:v>11.2008278170977</c:v>
                </c:pt>
                <c:pt idx="1560">
                  <c:v>11.2602099940817</c:v>
                </c:pt>
                <c:pt idx="1561">
                  <c:v>11.278172385072899</c:v>
                </c:pt>
                <c:pt idx="1562">
                  <c:v>11.2645241796011</c:v>
                </c:pt>
                <c:pt idx="1563">
                  <c:v>11.2035594272896</c:v>
                </c:pt>
                <c:pt idx="1564">
                  <c:v>11.1970136761294</c:v>
                </c:pt>
                <c:pt idx="1565">
                  <c:v>11.180921780494799</c:v>
                </c:pt>
                <c:pt idx="1566">
                  <c:v>11.099111276920899</c:v>
                </c:pt>
                <c:pt idx="1567">
                  <c:v>11.1755091170575</c:v>
                </c:pt>
                <c:pt idx="1568">
                  <c:v>11.1604693612476</c:v>
                </c:pt>
                <c:pt idx="1569">
                  <c:v>11.1707045797119</c:v>
                </c:pt>
                <c:pt idx="1570">
                  <c:v>11.213662107514301</c:v>
                </c:pt>
                <c:pt idx="1571">
                  <c:v>11.103358531401801</c:v>
                </c:pt>
                <c:pt idx="1572">
                  <c:v>11.109087701639901</c:v>
                </c:pt>
                <c:pt idx="1573">
                  <c:v>11.2329401791135</c:v>
                </c:pt>
                <c:pt idx="1574">
                  <c:v>11.181681165723401</c:v>
                </c:pt>
                <c:pt idx="1575">
                  <c:v>11.137691261991201</c:v>
                </c:pt>
                <c:pt idx="1576">
                  <c:v>10.955755964767301</c:v>
                </c:pt>
                <c:pt idx="1577">
                  <c:v>10.9307201424035</c:v>
                </c:pt>
                <c:pt idx="1578">
                  <c:v>10.9617451697164</c:v>
                </c:pt>
                <c:pt idx="1579">
                  <c:v>10.9553900515847</c:v>
                </c:pt>
                <c:pt idx="1580">
                  <c:v>11.0310541267367</c:v>
                </c:pt>
                <c:pt idx="1581">
                  <c:v>10.9621408993938</c:v>
                </c:pt>
                <c:pt idx="1582">
                  <c:v>10.9662229993636</c:v>
                </c:pt>
                <c:pt idx="1583">
                  <c:v>10.954255661666</c:v>
                </c:pt>
                <c:pt idx="1584">
                  <c:v>10.990417427418301</c:v>
                </c:pt>
                <c:pt idx="1585">
                  <c:v>10.9920728415612</c:v>
                </c:pt>
                <c:pt idx="1586">
                  <c:v>11.008617786290401</c:v>
                </c:pt>
                <c:pt idx="1587">
                  <c:v>11.086239388557299</c:v>
                </c:pt>
                <c:pt idx="1588">
                  <c:v>10.8976450724142</c:v>
                </c:pt>
                <c:pt idx="1589">
                  <c:v>10.9361625161237</c:v>
                </c:pt>
                <c:pt idx="1590">
                  <c:v>10.841267551628899</c:v>
                </c:pt>
                <c:pt idx="1591">
                  <c:v>10.835912354780399</c:v>
                </c:pt>
                <c:pt idx="1592">
                  <c:v>10.8735752032165</c:v>
                </c:pt>
                <c:pt idx="1593">
                  <c:v>10.8595082703422</c:v>
                </c:pt>
                <c:pt idx="1594">
                  <c:v>10.954641454813</c:v>
                </c:pt>
                <c:pt idx="1595">
                  <c:v>10.958376539529</c:v>
                </c:pt>
                <c:pt idx="1596">
                  <c:v>10.7865828959363</c:v>
                </c:pt>
                <c:pt idx="1597">
                  <c:v>10.739661401807201</c:v>
                </c:pt>
                <c:pt idx="1598">
                  <c:v>10.7994496900776</c:v>
                </c:pt>
                <c:pt idx="1599">
                  <c:v>10.7251651637054</c:v>
                </c:pt>
                <c:pt idx="1600">
                  <c:v>10.7508550674674</c:v>
                </c:pt>
                <c:pt idx="1601">
                  <c:v>10.752469430756801</c:v>
                </c:pt>
                <c:pt idx="1602">
                  <c:v>10.8061797878054</c:v>
                </c:pt>
                <c:pt idx="1603">
                  <c:v>10.8349077530216</c:v>
                </c:pt>
                <c:pt idx="1604">
                  <c:v>10.7381008944075</c:v>
                </c:pt>
                <c:pt idx="1605">
                  <c:v>10.745338889669799</c:v>
                </c:pt>
                <c:pt idx="1606">
                  <c:v>10.6511718184499</c:v>
                </c:pt>
                <c:pt idx="1607">
                  <c:v>10.750097892145201</c:v>
                </c:pt>
                <c:pt idx="1608">
                  <c:v>10.769445002059101</c:v>
                </c:pt>
                <c:pt idx="1609">
                  <c:v>10.8826195287229</c:v>
                </c:pt>
                <c:pt idx="1610">
                  <c:v>10.750866290233899</c:v>
                </c:pt>
                <c:pt idx="1611">
                  <c:v>10.668201350444599</c:v>
                </c:pt>
                <c:pt idx="1612">
                  <c:v>10.692745133689799</c:v>
                </c:pt>
                <c:pt idx="1613">
                  <c:v>10.6226653437734</c:v>
                </c:pt>
                <c:pt idx="1614">
                  <c:v>10.6902858059187</c:v>
                </c:pt>
                <c:pt idx="1615">
                  <c:v>10.660634993735901</c:v>
                </c:pt>
                <c:pt idx="1616">
                  <c:v>10.6982228995046</c:v>
                </c:pt>
                <c:pt idx="1617">
                  <c:v>10.6396151109493</c:v>
                </c:pt>
                <c:pt idx="1618">
                  <c:v>10.591550983484</c:v>
                </c:pt>
                <c:pt idx="1619">
                  <c:v>10.668160056496699</c:v>
                </c:pt>
                <c:pt idx="1620">
                  <c:v>10.6265440392812</c:v>
                </c:pt>
                <c:pt idx="1621">
                  <c:v>10.5960848418434</c:v>
                </c:pt>
                <c:pt idx="1622">
                  <c:v>10.636381645509701</c:v>
                </c:pt>
                <c:pt idx="1623">
                  <c:v>10.5123178894177</c:v>
                </c:pt>
                <c:pt idx="1624">
                  <c:v>10.61430640883</c:v>
                </c:pt>
                <c:pt idx="1625">
                  <c:v>10.442886177852801</c:v>
                </c:pt>
                <c:pt idx="1626">
                  <c:v>10.477026090353499</c:v>
                </c:pt>
                <c:pt idx="1627">
                  <c:v>10.4277759260852</c:v>
                </c:pt>
                <c:pt idx="1628">
                  <c:v>10.3987134688486</c:v>
                </c:pt>
                <c:pt idx="1629">
                  <c:v>10.4479112698611</c:v>
                </c:pt>
                <c:pt idx="1630">
                  <c:v>10.5689613668406</c:v>
                </c:pt>
                <c:pt idx="1631">
                  <c:v>10.510447680758499</c:v>
                </c:pt>
                <c:pt idx="1632">
                  <c:v>10.320187159442</c:v>
                </c:pt>
                <c:pt idx="1633">
                  <c:v>10.428220577638999</c:v>
                </c:pt>
                <c:pt idx="1634">
                  <c:v>10.474455550158501</c:v>
                </c:pt>
                <c:pt idx="1635">
                  <c:v>10.5226733932538</c:v>
                </c:pt>
                <c:pt idx="1636">
                  <c:v>10.4850857680381</c:v>
                </c:pt>
                <c:pt idx="1637">
                  <c:v>10.283379042361901</c:v>
                </c:pt>
                <c:pt idx="1638">
                  <c:v>10.3653979554242</c:v>
                </c:pt>
                <c:pt idx="1639">
                  <c:v>10.4044768462762</c:v>
                </c:pt>
                <c:pt idx="1640">
                  <c:v>10.308894645690099</c:v>
                </c:pt>
                <c:pt idx="1641">
                  <c:v>10.3084088647912</c:v>
                </c:pt>
                <c:pt idx="1642">
                  <c:v>10.3120746903005</c:v>
                </c:pt>
                <c:pt idx="1643">
                  <c:v>10.4074919251215</c:v>
                </c:pt>
                <c:pt idx="1644">
                  <c:v>10.3341626021619</c:v>
                </c:pt>
                <c:pt idx="1645">
                  <c:v>10.4180580676662</c:v>
                </c:pt>
                <c:pt idx="1646">
                  <c:v>10.347034642151399</c:v>
                </c:pt>
                <c:pt idx="1647">
                  <c:v>10.1800946541426</c:v>
                </c:pt>
                <c:pt idx="1648">
                  <c:v>10.222095851774201</c:v>
                </c:pt>
                <c:pt idx="1649">
                  <c:v>10.189992469696801</c:v>
                </c:pt>
                <c:pt idx="1650">
                  <c:v>10.243074012901801</c:v>
                </c:pt>
                <c:pt idx="1651">
                  <c:v>9.9927734074826002</c:v>
                </c:pt>
                <c:pt idx="1652">
                  <c:v>10.059020793966599</c:v>
                </c:pt>
                <c:pt idx="1653">
                  <c:v>10.1401480512727</c:v>
                </c:pt>
                <c:pt idx="1654">
                  <c:v>10.065030672171501</c:v>
                </c:pt>
                <c:pt idx="1655">
                  <c:v>10.084702328597601</c:v>
                </c:pt>
                <c:pt idx="1656">
                  <c:v>10.0712631852707</c:v>
                </c:pt>
                <c:pt idx="1657">
                  <c:v>10.1228972762224</c:v>
                </c:pt>
                <c:pt idx="1658">
                  <c:v>10.201605637027599</c:v>
                </c:pt>
                <c:pt idx="1659">
                  <c:v>10.0855883689468</c:v>
                </c:pt>
                <c:pt idx="1660">
                  <c:v>10.0685474523831</c:v>
                </c:pt>
                <c:pt idx="1661">
                  <c:v>9.9274456899366506</c:v>
                </c:pt>
                <c:pt idx="1662">
                  <c:v>9.9713492585935501</c:v>
                </c:pt>
                <c:pt idx="1663">
                  <c:v>9.9090031237483291</c:v>
                </c:pt>
                <c:pt idx="1664">
                  <c:v>9.9329587865776006</c:v>
                </c:pt>
                <c:pt idx="1665">
                  <c:v>9.9737148260141506</c:v>
                </c:pt>
                <c:pt idx="1666">
                  <c:v>9.9372341009627299</c:v>
                </c:pt>
                <c:pt idx="1667">
                  <c:v>10.002648346970499</c:v>
                </c:pt>
                <c:pt idx="1668">
                  <c:v>9.9349775962096096</c:v>
                </c:pt>
                <c:pt idx="1669">
                  <c:v>10.040008792610999</c:v>
                </c:pt>
                <c:pt idx="1670">
                  <c:v>9.9697248107734602</c:v>
                </c:pt>
                <c:pt idx="1671">
                  <c:v>9.8136027460724904</c:v>
                </c:pt>
                <c:pt idx="1672">
                  <c:v>9.8798681214115192</c:v>
                </c:pt>
                <c:pt idx="1673">
                  <c:v>9.9147007627083106</c:v>
                </c:pt>
                <c:pt idx="1674">
                  <c:v>9.8979320196534601</c:v>
                </c:pt>
                <c:pt idx="1675">
                  <c:v>9.8960929910983797</c:v>
                </c:pt>
                <c:pt idx="1676">
                  <c:v>9.9797304382395495</c:v>
                </c:pt>
                <c:pt idx="1677">
                  <c:v>9.8875278330340208</c:v>
                </c:pt>
                <c:pt idx="1678">
                  <c:v>9.9662331705973894</c:v>
                </c:pt>
                <c:pt idx="1679">
                  <c:v>9.9760658933226605</c:v>
                </c:pt>
                <c:pt idx="1680">
                  <c:v>9.9210501741062895</c:v>
                </c:pt>
                <c:pt idx="1681">
                  <c:v>9.8502546852657602</c:v>
                </c:pt>
                <c:pt idx="1682">
                  <c:v>9.7809296165120898</c:v>
                </c:pt>
                <c:pt idx="1683">
                  <c:v>9.7410437457984997</c:v>
                </c:pt>
                <c:pt idx="1684">
                  <c:v>9.8020423679511897</c:v>
                </c:pt>
                <c:pt idx="1685">
                  <c:v>9.8622904482949707</c:v>
                </c:pt>
                <c:pt idx="1686">
                  <c:v>9.8233182779594497</c:v>
                </c:pt>
                <c:pt idx="1687">
                  <c:v>9.6793612051074902</c:v>
                </c:pt>
                <c:pt idx="1688">
                  <c:v>9.76228042729241</c:v>
                </c:pt>
                <c:pt idx="1689">
                  <c:v>9.7831859613779901</c:v>
                </c:pt>
                <c:pt idx="1690">
                  <c:v>9.6637420011107498</c:v>
                </c:pt>
                <c:pt idx="1691">
                  <c:v>9.5304341599017608</c:v>
                </c:pt>
                <c:pt idx="1692">
                  <c:v>9.6191275068491997</c:v>
                </c:pt>
                <c:pt idx="1693">
                  <c:v>9.5981387173274992</c:v>
                </c:pt>
                <c:pt idx="1694">
                  <c:v>9.6927562383677497</c:v>
                </c:pt>
                <c:pt idx="1695">
                  <c:v>9.7070753881937595</c:v>
                </c:pt>
                <c:pt idx="1696">
                  <c:v>9.5960961923850405</c:v>
                </c:pt>
                <c:pt idx="1697">
                  <c:v>9.7083331572008102</c:v>
                </c:pt>
                <c:pt idx="1698">
                  <c:v>9.5424502760744492</c:v>
                </c:pt>
                <c:pt idx="1699">
                  <c:v>9.5803923681095</c:v>
                </c:pt>
                <c:pt idx="1700">
                  <c:v>9.5999830177565499</c:v>
                </c:pt>
                <c:pt idx="1701">
                  <c:v>9.6098205221280306</c:v>
                </c:pt>
                <c:pt idx="1702">
                  <c:v>9.5172916248500101</c:v>
                </c:pt>
                <c:pt idx="1703">
                  <c:v>9.59964800032615</c:v>
                </c:pt>
                <c:pt idx="1704">
                  <c:v>9.5586838526317504</c:v>
                </c:pt>
                <c:pt idx="1705">
                  <c:v>9.5272887815453604</c:v>
                </c:pt>
                <c:pt idx="1706">
                  <c:v>9.63525887318605</c:v>
                </c:pt>
                <c:pt idx="1707">
                  <c:v>9.5530600296652306</c:v>
                </c:pt>
                <c:pt idx="1708">
                  <c:v>9.5270743190532201</c:v>
                </c:pt>
                <c:pt idx="1709">
                  <c:v>9.3512174533269299</c:v>
                </c:pt>
                <c:pt idx="1710">
                  <c:v>9.3985206059683897</c:v>
                </c:pt>
                <c:pt idx="1711">
                  <c:v>9.4165433993386003</c:v>
                </c:pt>
                <c:pt idx="1712">
                  <c:v>9.3596012122859094</c:v>
                </c:pt>
                <c:pt idx="1713">
                  <c:v>9.2878844148242194</c:v>
                </c:pt>
                <c:pt idx="1714">
                  <c:v>9.4041696128928098</c:v>
                </c:pt>
                <c:pt idx="1715">
                  <c:v>9.1677308082821707</c:v>
                </c:pt>
                <c:pt idx="1716">
                  <c:v>9.1251652717319391</c:v>
                </c:pt>
                <c:pt idx="1717">
                  <c:v>9.1739121486502597</c:v>
                </c:pt>
                <c:pt idx="1718">
                  <c:v>9.3057319292039207</c:v>
                </c:pt>
                <c:pt idx="1719">
                  <c:v>9.2717112816299903</c:v>
                </c:pt>
                <c:pt idx="1720">
                  <c:v>9.2855673056875805</c:v>
                </c:pt>
                <c:pt idx="1721">
                  <c:v>9.2626713128968099</c:v>
                </c:pt>
                <c:pt idx="1722">
                  <c:v>9.2164030433063004</c:v>
                </c:pt>
                <c:pt idx="1723">
                  <c:v>9.1294974884081395</c:v>
                </c:pt>
                <c:pt idx="1724">
                  <c:v>9.0900282857319592</c:v>
                </c:pt>
                <c:pt idx="1725">
                  <c:v>9.1474230446030091</c:v>
                </c:pt>
                <c:pt idx="1726">
                  <c:v>9.1509073734285398</c:v>
                </c:pt>
                <c:pt idx="1727">
                  <c:v>9.1902345157435903</c:v>
                </c:pt>
                <c:pt idx="1728">
                  <c:v>9.1400259649845506</c:v>
                </c:pt>
                <c:pt idx="1729">
                  <c:v>9.1655276115859099</c:v>
                </c:pt>
                <c:pt idx="1730">
                  <c:v>9.2090268837739</c:v>
                </c:pt>
                <c:pt idx="1731">
                  <c:v>9.2242355548613109</c:v>
                </c:pt>
                <c:pt idx="1732">
                  <c:v>9.2255149319530094</c:v>
                </c:pt>
                <c:pt idx="1733">
                  <c:v>9.0419268075397206</c:v>
                </c:pt>
                <c:pt idx="1734">
                  <c:v>8.9963296889343098</c:v>
                </c:pt>
                <c:pt idx="1735">
                  <c:v>8.9759821742640291</c:v>
                </c:pt>
                <c:pt idx="1736">
                  <c:v>8.9497142835166201</c:v>
                </c:pt>
                <c:pt idx="1737">
                  <c:v>8.9291451397647794</c:v>
                </c:pt>
                <c:pt idx="1738">
                  <c:v>8.9445270575791707</c:v>
                </c:pt>
                <c:pt idx="1739">
                  <c:v>8.9207898952290403</c:v>
                </c:pt>
                <c:pt idx="1740">
                  <c:v>8.9328800958884909</c:v>
                </c:pt>
                <c:pt idx="1741">
                  <c:v>8.8753666839452805</c:v>
                </c:pt>
                <c:pt idx="1742">
                  <c:v>8.8340681334128295</c:v>
                </c:pt>
                <c:pt idx="1743">
                  <c:v>8.8119114226643305</c:v>
                </c:pt>
                <c:pt idx="1744">
                  <c:v>8.8220314896126109</c:v>
                </c:pt>
                <c:pt idx="1745">
                  <c:v>8.8461712533703398</c:v>
                </c:pt>
                <c:pt idx="1746">
                  <c:v>8.8833381615619906</c:v>
                </c:pt>
                <c:pt idx="1747">
                  <c:v>8.8490209330658303</c:v>
                </c:pt>
                <c:pt idx="1748">
                  <c:v>8.7546809232545399</c:v>
                </c:pt>
                <c:pt idx="1749">
                  <c:v>8.7567988401330492</c:v>
                </c:pt>
                <c:pt idx="1750">
                  <c:v>8.7693296090825203</c:v>
                </c:pt>
                <c:pt idx="1751">
                  <c:v>8.7377284861517808</c:v>
                </c:pt>
                <c:pt idx="1752">
                  <c:v>8.7191840753471705</c:v>
                </c:pt>
                <c:pt idx="1753">
                  <c:v>8.7528219385681503</c:v>
                </c:pt>
                <c:pt idx="1754">
                  <c:v>8.6189194885095706</c:v>
                </c:pt>
                <c:pt idx="1755">
                  <c:v>8.6763985578872393</c:v>
                </c:pt>
                <c:pt idx="1756">
                  <c:v>8.7006563884419101</c:v>
                </c:pt>
                <c:pt idx="1757">
                  <c:v>8.5709084948937999</c:v>
                </c:pt>
                <c:pt idx="1758">
                  <c:v>8.5905291796459107</c:v>
                </c:pt>
                <c:pt idx="1759">
                  <c:v>8.6397494374239692</c:v>
                </c:pt>
                <c:pt idx="1760">
                  <c:v>8.5405146700684806</c:v>
                </c:pt>
                <c:pt idx="1761">
                  <c:v>8.5739860830574095</c:v>
                </c:pt>
                <c:pt idx="1762">
                  <c:v>8.4268323047928302</c:v>
                </c:pt>
                <c:pt idx="1763">
                  <c:v>8.4988059010243404</c:v>
                </c:pt>
                <c:pt idx="1764">
                  <c:v>8.4811336852021402</c:v>
                </c:pt>
                <c:pt idx="1765">
                  <c:v>8.4644957753151893</c:v>
                </c:pt>
                <c:pt idx="1766">
                  <c:v>8.4150939166945307</c:v>
                </c:pt>
                <c:pt idx="1767">
                  <c:v>8.4713726786467394</c:v>
                </c:pt>
                <c:pt idx="1768">
                  <c:v>8.4946281413060696</c:v>
                </c:pt>
                <c:pt idx="1769">
                  <c:v>8.4848771460021801</c:v>
                </c:pt>
                <c:pt idx="1770">
                  <c:v>8.3514768721875097</c:v>
                </c:pt>
                <c:pt idx="1771">
                  <c:v>8.2763221134653406</c:v>
                </c:pt>
                <c:pt idx="1772">
                  <c:v>8.3663365646881207</c:v>
                </c:pt>
                <c:pt idx="1773">
                  <c:v>8.2936850447539996</c:v>
                </c:pt>
                <c:pt idx="1774">
                  <c:v>8.3406980297462905</c:v>
                </c:pt>
                <c:pt idx="1775">
                  <c:v>8.3507553320146393</c:v>
                </c:pt>
                <c:pt idx="1776">
                  <c:v>8.3360952639308294</c:v>
                </c:pt>
                <c:pt idx="1777">
                  <c:v>8.3098092810357294</c:v>
                </c:pt>
                <c:pt idx="1778">
                  <c:v>8.3346979462622492</c:v>
                </c:pt>
                <c:pt idx="1779">
                  <c:v>8.1940511801283602</c:v>
                </c:pt>
                <c:pt idx="1780">
                  <c:v>8.1440565474966604</c:v>
                </c:pt>
                <c:pt idx="1781">
                  <c:v>8.1065834277237201</c:v>
                </c:pt>
                <c:pt idx="1782">
                  <c:v>8.0821852957774105</c:v>
                </c:pt>
                <c:pt idx="1783">
                  <c:v>8.0597678877744592</c:v>
                </c:pt>
                <c:pt idx="1784">
                  <c:v>8.0613079163051804</c:v>
                </c:pt>
                <c:pt idx="1785">
                  <c:v>7.9996165411226796</c:v>
                </c:pt>
                <c:pt idx="1786">
                  <c:v>8.10262865434877</c:v>
                </c:pt>
                <c:pt idx="1787">
                  <c:v>8.1155453699628897</c:v>
                </c:pt>
                <c:pt idx="1788">
                  <c:v>8.0260942768512606</c:v>
                </c:pt>
                <c:pt idx="1789">
                  <c:v>7.8889823688044203</c:v>
                </c:pt>
                <c:pt idx="1790">
                  <c:v>7.9746533906277204</c:v>
                </c:pt>
                <c:pt idx="1791">
                  <c:v>7.9332141579129196</c:v>
                </c:pt>
                <c:pt idx="1792">
                  <c:v>7.9347187423632404</c:v>
                </c:pt>
                <c:pt idx="1793">
                  <c:v>7.9682105184810501</c:v>
                </c:pt>
                <c:pt idx="1794">
                  <c:v>7.9704570865706303</c:v>
                </c:pt>
                <c:pt idx="1795">
                  <c:v>7.8169168497628903</c:v>
                </c:pt>
                <c:pt idx="1796">
                  <c:v>7.8861237199864096</c:v>
                </c:pt>
                <c:pt idx="1797">
                  <c:v>7.7945677948514103</c:v>
                </c:pt>
                <c:pt idx="1798">
                  <c:v>7.8172733157734697</c:v>
                </c:pt>
                <c:pt idx="1799">
                  <c:v>7.8197708133975796</c:v>
                </c:pt>
                <c:pt idx="1800">
                  <c:v>7.6971996206578099</c:v>
                </c:pt>
                <c:pt idx="1801">
                  <c:v>7.5673309659958203</c:v>
                </c:pt>
                <c:pt idx="1802">
                  <c:v>7.6316101970974097</c:v>
                </c:pt>
                <c:pt idx="1803">
                  <c:v>7.6742868578122696</c:v>
                </c:pt>
                <c:pt idx="1804">
                  <c:v>7.6030251738820498</c:v>
                </c:pt>
                <c:pt idx="1805">
                  <c:v>7.6371164689424704</c:v>
                </c:pt>
                <c:pt idx="1806">
                  <c:v>7.6358788144813801</c:v>
                </c:pt>
                <c:pt idx="1807">
                  <c:v>7.6783812271825704</c:v>
                </c:pt>
                <c:pt idx="1808">
                  <c:v>7.6052589779172504</c:v>
                </c:pt>
                <c:pt idx="1809">
                  <c:v>7.5441388077067</c:v>
                </c:pt>
                <c:pt idx="1810">
                  <c:v>7.5506084139419301</c:v>
                </c:pt>
                <c:pt idx="1811">
                  <c:v>7.5787480961615499</c:v>
                </c:pt>
                <c:pt idx="1812">
                  <c:v>7.6076371326109999</c:v>
                </c:pt>
                <c:pt idx="1813">
                  <c:v>7.4888625038441496</c:v>
                </c:pt>
                <c:pt idx="1814">
                  <c:v>7.4841118199269498</c:v>
                </c:pt>
                <c:pt idx="1815">
                  <c:v>7.3888700671023404</c:v>
                </c:pt>
                <c:pt idx="1816">
                  <c:v>7.3869109213264599</c:v>
                </c:pt>
                <c:pt idx="1817">
                  <c:v>7.3944527254674997</c:v>
                </c:pt>
                <c:pt idx="1818">
                  <c:v>7.4167069417460096</c:v>
                </c:pt>
                <c:pt idx="1819">
                  <c:v>7.2266734937956496</c:v>
                </c:pt>
                <c:pt idx="1820">
                  <c:v>7.2388214010462804</c:v>
                </c:pt>
                <c:pt idx="1821">
                  <c:v>7.3466912041505399</c:v>
                </c:pt>
                <c:pt idx="1822">
                  <c:v>7.22564930805434</c:v>
                </c:pt>
                <c:pt idx="1823">
                  <c:v>7.23083377169106</c:v>
                </c:pt>
                <c:pt idx="1824">
                  <c:v>7.2983509483754103</c:v>
                </c:pt>
                <c:pt idx="1825">
                  <c:v>7.2512213328817197</c:v>
                </c:pt>
                <c:pt idx="1826">
                  <c:v>7.3095434244936399</c:v>
                </c:pt>
                <c:pt idx="1827">
                  <c:v>7.2610942847840398</c:v>
                </c:pt>
                <c:pt idx="1828">
                  <c:v>7.2518927047729402</c:v>
                </c:pt>
                <c:pt idx="1829">
                  <c:v>7.2121533901308803</c:v>
                </c:pt>
                <c:pt idx="1830">
                  <c:v>7.1410114273157204</c:v>
                </c:pt>
                <c:pt idx="1831">
                  <c:v>7.0632443609343101</c:v>
                </c:pt>
                <c:pt idx="1832">
                  <c:v>7.0939617277382796</c:v>
                </c:pt>
                <c:pt idx="1833">
                  <c:v>7.1348251524433497</c:v>
                </c:pt>
                <c:pt idx="1834">
                  <c:v>7.0735265106474401</c:v>
                </c:pt>
                <c:pt idx="1835">
                  <c:v>7.0409992852691001</c:v>
                </c:pt>
                <c:pt idx="1836">
                  <c:v>6.9748791851560101</c:v>
                </c:pt>
                <c:pt idx="1837">
                  <c:v>6.9987880488443803</c:v>
                </c:pt>
                <c:pt idx="1838">
                  <c:v>6.8107098335235001</c:v>
                </c:pt>
                <c:pt idx="1839">
                  <c:v>6.79397293036285</c:v>
                </c:pt>
                <c:pt idx="1840">
                  <c:v>6.8553590422625401</c:v>
                </c:pt>
                <c:pt idx="1841">
                  <c:v>6.8970922925966498</c:v>
                </c:pt>
                <c:pt idx="1842">
                  <c:v>6.8109526859765301</c:v>
                </c:pt>
                <c:pt idx="1843">
                  <c:v>6.7422540970067901</c:v>
                </c:pt>
                <c:pt idx="1844">
                  <c:v>6.7672183718339101</c:v>
                </c:pt>
                <c:pt idx="1845">
                  <c:v>6.7784685315223996</c:v>
                </c:pt>
                <c:pt idx="1846">
                  <c:v>6.82721522186442</c:v>
                </c:pt>
                <c:pt idx="1847">
                  <c:v>6.7691834337654697</c:v>
                </c:pt>
                <c:pt idx="1848">
                  <c:v>6.7389634799237799</c:v>
                </c:pt>
                <c:pt idx="1849">
                  <c:v>6.7639919069294097</c:v>
                </c:pt>
                <c:pt idx="1850">
                  <c:v>6.7181898137520397</c:v>
                </c:pt>
                <c:pt idx="1851">
                  <c:v>6.7239745994262297</c:v>
                </c:pt>
                <c:pt idx="1852">
                  <c:v>6.7600566049672404</c:v>
                </c:pt>
                <c:pt idx="1853">
                  <c:v>6.72596398363999</c:v>
                </c:pt>
                <c:pt idx="1854">
                  <c:v>6.6662869398423696</c:v>
                </c:pt>
                <c:pt idx="1855">
                  <c:v>6.6319723460146403</c:v>
                </c:pt>
                <c:pt idx="1856">
                  <c:v>6.6412887758966797</c:v>
                </c:pt>
                <c:pt idx="1857">
                  <c:v>6.6200219648054803</c:v>
                </c:pt>
                <c:pt idx="1858">
                  <c:v>6.6724775717505702</c:v>
                </c:pt>
                <c:pt idx="1859">
                  <c:v>6.6207374316532004</c:v>
                </c:pt>
                <c:pt idx="1860">
                  <c:v>6.6167535596967797</c:v>
                </c:pt>
                <c:pt idx="1861">
                  <c:v>6.54611409154497</c:v>
                </c:pt>
                <c:pt idx="1862">
                  <c:v>6.5064512751925196</c:v>
                </c:pt>
                <c:pt idx="1863">
                  <c:v>6.4936723573124002</c:v>
                </c:pt>
                <c:pt idx="1864">
                  <c:v>6.4630873681659002</c:v>
                </c:pt>
                <c:pt idx="1865">
                  <c:v>6.4461429513406596</c:v>
                </c:pt>
                <c:pt idx="1866">
                  <c:v>6.2613339213204497</c:v>
                </c:pt>
                <c:pt idx="1867">
                  <c:v>6.2412505836167496</c:v>
                </c:pt>
                <c:pt idx="1868">
                  <c:v>6.2500893846368104</c:v>
                </c:pt>
                <c:pt idx="1869">
                  <c:v>6.3339314129705198</c:v>
                </c:pt>
                <c:pt idx="1870">
                  <c:v>6.3168698831252703</c:v>
                </c:pt>
                <c:pt idx="1871">
                  <c:v>6.2870578032244397</c:v>
                </c:pt>
                <c:pt idx="1872">
                  <c:v>6.1979658789096899</c:v>
                </c:pt>
                <c:pt idx="1873">
                  <c:v>6.11998895395452</c:v>
                </c:pt>
                <c:pt idx="1874">
                  <c:v>6.1993115774193797</c:v>
                </c:pt>
                <c:pt idx="1875">
                  <c:v>6.1421993506600003</c:v>
                </c:pt>
                <c:pt idx="1876">
                  <c:v>6.1752736766127603</c:v>
                </c:pt>
                <c:pt idx="1877">
                  <c:v>6.1073507325685599</c:v>
                </c:pt>
                <c:pt idx="1878">
                  <c:v>6.1555235847976402</c:v>
                </c:pt>
                <c:pt idx="1879">
                  <c:v>6.1269181060356699</c:v>
                </c:pt>
                <c:pt idx="1880">
                  <c:v>6.0949890200469099</c:v>
                </c:pt>
                <c:pt idx="1881">
                  <c:v>6.1115547258234004</c:v>
                </c:pt>
                <c:pt idx="1882">
                  <c:v>6.0359774493043803</c:v>
                </c:pt>
                <c:pt idx="1883">
                  <c:v>5.9885157320479303</c:v>
                </c:pt>
                <c:pt idx="1884">
                  <c:v>5.9613708466998103</c:v>
                </c:pt>
                <c:pt idx="1885">
                  <c:v>5.84459644539153</c:v>
                </c:pt>
                <c:pt idx="1886">
                  <c:v>5.8252069773499002</c:v>
                </c:pt>
                <c:pt idx="1887">
                  <c:v>5.94124400191577</c:v>
                </c:pt>
                <c:pt idx="1888">
                  <c:v>5.8321013672149</c:v>
                </c:pt>
                <c:pt idx="1889">
                  <c:v>5.7987374615500302</c:v>
                </c:pt>
                <c:pt idx="1890">
                  <c:v>5.8616043259527801</c:v>
                </c:pt>
                <c:pt idx="1891">
                  <c:v>5.8520533886588098</c:v>
                </c:pt>
                <c:pt idx="1892">
                  <c:v>5.8027783921219402</c:v>
                </c:pt>
                <c:pt idx="1893">
                  <c:v>5.8003250521644301</c:v>
                </c:pt>
                <c:pt idx="1894">
                  <c:v>5.7649382497684796</c:v>
                </c:pt>
                <c:pt idx="1895">
                  <c:v>5.7147823653594001</c:v>
                </c:pt>
                <c:pt idx="1896">
                  <c:v>5.7009335578088702</c:v>
                </c:pt>
                <c:pt idx="1897">
                  <c:v>5.6444098084716599</c:v>
                </c:pt>
                <c:pt idx="1898">
                  <c:v>5.5844095551503896</c:v>
                </c:pt>
                <c:pt idx="1899">
                  <c:v>5.62547992037012</c:v>
                </c:pt>
                <c:pt idx="1900">
                  <c:v>5.6197601443732603</c:v>
                </c:pt>
                <c:pt idx="1901">
                  <c:v>5.5876591917240397</c:v>
                </c:pt>
                <c:pt idx="1902">
                  <c:v>5.59767932960641</c:v>
                </c:pt>
                <c:pt idx="1903">
                  <c:v>5.5800140787614696</c:v>
                </c:pt>
                <c:pt idx="1904">
                  <c:v>5.57176730905638</c:v>
                </c:pt>
                <c:pt idx="1905">
                  <c:v>5.5355716133322703</c:v>
                </c:pt>
                <c:pt idx="1906">
                  <c:v>5.4844983809244798</c:v>
                </c:pt>
                <c:pt idx="1907">
                  <c:v>5.5228731872783596</c:v>
                </c:pt>
                <c:pt idx="1908">
                  <c:v>5.5159107996132999</c:v>
                </c:pt>
                <c:pt idx="1909">
                  <c:v>5.4519772886668401</c:v>
                </c:pt>
                <c:pt idx="1910">
                  <c:v>5.4097502984362</c:v>
                </c:pt>
                <c:pt idx="1911">
                  <c:v>5.3814699545479501</c:v>
                </c:pt>
                <c:pt idx="1912">
                  <c:v>5.3852707961205803</c:v>
                </c:pt>
                <c:pt idx="1913">
                  <c:v>5.35096739239874</c:v>
                </c:pt>
                <c:pt idx="1914">
                  <c:v>5.4289171333080803</c:v>
                </c:pt>
                <c:pt idx="1915">
                  <c:v>5.4268055703749898</c:v>
                </c:pt>
                <c:pt idx="1916">
                  <c:v>5.3678557733952497</c:v>
                </c:pt>
                <c:pt idx="1917">
                  <c:v>5.3550178475332197</c:v>
                </c:pt>
                <c:pt idx="1918">
                  <c:v>5.2899317952850602</c:v>
                </c:pt>
                <c:pt idx="1919">
                  <c:v>5.2826854808423098</c:v>
                </c:pt>
                <c:pt idx="1920">
                  <c:v>5.3119445469895696</c:v>
                </c:pt>
                <c:pt idx="1921">
                  <c:v>5.2922642935320603</c:v>
                </c:pt>
                <c:pt idx="1922">
                  <c:v>5.3446142335948901</c:v>
                </c:pt>
                <c:pt idx="1923">
                  <c:v>5.2786777028121596</c:v>
                </c:pt>
                <c:pt idx="1924">
                  <c:v>5.1821457172995098</c:v>
                </c:pt>
                <c:pt idx="1925">
                  <c:v>5.1314708509717102</c:v>
                </c:pt>
                <c:pt idx="1926">
                  <c:v>5.1264244061823403</c:v>
                </c:pt>
                <c:pt idx="1927">
                  <c:v>5.1086918734100202</c:v>
                </c:pt>
                <c:pt idx="1928">
                  <c:v>5.0581440348994402</c:v>
                </c:pt>
                <c:pt idx="1929">
                  <c:v>5.0429268546227597</c:v>
                </c:pt>
                <c:pt idx="1930">
                  <c:v>5.0133635390419897</c:v>
                </c:pt>
                <c:pt idx="1931">
                  <c:v>5.0486661416162697</c:v>
                </c:pt>
                <c:pt idx="1932">
                  <c:v>5.0410976259750502</c:v>
                </c:pt>
                <c:pt idx="1933">
                  <c:v>4.9960132874386902</c:v>
                </c:pt>
                <c:pt idx="1934">
                  <c:v>4.9576658309326103</c:v>
                </c:pt>
                <c:pt idx="1935">
                  <c:v>5.0500715623693004</c:v>
                </c:pt>
                <c:pt idx="1936">
                  <c:v>5.0197091384368404</c:v>
                </c:pt>
                <c:pt idx="1937">
                  <c:v>4.7964841245208802</c:v>
                </c:pt>
                <c:pt idx="1938">
                  <c:v>4.8558179402810602</c:v>
                </c:pt>
                <c:pt idx="1939">
                  <c:v>4.8383450237547203</c:v>
                </c:pt>
                <c:pt idx="1940">
                  <c:v>4.6975901046476602</c:v>
                </c:pt>
                <c:pt idx="1941">
                  <c:v>4.7292015419495099</c:v>
                </c:pt>
                <c:pt idx="1942">
                  <c:v>4.7368728585380797</c:v>
                </c:pt>
                <c:pt idx="1943">
                  <c:v>4.7520354643828497</c:v>
                </c:pt>
                <c:pt idx="1944">
                  <c:v>4.7756369746185099</c:v>
                </c:pt>
                <c:pt idx="1945">
                  <c:v>4.6278000375300303</c:v>
                </c:pt>
                <c:pt idx="1946">
                  <c:v>4.6125594899135196</c:v>
                </c:pt>
                <c:pt idx="1947">
                  <c:v>4.6701605512001203</c:v>
                </c:pt>
                <c:pt idx="1948">
                  <c:v>4.68384007702576</c:v>
                </c:pt>
                <c:pt idx="1949">
                  <c:v>4.67192299831882</c:v>
                </c:pt>
                <c:pt idx="1950">
                  <c:v>4.6099652584115898</c:v>
                </c:pt>
                <c:pt idx="1951">
                  <c:v>4.5753717345312701</c:v>
                </c:pt>
                <c:pt idx="1952">
                  <c:v>4.6126046615836902</c:v>
                </c:pt>
                <c:pt idx="1953">
                  <c:v>4.5461302675153101</c:v>
                </c:pt>
                <c:pt idx="1954">
                  <c:v>4.54813235883283</c:v>
                </c:pt>
                <c:pt idx="1955">
                  <c:v>4.5526174418813996</c:v>
                </c:pt>
                <c:pt idx="1956">
                  <c:v>4.4921280281164</c:v>
                </c:pt>
                <c:pt idx="1957">
                  <c:v>4.4837438503977802</c:v>
                </c:pt>
                <c:pt idx="1958">
                  <c:v>4.4276845139513696</c:v>
                </c:pt>
                <c:pt idx="1959">
                  <c:v>4.4794297215258396</c:v>
                </c:pt>
                <c:pt idx="1960">
                  <c:v>4.4387945040487997</c:v>
                </c:pt>
                <c:pt idx="1961">
                  <c:v>4.4356270645168197</c:v>
                </c:pt>
                <c:pt idx="1962">
                  <c:v>4.4248786142093</c:v>
                </c:pt>
                <c:pt idx="1963">
                  <c:v>4.3825236287951297</c:v>
                </c:pt>
                <c:pt idx="1964">
                  <c:v>4.2791419181384498</c:v>
                </c:pt>
                <c:pt idx="1965">
                  <c:v>4.3227192870996101</c:v>
                </c:pt>
                <c:pt idx="1966">
                  <c:v>4.2880173458083597</c:v>
                </c:pt>
                <c:pt idx="1967">
                  <c:v>4.2015618160092396</c:v>
                </c:pt>
                <c:pt idx="1968">
                  <c:v>4.2052554582767598</c:v>
                </c:pt>
                <c:pt idx="1969">
                  <c:v>4.2372709168238503</c:v>
                </c:pt>
                <c:pt idx="1970">
                  <c:v>4.2588354520249299</c:v>
                </c:pt>
                <c:pt idx="1971">
                  <c:v>4.1977017169263702</c:v>
                </c:pt>
                <c:pt idx="1972">
                  <c:v>4.16730907400484</c:v>
                </c:pt>
                <c:pt idx="1973">
                  <c:v>4.1479867275613396</c:v>
                </c:pt>
                <c:pt idx="1974">
                  <c:v>4.1271943030238196</c:v>
                </c:pt>
                <c:pt idx="1975">
                  <c:v>4.1131198652138199</c:v>
                </c:pt>
                <c:pt idx="1976">
                  <c:v>4.1073347135731204</c:v>
                </c:pt>
                <c:pt idx="1977">
                  <c:v>4.0540970235515301</c:v>
                </c:pt>
                <c:pt idx="1978">
                  <c:v>4.03546865471617</c:v>
                </c:pt>
                <c:pt idx="1979">
                  <c:v>4.0365552308433097</c:v>
                </c:pt>
                <c:pt idx="1980">
                  <c:v>4.05031145924558</c:v>
                </c:pt>
                <c:pt idx="1981">
                  <c:v>4.0209006754468701</c:v>
                </c:pt>
                <c:pt idx="1982">
                  <c:v>3.9527237745083998</c:v>
                </c:pt>
                <c:pt idx="1983">
                  <c:v>3.9270360357127698</c:v>
                </c:pt>
                <c:pt idx="1984">
                  <c:v>3.9570246794776498</c:v>
                </c:pt>
                <c:pt idx="1985">
                  <c:v>3.9336324899071502</c:v>
                </c:pt>
                <c:pt idx="1986">
                  <c:v>3.9235033782334199</c:v>
                </c:pt>
                <c:pt idx="1987">
                  <c:v>3.93361210301086</c:v>
                </c:pt>
                <c:pt idx="1988">
                  <c:v>3.9218611312188201</c:v>
                </c:pt>
                <c:pt idx="1989">
                  <c:v>3.8881705905931199</c:v>
                </c:pt>
                <c:pt idx="1990">
                  <c:v>3.8886935528915201</c:v>
                </c:pt>
                <c:pt idx="1991">
                  <c:v>3.8344571300883801</c:v>
                </c:pt>
                <c:pt idx="1992">
                  <c:v>3.8347926901776201</c:v>
                </c:pt>
                <c:pt idx="1993">
                  <c:v>3.8370383732468398</c:v>
                </c:pt>
                <c:pt idx="1994">
                  <c:v>3.8242819728178601</c:v>
                </c:pt>
                <c:pt idx="1995">
                  <c:v>3.7746963496166499</c:v>
                </c:pt>
                <c:pt idx="1996">
                  <c:v>3.8028433622578999</c:v>
                </c:pt>
                <c:pt idx="1997">
                  <c:v>3.7431558402567799</c:v>
                </c:pt>
                <c:pt idx="1998">
                  <c:v>3.7598665000476599</c:v>
                </c:pt>
                <c:pt idx="1999">
                  <c:v>3.68951542758189</c:v>
                </c:pt>
                <c:pt idx="2000">
                  <c:v>3.6786825144651001</c:v>
                </c:pt>
                <c:pt idx="2001">
                  <c:v>3.6444342848036499</c:v>
                </c:pt>
                <c:pt idx="2002">
                  <c:v>3.6510409600880398</c:v>
                </c:pt>
                <c:pt idx="2003">
                  <c:v>3.5999020319284099</c:v>
                </c:pt>
                <c:pt idx="2004">
                  <c:v>3.6184718740200301</c:v>
                </c:pt>
                <c:pt idx="2005">
                  <c:v>3.6025581722508102</c:v>
                </c:pt>
                <c:pt idx="2006">
                  <c:v>3.5969285328281102</c:v>
                </c:pt>
                <c:pt idx="2007">
                  <c:v>3.5831665155081498</c:v>
                </c:pt>
                <c:pt idx="2008">
                  <c:v>3.5471025476859599</c:v>
                </c:pt>
                <c:pt idx="2009">
                  <c:v>3.56027385426684</c:v>
                </c:pt>
                <c:pt idx="2010">
                  <c:v>3.50733357343938</c:v>
                </c:pt>
                <c:pt idx="2011">
                  <c:v>3.4852719557706799</c:v>
                </c:pt>
                <c:pt idx="2012">
                  <c:v>3.45718238594608</c:v>
                </c:pt>
                <c:pt idx="2013">
                  <c:v>3.4606347713282801</c:v>
                </c:pt>
                <c:pt idx="2014">
                  <c:v>3.4553254017603998</c:v>
                </c:pt>
                <c:pt idx="2015">
                  <c:v>3.39774999665828</c:v>
                </c:pt>
                <c:pt idx="2016">
                  <c:v>3.3518721387611601</c:v>
                </c:pt>
                <c:pt idx="2017">
                  <c:v>3.3669676183311701</c:v>
                </c:pt>
                <c:pt idx="2018">
                  <c:v>3.3769859199564398</c:v>
                </c:pt>
                <c:pt idx="2019">
                  <c:v>3.34610218994978</c:v>
                </c:pt>
                <c:pt idx="2020">
                  <c:v>3.3739647489646001</c:v>
                </c:pt>
                <c:pt idx="2021">
                  <c:v>3.2926066509054501</c:v>
                </c:pt>
                <c:pt idx="2022">
                  <c:v>3.3149250988743701</c:v>
                </c:pt>
                <c:pt idx="2023">
                  <c:v>3.2426747893934502</c:v>
                </c:pt>
                <c:pt idx="2024">
                  <c:v>3.2637829150449802</c:v>
                </c:pt>
                <c:pt idx="2025">
                  <c:v>3.26941076843221</c:v>
                </c:pt>
                <c:pt idx="2026">
                  <c:v>3.24392067635385</c:v>
                </c:pt>
                <c:pt idx="2027">
                  <c:v>3.25084500306555</c:v>
                </c:pt>
                <c:pt idx="2028">
                  <c:v>3.1815229804456502</c:v>
                </c:pt>
                <c:pt idx="2029">
                  <c:v>3.1404248543211102</c:v>
                </c:pt>
                <c:pt idx="2030">
                  <c:v>3.16614567714733</c:v>
                </c:pt>
                <c:pt idx="2031">
                  <c:v>3.1646653356121202</c:v>
                </c:pt>
                <c:pt idx="2032">
                  <c:v>3.0967687205375301</c:v>
                </c:pt>
                <c:pt idx="2033">
                  <c:v>3.0836766749235598</c:v>
                </c:pt>
                <c:pt idx="2034">
                  <c:v>3.09261619080005</c:v>
                </c:pt>
                <c:pt idx="2035">
                  <c:v>3.0661239541021201</c:v>
                </c:pt>
                <c:pt idx="2036">
                  <c:v>3.0618557533408999</c:v>
                </c:pt>
                <c:pt idx="2037">
                  <c:v>3.0201371638457801</c:v>
                </c:pt>
                <c:pt idx="2038">
                  <c:v>3.0145627850563699</c:v>
                </c:pt>
                <c:pt idx="2039">
                  <c:v>2.9993161887498099</c:v>
                </c:pt>
                <c:pt idx="2040">
                  <c:v>2.9806322890311199</c:v>
                </c:pt>
                <c:pt idx="2041">
                  <c:v>2.9879196091954601</c:v>
                </c:pt>
                <c:pt idx="2042">
                  <c:v>2.94529442633621</c:v>
                </c:pt>
                <c:pt idx="2043">
                  <c:v>2.9645125571442801</c:v>
                </c:pt>
                <c:pt idx="2044">
                  <c:v>2.9325261793623398</c:v>
                </c:pt>
                <c:pt idx="2045">
                  <c:v>2.9438116022724099</c:v>
                </c:pt>
                <c:pt idx="2046">
                  <c:v>2.9259037476402301</c:v>
                </c:pt>
                <c:pt idx="2047">
                  <c:v>2.8614867333668501</c:v>
                </c:pt>
                <c:pt idx="2048">
                  <c:v>2.83652410624072</c:v>
                </c:pt>
                <c:pt idx="2049">
                  <c:v>2.8144375210868899</c:v>
                </c:pt>
                <c:pt idx="2050">
                  <c:v>2.7732799796768299</c:v>
                </c:pt>
                <c:pt idx="2051">
                  <c:v>2.77587731856209</c:v>
                </c:pt>
                <c:pt idx="2052">
                  <c:v>2.7584339323708602</c:v>
                </c:pt>
                <c:pt idx="2053">
                  <c:v>2.7437624969486998</c:v>
                </c:pt>
                <c:pt idx="2054">
                  <c:v>2.7427151796409599</c:v>
                </c:pt>
                <c:pt idx="2055">
                  <c:v>2.7114482935050601</c:v>
                </c:pt>
                <c:pt idx="2056">
                  <c:v>2.67412641838916</c:v>
                </c:pt>
                <c:pt idx="2057">
                  <c:v>2.7023497034643</c:v>
                </c:pt>
                <c:pt idx="2058">
                  <c:v>2.6492773303387298</c:v>
                </c:pt>
                <c:pt idx="2059">
                  <c:v>2.6626742973865598</c:v>
                </c:pt>
                <c:pt idx="2060">
                  <c:v>2.63944948766712</c:v>
                </c:pt>
                <c:pt idx="2061">
                  <c:v>2.63371660057072</c:v>
                </c:pt>
                <c:pt idx="2062">
                  <c:v>2.5768395921003502</c:v>
                </c:pt>
                <c:pt idx="2063">
                  <c:v>2.5888825996823699</c:v>
                </c:pt>
                <c:pt idx="2064">
                  <c:v>2.5965508071550398</c:v>
                </c:pt>
                <c:pt idx="2065">
                  <c:v>2.56029675554195</c:v>
                </c:pt>
                <c:pt idx="2066">
                  <c:v>2.5367854764763398</c:v>
                </c:pt>
                <c:pt idx="2067">
                  <c:v>2.5341466391037</c:v>
                </c:pt>
                <c:pt idx="2068">
                  <c:v>2.5285575573735799</c:v>
                </c:pt>
                <c:pt idx="2069">
                  <c:v>2.4933203019057402</c:v>
                </c:pt>
                <c:pt idx="2070">
                  <c:v>2.49735272151967</c:v>
                </c:pt>
                <c:pt idx="2071">
                  <c:v>2.4748588361316801</c:v>
                </c:pt>
                <c:pt idx="2072">
                  <c:v>2.4868033720715799</c:v>
                </c:pt>
                <c:pt idx="2073">
                  <c:v>2.4140572849012401</c:v>
                </c:pt>
                <c:pt idx="2074">
                  <c:v>2.4225701481794699</c:v>
                </c:pt>
                <c:pt idx="2075">
                  <c:v>2.3903702788531098</c:v>
                </c:pt>
                <c:pt idx="2076">
                  <c:v>2.4063803387251501</c:v>
                </c:pt>
                <c:pt idx="2077">
                  <c:v>2.3744440990567899</c:v>
                </c:pt>
                <c:pt idx="2078">
                  <c:v>2.3726834910524999</c:v>
                </c:pt>
                <c:pt idx="2079">
                  <c:v>2.36553420175448</c:v>
                </c:pt>
                <c:pt idx="2080">
                  <c:v>2.3154297517035798</c:v>
                </c:pt>
                <c:pt idx="2081">
                  <c:v>2.3194380870298299</c:v>
                </c:pt>
                <c:pt idx="2082">
                  <c:v>2.3009936533208299</c:v>
                </c:pt>
                <c:pt idx="2083">
                  <c:v>2.2875769860844399</c:v>
                </c:pt>
                <c:pt idx="2084">
                  <c:v>2.2401023375222899</c:v>
                </c:pt>
                <c:pt idx="2085">
                  <c:v>2.2267498946783899</c:v>
                </c:pt>
                <c:pt idx="2086">
                  <c:v>2.2369240198384399</c:v>
                </c:pt>
                <c:pt idx="2087">
                  <c:v>2.2293212479672899</c:v>
                </c:pt>
                <c:pt idx="2088">
                  <c:v>2.2173884644677799</c:v>
                </c:pt>
                <c:pt idx="2089">
                  <c:v>2.18328946453031</c:v>
                </c:pt>
                <c:pt idx="2090">
                  <c:v>2.1665221106190602</c:v>
                </c:pt>
                <c:pt idx="2091">
                  <c:v>2.1383442405889799</c:v>
                </c:pt>
                <c:pt idx="2092">
                  <c:v>2.1377823970036598</c:v>
                </c:pt>
                <c:pt idx="2093">
                  <c:v>2.0841849992755099</c:v>
                </c:pt>
                <c:pt idx="2094">
                  <c:v>2.11572425911509</c:v>
                </c:pt>
                <c:pt idx="2095">
                  <c:v>2.0959509937307601</c:v>
                </c:pt>
                <c:pt idx="2096">
                  <c:v>2.07826532003733</c:v>
                </c:pt>
                <c:pt idx="2097">
                  <c:v>2.0873433305712701</c:v>
                </c:pt>
                <c:pt idx="2098">
                  <c:v>2.0493501656808899</c:v>
                </c:pt>
                <c:pt idx="2099">
                  <c:v>2.0197550890601002</c:v>
                </c:pt>
                <c:pt idx="2100">
                  <c:v>1.9981972915691699</c:v>
                </c:pt>
                <c:pt idx="2101">
                  <c:v>1.9783907048759499</c:v>
                </c:pt>
                <c:pt idx="2102">
                  <c:v>1.95997072448641</c:v>
                </c:pt>
                <c:pt idx="2103">
                  <c:v>1.933799961898</c:v>
                </c:pt>
                <c:pt idx="2104">
                  <c:v>1.9248094435635199</c:v>
                </c:pt>
                <c:pt idx="2105">
                  <c:v>1.89405556199687</c:v>
                </c:pt>
                <c:pt idx="2106">
                  <c:v>1.8989609403672101</c:v>
                </c:pt>
                <c:pt idx="2107">
                  <c:v>1.87125630890899</c:v>
                </c:pt>
                <c:pt idx="2108">
                  <c:v>1.8606590708267401</c:v>
                </c:pt>
                <c:pt idx="2109">
                  <c:v>1.83676951410943</c:v>
                </c:pt>
                <c:pt idx="2110">
                  <c:v>1.8297361342644201</c:v>
                </c:pt>
                <c:pt idx="2111">
                  <c:v>1.8263130625647701</c:v>
                </c:pt>
                <c:pt idx="2112">
                  <c:v>1.7932796224902501</c:v>
                </c:pt>
                <c:pt idx="2113">
                  <c:v>1.7706366959175499</c:v>
                </c:pt>
                <c:pt idx="2114">
                  <c:v>1.7637173365465599</c:v>
                </c:pt>
                <c:pt idx="2115">
                  <c:v>1.7531026997077599</c:v>
                </c:pt>
                <c:pt idx="2116">
                  <c:v>1.7554923021234801</c:v>
                </c:pt>
                <c:pt idx="2117">
                  <c:v>1.7234951495064199</c:v>
                </c:pt>
                <c:pt idx="2118">
                  <c:v>1.7120687628951301</c:v>
                </c:pt>
                <c:pt idx="2119">
                  <c:v>1.71433559984086</c:v>
                </c:pt>
                <c:pt idx="2120">
                  <c:v>1.7017471742003201</c:v>
                </c:pt>
                <c:pt idx="2121">
                  <c:v>1.68466069903136</c:v>
                </c:pt>
                <c:pt idx="2122">
                  <c:v>1.65987967068983</c:v>
                </c:pt>
                <c:pt idx="2123">
                  <c:v>1.6564479521734301</c:v>
                </c:pt>
                <c:pt idx="2124">
                  <c:v>1.65162753596536</c:v>
                </c:pt>
                <c:pt idx="2125">
                  <c:v>1.64280518918859</c:v>
                </c:pt>
                <c:pt idx="2126">
                  <c:v>1.63018639510379</c:v>
                </c:pt>
                <c:pt idx="2127">
                  <c:v>1.6013661448402099</c:v>
                </c:pt>
                <c:pt idx="2128">
                  <c:v>1.58624545246251</c:v>
                </c:pt>
                <c:pt idx="2129">
                  <c:v>1.5819674217528401</c:v>
                </c:pt>
                <c:pt idx="2130">
                  <c:v>1.54849880723682</c:v>
                </c:pt>
                <c:pt idx="2131">
                  <c:v>1.51581036505011</c:v>
                </c:pt>
                <c:pt idx="2132">
                  <c:v>1.4990261878331701</c:v>
                </c:pt>
                <c:pt idx="2133">
                  <c:v>1.50751516371968</c:v>
                </c:pt>
                <c:pt idx="2134">
                  <c:v>1.48753100993155</c:v>
                </c:pt>
                <c:pt idx="2135">
                  <c:v>1.4741576480312499</c:v>
                </c:pt>
                <c:pt idx="2136">
                  <c:v>1.4698172339380999</c:v>
                </c:pt>
                <c:pt idx="2137">
                  <c:v>1.4698006785803901</c:v>
                </c:pt>
                <c:pt idx="2138">
                  <c:v>1.41475922743755</c:v>
                </c:pt>
                <c:pt idx="2139">
                  <c:v>1.4198411366281001</c:v>
                </c:pt>
                <c:pt idx="2140">
                  <c:v>1.4318526912626901</c:v>
                </c:pt>
                <c:pt idx="2141">
                  <c:v>1.4144394367894</c:v>
                </c:pt>
                <c:pt idx="2142">
                  <c:v>1.4059862809363199</c:v>
                </c:pt>
                <c:pt idx="2143">
                  <c:v>1.3945065500279901</c:v>
                </c:pt>
                <c:pt idx="2144">
                  <c:v>1.3786352162419899</c:v>
                </c:pt>
                <c:pt idx="2145">
                  <c:v>1.3376938942345</c:v>
                </c:pt>
                <c:pt idx="2146">
                  <c:v>1.2996694732393801</c:v>
                </c:pt>
                <c:pt idx="2147">
                  <c:v>1.3060801565442499</c:v>
                </c:pt>
                <c:pt idx="2148">
                  <c:v>1.2994028874891601</c:v>
                </c:pt>
                <c:pt idx="2149">
                  <c:v>1.3001278544391099</c:v>
                </c:pt>
                <c:pt idx="2150">
                  <c:v>1.2852323122078499</c:v>
                </c:pt>
                <c:pt idx="2151">
                  <c:v>1.275009733366</c:v>
                </c:pt>
                <c:pt idx="2152">
                  <c:v>1.24591692111229</c:v>
                </c:pt>
                <c:pt idx="2153">
                  <c:v>1.24890939420892</c:v>
                </c:pt>
                <c:pt idx="2154">
                  <c:v>1.22736004917532</c:v>
                </c:pt>
                <c:pt idx="2155">
                  <c:v>1.22140560470931</c:v>
                </c:pt>
                <c:pt idx="2156">
                  <c:v>1.1984412984952799</c:v>
                </c:pt>
                <c:pt idx="2157">
                  <c:v>1.17011166522925</c:v>
                </c:pt>
                <c:pt idx="2158">
                  <c:v>1.15510258644278</c:v>
                </c:pt>
                <c:pt idx="2159">
                  <c:v>1.15277406929769</c:v>
                </c:pt>
                <c:pt idx="2160">
                  <c:v>1.14797513093068</c:v>
                </c:pt>
                <c:pt idx="2161">
                  <c:v>1.1296723650498399</c:v>
                </c:pt>
                <c:pt idx="2162">
                  <c:v>1.1054551493756499</c:v>
                </c:pt>
                <c:pt idx="2163">
                  <c:v>1.09093880044091</c:v>
                </c:pt>
                <c:pt idx="2164">
                  <c:v>1.0712952262498801</c:v>
                </c:pt>
                <c:pt idx="2165">
                  <c:v>1.0737711101527101</c:v>
                </c:pt>
                <c:pt idx="2166">
                  <c:v>1.0661926596808</c:v>
                </c:pt>
                <c:pt idx="2167">
                  <c:v>1.0580597498945901</c:v>
                </c:pt>
                <c:pt idx="2168">
                  <c:v>1.0319696836166099</c:v>
                </c:pt>
                <c:pt idx="2169">
                  <c:v>1.0180424882518799</c:v>
                </c:pt>
                <c:pt idx="2170">
                  <c:v>1.01275267331182</c:v>
                </c:pt>
                <c:pt idx="2171">
                  <c:v>0.97222312441210901</c:v>
                </c:pt>
                <c:pt idx="2172">
                  <c:v>0.98019485181910304</c:v>
                </c:pt>
                <c:pt idx="2173">
                  <c:v>0.983382000076504</c:v>
                </c:pt>
                <c:pt idx="2174">
                  <c:v>0.94756892352931199</c:v>
                </c:pt>
                <c:pt idx="2175">
                  <c:v>0.94273485076746999</c:v>
                </c:pt>
                <c:pt idx="2176">
                  <c:v>0.93221995700330296</c:v>
                </c:pt>
                <c:pt idx="2177">
                  <c:v>0.910971968150456</c:v>
                </c:pt>
                <c:pt idx="2178">
                  <c:v>0.90878126708707796</c:v>
                </c:pt>
                <c:pt idx="2179">
                  <c:v>0.89781087853359098</c:v>
                </c:pt>
                <c:pt idx="2180">
                  <c:v>0.89373058420927598</c:v>
                </c:pt>
                <c:pt idx="2181">
                  <c:v>0.87383619637236498</c:v>
                </c:pt>
                <c:pt idx="2182">
                  <c:v>0.87581763912264798</c:v>
                </c:pt>
                <c:pt idx="2183">
                  <c:v>0.85579565381818501</c:v>
                </c:pt>
                <c:pt idx="2184">
                  <c:v>0.84950810937210797</c:v>
                </c:pt>
                <c:pt idx="2185">
                  <c:v>0.83032393315118103</c:v>
                </c:pt>
                <c:pt idx="2186">
                  <c:v>0.82517437553291195</c:v>
                </c:pt>
                <c:pt idx="2187">
                  <c:v>0.80031273178805495</c:v>
                </c:pt>
                <c:pt idx="2188">
                  <c:v>0.80319834207838103</c:v>
                </c:pt>
                <c:pt idx="2189">
                  <c:v>0.790622374061281</c:v>
                </c:pt>
                <c:pt idx="2190">
                  <c:v>0.77168677757878501</c:v>
                </c:pt>
                <c:pt idx="2191">
                  <c:v>0.75800100345805799</c:v>
                </c:pt>
                <c:pt idx="2192">
                  <c:v>0.74623852239964705</c:v>
                </c:pt>
                <c:pt idx="2193">
                  <c:v>0.74266880289251902</c:v>
                </c:pt>
                <c:pt idx="2194">
                  <c:v>0.72387319500568303</c:v>
                </c:pt>
                <c:pt idx="2195">
                  <c:v>0.71591349807417903</c:v>
                </c:pt>
                <c:pt idx="2196">
                  <c:v>0.72195074544317195</c:v>
                </c:pt>
                <c:pt idx="2197">
                  <c:v>0.68584283099061905</c:v>
                </c:pt>
                <c:pt idx="2198">
                  <c:v>0.69048950903204898</c:v>
                </c:pt>
                <c:pt idx="2199">
                  <c:v>0.678845150702023</c:v>
                </c:pt>
                <c:pt idx="2200">
                  <c:v>0.65971807883269395</c:v>
                </c:pt>
                <c:pt idx="2201">
                  <c:v>0.6458332055471</c:v>
                </c:pt>
                <c:pt idx="2202">
                  <c:v>0.65198242076780799</c:v>
                </c:pt>
                <c:pt idx="2203">
                  <c:v>0.63972389224487602</c:v>
                </c:pt>
                <c:pt idx="2204">
                  <c:v>0.63369334923151799</c:v>
                </c:pt>
                <c:pt idx="2205">
                  <c:v>0.61271484784373798</c:v>
                </c:pt>
                <c:pt idx="2206">
                  <c:v>0.60289979133976002</c:v>
                </c:pt>
                <c:pt idx="2207">
                  <c:v>0.60268883264749695</c:v>
                </c:pt>
                <c:pt idx="2208">
                  <c:v>0.57627575606439996</c:v>
                </c:pt>
                <c:pt idx="2209">
                  <c:v>0.560557913072953</c:v>
                </c:pt>
                <c:pt idx="2210">
                  <c:v>0.55540915937384605</c:v>
                </c:pt>
                <c:pt idx="2211">
                  <c:v>0.55127048430896297</c:v>
                </c:pt>
                <c:pt idx="2212">
                  <c:v>0.54228673879925904</c:v>
                </c:pt>
                <c:pt idx="2213">
                  <c:v>0.53598055198330397</c:v>
                </c:pt>
                <c:pt idx="2214">
                  <c:v>0.52849075813032198</c:v>
                </c:pt>
                <c:pt idx="2215">
                  <c:v>0.52189931284043201</c:v>
                </c:pt>
                <c:pt idx="2216">
                  <c:v>0.51192813181954799</c:v>
                </c:pt>
                <c:pt idx="2217">
                  <c:v>0.49784582916728098</c:v>
                </c:pt>
                <c:pt idx="2218">
                  <c:v>0.485702541305366</c:v>
                </c:pt>
                <c:pt idx="2219">
                  <c:v>0.48747391937324203</c:v>
                </c:pt>
                <c:pt idx="2220">
                  <c:v>0.46556415117000599</c:v>
                </c:pt>
                <c:pt idx="2221">
                  <c:v>0.45250656292634001</c:v>
                </c:pt>
                <c:pt idx="2222">
                  <c:v>0.44007990518496598</c:v>
                </c:pt>
                <c:pt idx="2223">
                  <c:v>0.44006898889214102</c:v>
                </c:pt>
                <c:pt idx="2224">
                  <c:v>0.42106547391012</c:v>
                </c:pt>
                <c:pt idx="2225">
                  <c:v>0.41262954998902102</c:v>
                </c:pt>
                <c:pt idx="2226">
                  <c:v>0.40731075450818099</c:v>
                </c:pt>
                <c:pt idx="2227">
                  <c:v>0.40024763991922802</c:v>
                </c:pt>
                <c:pt idx="2228">
                  <c:v>0.39050991035749499</c:v>
                </c:pt>
                <c:pt idx="2229">
                  <c:v>0.38124760455614498</c:v>
                </c:pt>
                <c:pt idx="2230">
                  <c:v>0.37431681050652199</c:v>
                </c:pt>
                <c:pt idx="2231">
                  <c:v>0.36429970156319602</c:v>
                </c:pt>
                <c:pt idx="2232">
                  <c:v>0.35838865845113999</c:v>
                </c:pt>
                <c:pt idx="2233">
                  <c:v>0.35171828821970802</c:v>
                </c:pt>
                <c:pt idx="2234">
                  <c:v>0.33647016649353301</c:v>
                </c:pt>
                <c:pt idx="2235">
                  <c:v>0.32720068096494898</c:v>
                </c:pt>
                <c:pt idx="2236">
                  <c:v>0.31911774174569901</c:v>
                </c:pt>
                <c:pt idx="2237">
                  <c:v>0.31263691118471398</c:v>
                </c:pt>
                <c:pt idx="2238">
                  <c:v>0.30674856874468698</c:v>
                </c:pt>
                <c:pt idx="2239">
                  <c:v>0.294094375051279</c:v>
                </c:pt>
                <c:pt idx="2240">
                  <c:v>0.28136140124306502</c:v>
                </c:pt>
                <c:pt idx="2241">
                  <c:v>0.281417880295187</c:v>
                </c:pt>
                <c:pt idx="2242">
                  <c:v>0.26869464709329299</c:v>
                </c:pt>
                <c:pt idx="2243">
                  <c:v>0.266388562335654</c:v>
                </c:pt>
                <c:pt idx="2244">
                  <c:v>0.25440177678217402</c:v>
                </c:pt>
                <c:pt idx="2245">
                  <c:v>0.248934064248333</c:v>
                </c:pt>
                <c:pt idx="2246">
                  <c:v>0.23609909184497099</c:v>
                </c:pt>
                <c:pt idx="2247">
                  <c:v>0.23062154571326801</c:v>
                </c:pt>
                <c:pt idx="2248">
                  <c:v>0.22070191989608401</c:v>
                </c:pt>
                <c:pt idx="2249">
                  <c:v>0.21386588940276099</c:v>
                </c:pt>
                <c:pt idx="2250">
                  <c:v>0.20828520355685801</c:v>
                </c:pt>
                <c:pt idx="2251">
                  <c:v>0.20150381152629701</c:v>
                </c:pt>
                <c:pt idx="2252">
                  <c:v>0.19438542727081101</c:v>
                </c:pt>
                <c:pt idx="2253">
                  <c:v>0.184688015796456</c:v>
                </c:pt>
                <c:pt idx="2254">
                  <c:v>0.180942540455484</c:v>
                </c:pt>
                <c:pt idx="2255">
                  <c:v>0.170519421495513</c:v>
                </c:pt>
                <c:pt idx="2256">
                  <c:v>0.16325773628874701</c:v>
                </c:pt>
                <c:pt idx="2257">
                  <c:v>0.15937087476839601</c:v>
                </c:pt>
                <c:pt idx="2258">
                  <c:v>0.15476115235632801</c:v>
                </c:pt>
                <c:pt idx="2259">
                  <c:v>0.14668884631830401</c:v>
                </c:pt>
                <c:pt idx="2260">
                  <c:v>0.13457329083334801</c:v>
                </c:pt>
                <c:pt idx="2261">
                  <c:v>0.12869915301531901</c:v>
                </c:pt>
                <c:pt idx="2262">
                  <c:v>0.122240008022321</c:v>
                </c:pt>
                <c:pt idx="2263">
                  <c:v>0.113835542611972</c:v>
                </c:pt>
                <c:pt idx="2264">
                  <c:v>0.110838779325571</c:v>
                </c:pt>
                <c:pt idx="2265">
                  <c:v>0.102987732498257</c:v>
                </c:pt>
                <c:pt idx="2266">
                  <c:v>9.2214367788529997E-2</c:v>
                </c:pt>
                <c:pt idx="2267">
                  <c:v>8.8905955976306003E-2</c:v>
                </c:pt>
                <c:pt idx="2268">
                  <c:v>8.3677051777948E-2</c:v>
                </c:pt>
                <c:pt idx="2269">
                  <c:v>7.3851378609400997E-2</c:v>
                </c:pt>
                <c:pt idx="2270">
                  <c:v>6.8619874154710006E-2</c:v>
                </c:pt>
                <c:pt idx="2271">
                  <c:v>6.1594692808534003E-2</c:v>
                </c:pt>
                <c:pt idx="2272">
                  <c:v>5.5269748920648003E-2</c:v>
                </c:pt>
                <c:pt idx="2273">
                  <c:v>5.1687160033031997E-2</c:v>
                </c:pt>
                <c:pt idx="2274">
                  <c:v>4.7754823878555001E-2</c:v>
                </c:pt>
                <c:pt idx="2275">
                  <c:v>4.4553224045755999E-2</c:v>
                </c:pt>
                <c:pt idx="2276">
                  <c:v>3.7777547375146998E-2</c:v>
                </c:pt>
                <c:pt idx="2277">
                  <c:v>2.8106999518697998E-2</c:v>
                </c:pt>
                <c:pt idx="2278">
                  <c:v>2.3279464105226001E-2</c:v>
                </c:pt>
                <c:pt idx="2279">
                  <c:v>1.5871822826228E-2</c:v>
                </c:pt>
                <c:pt idx="2280">
                  <c:v>9.8836056956940008E-3</c:v>
                </c:pt>
                <c:pt idx="2281">
                  <c:v>5.5301596760100004E-3</c:v>
                </c:pt>
                <c:pt idx="2282">
                  <c:v>-5.6556318846000004E-4</c:v>
                </c:pt>
                <c:pt idx="2283">
                  <c:v>-2.1541263492760002E-3</c:v>
                </c:pt>
                <c:pt idx="2284">
                  <c:v>-3.815187809814E-3</c:v>
                </c:pt>
                <c:pt idx="2285">
                  <c:v>-7.8436701539489999E-3</c:v>
                </c:pt>
                <c:pt idx="2286">
                  <c:v>-1.1603360027854E-2</c:v>
                </c:pt>
                <c:pt idx="2287">
                  <c:v>-1.9206471091294999E-2</c:v>
                </c:pt>
                <c:pt idx="2288">
                  <c:v>-2.410133089963E-2</c:v>
                </c:pt>
                <c:pt idx="2289">
                  <c:v>-2.8467833467272E-2</c:v>
                </c:pt>
                <c:pt idx="2290">
                  <c:v>-3.0872246290327001E-2</c:v>
                </c:pt>
                <c:pt idx="2291">
                  <c:v>-4.0021440669143003E-2</c:v>
                </c:pt>
                <c:pt idx="2292">
                  <c:v>-4.2972871295388002E-2</c:v>
                </c:pt>
                <c:pt idx="2293">
                  <c:v>-4.5763848594135001E-2</c:v>
                </c:pt>
                <c:pt idx="2294">
                  <c:v>-5.2152706369868997E-2</c:v>
                </c:pt>
                <c:pt idx="2295">
                  <c:v>-5.5466578875351003E-2</c:v>
                </c:pt>
                <c:pt idx="2296">
                  <c:v>-6.2659872747491005E-2</c:v>
                </c:pt>
                <c:pt idx="2297">
                  <c:v>-6.8204846171440001E-2</c:v>
                </c:pt>
                <c:pt idx="2298">
                  <c:v>-7.1536731943702997E-2</c:v>
                </c:pt>
                <c:pt idx="2299">
                  <c:v>-7.5668357968859998E-2</c:v>
                </c:pt>
                <c:pt idx="2300">
                  <c:v>-8.1564064366871997E-2</c:v>
                </c:pt>
                <c:pt idx="2301">
                  <c:v>-8.0832353633481999E-2</c:v>
                </c:pt>
                <c:pt idx="2302">
                  <c:v>-8.3732165547929005E-2</c:v>
                </c:pt>
                <c:pt idx="2303">
                  <c:v>-8.4637755688403996E-2</c:v>
                </c:pt>
                <c:pt idx="2304">
                  <c:v>-9.1191183369861997E-2</c:v>
                </c:pt>
                <c:pt idx="2305">
                  <c:v>-9.8510849769400999E-2</c:v>
                </c:pt>
                <c:pt idx="2306">
                  <c:v>-0.100648029314836</c:v>
                </c:pt>
                <c:pt idx="2307">
                  <c:v>-0.10711248144216499</c:v>
                </c:pt>
                <c:pt idx="2308">
                  <c:v>-0.106951157999497</c:v>
                </c:pt>
                <c:pt idx="2309">
                  <c:v>-0.10725147882094201</c:v>
                </c:pt>
                <c:pt idx="2310">
                  <c:v>-0.108944707575858</c:v>
                </c:pt>
                <c:pt idx="2311">
                  <c:v>-0.115222988844184</c:v>
                </c:pt>
                <c:pt idx="2312">
                  <c:v>-0.119114086348811</c:v>
                </c:pt>
                <c:pt idx="2313">
                  <c:v>-0.121255308551019</c:v>
                </c:pt>
                <c:pt idx="2314">
                  <c:v>-0.121173699854839</c:v>
                </c:pt>
                <c:pt idx="2315">
                  <c:v>-0.126394259714292</c:v>
                </c:pt>
                <c:pt idx="2316">
                  <c:v>-0.13055287476719099</c:v>
                </c:pt>
                <c:pt idx="2317">
                  <c:v>-0.13064895772712501</c:v>
                </c:pt>
                <c:pt idx="2318">
                  <c:v>-0.13299447175277501</c:v>
                </c:pt>
                <c:pt idx="2319">
                  <c:v>-0.134198984614048</c:v>
                </c:pt>
                <c:pt idx="2320">
                  <c:v>-0.135627202463249</c:v>
                </c:pt>
                <c:pt idx="2321">
                  <c:v>-0.13865193022201699</c:v>
                </c:pt>
                <c:pt idx="2322">
                  <c:v>-0.14054955215676701</c:v>
                </c:pt>
                <c:pt idx="2323">
                  <c:v>-0.14075292428094899</c:v>
                </c:pt>
                <c:pt idx="2324">
                  <c:v>-0.144109867266736</c:v>
                </c:pt>
                <c:pt idx="2325">
                  <c:v>-0.14482249024018401</c:v>
                </c:pt>
                <c:pt idx="2326">
                  <c:v>-0.145069973529909</c:v>
                </c:pt>
                <c:pt idx="2327">
                  <c:v>-0.146169271556361</c:v>
                </c:pt>
                <c:pt idx="2328">
                  <c:v>-0.14994681837398</c:v>
                </c:pt>
                <c:pt idx="2329">
                  <c:v>-0.14636020682293399</c:v>
                </c:pt>
                <c:pt idx="2330">
                  <c:v>-0.15468192429965799</c:v>
                </c:pt>
                <c:pt idx="2331">
                  <c:v>-0.152774269436426</c:v>
                </c:pt>
                <c:pt idx="2332">
                  <c:v>-0.151261208511039</c:v>
                </c:pt>
                <c:pt idx="2333">
                  <c:v>-0.15316880777900699</c:v>
                </c:pt>
                <c:pt idx="2334">
                  <c:v>-0.15078240018106001</c:v>
                </c:pt>
                <c:pt idx="2335">
                  <c:v>-0.15281104718389699</c:v>
                </c:pt>
                <c:pt idx="2336">
                  <c:v>-0.15915860292606501</c:v>
                </c:pt>
                <c:pt idx="2337">
                  <c:v>-0.158296129375918</c:v>
                </c:pt>
                <c:pt idx="2338">
                  <c:v>-0.158456064611737</c:v>
                </c:pt>
                <c:pt idx="2339">
                  <c:v>-0.158731502946723</c:v>
                </c:pt>
                <c:pt idx="2340">
                  <c:v>-0.161171718248455</c:v>
                </c:pt>
                <c:pt idx="2341">
                  <c:v>-0.157971050851862</c:v>
                </c:pt>
                <c:pt idx="2342">
                  <c:v>-0.16069752663065301</c:v>
                </c:pt>
                <c:pt idx="2343">
                  <c:v>-0.159591883030023</c:v>
                </c:pt>
                <c:pt idx="2344">
                  <c:v>-0.15870469013990099</c:v>
                </c:pt>
                <c:pt idx="2345">
                  <c:v>-0.159600528025753</c:v>
                </c:pt>
                <c:pt idx="2346">
                  <c:v>-0.16040202006273499</c:v>
                </c:pt>
                <c:pt idx="2347">
                  <c:v>-0.16404403055217401</c:v>
                </c:pt>
                <c:pt idx="2348">
                  <c:v>-0.16102815824054501</c:v>
                </c:pt>
                <c:pt idx="2349">
                  <c:v>-0.16283540815854899</c:v>
                </c:pt>
                <c:pt idx="2350">
                  <c:v>-0.159994743868457</c:v>
                </c:pt>
                <c:pt idx="2351">
                  <c:v>-0.161937553495894</c:v>
                </c:pt>
                <c:pt idx="2352">
                  <c:v>-0.16046776975147301</c:v>
                </c:pt>
                <c:pt idx="2353">
                  <c:v>-0.160928857027827</c:v>
                </c:pt>
                <c:pt idx="2354">
                  <c:v>-0.16238268914144999</c:v>
                </c:pt>
                <c:pt idx="2355">
                  <c:v>-0.163421341260476</c:v>
                </c:pt>
                <c:pt idx="2356">
                  <c:v>-0.16437575382113701</c:v>
                </c:pt>
                <c:pt idx="2357">
                  <c:v>-0.16401292669642201</c:v>
                </c:pt>
                <c:pt idx="2358">
                  <c:v>-0.163412429279752</c:v>
                </c:pt>
                <c:pt idx="2359">
                  <c:v>-0.16329519560646499</c:v>
                </c:pt>
                <c:pt idx="2360">
                  <c:v>-0.16411143647544199</c:v>
                </c:pt>
                <c:pt idx="2361">
                  <c:v>-0.16650778792030099</c:v>
                </c:pt>
                <c:pt idx="2362">
                  <c:v>-0.16145368950972999</c:v>
                </c:pt>
                <c:pt idx="2363">
                  <c:v>-0.162129572959716</c:v>
                </c:pt>
                <c:pt idx="2364">
                  <c:v>-0.15859383675838401</c:v>
                </c:pt>
                <c:pt idx="2365">
                  <c:v>-0.16357650044067801</c:v>
                </c:pt>
                <c:pt idx="2366">
                  <c:v>-0.16370084007885899</c:v>
                </c:pt>
                <c:pt idx="2367">
                  <c:v>-0.16158250544602401</c:v>
                </c:pt>
                <c:pt idx="2368">
                  <c:v>-0.15943241185436799</c:v>
                </c:pt>
                <c:pt idx="2369">
                  <c:v>-0.162172419247644</c:v>
                </c:pt>
                <c:pt idx="2370">
                  <c:v>-0.16755555284649501</c:v>
                </c:pt>
                <c:pt idx="2371">
                  <c:v>-0.163944142363256</c:v>
                </c:pt>
                <c:pt idx="2372">
                  <c:v>-0.16612158013272099</c:v>
                </c:pt>
                <c:pt idx="2373">
                  <c:v>-0.16118167635227401</c:v>
                </c:pt>
                <c:pt idx="2374">
                  <c:v>-0.16257991713258499</c:v>
                </c:pt>
                <c:pt idx="2375">
                  <c:v>-0.162482419336581</c:v>
                </c:pt>
                <c:pt idx="2376">
                  <c:v>-0.162777759174981</c:v>
                </c:pt>
                <c:pt idx="2377">
                  <c:v>-0.16594622850885599</c:v>
                </c:pt>
                <c:pt idx="2378">
                  <c:v>-0.1612989084806</c:v>
                </c:pt>
                <c:pt idx="2379">
                  <c:v>-0.16383121736892001</c:v>
                </c:pt>
                <c:pt idx="2380">
                  <c:v>-0.16351119602732</c:v>
                </c:pt>
                <c:pt idx="2381">
                  <c:v>-0.16347581969716199</c:v>
                </c:pt>
                <c:pt idx="2382">
                  <c:v>-0.16103479277554</c:v>
                </c:pt>
                <c:pt idx="2383">
                  <c:v>-0.16030397900743601</c:v>
                </c:pt>
                <c:pt idx="2384">
                  <c:v>-0.166621425601849</c:v>
                </c:pt>
                <c:pt idx="2385">
                  <c:v>-0.16477423314791001</c:v>
                </c:pt>
                <c:pt idx="2386">
                  <c:v>-0.16605497047841999</c:v>
                </c:pt>
                <c:pt idx="2387">
                  <c:v>-0.162814037777158</c:v>
                </c:pt>
                <c:pt idx="2388">
                  <c:v>-0.16459788470011599</c:v>
                </c:pt>
                <c:pt idx="2389">
                  <c:v>-0.15988014560540101</c:v>
                </c:pt>
                <c:pt idx="2390">
                  <c:v>-0.16607225388310101</c:v>
                </c:pt>
                <c:pt idx="2391">
                  <c:v>-0.163309150683352</c:v>
                </c:pt>
                <c:pt idx="2392">
                  <c:v>-0.16662800540997799</c:v>
                </c:pt>
                <c:pt idx="2393">
                  <c:v>-0.165348559330359</c:v>
                </c:pt>
                <c:pt idx="2394">
                  <c:v>-0.16467753146910299</c:v>
                </c:pt>
                <c:pt idx="2395">
                  <c:v>-0.16562019924089699</c:v>
                </c:pt>
                <c:pt idx="2396">
                  <c:v>-0.16584653033267699</c:v>
                </c:pt>
                <c:pt idx="2397">
                  <c:v>-0.16641135207418201</c:v>
                </c:pt>
                <c:pt idx="2398">
                  <c:v>-0.164785096474097</c:v>
                </c:pt>
                <c:pt idx="2399">
                  <c:v>-0.162352809675892</c:v>
                </c:pt>
                <c:pt idx="2400">
                  <c:v>-0.162327804016134</c:v>
                </c:pt>
                <c:pt idx="2401">
                  <c:v>-0.168035436560176</c:v>
                </c:pt>
                <c:pt idx="2402">
                  <c:v>-0.168789261552034</c:v>
                </c:pt>
                <c:pt idx="2403">
                  <c:v>-0.165678390641401</c:v>
                </c:pt>
                <c:pt idx="2404">
                  <c:v>-0.16647191125388899</c:v>
                </c:pt>
                <c:pt idx="2405">
                  <c:v>-0.16477402417807099</c:v>
                </c:pt>
                <c:pt idx="2406">
                  <c:v>-0.16606127883602101</c:v>
                </c:pt>
                <c:pt idx="2407">
                  <c:v>-0.16555590915541599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0-4746-8821-E7DC973B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12943"/>
        <c:axId val="308565391"/>
      </c:scatterChart>
      <c:valAx>
        <c:axId val="30751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Applied potential (V vs Ag/AgCl)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8565391"/>
        <c:crosses val="autoZero"/>
        <c:crossBetween val="midCat"/>
      </c:valAx>
      <c:valAx>
        <c:axId val="3085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 (A/m²)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512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31431</xdr:colOff>
      <xdr:row>25</xdr:row>
      <xdr:rowOff>155575</xdr:rowOff>
    </xdr:from>
    <xdr:to>
      <xdr:col>8</xdr:col>
      <xdr:colOff>571499</xdr:colOff>
      <xdr:row>41</xdr:row>
      <xdr:rowOff>1270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538797</xdr:colOff>
      <xdr:row>9</xdr:row>
      <xdr:rowOff>47943</xdr:rowOff>
    </xdr:from>
    <xdr:to>
      <xdr:col>32</xdr:col>
      <xdr:colOff>184150</xdr:colOff>
      <xdr:row>21</xdr:row>
      <xdr:rowOff>95251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127000</xdr:colOff>
      <xdr:row>32</xdr:row>
      <xdr:rowOff>187325</xdr:rowOff>
    </xdr:from>
    <xdr:to>
      <xdr:col>32</xdr:col>
      <xdr:colOff>234950</xdr:colOff>
      <xdr:row>47</xdr:row>
      <xdr:rowOff>69850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25717</xdr:colOff>
      <xdr:row>9</xdr:row>
      <xdr:rowOff>104457</xdr:rowOff>
    </xdr:from>
    <xdr:to>
      <xdr:col>33</xdr:col>
      <xdr:colOff>165100</xdr:colOff>
      <xdr:row>23</xdr:row>
      <xdr:rowOff>44450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254000</xdr:colOff>
      <xdr:row>34</xdr:row>
      <xdr:rowOff>22225</xdr:rowOff>
    </xdr:from>
    <xdr:to>
      <xdr:col>34</xdr:col>
      <xdr:colOff>241300</xdr:colOff>
      <xdr:row>48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6</xdr:row>
      <xdr:rowOff>125094</xdr:rowOff>
    </xdr:from>
    <xdr:to>
      <xdr:col>10</xdr:col>
      <xdr:colOff>429259</xdr:colOff>
      <xdr:row>22</xdr:row>
      <xdr:rowOff>156209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7</xdr:row>
      <xdr:rowOff>61594</xdr:rowOff>
    </xdr:from>
    <xdr:to>
      <xdr:col>12</xdr:col>
      <xdr:colOff>514985</xdr:colOff>
      <xdr:row>24</xdr:row>
      <xdr:rowOff>60959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2"/>
  <sheetViews>
    <sheetView tabSelected="1" topLeftCell="A2" zoomScale="69" zoomScaleNormal="60" workbookViewId="0">
      <selection activeCell="G13" sqref="G13"/>
    </sheetView>
  </sheetViews>
  <sheetFormatPr baseColWidth="10" defaultRowHeight="14.5" x14ac:dyDescent="0.35"/>
  <cols>
    <col min="3" max="3" width="9.1796875" customWidth="1"/>
    <col min="4" max="4" width="7.1796875" customWidth="1"/>
    <col min="5" max="5" width="6.453125" customWidth="1"/>
    <col min="6" max="6" width="6.81640625" customWidth="1"/>
    <col min="7" max="7" width="5" customWidth="1"/>
    <col min="8" max="8" width="7.453125" customWidth="1"/>
    <col min="9" max="9" width="11.1796875" customWidth="1"/>
    <col min="10" max="10" width="8" customWidth="1"/>
    <col min="11" max="11" width="5" customWidth="1"/>
    <col min="12" max="13" width="5.81640625" customWidth="1"/>
    <col min="14" max="14" width="4.81640625" customWidth="1"/>
    <col min="15" max="16" width="5" customWidth="1"/>
    <col min="17" max="17" width="5.54296875" customWidth="1"/>
    <col min="18" max="18" width="11.453125" customWidth="1"/>
    <col min="19" max="19" width="14.7265625" customWidth="1"/>
    <col min="24" max="24" width="6" customWidth="1"/>
    <col min="25" max="25" width="6.1796875" customWidth="1"/>
    <col min="26" max="26" width="5.1796875" customWidth="1"/>
    <col min="27" max="27" width="6" customWidth="1"/>
    <col min="28" max="28" width="5.1796875" customWidth="1"/>
    <col min="29" max="30" width="6.1796875" customWidth="1"/>
    <col min="31" max="31" width="5.81640625" customWidth="1"/>
    <col min="32" max="32" width="6.81640625" customWidth="1"/>
    <col min="33" max="33" width="6" customWidth="1"/>
    <col min="34" max="34" width="5.54296875" customWidth="1"/>
  </cols>
  <sheetData>
    <row r="1" spans="1:34" s="21" customFormat="1" ht="15.5" thickTop="1" thickBot="1" x14ac:dyDescent="0.4">
      <c r="D1" s="21" t="s">
        <v>0</v>
      </c>
      <c r="R1" s="45" t="s">
        <v>57</v>
      </c>
      <c r="S1" s="45"/>
      <c r="T1" s="45"/>
      <c r="U1" s="45"/>
      <c r="V1" s="34"/>
      <c r="W1" s="41" t="s">
        <v>76</v>
      </c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34" s="21" customFormat="1" ht="15.5" thickTop="1" thickBot="1" x14ac:dyDescent="0.4">
      <c r="C2" s="10" t="s">
        <v>1</v>
      </c>
      <c r="D2" s="10" t="s">
        <v>11</v>
      </c>
      <c r="E2" s="10" t="s">
        <v>12</v>
      </c>
      <c r="F2" s="10" t="s">
        <v>49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2</v>
      </c>
      <c r="L2" s="10" t="s">
        <v>3</v>
      </c>
      <c r="M2" s="10" t="s">
        <v>4</v>
      </c>
      <c r="N2" s="10" t="s">
        <v>5</v>
      </c>
      <c r="O2" s="10" t="s">
        <v>10</v>
      </c>
      <c r="P2" s="10" t="s">
        <v>6</v>
      </c>
      <c r="Q2" s="10" t="s">
        <v>7</v>
      </c>
      <c r="R2" s="14" t="s">
        <v>71</v>
      </c>
      <c r="S2" s="14" t="s">
        <v>72</v>
      </c>
      <c r="T2" s="14" t="s">
        <v>75</v>
      </c>
      <c r="U2" s="14" t="s">
        <v>73</v>
      </c>
      <c r="V2"/>
      <c r="W2" s="10" t="s">
        <v>52</v>
      </c>
      <c r="X2" s="10" t="s">
        <v>49</v>
      </c>
      <c r="Y2" s="10" t="s">
        <v>13</v>
      </c>
      <c r="Z2" s="10" t="s">
        <v>14</v>
      </c>
      <c r="AA2" s="10" t="s">
        <v>15</v>
      </c>
      <c r="AB2" s="10" t="s">
        <v>2</v>
      </c>
      <c r="AC2" s="10" t="s">
        <v>3</v>
      </c>
      <c r="AD2" s="10" t="s">
        <v>5</v>
      </c>
      <c r="AE2" s="10" t="s">
        <v>10</v>
      </c>
      <c r="AF2" s="10" t="s">
        <v>6</v>
      </c>
      <c r="AG2" s="10" t="s">
        <v>7</v>
      </c>
      <c r="AH2" s="10" t="s">
        <v>4</v>
      </c>
    </row>
    <row r="3" spans="1:34" s="21" customFormat="1" ht="15.5" thickTop="1" thickBot="1" x14ac:dyDescent="0.4">
      <c r="A3" s="21" t="s">
        <v>8</v>
      </c>
      <c r="B3" s="22">
        <v>44897.625</v>
      </c>
      <c r="C3" s="10">
        <v>0</v>
      </c>
      <c r="D3" s="11">
        <v>2.2948717948717948E-2</v>
      </c>
      <c r="E3" s="11">
        <v>2.3717948717948724E-3</v>
      </c>
      <c r="F3" s="11">
        <v>0.16</v>
      </c>
      <c r="G3" s="11">
        <v>1.1070833333333334</v>
      </c>
      <c r="H3" s="11">
        <v>0.19743589743589748</v>
      </c>
      <c r="I3" s="11">
        <v>0.31137820512820513</v>
      </c>
      <c r="J3" s="11">
        <v>1.4102564102564106E-3</v>
      </c>
      <c r="K3" s="11">
        <v>1.2599679487179487</v>
      </c>
      <c r="L3" s="11">
        <v>0.35051282051282057</v>
      </c>
      <c r="M3" s="11">
        <v>9.743589743589744E-3</v>
      </c>
      <c r="N3" s="11">
        <v>0.24</v>
      </c>
      <c r="O3" s="11">
        <v>7.532051282051283E-3</v>
      </c>
      <c r="P3" s="11">
        <v>4.041666666666667E-2</v>
      </c>
      <c r="Q3" s="11">
        <v>3.7371794871794872E-2</v>
      </c>
      <c r="R3" s="20">
        <v>0</v>
      </c>
      <c r="S3" s="15">
        <v>0</v>
      </c>
      <c r="T3" s="14">
        <f t="shared" ref="T3:T9" si="0">((S3*25.27)/(B$14*2))</f>
        <v>0</v>
      </c>
      <c r="U3" s="36">
        <v>0</v>
      </c>
      <c r="W3" s="10">
        <f>C3</f>
        <v>0</v>
      </c>
      <c r="X3" s="18">
        <f>(F3/46)*1000</f>
        <v>3.4782608695652177</v>
      </c>
      <c r="Y3" s="18">
        <f>(G3/118.09)*1000</f>
        <v>9.3749117904423187</v>
      </c>
      <c r="Z3" s="18">
        <f>(H3/90.08)*1000</f>
        <v>2.1917839413398919</v>
      </c>
      <c r="AA3" s="18">
        <f>(I3/46.03)*1000</f>
        <v>6.764679668220837</v>
      </c>
      <c r="AB3" s="18">
        <f t="shared" ref="AB3:AB8" si="1">(K3/60)*1000</f>
        <v>20.999465811965813</v>
      </c>
      <c r="AC3" s="18">
        <f>(L3/74.08)*1000</f>
        <v>4.731544553358809</v>
      </c>
      <c r="AD3" s="18">
        <f t="shared" ref="AD3:AD9" si="2">(N3/88.11)*1000</f>
        <v>2.7238678924072182</v>
      </c>
      <c r="AE3" s="18">
        <f t="shared" ref="AE3:AF9" si="3">(O3/102.13)*1000</f>
        <v>7.3749645374045658E-2</v>
      </c>
      <c r="AF3" s="18">
        <f t="shared" si="3"/>
        <v>0.39573745879434713</v>
      </c>
      <c r="AG3" s="18">
        <f t="shared" ref="AG3:AG9" si="4">(Q3/116.1583)*1000</f>
        <v>0.32173159276431279</v>
      </c>
      <c r="AH3" s="18">
        <f t="shared" ref="AH3:AH9" si="5">(M3/88.11)*1000</f>
        <v>0.11058438024730161</v>
      </c>
    </row>
    <row r="4" spans="1:34" s="21" customFormat="1" ht="15.5" thickTop="1" thickBot="1" x14ac:dyDescent="0.4">
      <c r="A4" s="21" t="s">
        <v>9</v>
      </c>
      <c r="B4" s="22">
        <v>44900.375</v>
      </c>
      <c r="C4" s="10">
        <f t="shared" ref="C4:C9" si="6">((B4-$B$3)*24)/24</f>
        <v>2.75</v>
      </c>
      <c r="D4" s="10"/>
      <c r="E4" s="10"/>
      <c r="F4" s="10">
        <v>0.16</v>
      </c>
      <c r="G4" s="10">
        <v>0.72075</v>
      </c>
      <c r="H4" s="10">
        <v>0</v>
      </c>
      <c r="I4" s="10">
        <v>0</v>
      </c>
      <c r="J4" s="10"/>
      <c r="K4" s="10">
        <v>1.252</v>
      </c>
      <c r="L4" s="10">
        <v>0.58799999999999997</v>
      </c>
      <c r="M4" s="10"/>
      <c r="N4" s="10">
        <v>0.22</v>
      </c>
      <c r="O4" s="10">
        <v>2.5999999999999999E-2</v>
      </c>
      <c r="P4" s="10">
        <v>4.4999999999999998E-2</v>
      </c>
      <c r="Q4" s="10">
        <v>4.5999999999999999E-2</v>
      </c>
      <c r="R4" s="20">
        <f>332.52/1000</f>
        <v>0.33251999999999998</v>
      </c>
      <c r="S4" s="14">
        <f>SUM(Chronoamperometries!K2:K385)</f>
        <v>3306.6060461685684</v>
      </c>
      <c r="T4" s="14">
        <f t="shared" si="0"/>
        <v>0.43300997453842421</v>
      </c>
      <c r="U4" s="36">
        <f t="shared" ref="U4:U9" si="7">R4/T4</f>
        <v>0.76792688287251687</v>
      </c>
      <c r="W4" s="10">
        <f t="shared" ref="W4:W9" si="8">C4</f>
        <v>2.75</v>
      </c>
      <c r="X4" s="18">
        <f t="shared" ref="X4:X9" si="9">(F4/46)*1000</f>
        <v>3.4782608695652177</v>
      </c>
      <c r="Y4" s="18">
        <f t="shared" ref="Y4:Y9" si="10">(G4/118.09)*1000</f>
        <v>6.1033957151325264</v>
      </c>
      <c r="Z4" s="18">
        <f t="shared" ref="Z4:Z9" si="11">(H4/90.08)*1000</f>
        <v>0</v>
      </c>
      <c r="AA4" s="18">
        <f t="shared" ref="AA4:AA9" si="12">(I4/46.03)*1000</f>
        <v>0</v>
      </c>
      <c r="AB4" s="18">
        <f t="shared" si="1"/>
        <v>20.866666666666664</v>
      </c>
      <c r="AC4" s="18">
        <f t="shared" ref="AC4:AC9" si="13">(L4/74.08)*1000</f>
        <v>7.9373650107991356</v>
      </c>
      <c r="AD4" s="18">
        <f t="shared" si="2"/>
        <v>2.4968789013732833</v>
      </c>
      <c r="AE4" s="18">
        <f t="shared" si="3"/>
        <v>0.25457749926564183</v>
      </c>
      <c r="AF4" s="18">
        <f t="shared" si="3"/>
        <v>0.44061490257514929</v>
      </c>
      <c r="AG4" s="18">
        <f t="shared" si="4"/>
        <v>0.39601130526187112</v>
      </c>
      <c r="AH4" s="18">
        <f t="shared" si="5"/>
        <v>0</v>
      </c>
    </row>
    <row r="5" spans="1:34" s="21" customFormat="1" ht="15.5" thickTop="1" thickBot="1" x14ac:dyDescent="0.4">
      <c r="A5" s="21" t="s">
        <v>66</v>
      </c>
      <c r="B5" s="22">
        <v>44901.375</v>
      </c>
      <c r="C5" s="10">
        <f t="shared" si="6"/>
        <v>3.75</v>
      </c>
      <c r="D5" s="10"/>
      <c r="E5" s="10"/>
      <c r="F5" s="10">
        <f>AVERAGE(F4,F6)</f>
        <v>0.155</v>
      </c>
      <c r="G5" s="10">
        <f>AVERAGE(G4,G6)</f>
        <v>0.36699999999999999</v>
      </c>
      <c r="H5" s="10">
        <f>AVERAGE(H4,H6)</f>
        <v>0</v>
      </c>
      <c r="I5" s="10">
        <f>AVERAGE(I4,I6)</f>
        <v>0</v>
      </c>
      <c r="J5" s="10"/>
      <c r="K5" s="10">
        <v>0.98299999999999998</v>
      </c>
      <c r="L5" s="10">
        <v>0.99099999999999999</v>
      </c>
      <c r="M5" s="10"/>
      <c r="N5" s="10">
        <v>0.27500000000000002</v>
      </c>
      <c r="O5" s="10"/>
      <c r="P5" s="10">
        <v>4.4999999999999998E-2</v>
      </c>
      <c r="Q5" s="10">
        <v>0.04</v>
      </c>
      <c r="R5" s="20">
        <f>749.8/1000</f>
        <v>0.74979999999999991</v>
      </c>
      <c r="S5" s="14">
        <f>SUM(Chronoamperometries!K2:K529)</f>
        <v>6541.6072771009331</v>
      </c>
      <c r="T5" s="14">
        <f t="shared" si="0"/>
        <v>0.85664308385935928</v>
      </c>
      <c r="U5" s="36">
        <f t="shared" si="7"/>
        <v>0.87527701341145658</v>
      </c>
      <c r="W5" s="10">
        <f t="shared" si="8"/>
        <v>3.75</v>
      </c>
      <c r="X5" s="18">
        <f t="shared" si="9"/>
        <v>3.3695652173913042</v>
      </c>
      <c r="Y5" s="18">
        <f t="shared" si="10"/>
        <v>3.107799136252011</v>
      </c>
      <c r="Z5" s="18">
        <f t="shared" si="11"/>
        <v>0</v>
      </c>
      <c r="AA5" s="18">
        <f t="shared" si="12"/>
        <v>0</v>
      </c>
      <c r="AB5" s="18">
        <f t="shared" si="1"/>
        <v>16.383333333333333</v>
      </c>
      <c r="AC5" s="18">
        <f t="shared" si="13"/>
        <v>13.377429805615552</v>
      </c>
      <c r="AD5" s="18">
        <f t="shared" si="2"/>
        <v>3.1210986267166043</v>
      </c>
      <c r="AE5" s="18">
        <f t="shared" si="3"/>
        <v>0</v>
      </c>
      <c r="AF5" s="18">
        <f t="shared" si="3"/>
        <v>0.44061490257514929</v>
      </c>
      <c r="AG5" s="18">
        <f t="shared" si="4"/>
        <v>0.34435765674945318</v>
      </c>
      <c r="AH5" s="18">
        <f t="shared" si="5"/>
        <v>0</v>
      </c>
    </row>
    <row r="6" spans="1:34" s="21" customFormat="1" ht="15.5" thickTop="1" thickBot="1" x14ac:dyDescent="0.4">
      <c r="A6" s="21" t="s">
        <v>67</v>
      </c>
      <c r="B6" s="22">
        <v>44902.375</v>
      </c>
      <c r="C6" s="10">
        <f t="shared" si="6"/>
        <v>4.75</v>
      </c>
      <c r="D6" s="10"/>
      <c r="E6" s="10"/>
      <c r="F6" s="10">
        <v>0.15</v>
      </c>
      <c r="G6" s="10">
        <v>1.325E-2</v>
      </c>
      <c r="H6" s="10">
        <v>0</v>
      </c>
      <c r="I6" s="10">
        <v>0</v>
      </c>
      <c r="J6" s="10"/>
      <c r="K6" s="10">
        <v>0.63</v>
      </c>
      <c r="L6" s="10">
        <v>0.98</v>
      </c>
      <c r="M6" s="10"/>
      <c r="N6" s="10">
        <v>0.23</v>
      </c>
      <c r="O6" s="10"/>
      <c r="P6" s="10">
        <v>4.9000000000000002E-2</v>
      </c>
      <c r="Q6" s="10">
        <v>0.03</v>
      </c>
      <c r="R6" s="20">
        <f>1082.32/1000</f>
        <v>1.0823199999999999</v>
      </c>
      <c r="S6" s="14">
        <f>SUM(Chronoamperometries!K2:K673)</f>
        <v>9216.3537208761682</v>
      </c>
      <c r="T6" s="14">
        <f t="shared" si="0"/>
        <v>1.2069091492280706</v>
      </c>
      <c r="U6" s="36">
        <f t="shared" si="7"/>
        <v>0.8967700681465901</v>
      </c>
      <c r="W6" s="10">
        <f t="shared" si="8"/>
        <v>4.75</v>
      </c>
      <c r="X6" s="18">
        <f t="shared" si="9"/>
        <v>3.2608695652173911</v>
      </c>
      <c r="Y6" s="18">
        <f t="shared" si="10"/>
        <v>0.11220255737149631</v>
      </c>
      <c r="Z6" s="18">
        <f t="shared" si="11"/>
        <v>0</v>
      </c>
      <c r="AA6" s="18">
        <f t="shared" si="12"/>
        <v>0</v>
      </c>
      <c r="AB6" s="18">
        <f t="shared" si="1"/>
        <v>10.5</v>
      </c>
      <c r="AC6" s="18">
        <f t="shared" si="13"/>
        <v>13.228941684665227</v>
      </c>
      <c r="AD6" s="18">
        <f t="shared" si="2"/>
        <v>2.6103733968902514</v>
      </c>
      <c r="AE6" s="18">
        <f t="shared" si="3"/>
        <v>0</v>
      </c>
      <c r="AF6" s="18">
        <f t="shared" si="3"/>
        <v>0.47978067169294042</v>
      </c>
      <c r="AG6" s="18">
        <f t="shared" si="4"/>
        <v>0.25826824256208986</v>
      </c>
      <c r="AH6" s="18">
        <f t="shared" si="5"/>
        <v>0</v>
      </c>
    </row>
    <row r="7" spans="1:34" s="21" customFormat="1" ht="15.5" thickTop="1" thickBot="1" x14ac:dyDescent="0.4">
      <c r="A7" s="21" t="s">
        <v>68</v>
      </c>
      <c r="B7" s="22">
        <v>44904.375</v>
      </c>
      <c r="C7" s="10">
        <f t="shared" si="6"/>
        <v>6.75</v>
      </c>
      <c r="D7" s="10"/>
      <c r="E7" s="10"/>
      <c r="F7" s="10">
        <v>0.1</v>
      </c>
      <c r="G7" s="10">
        <v>0</v>
      </c>
      <c r="H7" s="10">
        <v>0</v>
      </c>
      <c r="I7" s="10">
        <v>0</v>
      </c>
      <c r="J7" s="10"/>
      <c r="K7" s="10">
        <v>0.123</v>
      </c>
      <c r="L7" s="10">
        <v>0.95299999999999996</v>
      </c>
      <c r="M7" s="10"/>
      <c r="N7" s="10">
        <v>0.23</v>
      </c>
      <c r="O7" s="10">
        <v>2.3E-2</v>
      </c>
      <c r="P7" s="10">
        <v>7.0999999999999994E-2</v>
      </c>
      <c r="Q7" s="10">
        <v>4.8000000000000001E-2</v>
      </c>
      <c r="R7" s="20">
        <f>1763.66/1000</f>
        <v>1.76366</v>
      </c>
      <c r="S7" s="14">
        <f>SUM(Chronoamperometries!K2:K961)</f>
        <v>14686.676408071804</v>
      </c>
      <c r="T7" s="14">
        <f t="shared" si="0"/>
        <v>1.923264304461701</v>
      </c>
      <c r="U7" s="36">
        <f t="shared" si="7"/>
        <v>0.91701384771118477</v>
      </c>
      <c r="W7" s="10">
        <f t="shared" si="8"/>
        <v>6.75</v>
      </c>
      <c r="X7" s="18">
        <f t="shared" si="9"/>
        <v>2.1739130434782608</v>
      </c>
      <c r="Y7" s="18">
        <f t="shared" si="10"/>
        <v>0</v>
      </c>
      <c r="Z7" s="18">
        <f t="shared" si="11"/>
        <v>0</v>
      </c>
      <c r="AA7" s="18">
        <f t="shared" si="12"/>
        <v>0</v>
      </c>
      <c r="AB7" s="18">
        <f t="shared" si="1"/>
        <v>2.0500000000000003</v>
      </c>
      <c r="AC7" s="18">
        <f t="shared" si="13"/>
        <v>12.864470842332613</v>
      </c>
      <c r="AD7" s="18">
        <f t="shared" si="2"/>
        <v>2.6103733968902514</v>
      </c>
      <c r="AE7" s="18">
        <f t="shared" si="3"/>
        <v>0.22520317242729856</v>
      </c>
      <c r="AF7" s="18">
        <f t="shared" si="3"/>
        <v>0.69519240184079112</v>
      </c>
      <c r="AG7" s="18">
        <f t="shared" si="4"/>
        <v>0.41322918809934378</v>
      </c>
      <c r="AH7" s="18">
        <f t="shared" si="5"/>
        <v>0</v>
      </c>
    </row>
    <row r="8" spans="1:34" s="21" customFormat="1" ht="15.5" thickTop="1" thickBot="1" x14ac:dyDescent="0.4">
      <c r="A8" s="21" t="s">
        <v>69</v>
      </c>
      <c r="B8" s="22">
        <v>44907.375</v>
      </c>
      <c r="C8" s="10">
        <f t="shared" si="6"/>
        <v>9.75</v>
      </c>
      <c r="D8" s="10"/>
      <c r="E8" s="10"/>
      <c r="F8" s="10">
        <v>0</v>
      </c>
      <c r="G8" s="10">
        <v>0</v>
      </c>
      <c r="H8" s="10">
        <v>0</v>
      </c>
      <c r="I8" s="10">
        <v>0</v>
      </c>
      <c r="J8" s="10">
        <v>2.5000000000000001E-4</v>
      </c>
      <c r="K8" s="10">
        <v>1.8125000000000002E-2</v>
      </c>
      <c r="L8" s="10">
        <v>0.83437499999999998</v>
      </c>
      <c r="M8" s="10">
        <v>0.02</v>
      </c>
      <c r="N8" s="10">
        <v>0.26</v>
      </c>
      <c r="O8" s="10">
        <v>2.8375000000000001E-2</v>
      </c>
      <c r="P8" s="10">
        <v>7.1500000000000008E-2</v>
      </c>
      <c r="Q8" s="10">
        <v>3.8875E-2</v>
      </c>
      <c r="R8" s="20">
        <f>2027.72/1000</f>
        <v>2.02772</v>
      </c>
      <c r="S8" s="14">
        <f>SUM(Chronoamperometries!K2:K1393)</f>
        <v>17299.951652201264</v>
      </c>
      <c r="T8" s="14">
        <f t="shared" si="0"/>
        <v>2.2654805319538061</v>
      </c>
      <c r="U8" s="36">
        <f t="shared" si="7"/>
        <v>0.89505072826701559</v>
      </c>
      <c r="W8" s="10">
        <f t="shared" si="8"/>
        <v>9.75</v>
      </c>
      <c r="X8" s="18">
        <f t="shared" si="9"/>
        <v>0</v>
      </c>
      <c r="Y8" s="18">
        <f t="shared" si="10"/>
        <v>0</v>
      </c>
      <c r="Z8" s="18">
        <f t="shared" si="11"/>
        <v>0</v>
      </c>
      <c r="AA8" s="18">
        <f t="shared" si="12"/>
        <v>0</v>
      </c>
      <c r="AB8" s="18">
        <f t="shared" si="1"/>
        <v>0.30208333333333337</v>
      </c>
      <c r="AC8" s="18">
        <f t="shared" si="13"/>
        <v>11.263161447084233</v>
      </c>
      <c r="AD8" s="18">
        <f t="shared" si="2"/>
        <v>2.950856883441153</v>
      </c>
      <c r="AE8" s="18">
        <f t="shared" si="3"/>
        <v>0.2778321746793303</v>
      </c>
      <c r="AF8" s="18">
        <f t="shared" si="3"/>
        <v>0.70008812298051515</v>
      </c>
      <c r="AG8" s="18">
        <f t="shared" si="4"/>
        <v>0.33467259765337476</v>
      </c>
      <c r="AH8" s="18">
        <f t="shared" si="5"/>
        <v>0.22698899103393486</v>
      </c>
    </row>
    <row r="9" spans="1:34" s="21" customFormat="1" ht="15.5" thickTop="1" thickBot="1" x14ac:dyDescent="0.4">
      <c r="A9" s="21" t="s">
        <v>70</v>
      </c>
      <c r="B9" s="22">
        <v>44908.375</v>
      </c>
      <c r="C9" s="10">
        <f t="shared" si="6"/>
        <v>10.75</v>
      </c>
      <c r="D9" s="10"/>
      <c r="E9" s="10"/>
      <c r="F9" s="10">
        <v>0</v>
      </c>
      <c r="G9" s="10">
        <v>0</v>
      </c>
      <c r="H9" s="10">
        <v>0</v>
      </c>
      <c r="I9" s="10">
        <v>0</v>
      </c>
      <c r="J9" s="10"/>
      <c r="K9" s="10">
        <v>0.26424999999999998</v>
      </c>
      <c r="L9" s="10">
        <v>0.90787499999999999</v>
      </c>
      <c r="M9" s="10">
        <v>2.1999999999999999E-2</v>
      </c>
      <c r="N9" s="10">
        <v>0.236875</v>
      </c>
      <c r="O9" s="10">
        <v>2.4750000000000001E-2</v>
      </c>
      <c r="P9" s="10">
        <v>6.9874999999999993E-2</v>
      </c>
      <c r="Q9" s="10">
        <v>3.9E-2</v>
      </c>
      <c r="R9" s="20">
        <f>2078.89/1000</f>
        <v>2.0788899999999999</v>
      </c>
      <c r="S9" s="14">
        <f>B15</f>
        <v>17885.978500613546</v>
      </c>
      <c r="T9" s="14">
        <f t="shared" si="0"/>
        <v>2.3422225045888183</v>
      </c>
      <c r="U9" s="36">
        <f t="shared" si="7"/>
        <v>0.88757152487737412</v>
      </c>
      <c r="W9" s="10">
        <f t="shared" si="8"/>
        <v>10.75</v>
      </c>
      <c r="X9" s="18">
        <f t="shared" si="9"/>
        <v>0</v>
      </c>
      <c r="Y9" s="18">
        <f t="shared" si="10"/>
        <v>0</v>
      </c>
      <c r="Z9" s="18">
        <f t="shared" si="11"/>
        <v>0</v>
      </c>
      <c r="AA9" s="18">
        <f t="shared" si="12"/>
        <v>0</v>
      </c>
      <c r="AB9" s="18">
        <f>(K8/60)*1000</f>
        <v>0.30208333333333337</v>
      </c>
      <c r="AC9" s="18">
        <f t="shared" si="13"/>
        <v>12.255332073434126</v>
      </c>
      <c r="AD9" s="18">
        <f t="shared" si="2"/>
        <v>2.6884008625581659</v>
      </c>
      <c r="AE9" s="18">
        <f t="shared" si="3"/>
        <v>0.24233819641633217</v>
      </c>
      <c r="AF9" s="18">
        <f t="shared" si="3"/>
        <v>0.68417702927641233</v>
      </c>
      <c r="AG9" s="18">
        <f t="shared" si="4"/>
        <v>0.33574871533071676</v>
      </c>
      <c r="AH9" s="18">
        <f t="shared" si="5"/>
        <v>0.24968789013732834</v>
      </c>
    </row>
    <row r="10" spans="1:34" s="21" customFormat="1" ht="15" thickTop="1" x14ac:dyDescent="0.35">
      <c r="A10" s="21" t="s">
        <v>30</v>
      </c>
      <c r="D10" s="23">
        <f>D3-D8</f>
        <v>2.2948717948717948E-2</v>
      </c>
      <c r="E10" s="23">
        <f>E3-E8</f>
        <v>2.3717948717948724E-3</v>
      </c>
      <c r="F10" s="23">
        <f>F3-F9</f>
        <v>0.16</v>
      </c>
      <c r="G10" s="23">
        <f>G3-G8</f>
        <v>1.1070833333333334</v>
      </c>
      <c r="H10" s="23">
        <f>H3-H8</f>
        <v>0.19743589743589748</v>
      </c>
      <c r="I10" s="23">
        <f>I3-I8</f>
        <v>0.31137820512820513</v>
      </c>
      <c r="J10" s="23">
        <f>J3-J9</f>
        <v>1.4102564102564106E-3</v>
      </c>
      <c r="K10" s="23">
        <f>K3-K8</f>
        <v>1.2418429487179488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f>Q3-Q8</f>
        <v>-1.5032051282051276E-3</v>
      </c>
      <c r="R10" s="21">
        <f>((1*R9)/(0.08205746*308))*2</f>
        <v>0.164510158056144</v>
      </c>
      <c r="S10" s="21" t="s">
        <v>34</v>
      </c>
    </row>
    <row r="11" spans="1:34" s="21" customFormat="1" x14ac:dyDescent="0.35">
      <c r="A11" s="21" t="s">
        <v>31</v>
      </c>
      <c r="F11" s="21">
        <f>(F10/46)*1000</f>
        <v>3.4782608695652177</v>
      </c>
      <c r="G11" s="21">
        <f>(G10/118.09)*1000</f>
        <v>9.3749117904423187</v>
      </c>
      <c r="H11" s="21">
        <f>(H10/90.08)*1000</f>
        <v>2.1917839413398919</v>
      </c>
      <c r="I11" s="21">
        <f>(I10/46.03)*1000</f>
        <v>6.764679668220837</v>
      </c>
      <c r="J11" s="21">
        <f>(J10/74.121)*1000</f>
        <v>1.9026408308797919E-2</v>
      </c>
      <c r="K11" s="21">
        <f>(K10/60)*1000</f>
        <v>20.697382478632477</v>
      </c>
      <c r="L11" s="21">
        <f>(L10/74.08)*1000</f>
        <v>0</v>
      </c>
      <c r="M11" s="21">
        <f>(M10/88.11)*1000</f>
        <v>0</v>
      </c>
      <c r="N11" s="21">
        <f>(N10/88.11)*1000</f>
        <v>0</v>
      </c>
      <c r="O11" s="21">
        <f>(O10/102.13)*1000</f>
        <v>0</v>
      </c>
      <c r="P11" s="21">
        <f>(P10/102.13)*1000</f>
        <v>0</v>
      </c>
      <c r="Q11" s="21">
        <f>(Q10/116.07)*1000</f>
        <v>-1.295084973037932E-2</v>
      </c>
    </row>
    <row r="12" spans="1:34" s="21" customFormat="1" x14ac:dyDescent="0.35">
      <c r="A12" s="21" t="s">
        <v>32</v>
      </c>
      <c r="F12" s="21">
        <f>F11*0.85</f>
        <v>2.956521739130435</v>
      </c>
      <c r="G12" s="21">
        <f>G11*0.85</f>
        <v>7.9686750218759705</v>
      </c>
      <c r="H12" s="21">
        <f t="shared" ref="H12:Q12" si="14">H11*0.85</f>
        <v>1.8630163501389081</v>
      </c>
      <c r="I12" s="21">
        <f t="shared" si="14"/>
        <v>5.7499777179877114</v>
      </c>
      <c r="J12" s="21">
        <f t="shared" si="14"/>
        <v>1.617244706247823E-2</v>
      </c>
      <c r="K12" s="21">
        <f t="shared" si="14"/>
        <v>17.592775106837603</v>
      </c>
      <c r="L12" s="21">
        <f t="shared" si="14"/>
        <v>0</v>
      </c>
      <c r="M12" s="21">
        <f t="shared" si="14"/>
        <v>0</v>
      </c>
      <c r="N12" s="21">
        <f t="shared" si="14"/>
        <v>0</v>
      </c>
      <c r="O12" s="21">
        <f t="shared" si="14"/>
        <v>0</v>
      </c>
      <c r="P12" s="21">
        <f t="shared" si="14"/>
        <v>0</v>
      </c>
      <c r="Q12" s="21">
        <f t="shared" si="14"/>
        <v>-1.1008222270822422E-2</v>
      </c>
    </row>
    <row r="13" spans="1:34" s="21" customFormat="1" x14ac:dyDescent="0.35">
      <c r="A13" s="21" t="s">
        <v>33</v>
      </c>
      <c r="F13" s="21">
        <f>F12*12</f>
        <v>35.478260869565219</v>
      </c>
      <c r="G13" s="21">
        <f>G12*14</f>
        <v>111.56145030626359</v>
      </c>
      <c r="H13" s="21">
        <f>H12*12</f>
        <v>22.356196201666897</v>
      </c>
      <c r="I13" s="21">
        <f>I12*2</f>
        <v>11.499955435975423</v>
      </c>
      <c r="J13" s="21">
        <f>J12*24</f>
        <v>0.38813872949947753</v>
      </c>
      <c r="K13" s="21">
        <f>K12*8</f>
        <v>140.74220085470083</v>
      </c>
      <c r="L13" s="21">
        <f>L12*14</f>
        <v>0</v>
      </c>
      <c r="M13" s="21">
        <f>M12*20</f>
        <v>0</v>
      </c>
      <c r="N13" s="21">
        <f>N12*20</f>
        <v>0</v>
      </c>
      <c r="O13" s="21">
        <f>O12*26</f>
        <v>0</v>
      </c>
      <c r="P13" s="21">
        <f>P12*26</f>
        <v>0</v>
      </c>
      <c r="Q13" s="21">
        <f>Q12*32</f>
        <v>-0.35226311266631749</v>
      </c>
      <c r="R13" s="25">
        <f>SUM(F13:Q13)</f>
        <v>321.67393928500513</v>
      </c>
      <c r="S13" s="21" t="s">
        <v>36</v>
      </c>
    </row>
    <row r="14" spans="1:34" s="21" customFormat="1" ht="15" thickBot="1" x14ac:dyDescent="0.4">
      <c r="A14" s="37" t="s">
        <v>35</v>
      </c>
      <c r="B14" s="37">
        <v>96485</v>
      </c>
    </row>
    <row r="15" spans="1:34" s="21" customFormat="1" ht="15.5" thickTop="1" thickBot="1" x14ac:dyDescent="0.4">
      <c r="A15" s="12" t="s">
        <v>38</v>
      </c>
      <c r="B15" s="12">
        <f>Chronoamperometries!K1543</f>
        <v>17885.978500613546</v>
      </c>
      <c r="C15" s="12" t="s">
        <v>51</v>
      </c>
      <c r="E15" s="10"/>
      <c r="F15" s="10"/>
      <c r="G15" s="10" t="s">
        <v>49</v>
      </c>
      <c r="H15" s="10" t="s">
        <v>13</v>
      </c>
      <c r="I15" s="10" t="s">
        <v>14</v>
      </c>
      <c r="J15" s="10" t="s">
        <v>15</v>
      </c>
      <c r="K15" s="10" t="s">
        <v>48</v>
      </c>
      <c r="L15" s="10" t="s">
        <v>2</v>
      </c>
      <c r="M15" s="10" t="s">
        <v>3</v>
      </c>
      <c r="N15" s="10" t="s">
        <v>4</v>
      </c>
      <c r="O15" s="10" t="s">
        <v>5</v>
      </c>
      <c r="P15" s="10" t="s">
        <v>10</v>
      </c>
      <c r="Q15" s="10" t="s">
        <v>6</v>
      </c>
      <c r="R15" s="10" t="s">
        <v>7</v>
      </c>
      <c r="S15" s="10"/>
    </row>
    <row r="16" spans="1:34" s="21" customFormat="1" ht="15.5" thickTop="1" thickBot="1" x14ac:dyDescent="0.4">
      <c r="A16" s="12" t="s">
        <v>37</v>
      </c>
      <c r="B16" s="12">
        <f>((B15)/B14)*1000</f>
        <v>185.37574234972843</v>
      </c>
      <c r="C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35" s="21" customFormat="1" ht="15.5" thickTop="1" thickBot="1" x14ac:dyDescent="0.4">
      <c r="A17" s="12" t="s">
        <v>39</v>
      </c>
      <c r="B17" s="38">
        <f>B16/R13</f>
        <v>0.57628461529015673</v>
      </c>
      <c r="C17" s="39">
        <f>B17*100</f>
        <v>57.628461529015674</v>
      </c>
      <c r="E17" s="10" t="s">
        <v>44</v>
      </c>
      <c r="F17" s="10" t="s">
        <v>31</v>
      </c>
      <c r="G17" s="10">
        <f>(F3/46)*1000</f>
        <v>3.4782608695652177</v>
      </c>
      <c r="H17" s="10">
        <f>(G3/118.09)*1000</f>
        <v>9.3749117904423187</v>
      </c>
      <c r="I17" s="10">
        <f>(H3/90.08)*1000</f>
        <v>2.1917839413398919</v>
      </c>
      <c r="J17" s="10">
        <f>(I3/46.03)*1000</f>
        <v>6.764679668220837</v>
      </c>
      <c r="K17" s="10">
        <f>(J16/74.121)*1000</f>
        <v>0</v>
      </c>
      <c r="L17" s="10">
        <f>(K3/60)*1000</f>
        <v>20.999465811965813</v>
      </c>
      <c r="M17" s="10">
        <f>(L3/74.08)*1000</f>
        <v>4.731544553358809</v>
      </c>
      <c r="N17" s="10">
        <f>(M3/88.11)*1000</f>
        <v>0.11058438024730161</v>
      </c>
      <c r="O17" s="10">
        <f>(N3/88.11)*1000</f>
        <v>2.7238678924072182</v>
      </c>
      <c r="P17" s="10">
        <f>(O3/102.13)*1000</f>
        <v>7.3749645374045658E-2</v>
      </c>
      <c r="Q17" s="10">
        <f>(P3/102.13)*1000</f>
        <v>0.39573745879434713</v>
      </c>
      <c r="R17" s="10">
        <f>(Q3/116.07)*1000</f>
        <v>0.32197634937360964</v>
      </c>
      <c r="S17" s="10"/>
    </row>
    <row r="18" spans="1:35" s="21" customFormat="1" ht="15.5" thickTop="1" thickBot="1" x14ac:dyDescent="0.4">
      <c r="A18" s="12" t="s">
        <v>40</v>
      </c>
      <c r="B18" s="38">
        <f>R10/(B16/1000)</f>
        <v>0.88744166831591387</v>
      </c>
      <c r="C18" s="39">
        <f>B18*100</f>
        <v>88.744166831591386</v>
      </c>
      <c r="E18" s="10"/>
      <c r="F18" s="10" t="s">
        <v>32</v>
      </c>
      <c r="G18" s="10">
        <f>G17*0.85</f>
        <v>2.956521739130435</v>
      </c>
      <c r="H18" s="10">
        <f>H17*0.85</f>
        <v>7.9686750218759705</v>
      </c>
      <c r="I18" s="10">
        <f t="shared" ref="I18:R18" si="15">I17*0.85</f>
        <v>1.8630163501389081</v>
      </c>
      <c r="J18" s="10">
        <f t="shared" si="15"/>
        <v>5.7499777179877114</v>
      </c>
      <c r="K18" s="10">
        <f t="shared" si="15"/>
        <v>0</v>
      </c>
      <c r="L18" s="10">
        <f t="shared" si="15"/>
        <v>17.849545940170941</v>
      </c>
      <c r="M18" s="10">
        <f t="shared" si="15"/>
        <v>4.0218128703549878</v>
      </c>
      <c r="N18" s="10">
        <f t="shared" si="15"/>
        <v>9.3996723210206357E-2</v>
      </c>
      <c r="O18" s="10">
        <f t="shared" si="15"/>
        <v>2.3152877085461352</v>
      </c>
      <c r="P18" s="10">
        <f t="shared" si="15"/>
        <v>6.2687198567938807E-2</v>
      </c>
      <c r="Q18" s="10">
        <f t="shared" si="15"/>
        <v>0.33637683997519507</v>
      </c>
      <c r="R18" s="10">
        <f t="shared" si="15"/>
        <v>0.27367989696756817</v>
      </c>
      <c r="S18" s="10"/>
    </row>
    <row r="19" spans="1:35" s="21" customFormat="1" ht="15.5" thickTop="1" thickBot="1" x14ac:dyDescent="0.4">
      <c r="A19" s="12" t="s">
        <v>41</v>
      </c>
      <c r="B19" s="38">
        <f>B17*B18</f>
        <v>0.51141898041789124</v>
      </c>
      <c r="C19" s="39">
        <f>B19*100</f>
        <v>51.141898041789126</v>
      </c>
      <c r="E19" s="10"/>
      <c r="F19" s="10" t="s">
        <v>33</v>
      </c>
      <c r="G19" s="10">
        <f>G18*12</f>
        <v>35.478260869565219</v>
      </c>
      <c r="H19" s="10">
        <f>H18*14</f>
        <v>111.56145030626359</v>
      </c>
      <c r="I19" s="10">
        <f>I18*12</f>
        <v>22.356196201666897</v>
      </c>
      <c r="J19" s="10">
        <f>J18*2</f>
        <v>11.499955435975423</v>
      </c>
      <c r="K19" s="10">
        <f>K18*24</f>
        <v>0</v>
      </c>
      <c r="L19" s="10">
        <f>L18*8</f>
        <v>142.79636752136753</v>
      </c>
      <c r="M19" s="10">
        <f>M18*14</f>
        <v>56.305380184969827</v>
      </c>
      <c r="N19" s="10">
        <f>N18*20</f>
        <v>1.8799344642041271</v>
      </c>
      <c r="O19" s="10">
        <f>O18*20</f>
        <v>46.305754170922704</v>
      </c>
      <c r="P19" s="10">
        <f>P18*26</f>
        <v>1.629867162766409</v>
      </c>
      <c r="Q19" s="10">
        <f>Q18*26</f>
        <v>8.7457978393550722</v>
      </c>
      <c r="R19" s="10">
        <f>R18*32</f>
        <v>8.7577567029621814</v>
      </c>
      <c r="S19" s="10">
        <f>SUM(G19:R19)</f>
        <v>447.31672086001896</v>
      </c>
    </row>
    <row r="20" spans="1:35" s="21" customFormat="1" ht="15.5" thickTop="1" thickBot="1" x14ac:dyDescent="0.4">
      <c r="A20" s="12" t="s">
        <v>42</v>
      </c>
      <c r="B20" s="13">
        <f>((B15*25.27)/(B14*2))</f>
        <v>2.3422225045888183</v>
      </c>
      <c r="C20" s="12"/>
      <c r="E20" s="10" t="s">
        <v>45</v>
      </c>
      <c r="F20" s="10" t="s">
        <v>31</v>
      </c>
      <c r="G20" s="10">
        <f>(F9/72.121)*1000</f>
        <v>0</v>
      </c>
      <c r="H20" s="10">
        <f>(G9/118.09)*1000</f>
        <v>0</v>
      </c>
      <c r="I20" s="10">
        <f>(H9/90.08)*1000</f>
        <v>0</v>
      </c>
      <c r="J20" s="10">
        <f>(I9/46.03)*1000</f>
        <v>0</v>
      </c>
      <c r="K20" s="10">
        <f>(K19/74.121)*1000</f>
        <v>0</v>
      </c>
      <c r="L20" s="10">
        <f>(K8/60)*1000</f>
        <v>0.30208333333333337</v>
      </c>
      <c r="M20" s="10">
        <f>(L3/74.08)*1000</f>
        <v>4.731544553358809</v>
      </c>
      <c r="N20" s="10">
        <f>(M3/88.11)*1000</f>
        <v>0.11058438024730161</v>
      </c>
      <c r="O20" s="10">
        <f>(N9/88.11)*1000</f>
        <v>2.6884008625581659</v>
      </c>
      <c r="P20" s="10">
        <f>(O3/102.13)*1000</f>
        <v>7.3749645374045658E-2</v>
      </c>
      <c r="Q20" s="10">
        <f>(P3/102.13)*1000</f>
        <v>0.39573745879434713</v>
      </c>
      <c r="R20" s="10">
        <f>(Q9/116.07)*1000</f>
        <v>0.33600413543551305</v>
      </c>
      <c r="S20" s="10"/>
    </row>
    <row r="21" spans="1:35" s="21" customFormat="1" ht="15.5" thickTop="1" thickBot="1" x14ac:dyDescent="0.4">
      <c r="A21" s="12" t="s">
        <v>43</v>
      </c>
      <c r="B21" s="13">
        <f>R9</f>
        <v>2.0788899999999999</v>
      </c>
      <c r="C21" s="12"/>
      <c r="E21" s="10"/>
      <c r="F21" s="10" t="s">
        <v>32</v>
      </c>
      <c r="G21" s="10">
        <f t="shared" ref="G21:R21" si="16">G20*0.85</f>
        <v>0</v>
      </c>
      <c r="H21" s="10">
        <f t="shared" si="16"/>
        <v>0</v>
      </c>
      <c r="I21" s="10">
        <f t="shared" si="16"/>
        <v>0</v>
      </c>
      <c r="J21" s="10">
        <f t="shared" si="16"/>
        <v>0</v>
      </c>
      <c r="K21" s="10">
        <f t="shared" si="16"/>
        <v>0</v>
      </c>
      <c r="L21" s="10">
        <f t="shared" si="16"/>
        <v>0.25677083333333334</v>
      </c>
      <c r="M21" s="10">
        <f t="shared" si="16"/>
        <v>4.0218128703549878</v>
      </c>
      <c r="N21" s="10">
        <f t="shared" si="16"/>
        <v>9.3996723210206357E-2</v>
      </c>
      <c r="O21" s="10">
        <f t="shared" si="16"/>
        <v>2.2851407331744409</v>
      </c>
      <c r="P21" s="10">
        <f t="shared" si="16"/>
        <v>6.2687198567938807E-2</v>
      </c>
      <c r="Q21" s="10">
        <f t="shared" si="16"/>
        <v>0.33637683997519507</v>
      </c>
      <c r="R21" s="10">
        <f t="shared" si="16"/>
        <v>0.28560351512018611</v>
      </c>
      <c r="S21" s="10"/>
    </row>
    <row r="22" spans="1:35" s="21" customFormat="1" ht="15.5" thickTop="1" thickBot="1" x14ac:dyDescent="0.4">
      <c r="A22" s="12" t="s">
        <v>40</v>
      </c>
      <c r="B22" s="13">
        <f>B21/B20</f>
        <v>0.88757152487737412</v>
      </c>
      <c r="C22" s="12"/>
      <c r="E22" s="10"/>
      <c r="F22" s="10" t="s">
        <v>33</v>
      </c>
      <c r="G22" s="10">
        <f>G21*12</f>
        <v>0</v>
      </c>
      <c r="H22" s="10">
        <f>H21*14</f>
        <v>0</v>
      </c>
      <c r="I22" s="10">
        <f>I21*12</f>
        <v>0</v>
      </c>
      <c r="J22" s="10">
        <f>J21*2</f>
        <v>0</v>
      </c>
      <c r="K22" s="10">
        <f>K21*24</f>
        <v>0</v>
      </c>
      <c r="L22" s="10">
        <f>L21*8</f>
        <v>2.0541666666666667</v>
      </c>
      <c r="M22" s="10">
        <f>M21*14</f>
        <v>56.305380184969827</v>
      </c>
      <c r="N22" s="10">
        <f>N21*20</f>
        <v>1.8799344642041271</v>
      </c>
      <c r="O22" s="10">
        <f>O21*20</f>
        <v>45.702814663488816</v>
      </c>
      <c r="P22" s="10">
        <f>P21*26</f>
        <v>1.629867162766409</v>
      </c>
      <c r="Q22" s="10">
        <f>Q21*26</f>
        <v>8.7457978393550722</v>
      </c>
      <c r="R22" s="10">
        <f>R21*32</f>
        <v>9.1393124838459556</v>
      </c>
      <c r="S22" s="10">
        <f>SUM(G22:R22)</f>
        <v>125.45727346529686</v>
      </c>
      <c r="T22" s="32" t="s">
        <v>46</v>
      </c>
      <c r="U22" s="32"/>
      <c r="V22" s="33">
        <f>(S22*100)/S19</f>
        <v>28.046631752126437</v>
      </c>
      <c r="W22" s="24"/>
    </row>
    <row r="23" spans="1:35" s="21" customFormat="1" ht="15.5" thickTop="1" thickBot="1" x14ac:dyDescent="0.4">
      <c r="E23" s="10"/>
      <c r="F23" s="10"/>
      <c r="G23" s="10"/>
      <c r="H23" s="10">
        <f>SUM(H17,H20)</f>
        <v>9.3749117904423187</v>
      </c>
      <c r="I23" s="10"/>
      <c r="J23" s="10"/>
      <c r="K23" s="10"/>
      <c r="L23" s="10"/>
      <c r="M23" s="10">
        <f>SUM(M17,M20)</f>
        <v>9.4630891067176179</v>
      </c>
      <c r="N23" s="10"/>
      <c r="O23" s="10"/>
      <c r="P23" s="10"/>
      <c r="Q23" s="10"/>
      <c r="R23" s="10"/>
      <c r="S23" s="10"/>
      <c r="T23" s="32" t="s">
        <v>47</v>
      </c>
      <c r="U23" s="32"/>
      <c r="V23" s="33">
        <f>100-V22</f>
        <v>71.953368247873556</v>
      </c>
      <c r="W23" s="24"/>
    </row>
    <row r="24" spans="1:35" s="21" customFormat="1" ht="15.5" thickTop="1" thickBot="1" x14ac:dyDescent="0.4">
      <c r="W24" s="41" t="s">
        <v>77</v>
      </c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3"/>
    </row>
    <row r="25" spans="1:35" s="21" customFormat="1" ht="16.5" thickTop="1" thickBot="1" x14ac:dyDescent="0.4"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W25" s="10" t="s">
        <v>52</v>
      </c>
      <c r="X25" s="10" t="s">
        <v>49</v>
      </c>
      <c r="Y25" s="10" t="s">
        <v>13</v>
      </c>
      <c r="Z25" s="10" t="s">
        <v>14</v>
      </c>
      <c r="AA25" s="10" t="s">
        <v>15</v>
      </c>
      <c r="AB25" s="10" t="s">
        <v>2</v>
      </c>
      <c r="AC25" s="10" t="s">
        <v>3</v>
      </c>
      <c r="AD25" s="10" t="s">
        <v>5</v>
      </c>
      <c r="AE25" s="10" t="s">
        <v>10</v>
      </c>
      <c r="AF25" s="10" t="s">
        <v>6</v>
      </c>
      <c r="AG25" s="10" t="s">
        <v>7</v>
      </c>
      <c r="AH25" s="10" t="s">
        <v>4</v>
      </c>
      <c r="AI25" s="10" t="s">
        <v>74</v>
      </c>
    </row>
    <row r="26" spans="1:35" s="21" customFormat="1" ht="15.5" thickTop="1" thickBot="1" x14ac:dyDescent="0.4">
      <c r="W26" s="10">
        <v>0</v>
      </c>
      <c r="X26" s="18">
        <f t="shared" ref="X26:X32" si="17">F3*2.087</f>
        <v>0.33392000000000005</v>
      </c>
      <c r="Y26" s="11">
        <f t="shared" ref="Y26:Y32" si="18">G3*0.948</f>
        <v>1.049515</v>
      </c>
      <c r="Z26" s="18">
        <f t="shared" ref="Z26:Z32" si="19">H3*1.067</f>
        <v>0.21066410256410262</v>
      </c>
      <c r="AA26" s="18">
        <f t="shared" ref="AA26:AA32" si="20">I3*1.39</f>
        <v>0.43281570512820511</v>
      </c>
      <c r="AB26" s="18">
        <f t="shared" ref="AB26:AB31" si="21">K3*1.067</f>
        <v>1.3443858012820511</v>
      </c>
      <c r="AC26" s="18">
        <f t="shared" ref="AC26:AC32" si="22">L3*1.51</f>
        <v>0.52927435897435904</v>
      </c>
      <c r="AD26" s="18">
        <f t="shared" ref="AD26:AD32" si="23">N3*1.818</f>
        <v>0.43631999999999999</v>
      </c>
      <c r="AE26" s="18">
        <f t="shared" ref="AE26:AF32" si="24">O3*2.03</f>
        <v>1.5290064102564104E-2</v>
      </c>
      <c r="AF26" s="18">
        <f t="shared" si="24"/>
        <v>8.2045833333333332E-2</v>
      </c>
      <c r="AG26" s="18">
        <f t="shared" ref="AG26:AG32" si="25">Q3*2.2</f>
        <v>8.2217948717948727E-2</v>
      </c>
      <c r="AH26" s="18">
        <f t="shared" ref="AH26:AH32" si="26">M3*1.818</f>
        <v>1.7713846153846156E-2</v>
      </c>
      <c r="AI26" s="18">
        <f>SUM(X26:AH26)</f>
        <v>4.5341626602564098</v>
      </c>
    </row>
    <row r="27" spans="1:35" s="21" customFormat="1" ht="15.5" thickTop="1" thickBot="1" x14ac:dyDescent="0.4">
      <c r="W27" s="10">
        <v>2.75</v>
      </c>
      <c r="X27" s="18">
        <f t="shared" si="17"/>
        <v>0.33392000000000005</v>
      </c>
      <c r="Y27" s="11">
        <f t="shared" si="18"/>
        <v>0.68327099999999996</v>
      </c>
      <c r="Z27" s="18">
        <f t="shared" si="19"/>
        <v>0</v>
      </c>
      <c r="AA27" s="18">
        <f t="shared" si="20"/>
        <v>0</v>
      </c>
      <c r="AB27" s="18">
        <f t="shared" si="21"/>
        <v>1.3358839999999998</v>
      </c>
      <c r="AC27" s="18">
        <f t="shared" si="22"/>
        <v>0.88788</v>
      </c>
      <c r="AD27" s="18">
        <f t="shared" si="23"/>
        <v>0.39996000000000004</v>
      </c>
      <c r="AE27" s="18">
        <f t="shared" si="24"/>
        <v>5.2779999999999994E-2</v>
      </c>
      <c r="AF27" s="18">
        <f t="shared" si="24"/>
        <v>9.1349999999999987E-2</v>
      </c>
      <c r="AG27" s="18">
        <f t="shared" si="25"/>
        <v>0.10120000000000001</v>
      </c>
      <c r="AH27" s="18">
        <f t="shared" si="26"/>
        <v>0</v>
      </c>
      <c r="AI27" s="18">
        <f t="shared" ref="AI27:AI31" si="27">SUM(X27:AH27)</f>
        <v>3.8862449999999993</v>
      </c>
    </row>
    <row r="28" spans="1:35" s="21" customFormat="1" ht="15.5" thickTop="1" thickBot="1" x14ac:dyDescent="0.4">
      <c r="W28" s="10">
        <v>3.75</v>
      </c>
      <c r="X28" s="18">
        <f t="shared" si="17"/>
        <v>0.32348500000000002</v>
      </c>
      <c r="Y28" s="11">
        <f t="shared" si="18"/>
        <v>0.347916</v>
      </c>
      <c r="Z28" s="18">
        <f t="shared" si="19"/>
        <v>0</v>
      </c>
      <c r="AA28" s="18">
        <f t="shared" si="20"/>
        <v>0</v>
      </c>
      <c r="AB28" s="18">
        <f t="shared" si="21"/>
        <v>1.048861</v>
      </c>
      <c r="AC28" s="18">
        <f t="shared" si="22"/>
        <v>1.49641</v>
      </c>
      <c r="AD28" s="18">
        <f t="shared" si="23"/>
        <v>0.49995000000000006</v>
      </c>
      <c r="AE28" s="18">
        <f t="shared" si="24"/>
        <v>0</v>
      </c>
      <c r="AF28" s="18">
        <f t="shared" si="24"/>
        <v>9.1349999999999987E-2</v>
      </c>
      <c r="AG28" s="18">
        <f t="shared" si="25"/>
        <v>8.8000000000000009E-2</v>
      </c>
      <c r="AH28" s="18">
        <f t="shared" si="26"/>
        <v>0</v>
      </c>
      <c r="AI28" s="18">
        <f t="shared" si="27"/>
        <v>3.895972</v>
      </c>
    </row>
    <row r="29" spans="1:35" s="21" customFormat="1" ht="15.5" thickTop="1" thickBot="1" x14ac:dyDescent="0.4">
      <c r="L29" s="24"/>
      <c r="M29" s="24"/>
      <c r="R29" s="23"/>
      <c r="W29" s="10">
        <v>4.75</v>
      </c>
      <c r="X29" s="18">
        <f t="shared" si="17"/>
        <v>0.31304999999999999</v>
      </c>
      <c r="Y29" s="11">
        <f t="shared" si="18"/>
        <v>1.2560999999999999E-2</v>
      </c>
      <c r="Z29" s="18">
        <f t="shared" si="19"/>
        <v>0</v>
      </c>
      <c r="AA29" s="18">
        <f t="shared" si="20"/>
        <v>0</v>
      </c>
      <c r="AB29" s="18">
        <f t="shared" si="21"/>
        <v>0.67220999999999997</v>
      </c>
      <c r="AC29" s="18">
        <f t="shared" si="22"/>
        <v>1.4798</v>
      </c>
      <c r="AD29" s="18">
        <f t="shared" si="23"/>
        <v>0.41814000000000001</v>
      </c>
      <c r="AE29" s="18">
        <f t="shared" si="24"/>
        <v>0</v>
      </c>
      <c r="AF29" s="18">
        <f t="shared" si="24"/>
        <v>9.9469999999999989E-2</v>
      </c>
      <c r="AG29" s="18">
        <f t="shared" si="25"/>
        <v>6.6000000000000003E-2</v>
      </c>
      <c r="AH29" s="18">
        <f t="shared" si="26"/>
        <v>0</v>
      </c>
      <c r="AI29" s="18">
        <f t="shared" si="27"/>
        <v>3.0612310000000003</v>
      </c>
    </row>
    <row r="30" spans="1:35" s="21" customFormat="1" ht="15.5" thickTop="1" thickBot="1" x14ac:dyDescent="0.4">
      <c r="L30" s="24"/>
      <c r="M30" s="28"/>
      <c r="N30" s="28"/>
      <c r="R30" s="29"/>
      <c r="W30" s="10">
        <v>6.75</v>
      </c>
      <c r="X30" s="18">
        <f t="shared" si="17"/>
        <v>0.20870000000000002</v>
      </c>
      <c r="Y30" s="11">
        <f t="shared" si="18"/>
        <v>0</v>
      </c>
      <c r="Z30" s="18">
        <f t="shared" si="19"/>
        <v>0</v>
      </c>
      <c r="AA30" s="18">
        <f t="shared" si="20"/>
        <v>0</v>
      </c>
      <c r="AB30" s="18">
        <f t="shared" si="21"/>
        <v>0.131241</v>
      </c>
      <c r="AC30" s="18">
        <f t="shared" si="22"/>
        <v>1.43903</v>
      </c>
      <c r="AD30" s="18">
        <f t="shared" si="23"/>
        <v>0.41814000000000001</v>
      </c>
      <c r="AE30" s="18">
        <f t="shared" si="24"/>
        <v>4.6689999999999995E-2</v>
      </c>
      <c r="AF30" s="18">
        <f t="shared" si="24"/>
        <v>0.14412999999999998</v>
      </c>
      <c r="AG30" s="18">
        <f t="shared" si="25"/>
        <v>0.10560000000000001</v>
      </c>
      <c r="AH30" s="18">
        <f t="shared" si="26"/>
        <v>0</v>
      </c>
      <c r="AI30" s="18">
        <f t="shared" si="27"/>
        <v>2.4935309999999999</v>
      </c>
    </row>
    <row r="31" spans="1:35" s="21" customFormat="1" ht="15.5" thickTop="1" thickBot="1" x14ac:dyDescent="0.4">
      <c r="B31" s="30"/>
      <c r="C31" s="30"/>
      <c r="D31" s="30"/>
      <c r="E31" s="30"/>
      <c r="F31" s="31"/>
      <c r="L31" s="24"/>
      <c r="M31" s="28"/>
      <c r="N31" s="28"/>
      <c r="W31" s="10">
        <v>9.75</v>
      </c>
      <c r="X31" s="18">
        <f t="shared" si="17"/>
        <v>0</v>
      </c>
      <c r="Y31" s="11">
        <f t="shared" si="18"/>
        <v>0</v>
      </c>
      <c r="Z31" s="18">
        <f t="shared" si="19"/>
        <v>0</v>
      </c>
      <c r="AA31" s="18">
        <f t="shared" si="20"/>
        <v>0</v>
      </c>
      <c r="AB31" s="18">
        <f t="shared" si="21"/>
        <v>1.9339375000000002E-2</v>
      </c>
      <c r="AC31" s="18">
        <f t="shared" si="22"/>
        <v>1.25990625</v>
      </c>
      <c r="AD31" s="18">
        <f t="shared" si="23"/>
        <v>0.47268000000000004</v>
      </c>
      <c r="AE31" s="18">
        <f t="shared" si="24"/>
        <v>5.760125E-2</v>
      </c>
      <c r="AF31" s="18">
        <f t="shared" si="24"/>
        <v>0.145145</v>
      </c>
      <c r="AG31" s="18">
        <f t="shared" si="25"/>
        <v>8.5525000000000004E-2</v>
      </c>
      <c r="AH31" s="18">
        <f t="shared" si="26"/>
        <v>3.6360000000000003E-2</v>
      </c>
      <c r="AI31" s="18">
        <f t="shared" si="27"/>
        <v>2.0765568750000001</v>
      </c>
    </row>
    <row r="32" spans="1:35" s="21" customFormat="1" ht="15.5" thickTop="1" thickBot="1" x14ac:dyDescent="0.4">
      <c r="B32" s="28"/>
      <c r="C32" s="28"/>
      <c r="D32" s="28"/>
      <c r="E32" s="28"/>
      <c r="F32" s="29"/>
      <c r="W32" s="10">
        <v>10.75</v>
      </c>
      <c r="X32" s="18">
        <f t="shared" si="17"/>
        <v>0</v>
      </c>
      <c r="Y32" s="11">
        <f t="shared" si="18"/>
        <v>0</v>
      </c>
      <c r="Z32" s="18">
        <f t="shared" si="19"/>
        <v>0</v>
      </c>
      <c r="AA32" s="18">
        <f t="shared" si="20"/>
        <v>0</v>
      </c>
      <c r="AB32" s="18">
        <f>AB31</f>
        <v>1.9339375000000002E-2</v>
      </c>
      <c r="AC32" s="18">
        <f t="shared" si="22"/>
        <v>1.3708912499999999</v>
      </c>
      <c r="AD32" s="18">
        <f t="shared" si="23"/>
        <v>0.43063875000000001</v>
      </c>
      <c r="AE32" s="18">
        <f t="shared" si="24"/>
        <v>5.0242499999999995E-2</v>
      </c>
      <c r="AF32" s="18">
        <f t="shared" si="24"/>
        <v>0.14184624999999998</v>
      </c>
      <c r="AG32" s="18">
        <f t="shared" si="25"/>
        <v>8.5800000000000001E-2</v>
      </c>
      <c r="AH32" s="18">
        <f t="shared" si="26"/>
        <v>3.9995999999999997E-2</v>
      </c>
      <c r="AI32" s="18">
        <f>SUM(X32:AH32)</f>
        <v>2.1387541249999997</v>
      </c>
    </row>
    <row r="33" spans="2:30" s="21" customFormat="1" ht="15" thickTop="1" x14ac:dyDescent="0.35">
      <c r="B33" s="28"/>
      <c r="C33" s="28"/>
      <c r="D33" s="28"/>
      <c r="E33" s="28"/>
      <c r="F33" s="24"/>
      <c r="G33" s="28"/>
    </row>
    <row r="34" spans="2:30" s="21" customFormat="1" x14ac:dyDescent="0.35">
      <c r="B34" s="30"/>
      <c r="C34" s="30"/>
      <c r="D34" s="30"/>
      <c r="E34" s="30"/>
      <c r="F34" s="26"/>
    </row>
    <row r="35" spans="2:30" s="21" customFormat="1" x14ac:dyDescent="0.35">
      <c r="B35" s="30"/>
    </row>
    <row r="36" spans="2:30" s="21" customFormat="1" x14ac:dyDescent="0.35">
      <c r="B36" s="30"/>
    </row>
    <row r="37" spans="2:30" s="21" customFormat="1" x14ac:dyDescent="0.35"/>
    <row r="38" spans="2:30" s="21" customFormat="1" x14ac:dyDescent="0.35"/>
    <row r="39" spans="2:30" s="21" customFormat="1" x14ac:dyDescent="0.35">
      <c r="C39" s="28"/>
      <c r="D39" s="28"/>
      <c r="E39" s="28"/>
      <c r="F39" s="28"/>
      <c r="J39" s="28"/>
      <c r="K39" s="28"/>
      <c r="L39" s="28"/>
      <c r="M39" s="28"/>
    </row>
    <row r="40" spans="2:30" s="21" customFormat="1" x14ac:dyDescent="0.35">
      <c r="C40" s="28"/>
      <c r="D40" s="28"/>
      <c r="E40" s="28"/>
      <c r="F40" s="28"/>
      <c r="J40" s="28"/>
      <c r="K40" s="28"/>
      <c r="L40" s="28"/>
      <c r="M40" s="28"/>
      <c r="S40" s="4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2:30" s="21" customFormat="1" x14ac:dyDescent="0.35">
      <c r="C41" s="28"/>
      <c r="D41" s="28"/>
      <c r="E41" s="28"/>
      <c r="F41" s="28"/>
      <c r="J41" s="28"/>
      <c r="K41" s="28"/>
      <c r="L41" s="28"/>
      <c r="M41" s="28"/>
      <c r="S41" s="4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2:30" s="21" customFormat="1" x14ac:dyDescent="0.35">
      <c r="C42" s="28"/>
      <c r="D42" s="28"/>
      <c r="E42" s="28"/>
      <c r="F42" s="28"/>
      <c r="J42" s="28"/>
      <c r="K42" s="28"/>
      <c r="L42" s="28"/>
      <c r="M42" s="28"/>
      <c r="S42" s="4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2:30" s="21" customFormat="1" x14ac:dyDescent="0.35">
      <c r="S43" s="4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2:30" s="21" customFormat="1" x14ac:dyDescent="0.35">
      <c r="S44" s="4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2:30" s="21" customFormat="1" x14ac:dyDescent="0.35">
      <c r="S45" s="4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2:30" s="21" customFormat="1" x14ac:dyDescent="0.35"/>
    <row r="47" spans="2:30" s="21" customFormat="1" x14ac:dyDescent="0.35">
      <c r="F47" s="21">
        <v>62.4</v>
      </c>
    </row>
    <row r="48" spans="2:30" s="21" customFormat="1" x14ac:dyDescent="0.35">
      <c r="F48" s="21">
        <v>69.7</v>
      </c>
    </row>
    <row r="49" spans="6:6" s="21" customFormat="1" x14ac:dyDescent="0.35">
      <c r="F49" s="28">
        <f>AVERAGE(F47:F48)</f>
        <v>66.05</v>
      </c>
    </row>
    <row r="50" spans="6:6" s="21" customFormat="1" x14ac:dyDescent="0.35">
      <c r="F50" s="28">
        <f>_xlfn.STDEV.S(F47:F48)</f>
        <v>5.1618795026618001</v>
      </c>
    </row>
    <row r="51" spans="6:6" s="21" customFormat="1" x14ac:dyDescent="0.35"/>
    <row r="52" spans="6:6" s="21" customFormat="1" x14ac:dyDescent="0.35"/>
    <row r="53" spans="6:6" s="21" customFormat="1" x14ac:dyDescent="0.35"/>
    <row r="54" spans="6:6" s="21" customFormat="1" x14ac:dyDescent="0.35"/>
    <row r="55" spans="6:6" s="21" customFormat="1" x14ac:dyDescent="0.35"/>
    <row r="56" spans="6:6" s="21" customFormat="1" x14ac:dyDescent="0.35"/>
    <row r="57" spans="6:6" s="21" customFormat="1" x14ac:dyDescent="0.35"/>
    <row r="58" spans="6:6" s="21" customFormat="1" x14ac:dyDescent="0.35"/>
    <row r="59" spans="6:6" s="21" customFormat="1" x14ac:dyDescent="0.35"/>
    <row r="60" spans="6:6" s="21" customFormat="1" x14ac:dyDescent="0.35"/>
    <row r="61" spans="6:6" s="21" customFormat="1" x14ac:dyDescent="0.35"/>
    <row r="62" spans="6:6" s="21" customFormat="1" x14ac:dyDescent="0.35"/>
    <row r="63" spans="6:6" s="21" customFormat="1" x14ac:dyDescent="0.35"/>
    <row r="64" spans="6:6" s="21" customFormat="1" x14ac:dyDescent="0.35"/>
    <row r="65" s="21" customFormat="1" x14ac:dyDescent="0.35"/>
    <row r="66" s="21" customFormat="1" x14ac:dyDescent="0.35"/>
    <row r="67" s="21" customFormat="1" x14ac:dyDescent="0.35"/>
    <row r="68" s="21" customFormat="1" x14ac:dyDescent="0.35"/>
    <row r="69" s="21" customFormat="1" x14ac:dyDescent="0.35"/>
    <row r="70" s="21" customFormat="1" x14ac:dyDescent="0.35"/>
    <row r="71" s="21" customFormat="1" x14ac:dyDescent="0.35"/>
    <row r="72" s="21" customFormat="1" x14ac:dyDescent="0.35"/>
  </sheetData>
  <mergeCells count="5">
    <mergeCell ref="W1:AH1"/>
    <mergeCell ref="W24:AI24"/>
    <mergeCell ref="S40:S42"/>
    <mergeCell ref="S43:S45"/>
    <mergeCell ref="R1:U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topLeftCell="E1" zoomScale="80" zoomScaleNormal="80" workbookViewId="0">
      <selection activeCell="W25" sqref="W25:AI25"/>
    </sheetView>
  </sheetViews>
  <sheetFormatPr baseColWidth="10" defaultRowHeight="14.5" x14ac:dyDescent="0.35"/>
  <cols>
    <col min="1" max="1" width="15.453125" customWidth="1"/>
    <col min="3" max="3" width="9" customWidth="1"/>
    <col min="4" max="4" width="7.453125" customWidth="1"/>
    <col min="5" max="5" width="8.1796875" customWidth="1"/>
    <col min="6" max="6" width="7" customWidth="1"/>
    <col min="7" max="7" width="7.1796875" customWidth="1"/>
    <col min="8" max="8" width="6.81640625" customWidth="1"/>
    <col min="9" max="9" width="6.54296875" customWidth="1"/>
    <col min="10" max="10" width="7.81640625" customWidth="1"/>
    <col min="11" max="11" width="7.54296875" customWidth="1"/>
    <col min="12" max="12" width="6.1796875" customWidth="1"/>
    <col min="13" max="13" width="5.81640625" customWidth="1"/>
    <col min="14" max="14" width="6.453125" customWidth="1"/>
    <col min="15" max="15" width="6.1796875" customWidth="1"/>
    <col min="16" max="16" width="6" customWidth="1"/>
    <col min="17" max="17" width="5.81640625" customWidth="1"/>
    <col min="18" max="18" width="10.453125" customWidth="1"/>
    <col min="19" max="19" width="15.453125" customWidth="1"/>
    <col min="23" max="23" width="8.1796875" customWidth="1"/>
    <col min="24" max="24" width="4.453125" customWidth="1"/>
    <col min="25" max="25" width="6.1796875" customWidth="1"/>
    <col min="26" max="26" width="5.81640625" customWidth="1"/>
    <col min="27" max="27" width="6.1796875" customWidth="1"/>
    <col min="28" max="28" width="5" customWidth="1"/>
    <col min="29" max="29" width="6.453125" customWidth="1"/>
    <col min="30" max="30" width="7" customWidth="1"/>
    <col min="31" max="32" width="6.54296875" customWidth="1"/>
    <col min="33" max="33" width="6.81640625" customWidth="1"/>
    <col min="34" max="34" width="6" customWidth="1"/>
  </cols>
  <sheetData>
    <row r="1" spans="1:34" ht="15.5" thickTop="1" thickBot="1" x14ac:dyDescent="0.4">
      <c r="A1" s="8"/>
      <c r="B1" s="8"/>
      <c r="C1" s="10"/>
      <c r="D1" s="46" t="s">
        <v>58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5" t="s">
        <v>57</v>
      </c>
      <c r="S1" s="45"/>
      <c r="T1" s="45"/>
      <c r="U1" s="45"/>
      <c r="V1" s="8"/>
      <c r="W1" s="41" t="s">
        <v>60</v>
      </c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34" ht="15.5" thickTop="1" thickBot="1" x14ac:dyDescent="0.4">
      <c r="A2" s="8"/>
      <c r="B2" s="8"/>
      <c r="C2" s="10" t="s">
        <v>1</v>
      </c>
      <c r="D2" s="10" t="s">
        <v>11</v>
      </c>
      <c r="E2" s="10" t="s">
        <v>12</v>
      </c>
      <c r="F2" s="10" t="s">
        <v>49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2</v>
      </c>
      <c r="L2" s="10" t="s">
        <v>3</v>
      </c>
      <c r="M2" s="10" t="s">
        <v>4</v>
      </c>
      <c r="N2" s="10" t="s">
        <v>5</v>
      </c>
      <c r="O2" s="10" t="s">
        <v>10</v>
      </c>
      <c r="P2" s="10" t="s">
        <v>6</v>
      </c>
      <c r="Q2" s="10" t="s">
        <v>7</v>
      </c>
      <c r="R2" s="14" t="s">
        <v>53</v>
      </c>
      <c r="S2" s="14" t="s">
        <v>72</v>
      </c>
      <c r="T2" s="14" t="s">
        <v>54</v>
      </c>
      <c r="U2" s="14" t="s">
        <v>73</v>
      </c>
      <c r="V2" s="8"/>
      <c r="W2" s="10" t="s">
        <v>52</v>
      </c>
      <c r="X2" s="10" t="s">
        <v>49</v>
      </c>
      <c r="Y2" s="10" t="s">
        <v>13</v>
      </c>
      <c r="Z2" s="10" t="s">
        <v>14</v>
      </c>
      <c r="AA2" s="10" t="s">
        <v>15</v>
      </c>
      <c r="AB2" s="10" t="s">
        <v>2</v>
      </c>
      <c r="AC2" s="10" t="s">
        <v>3</v>
      </c>
      <c r="AD2" s="10" t="s">
        <v>5</v>
      </c>
      <c r="AE2" s="10" t="s">
        <v>10</v>
      </c>
      <c r="AF2" s="10" t="s">
        <v>6</v>
      </c>
      <c r="AG2" s="10" t="s">
        <v>7</v>
      </c>
      <c r="AH2" s="10" t="s">
        <v>4</v>
      </c>
    </row>
    <row r="3" spans="1:34" ht="15.5" thickTop="1" thickBot="1" x14ac:dyDescent="0.4">
      <c r="A3" s="8" t="s">
        <v>8</v>
      </c>
      <c r="B3" s="9">
        <v>44897.625</v>
      </c>
      <c r="C3" s="10">
        <v>0</v>
      </c>
      <c r="D3" s="11">
        <v>2.2948717948717948E-2</v>
      </c>
      <c r="E3" s="11">
        <v>2.3717948717948724E-3</v>
      </c>
      <c r="F3" s="11">
        <v>0.16</v>
      </c>
      <c r="G3" s="11">
        <v>1.1070833333333334</v>
      </c>
      <c r="H3" s="11">
        <v>0.19743589743589748</v>
      </c>
      <c r="I3" s="11">
        <v>0.31137820512820513</v>
      </c>
      <c r="J3" s="11">
        <v>1.4102564102564106E-3</v>
      </c>
      <c r="K3" s="11">
        <v>1.2599679487179487</v>
      </c>
      <c r="L3" s="11">
        <v>0.35051282051282057</v>
      </c>
      <c r="M3" s="11">
        <v>9.743589743589744E-3</v>
      </c>
      <c r="N3" s="11">
        <v>0.24</v>
      </c>
      <c r="O3" s="11">
        <v>7.532051282051283E-3</v>
      </c>
      <c r="P3" s="11">
        <v>4.041666666666667E-2</v>
      </c>
      <c r="Q3" s="11">
        <v>3.7371794871794872E-2</v>
      </c>
      <c r="R3" s="14">
        <v>0</v>
      </c>
      <c r="S3" s="15">
        <v>0</v>
      </c>
      <c r="T3" s="14">
        <f>((S3*25.27)/(B$14*2))</f>
        <v>0</v>
      </c>
      <c r="U3" s="35">
        <v>0</v>
      </c>
      <c r="V3" s="8"/>
      <c r="W3" s="10">
        <f>C3</f>
        <v>0</v>
      </c>
      <c r="X3" s="18">
        <f>(F3/46)*1000</f>
        <v>3.4782608695652177</v>
      </c>
      <c r="Y3" s="18">
        <f>(G3/118.09)*1000</f>
        <v>9.3749117904423187</v>
      </c>
      <c r="Z3" s="18">
        <f>(H3/90.08)*1000</f>
        <v>2.1917839413398919</v>
      </c>
      <c r="AA3" s="18">
        <f>(I3/46.03)*1000</f>
        <v>6.764679668220837</v>
      </c>
      <c r="AB3" s="18">
        <f>(K3/60)*1000</f>
        <v>20.999465811965813</v>
      </c>
      <c r="AC3" s="18">
        <f>(L3/74.08)*1000</f>
        <v>4.731544553358809</v>
      </c>
      <c r="AD3" s="18">
        <f t="shared" ref="AD3:AD9" si="0">(N3/88.11)*1000</f>
        <v>2.7238678924072182</v>
      </c>
      <c r="AE3" s="18">
        <f t="shared" ref="AE3:AF9" si="1">(O3/102.13)*1000</f>
        <v>7.3749645374045658E-2</v>
      </c>
      <c r="AF3" s="18">
        <f t="shared" si="1"/>
        <v>0.39573745879434713</v>
      </c>
      <c r="AG3" s="18">
        <f t="shared" ref="AG3:AG9" si="2">(Q3/116.1583)*1000</f>
        <v>0.32173159276431279</v>
      </c>
      <c r="AH3" s="18">
        <f t="shared" ref="AH3:AH9" si="3">(M3/88.11)*1000</f>
        <v>0.11058438024730161</v>
      </c>
    </row>
    <row r="4" spans="1:34" ht="15.5" thickTop="1" thickBot="1" x14ac:dyDescent="0.4">
      <c r="A4" s="8" t="s">
        <v>9</v>
      </c>
      <c r="B4" s="9">
        <v>44900.375</v>
      </c>
      <c r="C4" s="10">
        <f t="shared" ref="C4:C9" si="4">((B4-$B$3)*24)/24</f>
        <v>2.75</v>
      </c>
      <c r="D4" s="10"/>
      <c r="E4" s="10"/>
      <c r="F4" s="10">
        <v>0.136625</v>
      </c>
      <c r="G4" s="10">
        <v>0.65049999999999997</v>
      </c>
      <c r="H4" s="10">
        <v>0</v>
      </c>
      <c r="I4" s="10">
        <v>0</v>
      </c>
      <c r="J4" s="10"/>
      <c r="K4" s="10">
        <v>1.216</v>
      </c>
      <c r="L4" s="10">
        <v>0.622</v>
      </c>
      <c r="M4" s="10"/>
      <c r="N4" s="10">
        <v>0.35199999999999998</v>
      </c>
      <c r="O4" s="10"/>
      <c r="P4" s="10">
        <v>0.04</v>
      </c>
      <c r="Q4" s="10">
        <v>2.7E-2</v>
      </c>
      <c r="R4" s="14">
        <f>376.29/1000</f>
        <v>0.37629000000000001</v>
      </c>
      <c r="S4" s="14">
        <f>SUM(Chronoamperometries!L1:L384)</f>
        <v>3405.4827732139734</v>
      </c>
      <c r="T4" s="14">
        <f t="shared" ref="T4:T9" si="5">((S4*25.27)/(B$14*2))</f>
        <v>0.44595817836511947</v>
      </c>
      <c r="U4" s="35">
        <f t="shared" ref="U4:U9" si="6">R4/T4</f>
        <v>0.84377867310221177</v>
      </c>
      <c r="V4" s="8"/>
      <c r="W4" s="10">
        <f t="shared" ref="W4:W9" si="7">C4</f>
        <v>2.75</v>
      </c>
      <c r="X4" s="18">
        <f t="shared" ref="X4:X9" si="8">(F4/46)*1000</f>
        <v>2.9701086956521738</v>
      </c>
      <c r="Y4" s="18">
        <f t="shared" ref="Y4:Y9" si="9">(G4/118.09)*1000</f>
        <v>5.5085104581251576</v>
      </c>
      <c r="Z4" s="18">
        <f t="shared" ref="Z4:Z9" si="10">(H4/90.08)*1000</f>
        <v>0</v>
      </c>
      <c r="AA4" s="18">
        <f t="shared" ref="AA4:AA9" si="11">(I4/46.03)*1000</f>
        <v>0</v>
      </c>
      <c r="AB4" s="18">
        <f t="shared" ref="AB4:AB9" si="12">(K4/60)*1000</f>
        <v>20.266666666666666</v>
      </c>
      <c r="AC4" s="18">
        <f t="shared" ref="AC4:AC9" si="13">(L4/74.08)*1000</f>
        <v>8.3963282937365022</v>
      </c>
      <c r="AD4" s="18">
        <f t="shared" si="0"/>
        <v>3.9950062421972534</v>
      </c>
      <c r="AE4" s="18">
        <f t="shared" si="1"/>
        <v>0</v>
      </c>
      <c r="AF4" s="18">
        <f t="shared" si="1"/>
        <v>0.39165769117791055</v>
      </c>
      <c r="AG4" s="18">
        <f t="shared" si="2"/>
        <v>0.23244141830588086</v>
      </c>
      <c r="AH4" s="18">
        <f t="shared" si="3"/>
        <v>0</v>
      </c>
    </row>
    <row r="5" spans="1:34" ht="15.5" thickTop="1" thickBot="1" x14ac:dyDescent="0.4">
      <c r="A5" s="8" t="s">
        <v>66</v>
      </c>
      <c r="B5" s="9">
        <v>44901.375</v>
      </c>
      <c r="C5" s="10">
        <f t="shared" si="4"/>
        <v>3.75</v>
      </c>
      <c r="D5" s="10"/>
      <c r="E5" s="10"/>
      <c r="F5" s="10">
        <v>0.154</v>
      </c>
      <c r="G5" s="10">
        <v>0</v>
      </c>
      <c r="H5" s="10">
        <v>0</v>
      </c>
      <c r="I5" s="10">
        <v>0</v>
      </c>
      <c r="J5" s="10"/>
      <c r="K5" s="10">
        <v>0.92400000000000004</v>
      </c>
      <c r="L5" s="10">
        <v>1.008</v>
      </c>
      <c r="M5" s="10"/>
      <c r="N5" s="10">
        <v>0.28599999999999998</v>
      </c>
      <c r="O5" s="10"/>
      <c r="P5" s="10">
        <v>4.3999999999999997E-2</v>
      </c>
      <c r="Q5" s="10">
        <v>4.3999999999999997E-2</v>
      </c>
      <c r="R5" s="14">
        <f>792.54/1000</f>
        <v>0.79253999999999991</v>
      </c>
      <c r="S5" s="14">
        <f>SUM(Chronoamperometries!L1:L528)</f>
        <v>6772.726457075767</v>
      </c>
      <c r="T5" s="14">
        <f t="shared" si="5"/>
        <v>0.88690883334354886</v>
      </c>
      <c r="U5" s="35">
        <f t="shared" si="6"/>
        <v>0.89359804548592803</v>
      </c>
      <c r="V5" s="8"/>
      <c r="W5" s="10">
        <f t="shared" si="7"/>
        <v>3.75</v>
      </c>
      <c r="X5" s="18">
        <f t="shared" si="8"/>
        <v>3.347826086956522</v>
      </c>
      <c r="Y5" s="18">
        <f t="shared" si="9"/>
        <v>0</v>
      </c>
      <c r="Z5" s="18">
        <f t="shared" si="10"/>
        <v>0</v>
      </c>
      <c r="AA5" s="18">
        <f t="shared" si="11"/>
        <v>0</v>
      </c>
      <c r="AB5" s="18">
        <f t="shared" si="12"/>
        <v>15.4</v>
      </c>
      <c r="AC5" s="18">
        <f t="shared" si="13"/>
        <v>13.606911447084233</v>
      </c>
      <c r="AD5" s="18">
        <f t="shared" si="0"/>
        <v>3.2459425717852683</v>
      </c>
      <c r="AE5" s="18">
        <f t="shared" si="1"/>
        <v>0</v>
      </c>
      <c r="AF5" s="18">
        <f t="shared" si="1"/>
        <v>0.43082346029570157</v>
      </c>
      <c r="AG5" s="18">
        <f t="shared" si="2"/>
        <v>0.3787934224243984</v>
      </c>
      <c r="AH5" s="18">
        <f t="shared" si="3"/>
        <v>0</v>
      </c>
    </row>
    <row r="6" spans="1:34" ht="15.5" thickTop="1" thickBot="1" x14ac:dyDescent="0.4">
      <c r="A6" s="8" t="s">
        <v>67</v>
      </c>
      <c r="B6" s="9">
        <v>44902.375</v>
      </c>
      <c r="C6" s="10">
        <f t="shared" si="4"/>
        <v>4.75</v>
      </c>
      <c r="D6" s="10"/>
      <c r="E6" s="10"/>
      <c r="F6" s="10">
        <v>0</v>
      </c>
      <c r="G6" s="10">
        <v>0</v>
      </c>
      <c r="H6" s="10">
        <v>0</v>
      </c>
      <c r="I6" s="10">
        <v>0</v>
      </c>
      <c r="J6" s="10"/>
      <c r="K6" s="10">
        <v>0.55800000000000005</v>
      </c>
      <c r="L6" s="10">
        <v>0.89</v>
      </c>
      <c r="M6" s="10"/>
      <c r="N6" s="10">
        <v>0.35</v>
      </c>
      <c r="O6" s="10"/>
      <c r="P6" s="10">
        <v>5.7000000000000002E-2</v>
      </c>
      <c r="Q6" s="10">
        <v>3.5999999999999997E-2</v>
      </c>
      <c r="R6" s="14">
        <f>1158.84/1000</f>
        <v>1.1588399999999999</v>
      </c>
      <c r="S6" s="14">
        <f>SUM(Chronoamperometries!L1:L672)</f>
        <v>9747.7307963005114</v>
      </c>
      <c r="T6" s="14">
        <f t="shared" si="5"/>
        <v>1.2764945702571069</v>
      </c>
      <c r="U6" s="35">
        <f t="shared" si="6"/>
        <v>0.90782994851798748</v>
      </c>
      <c r="V6" s="8"/>
      <c r="W6" s="10">
        <f t="shared" si="7"/>
        <v>4.75</v>
      </c>
      <c r="X6" s="18">
        <f t="shared" si="8"/>
        <v>0</v>
      </c>
      <c r="Y6" s="18">
        <f t="shared" si="9"/>
        <v>0</v>
      </c>
      <c r="Z6" s="18">
        <f t="shared" si="10"/>
        <v>0</v>
      </c>
      <c r="AA6" s="18">
        <f t="shared" si="11"/>
        <v>0</v>
      </c>
      <c r="AB6" s="18">
        <f t="shared" si="12"/>
        <v>9.3000000000000007</v>
      </c>
      <c r="AC6" s="18">
        <f t="shared" si="13"/>
        <v>12.014038876889851</v>
      </c>
      <c r="AD6" s="18">
        <f t="shared" si="0"/>
        <v>3.9723073430938594</v>
      </c>
      <c r="AE6" s="18">
        <f t="shared" si="1"/>
        <v>0</v>
      </c>
      <c r="AF6" s="18">
        <f t="shared" si="1"/>
        <v>0.55811220992852251</v>
      </c>
      <c r="AG6" s="18">
        <f t="shared" si="2"/>
        <v>0.30992189107450779</v>
      </c>
      <c r="AH6" s="18">
        <f t="shared" si="3"/>
        <v>0</v>
      </c>
    </row>
    <row r="7" spans="1:34" ht="15.5" thickTop="1" thickBot="1" x14ac:dyDescent="0.4">
      <c r="A7" s="8" t="s">
        <v>68</v>
      </c>
      <c r="B7" s="9">
        <v>44904.375</v>
      </c>
      <c r="C7" s="10">
        <f t="shared" si="4"/>
        <v>6.75</v>
      </c>
      <c r="D7" s="10"/>
      <c r="E7" s="10"/>
      <c r="F7" s="10">
        <v>0</v>
      </c>
      <c r="G7" s="10">
        <v>0</v>
      </c>
      <c r="H7" s="10">
        <v>0</v>
      </c>
      <c r="I7" s="10">
        <v>0</v>
      </c>
      <c r="J7" s="10"/>
      <c r="K7" s="10">
        <v>5.3999999999999999E-2</v>
      </c>
      <c r="L7" s="10">
        <v>0.86799999999999999</v>
      </c>
      <c r="M7" s="10"/>
      <c r="N7" s="10">
        <v>0.252</v>
      </c>
      <c r="O7" s="10">
        <v>2.5999999999999999E-2</v>
      </c>
      <c r="P7" s="10">
        <v>0.124</v>
      </c>
      <c r="Q7" s="10">
        <v>6.5000000000000002E-2</v>
      </c>
      <c r="R7" s="14">
        <f>1911.42/1000</f>
        <v>1.9114200000000001</v>
      </c>
      <c r="S7" s="14">
        <f>SUM(Chronoamperometries!L1:L960)</f>
        <v>15881.167447444259</v>
      </c>
      <c r="T7" s="14">
        <f t="shared" si="5"/>
        <v>2.0796864870027281</v>
      </c>
      <c r="U7" s="35">
        <f t="shared" si="6"/>
        <v>0.91909045519392885</v>
      </c>
      <c r="V7" s="8"/>
      <c r="W7" s="10">
        <f t="shared" si="7"/>
        <v>6.75</v>
      </c>
      <c r="X7" s="18">
        <f t="shared" si="8"/>
        <v>0</v>
      </c>
      <c r="Y7" s="18">
        <f t="shared" si="9"/>
        <v>0</v>
      </c>
      <c r="Z7" s="18">
        <f t="shared" si="10"/>
        <v>0</v>
      </c>
      <c r="AA7" s="18">
        <f t="shared" si="11"/>
        <v>0</v>
      </c>
      <c r="AB7" s="18">
        <f t="shared" si="12"/>
        <v>0.9</v>
      </c>
      <c r="AC7" s="18">
        <f t="shared" si="13"/>
        <v>11.717062634989201</v>
      </c>
      <c r="AD7" s="18">
        <f t="shared" si="0"/>
        <v>2.8600612870275794</v>
      </c>
      <c r="AE7" s="18">
        <f t="shared" si="1"/>
        <v>0.25457749926564183</v>
      </c>
      <c r="AF7" s="18">
        <f t="shared" si="1"/>
        <v>1.2141388426515225</v>
      </c>
      <c r="AG7" s="18">
        <f t="shared" si="2"/>
        <v>0.5595811922178614</v>
      </c>
      <c r="AH7" s="18">
        <f t="shared" si="3"/>
        <v>0</v>
      </c>
    </row>
    <row r="8" spans="1:34" ht="15.5" thickTop="1" thickBot="1" x14ac:dyDescent="0.4">
      <c r="A8" s="8" t="s">
        <v>69</v>
      </c>
      <c r="B8" s="9">
        <v>44907.375</v>
      </c>
      <c r="C8" s="10">
        <f t="shared" si="4"/>
        <v>9.75</v>
      </c>
      <c r="D8" s="10"/>
      <c r="E8" s="10"/>
      <c r="F8" s="10">
        <v>0</v>
      </c>
      <c r="G8" s="10">
        <v>0</v>
      </c>
      <c r="H8" s="10">
        <v>0</v>
      </c>
      <c r="I8" s="10">
        <v>0</v>
      </c>
      <c r="J8" s="10"/>
      <c r="K8" s="10">
        <v>0</v>
      </c>
      <c r="L8" s="10">
        <v>0.75712500000000005</v>
      </c>
      <c r="M8" s="10"/>
      <c r="N8" s="10">
        <v>0.22950000000000001</v>
      </c>
      <c r="O8" s="10">
        <v>3.2875000000000001E-2</v>
      </c>
      <c r="P8" s="10">
        <v>0.12225</v>
      </c>
      <c r="Q8" s="10">
        <v>4.6124999999999999E-2</v>
      </c>
      <c r="R8" s="14">
        <f>2207.79/1000</f>
        <v>2.2077900000000001</v>
      </c>
      <c r="S8" s="14">
        <f>SUM(Chronoamperometries!L1:L1392)</f>
        <v>18662.811345624665</v>
      </c>
      <c r="T8" s="14">
        <f t="shared" si="5"/>
        <v>2.4439510944910361</v>
      </c>
      <c r="U8" s="35">
        <f t="shared" si="6"/>
        <v>0.90336914064140983</v>
      </c>
      <c r="V8" s="8"/>
      <c r="W8" s="10">
        <f t="shared" si="7"/>
        <v>9.75</v>
      </c>
      <c r="X8" s="18">
        <f t="shared" si="8"/>
        <v>0</v>
      </c>
      <c r="Y8" s="18">
        <f t="shared" si="9"/>
        <v>0</v>
      </c>
      <c r="Z8" s="18">
        <f t="shared" si="10"/>
        <v>0</v>
      </c>
      <c r="AA8" s="18">
        <f t="shared" si="11"/>
        <v>0</v>
      </c>
      <c r="AB8" s="18">
        <f t="shared" si="12"/>
        <v>0</v>
      </c>
      <c r="AC8" s="18">
        <f t="shared" si="13"/>
        <v>10.220369870410369</v>
      </c>
      <c r="AD8" s="18">
        <f t="shared" si="0"/>
        <v>2.6046986721144028</v>
      </c>
      <c r="AE8" s="18">
        <f t="shared" si="1"/>
        <v>0.32189366493684524</v>
      </c>
      <c r="AF8" s="18">
        <f t="shared" si="1"/>
        <v>1.1970038186624889</v>
      </c>
      <c r="AG8" s="18">
        <f t="shared" si="2"/>
        <v>0.39708742293921312</v>
      </c>
      <c r="AH8" s="18">
        <f t="shared" si="3"/>
        <v>0</v>
      </c>
    </row>
    <row r="9" spans="1:34" ht="15.5" thickTop="1" thickBot="1" x14ac:dyDescent="0.4">
      <c r="A9" s="8" t="s">
        <v>70</v>
      </c>
      <c r="B9" s="9">
        <v>44908.375</v>
      </c>
      <c r="C9" s="10">
        <f t="shared" si="4"/>
        <v>10.75</v>
      </c>
      <c r="D9" s="10"/>
      <c r="E9" s="10"/>
      <c r="F9" s="10">
        <v>0</v>
      </c>
      <c r="G9" s="10">
        <v>0</v>
      </c>
      <c r="H9" s="10">
        <v>0</v>
      </c>
      <c r="I9" s="10">
        <v>0</v>
      </c>
      <c r="J9" s="10"/>
      <c r="K9" s="10">
        <v>0</v>
      </c>
      <c r="L9" s="10">
        <v>0.71437499999999998</v>
      </c>
      <c r="M9" s="10">
        <v>2.8000000000000001E-2</v>
      </c>
      <c r="N9" s="10">
        <v>0.229125</v>
      </c>
      <c r="O9" s="10">
        <v>3.6124999999999997E-2</v>
      </c>
      <c r="P9" s="10">
        <v>0.127</v>
      </c>
      <c r="Q9" s="10">
        <v>4.9125000000000002E-2</v>
      </c>
      <c r="R9" s="14">
        <f>2281.03/1000</f>
        <v>2.2810300000000003</v>
      </c>
      <c r="S9" s="14">
        <f>SUM(Chronoamperometries!L2:L1542)</f>
        <v>19428.262676008511</v>
      </c>
      <c r="T9" s="14">
        <f t="shared" si="5"/>
        <v>2.5441892409324511</v>
      </c>
      <c r="U9" s="35">
        <f t="shared" si="6"/>
        <v>0.89656459641500474</v>
      </c>
      <c r="V9" s="8"/>
      <c r="W9" s="10">
        <f t="shared" si="7"/>
        <v>10.75</v>
      </c>
      <c r="X9" s="18">
        <f t="shared" si="8"/>
        <v>0</v>
      </c>
      <c r="Y9" s="18">
        <f t="shared" si="9"/>
        <v>0</v>
      </c>
      <c r="Z9" s="18">
        <f t="shared" si="10"/>
        <v>0</v>
      </c>
      <c r="AA9" s="18">
        <f t="shared" si="11"/>
        <v>0</v>
      </c>
      <c r="AB9" s="18">
        <f t="shared" si="12"/>
        <v>0</v>
      </c>
      <c r="AC9" s="18">
        <f t="shared" si="13"/>
        <v>9.6432910367170628</v>
      </c>
      <c r="AD9" s="18">
        <f t="shared" si="0"/>
        <v>2.600442628532516</v>
      </c>
      <c r="AE9" s="18">
        <f t="shared" si="1"/>
        <v>0.35371585234505043</v>
      </c>
      <c r="AF9" s="18">
        <f t="shared" si="1"/>
        <v>1.2435131694898658</v>
      </c>
      <c r="AG9" s="18">
        <f t="shared" si="2"/>
        <v>0.42291424719542214</v>
      </c>
      <c r="AH9" s="18">
        <f t="shared" si="3"/>
        <v>0.31778458744750882</v>
      </c>
    </row>
    <row r="10" spans="1:34" ht="15" thickTop="1" x14ac:dyDescent="0.35">
      <c r="A10" t="s">
        <v>30</v>
      </c>
      <c r="D10" s="3">
        <f>D3-D8</f>
        <v>2.2948717948717948E-2</v>
      </c>
      <c r="E10" s="3">
        <f t="shared" ref="E10:N10" si="14">E3-E8</f>
        <v>2.3717948717948724E-3</v>
      </c>
      <c r="F10" s="3">
        <f>F3-F9</f>
        <v>0.16</v>
      </c>
      <c r="G10" s="3">
        <f t="shared" si="14"/>
        <v>1.1070833333333334</v>
      </c>
      <c r="H10" s="3">
        <f t="shared" si="14"/>
        <v>0.19743589743589748</v>
      </c>
      <c r="I10" s="3">
        <f t="shared" si="14"/>
        <v>0.31137820512820513</v>
      </c>
      <c r="J10" s="3">
        <f t="shared" si="14"/>
        <v>1.4102564102564106E-3</v>
      </c>
      <c r="K10" s="3">
        <f>K3-K7</f>
        <v>1.2059679487179487</v>
      </c>
      <c r="L10" s="3">
        <v>0</v>
      </c>
      <c r="M10" s="3">
        <f t="shared" si="14"/>
        <v>9.743589743589744E-3</v>
      </c>
      <c r="N10" s="3">
        <f t="shared" si="14"/>
        <v>1.0499999999999982E-2</v>
      </c>
      <c r="O10" s="3">
        <v>0</v>
      </c>
      <c r="P10" s="3">
        <v>0</v>
      </c>
      <c r="Q10" s="3">
        <v>0</v>
      </c>
      <c r="R10">
        <f>((1*R9)/(0.08205746*308))*2</f>
        <v>0.18050623449571945</v>
      </c>
      <c r="S10" t="s">
        <v>34</v>
      </c>
    </row>
    <row r="11" spans="1:34" x14ac:dyDescent="0.35">
      <c r="A11" t="s">
        <v>31</v>
      </c>
      <c r="F11">
        <f>(F10/46)*1000</f>
        <v>3.4782608695652177</v>
      </c>
      <c r="G11">
        <f>(G10/118.09)*1000</f>
        <v>9.3749117904423187</v>
      </c>
      <c r="H11">
        <f>(H10/90.08)*1000</f>
        <v>2.1917839413398919</v>
      </c>
      <c r="I11">
        <f>(I10/46.03)*1000</f>
        <v>6.764679668220837</v>
      </c>
      <c r="J11">
        <f>(J10/74.121)*1000</f>
        <v>1.9026408308797919E-2</v>
      </c>
      <c r="K11">
        <f>(K10/60)*1000</f>
        <v>20.099465811965811</v>
      </c>
      <c r="L11">
        <f>(L10/74.08)*1000</f>
        <v>0</v>
      </c>
      <c r="M11">
        <f>(M10/88.11)*1000</f>
        <v>0.11058438024730161</v>
      </c>
      <c r="N11">
        <f>(N10/88.11)*1000</f>
        <v>0.11916922029281558</v>
      </c>
      <c r="O11">
        <f>(O10/102.13)*1000</f>
        <v>0</v>
      </c>
      <c r="P11">
        <f>(P10/102.13)*1000</f>
        <v>0</v>
      </c>
      <c r="Q11">
        <f>(Q10/116.07)*1000</f>
        <v>0</v>
      </c>
    </row>
    <row r="12" spans="1:34" x14ac:dyDescent="0.35">
      <c r="A12" t="s">
        <v>32</v>
      </c>
      <c r="F12">
        <f>F11*0.85</f>
        <v>2.956521739130435</v>
      </c>
      <c r="G12">
        <f>G11*0.85</f>
        <v>7.9686750218759705</v>
      </c>
      <c r="H12">
        <f t="shared" ref="H12:Q12" si="15">H11*0.85</f>
        <v>1.8630163501389081</v>
      </c>
      <c r="I12">
        <f t="shared" si="15"/>
        <v>5.7499777179877114</v>
      </c>
      <c r="J12">
        <f t="shared" si="15"/>
        <v>1.617244706247823E-2</v>
      </c>
      <c r="K12">
        <f t="shared" si="15"/>
        <v>17.084545940170937</v>
      </c>
      <c r="L12">
        <f t="shared" si="15"/>
        <v>0</v>
      </c>
      <c r="M12">
        <f t="shared" si="15"/>
        <v>9.3996723210206357E-2</v>
      </c>
      <c r="N12">
        <f t="shared" si="15"/>
        <v>0.10129383724889324</v>
      </c>
      <c r="O12">
        <f t="shared" si="15"/>
        <v>0</v>
      </c>
      <c r="P12">
        <f t="shared" si="15"/>
        <v>0</v>
      </c>
      <c r="Q12">
        <f t="shared" si="15"/>
        <v>0</v>
      </c>
    </row>
    <row r="13" spans="1:34" x14ac:dyDescent="0.35">
      <c r="A13" t="s">
        <v>33</v>
      </c>
      <c r="D13" s="47" t="s">
        <v>56</v>
      </c>
      <c r="E13" s="47"/>
      <c r="F13" s="4">
        <f>F12*12</f>
        <v>35.478260869565219</v>
      </c>
      <c r="G13" s="4">
        <f>G12*14</f>
        <v>111.56145030626359</v>
      </c>
      <c r="H13" s="4">
        <f>H12*12</f>
        <v>22.356196201666897</v>
      </c>
      <c r="I13" s="4">
        <f>I12*2</f>
        <v>11.499955435975423</v>
      </c>
      <c r="J13" s="4">
        <f>J12*24</f>
        <v>0.38813872949947753</v>
      </c>
      <c r="K13" s="4">
        <f>K12*8</f>
        <v>136.6763675213675</v>
      </c>
      <c r="L13" s="4">
        <f>L12*14</f>
        <v>0</v>
      </c>
      <c r="M13" s="4">
        <f>M12*20</f>
        <v>1.8799344642041271</v>
      </c>
      <c r="N13" s="4">
        <f>N12*20</f>
        <v>2.0258767449778645</v>
      </c>
      <c r="O13" s="4">
        <f>O12*26</f>
        <v>0</v>
      </c>
      <c r="P13" s="4">
        <f>P12*26</f>
        <v>0</v>
      </c>
      <c r="Q13" s="4">
        <f>Q12*32</f>
        <v>0</v>
      </c>
      <c r="R13" s="5">
        <f>SUM(F13:Q13)</f>
        <v>321.86618027352017</v>
      </c>
      <c r="S13" s="4" t="s">
        <v>36</v>
      </c>
    </row>
    <row r="14" spans="1:34" ht="15" thickBot="1" x14ac:dyDescent="0.4">
      <c r="A14" s="4" t="s">
        <v>35</v>
      </c>
      <c r="B14" s="4">
        <v>96485</v>
      </c>
    </row>
    <row r="15" spans="1:34" ht="15.5" thickTop="1" thickBot="1" x14ac:dyDescent="0.4">
      <c r="A15" s="12" t="s">
        <v>59</v>
      </c>
      <c r="B15" s="12"/>
      <c r="C15" s="12" t="s">
        <v>51</v>
      </c>
      <c r="E15" s="10"/>
      <c r="F15" s="10"/>
      <c r="G15" s="10" t="s">
        <v>49</v>
      </c>
      <c r="H15" s="10" t="s">
        <v>13</v>
      </c>
      <c r="I15" s="10" t="s">
        <v>14</v>
      </c>
      <c r="J15" s="10" t="s">
        <v>15</v>
      </c>
      <c r="K15" s="10" t="s">
        <v>48</v>
      </c>
      <c r="L15" s="10" t="s">
        <v>2</v>
      </c>
      <c r="M15" s="10" t="s">
        <v>3</v>
      </c>
      <c r="N15" s="10" t="s">
        <v>4</v>
      </c>
      <c r="O15" s="10" t="s">
        <v>5</v>
      </c>
      <c r="P15" s="10" t="s">
        <v>10</v>
      </c>
      <c r="Q15" s="10" t="s">
        <v>6</v>
      </c>
      <c r="R15" s="10" t="s">
        <v>7</v>
      </c>
      <c r="S15" s="10"/>
    </row>
    <row r="16" spans="1:34" ht="15.5" thickTop="1" thickBot="1" x14ac:dyDescent="0.4">
      <c r="A16" s="12" t="s">
        <v>38</v>
      </c>
      <c r="B16" s="12">
        <f>Chronoamperometries!L1543</f>
        <v>19428.262676008511</v>
      </c>
      <c r="C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35" ht="15.5" thickTop="1" thickBot="1" x14ac:dyDescent="0.4">
      <c r="A17" s="12" t="s">
        <v>37</v>
      </c>
      <c r="B17" s="12">
        <f>((B16)/B14)*1000</f>
        <v>201.36044645290471</v>
      </c>
      <c r="C17" s="12"/>
      <c r="E17" s="10" t="s">
        <v>44</v>
      </c>
      <c r="F17" s="10" t="s">
        <v>31</v>
      </c>
      <c r="G17" s="10">
        <f>(F3/46)*1000</f>
        <v>3.4782608695652177</v>
      </c>
      <c r="H17" s="10">
        <f>(G3/118.09)*1000</f>
        <v>9.3749117904423187</v>
      </c>
      <c r="I17" s="10">
        <f>(H3/90.08)*1000</f>
        <v>2.1917839413398919</v>
      </c>
      <c r="J17" s="10">
        <f>(I3/46.03)*1000</f>
        <v>6.764679668220837</v>
      </c>
      <c r="K17" s="10">
        <f>(J16/74.121)*1000</f>
        <v>0</v>
      </c>
      <c r="L17" s="10">
        <f>(K3/60)*1000</f>
        <v>20.999465811965813</v>
      </c>
      <c r="M17" s="10">
        <f>(L3/74.08)*1000</f>
        <v>4.731544553358809</v>
      </c>
      <c r="N17" s="10">
        <f>(M3/88.11)*1000</f>
        <v>0.11058438024730161</v>
      </c>
      <c r="O17" s="10">
        <f>(N3/88.11)*1000</f>
        <v>2.7238678924072182</v>
      </c>
      <c r="P17" s="10">
        <f>(O3/102.13)*1000</f>
        <v>7.3749645374045658E-2</v>
      </c>
      <c r="Q17" s="10">
        <f>(P3/102.13)*1000</f>
        <v>0.39573745879434713</v>
      </c>
      <c r="R17" s="10">
        <f>(Q3/116.07)*1000</f>
        <v>0.32197634937360964</v>
      </c>
      <c r="S17" s="10"/>
    </row>
    <row r="18" spans="1:35" ht="15.5" thickTop="1" thickBot="1" x14ac:dyDescent="0.4">
      <c r="A18" s="12" t="s">
        <v>39</v>
      </c>
      <c r="B18" s="13">
        <f>B17/R13</f>
        <v>0.62560299526278185</v>
      </c>
      <c r="C18" s="17">
        <f>B18*100</f>
        <v>62.560299526278186</v>
      </c>
      <c r="E18" s="10"/>
      <c r="F18" s="10" t="s">
        <v>32</v>
      </c>
      <c r="G18" s="10">
        <f>G17*0.85</f>
        <v>2.956521739130435</v>
      </c>
      <c r="H18" s="10">
        <f>H17*0.85</f>
        <v>7.9686750218759705</v>
      </c>
      <c r="I18" s="10">
        <f t="shared" ref="I18:R18" si="16">I17*0.85</f>
        <v>1.8630163501389081</v>
      </c>
      <c r="J18" s="10">
        <f t="shared" si="16"/>
        <v>5.7499777179877114</v>
      </c>
      <c r="K18" s="10">
        <f t="shared" si="16"/>
        <v>0</v>
      </c>
      <c r="L18" s="10">
        <f t="shared" si="16"/>
        <v>17.849545940170941</v>
      </c>
      <c r="M18" s="10">
        <f t="shared" si="16"/>
        <v>4.0218128703549878</v>
      </c>
      <c r="N18" s="10">
        <f t="shared" si="16"/>
        <v>9.3996723210206357E-2</v>
      </c>
      <c r="O18" s="10">
        <f t="shared" si="16"/>
        <v>2.3152877085461352</v>
      </c>
      <c r="P18" s="10">
        <f t="shared" si="16"/>
        <v>6.2687198567938807E-2</v>
      </c>
      <c r="Q18" s="10">
        <f t="shared" si="16"/>
        <v>0.33637683997519507</v>
      </c>
      <c r="R18" s="10">
        <f t="shared" si="16"/>
        <v>0.27367989696756817</v>
      </c>
      <c r="S18" s="10"/>
    </row>
    <row r="19" spans="1:35" ht="15.5" thickTop="1" thickBot="1" x14ac:dyDescent="0.4">
      <c r="A19" s="12" t="s">
        <v>40</v>
      </c>
      <c r="B19" s="13">
        <f>R10/(B17/1000)</f>
        <v>0.89643342411806404</v>
      </c>
      <c r="C19" s="17">
        <f>B19*100</f>
        <v>89.643342411806401</v>
      </c>
      <c r="E19" s="10"/>
      <c r="F19" s="10" t="s">
        <v>33</v>
      </c>
      <c r="G19" s="10">
        <f>G18*12</f>
        <v>35.478260869565219</v>
      </c>
      <c r="H19" s="10">
        <f>H18*14</f>
        <v>111.56145030626359</v>
      </c>
      <c r="I19" s="10">
        <f>I18*12</f>
        <v>22.356196201666897</v>
      </c>
      <c r="J19" s="10">
        <f>J18*2</f>
        <v>11.499955435975423</v>
      </c>
      <c r="K19" s="10">
        <f>K18*24</f>
        <v>0</v>
      </c>
      <c r="L19" s="10">
        <f>L18*8</f>
        <v>142.79636752136753</v>
      </c>
      <c r="M19" s="10">
        <f>M18*14</f>
        <v>56.305380184969827</v>
      </c>
      <c r="N19" s="10">
        <f>N18*20</f>
        <v>1.8799344642041271</v>
      </c>
      <c r="O19" s="10">
        <f>O18*20</f>
        <v>46.305754170922704</v>
      </c>
      <c r="P19" s="10">
        <f>P18*26</f>
        <v>1.629867162766409</v>
      </c>
      <c r="Q19" s="10">
        <f>Q18*26</f>
        <v>8.7457978393550722</v>
      </c>
      <c r="R19" s="10">
        <f>R18*32</f>
        <v>8.7577567029621814</v>
      </c>
      <c r="S19" s="10">
        <f>SUM(G19:R19)</f>
        <v>447.31672086001896</v>
      </c>
    </row>
    <row r="20" spans="1:35" ht="15.5" thickTop="1" thickBot="1" x14ac:dyDescent="0.4">
      <c r="A20" s="12" t="s">
        <v>41</v>
      </c>
      <c r="B20" s="13">
        <f>B18*B19</f>
        <v>0.56081143518193255</v>
      </c>
      <c r="C20" s="17">
        <f>B20*100</f>
        <v>56.081143518193258</v>
      </c>
      <c r="E20" s="10" t="s">
        <v>45</v>
      </c>
      <c r="F20" s="10" t="s">
        <v>31</v>
      </c>
      <c r="G20" s="10">
        <f>(F9/72.121)*1000</f>
        <v>0</v>
      </c>
      <c r="H20" s="10">
        <f>(G9/118.09)*1000</f>
        <v>0</v>
      </c>
      <c r="I20" s="10">
        <f>(H9/90.08)*1000</f>
        <v>0</v>
      </c>
      <c r="J20" s="10">
        <f>(I9/46.03)*1000</f>
        <v>0</v>
      </c>
      <c r="K20" s="10">
        <f>(K19/74.121)*1000</f>
        <v>0</v>
      </c>
      <c r="L20" s="10">
        <f>(K7/60)*1000</f>
        <v>0.9</v>
      </c>
      <c r="M20" s="10">
        <f>(L3/74.08)*1000</f>
        <v>4.731544553358809</v>
      </c>
      <c r="N20" s="10">
        <f>(M3/88.11)*1000</f>
        <v>0.11058438024730161</v>
      </c>
      <c r="O20" s="10">
        <f>(N9/88.11)*1000</f>
        <v>2.600442628532516</v>
      </c>
      <c r="P20" s="10">
        <f>(O3/102.13)*1000</f>
        <v>7.3749645374045658E-2</v>
      </c>
      <c r="Q20" s="10">
        <f>(P3/102.13)*1000</f>
        <v>0.39573745879434713</v>
      </c>
      <c r="R20" s="10">
        <f>(Q9/116.07)*1000</f>
        <v>0.42323597828896359</v>
      </c>
      <c r="S20" s="10"/>
    </row>
    <row r="21" spans="1:35" ht="15.5" thickTop="1" thickBot="1" x14ac:dyDescent="0.4">
      <c r="A21" s="12" t="s">
        <v>42</v>
      </c>
      <c r="B21" s="16">
        <f>((B16*25.27)/(B14*2))</f>
        <v>2.5441892409324511</v>
      </c>
      <c r="C21" s="16"/>
      <c r="E21" s="10"/>
      <c r="F21" s="10" t="s">
        <v>32</v>
      </c>
      <c r="G21" s="10">
        <f t="shared" ref="G21:R21" si="17">G20*0.85</f>
        <v>0</v>
      </c>
      <c r="H21" s="10">
        <f t="shared" si="17"/>
        <v>0</v>
      </c>
      <c r="I21" s="10">
        <f t="shared" si="17"/>
        <v>0</v>
      </c>
      <c r="J21" s="10">
        <f t="shared" si="17"/>
        <v>0</v>
      </c>
      <c r="K21" s="10">
        <f t="shared" si="17"/>
        <v>0</v>
      </c>
      <c r="L21" s="10">
        <f t="shared" si="17"/>
        <v>0.76500000000000001</v>
      </c>
      <c r="M21" s="10">
        <f t="shared" si="17"/>
        <v>4.0218128703549878</v>
      </c>
      <c r="N21" s="10">
        <f t="shared" si="17"/>
        <v>9.3996723210206357E-2</v>
      </c>
      <c r="O21" s="10">
        <f t="shared" si="17"/>
        <v>2.2103762342526383</v>
      </c>
      <c r="P21" s="10">
        <f t="shared" si="17"/>
        <v>6.2687198567938807E-2</v>
      </c>
      <c r="Q21" s="10">
        <f t="shared" si="17"/>
        <v>0.33637683997519507</v>
      </c>
      <c r="R21" s="10">
        <f t="shared" si="17"/>
        <v>0.35975058154561906</v>
      </c>
      <c r="S21" s="10"/>
    </row>
    <row r="22" spans="1:35" ht="15.5" thickTop="1" thickBot="1" x14ac:dyDescent="0.4">
      <c r="A22" s="12" t="s">
        <v>43</v>
      </c>
      <c r="B22" s="16">
        <f>R9</f>
        <v>2.2810300000000003</v>
      </c>
      <c r="C22" s="16"/>
      <c r="E22" s="10"/>
      <c r="F22" s="10" t="s">
        <v>33</v>
      </c>
      <c r="G22" s="10">
        <f>G21*12</f>
        <v>0</v>
      </c>
      <c r="H22" s="10">
        <f>H21*14</f>
        <v>0</v>
      </c>
      <c r="I22" s="10">
        <f>I21*12</f>
        <v>0</v>
      </c>
      <c r="J22" s="10">
        <f>J21*2</f>
        <v>0</v>
      </c>
      <c r="K22" s="10">
        <f>K21*24</f>
        <v>0</v>
      </c>
      <c r="L22" s="10">
        <f>L21*8</f>
        <v>6.12</v>
      </c>
      <c r="M22" s="10">
        <f>M21*14</f>
        <v>56.305380184969827</v>
      </c>
      <c r="N22" s="10">
        <f>N21*20</f>
        <v>1.8799344642041271</v>
      </c>
      <c r="O22" s="10">
        <f>O21*20</f>
        <v>44.207524685052768</v>
      </c>
      <c r="P22" s="10">
        <f>P21*26</f>
        <v>1.629867162766409</v>
      </c>
      <c r="Q22" s="10">
        <f>Q21*26</f>
        <v>8.7457978393550722</v>
      </c>
      <c r="R22" s="10">
        <f>R21*32</f>
        <v>11.51201860945981</v>
      </c>
      <c r="S22" s="10">
        <f>SUM(G22:R22)</f>
        <v>130.40052294580801</v>
      </c>
      <c r="T22" s="32" t="s">
        <v>46</v>
      </c>
      <c r="U22" s="32"/>
      <c r="V22" s="33">
        <f>(S22*100)/S19</f>
        <v>29.151721110513748</v>
      </c>
    </row>
    <row r="23" spans="1:35" ht="15.5" thickTop="1" thickBot="1" x14ac:dyDescent="0.4">
      <c r="A23" s="12" t="s">
        <v>40</v>
      </c>
      <c r="B23" s="16">
        <f>B22/B21</f>
        <v>0.89656459641500474</v>
      </c>
      <c r="C23" s="12"/>
      <c r="E23" s="10"/>
      <c r="F23" s="10"/>
      <c r="G23" s="10"/>
      <c r="H23" s="10">
        <f>SUM(H17,H20)</f>
        <v>9.3749117904423187</v>
      </c>
      <c r="I23" s="10"/>
      <c r="J23" s="10"/>
      <c r="K23" s="10"/>
      <c r="L23" s="10"/>
      <c r="M23" s="10">
        <f>SUM(M17,M20)</f>
        <v>9.4630891067176179</v>
      </c>
      <c r="N23" s="10"/>
      <c r="O23" s="10"/>
      <c r="P23" s="10"/>
      <c r="Q23" s="10"/>
      <c r="R23" s="10"/>
      <c r="S23" s="10"/>
      <c r="T23" s="32" t="s">
        <v>47</v>
      </c>
      <c r="U23" s="32"/>
      <c r="V23" s="33">
        <f>100-V22</f>
        <v>70.848278889486252</v>
      </c>
    </row>
    <row r="24" spans="1:35" ht="15.5" thickTop="1" thickBot="1" x14ac:dyDescent="0.4"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1:35" ht="16.5" thickTop="1" thickBot="1" x14ac:dyDescent="0.4">
      <c r="G25" s="7"/>
      <c r="H25" s="7"/>
      <c r="I25" s="7"/>
      <c r="J25" s="7"/>
      <c r="K25" s="27"/>
      <c r="L25" s="27"/>
      <c r="M25" s="27"/>
      <c r="N25" s="27"/>
      <c r="O25" s="27"/>
      <c r="P25" s="27"/>
      <c r="Q25" s="27"/>
      <c r="R25" s="21"/>
      <c r="S25" s="21"/>
      <c r="T25" s="21"/>
      <c r="U25" s="21"/>
      <c r="W25" s="46" t="s">
        <v>61</v>
      </c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</row>
    <row r="26" spans="1:35" ht="15.5" thickTop="1" thickBot="1" x14ac:dyDescent="0.4">
      <c r="B26" s="6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W26" s="10" t="s">
        <v>52</v>
      </c>
      <c r="X26" s="10" t="s">
        <v>49</v>
      </c>
      <c r="Y26" s="10" t="s">
        <v>13</v>
      </c>
      <c r="Z26" s="10" t="s">
        <v>14</v>
      </c>
      <c r="AA26" s="10" t="s">
        <v>15</v>
      </c>
      <c r="AB26" s="10" t="s">
        <v>2</v>
      </c>
      <c r="AC26" s="10" t="s">
        <v>3</v>
      </c>
      <c r="AD26" s="10" t="s">
        <v>5</v>
      </c>
      <c r="AE26" s="10" t="s">
        <v>10</v>
      </c>
      <c r="AF26" s="10" t="s">
        <v>6</v>
      </c>
      <c r="AG26" s="10" t="s">
        <v>7</v>
      </c>
      <c r="AH26" s="10" t="s">
        <v>4</v>
      </c>
      <c r="AI26" s="10" t="s">
        <v>62</v>
      </c>
    </row>
    <row r="27" spans="1:35" ht="15.5" thickTop="1" thickBot="1" x14ac:dyDescent="0.4">
      <c r="B27" s="6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W27" s="10">
        <v>0</v>
      </c>
      <c r="X27" s="18">
        <f t="shared" ref="X27:X33" si="18">F3*2.087</f>
        <v>0.33392000000000005</v>
      </c>
      <c r="Y27" s="11">
        <f t="shared" ref="Y27:Y33" si="19">G3*0.948</f>
        <v>1.049515</v>
      </c>
      <c r="Z27" s="18">
        <f t="shared" ref="Z27:Z33" si="20">H3*1.067</f>
        <v>0.21066410256410262</v>
      </c>
      <c r="AA27" s="18">
        <f t="shared" ref="AA27:AA33" si="21">I3*1.39</f>
        <v>0.43281570512820511</v>
      </c>
      <c r="AB27" s="18">
        <f t="shared" ref="AB27:AB33" si="22">K3*1.067</f>
        <v>1.3443858012820511</v>
      </c>
      <c r="AC27" s="18">
        <f t="shared" ref="AC27:AC33" si="23">L3*1.51</f>
        <v>0.52927435897435904</v>
      </c>
      <c r="AD27" s="18">
        <f t="shared" ref="AD27:AD33" si="24">N3*1.818</f>
        <v>0.43631999999999999</v>
      </c>
      <c r="AE27" s="18">
        <f t="shared" ref="AE27:AF33" si="25">O3*2.03</f>
        <v>1.5290064102564104E-2</v>
      </c>
      <c r="AF27" s="18">
        <f t="shared" si="25"/>
        <v>8.2045833333333332E-2</v>
      </c>
      <c r="AG27" s="18">
        <f t="shared" ref="AG27:AG33" si="26">Q3*2.2</f>
        <v>8.2217948717948727E-2</v>
      </c>
      <c r="AH27" s="18">
        <f t="shared" ref="AH27:AH33" si="27">M3*1.818</f>
        <v>1.7713846153846156E-2</v>
      </c>
      <c r="AI27" s="18">
        <f>SUM(X27:AH27)</f>
        <v>4.5341626602564098</v>
      </c>
    </row>
    <row r="28" spans="1:35" ht="15.5" thickTop="1" thickBot="1" x14ac:dyDescent="0.4">
      <c r="B28" s="6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W28" s="10">
        <v>2.75</v>
      </c>
      <c r="X28" s="18">
        <f t="shared" si="18"/>
        <v>0.285136375</v>
      </c>
      <c r="Y28" s="11">
        <f t="shared" si="19"/>
        <v>0.61667399999999994</v>
      </c>
      <c r="Z28" s="18">
        <f t="shared" si="20"/>
        <v>0</v>
      </c>
      <c r="AA28" s="18">
        <f t="shared" si="21"/>
        <v>0</v>
      </c>
      <c r="AB28" s="18">
        <f t="shared" si="22"/>
        <v>1.297472</v>
      </c>
      <c r="AC28" s="18">
        <f t="shared" si="23"/>
        <v>0.93922000000000005</v>
      </c>
      <c r="AD28" s="18">
        <f t="shared" si="24"/>
        <v>0.63993599999999995</v>
      </c>
      <c r="AE28" s="18">
        <f t="shared" si="25"/>
        <v>0</v>
      </c>
      <c r="AF28" s="18">
        <f t="shared" si="25"/>
        <v>8.1199999999999994E-2</v>
      </c>
      <c r="AG28" s="18">
        <f t="shared" si="26"/>
        <v>5.9400000000000001E-2</v>
      </c>
      <c r="AH28" s="18">
        <f t="shared" si="27"/>
        <v>0</v>
      </c>
      <c r="AI28" s="18">
        <f t="shared" ref="AI28:AI32" si="28">SUM(X28:AH28)</f>
        <v>3.9190383750000004</v>
      </c>
    </row>
    <row r="29" spans="1:35" ht="15.5" thickTop="1" thickBot="1" x14ac:dyDescent="0.4">
      <c r="K29" s="21"/>
      <c r="L29" s="24"/>
      <c r="M29" s="21"/>
      <c r="N29" s="21"/>
      <c r="O29" s="21"/>
      <c r="P29" s="21"/>
      <c r="Q29" s="21"/>
      <c r="R29" s="23"/>
      <c r="S29" s="21"/>
      <c r="T29" s="21"/>
      <c r="U29" s="21"/>
      <c r="W29" s="10">
        <v>3.75</v>
      </c>
      <c r="X29" s="18">
        <f t="shared" si="18"/>
        <v>0.32139800000000002</v>
      </c>
      <c r="Y29" s="11">
        <f t="shared" si="19"/>
        <v>0</v>
      </c>
      <c r="Z29" s="18">
        <f t="shared" si="20"/>
        <v>0</v>
      </c>
      <c r="AA29" s="18">
        <f t="shared" si="21"/>
        <v>0</v>
      </c>
      <c r="AB29" s="18">
        <f t="shared" si="22"/>
        <v>0.98590800000000001</v>
      </c>
      <c r="AC29" s="18">
        <f t="shared" si="23"/>
        <v>1.5220800000000001</v>
      </c>
      <c r="AD29" s="18">
        <f t="shared" si="24"/>
        <v>0.51994799999999997</v>
      </c>
      <c r="AE29" s="18">
        <f t="shared" si="25"/>
        <v>0</v>
      </c>
      <c r="AF29" s="18">
        <f t="shared" si="25"/>
        <v>8.9319999999999983E-2</v>
      </c>
      <c r="AG29" s="18">
        <f t="shared" si="26"/>
        <v>9.6799999999999997E-2</v>
      </c>
      <c r="AH29" s="18">
        <f t="shared" si="27"/>
        <v>0</v>
      </c>
      <c r="AI29" s="18">
        <f t="shared" si="28"/>
        <v>3.5354540000000001</v>
      </c>
    </row>
    <row r="30" spans="1:35" ht="15.5" thickTop="1" thickBot="1" x14ac:dyDescent="0.4">
      <c r="K30" s="21"/>
      <c r="L30" s="24"/>
      <c r="M30" s="21"/>
      <c r="N30" s="21"/>
      <c r="O30" s="21"/>
      <c r="P30" s="21"/>
      <c r="Q30" s="21"/>
      <c r="R30" s="40"/>
      <c r="S30" s="21"/>
      <c r="U30" s="21"/>
      <c r="W30" s="10">
        <v>4.75</v>
      </c>
      <c r="X30" s="18">
        <f t="shared" si="18"/>
        <v>0</v>
      </c>
      <c r="Y30" s="11">
        <f t="shared" si="19"/>
        <v>0</v>
      </c>
      <c r="Z30" s="18">
        <f t="shared" si="20"/>
        <v>0</v>
      </c>
      <c r="AA30" s="18">
        <f t="shared" si="21"/>
        <v>0</v>
      </c>
      <c r="AB30" s="18">
        <f t="shared" si="22"/>
        <v>0.59538599999999997</v>
      </c>
      <c r="AC30" s="18">
        <f t="shared" si="23"/>
        <v>1.3439000000000001</v>
      </c>
      <c r="AD30" s="18">
        <f t="shared" si="24"/>
        <v>0.63629999999999998</v>
      </c>
      <c r="AE30" s="18">
        <f t="shared" si="25"/>
        <v>0</v>
      </c>
      <c r="AF30" s="18">
        <f t="shared" si="25"/>
        <v>0.11570999999999999</v>
      </c>
      <c r="AG30" s="18">
        <f t="shared" si="26"/>
        <v>7.9200000000000007E-2</v>
      </c>
      <c r="AH30" s="18">
        <f t="shared" si="27"/>
        <v>0</v>
      </c>
      <c r="AI30" s="18">
        <f t="shared" si="28"/>
        <v>2.7704960000000001</v>
      </c>
    </row>
    <row r="31" spans="1:35" ht="15.5" thickTop="1" thickBot="1" x14ac:dyDescent="0.4">
      <c r="K31" s="21"/>
      <c r="L31" s="24"/>
      <c r="M31" s="21"/>
      <c r="N31" s="21"/>
      <c r="O31" s="21"/>
      <c r="P31" s="21"/>
      <c r="Q31" s="21"/>
      <c r="R31" s="21"/>
      <c r="S31" s="21"/>
      <c r="T31" s="21"/>
      <c r="U31" s="21"/>
      <c r="W31" s="10">
        <v>6.75</v>
      </c>
      <c r="X31" s="18">
        <f t="shared" si="18"/>
        <v>0</v>
      </c>
      <c r="Y31" s="11">
        <f t="shared" si="19"/>
        <v>0</v>
      </c>
      <c r="Z31" s="18">
        <f t="shared" si="20"/>
        <v>0</v>
      </c>
      <c r="AA31" s="18">
        <f t="shared" si="21"/>
        <v>0</v>
      </c>
      <c r="AB31" s="18">
        <f t="shared" si="22"/>
        <v>5.7617999999999996E-2</v>
      </c>
      <c r="AC31" s="18">
        <f t="shared" si="23"/>
        <v>1.3106800000000001</v>
      </c>
      <c r="AD31" s="18">
        <f t="shared" si="24"/>
        <v>0.45813600000000004</v>
      </c>
      <c r="AE31" s="18">
        <f t="shared" si="25"/>
        <v>5.2779999999999994E-2</v>
      </c>
      <c r="AF31" s="18">
        <f t="shared" si="25"/>
        <v>0.25172</v>
      </c>
      <c r="AG31" s="18">
        <f t="shared" si="26"/>
        <v>0.14300000000000002</v>
      </c>
      <c r="AH31" s="18">
        <f t="shared" si="27"/>
        <v>0</v>
      </c>
      <c r="AI31" s="18">
        <f t="shared" si="28"/>
        <v>2.2739340000000006</v>
      </c>
    </row>
    <row r="32" spans="1:35" ht="15.5" thickTop="1" thickBot="1" x14ac:dyDescent="0.4"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W32" s="10">
        <v>9.75</v>
      </c>
      <c r="X32" s="18">
        <f t="shared" si="18"/>
        <v>0</v>
      </c>
      <c r="Y32" s="11">
        <f t="shared" si="19"/>
        <v>0</v>
      </c>
      <c r="Z32" s="18">
        <f t="shared" si="20"/>
        <v>0</v>
      </c>
      <c r="AA32" s="18">
        <f t="shared" si="21"/>
        <v>0</v>
      </c>
      <c r="AB32" s="18">
        <f t="shared" si="22"/>
        <v>0</v>
      </c>
      <c r="AC32" s="18">
        <f t="shared" si="23"/>
        <v>1.14325875</v>
      </c>
      <c r="AD32" s="18">
        <f t="shared" si="24"/>
        <v>0.41723100000000002</v>
      </c>
      <c r="AE32" s="18">
        <f t="shared" si="25"/>
        <v>6.6736249999999997E-2</v>
      </c>
      <c r="AF32" s="18">
        <f t="shared" si="25"/>
        <v>0.24816749999999996</v>
      </c>
      <c r="AG32" s="18">
        <f t="shared" si="26"/>
        <v>0.10147500000000001</v>
      </c>
      <c r="AH32" s="18">
        <f t="shared" si="27"/>
        <v>0</v>
      </c>
      <c r="AI32" s="18">
        <f t="shared" si="28"/>
        <v>1.9768684999999997</v>
      </c>
    </row>
    <row r="33" spans="23:35" ht="15.5" thickTop="1" thickBot="1" x14ac:dyDescent="0.4">
      <c r="W33" s="10">
        <v>10.75</v>
      </c>
      <c r="X33" s="18">
        <f t="shared" si="18"/>
        <v>0</v>
      </c>
      <c r="Y33" s="11">
        <f t="shared" si="19"/>
        <v>0</v>
      </c>
      <c r="Z33" s="18">
        <f t="shared" si="20"/>
        <v>0</v>
      </c>
      <c r="AA33" s="18">
        <f t="shared" si="21"/>
        <v>0</v>
      </c>
      <c r="AB33" s="18">
        <f t="shared" si="22"/>
        <v>0</v>
      </c>
      <c r="AC33" s="18">
        <f t="shared" si="23"/>
        <v>1.07870625</v>
      </c>
      <c r="AD33" s="18">
        <f t="shared" si="24"/>
        <v>0.41654924999999998</v>
      </c>
      <c r="AE33" s="18">
        <f t="shared" si="25"/>
        <v>7.3333749999999989E-2</v>
      </c>
      <c r="AF33" s="18">
        <f t="shared" si="25"/>
        <v>0.25780999999999998</v>
      </c>
      <c r="AG33" s="18">
        <f t="shared" si="26"/>
        <v>0.10807500000000002</v>
      </c>
      <c r="AH33" s="18">
        <f t="shared" si="27"/>
        <v>5.0904000000000005E-2</v>
      </c>
      <c r="AI33" s="18">
        <f>SUM(X33:AH33)</f>
        <v>1.9853782499999997</v>
      </c>
    </row>
    <row r="34" spans="23:35" ht="15" thickTop="1" x14ac:dyDescent="0.35"/>
  </sheetData>
  <mergeCells count="5">
    <mergeCell ref="D1:Q1"/>
    <mergeCell ref="D13:E13"/>
    <mergeCell ref="R1:U1"/>
    <mergeCell ref="W25:AI25"/>
    <mergeCell ref="W1:A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43"/>
  <sheetViews>
    <sheetView topLeftCell="H25" workbookViewId="0">
      <selection activeCell="S1" sqref="S1:T1048576"/>
    </sheetView>
  </sheetViews>
  <sheetFormatPr baseColWidth="10" defaultRowHeight="14.5" x14ac:dyDescent="0.35"/>
  <cols>
    <col min="5" max="5" width="6.26953125" customWidth="1"/>
    <col min="6" max="6" width="18.81640625" customWidth="1"/>
    <col min="19" max="20" width="10.90625" style="21"/>
    <col min="22" max="23" width="10.90625" style="21"/>
  </cols>
  <sheetData>
    <row r="1" spans="1:18" x14ac:dyDescent="0.35">
      <c r="A1" t="s">
        <v>17</v>
      </c>
      <c r="B1" t="s">
        <v>0</v>
      </c>
      <c r="C1" t="s">
        <v>50</v>
      </c>
      <c r="I1" t="s">
        <v>18</v>
      </c>
      <c r="J1" s="2" t="s">
        <v>19</v>
      </c>
      <c r="K1" s="2" t="s">
        <v>20</v>
      </c>
      <c r="L1" s="2" t="s">
        <v>21</v>
      </c>
      <c r="M1" s="2"/>
      <c r="N1" s="2" t="s">
        <v>18</v>
      </c>
      <c r="O1" s="1" t="s">
        <v>22</v>
      </c>
      <c r="P1" s="1" t="s">
        <v>23</v>
      </c>
      <c r="Q1" s="2" t="s">
        <v>24</v>
      </c>
      <c r="R1" s="2" t="s">
        <v>25</v>
      </c>
    </row>
    <row r="2" spans="1:18" x14ac:dyDescent="0.35">
      <c r="A2">
        <v>9.0287255227677998E-2</v>
      </c>
      <c r="B2">
        <v>13.131314856297299</v>
      </c>
      <c r="C2">
        <v>12.752401092572599</v>
      </c>
      <c r="F2" s="1" t="s">
        <v>26</v>
      </c>
      <c r="G2" s="1">
        <v>4.7000000000000002E-3</v>
      </c>
      <c r="H2" s="1" t="s">
        <v>27</v>
      </c>
      <c r="I2" s="1">
        <f>A2*86400</f>
        <v>7800.818851671379</v>
      </c>
      <c r="J2" s="1">
        <f>I2</f>
        <v>7800.818851671379</v>
      </c>
      <c r="K2" s="1">
        <f>B2*$J2*$G$2</f>
        <v>481.44453984771116</v>
      </c>
      <c r="L2" s="1">
        <f>C2*$J2*$G$2</f>
        <v>467.55210298097063</v>
      </c>
      <c r="M2" s="1"/>
      <c r="N2" s="1">
        <v>600.00018484272005</v>
      </c>
      <c r="O2" s="1">
        <f>SUM(K$2:K2)/$G$3</f>
        <v>4.9898382116153927E-3</v>
      </c>
      <c r="P2" s="1">
        <f>SUM(L$2:L2)/$G$3</f>
        <v>4.8458527541169159E-3</v>
      </c>
      <c r="Q2" s="1">
        <f t="shared" ref="Q2:Q65" si="0">O2*1000</f>
        <v>4.9898382116153925</v>
      </c>
      <c r="R2" s="1">
        <f t="shared" ref="R2:R65" si="1">P2*1000</f>
        <v>4.8458527541169163</v>
      </c>
    </row>
    <row r="3" spans="1:18" x14ac:dyDescent="0.35">
      <c r="A3">
        <v>9.7231701902859E-2</v>
      </c>
      <c r="B3">
        <v>11.9596952871821</v>
      </c>
      <c r="C3">
        <v>11.723188457157701</v>
      </c>
      <c r="F3" t="s">
        <v>28</v>
      </c>
      <c r="G3">
        <v>96485</v>
      </c>
      <c r="H3" t="s">
        <v>29</v>
      </c>
      <c r="I3" s="1">
        <f t="shared" ref="I3:I66" si="2">A3*86400</f>
        <v>8400.8190444070169</v>
      </c>
      <c r="J3">
        <f>I3-I2</f>
        <v>600.00019273563794</v>
      </c>
      <c r="K3" s="1">
        <f t="shared" ref="K3:L18" si="3">B3*$J3*$G$2</f>
        <v>33.726351543633179</v>
      </c>
      <c r="L3" s="1">
        <f t="shared" si="3"/>
        <v>33.059402068722889</v>
      </c>
      <c r="N3">
        <f>I3</f>
        <v>8400.8190444070169</v>
      </c>
      <c r="O3" s="1">
        <f>SUM(K$2:K3)/$G$3</f>
        <v>5.33938841676265E-3</v>
      </c>
      <c r="P3" s="1">
        <f>SUM(L$2:L3)/$G$3</f>
        <v>5.1884904912648964E-3</v>
      </c>
      <c r="Q3" s="1">
        <f t="shared" si="0"/>
        <v>5.3393884167626497</v>
      </c>
      <c r="R3" s="1">
        <f t="shared" si="1"/>
        <v>5.1884904912648961</v>
      </c>
    </row>
    <row r="4" spans="1:18" x14ac:dyDescent="0.35">
      <c r="A4">
        <v>0.104176148578041</v>
      </c>
      <c r="B4">
        <v>11.5172191757131</v>
      </c>
      <c r="C4">
        <v>11.0933147922849</v>
      </c>
      <c r="G4">
        <v>600.00018484272005</v>
      </c>
      <c r="I4" s="1">
        <f t="shared" si="2"/>
        <v>9000.8192371427431</v>
      </c>
      <c r="J4">
        <f>I4-I3</f>
        <v>600.00019273572616</v>
      </c>
      <c r="K4" s="1">
        <f t="shared" si="3"/>
        <v>32.478568508475064</v>
      </c>
      <c r="L4" s="1">
        <f t="shared" si="3"/>
        <v>31.283157763210404</v>
      </c>
      <c r="N4">
        <f>I4</f>
        <v>9000.8192371427431</v>
      </c>
      <c r="O4" s="1">
        <f>SUM(K$2:K4)/$G$3</f>
        <v>5.676006217544897E-3</v>
      </c>
      <c r="P4" s="1">
        <f>SUM(L$2:L4)/$G$3</f>
        <v>5.5127186900855458E-3</v>
      </c>
      <c r="Q4" s="1">
        <f t="shared" si="0"/>
        <v>5.6760062175448969</v>
      </c>
      <c r="R4" s="1">
        <f t="shared" si="1"/>
        <v>5.5127186900855456</v>
      </c>
    </row>
    <row r="5" spans="1:18" x14ac:dyDescent="0.35">
      <c r="A5">
        <v>0.111120595253222</v>
      </c>
      <c r="B5">
        <v>11.4391113155139</v>
      </c>
      <c r="C5">
        <v>11.002585036470901</v>
      </c>
      <c r="I5" s="1">
        <f t="shared" si="2"/>
        <v>9600.8194298783801</v>
      </c>
      <c r="J5">
        <f>I5-I4</f>
        <v>600.00019273563703</v>
      </c>
      <c r="K5" s="1">
        <f t="shared" si="3"/>
        <v>32.258304271953911</v>
      </c>
      <c r="L5" s="1">
        <f t="shared" si="3"/>
        <v>31.027299769622047</v>
      </c>
      <c r="N5">
        <f>I5</f>
        <v>9600.8194298783801</v>
      </c>
      <c r="O5" s="1">
        <f>SUM(K$2:K5)/$G$3</f>
        <v>6.010341132526022E-3</v>
      </c>
      <c r="P5" s="1">
        <f>SUM(L$2:L5)/$G$3</f>
        <v>5.8342950985389016E-3</v>
      </c>
      <c r="Q5" s="1">
        <f t="shared" si="0"/>
        <v>6.0103411325260216</v>
      </c>
      <c r="R5" s="1">
        <f t="shared" si="1"/>
        <v>5.8342950985389015</v>
      </c>
    </row>
    <row r="6" spans="1:18" x14ac:dyDescent="0.35">
      <c r="A6">
        <v>0.118065041928404</v>
      </c>
      <c r="B6">
        <v>11.4056261462366</v>
      </c>
      <c r="C6">
        <v>11.005395561857799</v>
      </c>
      <c r="I6" s="1">
        <f t="shared" si="2"/>
        <v>10200.819622614106</v>
      </c>
      <c r="J6">
        <f t="shared" ref="J6:J69" si="4">I6-I5</f>
        <v>600.00019273572616</v>
      </c>
      <c r="K6" s="1">
        <f t="shared" si="3"/>
        <v>32.16387606426391</v>
      </c>
      <c r="L6" s="1">
        <f t="shared" si="3"/>
        <v>31.035225453763651</v>
      </c>
      <c r="N6">
        <f>I6</f>
        <v>10200.819622614106</v>
      </c>
      <c r="O6" s="1">
        <f>SUM(K$2:K6)/$G$3</f>
        <v>6.3436973647306542E-3</v>
      </c>
      <c r="P6" s="1">
        <f>SUM(L$2:L6)/$G$3</f>
        <v>6.1559536512026695E-3</v>
      </c>
      <c r="Q6" s="1">
        <f t="shared" si="0"/>
        <v>6.3436973647306543</v>
      </c>
      <c r="R6" s="1">
        <f t="shared" si="1"/>
        <v>6.1559536512026698</v>
      </c>
    </row>
    <row r="7" spans="1:18" x14ac:dyDescent="0.35">
      <c r="A7">
        <v>0.12500948860358599</v>
      </c>
      <c r="B7">
        <v>11.3357381384257</v>
      </c>
      <c r="C7">
        <v>10.9561261232096</v>
      </c>
      <c r="I7" s="1">
        <f t="shared" si="2"/>
        <v>10800.819815349829</v>
      </c>
      <c r="J7">
        <f t="shared" si="4"/>
        <v>600.00019273572252</v>
      </c>
      <c r="K7" s="1">
        <f t="shared" si="3"/>
        <v>31.966791818928371</v>
      </c>
      <c r="L7" s="1">
        <f t="shared" si="3"/>
        <v>30.89628559214443</v>
      </c>
      <c r="N7">
        <f>I7</f>
        <v>10800.819815349829</v>
      </c>
      <c r="O7" s="1">
        <f>SUM(K$2:K7)/$G$3</f>
        <v>6.6750109556404169E-3</v>
      </c>
      <c r="P7" s="1">
        <f>SUM(L$2:L7)/$G$3</f>
        <v>6.4761721887177694E-3</v>
      </c>
      <c r="Q7" s="1">
        <f t="shared" si="0"/>
        <v>6.6750109556404169</v>
      </c>
      <c r="R7" s="1">
        <f t="shared" si="1"/>
        <v>6.4761721887177695</v>
      </c>
    </row>
    <row r="8" spans="1:18" x14ac:dyDescent="0.35">
      <c r="A8">
        <v>0.131953935278767</v>
      </c>
      <c r="B8">
        <v>11.314038897687199</v>
      </c>
      <c r="C8">
        <v>10.9286469412376</v>
      </c>
      <c r="I8" s="1">
        <f t="shared" si="2"/>
        <v>11400.820008085469</v>
      </c>
      <c r="J8">
        <f t="shared" si="4"/>
        <v>600.00019273564067</v>
      </c>
      <c r="K8" s="1">
        <f t="shared" si="3"/>
        <v>31.905599940385017</v>
      </c>
      <c r="L8" s="1">
        <f t="shared" si="3"/>
        <v>30.818794274086951</v>
      </c>
      <c r="N8">
        <f>I8</f>
        <v>11400.820008085469</v>
      </c>
      <c r="O8" s="1">
        <f>SUM(K$2:K8)/$G$3</f>
        <v>7.00569033523709E-3</v>
      </c>
      <c r="P8" s="1">
        <f>SUM(L$2:L8)/$G$3</f>
        <v>6.7955875825519091E-3</v>
      </c>
      <c r="Q8" s="1">
        <f t="shared" si="0"/>
        <v>7.0056903352370901</v>
      </c>
      <c r="R8" s="1">
        <f t="shared" si="1"/>
        <v>6.7955875825519092</v>
      </c>
    </row>
    <row r="9" spans="1:18" x14ac:dyDescent="0.35">
      <c r="A9">
        <v>0.13889838195394799</v>
      </c>
      <c r="B9">
        <v>11.2743645004232</v>
      </c>
      <c r="C9">
        <v>10.8364579823618</v>
      </c>
      <c r="I9" s="1">
        <f t="shared" si="2"/>
        <v>12000.820200821106</v>
      </c>
      <c r="J9">
        <f t="shared" si="4"/>
        <v>600.00019273563703</v>
      </c>
      <c r="K9" s="1">
        <f t="shared" si="3"/>
        <v>31.793718104160998</v>
      </c>
      <c r="L9" s="1">
        <f t="shared" si="3"/>
        <v>30.558821326546948</v>
      </c>
      <c r="N9">
        <f>I9</f>
        <v>12000.820200821106</v>
      </c>
      <c r="O9" s="1">
        <f>SUM(K$2:K9)/$G$3</f>
        <v>7.3352101373219845E-3</v>
      </c>
      <c r="P9" s="1">
        <f>SUM(L$2:L9)/$G$3</f>
        <v>7.1123085373795717E-3</v>
      </c>
      <c r="Q9" s="1">
        <f t="shared" si="0"/>
        <v>7.3352101373219849</v>
      </c>
      <c r="R9" s="1">
        <f t="shared" si="1"/>
        <v>7.1123085373795716</v>
      </c>
    </row>
    <row r="10" spans="1:18" x14ac:dyDescent="0.35">
      <c r="A10">
        <v>0.14584282862913001</v>
      </c>
      <c r="B10">
        <v>11.2072660708554</v>
      </c>
      <c r="C10">
        <v>10.7708954843655</v>
      </c>
      <c r="I10" s="1">
        <f t="shared" si="2"/>
        <v>12600.820393556833</v>
      </c>
      <c r="J10">
        <f t="shared" si="4"/>
        <v>600.00019273572616</v>
      </c>
      <c r="K10" s="1">
        <f t="shared" si="3"/>
        <v>31.604500472002883</v>
      </c>
      <c r="L10" s="1">
        <f t="shared" si="3"/>
        <v>30.373935022811619</v>
      </c>
      <c r="N10">
        <f>I10</f>
        <v>12600.820393556833</v>
      </c>
      <c r="O10" s="1">
        <f>SUM(K$2:K10)/$G$3</f>
        <v>7.6627688300929114E-3</v>
      </c>
      <c r="P10" s="1">
        <f>SUM(L$2:L10)/$G$3</f>
        <v>7.4271132741035341E-3</v>
      </c>
      <c r="Q10" s="1">
        <f t="shared" si="0"/>
        <v>7.6627688300929115</v>
      </c>
      <c r="R10" s="1">
        <f t="shared" si="1"/>
        <v>7.4271132741035339</v>
      </c>
    </row>
    <row r="11" spans="1:18" x14ac:dyDescent="0.35">
      <c r="A11">
        <v>0.15278727530431099</v>
      </c>
      <c r="B11">
        <v>11.138147120313301</v>
      </c>
      <c r="C11">
        <v>10.7506827979487</v>
      </c>
      <c r="I11" s="1">
        <f t="shared" si="2"/>
        <v>13200.82058629247</v>
      </c>
      <c r="J11">
        <f t="shared" si="4"/>
        <v>600.00019273563703</v>
      </c>
      <c r="K11" s="1">
        <f t="shared" si="3"/>
        <v>31.409584968857548</v>
      </c>
      <c r="L11" s="1">
        <f t="shared" si="3"/>
        <v>30.316935228801913</v>
      </c>
      <c r="N11">
        <f>I11</f>
        <v>13200.82058629247</v>
      </c>
      <c r="O11" s="1">
        <f>SUM(K$2:K11)/$G$3</f>
        <v>7.9883073590752141E-3</v>
      </c>
      <c r="P11" s="1">
        <f>SUM(L$2:L11)/$G$3</f>
        <v>7.7413272475584946E-3</v>
      </c>
      <c r="Q11" s="1">
        <f t="shared" si="0"/>
        <v>7.9883073590752138</v>
      </c>
      <c r="R11" s="1">
        <f t="shared" si="1"/>
        <v>7.7413272475584947</v>
      </c>
    </row>
    <row r="12" spans="1:18" x14ac:dyDescent="0.35">
      <c r="A12">
        <v>0.15973172197949301</v>
      </c>
      <c r="B12">
        <v>11.097065144143601</v>
      </c>
      <c r="C12">
        <v>10.718980727218099</v>
      </c>
      <c r="I12" s="1">
        <f t="shared" si="2"/>
        <v>13800.820779028196</v>
      </c>
      <c r="J12">
        <f t="shared" si="4"/>
        <v>600.00019273572616</v>
      </c>
      <c r="K12" s="1">
        <f t="shared" si="3"/>
        <v>31.293733758849225</v>
      </c>
      <c r="L12" s="1">
        <f t="shared" si="3"/>
        <v>30.227535360628551</v>
      </c>
      <c r="N12">
        <f>I12</f>
        <v>13800.820779028196</v>
      </c>
      <c r="O12" s="1">
        <f>SUM(K$2:K12)/$G$3</f>
        <v>8.3126451707438605E-3</v>
      </c>
      <c r="P12" s="1">
        <f>SUM(L$2:L12)/$G$3</f>
        <v>8.054614653483028E-3</v>
      </c>
      <c r="Q12" s="1">
        <f t="shared" si="0"/>
        <v>8.3126451707438598</v>
      </c>
      <c r="R12" s="1">
        <f t="shared" si="1"/>
        <v>8.0546146534830285</v>
      </c>
    </row>
    <row r="13" spans="1:18" x14ac:dyDescent="0.35">
      <c r="A13">
        <v>0.166676168654674</v>
      </c>
      <c r="B13">
        <v>11.0303168826481</v>
      </c>
      <c r="C13">
        <v>10.646856842800201</v>
      </c>
      <c r="I13" s="1">
        <f t="shared" si="2"/>
        <v>14400.820971763833</v>
      </c>
      <c r="J13">
        <f t="shared" si="4"/>
        <v>600.00019273563703</v>
      </c>
      <c r="K13" s="1">
        <f t="shared" si="3"/>
        <v>31.105503600962852</v>
      </c>
      <c r="L13" s="1">
        <f t="shared" si="3"/>
        <v>30.024145941231623</v>
      </c>
      <c r="N13">
        <f>I13</f>
        <v>14400.820971763833</v>
      </c>
      <c r="O13" s="1">
        <f>SUM(K$2:K13)/$G$3</f>
        <v>8.6350321075833979E-3</v>
      </c>
      <c r="P13" s="1">
        <f>SUM(L$2:L13)/$G$3</f>
        <v>8.3657940693635437E-3</v>
      </c>
      <c r="Q13" s="1">
        <f t="shared" si="0"/>
        <v>8.6350321075833971</v>
      </c>
      <c r="R13" s="1">
        <f t="shared" si="1"/>
        <v>8.3657940693635435</v>
      </c>
    </row>
    <row r="14" spans="1:18" x14ac:dyDescent="0.35">
      <c r="A14">
        <v>0.17362061532985601</v>
      </c>
      <c r="B14">
        <v>10.968304052523999</v>
      </c>
      <c r="C14">
        <v>10.622821898709001</v>
      </c>
      <c r="I14" s="1">
        <f t="shared" si="2"/>
        <v>15000.821164499559</v>
      </c>
      <c r="J14">
        <f t="shared" si="4"/>
        <v>600.00019273572616</v>
      </c>
      <c r="K14" s="1">
        <f t="shared" si="3"/>
        <v>30.930627363842699</v>
      </c>
      <c r="L14" s="1">
        <f t="shared" si="3"/>
        <v>29.956367377126657</v>
      </c>
      <c r="N14">
        <f>I14</f>
        <v>15000.821164499559</v>
      </c>
      <c r="O14" s="1">
        <f>SUM(K$2:K14)/$G$3</f>
        <v>8.9556065737060372E-3</v>
      </c>
      <c r="P14" s="1">
        <f>SUM(L$2:L14)/$G$3</f>
        <v>8.6762710075106823E-3</v>
      </c>
      <c r="Q14" s="1">
        <f t="shared" si="0"/>
        <v>8.9556065737060369</v>
      </c>
      <c r="R14" s="1">
        <f t="shared" si="1"/>
        <v>8.6762710075106817</v>
      </c>
    </row>
    <row r="15" spans="1:18" x14ac:dyDescent="0.35">
      <c r="A15">
        <v>0.180565062005037</v>
      </c>
      <c r="B15">
        <v>10.9013720807962</v>
      </c>
      <c r="C15">
        <v>10.529861066985299</v>
      </c>
      <c r="I15" s="1">
        <f t="shared" si="2"/>
        <v>15600.821357235196</v>
      </c>
      <c r="J15">
        <f t="shared" si="4"/>
        <v>600.00019273563703</v>
      </c>
      <c r="K15" s="1">
        <f t="shared" si="3"/>
        <v>30.741879142934877</v>
      </c>
      <c r="L15" s="1">
        <f t="shared" si="3"/>
        <v>29.694217747452104</v>
      </c>
      <c r="N15">
        <f>I15</f>
        <v>15600.821357235196</v>
      </c>
      <c r="O15" s="1">
        <f>SUM(K$2:K15)/$G$3</f>
        <v>9.2742247956362316E-3</v>
      </c>
      <c r="P15" s="1">
        <f>SUM(L$2:L15)/$G$3</f>
        <v>8.9840309468530877E-3</v>
      </c>
      <c r="Q15" s="1">
        <f t="shared" si="0"/>
        <v>9.2742247956362309</v>
      </c>
      <c r="R15" s="1">
        <f t="shared" si="1"/>
        <v>8.9840309468530872</v>
      </c>
    </row>
    <row r="16" spans="1:18" x14ac:dyDescent="0.35">
      <c r="A16">
        <v>0.18750950868021901</v>
      </c>
      <c r="B16">
        <v>10.8220651233681</v>
      </c>
      <c r="C16">
        <v>10.494212537754899</v>
      </c>
      <c r="I16" s="1">
        <f t="shared" si="2"/>
        <v>16200.821549970922</v>
      </c>
      <c r="J16">
        <f t="shared" si="4"/>
        <v>600.00019273572616</v>
      </c>
      <c r="K16" s="1">
        <f t="shared" si="3"/>
        <v>30.518233451151371</v>
      </c>
      <c r="L16" s="1">
        <f t="shared" si="3"/>
        <v>29.593688862734282</v>
      </c>
      <c r="N16">
        <f>I16</f>
        <v>16200.821549970922</v>
      </c>
      <c r="O16" s="1">
        <f>SUM(K$2:K16)/$G$3</f>
        <v>9.5905250853304987E-3</v>
      </c>
      <c r="P16" s="1">
        <f>SUM(L$2:L16)/$G$3</f>
        <v>9.29074897413955E-3</v>
      </c>
      <c r="Q16" s="1">
        <f t="shared" si="0"/>
        <v>9.5905250853304995</v>
      </c>
      <c r="R16" s="1">
        <f t="shared" si="1"/>
        <v>9.2907489741395501</v>
      </c>
    </row>
    <row r="17" spans="1:18" x14ac:dyDescent="0.35">
      <c r="A17">
        <v>0.1944539553554</v>
      </c>
      <c r="B17">
        <v>10.716212218325699</v>
      </c>
      <c r="C17">
        <v>10.4619080401113</v>
      </c>
      <c r="I17" s="1">
        <f t="shared" si="2"/>
        <v>16800.821742706561</v>
      </c>
      <c r="J17">
        <f t="shared" si="4"/>
        <v>600.00019273563885</v>
      </c>
      <c r="K17" s="1">
        <f t="shared" si="3"/>
        <v>30.219728163039708</v>
      </c>
      <c r="L17" s="1">
        <f t="shared" si="3"/>
        <v>29.502590150111757</v>
      </c>
      <c r="N17">
        <f>I17</f>
        <v>16800.821742706561</v>
      </c>
      <c r="O17" s="1">
        <f>SUM(K$2:K17)/$G$3</f>
        <v>9.9037315750754289E-3</v>
      </c>
      <c r="P17" s="1">
        <f>SUM(L$2:L17)/$G$3</f>
        <v>9.5965228265530011E-3</v>
      </c>
      <c r="Q17" s="1">
        <f t="shared" si="0"/>
        <v>9.9037315750754296</v>
      </c>
      <c r="R17" s="1">
        <f t="shared" si="1"/>
        <v>9.5965228265530005</v>
      </c>
    </row>
    <row r="18" spans="1:18" x14ac:dyDescent="0.35">
      <c r="A18">
        <v>0.20139840203058201</v>
      </c>
      <c r="B18">
        <v>10.5911553525569</v>
      </c>
      <c r="C18">
        <v>10.4058232947941</v>
      </c>
      <c r="I18" s="1">
        <f t="shared" si="2"/>
        <v>17400.821935442287</v>
      </c>
      <c r="J18">
        <f t="shared" si="4"/>
        <v>600.00019273572616</v>
      </c>
      <c r="K18" s="1">
        <f t="shared" si="3"/>
        <v>29.867067688292341</v>
      </c>
      <c r="L18" s="1">
        <f t="shared" si="3"/>
        <v>29.344431117516738</v>
      </c>
      <c r="N18">
        <f>I18</f>
        <v>17400.821935442287</v>
      </c>
      <c r="O18" s="1">
        <f>SUM(K$2:K18)/$G$3</f>
        <v>1.0213282983981397E-2</v>
      </c>
      <c r="P18" s="1">
        <f>SUM(L$2:L18)/$G$3</f>
        <v>9.9006574704615536E-3</v>
      </c>
      <c r="Q18" s="1">
        <f t="shared" si="0"/>
        <v>10.213282983981397</v>
      </c>
      <c r="R18" s="1">
        <f t="shared" si="1"/>
        <v>9.9006574704615531</v>
      </c>
    </row>
    <row r="19" spans="1:18" x14ac:dyDescent="0.35">
      <c r="A19">
        <v>0.208342848705763</v>
      </c>
      <c r="B19">
        <v>10.4915702056024</v>
      </c>
      <c r="C19">
        <v>10.2960184034203</v>
      </c>
      <c r="I19" s="1">
        <f t="shared" si="2"/>
        <v>18000.822128177922</v>
      </c>
      <c r="J19">
        <f t="shared" si="4"/>
        <v>600.00019273563521</v>
      </c>
      <c r="K19" s="1">
        <f t="shared" ref="K19:L82" si="5">B19*$J19*$G$2</f>
        <v>29.586237483666174</v>
      </c>
      <c r="L19" s="1">
        <f t="shared" si="5"/>
        <v>29.034781224370587</v>
      </c>
      <c r="N19">
        <f>I19</f>
        <v>18000.822128177922</v>
      </c>
      <c r="O19" s="1">
        <f>SUM(K$2:K19)/$G$3</f>
        <v>1.0519923782900051E-2</v>
      </c>
      <c r="P19" s="1">
        <f>SUM(L$2:L19)/$G$3</f>
        <v>1.0201582808331385E-2</v>
      </c>
      <c r="Q19" s="1">
        <f t="shared" si="0"/>
        <v>10.519923782900051</v>
      </c>
      <c r="R19" s="1">
        <f t="shared" si="1"/>
        <v>10.201582808331386</v>
      </c>
    </row>
    <row r="20" spans="1:18" x14ac:dyDescent="0.35">
      <c r="A20">
        <v>0.21528729538094499</v>
      </c>
      <c r="B20">
        <v>10.3137193795486</v>
      </c>
      <c r="C20">
        <v>10.2460916207373</v>
      </c>
      <c r="I20" s="1">
        <f t="shared" si="2"/>
        <v>18600.822320913649</v>
      </c>
      <c r="J20">
        <f t="shared" si="4"/>
        <v>600.00019273572616</v>
      </c>
      <c r="K20" s="1">
        <f t="shared" si="5"/>
        <v>29.084697993091364</v>
      </c>
      <c r="L20" s="1">
        <f t="shared" si="5"/>
        <v>28.893987651982361</v>
      </c>
      <c r="N20">
        <f>I20</f>
        <v>18600.822320913649</v>
      </c>
      <c r="O20" s="1">
        <f>SUM(K$2:K20)/$G$3</f>
        <v>1.082136647340211E-2</v>
      </c>
      <c r="P20" s="1">
        <f>SUM(L$2:L20)/$G$3</f>
        <v>1.050104891862814E-2</v>
      </c>
      <c r="Q20" s="1">
        <f t="shared" si="0"/>
        <v>10.82136647340211</v>
      </c>
      <c r="R20" s="1">
        <f t="shared" si="1"/>
        <v>10.50104891862814</v>
      </c>
    </row>
    <row r="21" spans="1:18" x14ac:dyDescent="0.35">
      <c r="A21">
        <v>0.222231742056126</v>
      </c>
      <c r="B21">
        <v>10.2109301418252</v>
      </c>
      <c r="C21">
        <v>10.2346055297246</v>
      </c>
      <c r="I21" s="1">
        <f t="shared" si="2"/>
        <v>19200.822513649287</v>
      </c>
      <c r="J21">
        <f t="shared" si="4"/>
        <v>600.00019273563885</v>
      </c>
      <c r="K21" s="1">
        <f t="shared" si="5"/>
        <v>28.794832249594744</v>
      </c>
      <c r="L21" s="1">
        <f t="shared" si="5"/>
        <v>28.861596864917576</v>
      </c>
      <c r="N21">
        <f>I21</f>
        <v>19200.822513649287</v>
      </c>
      <c r="O21" s="1">
        <f>SUM(K$2:K21)/$G$3</f>
        <v>1.1119804906833159E-2</v>
      </c>
      <c r="P21" s="1">
        <f>SUM(L$2:L21)/$G$3</f>
        <v>1.0800179320917796E-2</v>
      </c>
      <c r="Q21" s="1">
        <f t="shared" si="0"/>
        <v>11.11980490683316</v>
      </c>
      <c r="R21" s="1">
        <f t="shared" si="1"/>
        <v>10.800179320917795</v>
      </c>
    </row>
    <row r="22" spans="1:18" x14ac:dyDescent="0.35">
      <c r="A22">
        <v>0.22917618873130799</v>
      </c>
      <c r="B22">
        <v>10.1235235950179</v>
      </c>
      <c r="C22">
        <v>10.2156826655406</v>
      </c>
      <c r="I22" s="1">
        <f t="shared" si="2"/>
        <v>19800.82270638501</v>
      </c>
      <c r="J22">
        <f t="shared" si="4"/>
        <v>600.00019273572252</v>
      </c>
      <c r="K22" s="1">
        <f t="shared" si="5"/>
        <v>28.548345708424261</v>
      </c>
      <c r="L22" s="1">
        <f t="shared" si="5"/>
        <v>28.808234370781296</v>
      </c>
      <c r="N22">
        <f>I22</f>
        <v>19800.82270638501</v>
      </c>
      <c r="O22" s="1">
        <f>SUM(K$2:K22)/$G$3</f>
        <v>1.141568867849118E-2</v>
      </c>
      <c r="P22" s="1">
        <f>SUM(L$2:L22)/$G$3</f>
        <v>1.1098756658024924E-2</v>
      </c>
      <c r="Q22" s="1">
        <f t="shared" si="0"/>
        <v>11.415688678491181</v>
      </c>
      <c r="R22" s="1">
        <f t="shared" si="1"/>
        <v>11.098756658024923</v>
      </c>
    </row>
    <row r="23" spans="1:18" x14ac:dyDescent="0.35">
      <c r="A23">
        <v>0.236120635406489</v>
      </c>
      <c r="B23">
        <v>10.057577381750299</v>
      </c>
      <c r="C23">
        <v>10.135797825956301</v>
      </c>
      <c r="I23" s="1">
        <f t="shared" si="2"/>
        <v>20400.822899120649</v>
      </c>
      <c r="J23">
        <f t="shared" si="4"/>
        <v>600.00019273563885</v>
      </c>
      <c r="K23" s="1">
        <f t="shared" si="5"/>
        <v>28.362377327267772</v>
      </c>
      <c r="L23" s="1">
        <f t="shared" si="5"/>
        <v>28.582959050785274</v>
      </c>
      <c r="N23">
        <f>I23</f>
        <v>20400.822899120649</v>
      </c>
      <c r="O23" s="1">
        <f>SUM(K$2:K23)/$G$3</f>
        <v>1.1709645017064717E-2</v>
      </c>
      <c r="P23" s="1">
        <f>SUM(L$2:L23)/$G$3</f>
        <v>1.1394999172931753E-2</v>
      </c>
      <c r="Q23" s="1">
        <f t="shared" si="0"/>
        <v>11.709645017064718</v>
      </c>
      <c r="R23" s="1">
        <f t="shared" si="1"/>
        <v>11.394999172931753</v>
      </c>
    </row>
    <row r="24" spans="1:18" x14ac:dyDescent="0.35">
      <c r="A24">
        <v>0.24306508208167099</v>
      </c>
      <c r="B24">
        <v>9.9889846523394699</v>
      </c>
      <c r="C24">
        <v>10.047837594240001</v>
      </c>
      <c r="I24" s="1">
        <f t="shared" si="2"/>
        <v>21000.823091856375</v>
      </c>
      <c r="J24">
        <f t="shared" si="4"/>
        <v>600.00019273572616</v>
      </c>
      <c r="K24" s="1">
        <f t="shared" si="5"/>
        <v>28.168945768198096</v>
      </c>
      <c r="L24" s="1">
        <f t="shared" si="5"/>
        <v>28.334911117669996</v>
      </c>
      <c r="N24">
        <f>I24</f>
        <v>21000.823091856375</v>
      </c>
      <c r="O24" s="1">
        <f>SUM(K$2:K24)/$G$3</f>
        <v>1.2001596571899127E-2</v>
      </c>
      <c r="P24" s="1">
        <f>SUM(L$2:L24)/$G$3</f>
        <v>1.1688670843322693E-2</v>
      </c>
      <c r="Q24" s="1">
        <f t="shared" si="0"/>
        <v>12.001596571899126</v>
      </c>
      <c r="R24" s="1">
        <f t="shared" si="1"/>
        <v>11.688670843322694</v>
      </c>
    </row>
    <row r="25" spans="1:18" x14ac:dyDescent="0.35">
      <c r="A25">
        <v>0.25000952875685201</v>
      </c>
      <c r="B25">
        <v>9.9320135167003691</v>
      </c>
      <c r="C25">
        <v>9.9667484934927604</v>
      </c>
      <c r="I25" s="1">
        <f t="shared" si="2"/>
        <v>21600.823284592014</v>
      </c>
      <c r="J25">
        <f t="shared" si="4"/>
        <v>600.00019273563885</v>
      </c>
      <c r="K25" s="1">
        <f t="shared" si="5"/>
        <v>28.008287114083998</v>
      </c>
      <c r="L25" s="1">
        <f t="shared" si="5"/>
        <v>28.106239780103486</v>
      </c>
      <c r="N25">
        <f>I25</f>
        <v>21600.823284592014</v>
      </c>
      <c r="O25" s="1">
        <f>SUM(K$2:K25)/$G$3</f>
        <v>1.2291883011388E-2</v>
      </c>
      <c r="P25" s="1">
        <f>SUM(L$2:L25)/$G$3</f>
        <v>1.197997249415032E-2</v>
      </c>
      <c r="Q25" s="1">
        <f t="shared" si="0"/>
        <v>12.291883011388</v>
      </c>
      <c r="R25" s="1">
        <f t="shared" si="1"/>
        <v>11.979972494150319</v>
      </c>
    </row>
    <row r="26" spans="1:18" x14ac:dyDescent="0.35">
      <c r="A26">
        <v>0.25695397543203402</v>
      </c>
      <c r="B26">
        <v>9.8587529581059297</v>
      </c>
      <c r="C26">
        <v>9.9360983387019299</v>
      </c>
      <c r="I26" s="1">
        <f t="shared" si="2"/>
        <v>22200.82347732774</v>
      </c>
      <c r="J26">
        <f t="shared" si="4"/>
        <v>600.00019273572616</v>
      </c>
      <c r="K26" s="1">
        <f t="shared" si="5"/>
        <v>27.801692272488101</v>
      </c>
      <c r="L26" s="1">
        <f t="shared" si="5"/>
        <v>28.019806315832746</v>
      </c>
      <c r="N26">
        <f>I26</f>
        <v>22200.82347732774</v>
      </c>
      <c r="O26" s="1">
        <f>SUM(K$2:K26)/$G$3</f>
        <v>1.2580028238858468E-2</v>
      </c>
      <c r="P26" s="1">
        <f>SUM(L$2:L26)/$G$3</f>
        <v>1.2270378322163305E-2</v>
      </c>
      <c r="Q26" s="1">
        <f t="shared" si="0"/>
        <v>12.580028238858468</v>
      </c>
      <c r="R26" s="1">
        <f t="shared" si="1"/>
        <v>12.270378322163305</v>
      </c>
    </row>
    <row r="27" spans="1:18" x14ac:dyDescent="0.35">
      <c r="A27">
        <v>0.26389842210721498</v>
      </c>
      <c r="B27">
        <v>9.7739669785736005</v>
      </c>
      <c r="C27">
        <v>9.8637229756146105</v>
      </c>
      <c r="I27" s="1">
        <f t="shared" si="2"/>
        <v>22800.823670063375</v>
      </c>
      <c r="J27">
        <f t="shared" si="4"/>
        <v>600.00019273563521</v>
      </c>
      <c r="K27" s="1">
        <f t="shared" si="5"/>
        <v>27.562595733398705</v>
      </c>
      <c r="L27" s="1">
        <f t="shared" si="5"/>
        <v>27.815707726360493</v>
      </c>
      <c r="N27">
        <f>I27</f>
        <v>22800.823670063375</v>
      </c>
      <c r="O27" s="1">
        <f>SUM(K$2:K27)/$G$3</f>
        <v>1.2865695396793884E-2</v>
      </c>
      <c r="P27" s="1">
        <f>SUM(L$2:L27)/$G$3</f>
        <v>1.2558668810077077E-2</v>
      </c>
      <c r="Q27" s="1">
        <f t="shared" si="0"/>
        <v>12.865695396793884</v>
      </c>
      <c r="R27" s="1">
        <f t="shared" si="1"/>
        <v>12.558668810077076</v>
      </c>
    </row>
    <row r="28" spans="1:18" x14ac:dyDescent="0.35">
      <c r="A28">
        <v>0.27084286878239699</v>
      </c>
      <c r="B28">
        <v>9.7019520907003898</v>
      </c>
      <c r="C28">
        <v>9.7597776649134698</v>
      </c>
      <c r="I28" s="1">
        <f t="shared" si="2"/>
        <v>23400.823862799101</v>
      </c>
      <c r="J28">
        <f t="shared" si="4"/>
        <v>600.00019273572616</v>
      </c>
      <c r="K28" s="1">
        <f t="shared" si="5"/>
        <v>27.359513684365172</v>
      </c>
      <c r="L28" s="1">
        <f t="shared" si="5"/>
        <v>27.522581856027813</v>
      </c>
      <c r="N28">
        <f>I28</f>
        <v>23400.823862799101</v>
      </c>
      <c r="O28" s="1">
        <f>SUM(K$2:K28)/$G$3</f>
        <v>1.314925775036558E-2</v>
      </c>
      <c r="P28" s="1">
        <f>SUM(L$2:L28)/$G$3</f>
        <v>1.2843921251969887E-2</v>
      </c>
      <c r="Q28" s="1">
        <f t="shared" si="0"/>
        <v>13.14925775036558</v>
      </c>
      <c r="R28" s="1">
        <f t="shared" si="1"/>
        <v>12.843921251969887</v>
      </c>
    </row>
    <row r="29" spans="1:18" x14ac:dyDescent="0.35">
      <c r="A29">
        <v>0.27778731545757801</v>
      </c>
      <c r="B29">
        <v>9.6307904125900503</v>
      </c>
      <c r="C29">
        <v>9.7424787325160995</v>
      </c>
      <c r="I29" s="1">
        <f t="shared" si="2"/>
        <v>24000.82405553474</v>
      </c>
      <c r="J29">
        <f t="shared" si="4"/>
        <v>600.00019273563885</v>
      </c>
      <c r="K29" s="1">
        <f t="shared" si="5"/>
        <v>27.158837687627695</v>
      </c>
      <c r="L29" s="1">
        <f t="shared" si="5"/>
        <v>27.473798850992857</v>
      </c>
      <c r="N29">
        <f>I29</f>
        <v>24000.82405553474</v>
      </c>
      <c r="O29" s="1">
        <f>SUM(K$2:K29)/$G$3</f>
        <v>1.3430740236634198E-2</v>
      </c>
      <c r="P29" s="1">
        <f>SUM(L$2:L29)/$G$3</f>
        <v>1.3128668091903481E-2</v>
      </c>
      <c r="Q29" s="1">
        <f t="shared" si="0"/>
        <v>13.430740236634199</v>
      </c>
      <c r="R29" s="1">
        <f t="shared" si="1"/>
        <v>13.128668091903481</v>
      </c>
    </row>
    <row r="30" spans="1:18" x14ac:dyDescent="0.35">
      <c r="A30">
        <v>0.28473176213276002</v>
      </c>
      <c r="B30">
        <v>9.5467933044238702</v>
      </c>
      <c r="C30">
        <v>9.6705933101676393</v>
      </c>
      <c r="I30" s="1">
        <f t="shared" si="2"/>
        <v>24600.824248270466</v>
      </c>
      <c r="J30">
        <f t="shared" si="4"/>
        <v>600.00019273572616</v>
      </c>
      <c r="K30" s="1">
        <f t="shared" si="5"/>
        <v>26.921965766513576</v>
      </c>
      <c r="L30" s="1">
        <f t="shared" si="5"/>
        <v>27.271081894856216</v>
      </c>
      <c r="N30">
        <f>I30</f>
        <v>24600.824248270466</v>
      </c>
      <c r="O30" s="1">
        <f>SUM(K$2:K30)/$G$3</f>
        <v>1.370976770998771E-2</v>
      </c>
      <c r="P30" s="1">
        <f>SUM(L$2:L30)/$G$3</f>
        <v>1.3411313911407614E-2</v>
      </c>
      <c r="Q30" s="1">
        <f t="shared" si="0"/>
        <v>13.709767709987711</v>
      </c>
      <c r="R30" s="1">
        <f t="shared" si="1"/>
        <v>13.411313911407614</v>
      </c>
    </row>
    <row r="31" spans="1:18" x14ac:dyDescent="0.35">
      <c r="A31">
        <v>0.29167620880794098</v>
      </c>
      <c r="B31">
        <v>9.4593233965582595</v>
      </c>
      <c r="C31">
        <v>9.5581966210131402</v>
      </c>
      <c r="I31" s="1">
        <f t="shared" si="2"/>
        <v>25200.824441006102</v>
      </c>
      <c r="J31">
        <f t="shared" si="4"/>
        <v>600.00019273563521</v>
      </c>
      <c r="K31" s="1">
        <f t="shared" si="5"/>
        <v>26.675300547093197</v>
      </c>
      <c r="L31" s="1">
        <f t="shared" si="5"/>
        <v>26.954123129621014</v>
      </c>
      <c r="N31">
        <f>I31</f>
        <v>25200.824441006102</v>
      </c>
      <c r="O31" s="1">
        <f>SUM(K$2:K31)/$G$3</f>
        <v>1.3986238669692258E-2</v>
      </c>
      <c r="P31" s="1">
        <f>SUM(L$2:L31)/$G$3</f>
        <v>1.3690674673491056E-2</v>
      </c>
      <c r="Q31" s="1">
        <f t="shared" si="0"/>
        <v>13.986238669692257</v>
      </c>
      <c r="R31" s="1">
        <f t="shared" si="1"/>
        <v>13.690674673491056</v>
      </c>
    </row>
    <row r="32" spans="1:18" x14ac:dyDescent="0.35">
      <c r="A32">
        <v>0.298620655483123</v>
      </c>
      <c r="B32">
        <v>9.3721934227526198</v>
      </c>
      <c r="C32">
        <v>9.4432567641674297</v>
      </c>
      <c r="I32" s="1">
        <f t="shared" si="2"/>
        <v>25800.824633741828</v>
      </c>
      <c r="J32">
        <f t="shared" si="4"/>
        <v>600.00019273572616</v>
      </c>
      <c r="K32" s="1">
        <f t="shared" si="5"/>
        <v>26.429593942037965</v>
      </c>
      <c r="L32" s="1">
        <f t="shared" si="5"/>
        <v>26.629992629201016</v>
      </c>
      <c r="N32">
        <f>I32</f>
        <v>25800.824633741828</v>
      </c>
      <c r="O32" s="1">
        <f>SUM(K$2:K32)/$G$3</f>
        <v>1.4260163051119814E-2</v>
      </c>
      <c r="P32" s="1">
        <f>SUM(L$2:L32)/$G$3</f>
        <v>1.3966676048100592E-2</v>
      </c>
      <c r="Q32" s="1">
        <f t="shared" si="0"/>
        <v>14.260163051119815</v>
      </c>
      <c r="R32" s="1">
        <f t="shared" si="1"/>
        <v>13.966676048100592</v>
      </c>
    </row>
    <row r="33" spans="1:18" x14ac:dyDescent="0.35">
      <c r="A33">
        <v>0.30556510215830401</v>
      </c>
      <c r="B33">
        <v>9.2967416943075101</v>
      </c>
      <c r="C33">
        <v>9.3417285106832804</v>
      </c>
      <c r="I33" s="1">
        <f t="shared" si="2"/>
        <v>26400.824826477467</v>
      </c>
      <c r="J33">
        <f t="shared" si="4"/>
        <v>600.00019273563885</v>
      </c>
      <c r="K33" s="1">
        <f t="shared" si="5"/>
        <v>26.216819999470392</v>
      </c>
      <c r="L33" s="1">
        <f t="shared" si="5"/>
        <v>26.343682862401707</v>
      </c>
      <c r="N33">
        <f>I33</f>
        <v>26400.824826477467</v>
      </c>
      <c r="O33" s="1">
        <f>SUM(K$2:K33)/$G$3</f>
        <v>1.4531882178439816E-2</v>
      </c>
      <c r="P33" s="1">
        <f>SUM(L$2:L33)/$G$3</f>
        <v>1.4239710020867361E-2</v>
      </c>
      <c r="Q33" s="1">
        <f t="shared" si="0"/>
        <v>14.531882178439815</v>
      </c>
      <c r="R33" s="1">
        <f t="shared" si="1"/>
        <v>14.239710020867362</v>
      </c>
    </row>
    <row r="34" spans="1:18" x14ac:dyDescent="0.35">
      <c r="A34">
        <v>0.31250954883348597</v>
      </c>
      <c r="B34">
        <v>9.2028346791651696</v>
      </c>
      <c r="C34">
        <v>9.2425364787966604</v>
      </c>
      <c r="I34" s="1">
        <f t="shared" si="2"/>
        <v>27000.825019213189</v>
      </c>
      <c r="J34">
        <f t="shared" si="4"/>
        <v>600.00019273572252</v>
      </c>
      <c r="K34" s="1">
        <f t="shared" si="5"/>
        <v>25.952002131706237</v>
      </c>
      <c r="L34" s="1">
        <f t="shared" si="5"/>
        <v>26.06396124263123</v>
      </c>
      <c r="N34">
        <f>I34</f>
        <v>27000.825019213189</v>
      </c>
      <c r="O34" s="1">
        <f>SUM(K$2:K34)/$G$3</f>
        <v>1.4800856652520825E-2</v>
      </c>
      <c r="P34" s="1">
        <f>SUM(L$2:L34)/$G$3</f>
        <v>1.4509844873358746E-2</v>
      </c>
      <c r="Q34" s="1">
        <f t="shared" si="0"/>
        <v>14.800856652520824</v>
      </c>
      <c r="R34" s="1">
        <f t="shared" si="1"/>
        <v>14.509844873358746</v>
      </c>
    </row>
    <row r="35" spans="1:18" x14ac:dyDescent="0.35">
      <c r="A35">
        <v>0.31945399550866699</v>
      </c>
      <c r="B35">
        <v>9.1002207183059394</v>
      </c>
      <c r="C35">
        <v>9.1312707799028594</v>
      </c>
      <c r="I35" s="1">
        <f t="shared" si="2"/>
        <v>27600.825211948828</v>
      </c>
      <c r="J35">
        <f t="shared" si="4"/>
        <v>600.00019273563885</v>
      </c>
      <c r="K35" s="1">
        <f t="shared" si="5"/>
        <v>25.662630669125964</v>
      </c>
      <c r="L35" s="1">
        <f t="shared" si="5"/>
        <v>25.750191870956208</v>
      </c>
      <c r="N35">
        <f>I35</f>
        <v>27600.825211948828</v>
      </c>
      <c r="O35" s="1">
        <f>SUM(K$2:K35)/$G$3</f>
        <v>1.5066831992409159E-2</v>
      </c>
      <c r="P35" s="1">
        <f>SUM(L$2:L35)/$G$3</f>
        <v>1.4776727724278125E-2</v>
      </c>
      <c r="Q35" s="1">
        <f t="shared" si="0"/>
        <v>15.06683199240916</v>
      </c>
      <c r="R35" s="1">
        <f t="shared" si="1"/>
        <v>14.776727724278125</v>
      </c>
    </row>
    <row r="36" spans="1:18" x14ac:dyDescent="0.35">
      <c r="A36">
        <v>0.326398442183849</v>
      </c>
      <c r="B36">
        <v>8.9906850916810992</v>
      </c>
      <c r="C36">
        <v>9.0275587311583596</v>
      </c>
      <c r="I36" s="1">
        <f t="shared" si="2"/>
        <v>28200.825404684554</v>
      </c>
      <c r="J36">
        <f t="shared" si="4"/>
        <v>600.00019273572616</v>
      </c>
      <c r="K36" s="1">
        <f t="shared" si="5"/>
        <v>25.353740102823931</v>
      </c>
      <c r="L36" s="1">
        <f t="shared" si="5"/>
        <v>25.457723799552088</v>
      </c>
      <c r="N36">
        <f>I36</f>
        <v>28200.825404684554</v>
      </c>
      <c r="O36" s="1">
        <f>SUM(K$2:K36)/$G$3</f>
        <v>1.5329605896154031E-2</v>
      </c>
      <c r="P36" s="1">
        <f>SUM(L$2:L36)/$G$3</f>
        <v>1.504057934680548E-2</v>
      </c>
      <c r="Q36" s="1">
        <f t="shared" si="0"/>
        <v>15.32960589615403</v>
      </c>
      <c r="R36" s="1">
        <f t="shared" si="1"/>
        <v>15.04057934680548</v>
      </c>
    </row>
    <row r="37" spans="1:18" x14ac:dyDescent="0.35">
      <c r="A37">
        <v>0.33334288885903002</v>
      </c>
      <c r="B37">
        <v>8.8894093461576897</v>
      </c>
      <c r="C37">
        <v>8.9051897226824597</v>
      </c>
      <c r="I37" s="1">
        <f t="shared" si="2"/>
        <v>28800.825597420193</v>
      </c>
      <c r="J37">
        <f t="shared" si="4"/>
        <v>600.00019273563885</v>
      </c>
      <c r="K37" s="1">
        <f t="shared" si="5"/>
        <v>25.068142408702837</v>
      </c>
      <c r="L37" s="1">
        <f t="shared" si="5"/>
        <v>25.112643084797458</v>
      </c>
      <c r="N37">
        <f>I37</f>
        <v>28800.825597420193</v>
      </c>
      <c r="O37" s="1">
        <f>SUM(K$2:K37)/$G$3</f>
        <v>1.5589419778194792E-2</v>
      </c>
      <c r="P37" s="1">
        <f>SUM(L$2:L37)/$G$3</f>
        <v>1.5300854447440785E-2</v>
      </c>
      <c r="Q37" s="1">
        <f t="shared" si="0"/>
        <v>15.589419778194792</v>
      </c>
      <c r="R37" s="1">
        <f t="shared" si="1"/>
        <v>15.300854447440784</v>
      </c>
    </row>
    <row r="38" spans="1:18" x14ac:dyDescent="0.35">
      <c r="A38">
        <v>0.34028733553421198</v>
      </c>
      <c r="B38">
        <v>8.7830717212888807</v>
      </c>
      <c r="C38">
        <v>8.7865755087238799</v>
      </c>
      <c r="I38" s="1">
        <f t="shared" si="2"/>
        <v>29400.825790155915</v>
      </c>
      <c r="J38">
        <f t="shared" si="4"/>
        <v>600.00019273572252</v>
      </c>
      <c r="K38" s="1">
        <f t="shared" si="5"/>
        <v>24.768270210249511</v>
      </c>
      <c r="L38" s="1">
        <f t="shared" si="5"/>
        <v>24.778150893990144</v>
      </c>
      <c r="N38">
        <f>I38</f>
        <v>29400.825790155915</v>
      </c>
      <c r="O38" s="1">
        <f>SUM(K$2:K38)/$G$3</f>
        <v>1.5846125693210075E-2</v>
      </c>
      <c r="P38" s="1">
        <f>SUM(L$2:L38)/$G$3</f>
        <v>1.555766276887925E-2</v>
      </c>
      <c r="Q38" s="1">
        <f t="shared" si="0"/>
        <v>15.846125693210075</v>
      </c>
      <c r="R38" s="1">
        <f t="shared" si="1"/>
        <v>15.557662768879251</v>
      </c>
    </row>
    <row r="39" spans="1:18" x14ac:dyDescent="0.35">
      <c r="A39">
        <v>0.34723178220939299</v>
      </c>
      <c r="B39">
        <v>8.65362035094922</v>
      </c>
      <c r="C39">
        <v>8.6770722804253904</v>
      </c>
      <c r="I39" s="1">
        <f t="shared" si="2"/>
        <v>30000.825982891554</v>
      </c>
      <c r="J39">
        <f t="shared" si="4"/>
        <v>600.00019273563885</v>
      </c>
      <c r="K39" s="1">
        <f t="shared" si="5"/>
        <v>24.403217228623721</v>
      </c>
      <c r="L39" s="1">
        <f t="shared" si="5"/>
        <v>24.469351690990624</v>
      </c>
      <c r="N39">
        <f>I39</f>
        <v>30000.825982891554</v>
      </c>
      <c r="O39" s="1">
        <f>SUM(K$2:K39)/$G$3</f>
        <v>1.6099048087661272E-2</v>
      </c>
      <c r="P39" s="1">
        <f>SUM(L$2:L39)/$G$3</f>
        <v>1.5811270601091412E-2</v>
      </c>
      <c r="Q39" s="1">
        <f t="shared" si="0"/>
        <v>16.099048087661274</v>
      </c>
      <c r="R39" s="1">
        <f t="shared" si="1"/>
        <v>15.811270601091412</v>
      </c>
    </row>
    <row r="40" spans="1:18" x14ac:dyDescent="0.35">
      <c r="A40">
        <v>0.35417622888457501</v>
      </c>
      <c r="B40">
        <v>8.5364628652110799</v>
      </c>
      <c r="C40">
        <v>8.5600909987351095</v>
      </c>
      <c r="I40" s="1">
        <f t="shared" si="2"/>
        <v>30600.82617562728</v>
      </c>
      <c r="J40">
        <f t="shared" si="4"/>
        <v>600.00019273572616</v>
      </c>
      <c r="K40" s="1">
        <f t="shared" si="5"/>
        <v>24.07283301271768</v>
      </c>
      <c r="L40" s="1">
        <f t="shared" si="5"/>
        <v>24.139464370659176</v>
      </c>
      <c r="N40">
        <f>I40</f>
        <v>30600.82617562728</v>
      </c>
      <c r="O40" s="1">
        <f>SUM(K$2:K40)/$G$3</f>
        <v>1.63485462792218E-2</v>
      </c>
      <c r="P40" s="1">
        <f>SUM(L$2:L40)/$G$3</f>
        <v>1.6061459380390362E-2</v>
      </c>
      <c r="Q40" s="1">
        <f t="shared" si="0"/>
        <v>16.3485462792218</v>
      </c>
      <c r="R40" s="1">
        <f t="shared" si="1"/>
        <v>16.06145938039036</v>
      </c>
    </row>
    <row r="41" spans="1:18" x14ac:dyDescent="0.35">
      <c r="A41">
        <v>0.36112067555975602</v>
      </c>
      <c r="B41">
        <v>8.3981297211479493</v>
      </c>
      <c r="C41">
        <v>8.4559209430381994</v>
      </c>
      <c r="I41" s="1">
        <f t="shared" si="2"/>
        <v>31200.826368362919</v>
      </c>
      <c r="J41">
        <f t="shared" si="4"/>
        <v>600.00019273563885</v>
      </c>
      <c r="K41" s="1">
        <f t="shared" si="5"/>
        <v>23.682733421146033</v>
      </c>
      <c r="L41" s="1">
        <f t="shared" si="5"/>
        <v>23.84570471922715</v>
      </c>
      <c r="N41">
        <f>I41</f>
        <v>31200.826368362919</v>
      </c>
      <c r="O41" s="1">
        <f>SUM(K$2:K41)/$G$3</f>
        <v>1.6594001359505221E-2</v>
      </c>
      <c r="P41" s="1">
        <f>SUM(L$2:L41)/$G$3</f>
        <v>1.630860354496752E-2</v>
      </c>
      <c r="Q41" s="1">
        <f t="shared" si="0"/>
        <v>16.594001359505221</v>
      </c>
      <c r="R41" s="1">
        <f t="shared" si="1"/>
        <v>16.308603544967522</v>
      </c>
    </row>
    <row r="42" spans="1:18" x14ac:dyDescent="0.35">
      <c r="A42">
        <v>0.36806512223493798</v>
      </c>
      <c r="B42">
        <v>8.2684599709682001</v>
      </c>
      <c r="C42">
        <v>8.2926767292210997</v>
      </c>
      <c r="I42" s="1">
        <f t="shared" si="2"/>
        <v>31800.826561098642</v>
      </c>
      <c r="J42">
        <f t="shared" si="4"/>
        <v>600.00019273572252</v>
      </c>
      <c r="K42" s="1">
        <f t="shared" si="5"/>
        <v>23.317064608180075</v>
      </c>
      <c r="L42" s="1">
        <f t="shared" si="5"/>
        <v>23.385355888390194</v>
      </c>
      <c r="N42">
        <f>I42</f>
        <v>31800.826561098642</v>
      </c>
      <c r="O42" s="1">
        <f>SUM(K$2:K42)/$G$3</f>
        <v>1.6835666536560517E-2</v>
      </c>
      <c r="P42" s="1">
        <f>SUM(L$2:L42)/$G$3</f>
        <v>1.6550976513702458E-2</v>
      </c>
      <c r="Q42" s="1">
        <f t="shared" si="0"/>
        <v>16.835666536560517</v>
      </c>
      <c r="R42" s="1">
        <f t="shared" si="1"/>
        <v>16.550976513702459</v>
      </c>
    </row>
    <row r="43" spans="1:18" x14ac:dyDescent="0.35">
      <c r="A43">
        <v>0.375009568910119</v>
      </c>
      <c r="B43">
        <v>8.1365959084802597</v>
      </c>
      <c r="C43">
        <v>8.2075993479497704</v>
      </c>
      <c r="I43" s="1">
        <f t="shared" si="2"/>
        <v>32400.826753834281</v>
      </c>
      <c r="J43">
        <f t="shared" si="4"/>
        <v>600.00019273563885</v>
      </c>
      <c r="K43" s="1">
        <f t="shared" si="5"/>
        <v>22.945207832510782</v>
      </c>
      <c r="L43" s="1">
        <f t="shared" si="5"/>
        <v>23.145437596133803</v>
      </c>
      <c r="N43">
        <f>I43</f>
        <v>32400.826753834281</v>
      </c>
      <c r="O43" s="1">
        <f>SUM(K$2:K43)/$G$3</f>
        <v>1.7073477676452838E-2</v>
      </c>
      <c r="P43" s="1">
        <f>SUM(L$2:L43)/$G$3</f>
        <v>1.679086289600161E-2</v>
      </c>
      <c r="Q43" s="1">
        <f t="shared" si="0"/>
        <v>17.073477676452839</v>
      </c>
      <c r="R43" s="1">
        <f t="shared" si="1"/>
        <v>16.79086289600161</v>
      </c>
    </row>
    <row r="44" spans="1:18" x14ac:dyDescent="0.35">
      <c r="A44">
        <v>0.38195401562294701</v>
      </c>
      <c r="B44">
        <v>7.9941264638601801</v>
      </c>
      <c r="C44">
        <v>8.0814085949543308</v>
      </c>
      <c r="I44" s="1">
        <f t="shared" si="2"/>
        <v>33000.826949822622</v>
      </c>
      <c r="J44">
        <f t="shared" si="4"/>
        <v>600.00019598834115</v>
      </c>
      <c r="K44" s="1">
        <f t="shared" si="5"/>
        <v>22.543443991836956</v>
      </c>
      <c r="L44" s="1">
        <f t="shared" si="5"/>
        <v>22.789579681921978</v>
      </c>
      <c r="N44">
        <f>I44</f>
        <v>33000.826949822622</v>
      </c>
      <c r="O44" s="1">
        <f>SUM(K$2:K44)/$G$3</f>
        <v>1.7307124813228887E-2</v>
      </c>
      <c r="P44" s="1">
        <f>SUM(L$2:L44)/$G$3</f>
        <v>1.7027061058222909E-2</v>
      </c>
      <c r="Q44" s="1">
        <f t="shared" si="0"/>
        <v>17.307124813228889</v>
      </c>
      <c r="R44" s="1">
        <f t="shared" si="1"/>
        <v>17.027061058222909</v>
      </c>
    </row>
    <row r="45" spans="1:18" x14ac:dyDescent="0.35">
      <c r="A45">
        <v>0.38889846008032602</v>
      </c>
      <c r="B45">
        <v>7.8543624812652197</v>
      </c>
      <c r="C45">
        <v>7.9312604264735604</v>
      </c>
      <c r="I45" s="1">
        <f t="shared" si="2"/>
        <v>33600.826950940165</v>
      </c>
      <c r="J45">
        <f t="shared" si="4"/>
        <v>600.00000111754343</v>
      </c>
      <c r="K45" s="1">
        <f t="shared" si="5"/>
        <v>22.149302238422599</v>
      </c>
      <c r="L45" s="1">
        <f t="shared" si="5"/>
        <v>22.366154444314024</v>
      </c>
      <c r="N45">
        <f>I45</f>
        <v>33600.826950940165</v>
      </c>
      <c r="O45" s="1">
        <f>SUM(K$2:K45)/$G$3</f>
        <v>1.7536686944528288E-2</v>
      </c>
      <c r="P45" s="1">
        <f>SUM(L$2:L45)/$G$3</f>
        <v>1.7258870711996183E-2</v>
      </c>
      <c r="Q45" s="1">
        <f t="shared" si="0"/>
        <v>17.536686944528288</v>
      </c>
      <c r="R45" s="1">
        <f t="shared" si="1"/>
        <v>17.258870711996185</v>
      </c>
    </row>
    <row r="46" spans="1:18" x14ac:dyDescent="0.35">
      <c r="A46">
        <v>0.39584290453770599</v>
      </c>
      <c r="B46">
        <v>7.7088445440987403</v>
      </c>
      <c r="C46">
        <v>7.80788815001881</v>
      </c>
      <c r="I46" s="1">
        <f t="shared" si="2"/>
        <v>34200.826952057796</v>
      </c>
      <c r="J46">
        <f t="shared" si="4"/>
        <v>600.00000111763075</v>
      </c>
      <c r="K46" s="1">
        <f t="shared" si="5"/>
        <v>21.738941654851967</v>
      </c>
      <c r="L46" s="1">
        <f t="shared" si="5"/>
        <v>22.018244624066824</v>
      </c>
      <c r="N46">
        <f>I46</f>
        <v>34200.826952057796</v>
      </c>
      <c r="O46" s="1">
        <f>SUM(K$2:K46)/$G$3</f>
        <v>1.7761995973443166E-2</v>
      </c>
      <c r="P46" s="1">
        <f>SUM(L$2:L46)/$G$3</f>
        <v>1.7487074522164258E-2</v>
      </c>
      <c r="Q46" s="1">
        <f t="shared" si="0"/>
        <v>17.761995973443167</v>
      </c>
      <c r="R46" s="1">
        <f t="shared" si="1"/>
        <v>17.487074522164257</v>
      </c>
    </row>
    <row r="47" spans="1:18" x14ac:dyDescent="0.35">
      <c r="A47">
        <v>0.402787348995085</v>
      </c>
      <c r="B47">
        <v>7.5729856225838903</v>
      </c>
      <c r="C47">
        <v>7.6847225795796197</v>
      </c>
      <c r="I47" s="1">
        <f t="shared" si="2"/>
        <v>34800.826953175347</v>
      </c>
      <c r="J47">
        <f t="shared" si="4"/>
        <v>600.00000111755071</v>
      </c>
      <c r="K47" s="1">
        <f t="shared" si="5"/>
        <v>21.355819495463592</v>
      </c>
      <c r="L47" s="1">
        <f t="shared" si="5"/>
        <v>21.670917714778444</v>
      </c>
      <c r="N47">
        <f>I47</f>
        <v>34800.826953175347</v>
      </c>
      <c r="O47" s="1">
        <f>SUM(K$2:K47)/$G$3</f>
        <v>1.798333420731852E-2</v>
      </c>
      <c r="P47" s="1">
        <f>SUM(L$2:L47)/$G$3</f>
        <v>1.77116785301943E-2</v>
      </c>
      <c r="Q47" s="1">
        <f t="shared" si="0"/>
        <v>17.983334207318521</v>
      </c>
      <c r="R47" s="1">
        <f t="shared" si="1"/>
        <v>17.711678530194298</v>
      </c>
    </row>
    <row r="48" spans="1:18" x14ac:dyDescent="0.35">
      <c r="A48">
        <v>0.40973179345246502</v>
      </c>
      <c r="B48">
        <v>7.4341875015217296</v>
      </c>
      <c r="C48">
        <v>7.5667586542137304</v>
      </c>
      <c r="I48" s="1">
        <f t="shared" si="2"/>
        <v>35400.826954292977</v>
      </c>
      <c r="J48">
        <f t="shared" si="4"/>
        <v>600.00000111763075</v>
      </c>
      <c r="K48" s="1">
        <f t="shared" si="5"/>
        <v>20.964408793342056</v>
      </c>
      <c r="L48" s="1">
        <f t="shared" si="5"/>
        <v>21.33825944462988</v>
      </c>
      <c r="N48">
        <f>I48</f>
        <v>35400.826954292977</v>
      </c>
      <c r="O48" s="1">
        <f>SUM(K$2:K48)/$G$3</f>
        <v>1.8200615741166704E-2</v>
      </c>
      <c r="P48" s="1">
        <f>SUM(L$2:L48)/$G$3</f>
        <v>1.7932834766341159E-2</v>
      </c>
      <c r="Q48" s="1">
        <f t="shared" si="0"/>
        <v>18.200615741166704</v>
      </c>
      <c r="R48" s="1">
        <f t="shared" si="1"/>
        <v>17.932834766341159</v>
      </c>
    </row>
    <row r="49" spans="1:18" x14ac:dyDescent="0.35">
      <c r="A49">
        <v>0.41667623790984398</v>
      </c>
      <c r="B49">
        <v>7.2822833331339902</v>
      </c>
      <c r="C49">
        <v>7.4393551585162196</v>
      </c>
      <c r="I49" s="1">
        <f t="shared" si="2"/>
        <v>36000.826955410521</v>
      </c>
      <c r="J49">
        <f t="shared" si="4"/>
        <v>600.00000111754343</v>
      </c>
      <c r="K49" s="1">
        <f t="shared" si="5"/>
        <v>20.536039037687711</v>
      </c>
      <c r="L49" s="1">
        <f t="shared" si="5"/>
        <v>20.978981586090612</v>
      </c>
      <c r="N49">
        <f>I49</f>
        <v>36000.826955410521</v>
      </c>
      <c r="O49" s="1">
        <f>SUM(K$2:K49)/$G$3</f>
        <v>1.8413457520072105E-2</v>
      </c>
      <c r="P49" s="1">
        <f>SUM(L$2:L49)/$G$3</f>
        <v>1.8150267337062938E-2</v>
      </c>
      <c r="Q49" s="1">
        <f t="shared" si="0"/>
        <v>18.413457520072104</v>
      </c>
      <c r="R49" s="1">
        <f t="shared" si="1"/>
        <v>18.150267337062939</v>
      </c>
    </row>
    <row r="50" spans="1:18" x14ac:dyDescent="0.35">
      <c r="A50">
        <v>0.423620682367224</v>
      </c>
      <c r="B50">
        <v>7.1473850676091901</v>
      </c>
      <c r="C50">
        <v>7.3119165073665604</v>
      </c>
      <c r="I50" s="1">
        <f t="shared" si="2"/>
        <v>36600.826956528152</v>
      </c>
      <c r="J50">
        <f t="shared" si="4"/>
        <v>600.00000111763075</v>
      </c>
      <c r="K50" s="1">
        <f t="shared" si="5"/>
        <v>20.155625928202163</v>
      </c>
      <c r="L50" s="1">
        <f t="shared" si="5"/>
        <v>20.61960458918221</v>
      </c>
      <c r="N50">
        <f>I50</f>
        <v>36600.826956528152</v>
      </c>
      <c r="O50" s="1">
        <f>SUM(K$2:K50)/$G$3</f>
        <v>1.862235658135834E-2</v>
      </c>
      <c r="P50" s="1">
        <f>SUM(L$2:L50)/$G$3</f>
        <v>1.8363975214859302E-2</v>
      </c>
      <c r="Q50" s="1">
        <f t="shared" si="0"/>
        <v>18.622356581358339</v>
      </c>
      <c r="R50" s="1">
        <f t="shared" si="1"/>
        <v>18.363975214859302</v>
      </c>
    </row>
    <row r="51" spans="1:18" x14ac:dyDescent="0.35">
      <c r="A51">
        <v>0.43056512682460302</v>
      </c>
      <c r="B51">
        <v>7.00872452323354</v>
      </c>
      <c r="C51">
        <v>7.1920975703803398</v>
      </c>
      <c r="I51" s="1">
        <f t="shared" si="2"/>
        <v>37200.826957645702</v>
      </c>
      <c r="J51">
        <f t="shared" si="4"/>
        <v>600.00000111755071</v>
      </c>
      <c r="K51" s="1">
        <f t="shared" si="5"/>
        <v>19.76460319233183</v>
      </c>
      <c r="L51" s="1">
        <f t="shared" si="5"/>
        <v>20.281715186248967</v>
      </c>
      <c r="N51">
        <f>I51</f>
        <v>37200.826957645702</v>
      </c>
      <c r="O51" s="1">
        <f>SUM(K$2:K51)/$G$3</f>
        <v>1.8827202963618086E-2</v>
      </c>
      <c r="P51" s="1">
        <f>SUM(L$2:L51)/$G$3</f>
        <v>1.857418110371507E-2</v>
      </c>
      <c r="Q51" s="1">
        <f t="shared" si="0"/>
        <v>18.827202963618085</v>
      </c>
      <c r="R51" s="1">
        <f t="shared" si="1"/>
        <v>18.57418110371507</v>
      </c>
    </row>
    <row r="52" spans="1:18" x14ac:dyDescent="0.35">
      <c r="A52">
        <v>0.43750957128198298</v>
      </c>
      <c r="B52">
        <v>6.8779290647187903</v>
      </c>
      <c r="C52">
        <v>7.0754634590287697</v>
      </c>
      <c r="I52" s="1">
        <f t="shared" si="2"/>
        <v>37800.826958763326</v>
      </c>
      <c r="J52">
        <f t="shared" si="4"/>
        <v>600.00000111762347</v>
      </c>
      <c r="K52" s="1">
        <f t="shared" si="5"/>
        <v>19.395759998635583</v>
      </c>
      <c r="L52" s="1">
        <f t="shared" si="5"/>
        <v>19.952806991627341</v>
      </c>
      <c r="N52">
        <f>I52</f>
        <v>37800.826958763326</v>
      </c>
      <c r="O52" s="1">
        <f>SUM(K$2:K52)/$G$3</f>
        <v>1.9028226542398576E-2</v>
      </c>
      <c r="P52" s="1">
        <f>SUM(L$2:L52)/$G$3</f>
        <v>1.8780978087615443E-2</v>
      </c>
      <c r="Q52" s="1">
        <f t="shared" si="0"/>
        <v>19.028226542398578</v>
      </c>
      <c r="R52" s="1">
        <f t="shared" si="1"/>
        <v>18.780978087615441</v>
      </c>
    </row>
    <row r="53" spans="1:18" x14ac:dyDescent="0.35">
      <c r="A53">
        <v>0.444454015739362</v>
      </c>
      <c r="B53">
        <v>6.7419288319125998</v>
      </c>
      <c r="C53">
        <v>6.9538679821812304</v>
      </c>
      <c r="I53" s="1">
        <f t="shared" si="2"/>
        <v>38400.826959880877</v>
      </c>
      <c r="J53">
        <f t="shared" si="4"/>
        <v>600.00000111755071</v>
      </c>
      <c r="K53" s="1">
        <f t="shared" si="5"/>
        <v>19.012239341405436</v>
      </c>
      <c r="L53" s="1">
        <f t="shared" si="5"/>
        <v>19.609907746276182</v>
      </c>
      <c r="N53">
        <f>I53</f>
        <v>38400.826959880877</v>
      </c>
      <c r="O53" s="1">
        <f>SUM(K$2:K53)/$G$3</f>
        <v>1.9225275195986238E-2</v>
      </c>
      <c r="P53" s="1">
        <f>SUM(L$2:L53)/$G$3</f>
        <v>1.8984221159038733E-2</v>
      </c>
      <c r="Q53" s="1">
        <f t="shared" si="0"/>
        <v>19.225275195986239</v>
      </c>
      <c r="R53" s="1">
        <f t="shared" si="1"/>
        <v>18.984221159038732</v>
      </c>
    </row>
    <row r="54" spans="1:18" x14ac:dyDescent="0.35">
      <c r="A54">
        <v>0.45139846019674201</v>
      </c>
      <c r="B54">
        <v>6.6045604838936702</v>
      </c>
      <c r="C54">
        <v>6.8244414160234603</v>
      </c>
      <c r="I54" s="1">
        <f t="shared" si="2"/>
        <v>39000.826960998507</v>
      </c>
      <c r="J54">
        <f t="shared" si="4"/>
        <v>600.00000111763075</v>
      </c>
      <c r="K54" s="1">
        <f t="shared" si="5"/>
        <v>18.624860599273013</v>
      </c>
      <c r="L54" s="1">
        <f t="shared" si="5"/>
        <v>19.244924829034026</v>
      </c>
      <c r="N54">
        <f>I54</f>
        <v>39000.826960998507</v>
      </c>
      <c r="O54" s="1">
        <f>SUM(K$2:K54)/$G$3</f>
        <v>1.9418308938011143E-2</v>
      </c>
      <c r="P54" s="1">
        <f>SUM(L$2:L54)/$G$3</f>
        <v>1.9183681436066601E-2</v>
      </c>
      <c r="Q54" s="1">
        <f t="shared" si="0"/>
        <v>19.418308938011144</v>
      </c>
      <c r="R54" s="1">
        <f t="shared" si="1"/>
        <v>19.1836814360666</v>
      </c>
    </row>
    <row r="55" spans="1:18" x14ac:dyDescent="0.35">
      <c r="A55">
        <v>0.45834290465412098</v>
      </c>
      <c r="B55">
        <v>6.4811077717812502</v>
      </c>
      <c r="C55">
        <v>6.67737571662785</v>
      </c>
      <c r="I55" s="1">
        <f t="shared" si="2"/>
        <v>39600.826962116051</v>
      </c>
      <c r="J55">
        <f t="shared" si="4"/>
        <v>600.00000111754343</v>
      </c>
      <c r="K55" s="1">
        <f t="shared" si="5"/>
        <v>18.276723950464849</v>
      </c>
      <c r="L55" s="1">
        <f t="shared" si="5"/>
        <v>18.830199555963148</v>
      </c>
      <c r="N55">
        <f>I55</f>
        <v>39600.826962116051</v>
      </c>
      <c r="O55" s="1">
        <f>SUM(K$2:K55)/$G$3</f>
        <v>1.960773448551039E-2</v>
      </c>
      <c r="P55" s="1">
        <f>SUM(L$2:L55)/$G$3</f>
        <v>1.9378843373735289E-2</v>
      </c>
      <c r="Q55" s="1">
        <f t="shared" si="0"/>
        <v>19.607734485510392</v>
      </c>
      <c r="R55" s="1">
        <f t="shared" si="1"/>
        <v>19.37884337373529</v>
      </c>
    </row>
    <row r="56" spans="1:18" x14ac:dyDescent="0.35">
      <c r="A56">
        <v>0.46528734911149999</v>
      </c>
      <c r="B56">
        <v>6.3542367118340097</v>
      </c>
      <c r="C56">
        <v>6.5492159477573102</v>
      </c>
      <c r="I56" s="1">
        <f t="shared" si="2"/>
        <v>40200.826963233601</v>
      </c>
      <c r="J56">
        <f t="shared" si="4"/>
        <v>600.00000111755071</v>
      </c>
      <c r="K56" s="1">
        <f t="shared" si="5"/>
        <v>17.918947560747462</v>
      </c>
      <c r="L56" s="1">
        <f t="shared" si="5"/>
        <v>18.468789007075298</v>
      </c>
      <c r="N56">
        <f>I56</f>
        <v>40200.826963233601</v>
      </c>
      <c r="O56" s="1">
        <f>SUM(K$2:K56)/$G$3</f>
        <v>1.9793451929265869E-2</v>
      </c>
      <c r="P56" s="1">
        <f>SUM(L$2:L56)/$G$3</f>
        <v>1.9570259542124935E-2</v>
      </c>
      <c r="Q56" s="1">
        <f t="shared" si="0"/>
        <v>19.793451929265871</v>
      </c>
      <c r="R56" s="1">
        <f t="shared" si="1"/>
        <v>19.570259542124933</v>
      </c>
    </row>
    <row r="57" spans="1:18" x14ac:dyDescent="0.35">
      <c r="A57">
        <v>0.47223179356888001</v>
      </c>
      <c r="B57">
        <v>6.2504186426849699</v>
      </c>
      <c r="C57">
        <v>6.4237980915231798</v>
      </c>
      <c r="I57" s="1">
        <f t="shared" si="2"/>
        <v>40800.826964351232</v>
      </c>
      <c r="J57">
        <f t="shared" si="4"/>
        <v>600.00000111763075</v>
      </c>
      <c r="K57" s="1">
        <f t="shared" si="5"/>
        <v>17.626180605204219</v>
      </c>
      <c r="L57" s="1">
        <f t="shared" si="5"/>
        <v>18.115110651838709</v>
      </c>
      <c r="N57">
        <f>I57</f>
        <v>40800.826964351232</v>
      </c>
      <c r="O57" s="1">
        <f>SUM(K$2:K57)/$G$3</f>
        <v>1.9976135046902852E-2</v>
      </c>
      <c r="P57" s="1">
        <f>SUM(L$2:L57)/$G$3</f>
        <v>1.9758010080051441E-2</v>
      </c>
      <c r="Q57" s="1">
        <f t="shared" si="0"/>
        <v>19.976135046902851</v>
      </c>
      <c r="R57" s="1">
        <f t="shared" si="1"/>
        <v>19.758010080051442</v>
      </c>
    </row>
    <row r="58" spans="1:18" x14ac:dyDescent="0.35">
      <c r="A58">
        <v>0.47917623802625903</v>
      </c>
      <c r="B58">
        <v>6.1536581524237697</v>
      </c>
      <c r="C58">
        <v>6.2972106501829597</v>
      </c>
      <c r="I58" s="1">
        <f t="shared" si="2"/>
        <v>41400.826965468783</v>
      </c>
      <c r="J58">
        <f t="shared" si="4"/>
        <v>600.00000111755071</v>
      </c>
      <c r="K58" s="1">
        <f t="shared" si="5"/>
        <v>17.353316022157049</v>
      </c>
      <c r="L58" s="1">
        <f t="shared" si="5"/>
        <v>17.758134066591971</v>
      </c>
      <c r="N58">
        <f>I58</f>
        <v>41400.826965468783</v>
      </c>
      <c r="O58" s="1">
        <f>SUM(K$2:K58)/$G$3</f>
        <v>2.0155990112686727E-2</v>
      </c>
      <c r="P58" s="1">
        <f>SUM(L$2:L58)/$G$3</f>
        <v>1.9942060803651917E-2</v>
      </c>
      <c r="Q58" s="1">
        <f t="shared" si="0"/>
        <v>20.155990112686727</v>
      </c>
      <c r="R58" s="1">
        <f t="shared" si="1"/>
        <v>19.942060803651916</v>
      </c>
    </row>
    <row r="59" spans="1:18" x14ac:dyDescent="0.35">
      <c r="A59">
        <v>0.48612068248363899</v>
      </c>
      <c r="B59">
        <v>6.0563219927451799</v>
      </c>
      <c r="C59">
        <v>6.1713836863748002</v>
      </c>
      <c r="I59" s="1">
        <f t="shared" si="2"/>
        <v>42000.826966586406</v>
      </c>
      <c r="J59">
        <f t="shared" si="4"/>
        <v>600.00000111762347</v>
      </c>
      <c r="K59" s="1">
        <f t="shared" si="5"/>
        <v>17.07882805135424</v>
      </c>
      <c r="L59" s="1">
        <f t="shared" si="5"/>
        <v>17.403302027994169</v>
      </c>
      <c r="N59">
        <f>I59</f>
        <v>42000.826966586406</v>
      </c>
      <c r="O59" s="1">
        <f>SUM(K$2:K59)/$G$3</f>
        <v>2.033300030133112E-2</v>
      </c>
      <c r="P59" s="1">
        <f>SUM(L$2:L59)/$G$3</f>
        <v>2.0122433939662634E-2</v>
      </c>
      <c r="Q59" s="1">
        <f t="shared" si="0"/>
        <v>20.333000301331118</v>
      </c>
      <c r="R59" s="1">
        <f t="shared" si="1"/>
        <v>20.122433939662635</v>
      </c>
    </row>
    <row r="60" spans="1:18" x14ac:dyDescent="0.35">
      <c r="A60">
        <v>0.49306512694101801</v>
      </c>
      <c r="B60">
        <v>5.9629380048321696</v>
      </c>
      <c r="C60">
        <v>6.0411818900679597</v>
      </c>
      <c r="I60" s="1">
        <f t="shared" si="2"/>
        <v>42600.826967703957</v>
      </c>
      <c r="J60">
        <f t="shared" si="4"/>
        <v>600.00000111755071</v>
      </c>
      <c r="K60" s="1">
        <f t="shared" si="5"/>
        <v>16.815485204946981</v>
      </c>
      <c r="L60" s="1">
        <f t="shared" si="5"/>
        <v>17.036132961722885</v>
      </c>
      <c r="N60">
        <f>I60</f>
        <v>42600.826967703957</v>
      </c>
      <c r="O60" s="1">
        <f>SUM(K$2:K60)/$G$3</f>
        <v>2.0507281124308236E-2</v>
      </c>
      <c r="P60" s="1">
        <f>SUM(L$2:L60)/$G$3</f>
        <v>2.029900162336189E-2</v>
      </c>
      <c r="Q60" s="1">
        <f t="shared" si="0"/>
        <v>20.507281124308236</v>
      </c>
      <c r="R60" s="1">
        <f t="shared" si="1"/>
        <v>20.299001623361889</v>
      </c>
    </row>
    <row r="61" spans="1:18" x14ac:dyDescent="0.35">
      <c r="A61">
        <v>0.50000957139839797</v>
      </c>
      <c r="B61">
        <v>5.8734658733670297</v>
      </c>
      <c r="C61">
        <v>5.9120079518137096</v>
      </c>
      <c r="I61" s="1">
        <f t="shared" si="2"/>
        <v>43200.826968821588</v>
      </c>
      <c r="J61">
        <f t="shared" si="4"/>
        <v>600.00000111763075</v>
      </c>
      <c r="K61" s="1">
        <f t="shared" si="5"/>
        <v>16.563173793747545</v>
      </c>
      <c r="L61" s="1">
        <f t="shared" si="5"/>
        <v>16.671862455169638</v>
      </c>
      <c r="N61">
        <f>I61</f>
        <v>43200.826968821588</v>
      </c>
      <c r="O61" s="1">
        <f>SUM(K$2:K61)/$G$3</f>
        <v>2.0678946914780821E-2</v>
      </c>
      <c r="P61" s="1">
        <f>SUM(L$2:L61)/$G$3</f>
        <v>2.0471793896307631E-2</v>
      </c>
      <c r="Q61" s="1">
        <f t="shared" si="0"/>
        <v>20.67894691478082</v>
      </c>
      <c r="R61" s="1">
        <f t="shared" si="1"/>
        <v>20.471793896307631</v>
      </c>
    </row>
    <row r="62" spans="1:18" x14ac:dyDescent="0.35">
      <c r="A62">
        <v>0.50695401585577704</v>
      </c>
      <c r="B62">
        <v>5.7873779517882804</v>
      </c>
      <c r="C62">
        <v>5.7926607398752301</v>
      </c>
      <c r="I62" s="1">
        <f t="shared" si="2"/>
        <v>43800.826969939139</v>
      </c>
      <c r="J62">
        <f t="shared" si="4"/>
        <v>600.00000111755071</v>
      </c>
      <c r="K62" s="1">
        <f t="shared" si="5"/>
        <v>16.320405854441088</v>
      </c>
      <c r="L62" s="1">
        <f t="shared" si="5"/>
        <v>16.335303316874032</v>
      </c>
      <c r="N62">
        <f>I62</f>
        <v>43800.826969939139</v>
      </c>
      <c r="O62" s="1">
        <f>SUM(K$2:K62)/$G$3</f>
        <v>2.084809658420551E-2</v>
      </c>
      <c r="P62" s="1">
        <f>SUM(L$2:L62)/$G$3</f>
        <v>2.0641097967581654E-2</v>
      </c>
      <c r="Q62" s="1">
        <f t="shared" si="0"/>
        <v>20.848096584205511</v>
      </c>
      <c r="R62" s="1">
        <f t="shared" si="1"/>
        <v>20.641097967581654</v>
      </c>
    </row>
    <row r="63" spans="1:18" x14ac:dyDescent="0.35">
      <c r="A63">
        <v>0.513898460313157</v>
      </c>
      <c r="B63">
        <v>5.7002746816492698</v>
      </c>
      <c r="C63">
        <v>5.6837973115327198</v>
      </c>
      <c r="I63" s="1">
        <f t="shared" si="2"/>
        <v>44400.826971056762</v>
      </c>
      <c r="J63">
        <f t="shared" si="4"/>
        <v>600.00000111762347</v>
      </c>
      <c r="K63" s="1">
        <f t="shared" si="5"/>
        <v>16.074774632193517</v>
      </c>
      <c r="L63" s="1">
        <f t="shared" si="5"/>
        <v>16.028308448378294</v>
      </c>
      <c r="N63">
        <f>I63</f>
        <v>44400.826971056762</v>
      </c>
      <c r="O63" s="1">
        <f>SUM(K$2:K63)/$G$3</f>
        <v>2.1014700456643647E-2</v>
      </c>
      <c r="P63" s="1">
        <f>SUM(L$2:L63)/$G$3</f>
        <v>2.0807220250303095E-2</v>
      </c>
      <c r="Q63" s="1">
        <f t="shared" si="0"/>
        <v>21.014700456643649</v>
      </c>
      <c r="R63" s="1">
        <f t="shared" si="1"/>
        <v>20.807220250303097</v>
      </c>
    </row>
    <row r="64" spans="1:18" x14ac:dyDescent="0.35">
      <c r="A64">
        <v>0.52084290477053796</v>
      </c>
      <c r="B64">
        <v>5.6147066637085103</v>
      </c>
      <c r="C64">
        <v>5.5857313777182398</v>
      </c>
      <c r="I64" s="1">
        <f t="shared" si="2"/>
        <v>45000.82697217448</v>
      </c>
      <c r="J64">
        <f t="shared" si="4"/>
        <v>600.00000111771806</v>
      </c>
      <c r="K64" s="1">
        <f t="shared" si="5"/>
        <v>15.833472821153597</v>
      </c>
      <c r="L64" s="1">
        <f t="shared" si="5"/>
        <v>15.751762514508819</v>
      </c>
      <c r="N64">
        <f>I64</f>
        <v>45000.82697217448</v>
      </c>
      <c r="O64" s="1">
        <f>SUM(K$2:K64)/$G$3</f>
        <v>2.1178803403434896E-2</v>
      </c>
      <c r="P64" s="1">
        <f>SUM(L$2:L64)/$G$3</f>
        <v>2.097047632652747E-2</v>
      </c>
      <c r="Q64" s="1">
        <f t="shared" si="0"/>
        <v>21.178803403434895</v>
      </c>
      <c r="R64" s="1">
        <f t="shared" si="1"/>
        <v>20.970476326527471</v>
      </c>
    </row>
    <row r="65" spans="1:18" x14ac:dyDescent="0.35">
      <c r="A65">
        <v>0.52778734922791704</v>
      </c>
      <c r="B65">
        <v>5.5310149983223003</v>
      </c>
      <c r="C65">
        <v>5.4869693354549396</v>
      </c>
      <c r="I65" s="1">
        <f t="shared" si="2"/>
        <v>45600.826973292031</v>
      </c>
      <c r="J65">
        <f t="shared" si="4"/>
        <v>600.00000111755071</v>
      </c>
      <c r="K65" s="1">
        <f t="shared" si="5"/>
        <v>15.59746232432048</v>
      </c>
      <c r="L65" s="1">
        <f t="shared" si="5"/>
        <v>15.473253554803172</v>
      </c>
      <c r="N65">
        <f>I65</f>
        <v>45600.826973292031</v>
      </c>
      <c r="O65" s="1">
        <f>SUM(K$2:K65)/$G$3</f>
        <v>2.1340460265375304E-2</v>
      </c>
      <c r="P65" s="1">
        <f>SUM(L$2:L65)/$G$3</f>
        <v>2.1130845850855638E-2</v>
      </c>
      <c r="Q65" s="1">
        <f t="shared" si="0"/>
        <v>21.340460265375302</v>
      </c>
      <c r="R65" s="1">
        <f t="shared" si="1"/>
        <v>21.130845850855639</v>
      </c>
    </row>
    <row r="66" spans="1:18" x14ac:dyDescent="0.35">
      <c r="A66">
        <v>0.534731793685297</v>
      </c>
      <c r="B66">
        <v>5.4445930529151703</v>
      </c>
      <c r="C66">
        <v>5.3941712737259397</v>
      </c>
      <c r="I66" s="1">
        <f t="shared" si="2"/>
        <v>46200.826974409661</v>
      </c>
      <c r="J66">
        <f t="shared" si="4"/>
        <v>600.00000111763075</v>
      </c>
      <c r="K66" s="1">
        <f t="shared" si="5"/>
        <v>15.353752437820491</v>
      </c>
      <c r="L66" s="1">
        <f t="shared" si="5"/>
        <v>15.211563020242002</v>
      </c>
      <c r="N66">
        <f>I66</f>
        <v>46200.826974409661</v>
      </c>
      <c r="O66" s="1">
        <f>SUM(K$2:K66)/$G$3</f>
        <v>2.1499591243639492E-2</v>
      </c>
      <c r="P66" s="1">
        <f>SUM(L$2:L66)/$G$3</f>
        <v>2.1288503134580999E-2</v>
      </c>
      <c r="Q66" s="1">
        <f t="shared" ref="Q66:Q129" si="6">O66*1000</f>
        <v>21.499591243639493</v>
      </c>
      <c r="R66" s="1">
        <f t="shared" ref="R66:R129" si="7">P66*1000</f>
        <v>21.288503134580999</v>
      </c>
    </row>
    <row r="67" spans="1:18" x14ac:dyDescent="0.35">
      <c r="A67">
        <v>0.54167623814267596</v>
      </c>
      <c r="B67">
        <v>5.3617224368779599</v>
      </c>
      <c r="C67">
        <v>5.3237374713737804</v>
      </c>
      <c r="I67" s="1">
        <f t="shared" ref="I67:I130" si="8">A67*86400</f>
        <v>46800.826975527205</v>
      </c>
      <c r="J67">
        <f t="shared" si="4"/>
        <v>600.00000111754343</v>
      </c>
      <c r="K67" s="1">
        <f t="shared" si="5"/>
        <v>15.120057300158049</v>
      </c>
      <c r="L67" s="1">
        <f t="shared" si="5"/>
        <v>15.012939697236748</v>
      </c>
      <c r="N67">
        <f>I67</f>
        <v>46800.826975527205</v>
      </c>
      <c r="O67" s="1">
        <f>SUM(K$2:K67)/$G$3</f>
        <v>2.1656300134142246E-2</v>
      </c>
      <c r="P67" s="1">
        <f>SUM(L$2:L67)/$G$3</f>
        <v>2.1444101825540598E-2</v>
      </c>
      <c r="Q67" s="1">
        <f t="shared" si="6"/>
        <v>21.656300134142246</v>
      </c>
      <c r="R67" s="1">
        <f t="shared" si="7"/>
        <v>21.444101825540599</v>
      </c>
    </row>
    <row r="68" spans="1:18" x14ac:dyDescent="0.35">
      <c r="A68">
        <v>0.54862068260005603</v>
      </c>
      <c r="B68">
        <v>5.2700306747932197</v>
      </c>
      <c r="C68">
        <v>5.2497930495865699</v>
      </c>
      <c r="I68" s="1">
        <f t="shared" si="8"/>
        <v>47400.826976644843</v>
      </c>
      <c r="J68">
        <f t="shared" si="4"/>
        <v>600.00000111763802</v>
      </c>
      <c r="K68" s="1">
        <f t="shared" si="5"/>
        <v>14.861486530599818</v>
      </c>
      <c r="L68" s="1">
        <f t="shared" si="5"/>
        <v>14.804416427410759</v>
      </c>
      <c r="N68">
        <f>I68</f>
        <v>47400.826976644843</v>
      </c>
      <c r="O68" s="1">
        <f>SUM(K$2:K68)/$G$3</f>
        <v>2.1810329118239255E-2</v>
      </c>
      <c r="P68" s="1">
        <f>SUM(L$2:L68)/$G$3</f>
        <v>2.1597539317662798E-2</v>
      </c>
      <c r="Q68" s="1">
        <f t="shared" si="6"/>
        <v>21.810329118239256</v>
      </c>
      <c r="R68" s="1">
        <f t="shared" si="7"/>
        <v>21.597539317662797</v>
      </c>
    </row>
    <row r="69" spans="1:18" x14ac:dyDescent="0.35">
      <c r="A69">
        <v>0.55556512705743499</v>
      </c>
      <c r="B69">
        <v>5.1914659791088198</v>
      </c>
      <c r="C69">
        <v>5.16751648434792</v>
      </c>
      <c r="I69" s="1">
        <f t="shared" si="8"/>
        <v>48000.826977762386</v>
      </c>
      <c r="J69">
        <f t="shared" si="4"/>
        <v>600.00000111754343</v>
      </c>
      <c r="K69" s="1">
        <f t="shared" si="5"/>
        <v>14.639934088354808</v>
      </c>
      <c r="L69" s="1">
        <f t="shared" si="5"/>
        <v>14.572396513003278</v>
      </c>
      <c r="N69">
        <f>I69</f>
        <v>48000.826977762386</v>
      </c>
      <c r="O69" s="1">
        <f>SUM(K$2:K69)/$G$3</f>
        <v>2.1962061865177688E-2</v>
      </c>
      <c r="P69" s="1">
        <f>SUM(L$2:L69)/$G$3</f>
        <v>2.1748572084548876E-2</v>
      </c>
      <c r="Q69" s="1">
        <f t="shared" si="6"/>
        <v>21.962061865177688</v>
      </c>
      <c r="R69" s="1">
        <f t="shared" si="7"/>
        <v>21.748572084548876</v>
      </c>
    </row>
    <row r="70" spans="1:18" x14ac:dyDescent="0.35">
      <c r="A70">
        <v>0.56250957151481495</v>
      </c>
      <c r="B70">
        <v>5.1117477994801703</v>
      </c>
      <c r="C70">
        <v>5.0934248764448</v>
      </c>
      <c r="I70" s="1">
        <f t="shared" si="8"/>
        <v>48600.82697888001</v>
      </c>
      <c r="J70">
        <f t="shared" ref="J70:J133" si="9">I70-I69</f>
        <v>600.00000111762347</v>
      </c>
      <c r="K70" s="1">
        <f t="shared" si="5"/>
        <v>14.415128821385224</v>
      </c>
      <c r="L70" s="1">
        <f t="shared" si="5"/>
        <v>14.363458178329234</v>
      </c>
      <c r="N70">
        <f>I70</f>
        <v>48600.82697888001</v>
      </c>
      <c r="O70" s="1">
        <f>SUM(K$2:K70)/$G$3</f>
        <v>2.2111464661688909E-2</v>
      </c>
      <c r="P70" s="1">
        <f>SUM(L$2:L70)/$G$3</f>
        <v>2.1897439350738745E-2</v>
      </c>
      <c r="Q70" s="1">
        <f t="shared" si="6"/>
        <v>22.11146466168891</v>
      </c>
      <c r="R70" s="1">
        <f t="shared" si="7"/>
        <v>21.897439350738743</v>
      </c>
    </row>
    <row r="71" spans="1:18" x14ac:dyDescent="0.35">
      <c r="A71">
        <v>0.56945401597219403</v>
      </c>
      <c r="B71">
        <v>5.0307867916366504</v>
      </c>
      <c r="C71">
        <v>5.0120521938089801</v>
      </c>
      <c r="I71" s="1">
        <f t="shared" si="8"/>
        <v>49200.826979997561</v>
      </c>
      <c r="J71">
        <f t="shared" si="9"/>
        <v>600.00000111755071</v>
      </c>
      <c r="K71" s="1">
        <f t="shared" si="5"/>
        <v>14.186818778839504</v>
      </c>
      <c r="L71" s="1">
        <f t="shared" si="5"/>
        <v>14.133987212867071</v>
      </c>
      <c r="N71">
        <f>I71</f>
        <v>49200.826979997561</v>
      </c>
      <c r="O71" s="1">
        <f>SUM(K$2:K71)/$G$3</f>
        <v>2.2258501183208729E-2</v>
      </c>
      <c r="P71" s="1">
        <f>SUM(L$2:L71)/$G$3</f>
        <v>2.2043928309777631E-2</v>
      </c>
      <c r="Q71" s="1">
        <f t="shared" si="6"/>
        <v>22.258501183208729</v>
      </c>
      <c r="R71" s="1">
        <f t="shared" si="7"/>
        <v>22.04392830977763</v>
      </c>
    </row>
    <row r="72" spans="1:18" x14ac:dyDescent="0.35">
      <c r="A72">
        <v>0.57639846042957399</v>
      </c>
      <c r="B72">
        <v>4.9578940713386999</v>
      </c>
      <c r="C72">
        <v>4.9408807189857198</v>
      </c>
      <c r="I72" s="1">
        <f t="shared" si="8"/>
        <v>49800.826981115191</v>
      </c>
      <c r="J72">
        <f t="shared" si="9"/>
        <v>600.00000111763075</v>
      </c>
      <c r="K72" s="1">
        <f t="shared" si="5"/>
        <v>13.981261307218279</v>
      </c>
      <c r="L72" s="1">
        <f t="shared" si="5"/>
        <v>13.933283653493508</v>
      </c>
      <c r="N72">
        <f>I72</f>
        <v>49800.826981115191</v>
      </c>
      <c r="O72" s="1">
        <f>SUM(K$2:K72)/$G$3</f>
        <v>2.2403407244329297E-2</v>
      </c>
      <c r="P72" s="1">
        <f>SUM(L$2:L72)/$G$3</f>
        <v>2.2188337115845867E-2</v>
      </c>
      <c r="Q72" s="1">
        <f t="shared" si="6"/>
        <v>22.403407244329298</v>
      </c>
      <c r="R72" s="1">
        <f t="shared" si="7"/>
        <v>22.188337115845865</v>
      </c>
    </row>
    <row r="73" spans="1:18" x14ac:dyDescent="0.35">
      <c r="A73">
        <v>0.58334290488695295</v>
      </c>
      <c r="B73">
        <v>4.8815108455686804</v>
      </c>
      <c r="C73">
        <v>4.8691722114584204</v>
      </c>
      <c r="I73" s="1">
        <f t="shared" si="8"/>
        <v>50400.826982232735</v>
      </c>
      <c r="J73">
        <f t="shared" si="9"/>
        <v>600.00000111754343</v>
      </c>
      <c r="K73" s="1">
        <f t="shared" si="5"/>
        <v>13.765860610143591</v>
      </c>
      <c r="L73" s="1">
        <f t="shared" si="5"/>
        <v>13.731065661887849</v>
      </c>
      <c r="N73">
        <f>I73</f>
        <v>50400.826982232735</v>
      </c>
      <c r="O73" s="1">
        <f>SUM(K$2:K73)/$G$3</f>
        <v>2.2546080826856565E-2</v>
      </c>
      <c r="P73" s="1">
        <f>SUM(L$2:L73)/$G$3</f>
        <v>2.2330650072905387E-2</v>
      </c>
      <c r="Q73" s="1">
        <f t="shared" si="6"/>
        <v>22.546080826856567</v>
      </c>
      <c r="R73" s="1">
        <f t="shared" si="7"/>
        <v>22.330650072905389</v>
      </c>
    </row>
    <row r="74" spans="1:18" x14ac:dyDescent="0.35">
      <c r="A74">
        <v>0.59028734934433202</v>
      </c>
      <c r="B74">
        <v>4.8020327000495104</v>
      </c>
      <c r="C74">
        <v>4.8029113446408598</v>
      </c>
      <c r="I74" s="1">
        <f t="shared" si="8"/>
        <v>51000.826983350285</v>
      </c>
      <c r="J74">
        <f t="shared" si="9"/>
        <v>600.00000111755071</v>
      </c>
      <c r="K74" s="1">
        <f t="shared" si="5"/>
        <v>13.54173223936224</v>
      </c>
      <c r="L74" s="1">
        <f t="shared" si="5"/>
        <v>13.544210017114461</v>
      </c>
      <c r="N74">
        <f>I74</f>
        <v>51000.826983350285</v>
      </c>
      <c r="O74" s="1">
        <f>SUM(K$2:K74)/$G$3</f>
        <v>2.2686431474515399E-2</v>
      </c>
      <c r="P74" s="1">
        <f>SUM(L$2:L74)/$G$3</f>
        <v>2.2471026401009387E-2</v>
      </c>
      <c r="Q74" s="1">
        <f t="shared" si="6"/>
        <v>22.686431474515398</v>
      </c>
      <c r="R74" s="1">
        <f t="shared" si="7"/>
        <v>22.471026401009386</v>
      </c>
    </row>
    <row r="75" spans="1:18" x14ac:dyDescent="0.35">
      <c r="A75">
        <v>0.59723179380171199</v>
      </c>
      <c r="B75">
        <v>4.7239054779305496</v>
      </c>
      <c r="C75">
        <v>4.7436889287010899</v>
      </c>
      <c r="I75" s="1">
        <f t="shared" si="8"/>
        <v>51600.826984467916</v>
      </c>
      <c r="J75">
        <f t="shared" si="9"/>
        <v>600.00000111763075</v>
      </c>
      <c r="K75" s="1">
        <f t="shared" si="5"/>
        <v>13.321413472578186</v>
      </c>
      <c r="L75" s="1">
        <f t="shared" si="5"/>
        <v>13.377202803855029</v>
      </c>
      <c r="N75">
        <f>I75</f>
        <v>51600.826984467916</v>
      </c>
      <c r="O75" s="1">
        <f>SUM(K$2:K75)/$G$3</f>
        <v>2.2824498671204813E-2</v>
      </c>
      <c r="P75" s="1">
        <f>SUM(L$2:L75)/$G$3</f>
        <v>2.2609671815362449E-2</v>
      </c>
      <c r="Q75" s="1">
        <f t="shared" si="6"/>
        <v>22.824498671204811</v>
      </c>
      <c r="R75" s="1">
        <f t="shared" si="7"/>
        <v>22.60967181536245</v>
      </c>
    </row>
    <row r="76" spans="1:18" x14ac:dyDescent="0.35">
      <c r="A76">
        <v>0.60417623825909095</v>
      </c>
      <c r="B76">
        <v>4.6576860220554996</v>
      </c>
      <c r="C76">
        <v>4.67544181794546</v>
      </c>
      <c r="I76" s="1">
        <f t="shared" si="8"/>
        <v>52200.82698558546</v>
      </c>
      <c r="J76">
        <f t="shared" si="9"/>
        <v>600.00000111754343</v>
      </c>
      <c r="K76" s="1">
        <f t="shared" si="5"/>
        <v>13.134674606660793</v>
      </c>
      <c r="L76" s="1">
        <f t="shared" si="5"/>
        <v>13.184745951163741</v>
      </c>
      <c r="N76">
        <f>I76</f>
        <v>52200.82698558546</v>
      </c>
      <c r="O76" s="1">
        <f>SUM(K$2:K76)/$G$3</f>
        <v>2.2960630449270426E-2</v>
      </c>
      <c r="P76" s="1">
        <f>SUM(L$2:L76)/$G$3</f>
        <v>2.2746322548130898E-2</v>
      </c>
      <c r="Q76" s="1">
        <f t="shared" si="6"/>
        <v>22.960630449270425</v>
      </c>
      <c r="R76" s="1">
        <f t="shared" si="7"/>
        <v>22.746322548130898</v>
      </c>
    </row>
    <row r="77" spans="1:18" x14ac:dyDescent="0.35">
      <c r="A77">
        <v>0.61112068271647102</v>
      </c>
      <c r="B77">
        <v>4.5919990290965096</v>
      </c>
      <c r="C77">
        <v>4.6088956430147299</v>
      </c>
      <c r="I77" s="1">
        <f t="shared" si="8"/>
        <v>52800.826986703098</v>
      </c>
      <c r="J77">
        <f t="shared" si="9"/>
        <v>600.00000111763802</v>
      </c>
      <c r="K77" s="1">
        <f t="shared" si="5"/>
        <v>12.949437286173463</v>
      </c>
      <c r="L77" s="1">
        <f t="shared" si="5"/>
        <v>12.9970857375116</v>
      </c>
      <c r="N77">
        <f>I77</f>
        <v>52800.826986703098</v>
      </c>
      <c r="O77" s="1">
        <f>SUM(K$2:K77)/$G$3</f>
        <v>2.3094842371187547E-2</v>
      </c>
      <c r="P77" s="1">
        <f>SUM(L$2:L77)/$G$3</f>
        <v>2.2881028313146302E-2</v>
      </c>
      <c r="Q77" s="1">
        <f t="shared" si="6"/>
        <v>23.094842371187546</v>
      </c>
      <c r="R77" s="1">
        <f t="shared" si="7"/>
        <v>22.881028313146302</v>
      </c>
    </row>
    <row r="78" spans="1:18" x14ac:dyDescent="0.35">
      <c r="A78">
        <v>0.61806512717384998</v>
      </c>
      <c r="B78">
        <v>4.5223182635688302</v>
      </c>
      <c r="C78">
        <v>4.5463745043437704</v>
      </c>
      <c r="I78" s="1">
        <f t="shared" si="8"/>
        <v>53400.826987820641</v>
      </c>
      <c r="J78">
        <f t="shared" si="9"/>
        <v>600.00000111754343</v>
      </c>
      <c r="K78" s="1">
        <f t="shared" si="5"/>
        <v>12.752937527017371</v>
      </c>
      <c r="L78" s="1">
        <f t="shared" si="5"/>
        <v>12.820776126129058</v>
      </c>
      <c r="N78">
        <f>I78</f>
        <v>53400.826987820641</v>
      </c>
      <c r="O78" s="1">
        <f>SUM(K$2:K78)/$G$3</f>
        <v>2.3227017709603025E-2</v>
      </c>
      <c r="P78" s="1">
        <f>SUM(L$2:L78)/$G$3</f>
        <v>2.3013906751516301E-2</v>
      </c>
      <c r="Q78" s="1">
        <f t="shared" si="6"/>
        <v>23.227017709603025</v>
      </c>
      <c r="R78" s="1">
        <f t="shared" si="7"/>
        <v>23.013906751516302</v>
      </c>
    </row>
    <row r="79" spans="1:18" x14ac:dyDescent="0.35">
      <c r="A79">
        <v>0.62500957163123005</v>
      </c>
      <c r="B79">
        <v>4.4520993289595499</v>
      </c>
      <c r="C79">
        <v>4.4775782849190398</v>
      </c>
      <c r="I79" s="1">
        <f t="shared" si="8"/>
        <v>54000.826988938279</v>
      </c>
      <c r="J79">
        <f t="shared" si="9"/>
        <v>600.00000111763802</v>
      </c>
      <c r="K79" s="1">
        <f t="shared" si="5"/>
        <v>12.554920131052357</v>
      </c>
      <c r="L79" s="1">
        <f t="shared" si="5"/>
        <v>12.626770786991957</v>
      </c>
      <c r="N79">
        <f>I79</f>
        <v>54000.826988938279</v>
      </c>
      <c r="O79" s="1">
        <f>SUM(K$2:K79)/$G$3</f>
        <v>2.3357140735265586E-2</v>
      </c>
      <c r="P79" s="1">
        <f>SUM(L$2:L79)/$G$3</f>
        <v>2.3144774459315356E-2</v>
      </c>
      <c r="Q79" s="1">
        <f t="shared" si="6"/>
        <v>23.357140735265588</v>
      </c>
      <c r="R79" s="1">
        <f t="shared" si="7"/>
        <v>23.144774459315357</v>
      </c>
    </row>
    <row r="80" spans="1:18" x14ac:dyDescent="0.35">
      <c r="A80">
        <v>0.63195401608860902</v>
      </c>
      <c r="B80">
        <v>4.38524346803014</v>
      </c>
      <c r="C80">
        <v>4.4100683487644003</v>
      </c>
      <c r="I80" s="1">
        <f t="shared" si="8"/>
        <v>54600.826990055823</v>
      </c>
      <c r="J80">
        <f t="shared" si="9"/>
        <v>600.00000111754343</v>
      </c>
      <c r="K80" s="1">
        <f t="shared" si="5"/>
        <v>12.366386602878285</v>
      </c>
      <c r="L80" s="1">
        <f t="shared" si="5"/>
        <v>12.43639276667929</v>
      </c>
      <c r="N80">
        <f>I80</f>
        <v>54600.826990055823</v>
      </c>
      <c r="O80" s="1">
        <f>SUM(K$2:K80)/$G$3</f>
        <v>2.3485309741876754E-2</v>
      </c>
      <c r="P80" s="1">
        <f>SUM(L$2:L80)/$G$3</f>
        <v>2.3273669031183306E-2</v>
      </c>
      <c r="Q80" s="1">
        <f t="shared" si="6"/>
        <v>23.485309741876755</v>
      </c>
      <c r="R80" s="1">
        <f t="shared" si="7"/>
        <v>23.273669031183307</v>
      </c>
    </row>
    <row r="81" spans="1:18" x14ac:dyDescent="0.35">
      <c r="A81">
        <v>0.63889846054598898</v>
      </c>
      <c r="B81">
        <v>4.31957159864531</v>
      </c>
      <c r="C81">
        <v>4.3412438259113504</v>
      </c>
      <c r="I81" s="1">
        <f t="shared" si="8"/>
        <v>55200.826991173446</v>
      </c>
      <c r="J81">
        <f t="shared" si="9"/>
        <v>600.00000111762347</v>
      </c>
      <c r="K81" s="1">
        <f t="shared" si="5"/>
        <v>12.181191930869751</v>
      </c>
      <c r="L81" s="1">
        <f t="shared" si="5"/>
        <v>12.242307611873827</v>
      </c>
      <c r="N81">
        <f>I81</f>
        <v>55200.826991173446</v>
      </c>
      <c r="O81" s="1">
        <f>SUM(K$2:K81)/$G$3</f>
        <v>2.3611559334361282E-2</v>
      </c>
      <c r="P81" s="1">
        <f>SUM(L$2:L81)/$G$3</f>
        <v>2.340055204524636E-2</v>
      </c>
      <c r="Q81" s="1">
        <f t="shared" si="6"/>
        <v>23.611559334361282</v>
      </c>
      <c r="R81" s="1">
        <f t="shared" si="7"/>
        <v>23.400552045246361</v>
      </c>
    </row>
    <row r="82" spans="1:18" x14ac:dyDescent="0.35">
      <c r="A82">
        <v>0.64584290500336805</v>
      </c>
      <c r="B82">
        <v>4.2568801150496203</v>
      </c>
      <c r="C82">
        <v>4.2802261163792599</v>
      </c>
      <c r="I82" s="1">
        <f t="shared" si="8"/>
        <v>55800.826992290997</v>
      </c>
      <c r="J82">
        <f t="shared" si="9"/>
        <v>600.00000111755071</v>
      </c>
      <c r="K82" s="1">
        <f t="shared" si="5"/>
        <v>12.004401946799144</v>
      </c>
      <c r="L82" s="1">
        <f t="shared" si="5"/>
        <v>12.07023767067135</v>
      </c>
      <c r="N82">
        <f>I82</f>
        <v>55800.826992290997</v>
      </c>
      <c r="O82" s="1">
        <f>SUM(K$2:K82)/$G$3</f>
        <v>2.3735976621471186E-2</v>
      </c>
      <c r="P82" s="1">
        <f>SUM(L$2:L82)/$G$3</f>
        <v>2.352565167390026E-2</v>
      </c>
      <c r="Q82" s="1">
        <f t="shared" si="6"/>
        <v>23.735976621471185</v>
      </c>
      <c r="R82" s="1">
        <f t="shared" si="7"/>
        <v>23.52565167390026</v>
      </c>
    </row>
    <row r="83" spans="1:18" x14ac:dyDescent="0.35">
      <c r="A83">
        <v>0.65278734946074801</v>
      </c>
      <c r="B83">
        <v>4.1880305669249598</v>
      </c>
      <c r="C83">
        <v>4.2248263109150299</v>
      </c>
      <c r="I83" s="1">
        <f t="shared" si="8"/>
        <v>56400.826993408627</v>
      </c>
      <c r="J83">
        <f t="shared" si="9"/>
        <v>600.00000111763075</v>
      </c>
      <c r="K83" s="1">
        <f t="shared" ref="K83:L146" si="10">B83*$J83*$G$2</f>
        <v>11.810246220727544</v>
      </c>
      <c r="L83" s="1">
        <f t="shared" si="10"/>
        <v>11.914010218972825</v>
      </c>
      <c r="N83">
        <f>I83</f>
        <v>56400.826993408627</v>
      </c>
      <c r="O83" s="1">
        <f>SUM(K$2:K83)/$G$3</f>
        <v>2.3858381619354045E-2</v>
      </c>
      <c r="P83" s="1">
        <f>SUM(L$2:L83)/$G$3</f>
        <v>2.3649132113543442E-2</v>
      </c>
      <c r="Q83" s="1">
        <f t="shared" si="6"/>
        <v>23.858381619354045</v>
      </c>
      <c r="R83" s="1">
        <f t="shared" si="7"/>
        <v>23.649132113543441</v>
      </c>
    </row>
    <row r="84" spans="1:18" x14ac:dyDescent="0.35">
      <c r="A84">
        <v>0.65973179391812697</v>
      </c>
      <c r="B84">
        <v>4.1253389014125599</v>
      </c>
      <c r="C84">
        <v>4.16389090721042</v>
      </c>
      <c r="I84" s="1">
        <f t="shared" si="8"/>
        <v>57000.826994526171</v>
      </c>
      <c r="J84">
        <f t="shared" si="9"/>
        <v>600.00000111754343</v>
      </c>
      <c r="K84" s="1">
        <f t="shared" si="10"/>
        <v>11.633455723651572</v>
      </c>
      <c r="L84" s="1">
        <f t="shared" si="10"/>
        <v>11.742172380204032</v>
      </c>
      <c r="N84">
        <f>I84</f>
        <v>57000.826994526171</v>
      </c>
      <c r="O84" s="1">
        <f>SUM(K$2:K84)/$G$3</f>
        <v>2.3978954306545331E-2</v>
      </c>
      <c r="P84" s="1">
        <f>SUM(L$2:L84)/$G$3</f>
        <v>2.3770831573357964E-2</v>
      </c>
      <c r="Q84" s="1">
        <f t="shared" si="6"/>
        <v>23.978954306545329</v>
      </c>
      <c r="R84" s="1">
        <f t="shared" si="7"/>
        <v>23.770831573357963</v>
      </c>
    </row>
    <row r="85" spans="1:18" x14ac:dyDescent="0.35">
      <c r="A85">
        <v>0.66667623837550705</v>
      </c>
      <c r="B85">
        <v>4.0603247552099502</v>
      </c>
      <c r="C85">
        <v>4.1102143994691698</v>
      </c>
      <c r="I85" s="1">
        <f t="shared" si="8"/>
        <v>57600.826995643809</v>
      </c>
      <c r="J85">
        <f t="shared" si="9"/>
        <v>600.00000111763802</v>
      </c>
      <c r="K85" s="1">
        <f t="shared" si="10"/>
        <v>11.450115831020534</v>
      </c>
      <c r="L85" s="1">
        <f t="shared" si="10"/>
        <v>11.590804628093601</v>
      </c>
      <c r="N85">
        <f>I85</f>
        <v>57600.826995643809</v>
      </c>
      <c r="O85" s="1">
        <f>SUM(K$2:K85)/$G$3</f>
        <v>2.4097626803109777E-2</v>
      </c>
      <c r="P85" s="1">
        <f>SUM(L$2:L85)/$G$3</f>
        <v>2.389096221157213E-2</v>
      </c>
      <c r="Q85" s="1">
        <f t="shared" si="6"/>
        <v>24.097626803109776</v>
      </c>
      <c r="R85" s="1">
        <f t="shared" si="7"/>
        <v>23.890962211572131</v>
      </c>
    </row>
    <row r="86" spans="1:18" x14ac:dyDescent="0.35">
      <c r="A86">
        <v>0.67362068283288601</v>
      </c>
      <c r="B86">
        <v>3.99975051026904</v>
      </c>
      <c r="C86">
        <v>4.0495675610240802</v>
      </c>
      <c r="I86" s="1">
        <f t="shared" si="8"/>
        <v>58200.826996761352</v>
      </c>
      <c r="J86">
        <f t="shared" si="9"/>
        <v>600.00000111754343</v>
      </c>
      <c r="K86" s="1">
        <f t="shared" si="10"/>
        <v>11.279296459967199</v>
      </c>
      <c r="L86" s="1">
        <f t="shared" si="10"/>
        <v>11.419780543358076</v>
      </c>
      <c r="N86">
        <f>I86</f>
        <v>58200.826996761352</v>
      </c>
      <c r="O86" s="1">
        <f>SUM(K$2:K86)/$G$3</f>
        <v>2.4214528875555929E-2</v>
      </c>
      <c r="P86" s="1">
        <f>SUM(L$2:L86)/$G$3</f>
        <v>2.4009320303952895E-2</v>
      </c>
      <c r="Q86" s="1">
        <f t="shared" si="6"/>
        <v>24.214528875555928</v>
      </c>
      <c r="R86" s="1">
        <f t="shared" si="7"/>
        <v>24.009320303952894</v>
      </c>
    </row>
    <row r="87" spans="1:18" x14ac:dyDescent="0.35">
      <c r="A87">
        <v>0.68056512729026597</v>
      </c>
      <c r="B87">
        <v>3.9384369944632098</v>
      </c>
      <c r="C87">
        <v>3.9883145450145401</v>
      </c>
      <c r="I87" s="1">
        <f t="shared" si="8"/>
        <v>58800.826997878983</v>
      </c>
      <c r="J87">
        <f t="shared" si="9"/>
        <v>600.00000111763075</v>
      </c>
      <c r="K87" s="1">
        <f t="shared" si="10"/>
        <v>11.106392345074328</v>
      </c>
      <c r="L87" s="1">
        <f t="shared" si="10"/>
        <v>11.247047037891079</v>
      </c>
      <c r="N87">
        <f>I87</f>
        <v>58800.826997878983</v>
      </c>
      <c r="O87" s="1">
        <f>SUM(K$2:K87)/$G$3</f>
        <v>2.4329638916962097E-2</v>
      </c>
      <c r="P87" s="1">
        <f>SUM(L$2:L87)/$G$3</f>
        <v>2.412588813354186E-2</v>
      </c>
      <c r="Q87" s="1">
        <f t="shared" si="6"/>
        <v>24.329638916962097</v>
      </c>
      <c r="R87" s="1">
        <f t="shared" si="7"/>
        <v>24.12588813354186</v>
      </c>
    </row>
    <row r="88" spans="1:18" x14ac:dyDescent="0.35">
      <c r="A88">
        <v>0.68750957174764504</v>
      </c>
      <c r="B88">
        <v>3.8734235560129302</v>
      </c>
      <c r="C88">
        <v>3.9280292994230801</v>
      </c>
      <c r="I88" s="1">
        <f t="shared" si="8"/>
        <v>59400.826998996534</v>
      </c>
      <c r="J88">
        <f t="shared" si="9"/>
        <v>600.00000111755071</v>
      </c>
      <c r="K88" s="1">
        <f t="shared" si="10"/>
        <v>10.923054448301576</v>
      </c>
      <c r="L88" s="1">
        <f t="shared" si="10"/>
        <v>11.077042645005015</v>
      </c>
      <c r="N88">
        <f>I88</f>
        <v>59400.826998996534</v>
      </c>
      <c r="O88" s="1">
        <f>SUM(K$2:K88)/$G$3</f>
        <v>2.4442848788427111E-2</v>
      </c>
      <c r="P88" s="1">
        <f>SUM(L$2:L88)/$G$3</f>
        <v>2.4240693985695096E-2</v>
      </c>
      <c r="Q88" s="1">
        <f t="shared" si="6"/>
        <v>24.44284878842711</v>
      </c>
      <c r="R88" s="1">
        <f t="shared" si="7"/>
        <v>24.240693985695096</v>
      </c>
    </row>
    <row r="89" spans="1:18" x14ac:dyDescent="0.35">
      <c r="A89">
        <v>0.694454016205025</v>
      </c>
      <c r="B89">
        <v>3.8139221449401401</v>
      </c>
      <c r="C89">
        <v>3.88089480161893</v>
      </c>
      <c r="I89" s="1">
        <f t="shared" si="8"/>
        <v>60000.827000114157</v>
      </c>
      <c r="J89">
        <f t="shared" si="9"/>
        <v>600.00000111762347</v>
      </c>
      <c r="K89" s="1">
        <f t="shared" si="10"/>
        <v>10.75526046876508</v>
      </c>
      <c r="L89" s="1">
        <f t="shared" si="10"/>
        <v>10.944123360951064</v>
      </c>
      <c r="N89">
        <f>I89</f>
        <v>60000.827000114157</v>
      </c>
      <c r="O89" s="1">
        <f>SUM(K$2:K89)/$G$3</f>
        <v>2.4554319591855264E-2</v>
      </c>
      <c r="P89" s="1">
        <f>SUM(L$2:L89)/$G$3</f>
        <v>2.4354122221803828E-2</v>
      </c>
      <c r="Q89" s="1">
        <f t="shared" si="6"/>
        <v>24.554319591855265</v>
      </c>
      <c r="R89" s="1">
        <f t="shared" si="7"/>
        <v>24.354122221803827</v>
      </c>
    </row>
    <row r="90" spans="1:18" x14ac:dyDescent="0.35">
      <c r="A90">
        <v>0.70139846066240397</v>
      </c>
      <c r="B90">
        <v>3.7562236447166</v>
      </c>
      <c r="C90">
        <v>3.8251652941778702</v>
      </c>
      <c r="I90" s="1">
        <f t="shared" si="8"/>
        <v>60600.827001231701</v>
      </c>
      <c r="J90">
        <f t="shared" si="9"/>
        <v>600.00000111754343</v>
      </c>
      <c r="K90" s="1">
        <f t="shared" si="10"/>
        <v>10.592550697830205</v>
      </c>
      <c r="L90" s="1">
        <f t="shared" si="10"/>
        <v>10.786966149673098</v>
      </c>
      <c r="N90">
        <f>I90</f>
        <v>60600.827001231701</v>
      </c>
      <c r="O90" s="1">
        <f>SUM(K$2:K90)/$G$3</f>
        <v>2.4664104021536872E-2</v>
      </c>
      <c r="P90" s="1">
        <f>SUM(L$2:L90)/$G$3</f>
        <v>2.446592163258968E-2</v>
      </c>
      <c r="Q90" s="1">
        <f t="shared" si="6"/>
        <v>24.664104021536872</v>
      </c>
      <c r="R90" s="1">
        <f t="shared" si="7"/>
        <v>24.46592163258968</v>
      </c>
    </row>
    <row r="91" spans="1:18" x14ac:dyDescent="0.35">
      <c r="A91">
        <v>0.70834290511978404</v>
      </c>
      <c r="B91">
        <v>3.7003220275526698</v>
      </c>
      <c r="C91">
        <v>3.77429084156732</v>
      </c>
      <c r="I91" s="1">
        <f t="shared" si="8"/>
        <v>61200.827002349339</v>
      </c>
      <c r="J91">
        <f t="shared" si="9"/>
        <v>600.00000111763802</v>
      </c>
      <c r="K91" s="1">
        <f t="shared" si="10"/>
        <v>10.434908137135945</v>
      </c>
      <c r="L91" s="1">
        <f t="shared" si="10"/>
        <v>10.64350019304581</v>
      </c>
      <c r="N91">
        <f>I91</f>
        <v>61200.827002349339</v>
      </c>
      <c r="O91" s="1">
        <f>SUM(K$2:K91)/$G$3</f>
        <v>2.4772254595586064E-2</v>
      </c>
      <c r="P91" s="1">
        <f>SUM(L$2:L91)/$G$3</f>
        <v>2.4576234118396236E-2</v>
      </c>
      <c r="Q91" s="1">
        <f t="shared" si="6"/>
        <v>24.772254595586062</v>
      </c>
      <c r="R91" s="1">
        <f t="shared" si="7"/>
        <v>24.576234118396236</v>
      </c>
    </row>
    <row r="92" spans="1:18" x14ac:dyDescent="0.35">
      <c r="A92">
        <v>0.715287349577163</v>
      </c>
      <c r="B92">
        <v>3.6466532498847601</v>
      </c>
      <c r="C92">
        <v>3.7220790440995799</v>
      </c>
      <c r="I92" s="1">
        <f t="shared" si="8"/>
        <v>61800.827003466882</v>
      </c>
      <c r="J92">
        <f t="shared" si="9"/>
        <v>600.00000111754343</v>
      </c>
      <c r="K92" s="1">
        <f t="shared" si="10"/>
        <v>10.283562183828904</v>
      </c>
      <c r="L92" s="1">
        <f t="shared" si="10"/>
        <v>10.496262923910866</v>
      </c>
      <c r="N92">
        <f>I92</f>
        <v>61800.827003466882</v>
      </c>
      <c r="O92" s="1">
        <f>SUM(K$2:K92)/$G$3</f>
        <v>2.487883657396435E-2</v>
      </c>
      <c r="P92" s="1">
        <f>SUM(L$2:L92)/$G$3</f>
        <v>2.4685020592189168E-2</v>
      </c>
      <c r="Q92" s="1">
        <f t="shared" si="6"/>
        <v>24.87883657396435</v>
      </c>
      <c r="R92" s="1">
        <f t="shared" si="7"/>
        <v>24.685020592189169</v>
      </c>
    </row>
    <row r="93" spans="1:18" x14ac:dyDescent="0.35">
      <c r="A93">
        <v>0.72223179403454296</v>
      </c>
      <c r="B93">
        <v>3.5919840857862502</v>
      </c>
      <c r="C93">
        <v>3.6688094135706901</v>
      </c>
      <c r="I93" s="1">
        <f t="shared" si="8"/>
        <v>62400.827004584513</v>
      </c>
      <c r="J93">
        <f t="shared" si="9"/>
        <v>600.00000111763075</v>
      </c>
      <c r="K93" s="1">
        <f t="shared" si="10"/>
        <v>10.12939514078543</v>
      </c>
      <c r="L93" s="1">
        <f t="shared" si="10"/>
        <v>10.346042565541106</v>
      </c>
      <c r="N93">
        <f>I93</f>
        <v>62400.827004584513</v>
      </c>
      <c r="O93" s="1">
        <f>SUM(K$2:K93)/$G$3</f>
        <v>2.4983820718036336E-2</v>
      </c>
      <c r="P93" s="1">
        <f>SUM(L$2:L93)/$G$3</f>
        <v>2.4792250136320807E-2</v>
      </c>
      <c r="Q93" s="1">
        <f t="shared" si="6"/>
        <v>24.983820718036334</v>
      </c>
      <c r="R93" s="1">
        <f t="shared" si="7"/>
        <v>24.792250136320806</v>
      </c>
    </row>
    <row r="94" spans="1:18" x14ac:dyDescent="0.35">
      <c r="A94">
        <v>0.72917623849192204</v>
      </c>
      <c r="B94">
        <v>3.53967299974224</v>
      </c>
      <c r="C94">
        <v>3.6227531952839702</v>
      </c>
      <c r="I94" s="1">
        <f t="shared" si="8"/>
        <v>63000.827005702064</v>
      </c>
      <c r="J94">
        <f t="shared" si="9"/>
        <v>600.00000111755071</v>
      </c>
      <c r="K94" s="1">
        <f t="shared" si="10"/>
        <v>9.9818778778652089</v>
      </c>
      <c r="L94" s="1">
        <f t="shared" si="10"/>
        <v>10.216164029729265</v>
      </c>
      <c r="N94">
        <f>I94</f>
        <v>63000.827005702064</v>
      </c>
      <c r="O94" s="1">
        <f>SUM(K$2:K94)/$G$3</f>
        <v>2.508727594815361E-2</v>
      </c>
      <c r="P94" s="1">
        <f>SUM(L$2:L94)/$G$3</f>
        <v>2.489813357965116E-2</v>
      </c>
      <c r="Q94" s="1">
        <f t="shared" si="6"/>
        <v>25.087275948153611</v>
      </c>
      <c r="R94" s="1">
        <f t="shared" si="7"/>
        <v>24.898133579651159</v>
      </c>
    </row>
    <row r="95" spans="1:18" x14ac:dyDescent="0.35">
      <c r="A95">
        <v>0.736120682949302</v>
      </c>
      <c r="B95">
        <v>3.4864870976669602</v>
      </c>
      <c r="C95">
        <v>3.56983410659321</v>
      </c>
      <c r="I95" s="1">
        <f t="shared" si="8"/>
        <v>63600.827006819694</v>
      </c>
      <c r="J95">
        <f t="shared" si="9"/>
        <v>600.00000111763075</v>
      </c>
      <c r="K95" s="1">
        <f t="shared" si="10"/>
        <v>9.8318936337348717</v>
      </c>
      <c r="L95" s="1">
        <f t="shared" si="10"/>
        <v>10.066932199344707</v>
      </c>
      <c r="N95">
        <f>I95</f>
        <v>63600.827006819694</v>
      </c>
      <c r="O95" s="1">
        <f>SUM(K$2:K95)/$G$3</f>
        <v>2.5189176695769665E-2</v>
      </c>
      <c r="P95" s="1">
        <f>SUM(L$2:L95)/$G$3</f>
        <v>2.5002470338726088E-2</v>
      </c>
      <c r="Q95" s="1">
        <f t="shared" si="6"/>
        <v>25.189176695769664</v>
      </c>
      <c r="R95" s="1">
        <f t="shared" si="7"/>
        <v>25.002470338726088</v>
      </c>
    </row>
    <row r="96" spans="1:18" x14ac:dyDescent="0.35">
      <c r="A96">
        <v>0.74306512740668096</v>
      </c>
      <c r="B96">
        <v>3.4356550604913698</v>
      </c>
      <c r="C96">
        <v>3.5153623125749198</v>
      </c>
      <c r="I96" s="1">
        <f t="shared" si="8"/>
        <v>64200.827007937238</v>
      </c>
      <c r="J96">
        <f t="shared" si="9"/>
        <v>600.00000111754343</v>
      </c>
      <c r="K96" s="1">
        <f t="shared" si="10"/>
        <v>9.6885472886312822</v>
      </c>
      <c r="L96" s="1">
        <f t="shared" si="10"/>
        <v>9.9133217399255553</v>
      </c>
      <c r="N96">
        <f>I96</f>
        <v>64200.827007937238</v>
      </c>
      <c r="O96" s="1">
        <f>SUM(K$2:K96)/$G$3</f>
        <v>2.5289591758096773E-2</v>
      </c>
      <c r="P96" s="1">
        <f>SUM(L$2:L96)/$G$3</f>
        <v>2.5105215032097346E-2</v>
      </c>
      <c r="Q96" s="1">
        <f t="shared" si="6"/>
        <v>25.289591758096773</v>
      </c>
      <c r="R96" s="1">
        <f t="shared" si="7"/>
        <v>25.105215032097345</v>
      </c>
    </row>
    <row r="97" spans="1:18" x14ac:dyDescent="0.35">
      <c r="A97">
        <v>0.75000957186406003</v>
      </c>
      <c r="B97">
        <v>3.3850924247634699</v>
      </c>
      <c r="C97">
        <v>3.46691797608944</v>
      </c>
      <c r="I97" s="1">
        <f t="shared" si="8"/>
        <v>64800.827009054789</v>
      </c>
      <c r="J97">
        <f t="shared" si="9"/>
        <v>600.00000111755071</v>
      </c>
      <c r="K97" s="1">
        <f t="shared" si="10"/>
        <v>9.5459606556131451</v>
      </c>
      <c r="L97" s="1">
        <f t="shared" si="10"/>
        <v>9.7767087107821666</v>
      </c>
      <c r="N97">
        <f>I97</f>
        <v>64800.827009054789</v>
      </c>
      <c r="O97" s="1">
        <f>SUM(K$2:K97)/$G$3</f>
        <v>2.5388529009022963E-2</v>
      </c>
      <c r="P97" s="1">
        <f>SUM(L$2:L97)/$G$3</f>
        <v>2.5206543826322172E-2</v>
      </c>
      <c r="Q97" s="1">
        <f t="shared" si="6"/>
        <v>25.388529009022964</v>
      </c>
      <c r="R97" s="1">
        <f t="shared" si="7"/>
        <v>25.206543826322171</v>
      </c>
    </row>
    <row r="98" spans="1:18" x14ac:dyDescent="0.35">
      <c r="A98">
        <v>0.75695401632143999</v>
      </c>
      <c r="B98">
        <v>3.3308123916906198</v>
      </c>
      <c r="C98">
        <v>3.4190019105413199</v>
      </c>
      <c r="I98" s="1">
        <f t="shared" si="8"/>
        <v>65400.827010172412</v>
      </c>
      <c r="J98">
        <f t="shared" si="9"/>
        <v>600.00000111762347</v>
      </c>
      <c r="K98" s="1">
        <f t="shared" si="10"/>
        <v>9.3928909620637402</v>
      </c>
      <c r="L98" s="1">
        <f t="shared" si="10"/>
        <v>9.6415854056859587</v>
      </c>
      <c r="N98">
        <f>I98</f>
        <v>65400.827010172412</v>
      </c>
      <c r="O98" s="1">
        <f>SUM(K$2:K98)/$G$3</f>
        <v>2.5485879798908061E-2</v>
      </c>
      <c r="P98" s="1">
        <f>SUM(L$2:L98)/$G$3</f>
        <v>2.530647216135545E-2</v>
      </c>
      <c r="Q98" s="1">
        <f t="shared" si="6"/>
        <v>25.485879798908062</v>
      </c>
      <c r="R98" s="1">
        <f t="shared" si="7"/>
        <v>25.306472161355451</v>
      </c>
    </row>
    <row r="99" spans="1:18" x14ac:dyDescent="0.35">
      <c r="A99">
        <v>0.76389846181078902</v>
      </c>
      <c r="B99">
        <v>3.2808757352363598</v>
      </c>
      <c r="C99">
        <v>3.3721697979193102</v>
      </c>
      <c r="I99" s="1">
        <f t="shared" si="8"/>
        <v>66000.827100452167</v>
      </c>
      <c r="J99">
        <f t="shared" si="9"/>
        <v>600.00009027975466</v>
      </c>
      <c r="K99" s="1">
        <f t="shared" si="10"/>
        <v>9.2520709654908195</v>
      </c>
      <c r="L99" s="1">
        <f t="shared" si="10"/>
        <v>9.5095202609941669</v>
      </c>
      <c r="N99">
        <f>I99</f>
        <v>66000.827100452167</v>
      </c>
      <c r="O99" s="1">
        <f>SUM(K$2:K99)/$G$3</f>
        <v>2.5581771087351764E-2</v>
      </c>
      <c r="P99" s="1">
        <f>SUM(L$2:L99)/$G$3</f>
        <v>2.540503173290537E-2</v>
      </c>
      <c r="Q99" s="1">
        <f t="shared" si="6"/>
        <v>25.581771087351765</v>
      </c>
      <c r="R99" s="1">
        <f t="shared" si="7"/>
        <v>25.405031732905371</v>
      </c>
    </row>
    <row r="100" spans="1:18" x14ac:dyDescent="0.35">
      <c r="A100">
        <v>0.770842906927661</v>
      </c>
      <c r="B100">
        <v>3.2325605718131101</v>
      </c>
      <c r="C100">
        <v>3.32169808088981</v>
      </c>
      <c r="I100" s="1">
        <f t="shared" si="8"/>
        <v>66600.827158549917</v>
      </c>
      <c r="J100">
        <f t="shared" si="9"/>
        <v>600.0000580977503</v>
      </c>
      <c r="K100" s="1">
        <f t="shared" si="10"/>
        <v>9.1158216951941053</v>
      </c>
      <c r="L100" s="1">
        <f t="shared" si="10"/>
        <v>9.367189495130237</v>
      </c>
      <c r="N100">
        <f>I100</f>
        <v>66600.827158549917</v>
      </c>
      <c r="O100" s="1">
        <f>SUM(K$2:K100)/$G$3</f>
        <v>2.567625024675679E-2</v>
      </c>
      <c r="P100" s="1">
        <f>SUM(L$2:L100)/$G$3</f>
        <v>2.550211614493968E-2</v>
      </c>
      <c r="Q100" s="1">
        <f t="shared" si="6"/>
        <v>25.676250246756791</v>
      </c>
      <c r="R100" s="1">
        <f t="shared" si="7"/>
        <v>25.502116144939681</v>
      </c>
    </row>
    <row r="101" spans="1:18" x14ac:dyDescent="0.35">
      <c r="A101">
        <v>0.77778735204385596</v>
      </c>
      <c r="B101">
        <v>3.1847017592122402</v>
      </c>
      <c r="C101">
        <v>3.2827868354782699</v>
      </c>
      <c r="I101" s="1">
        <f t="shared" si="8"/>
        <v>67200.827216589154</v>
      </c>
      <c r="J101">
        <f t="shared" si="9"/>
        <v>600.00005803923705</v>
      </c>
      <c r="K101" s="1">
        <f t="shared" si="10"/>
        <v>8.9808598297155218</v>
      </c>
      <c r="L101" s="1">
        <f t="shared" si="10"/>
        <v>9.2574597715418054</v>
      </c>
      <c r="N101">
        <f>I101</f>
        <v>67200.827216589154</v>
      </c>
      <c r="O101" s="1">
        <f>SUM(K$2:K101)/$G$3</f>
        <v>2.5769330620179762E-2</v>
      </c>
      <c r="P101" s="1">
        <f>SUM(L$2:L101)/$G$3</f>
        <v>2.5598063284614676E-2</v>
      </c>
      <c r="Q101" s="1">
        <f t="shared" si="6"/>
        <v>25.769330620179762</v>
      </c>
      <c r="R101" s="1">
        <f t="shared" si="7"/>
        <v>25.598063284614675</v>
      </c>
    </row>
    <row r="102" spans="1:18" x14ac:dyDescent="0.35">
      <c r="A102">
        <v>0.78473179716068198</v>
      </c>
      <c r="B102">
        <v>3.1348781699952699</v>
      </c>
      <c r="C102">
        <v>3.2403823860499199</v>
      </c>
      <c r="I102" s="1">
        <f t="shared" si="8"/>
        <v>67800.827274682917</v>
      </c>
      <c r="J102">
        <f t="shared" si="9"/>
        <v>600.00005809376307</v>
      </c>
      <c r="K102" s="1">
        <f t="shared" si="10"/>
        <v>8.8403572953359486</v>
      </c>
      <c r="L102" s="1">
        <f t="shared" si="10"/>
        <v>9.1378792134170066</v>
      </c>
      <c r="N102">
        <f>I102</f>
        <v>67800.827274682917</v>
      </c>
      <c r="O102" s="1">
        <f>SUM(K$2:K102)/$G$3</f>
        <v>2.5860954782436447E-2</v>
      </c>
      <c r="P102" s="1">
        <f>SUM(L$2:L102)/$G$3</f>
        <v>2.5692771054873439E-2</v>
      </c>
      <c r="Q102" s="1">
        <f t="shared" si="6"/>
        <v>25.860954782436448</v>
      </c>
      <c r="R102" s="1">
        <f t="shared" si="7"/>
        <v>25.69277105487344</v>
      </c>
    </row>
    <row r="103" spans="1:18" x14ac:dyDescent="0.35">
      <c r="A103">
        <v>0.79167624227741995</v>
      </c>
      <c r="B103">
        <v>3.0893218353079499</v>
      </c>
      <c r="C103">
        <v>3.1978801826889902</v>
      </c>
      <c r="I103" s="1">
        <f t="shared" si="8"/>
        <v>68400.827332769084</v>
      </c>
      <c r="J103">
        <f t="shared" si="9"/>
        <v>600.00005808616697</v>
      </c>
      <c r="K103" s="1">
        <f t="shared" si="10"/>
        <v>8.7118884189686803</v>
      </c>
      <c r="L103" s="1">
        <f t="shared" si="10"/>
        <v>9.0180229882201832</v>
      </c>
      <c r="N103">
        <f>I103</f>
        <v>68400.827332769084</v>
      </c>
      <c r="O103" s="1">
        <f>SUM(K$2:K103)/$G$3</f>
        <v>2.5951247454032742E-2</v>
      </c>
      <c r="P103" s="1">
        <f>SUM(L$2:L103)/$G$3</f>
        <v>2.5786236598618274E-2</v>
      </c>
      <c r="Q103" s="1">
        <f t="shared" si="6"/>
        <v>25.951247454032742</v>
      </c>
      <c r="R103" s="1">
        <f t="shared" si="7"/>
        <v>25.786236598618274</v>
      </c>
    </row>
    <row r="104" spans="1:18" x14ac:dyDescent="0.35">
      <c r="A104">
        <v>0.79862068739362502</v>
      </c>
      <c r="B104">
        <v>3.0414611533608298</v>
      </c>
      <c r="C104">
        <v>3.1558943950960998</v>
      </c>
      <c r="I104" s="1">
        <f t="shared" si="8"/>
        <v>69000.827390809209</v>
      </c>
      <c r="J104">
        <f t="shared" si="9"/>
        <v>600.00005804012471</v>
      </c>
      <c r="K104" s="1">
        <f t="shared" si="10"/>
        <v>8.5769212821534282</v>
      </c>
      <c r="L104" s="1">
        <f t="shared" si="10"/>
        <v>8.8996230550629711</v>
      </c>
      <c r="N104">
        <f>I104</f>
        <v>69000.827390809209</v>
      </c>
      <c r="O104" s="1">
        <f>SUM(K$2:K104)/$G$3</f>
        <v>2.6040141285013241E-2</v>
      </c>
      <c r="P104" s="1">
        <f>SUM(L$2:L104)/$G$3</f>
        <v>2.5878475009304524E-2</v>
      </c>
      <c r="Q104" s="1">
        <f t="shared" si="6"/>
        <v>26.040141285013242</v>
      </c>
      <c r="R104" s="1">
        <f t="shared" si="7"/>
        <v>25.878475009304523</v>
      </c>
    </row>
    <row r="105" spans="1:18" x14ac:dyDescent="0.35">
      <c r="A105">
        <v>0.80556513251059103</v>
      </c>
      <c r="B105">
        <v>2.9940324393497999</v>
      </c>
      <c r="C105">
        <v>3.1159130931202101</v>
      </c>
      <c r="I105" s="1">
        <f t="shared" si="8"/>
        <v>69600.827448915064</v>
      </c>
      <c r="J105">
        <f t="shared" si="9"/>
        <v>600.00005810585571</v>
      </c>
      <c r="K105" s="1">
        <f t="shared" si="10"/>
        <v>8.4431722966292764</v>
      </c>
      <c r="L105" s="1">
        <f t="shared" si="10"/>
        <v>8.7868757735471359</v>
      </c>
      <c r="N105">
        <f>I105</f>
        <v>69600.827448915064</v>
      </c>
      <c r="O105" s="1">
        <f>SUM(K$2:K105)/$G$3</f>
        <v>2.6127648900669861E-2</v>
      </c>
      <c r="P105" s="1">
        <f>SUM(L$2:L105)/$G$3</f>
        <v>2.5969544872739746E-2</v>
      </c>
      <c r="Q105" s="1">
        <f t="shared" si="6"/>
        <v>26.127648900669861</v>
      </c>
      <c r="R105" s="1">
        <f t="shared" si="7"/>
        <v>25.969544872739746</v>
      </c>
    </row>
    <row r="106" spans="1:18" x14ac:dyDescent="0.35">
      <c r="A106">
        <v>0.81250957762717302</v>
      </c>
      <c r="B106">
        <v>2.9522484020497002</v>
      </c>
      <c r="C106">
        <v>3.07359646067823</v>
      </c>
      <c r="I106" s="1">
        <f t="shared" si="8"/>
        <v>70200.827506987742</v>
      </c>
      <c r="J106">
        <f t="shared" si="9"/>
        <v>600.00005807267735</v>
      </c>
      <c r="K106" s="1">
        <f t="shared" si="10"/>
        <v>8.3253412995715088</v>
      </c>
      <c r="L106" s="1">
        <f t="shared" si="10"/>
        <v>8.6675428580248948</v>
      </c>
      <c r="N106">
        <f>I106</f>
        <v>70200.827506987742</v>
      </c>
      <c r="O106" s="1">
        <f>SUM(K$2:K106)/$G$3</f>
        <v>2.6213935279895351E-2</v>
      </c>
      <c r="P106" s="1">
        <f>SUM(L$2:L106)/$G$3</f>
        <v>2.6059377933402281E-2</v>
      </c>
      <c r="Q106" s="1">
        <f t="shared" si="6"/>
        <v>26.213935279895352</v>
      </c>
      <c r="R106" s="1">
        <f t="shared" si="7"/>
        <v>26.059377933402281</v>
      </c>
    </row>
    <row r="107" spans="1:18" x14ac:dyDescent="0.35">
      <c r="A107">
        <v>0.81945402274349499</v>
      </c>
      <c r="B107">
        <v>2.9080291247180998</v>
      </c>
      <c r="C107">
        <v>3.0354438158126298</v>
      </c>
      <c r="I107" s="1">
        <f t="shared" si="8"/>
        <v>70800.827565037966</v>
      </c>
      <c r="J107">
        <f t="shared" si="9"/>
        <v>600.00005805022374</v>
      </c>
      <c r="K107" s="1">
        <f t="shared" si="10"/>
        <v>8.200642925120226</v>
      </c>
      <c r="L107" s="1">
        <f t="shared" si="10"/>
        <v>8.5599523887701228</v>
      </c>
      <c r="N107">
        <f>I107</f>
        <v>70800.827565037966</v>
      </c>
      <c r="O107" s="1">
        <f>SUM(K$2:K107)/$G$3</f>
        <v>2.629892924709357E-2</v>
      </c>
      <c r="P107" s="1">
        <f>SUM(L$2:L107)/$G$3</f>
        <v>2.61480958935906E-2</v>
      </c>
      <c r="Q107" s="1">
        <f t="shared" si="6"/>
        <v>26.298929247093572</v>
      </c>
      <c r="R107" s="1">
        <f t="shared" si="7"/>
        <v>26.1480958935906</v>
      </c>
    </row>
    <row r="108" spans="1:18" x14ac:dyDescent="0.35">
      <c r="A108">
        <v>0.82639846786050097</v>
      </c>
      <c r="B108">
        <v>2.8647941147521001</v>
      </c>
      <c r="C108">
        <v>2.9946212381706601</v>
      </c>
      <c r="I108" s="1">
        <f t="shared" si="8"/>
        <v>71400.827623147285</v>
      </c>
      <c r="J108">
        <f t="shared" si="9"/>
        <v>600.00005810931907</v>
      </c>
      <c r="K108" s="1">
        <f t="shared" si="10"/>
        <v>8.0787201860157278</v>
      </c>
      <c r="L108" s="1">
        <f t="shared" si="10"/>
        <v>8.4448327095136477</v>
      </c>
      <c r="N108">
        <f>I108</f>
        <v>71400.827623147285</v>
      </c>
      <c r="O108" s="1">
        <f>SUM(K$2:K108)/$G$3</f>
        <v>2.6382659569796744E-2</v>
      </c>
      <c r="P108" s="1">
        <f>SUM(L$2:L108)/$G$3</f>
        <v>2.6235620718273334E-2</v>
      </c>
      <c r="Q108" s="1">
        <f t="shared" si="6"/>
        <v>26.382659569796743</v>
      </c>
      <c r="R108" s="1">
        <f t="shared" si="7"/>
        <v>26.235620718273335</v>
      </c>
    </row>
    <row r="109" spans="1:18" x14ac:dyDescent="0.35">
      <c r="A109">
        <v>0.83334291297693097</v>
      </c>
      <c r="B109">
        <v>2.8246731633192201</v>
      </c>
      <c r="C109">
        <v>2.9617557688436</v>
      </c>
      <c r="I109" s="1">
        <f t="shared" si="8"/>
        <v>72000.827681206836</v>
      </c>
      <c r="J109">
        <f t="shared" si="9"/>
        <v>600.00005805955152</v>
      </c>
      <c r="K109" s="1">
        <f t="shared" si="10"/>
        <v>7.9655790913567088</v>
      </c>
      <c r="L109" s="1">
        <f t="shared" si="10"/>
        <v>8.3521520763425467</v>
      </c>
      <c r="N109">
        <f>I109</f>
        <v>72000.827681206836</v>
      </c>
      <c r="O109" s="1">
        <f>SUM(K$2:K109)/$G$3</f>
        <v>2.6465217263649227E-2</v>
      </c>
      <c r="P109" s="1">
        <f>SUM(L$2:L109)/$G$3</f>
        <v>2.632218497257548E-2</v>
      </c>
      <c r="Q109" s="1">
        <f t="shared" si="6"/>
        <v>26.465217263649226</v>
      </c>
      <c r="R109" s="1">
        <f t="shared" si="7"/>
        <v>26.322184972575482</v>
      </c>
    </row>
    <row r="110" spans="1:18" x14ac:dyDescent="0.35">
      <c r="A110">
        <v>0.84028735809339405</v>
      </c>
      <c r="B110">
        <v>2.7849575838261802</v>
      </c>
      <c r="C110">
        <v>2.9261182829666201</v>
      </c>
      <c r="I110" s="1">
        <f t="shared" si="8"/>
        <v>72600.82773926924</v>
      </c>
      <c r="J110">
        <f t="shared" si="9"/>
        <v>600.0000580624037</v>
      </c>
      <c r="K110" s="1">
        <f t="shared" si="10"/>
        <v>7.8535811463860865</v>
      </c>
      <c r="L110" s="1">
        <f t="shared" si="10"/>
        <v>8.251654356483936</v>
      </c>
      <c r="N110">
        <f>I110</f>
        <v>72600.82773926924</v>
      </c>
      <c r="O110" s="1">
        <f>SUM(K$2:K110)/$G$3</f>
        <v>2.6546614176603426E-2</v>
      </c>
      <c r="P110" s="1">
        <f>SUM(L$2:L110)/$G$3</f>
        <v>2.6407707637823796E-2</v>
      </c>
      <c r="Q110" s="1">
        <f t="shared" si="6"/>
        <v>26.546614176603427</v>
      </c>
      <c r="R110" s="1">
        <f t="shared" si="7"/>
        <v>26.407707637823798</v>
      </c>
    </row>
    <row r="111" spans="1:18" x14ac:dyDescent="0.35">
      <c r="A111">
        <v>0.84723180321040203</v>
      </c>
      <c r="B111">
        <v>2.7482760718502002</v>
      </c>
      <c r="C111">
        <v>2.8877596108204</v>
      </c>
      <c r="I111" s="1">
        <f t="shared" si="8"/>
        <v>73200.827797378734</v>
      </c>
      <c r="J111">
        <f t="shared" si="9"/>
        <v>600.00005810949369</v>
      </c>
      <c r="K111" s="1">
        <f t="shared" si="10"/>
        <v>7.750139273211941</v>
      </c>
      <c r="L111" s="1">
        <f t="shared" si="10"/>
        <v>8.1434828912028987</v>
      </c>
      <c r="N111">
        <f>I111</f>
        <v>73200.827797378734</v>
      </c>
      <c r="O111" s="1">
        <f>SUM(K$2:K111)/$G$3</f>
        <v>2.6626938986399892E-2</v>
      </c>
      <c r="P111" s="1">
        <f>SUM(L$2:L111)/$G$3</f>
        <v>2.6492109180977687E-2</v>
      </c>
      <c r="Q111" s="1">
        <f t="shared" si="6"/>
        <v>26.626938986399892</v>
      </c>
      <c r="R111" s="1">
        <f t="shared" si="7"/>
        <v>26.492109180977689</v>
      </c>
    </row>
    <row r="112" spans="1:18" x14ac:dyDescent="0.35">
      <c r="A112">
        <v>0.85417624832669004</v>
      </c>
      <c r="B112">
        <v>2.7109481614961899</v>
      </c>
      <c r="C112">
        <v>2.85090296736269</v>
      </c>
      <c r="I112" s="1">
        <f t="shared" si="8"/>
        <v>73800.827855426018</v>
      </c>
      <c r="J112">
        <f t="shared" si="9"/>
        <v>600.00005804728426</v>
      </c>
      <c r="K112" s="1">
        <f t="shared" si="10"/>
        <v>7.6448745550261945</v>
      </c>
      <c r="L112" s="1">
        <f t="shared" si="10"/>
        <v>8.0395471457525076</v>
      </c>
      <c r="N112">
        <f>I112</f>
        <v>73800.827855426018</v>
      </c>
      <c r="O112" s="1">
        <f>SUM(K$2:K112)/$G$3</f>
        <v>2.6706172800516348E-2</v>
      </c>
      <c r="P112" s="1">
        <f>SUM(L$2:L112)/$G$3</f>
        <v>2.657543350233077E-2</v>
      </c>
      <c r="Q112" s="1">
        <f t="shared" si="6"/>
        <v>26.706172800516349</v>
      </c>
      <c r="R112" s="1">
        <f t="shared" si="7"/>
        <v>26.575433502330771</v>
      </c>
    </row>
    <row r="113" spans="1:18" x14ac:dyDescent="0.35">
      <c r="A113">
        <v>0.86112069344329201</v>
      </c>
      <c r="B113">
        <v>2.6754929748410401</v>
      </c>
      <c r="C113">
        <v>2.8168482505704699</v>
      </c>
      <c r="I113" s="1">
        <f t="shared" si="8"/>
        <v>74400.827913500427</v>
      </c>
      <c r="J113">
        <f t="shared" si="9"/>
        <v>600.00005807440903</v>
      </c>
      <c r="K113" s="1">
        <f t="shared" si="10"/>
        <v>7.5448909193267975</v>
      </c>
      <c r="L113" s="1">
        <f t="shared" si="10"/>
        <v>7.9435128354666737</v>
      </c>
      <c r="N113">
        <f>I113</f>
        <v>74400.827913500427</v>
      </c>
      <c r="O113" s="1">
        <f>SUM(K$2:K113)/$G$3</f>
        <v>2.6784370353704168E-2</v>
      </c>
      <c r="P113" s="1">
        <f>SUM(L$2:L113)/$G$3</f>
        <v>2.6657762494769664E-2</v>
      </c>
      <c r="Q113" s="1">
        <f t="shared" si="6"/>
        <v>26.784370353704169</v>
      </c>
      <c r="R113" s="1">
        <f t="shared" si="7"/>
        <v>26.657762494769663</v>
      </c>
    </row>
    <row r="114" spans="1:18" x14ac:dyDescent="0.35">
      <c r="A114">
        <v>0.86806513856026202</v>
      </c>
      <c r="B114">
        <v>2.63826256198938</v>
      </c>
      <c r="C114">
        <v>2.7793193597334298</v>
      </c>
      <c r="I114" s="1">
        <f t="shared" si="8"/>
        <v>75000.827971606632</v>
      </c>
      <c r="J114">
        <f t="shared" si="9"/>
        <v>600.00005810620496</v>
      </c>
      <c r="K114" s="1">
        <f t="shared" si="10"/>
        <v>7.43990114531735</v>
      </c>
      <c r="L114" s="1">
        <f t="shared" si="10"/>
        <v>7.8376813534780645</v>
      </c>
      <c r="N114">
        <f>I114</f>
        <v>75000.827971606632</v>
      </c>
      <c r="O114" s="1">
        <f>SUM(K$2:K114)/$G$3</f>
        <v>2.6861479760817372E-2</v>
      </c>
      <c r="P114" s="1">
        <f>SUM(L$2:L114)/$G$3</f>
        <v>2.6738994617415444E-2</v>
      </c>
      <c r="Q114" s="1">
        <f t="shared" si="6"/>
        <v>26.861479760817371</v>
      </c>
      <c r="R114" s="1">
        <f t="shared" si="7"/>
        <v>26.738994617415443</v>
      </c>
    </row>
    <row r="115" spans="1:18" x14ac:dyDescent="0.35">
      <c r="A115">
        <v>0.87500958367645898</v>
      </c>
      <c r="B115">
        <v>2.6017401960128002</v>
      </c>
      <c r="C115">
        <v>2.74655110051566</v>
      </c>
      <c r="I115" s="1">
        <f t="shared" si="8"/>
        <v>75600.828029646058</v>
      </c>
      <c r="J115">
        <f t="shared" si="9"/>
        <v>600.00005803942622</v>
      </c>
      <c r="K115" s="1">
        <f t="shared" si="10"/>
        <v>7.3369080624725855</v>
      </c>
      <c r="L115" s="1">
        <f t="shared" si="10"/>
        <v>7.7452748526729369</v>
      </c>
      <c r="N115">
        <f>I115</f>
        <v>75600.828029646058</v>
      </c>
      <c r="O115" s="1">
        <f>SUM(K$2:K115)/$G$3</f>
        <v>2.6937521716172842E-2</v>
      </c>
      <c r="P115" s="1">
        <f>SUM(L$2:L115)/$G$3</f>
        <v>2.6819269010872178E-2</v>
      </c>
      <c r="Q115" s="1">
        <f t="shared" si="6"/>
        <v>26.937521716172842</v>
      </c>
      <c r="R115" s="1">
        <f t="shared" si="7"/>
        <v>26.819269010872176</v>
      </c>
    </row>
    <row r="116" spans="1:18" x14ac:dyDescent="0.35">
      <c r="A116">
        <v>0.88195402879318596</v>
      </c>
      <c r="B116">
        <v>2.5655929288729098</v>
      </c>
      <c r="C116">
        <v>2.7082703348789399</v>
      </c>
      <c r="I116" s="1">
        <f t="shared" si="8"/>
        <v>76200.828087731265</v>
      </c>
      <c r="J116">
        <f t="shared" si="9"/>
        <v>600.00005808520655</v>
      </c>
      <c r="K116" s="1">
        <f t="shared" si="10"/>
        <v>7.2349727598296827</v>
      </c>
      <c r="L116" s="1">
        <f t="shared" si="10"/>
        <v>7.6373230837176873</v>
      </c>
      <c r="N116">
        <f>I116</f>
        <v>76200.828087731265</v>
      </c>
      <c r="O116" s="1">
        <f>SUM(K$2:K116)/$G$3</f>
        <v>2.7012507182927567E-2</v>
      </c>
      <c r="P116" s="1">
        <f>SUM(L$2:L116)/$G$3</f>
        <v>2.6898424559234285E-2</v>
      </c>
      <c r="Q116" s="1">
        <f t="shared" si="6"/>
        <v>27.012507182927568</v>
      </c>
      <c r="R116" s="1">
        <f t="shared" si="7"/>
        <v>26.898424559234286</v>
      </c>
    </row>
    <row r="117" spans="1:18" x14ac:dyDescent="0.35">
      <c r="A117">
        <v>0.88889847391001497</v>
      </c>
      <c r="B117">
        <v>2.5295792802904198</v>
      </c>
      <c r="C117">
        <v>2.6728292014600901</v>
      </c>
      <c r="I117" s="1">
        <f t="shared" si="8"/>
        <v>76800.82814582529</v>
      </c>
      <c r="J117">
        <f t="shared" si="9"/>
        <v>600.00005809402501</v>
      </c>
      <c r="K117" s="1">
        <f t="shared" si="10"/>
        <v>7.1334142611001621</v>
      </c>
      <c r="L117" s="1">
        <f t="shared" si="10"/>
        <v>7.5373790779118641</v>
      </c>
      <c r="N117">
        <f>I117</f>
        <v>76800.82814582529</v>
      </c>
      <c r="O117" s="1">
        <f>SUM(K$2:K117)/$G$3</f>
        <v>2.708644006639236E-2</v>
      </c>
      <c r="P117" s="1">
        <f>SUM(L$2:L117)/$G$3</f>
        <v>2.6976544257404068E-2</v>
      </c>
      <c r="Q117" s="1">
        <f t="shared" si="6"/>
        <v>27.08644006639236</v>
      </c>
      <c r="R117" s="1">
        <f t="shared" si="7"/>
        <v>26.976544257404068</v>
      </c>
    </row>
    <row r="118" spans="1:18" x14ac:dyDescent="0.35">
      <c r="A118">
        <v>0.89584291902622004</v>
      </c>
      <c r="B118">
        <v>2.4949606457860201</v>
      </c>
      <c r="C118">
        <v>2.6390450202143501</v>
      </c>
      <c r="I118" s="1">
        <f t="shared" si="8"/>
        <v>77400.828203865414</v>
      </c>
      <c r="J118">
        <f t="shared" si="9"/>
        <v>600.00005804012471</v>
      </c>
      <c r="K118" s="1">
        <f t="shared" si="10"/>
        <v>7.0357897017133633</v>
      </c>
      <c r="L118" s="1">
        <f t="shared" si="10"/>
        <v>7.4421076769058274</v>
      </c>
      <c r="N118">
        <f>I118</f>
        <v>77400.828203865414</v>
      </c>
      <c r="O118" s="1">
        <f>SUM(K$2:K118)/$G$3</f>
        <v>2.7159361139115719E-2</v>
      </c>
      <c r="P118" s="1">
        <f>SUM(L$2:L118)/$G$3</f>
        <v>2.705367653368438E-2</v>
      </c>
      <c r="Q118" s="1">
        <f t="shared" si="6"/>
        <v>27.15936113911572</v>
      </c>
      <c r="R118" s="1">
        <f t="shared" si="7"/>
        <v>27.053676533684381</v>
      </c>
    </row>
    <row r="119" spans="1:18" x14ac:dyDescent="0.35">
      <c r="A119">
        <v>0.90278736414308403</v>
      </c>
      <c r="B119">
        <v>2.46283590507685</v>
      </c>
      <c r="C119">
        <v>2.6054945287287099</v>
      </c>
      <c r="I119" s="1">
        <f t="shared" si="8"/>
        <v>78000.828261962466</v>
      </c>
      <c r="J119">
        <f t="shared" si="9"/>
        <v>600.00005809705181</v>
      </c>
      <c r="K119" s="1">
        <f t="shared" si="10"/>
        <v>6.9451979248091913</v>
      </c>
      <c r="L119" s="1">
        <f t="shared" si="10"/>
        <v>7.3474952824612503</v>
      </c>
      <c r="N119">
        <f>I119</f>
        <v>78000.828261962466</v>
      </c>
      <c r="O119" s="1">
        <f>SUM(K$2:K119)/$G$3</f>
        <v>2.7231343291002637E-2</v>
      </c>
      <c r="P119" s="1">
        <f>SUM(L$2:L119)/$G$3</f>
        <v>2.7129828218220436E-2</v>
      </c>
      <c r="Q119" s="1">
        <f t="shared" si="6"/>
        <v>27.231343291002638</v>
      </c>
      <c r="R119" s="1">
        <f t="shared" si="7"/>
        <v>27.129828218220435</v>
      </c>
    </row>
    <row r="120" spans="1:18" x14ac:dyDescent="0.35">
      <c r="A120">
        <v>0.90973180925977304</v>
      </c>
      <c r="B120">
        <v>2.4304481209059099</v>
      </c>
      <c r="C120">
        <v>2.5739027667599701</v>
      </c>
      <c r="I120" s="1">
        <f t="shared" si="8"/>
        <v>78600.828320044384</v>
      </c>
      <c r="J120">
        <f t="shared" si="9"/>
        <v>600.00005808191781</v>
      </c>
      <c r="K120" s="1">
        <f t="shared" si="10"/>
        <v>6.8538643644305806</v>
      </c>
      <c r="L120" s="1">
        <f t="shared" si="10"/>
        <v>7.2584065048999982</v>
      </c>
      <c r="N120">
        <f>I120</f>
        <v>78600.828320044384</v>
      </c>
      <c r="O120" s="1">
        <f>SUM(K$2:K120)/$G$3</f>
        <v>2.7302378833982691E-2</v>
      </c>
      <c r="P120" s="1">
        <f>SUM(L$2:L120)/$G$3</f>
        <v>2.720505655946415E-2</v>
      </c>
      <c r="Q120" s="1">
        <f t="shared" si="6"/>
        <v>27.30237883398269</v>
      </c>
      <c r="R120" s="1">
        <f t="shared" si="7"/>
        <v>27.20505655946415</v>
      </c>
    </row>
    <row r="121" spans="1:18" x14ac:dyDescent="0.35">
      <c r="A121">
        <v>0.91667625437598899</v>
      </c>
      <c r="B121">
        <v>2.3980917358512901</v>
      </c>
      <c r="C121">
        <v>2.5458843882373201</v>
      </c>
      <c r="I121" s="1">
        <f t="shared" si="8"/>
        <v>79200.828378085454</v>
      </c>
      <c r="J121">
        <f t="shared" si="9"/>
        <v>600.00005804107059</v>
      </c>
      <c r="K121" s="1">
        <f t="shared" si="10"/>
        <v>6.7626193492833542</v>
      </c>
      <c r="L121" s="1">
        <f t="shared" si="10"/>
        <v>7.1793946693287634</v>
      </c>
      <c r="N121">
        <f>I121</f>
        <v>79200.828378085454</v>
      </c>
      <c r="O121" s="1">
        <f>SUM(K$2:K121)/$G$3</f>
        <v>2.7372468685765698E-2</v>
      </c>
      <c r="P121" s="1">
        <f>SUM(L$2:L121)/$G$3</f>
        <v>2.7279465997919132E-2</v>
      </c>
      <c r="Q121" s="1">
        <f t="shared" si="6"/>
        <v>27.3724686857657</v>
      </c>
      <c r="R121" s="1">
        <f t="shared" si="7"/>
        <v>27.279465997919132</v>
      </c>
    </row>
    <row r="122" spans="1:18" x14ac:dyDescent="0.35">
      <c r="A122">
        <v>0.92362069949298797</v>
      </c>
      <c r="B122">
        <v>2.3684138751506101</v>
      </c>
      <c r="C122">
        <v>2.52015446432552</v>
      </c>
      <c r="I122" s="1">
        <f t="shared" si="8"/>
        <v>79800.828436194162</v>
      </c>
      <c r="J122">
        <f t="shared" si="9"/>
        <v>600.00005810870789</v>
      </c>
      <c r="K122" s="1">
        <f t="shared" si="10"/>
        <v>6.6789277747644302</v>
      </c>
      <c r="L122" s="1">
        <f t="shared" si="10"/>
        <v>7.1068362776796894</v>
      </c>
      <c r="N122">
        <f>I122</f>
        <v>79800.828436194162</v>
      </c>
      <c r="O122" s="1">
        <f>SUM(K$2:K122)/$G$3</f>
        <v>2.7441691132516637E-2</v>
      </c>
      <c r="P122" s="1">
        <f>SUM(L$2:L122)/$G$3</f>
        <v>2.7353123419048629E-2</v>
      </c>
      <c r="Q122" s="1">
        <f t="shared" si="6"/>
        <v>27.441691132516638</v>
      </c>
      <c r="R122" s="1">
        <f t="shared" si="7"/>
        <v>27.353123419048629</v>
      </c>
    </row>
    <row r="123" spans="1:18" x14ac:dyDescent="0.35">
      <c r="A123">
        <v>0.930565144609526</v>
      </c>
      <c r="B123">
        <v>2.3387620616278699</v>
      </c>
      <c r="C123">
        <v>2.4869944506435502</v>
      </c>
      <c r="I123" s="1">
        <f t="shared" si="8"/>
        <v>80400.828494263042</v>
      </c>
      <c r="J123">
        <f t="shared" si="9"/>
        <v>600.0000580688793</v>
      </c>
      <c r="K123" s="1">
        <f t="shared" si="10"/>
        <v>6.5953096520942651</v>
      </c>
      <c r="L123" s="1">
        <f t="shared" si="10"/>
        <v>7.013325029574621</v>
      </c>
      <c r="N123">
        <f>I123</f>
        <v>80400.828494263042</v>
      </c>
      <c r="O123" s="1">
        <f>SUM(K$2:K123)/$G$3</f>
        <v>2.75100469355129E-2</v>
      </c>
      <c r="P123" s="1">
        <f>SUM(L$2:L123)/$G$3</f>
        <v>2.7425811661050754E-2</v>
      </c>
      <c r="Q123" s="1">
        <f t="shared" si="6"/>
        <v>27.5100469355129</v>
      </c>
      <c r="R123" s="1">
        <f t="shared" si="7"/>
        <v>27.425811661050755</v>
      </c>
    </row>
    <row r="124" spans="1:18" x14ac:dyDescent="0.35">
      <c r="A124">
        <v>0.93750958972588605</v>
      </c>
      <c r="B124">
        <v>2.3087436717901899</v>
      </c>
      <c r="C124">
        <v>2.4563887117643199</v>
      </c>
      <c r="I124" s="1">
        <f t="shared" si="8"/>
        <v>81000.828552316554</v>
      </c>
      <c r="J124">
        <f t="shared" si="9"/>
        <v>600.00005805351248</v>
      </c>
      <c r="K124" s="1">
        <f t="shared" si="10"/>
        <v>6.5106577843925306</v>
      </c>
      <c r="L124" s="1">
        <f t="shared" si="10"/>
        <v>6.9270168374047483</v>
      </c>
      <c r="N124">
        <f>I124</f>
        <v>81000.828552316554</v>
      </c>
      <c r="O124" s="1">
        <f>SUM(K$2:K124)/$G$3</f>
        <v>2.7577525380705337E-2</v>
      </c>
      <c r="P124" s="1">
        <f>SUM(L$2:L124)/$G$3</f>
        <v>2.7497605378596534E-2</v>
      </c>
      <c r="Q124" s="1">
        <f t="shared" si="6"/>
        <v>27.577525380705339</v>
      </c>
      <c r="R124" s="1">
        <f t="shared" si="7"/>
        <v>27.497605378596536</v>
      </c>
    </row>
    <row r="125" spans="1:18" x14ac:dyDescent="0.35">
      <c r="A125">
        <v>0.94445403484289503</v>
      </c>
      <c r="B125">
        <v>2.28102228494377</v>
      </c>
      <c r="C125">
        <v>2.4302161425754099</v>
      </c>
      <c r="I125" s="1">
        <f t="shared" si="8"/>
        <v>81600.828610426135</v>
      </c>
      <c r="J125">
        <f t="shared" si="9"/>
        <v>600.000058109581</v>
      </c>
      <c r="K125" s="1">
        <f t="shared" si="10"/>
        <v>6.4324834665229025</v>
      </c>
      <c r="L125" s="1">
        <f t="shared" si="10"/>
        <v>6.8532101857912124</v>
      </c>
      <c r="N125">
        <f>I125</f>
        <v>81600.828610426135</v>
      </c>
      <c r="O125" s="1">
        <f>SUM(K$2:K125)/$G$3</f>
        <v>2.7644193603398225E-2</v>
      </c>
      <c r="P125" s="1">
        <f>SUM(L$2:L125)/$G$3</f>
        <v>2.7568634141469428E-2</v>
      </c>
      <c r="Q125" s="1">
        <f t="shared" si="6"/>
        <v>27.644193603398225</v>
      </c>
      <c r="R125" s="1">
        <f t="shared" si="7"/>
        <v>27.568634141469428</v>
      </c>
    </row>
    <row r="126" spans="1:18" x14ac:dyDescent="0.35">
      <c r="A126">
        <v>0.95139847995927895</v>
      </c>
      <c r="B126">
        <v>2.2517973180451998</v>
      </c>
      <c r="C126">
        <v>2.4016555389491199</v>
      </c>
      <c r="I126" s="1">
        <f t="shared" si="8"/>
        <v>82200.828668481699</v>
      </c>
      <c r="J126">
        <f t="shared" si="9"/>
        <v>600.0000580555643</v>
      </c>
      <c r="K126" s="1">
        <f t="shared" si="10"/>
        <v>6.3500690513154741</v>
      </c>
      <c r="L126" s="1">
        <f t="shared" si="10"/>
        <v>6.7726692751550157</v>
      </c>
      <c r="N126">
        <f>I126</f>
        <v>82200.828668481699</v>
      </c>
      <c r="O126" s="1">
        <f>SUM(K$2:K126)/$G$3</f>
        <v>2.7710007657928106E-2</v>
      </c>
      <c r="P126" s="1">
        <f>SUM(L$2:L126)/$G$3</f>
        <v>2.7638828153752733E-2</v>
      </c>
      <c r="Q126" s="1">
        <f t="shared" si="6"/>
        <v>27.710007657928106</v>
      </c>
      <c r="R126" s="1">
        <f t="shared" si="7"/>
        <v>27.638828153752733</v>
      </c>
    </row>
    <row r="127" spans="1:18" x14ac:dyDescent="0.35">
      <c r="A127">
        <v>0.958342925075785</v>
      </c>
      <c r="B127">
        <v>2.2240616157933499</v>
      </c>
      <c r="C127">
        <v>2.3741736680420402</v>
      </c>
      <c r="I127" s="1">
        <f t="shared" si="8"/>
        <v>82800.828726547828</v>
      </c>
      <c r="J127">
        <f t="shared" si="9"/>
        <v>600.00005806612899</v>
      </c>
      <c r="K127" s="1">
        <f t="shared" si="10"/>
        <v>6.2718543635076962</v>
      </c>
      <c r="L127" s="1">
        <f t="shared" si="10"/>
        <v>6.6951703918162035</v>
      </c>
      <c r="N127">
        <f>I127</f>
        <v>82800.828726547828</v>
      </c>
      <c r="O127" s="1">
        <f>SUM(K$2:K127)/$G$3</f>
        <v>2.7775011071552065E-2</v>
      </c>
      <c r="P127" s="1">
        <f>SUM(L$2:L127)/$G$3</f>
        <v>2.7708218943946195E-2</v>
      </c>
      <c r="Q127" s="1">
        <f t="shared" si="6"/>
        <v>27.775011071552065</v>
      </c>
      <c r="R127" s="1">
        <f t="shared" si="7"/>
        <v>27.708218943946196</v>
      </c>
    </row>
    <row r="128" spans="1:18" x14ac:dyDescent="0.35">
      <c r="A128">
        <v>0.96528737019279898</v>
      </c>
      <c r="B128">
        <v>2.1966741254825499</v>
      </c>
      <c r="C128">
        <v>2.3441514734184601</v>
      </c>
      <c r="I128" s="1">
        <f t="shared" si="8"/>
        <v>83400.828784657831</v>
      </c>
      <c r="J128">
        <f t="shared" si="9"/>
        <v>600.00005811000301</v>
      </c>
      <c r="K128" s="1">
        <f t="shared" si="10"/>
        <v>6.1946216338098692</v>
      </c>
      <c r="L128" s="1">
        <f t="shared" si="10"/>
        <v>6.6105077952677087</v>
      </c>
      <c r="N128">
        <f>I128</f>
        <v>83400.828784657831</v>
      </c>
      <c r="O128" s="1">
        <f>SUM(K$2:K128)/$G$3</f>
        <v>2.7839214021583777E-2</v>
      </c>
      <c r="P128" s="1">
        <f>SUM(L$2:L128)/$G$3</f>
        <v>2.7776732265138791E-2</v>
      </c>
      <c r="Q128" s="1">
        <f t="shared" si="6"/>
        <v>27.839214021583778</v>
      </c>
      <c r="R128" s="1">
        <f t="shared" si="7"/>
        <v>27.77673226513879</v>
      </c>
    </row>
    <row r="129" spans="1:18" x14ac:dyDescent="0.35">
      <c r="A129">
        <v>0.97223181530904301</v>
      </c>
      <c r="B129">
        <v>2.16851576094126</v>
      </c>
      <c r="C129">
        <v>2.3217265161450702</v>
      </c>
      <c r="I129" s="1">
        <f t="shared" si="8"/>
        <v>84000.828842701318</v>
      </c>
      <c r="J129">
        <f t="shared" si="9"/>
        <v>600.00005804348621</v>
      </c>
      <c r="K129" s="1">
        <f t="shared" si="10"/>
        <v>6.1152150374349628</v>
      </c>
      <c r="L129" s="1">
        <f t="shared" si="10"/>
        <v>6.5472694089062733</v>
      </c>
      <c r="N129">
        <f>I129</f>
        <v>84000.828842701318</v>
      </c>
      <c r="O129" s="1">
        <f>SUM(K$2:K129)/$G$3</f>
        <v>2.7902593977405254E-2</v>
      </c>
      <c r="P129" s="1">
        <f>SUM(L$2:L129)/$G$3</f>
        <v>2.7844590164386406E-2</v>
      </c>
      <c r="Q129" s="1">
        <f t="shared" si="6"/>
        <v>27.902593977405253</v>
      </c>
      <c r="R129" s="1">
        <f t="shared" si="7"/>
        <v>27.844590164386407</v>
      </c>
    </row>
    <row r="130" spans="1:18" x14ac:dyDescent="0.35">
      <c r="A130">
        <v>0.97917626042568395</v>
      </c>
      <c r="B130">
        <v>2.1410738288540299</v>
      </c>
      <c r="C130">
        <v>2.2921261568741902</v>
      </c>
      <c r="I130" s="1">
        <f t="shared" si="8"/>
        <v>84600.828900779088</v>
      </c>
      <c r="J130">
        <f t="shared" si="9"/>
        <v>600.00005807777052</v>
      </c>
      <c r="K130" s="1">
        <f t="shared" si="10"/>
        <v>6.0378287818076988</v>
      </c>
      <c r="L130" s="1">
        <f t="shared" si="10"/>
        <v>6.463796388056628</v>
      </c>
      <c r="N130">
        <f>I130</f>
        <v>84600.828900779088</v>
      </c>
      <c r="O130" s="1">
        <f>SUM(K$2:K130)/$G$3</f>
        <v>2.7965171878444869E-2</v>
      </c>
      <c r="P130" s="1">
        <f>SUM(L$2:L130)/$G$3</f>
        <v>2.7911582923758921E-2</v>
      </c>
      <c r="Q130" s="1">
        <f t="shared" ref="Q130:Q193" si="11">O130*1000</f>
        <v>27.96517187844487</v>
      </c>
      <c r="R130" s="1">
        <f t="shared" ref="R130:R193" si="12">P130*1000</f>
        <v>27.911582923758921</v>
      </c>
    </row>
    <row r="131" spans="1:18" x14ac:dyDescent="0.35">
      <c r="A131">
        <v>0.98612070554261499</v>
      </c>
      <c r="B131">
        <v>2.1146346186216101</v>
      </c>
      <c r="C131">
        <v>2.2664700933900002</v>
      </c>
      <c r="I131" s="1">
        <f t="shared" ref="I131:I194" si="13">A131*86400</f>
        <v>85200.828958881932</v>
      </c>
      <c r="J131">
        <f t="shared" si="9"/>
        <v>600.00005810284347</v>
      </c>
      <c r="K131" s="1">
        <f t="shared" si="10"/>
        <v>5.9632702019844768</v>
      </c>
      <c r="L131" s="1">
        <f t="shared" si="10"/>
        <v>6.3914462822950791</v>
      </c>
      <c r="N131">
        <f>I131</f>
        <v>85200.828958881932</v>
      </c>
      <c r="O131" s="1">
        <f>SUM(K$2:K131)/$G$3</f>
        <v>2.8026977031598049E-2</v>
      </c>
      <c r="P131" s="1">
        <f>SUM(L$2:L131)/$G$3</f>
        <v>2.7977825824544483E-2</v>
      </c>
      <c r="Q131" s="1">
        <f t="shared" si="11"/>
        <v>28.026977031598047</v>
      </c>
      <c r="R131" s="1">
        <f t="shared" si="12"/>
        <v>27.977825824544482</v>
      </c>
    </row>
    <row r="132" spans="1:18" x14ac:dyDescent="0.35">
      <c r="A132">
        <v>0.99306515065880996</v>
      </c>
      <c r="B132">
        <v>2.0887431143558501</v>
      </c>
      <c r="C132">
        <v>2.2428027052078399</v>
      </c>
      <c r="I132" s="1">
        <f t="shared" si="13"/>
        <v>85800.829016921183</v>
      </c>
      <c r="J132">
        <f t="shared" si="9"/>
        <v>600.0000580392516</v>
      </c>
      <c r="K132" s="1">
        <f t="shared" si="10"/>
        <v>5.890256152260207</v>
      </c>
      <c r="L132" s="1">
        <f t="shared" si="10"/>
        <v>6.3247042404878835</v>
      </c>
      <c r="N132">
        <f>I132</f>
        <v>85800.829016921183</v>
      </c>
      <c r="O132" s="1">
        <f>SUM(K$2:K132)/$G$3</f>
        <v>2.8088025444846326E-2</v>
      </c>
      <c r="P132" s="1">
        <f>SUM(L$2:L132)/$G$3</f>
        <v>2.8043376990430243E-2</v>
      </c>
      <c r="Q132" s="1">
        <f t="shared" si="11"/>
        <v>28.088025444846327</v>
      </c>
      <c r="R132" s="1">
        <f t="shared" si="12"/>
        <v>28.043376990430243</v>
      </c>
    </row>
    <row r="133" spans="1:18" x14ac:dyDescent="0.35">
      <c r="A133">
        <v>1.0000095957755699</v>
      </c>
      <c r="B133">
        <v>2.0620883502107401</v>
      </c>
      <c r="C133">
        <v>2.2172744364184598</v>
      </c>
      <c r="I133" s="1">
        <f t="shared" si="13"/>
        <v>86400.829075009242</v>
      </c>
      <c r="J133">
        <f t="shared" si="9"/>
        <v>600.00005808805872</v>
      </c>
      <c r="K133" s="1">
        <f t="shared" si="10"/>
        <v>5.8150897105730204</v>
      </c>
      <c r="L133" s="1">
        <f t="shared" si="10"/>
        <v>6.252714516046745</v>
      </c>
      <c r="N133">
        <f>I133</f>
        <v>86400.829075009242</v>
      </c>
      <c r="O133" s="1">
        <f>SUM(K$2:K133)/$G$3</f>
        <v>2.8148294810142204E-2</v>
      </c>
      <c r="P133" s="1">
        <f>SUM(L$2:L133)/$G$3</f>
        <v>2.8108182032831101E-2</v>
      </c>
      <c r="Q133" s="1">
        <f t="shared" si="11"/>
        <v>28.148294810142204</v>
      </c>
      <c r="R133" s="1">
        <f t="shared" si="12"/>
        <v>28.108182032831103</v>
      </c>
    </row>
    <row r="134" spans="1:18" x14ac:dyDescent="0.35">
      <c r="A134">
        <v>1.0069540408923601</v>
      </c>
      <c r="B134">
        <v>2.0378459098215802</v>
      </c>
      <c r="C134">
        <v>2.19187422954918</v>
      </c>
      <c r="I134" s="1">
        <f t="shared" si="13"/>
        <v>87000.829133099905</v>
      </c>
      <c r="J134">
        <f t="shared" ref="J134:J197" si="14">I134-I133</f>
        <v>600.00005809066352</v>
      </c>
      <c r="K134" s="1">
        <f t="shared" si="10"/>
        <v>5.7467260220820151</v>
      </c>
      <c r="L134" s="1">
        <f t="shared" si="10"/>
        <v>6.1810859257676007</v>
      </c>
      <c r="N134">
        <f>I134</f>
        <v>87000.829133099905</v>
      </c>
      <c r="O134" s="1">
        <f>SUM(K$2:K134)/$G$3</f>
        <v>2.8207855633296912E-2</v>
      </c>
      <c r="P134" s="1">
        <f>SUM(L$2:L134)/$G$3</f>
        <v>2.8172244694651773E-2</v>
      </c>
      <c r="Q134" s="1">
        <f t="shared" si="11"/>
        <v>28.207855633296912</v>
      </c>
      <c r="R134" s="1">
        <f t="shared" si="12"/>
        <v>28.172244694651774</v>
      </c>
    </row>
    <row r="135" spans="1:18" x14ac:dyDescent="0.35">
      <c r="A135">
        <v>1.01389848600857</v>
      </c>
      <c r="B135">
        <v>2.01245465657931</v>
      </c>
      <c r="C135">
        <v>2.1700643479521702</v>
      </c>
      <c r="I135" s="1">
        <f t="shared" si="13"/>
        <v>87600.829191140452</v>
      </c>
      <c r="J135">
        <f t="shared" si="14"/>
        <v>600.00005804054672</v>
      </c>
      <c r="K135" s="1">
        <f t="shared" si="10"/>
        <v>5.675122680532307</v>
      </c>
      <c r="L135" s="1">
        <f t="shared" si="10"/>
        <v>6.1195820531982097</v>
      </c>
      <c r="N135">
        <f>I135</f>
        <v>87600.829191140452</v>
      </c>
      <c r="O135" s="1">
        <f>SUM(K$2:K135)/$G$3</f>
        <v>2.8266674337556977E-2</v>
      </c>
      <c r="P135" s="1">
        <f>SUM(L$2:L135)/$G$3</f>
        <v>2.8235669911558011E-2</v>
      </c>
      <c r="Q135" s="1">
        <f t="shared" si="11"/>
        <v>28.266674337556978</v>
      </c>
      <c r="R135" s="1">
        <f t="shared" si="12"/>
        <v>28.235669911558013</v>
      </c>
    </row>
    <row r="136" spans="1:18" x14ac:dyDescent="0.35">
      <c r="A136">
        <v>1.0208429311254801</v>
      </c>
      <c r="B136">
        <v>1.9887116143296</v>
      </c>
      <c r="C136">
        <v>2.14225096909446</v>
      </c>
      <c r="I136" s="1">
        <f t="shared" si="13"/>
        <v>88200.829249241477</v>
      </c>
      <c r="J136">
        <f t="shared" si="14"/>
        <v>600.00005810102448</v>
      </c>
      <c r="K136" s="1">
        <f t="shared" si="10"/>
        <v>5.6081672954765285</v>
      </c>
      <c r="L136" s="1">
        <f t="shared" si="10"/>
        <v>6.0411483178411647</v>
      </c>
      <c r="N136">
        <f>I136</f>
        <v>88200.829249241477</v>
      </c>
      <c r="O136" s="1">
        <f>SUM(K$2:K136)/$G$3</f>
        <v>2.8324799095762673E-2</v>
      </c>
      <c r="P136" s="1">
        <f>SUM(L$2:L136)/$G$3</f>
        <v>2.8298282217282644E-2</v>
      </c>
      <c r="Q136" s="1">
        <f t="shared" si="11"/>
        <v>28.324799095762675</v>
      </c>
      <c r="R136" s="1">
        <f t="shared" si="12"/>
        <v>28.298282217282644</v>
      </c>
    </row>
    <row r="137" spans="1:18" x14ac:dyDescent="0.35">
      <c r="A137">
        <v>1.0277873762421199</v>
      </c>
      <c r="B137">
        <v>1.9657449335558299</v>
      </c>
      <c r="C137">
        <v>2.1214413325445101</v>
      </c>
      <c r="I137" s="1">
        <f t="shared" si="13"/>
        <v>88800.82930731916</v>
      </c>
      <c r="J137">
        <f t="shared" si="14"/>
        <v>600.00005807768321</v>
      </c>
      <c r="K137" s="1">
        <f t="shared" si="10"/>
        <v>5.5434012492072249</v>
      </c>
      <c r="L137" s="1">
        <f t="shared" si="10"/>
        <v>5.9824651368549873</v>
      </c>
      <c r="N137">
        <f>I137</f>
        <v>88800.82930731916</v>
      </c>
      <c r="O137" s="1">
        <f>SUM(K$2:K137)/$G$3</f>
        <v>2.838225259888966E-2</v>
      </c>
      <c r="P137" s="1">
        <f>SUM(L$2:L137)/$G$3</f>
        <v>2.8360286312601658E-2</v>
      </c>
      <c r="Q137" s="1">
        <f t="shared" si="11"/>
        <v>28.382252598889661</v>
      </c>
      <c r="R137" s="1">
        <f t="shared" si="12"/>
        <v>28.360286312601659</v>
      </c>
    </row>
    <row r="138" spans="1:18" x14ac:dyDescent="0.35">
      <c r="A138">
        <v>1.03473182135839</v>
      </c>
      <c r="B138">
        <v>1.94185369565204</v>
      </c>
      <c r="C138">
        <v>2.0987060429183599</v>
      </c>
      <c r="I138" s="1">
        <f t="shared" si="13"/>
        <v>89400.829365364902</v>
      </c>
      <c r="J138">
        <f t="shared" si="14"/>
        <v>600.00005804574175</v>
      </c>
      <c r="K138" s="1">
        <f t="shared" si="10"/>
        <v>5.476027951505543</v>
      </c>
      <c r="L138" s="1">
        <f t="shared" si="10"/>
        <v>5.9183516135882348</v>
      </c>
      <c r="N138">
        <f>I138</f>
        <v>89400.829365364902</v>
      </c>
      <c r="O138" s="1">
        <f>SUM(K$2:K138)/$G$3</f>
        <v>2.8439007824588008E-2</v>
      </c>
      <c r="P138" s="1">
        <f>SUM(L$2:L138)/$G$3</f>
        <v>2.8421625915789596E-2</v>
      </c>
      <c r="Q138" s="1">
        <f t="shared" si="11"/>
        <v>28.439007824588007</v>
      </c>
      <c r="R138" s="1">
        <f t="shared" si="12"/>
        <v>28.421625915789598</v>
      </c>
    </row>
    <row r="139" spans="1:18" x14ac:dyDescent="0.35">
      <c r="A139">
        <v>1.04167626647539</v>
      </c>
      <c r="B139">
        <v>1.9185787287009299</v>
      </c>
      <c r="C139">
        <v>2.0749529474022701</v>
      </c>
      <c r="I139" s="1">
        <f t="shared" si="13"/>
        <v>90000.829423473697</v>
      </c>
      <c r="J139">
        <f t="shared" si="14"/>
        <v>600.0000581087952</v>
      </c>
      <c r="K139" s="1">
        <f t="shared" si="10"/>
        <v>5.4103925389222249</v>
      </c>
      <c r="L139" s="1">
        <f t="shared" si="10"/>
        <v>5.8513678783675767</v>
      </c>
      <c r="N139">
        <f>I139</f>
        <v>90000.829423473697</v>
      </c>
      <c r="O139" s="1">
        <f>SUM(K$2:K139)/$G$3</f>
        <v>2.8495082784829727E-2</v>
      </c>
      <c r="P139" s="1">
        <f>SUM(L$2:L139)/$G$3</f>
        <v>2.8482271279093398E-2</v>
      </c>
      <c r="Q139" s="1">
        <f t="shared" si="11"/>
        <v>28.495082784829727</v>
      </c>
      <c r="R139" s="1">
        <f t="shared" si="12"/>
        <v>28.482271279093396</v>
      </c>
    </row>
    <row r="140" spans="1:18" x14ac:dyDescent="0.35">
      <c r="A140">
        <v>1.04862071159188</v>
      </c>
      <c r="B140">
        <v>1.8971612391911601</v>
      </c>
      <c r="C140">
        <v>2.0502679799712902</v>
      </c>
      <c r="I140" s="1">
        <f t="shared" si="13"/>
        <v>90600.829481538429</v>
      </c>
      <c r="J140">
        <f t="shared" si="14"/>
        <v>600.000058064732</v>
      </c>
      <c r="K140" s="1">
        <f t="shared" si="10"/>
        <v>5.3499952122624181</v>
      </c>
      <c r="L140" s="1">
        <f t="shared" si="10"/>
        <v>5.7817562630458639</v>
      </c>
      <c r="N140">
        <f>I140</f>
        <v>90600.829481538429</v>
      </c>
      <c r="O140" s="1">
        <f>SUM(K$2:K140)/$G$3</f>
        <v>2.8550531768736682E-2</v>
      </c>
      <c r="P140" s="1">
        <f>SUM(L$2:L140)/$G$3</f>
        <v>2.8542195166361323E-2</v>
      </c>
      <c r="Q140" s="1">
        <f t="shared" si="11"/>
        <v>28.550531768736683</v>
      </c>
      <c r="R140" s="1">
        <f t="shared" si="12"/>
        <v>28.542195166361324</v>
      </c>
    </row>
    <row r="141" spans="1:18" x14ac:dyDescent="0.35">
      <c r="A141">
        <v>1.05556515670828</v>
      </c>
      <c r="B141">
        <v>1.8748849497737901</v>
      </c>
      <c r="C141">
        <v>2.02668695981659</v>
      </c>
      <c r="I141" s="1">
        <f t="shared" si="13"/>
        <v>91200.82953959539</v>
      </c>
      <c r="J141">
        <f t="shared" si="14"/>
        <v>600.00005805696128</v>
      </c>
      <c r="K141" s="1">
        <f t="shared" si="10"/>
        <v>5.287176069957666</v>
      </c>
      <c r="L141" s="1">
        <f t="shared" si="10"/>
        <v>5.71525777970023</v>
      </c>
      <c r="N141">
        <f>I141</f>
        <v>91200.82953959539</v>
      </c>
      <c r="O141" s="1">
        <f>SUM(K$2:K141)/$G$3</f>
        <v>2.8605329675872069E-2</v>
      </c>
      <c r="P141" s="1">
        <f>SUM(L$2:L141)/$G$3</f>
        <v>2.8601429843043709E-2</v>
      </c>
      <c r="Q141" s="1">
        <f t="shared" si="11"/>
        <v>28.605329675872071</v>
      </c>
      <c r="R141" s="1">
        <f t="shared" si="12"/>
        <v>28.601429843043707</v>
      </c>
    </row>
    <row r="142" spans="1:18" x14ac:dyDescent="0.35">
      <c r="A142">
        <v>1.06250960182529</v>
      </c>
      <c r="B142">
        <v>1.85252278005157</v>
      </c>
      <c r="C142">
        <v>2.00646536196541</v>
      </c>
      <c r="I142" s="1">
        <f t="shared" si="13"/>
        <v>91800.829597705058</v>
      </c>
      <c r="J142">
        <f t="shared" si="14"/>
        <v>600.00005810966832</v>
      </c>
      <c r="K142" s="1">
        <f t="shared" si="10"/>
        <v>5.2241147456980039</v>
      </c>
      <c r="L142" s="1">
        <f t="shared" si="10"/>
        <v>5.6582328687391286</v>
      </c>
      <c r="N142">
        <f>I142</f>
        <v>91800.829597705058</v>
      </c>
      <c r="O142" s="1">
        <f>SUM(K$2:K142)/$G$3</f>
        <v>2.8659473996188158E-2</v>
      </c>
      <c r="P142" s="1">
        <f>SUM(L$2:L142)/$G$3</f>
        <v>2.8660073496137341E-2</v>
      </c>
      <c r="Q142" s="1">
        <f t="shared" si="11"/>
        <v>28.659473996188158</v>
      </c>
      <c r="R142" s="1">
        <f t="shared" si="12"/>
        <v>28.66007349613734</v>
      </c>
    </row>
    <row r="143" spans="1:18" x14ac:dyDescent="0.35">
      <c r="A143">
        <v>1.06945404694164</v>
      </c>
      <c r="B143">
        <v>1.8317290460093301</v>
      </c>
      <c r="C143">
        <v>1.9874159902899999</v>
      </c>
      <c r="I143" s="1">
        <f t="shared" si="13"/>
        <v>92400.829655757698</v>
      </c>
      <c r="J143">
        <f t="shared" si="14"/>
        <v>600.00005805263936</v>
      </c>
      <c r="K143" s="1">
        <f t="shared" si="10"/>
        <v>5.1654764095288277</v>
      </c>
      <c r="L143" s="1">
        <f t="shared" si="10"/>
        <v>5.6045136348790949</v>
      </c>
      <c r="N143">
        <f>I143</f>
        <v>92400.829655757698</v>
      </c>
      <c r="O143" s="1">
        <f>SUM(K$2:K143)/$G$3</f>
        <v>2.8713010570884004E-2</v>
      </c>
      <c r="P143" s="1">
        <f>SUM(L$2:L143)/$G$3</f>
        <v>2.8718160386689024E-2</v>
      </c>
      <c r="Q143" s="1">
        <f t="shared" si="11"/>
        <v>28.713010570884006</v>
      </c>
      <c r="R143" s="1">
        <f t="shared" si="12"/>
        <v>28.718160386689025</v>
      </c>
    </row>
    <row r="144" spans="1:18" x14ac:dyDescent="0.35">
      <c r="A144">
        <v>1.0763984920581799</v>
      </c>
      <c r="B144">
        <v>1.8113895848207799</v>
      </c>
      <c r="C144">
        <v>1.96795883707283</v>
      </c>
      <c r="I144" s="1">
        <f t="shared" si="13"/>
        <v>93000.829713826752</v>
      </c>
      <c r="J144">
        <f t="shared" si="14"/>
        <v>600.00005806905392</v>
      </c>
      <c r="K144" s="1">
        <f t="shared" si="10"/>
        <v>5.1081191235672927</v>
      </c>
      <c r="L144" s="1">
        <f t="shared" si="10"/>
        <v>5.5496444576496682</v>
      </c>
      <c r="N144">
        <f>I144</f>
        <v>93000.829713826752</v>
      </c>
      <c r="O144" s="1">
        <f>SUM(K$2:K144)/$G$3</f>
        <v>2.8765952677155104E-2</v>
      </c>
      <c r="P144" s="1">
        <f>SUM(L$2:L144)/$G$3</f>
        <v>2.8775678596334561E-2</v>
      </c>
      <c r="Q144" s="1">
        <f t="shared" si="11"/>
        <v>28.765952677155102</v>
      </c>
      <c r="R144" s="1">
        <f t="shared" si="12"/>
        <v>28.775678596334561</v>
      </c>
    </row>
    <row r="145" spans="1:18" x14ac:dyDescent="0.35">
      <c r="A145">
        <v>1.0833429371751999</v>
      </c>
      <c r="B145">
        <v>1.7920218083987201</v>
      </c>
      <c r="C145">
        <v>1.9462870460408701</v>
      </c>
      <c r="I145" s="1">
        <f t="shared" si="13"/>
        <v>93600.829771937279</v>
      </c>
      <c r="J145">
        <f t="shared" si="14"/>
        <v>600.00005811052688</v>
      </c>
      <c r="K145" s="1">
        <f t="shared" si="10"/>
        <v>5.0535019891204485</v>
      </c>
      <c r="L145" s="1">
        <f t="shared" si="10"/>
        <v>5.4885300014041523</v>
      </c>
      <c r="N145">
        <f>I145</f>
        <v>93600.829771937279</v>
      </c>
      <c r="O145" s="1">
        <f>SUM(K$2:K145)/$G$3</f>
        <v>2.8818328714768415E-2</v>
      </c>
      <c r="P145" s="1">
        <f>SUM(L$2:L145)/$G$3</f>
        <v>2.8832563397095345E-2</v>
      </c>
      <c r="Q145" s="1">
        <f t="shared" si="11"/>
        <v>28.818328714768416</v>
      </c>
      <c r="R145" s="1">
        <f t="shared" si="12"/>
        <v>28.832563397095345</v>
      </c>
    </row>
    <row r="146" spans="1:18" x14ac:dyDescent="0.35">
      <c r="A146">
        <v>1.0902873822914101</v>
      </c>
      <c r="B146">
        <v>1.7718294172300399</v>
      </c>
      <c r="C146">
        <v>1.9269847384162799</v>
      </c>
      <c r="I146" s="1">
        <f t="shared" si="13"/>
        <v>94200.829829977825</v>
      </c>
      <c r="J146">
        <f t="shared" si="14"/>
        <v>600.00005804054672</v>
      </c>
      <c r="K146" s="1">
        <f t="shared" si="10"/>
        <v>4.9965594399270685</v>
      </c>
      <c r="L146" s="1">
        <f t="shared" si="10"/>
        <v>5.4340974879971737</v>
      </c>
      <c r="N146">
        <f>I146</f>
        <v>94200.829829977825</v>
      </c>
      <c r="O146" s="1">
        <f>SUM(K$2:K146)/$G$3</f>
        <v>2.8870114582415483E-2</v>
      </c>
      <c r="P146" s="1">
        <f>SUM(L$2:L146)/$G$3</f>
        <v>2.8888884042667165E-2</v>
      </c>
      <c r="Q146" s="1">
        <f t="shared" si="11"/>
        <v>28.870114582415482</v>
      </c>
      <c r="R146" s="1">
        <f t="shared" si="12"/>
        <v>28.888884042667165</v>
      </c>
    </row>
    <row r="147" spans="1:18" x14ac:dyDescent="0.35">
      <c r="A147">
        <v>1.0972318274080799</v>
      </c>
      <c r="B147">
        <v>1.75271089657865</v>
      </c>
      <c r="C147">
        <v>1.9060919434443999</v>
      </c>
      <c r="I147" s="1">
        <f t="shared" si="13"/>
        <v>94800.829888058099</v>
      </c>
      <c r="J147">
        <f t="shared" si="14"/>
        <v>600.00005808027345</v>
      </c>
      <c r="K147" s="1">
        <f t="shared" ref="K147:L210" si="15">B147*$J147*$G$2</f>
        <v>4.9426452068020552</v>
      </c>
      <c r="L147" s="1">
        <f t="shared" si="15"/>
        <v>5.3751798008330125</v>
      </c>
      <c r="N147">
        <f>I147</f>
        <v>94800.829888058099</v>
      </c>
      <c r="O147" s="1">
        <f>SUM(K$2:K147)/$G$3</f>
        <v>2.8921341666488676E-2</v>
      </c>
      <c r="P147" s="1">
        <f>SUM(L$2:L147)/$G$3</f>
        <v>2.8944594047339733E-2</v>
      </c>
      <c r="Q147" s="1">
        <f t="shared" si="11"/>
        <v>28.921341666488676</v>
      </c>
      <c r="R147" s="1">
        <f t="shared" si="12"/>
        <v>28.944594047339734</v>
      </c>
    </row>
    <row r="148" spans="1:18" x14ac:dyDescent="0.35">
      <c r="A148">
        <v>1.10417627252497</v>
      </c>
      <c r="B148">
        <v>1.73328387803405</v>
      </c>
      <c r="C148">
        <v>1.8872673700471501</v>
      </c>
      <c r="I148" s="1">
        <f t="shared" si="13"/>
        <v>95400.829946157406</v>
      </c>
      <c r="J148">
        <f t="shared" si="14"/>
        <v>600.00005809930735</v>
      </c>
      <c r="K148" s="1">
        <f t="shared" si="15"/>
        <v>4.8878610093582076</v>
      </c>
      <c r="L148" s="1">
        <f t="shared" si="15"/>
        <v>5.3220944988829206</v>
      </c>
      <c r="N148">
        <f>I148</f>
        <v>95400.829946157406</v>
      </c>
      <c r="O148" s="1">
        <f>SUM(K$2:K148)/$G$3</f>
        <v>2.897200095041217E-2</v>
      </c>
      <c r="P148" s="1">
        <f>SUM(L$2:L148)/$G$3</f>
        <v>2.8999753859734231E-2</v>
      </c>
      <c r="Q148" s="1">
        <f t="shared" si="11"/>
        <v>28.97200095041217</v>
      </c>
      <c r="R148" s="1">
        <f t="shared" si="12"/>
        <v>28.999753859734231</v>
      </c>
    </row>
    <row r="149" spans="1:18" x14ac:dyDescent="0.35">
      <c r="A149">
        <v>1.1111207176411699</v>
      </c>
      <c r="B149">
        <v>1.7140690490226</v>
      </c>
      <c r="C149">
        <v>1.8678261350552801</v>
      </c>
      <c r="I149" s="1">
        <f t="shared" si="13"/>
        <v>96000.83000419708</v>
      </c>
      <c r="J149">
        <f t="shared" si="14"/>
        <v>600.0000580396736</v>
      </c>
      <c r="K149" s="1">
        <f t="shared" si="15"/>
        <v>4.8336751858185707</v>
      </c>
      <c r="L149" s="1">
        <f t="shared" si="15"/>
        <v>5.2672702103735807</v>
      </c>
      <c r="N149">
        <f>I149</f>
        <v>96000.83000419708</v>
      </c>
      <c r="O149" s="1">
        <f>SUM(K$2:K149)/$G$3</f>
        <v>2.9022098635915809E-2</v>
      </c>
      <c r="P149" s="1">
        <f>SUM(L$2:L149)/$G$3</f>
        <v>2.9054345456462984E-2</v>
      </c>
      <c r="Q149" s="1">
        <f t="shared" si="11"/>
        <v>29.02209863591581</v>
      </c>
      <c r="R149" s="1">
        <f t="shared" si="12"/>
        <v>29.054345456462983</v>
      </c>
    </row>
    <row r="150" spans="1:18" x14ac:dyDescent="0.35">
      <c r="A150">
        <v>1.1180651627579801</v>
      </c>
      <c r="B150">
        <v>1.6947514999079401</v>
      </c>
      <c r="C150">
        <v>1.8483012810425801</v>
      </c>
      <c r="I150" s="1">
        <f t="shared" si="13"/>
        <v>96600.830062289475</v>
      </c>
      <c r="J150">
        <f t="shared" si="14"/>
        <v>600.00005809239519</v>
      </c>
      <c r="K150" s="1">
        <f t="shared" si="15"/>
        <v>4.7791996924656086</v>
      </c>
      <c r="L150" s="1">
        <f t="shared" si="15"/>
        <v>5.2122101171896444</v>
      </c>
      <c r="N150">
        <f>I150</f>
        <v>96600.830062289475</v>
      </c>
      <c r="O150" s="1">
        <f>SUM(K$2:K150)/$G$3</f>
        <v>2.9071631720773206E-2</v>
      </c>
      <c r="P150" s="1">
        <f>SUM(L$2:L150)/$G$3</f>
        <v>2.9108366393574343E-2</v>
      </c>
      <c r="Q150" s="1">
        <f t="shared" si="11"/>
        <v>29.071631720773205</v>
      </c>
      <c r="R150" s="1">
        <f t="shared" si="12"/>
        <v>29.108366393574343</v>
      </c>
    </row>
    <row r="151" spans="1:18" x14ac:dyDescent="0.35">
      <c r="A151">
        <v>1.12500960787472</v>
      </c>
      <c r="B151">
        <v>1.67738668513601</v>
      </c>
      <c r="C151">
        <v>1.83100152151433</v>
      </c>
      <c r="I151" s="1">
        <f t="shared" si="13"/>
        <v>97200.830120375816</v>
      </c>
      <c r="J151">
        <f t="shared" si="14"/>
        <v>600.0000580863416</v>
      </c>
      <c r="K151" s="1">
        <f t="shared" si="15"/>
        <v>4.7302309100198512</v>
      </c>
      <c r="L151" s="1">
        <f t="shared" si="15"/>
        <v>5.1634247905444566</v>
      </c>
      <c r="N151">
        <f>I151</f>
        <v>97200.830120375816</v>
      </c>
      <c r="O151" s="1">
        <f>SUM(K$2:K151)/$G$3</f>
        <v>2.9120657278217575E-2</v>
      </c>
      <c r="P151" s="1">
        <f>SUM(L$2:L151)/$G$3</f>
        <v>2.9161881704664609E-2</v>
      </c>
      <c r="Q151" s="1">
        <f t="shared" si="11"/>
        <v>29.120657278217575</v>
      </c>
      <c r="R151" s="1">
        <f t="shared" si="12"/>
        <v>29.161881704664609</v>
      </c>
    </row>
    <row r="152" spans="1:18" x14ac:dyDescent="0.35">
      <c r="A152">
        <v>1.13195405299094</v>
      </c>
      <c r="B152">
        <v>1.65924463827493</v>
      </c>
      <c r="C152">
        <v>1.8117366735659</v>
      </c>
      <c r="I152" s="1">
        <f t="shared" si="13"/>
        <v>97800.830178417222</v>
      </c>
      <c r="J152">
        <f t="shared" si="14"/>
        <v>600.00005804140528</v>
      </c>
      <c r="K152" s="1">
        <f t="shared" si="15"/>
        <v>4.6790703325682887</v>
      </c>
      <c r="L152" s="1">
        <f t="shared" si="15"/>
        <v>5.1090979136878278</v>
      </c>
      <c r="N152">
        <f>I152</f>
        <v>97800.830178417222</v>
      </c>
      <c r="O152" s="1">
        <f>SUM(K$2:K152)/$G$3</f>
        <v>2.9169152591816253E-2</v>
      </c>
      <c r="P152" s="1">
        <f>SUM(L$2:L152)/$G$3</f>
        <v>2.9214833955415378E-2</v>
      </c>
      <c r="Q152" s="1">
        <f t="shared" si="11"/>
        <v>29.169152591816253</v>
      </c>
      <c r="R152" s="1">
        <f t="shared" si="12"/>
        <v>29.214833955415379</v>
      </c>
    </row>
    <row r="153" spans="1:18" x14ac:dyDescent="0.35">
      <c r="A153">
        <v>1.13889849810788</v>
      </c>
      <c r="B153">
        <v>1.6404565173247501</v>
      </c>
      <c r="C153">
        <v>1.79425246076845</v>
      </c>
      <c r="I153" s="1">
        <f t="shared" si="13"/>
        <v>98400.830236520836</v>
      </c>
      <c r="J153">
        <f t="shared" si="14"/>
        <v>600.00005810361472</v>
      </c>
      <c r="K153" s="1">
        <f t="shared" si="15"/>
        <v>4.6260878268431265</v>
      </c>
      <c r="L153" s="1">
        <f t="shared" si="15"/>
        <v>5.0597924293540313</v>
      </c>
      <c r="N153">
        <f>I153</f>
        <v>98400.830236520836</v>
      </c>
      <c r="O153" s="1">
        <f>SUM(K$2:K153)/$G$3</f>
        <v>2.9217098778548313E-2</v>
      </c>
      <c r="P153" s="1">
        <f>SUM(L$2:L153)/$G$3</f>
        <v>2.9267275189071944E-2</v>
      </c>
      <c r="Q153" s="1">
        <f t="shared" si="11"/>
        <v>29.217098778548312</v>
      </c>
      <c r="R153" s="1">
        <f t="shared" si="12"/>
        <v>29.267275189071945</v>
      </c>
    </row>
    <row r="154" spans="1:18" x14ac:dyDescent="0.35">
      <c r="A154">
        <v>1.1458429432244699</v>
      </c>
      <c r="B154">
        <v>1.62208615777925</v>
      </c>
      <c r="C154">
        <v>1.77825375804797</v>
      </c>
      <c r="I154" s="1">
        <f t="shared" si="13"/>
        <v>99000.830294594198</v>
      </c>
      <c r="J154">
        <f t="shared" si="14"/>
        <v>600.00005807336129</v>
      </c>
      <c r="K154" s="1">
        <f t="shared" si="15"/>
        <v>4.5742834076774646</v>
      </c>
      <c r="L154" s="1">
        <f t="shared" si="15"/>
        <v>5.0146760830603894</v>
      </c>
      <c r="N154">
        <f>I154</f>
        <v>99000.830294594198</v>
      </c>
      <c r="O154" s="1">
        <f>SUM(K$2:K154)/$G$3</f>
        <v>2.9264508048462572E-2</v>
      </c>
      <c r="P154" s="1">
        <f>SUM(L$2:L154)/$G$3</f>
        <v>2.9319248823140041E-2</v>
      </c>
      <c r="Q154" s="1">
        <f t="shared" si="11"/>
        <v>29.264508048462574</v>
      </c>
      <c r="R154" s="1">
        <f t="shared" si="12"/>
        <v>29.31924882314004</v>
      </c>
    </row>
    <row r="155" spans="1:18" x14ac:dyDescent="0.35">
      <c r="A155">
        <v>1.15278738834078</v>
      </c>
      <c r="B155">
        <v>1.60456452699442</v>
      </c>
      <c r="C155">
        <v>1.7606953077406999</v>
      </c>
      <c r="I155" s="1">
        <f t="shared" si="13"/>
        <v>99600.830352643388</v>
      </c>
      <c r="J155">
        <f t="shared" si="14"/>
        <v>600.00005804919056</v>
      </c>
      <c r="K155" s="1">
        <f t="shared" si="15"/>
        <v>4.5248724038995229</v>
      </c>
      <c r="L155" s="1">
        <f t="shared" si="15"/>
        <v>4.9651612482013796</v>
      </c>
      <c r="N155">
        <f>I155</f>
        <v>99600.830352643388</v>
      </c>
      <c r="O155" s="1">
        <f>SUM(K$2:K155)/$G$3</f>
        <v>2.9311405207646898E-2</v>
      </c>
      <c r="P155" s="1">
        <f>SUM(L$2:L155)/$G$3</f>
        <v>2.9370709270341175E-2</v>
      </c>
      <c r="Q155" s="1">
        <f t="shared" si="11"/>
        <v>29.311405207646899</v>
      </c>
      <c r="R155" s="1">
        <f t="shared" si="12"/>
        <v>29.370709270341173</v>
      </c>
    </row>
    <row r="156" spans="1:18" x14ac:dyDescent="0.35">
      <c r="A156">
        <v>1.15973183345778</v>
      </c>
      <c r="B156">
        <v>1.5879257715810999</v>
      </c>
      <c r="C156">
        <v>1.74427872963861</v>
      </c>
      <c r="I156" s="1">
        <f t="shared" si="13"/>
        <v>100200.83041075218</v>
      </c>
      <c r="J156">
        <f t="shared" si="14"/>
        <v>600.0000581087952</v>
      </c>
      <c r="K156" s="1">
        <f t="shared" si="15"/>
        <v>4.4779511095392337</v>
      </c>
      <c r="L156" s="1">
        <f t="shared" si="15"/>
        <v>4.9188664939631774</v>
      </c>
      <c r="N156">
        <f>I156</f>
        <v>100200.83041075218</v>
      </c>
      <c r="O156" s="1">
        <f>SUM(K$2:K156)/$G$3</f>
        <v>2.9357816060209884E-2</v>
      </c>
      <c r="P156" s="1">
        <f>SUM(L$2:L156)/$G$3</f>
        <v>2.9421689904574094E-2</v>
      </c>
      <c r="Q156" s="1">
        <f t="shared" si="11"/>
        <v>29.357816060209885</v>
      </c>
      <c r="R156" s="1">
        <f t="shared" si="12"/>
        <v>29.421689904574094</v>
      </c>
    </row>
    <row r="157" spans="1:18" x14ac:dyDescent="0.35">
      <c r="A157">
        <v>1.16667627857423</v>
      </c>
      <c r="B157">
        <v>1.57145150883594</v>
      </c>
      <c r="C157">
        <v>1.72800609251197</v>
      </c>
      <c r="I157" s="1">
        <f t="shared" si="13"/>
        <v>100800.83046881347</v>
      </c>
      <c r="J157">
        <f t="shared" si="14"/>
        <v>600.0000580612832</v>
      </c>
      <c r="K157" s="1">
        <f t="shared" si="15"/>
        <v>4.4314936837476591</v>
      </c>
      <c r="L157" s="1">
        <f t="shared" si="15"/>
        <v>4.8729776524359361</v>
      </c>
      <c r="N157">
        <f>I157</f>
        <v>100800.83046881347</v>
      </c>
      <c r="O157" s="1">
        <f>SUM(K$2:K157)/$G$3</f>
        <v>2.9403745413827002E-2</v>
      </c>
      <c r="P157" s="1">
        <f>SUM(L$2:L157)/$G$3</f>
        <v>2.9472194932842075E-2</v>
      </c>
      <c r="Q157" s="1">
        <f t="shared" si="11"/>
        <v>29.403745413827004</v>
      </c>
      <c r="R157" s="1">
        <f t="shared" si="12"/>
        <v>29.472194932842076</v>
      </c>
    </row>
    <row r="158" spans="1:18" x14ac:dyDescent="0.35">
      <c r="A158">
        <v>1.1736207236906699</v>
      </c>
      <c r="B158">
        <v>1.55446813832254</v>
      </c>
      <c r="C158">
        <v>1.7097291930471801</v>
      </c>
      <c r="I158" s="1">
        <f t="shared" si="13"/>
        <v>101400.83052687388</v>
      </c>
      <c r="J158">
        <f t="shared" si="14"/>
        <v>600.00005806041008</v>
      </c>
      <c r="K158" s="1">
        <f t="shared" si="15"/>
        <v>4.3836005742589341</v>
      </c>
      <c r="L158" s="1">
        <f t="shared" si="15"/>
        <v>4.8214367909506652</v>
      </c>
      <c r="N158">
        <f>I158</f>
        <v>101400.83052687388</v>
      </c>
      <c r="O158" s="1">
        <f>SUM(K$2:K158)/$G$3</f>
        <v>2.9449178388634055E-2</v>
      </c>
      <c r="P158" s="1">
        <f>SUM(L$2:L158)/$G$3</f>
        <v>2.9522165775884526E-2</v>
      </c>
      <c r="Q158" s="1">
        <f t="shared" si="11"/>
        <v>29.449178388634056</v>
      </c>
      <c r="R158" s="1">
        <f t="shared" si="12"/>
        <v>29.522165775884528</v>
      </c>
    </row>
    <row r="159" spans="1:18" x14ac:dyDescent="0.35">
      <c r="A159">
        <v>1.1805651688076899</v>
      </c>
      <c r="B159">
        <v>1.5378871426587699</v>
      </c>
      <c r="C159">
        <v>1.6934723550398001</v>
      </c>
      <c r="I159" s="1">
        <f t="shared" si="13"/>
        <v>102000.8305849844</v>
      </c>
      <c r="J159">
        <f t="shared" si="14"/>
        <v>600.00005811052688</v>
      </c>
      <c r="K159" s="1">
        <f t="shared" si="15"/>
        <v>4.336842162324662</v>
      </c>
      <c r="L159" s="1">
        <f t="shared" si="15"/>
        <v>4.7755925037325193</v>
      </c>
      <c r="N159">
        <f>I159</f>
        <v>102000.8305849844</v>
      </c>
      <c r="O159" s="1">
        <f>SUM(K$2:K159)/$G$3</f>
        <v>2.9494126744982967E-2</v>
      </c>
      <c r="P159" s="1">
        <f>SUM(L$2:L159)/$G$3</f>
        <v>2.9571661474736499E-2</v>
      </c>
      <c r="Q159" s="1">
        <f t="shared" si="11"/>
        <v>29.494126744982967</v>
      </c>
      <c r="R159" s="1">
        <f t="shared" si="12"/>
        <v>29.571661474736498</v>
      </c>
    </row>
    <row r="160" spans="1:18" x14ac:dyDescent="0.35">
      <c r="A160">
        <v>1.187509613924</v>
      </c>
      <c r="B160">
        <v>1.5217139514454101</v>
      </c>
      <c r="C160">
        <v>1.67666278497054</v>
      </c>
      <c r="I160" s="1">
        <f t="shared" si="13"/>
        <v>102600.83064303359</v>
      </c>
      <c r="J160">
        <f t="shared" si="14"/>
        <v>600.00005804919056</v>
      </c>
      <c r="K160" s="1">
        <f t="shared" si="15"/>
        <v>4.2912337582470936</v>
      </c>
      <c r="L160" s="1">
        <f t="shared" si="15"/>
        <v>4.7281895110628351</v>
      </c>
      <c r="N160">
        <f>I160</f>
        <v>102600.83064303359</v>
      </c>
      <c r="O160" s="1">
        <f>SUM(K$2:K160)/$G$3</f>
        <v>2.953860240190629E-2</v>
      </c>
      <c r="P160" s="1">
        <f>SUM(L$2:L160)/$G$3</f>
        <v>2.9620665874498769E-2</v>
      </c>
      <c r="Q160" s="1">
        <f t="shared" si="11"/>
        <v>29.538602401906289</v>
      </c>
      <c r="R160" s="1">
        <f t="shared" si="12"/>
        <v>29.620665874498769</v>
      </c>
    </row>
    <row r="161" spans="1:18" x14ac:dyDescent="0.35">
      <c r="A161">
        <v>1.1944540590405599</v>
      </c>
      <c r="B161">
        <v>1.5052623343051801</v>
      </c>
      <c r="C161">
        <v>1.66097805643532</v>
      </c>
      <c r="I161" s="1">
        <f t="shared" si="13"/>
        <v>103200.83070110438</v>
      </c>
      <c r="J161">
        <f t="shared" si="14"/>
        <v>600.0000580707856</v>
      </c>
      <c r="K161" s="1">
        <f t="shared" si="15"/>
        <v>4.2448401935759099</v>
      </c>
      <c r="L161" s="1">
        <f t="shared" si="15"/>
        <v>4.6839585724828154</v>
      </c>
      <c r="N161">
        <f>I161</f>
        <v>103200.83070110438</v>
      </c>
      <c r="O161" s="1">
        <f>SUM(K$2:K161)/$G$3</f>
        <v>2.9582597221759904E-2</v>
      </c>
      <c r="P161" s="1">
        <f>SUM(L$2:L161)/$G$3</f>
        <v>2.9669211851308459E-2</v>
      </c>
      <c r="Q161" s="1">
        <f t="shared" si="11"/>
        <v>29.582597221759904</v>
      </c>
      <c r="R161" s="1">
        <f t="shared" si="12"/>
        <v>29.669211851308457</v>
      </c>
    </row>
    <row r="162" spans="1:18" x14ac:dyDescent="0.35">
      <c r="A162">
        <v>1.2013985041575601</v>
      </c>
      <c r="B162">
        <v>1.4903554140038799</v>
      </c>
      <c r="C162">
        <v>1.6460992325631001</v>
      </c>
      <c r="I162" s="1">
        <f t="shared" si="13"/>
        <v>103800.83075921319</v>
      </c>
      <c r="J162">
        <f t="shared" si="14"/>
        <v>600.00005810880975</v>
      </c>
      <c r="K162" s="1">
        <f t="shared" si="15"/>
        <v>4.2028026745240039</v>
      </c>
      <c r="L162" s="1">
        <f t="shared" si="15"/>
        <v>4.642000285396418</v>
      </c>
      <c r="N162">
        <f>I162</f>
        <v>103800.83075921319</v>
      </c>
      <c r="O162" s="1">
        <f>SUM(K$2:K162)/$G$3</f>
        <v>2.9626156351930642E-2</v>
      </c>
      <c r="P162" s="1">
        <f>SUM(L$2:L162)/$G$3</f>
        <v>2.9717322959619562E-2</v>
      </c>
      <c r="Q162" s="1">
        <f t="shared" si="11"/>
        <v>29.626156351930643</v>
      </c>
      <c r="R162" s="1">
        <f t="shared" si="12"/>
        <v>29.717322959619562</v>
      </c>
    </row>
    <row r="163" spans="1:18" x14ac:dyDescent="0.35">
      <c r="A163">
        <v>1.2083429492737601</v>
      </c>
      <c r="B163">
        <v>1.4758525820994901</v>
      </c>
      <c r="C163">
        <v>1.63102907408882</v>
      </c>
      <c r="I163" s="1">
        <f t="shared" si="13"/>
        <v>104400.83081725286</v>
      </c>
      <c r="J163">
        <f t="shared" si="14"/>
        <v>600.0000580396736</v>
      </c>
      <c r="K163" s="1">
        <f t="shared" si="15"/>
        <v>4.1619046841131722</v>
      </c>
      <c r="L163" s="1">
        <f t="shared" si="15"/>
        <v>4.5995024338531296</v>
      </c>
      <c r="N163">
        <f>I163</f>
        <v>104400.83081725286</v>
      </c>
      <c r="O163" s="1">
        <f>SUM(K$2:K163)/$G$3</f>
        <v>2.9669291602841284E-2</v>
      </c>
      <c r="P163" s="1">
        <f>SUM(L$2:L163)/$G$3</f>
        <v>2.9764993607221291E-2</v>
      </c>
      <c r="Q163" s="1">
        <f t="shared" si="11"/>
        <v>29.669291602841284</v>
      </c>
      <c r="R163" s="1">
        <f t="shared" si="12"/>
        <v>29.764993607221292</v>
      </c>
    </row>
    <row r="164" spans="1:18" x14ac:dyDescent="0.35">
      <c r="A164">
        <v>1.2152873943904601</v>
      </c>
      <c r="B164">
        <v>1.46048566528915</v>
      </c>
      <c r="C164">
        <v>1.6152864486831799</v>
      </c>
      <c r="I164" s="1">
        <f t="shared" si="13"/>
        <v>105000.83087533576</v>
      </c>
      <c r="J164">
        <f t="shared" si="14"/>
        <v>600.00005808289279</v>
      </c>
      <c r="K164" s="1">
        <f t="shared" si="15"/>
        <v>4.1185699748127949</v>
      </c>
      <c r="L164" s="1">
        <f t="shared" si="15"/>
        <v>4.5551082262429627</v>
      </c>
      <c r="N164">
        <f>I164</f>
        <v>105000.83087533576</v>
      </c>
      <c r="O164" s="1">
        <f>SUM(K$2:K164)/$G$3</f>
        <v>2.9711977719593247E-2</v>
      </c>
      <c r="P164" s="1">
        <f>SUM(L$2:L164)/$G$3</f>
        <v>2.9812204139700357E-2</v>
      </c>
      <c r="Q164" s="1">
        <f t="shared" si="11"/>
        <v>29.711977719593246</v>
      </c>
      <c r="R164" s="1">
        <f t="shared" si="12"/>
        <v>29.812204139700356</v>
      </c>
    </row>
    <row r="165" spans="1:18" x14ac:dyDescent="0.35">
      <c r="A165">
        <v>1.22223183950731</v>
      </c>
      <c r="B165">
        <v>1.44630910348774</v>
      </c>
      <c r="C165">
        <v>1.6000031200006599</v>
      </c>
      <c r="I165" s="1">
        <f t="shared" si="13"/>
        <v>105600.83093343159</v>
      </c>
      <c r="J165">
        <f t="shared" si="14"/>
        <v>600.00005809582944</v>
      </c>
      <c r="K165" s="1">
        <f t="shared" si="15"/>
        <v>4.0785920667507041</v>
      </c>
      <c r="L165" s="1">
        <f t="shared" si="15"/>
        <v>4.512009235283351</v>
      </c>
      <c r="N165">
        <f>I165</f>
        <v>105600.83093343159</v>
      </c>
      <c r="O165" s="1">
        <f>SUM(K$2:K165)/$G$3</f>
        <v>2.9754249493099499E-2</v>
      </c>
      <c r="P165" s="1">
        <f>SUM(L$2:L165)/$G$3</f>
        <v>2.9858967981077601E-2</v>
      </c>
      <c r="Q165" s="1">
        <f t="shared" si="11"/>
        <v>29.754249493099497</v>
      </c>
      <c r="R165" s="1">
        <f t="shared" si="12"/>
        <v>29.858967981077601</v>
      </c>
    </row>
    <row r="166" spans="1:18" x14ac:dyDescent="0.35">
      <c r="A166">
        <v>1.2291762846235199</v>
      </c>
      <c r="B166">
        <v>1.43157762404638</v>
      </c>
      <c r="C166">
        <v>1.58655272669185</v>
      </c>
      <c r="I166" s="1">
        <f t="shared" si="13"/>
        <v>106200.83099147212</v>
      </c>
      <c r="J166">
        <f t="shared" si="14"/>
        <v>600.00005804053217</v>
      </c>
      <c r="K166" s="1">
        <f t="shared" si="15"/>
        <v>4.0370492903315691</v>
      </c>
      <c r="L166" s="1">
        <f t="shared" si="15"/>
        <v>4.4740791220675309</v>
      </c>
      <c r="N166">
        <f>I166</f>
        <v>106200.83099147212</v>
      </c>
      <c r="O166" s="1">
        <f>SUM(K$2:K166)/$G$3</f>
        <v>2.9796090704586588E-2</v>
      </c>
      <c r="P166" s="1">
        <f>SUM(L$2:L166)/$G$3</f>
        <v>2.9905338703180181E-2</v>
      </c>
      <c r="Q166" s="1">
        <f t="shared" si="11"/>
        <v>29.796090704586589</v>
      </c>
      <c r="R166" s="1">
        <f t="shared" si="12"/>
        <v>29.905338703180181</v>
      </c>
    </row>
    <row r="167" spans="1:18" x14ac:dyDescent="0.35">
      <c r="A167">
        <v>1.23612072974037</v>
      </c>
      <c r="B167">
        <v>1.41780502311353</v>
      </c>
      <c r="C167">
        <v>1.5726448200830001</v>
      </c>
      <c r="I167" s="1">
        <f t="shared" si="13"/>
        <v>106800.83104956798</v>
      </c>
      <c r="J167">
        <f t="shared" si="14"/>
        <v>600.00005809585855</v>
      </c>
      <c r="K167" s="1">
        <f t="shared" si="15"/>
        <v>3.9982105523125751</v>
      </c>
      <c r="L167" s="1">
        <f t="shared" si="15"/>
        <v>4.4348588220455705</v>
      </c>
      <c r="N167">
        <f>I167</f>
        <v>106800.83104956798</v>
      </c>
      <c r="O167" s="1">
        <f>SUM(K$2:K167)/$G$3</f>
        <v>2.9837529379534121E-2</v>
      </c>
      <c r="P167" s="1">
        <f>SUM(L$2:L167)/$G$3</f>
        <v>2.9951302934118101E-2</v>
      </c>
      <c r="Q167" s="1">
        <f t="shared" si="11"/>
        <v>29.837529379534121</v>
      </c>
      <c r="R167" s="1">
        <f t="shared" si="12"/>
        <v>29.9513029341181</v>
      </c>
    </row>
    <row r="168" spans="1:18" x14ac:dyDescent="0.35">
      <c r="A168">
        <v>1.24306517485707</v>
      </c>
      <c r="B168">
        <v>1.4042136752382399</v>
      </c>
      <c r="C168">
        <v>1.5585529835880201</v>
      </c>
      <c r="I168" s="1">
        <f t="shared" si="13"/>
        <v>107400.83110765085</v>
      </c>
      <c r="J168">
        <f t="shared" si="14"/>
        <v>600.00005808287824</v>
      </c>
      <c r="K168" s="1">
        <f t="shared" si="15"/>
        <v>3.9598829475074644</v>
      </c>
      <c r="L168" s="1">
        <f t="shared" si="15"/>
        <v>4.3951198391868598</v>
      </c>
      <c r="N168">
        <f>I168</f>
        <v>107400.83110765085</v>
      </c>
      <c r="O168" s="1">
        <f>SUM(K$2:K168)/$G$3</f>
        <v>2.9878570815482793E-2</v>
      </c>
      <c r="P168" s="1">
        <f>SUM(L$2:L168)/$G$3</f>
        <v>2.9996855298104079E-2</v>
      </c>
      <c r="Q168" s="1">
        <f t="shared" si="11"/>
        <v>29.878570815482792</v>
      </c>
      <c r="R168" s="1">
        <f t="shared" si="12"/>
        <v>29.99685529810408</v>
      </c>
    </row>
    <row r="169" spans="1:18" x14ac:dyDescent="0.35">
      <c r="A169">
        <v>1.25000961997328</v>
      </c>
      <c r="B169">
        <v>1.39026018396712</v>
      </c>
      <c r="C169">
        <v>1.54433454755238</v>
      </c>
      <c r="I169" s="1">
        <f t="shared" si="13"/>
        <v>108000.83116569139</v>
      </c>
      <c r="J169">
        <f t="shared" si="14"/>
        <v>600.00005804053217</v>
      </c>
      <c r="K169" s="1">
        <f t="shared" si="15"/>
        <v>3.9205340980370509</v>
      </c>
      <c r="L169" s="1">
        <f t="shared" si="15"/>
        <v>4.3550238453775068</v>
      </c>
      <c r="N169">
        <f>I169</f>
        <v>108000.83116569139</v>
      </c>
      <c r="O169" s="1">
        <f>SUM(K$2:K169)/$G$3</f>
        <v>2.9919204427941069E-2</v>
      </c>
      <c r="P169" s="1">
        <f>SUM(L$2:L169)/$G$3</f>
        <v>3.004199209496761E-2</v>
      </c>
      <c r="Q169" s="1">
        <f t="shared" si="11"/>
        <v>29.919204427941068</v>
      </c>
      <c r="R169" s="1">
        <f t="shared" si="12"/>
        <v>30.041992094967611</v>
      </c>
    </row>
    <row r="170" spans="1:18" x14ac:dyDescent="0.35">
      <c r="A170">
        <v>1.25695406509027</v>
      </c>
      <c r="B170">
        <v>1.3762384954509601</v>
      </c>
      <c r="C170">
        <v>1.53065354250765</v>
      </c>
      <c r="I170" s="1">
        <f t="shared" si="13"/>
        <v>108600.83122379932</v>
      </c>
      <c r="J170">
        <f t="shared" si="14"/>
        <v>600.00005810793664</v>
      </c>
      <c r="K170" s="1">
        <f t="shared" si="15"/>
        <v>3.8809929330324904</v>
      </c>
      <c r="L170" s="1">
        <f t="shared" si="15"/>
        <v>4.3164434079042326</v>
      </c>
      <c r="N170">
        <f>I170</f>
        <v>108600.83122379932</v>
      </c>
      <c r="O170" s="1">
        <f>SUM(K$2:K170)/$G$3</f>
        <v>2.995942822369204E-2</v>
      </c>
      <c r="P170" s="1">
        <f>SUM(L$2:L170)/$G$3</f>
        <v>3.0086729032397307E-2</v>
      </c>
      <c r="Q170" s="1">
        <f t="shared" si="11"/>
        <v>29.95942822369204</v>
      </c>
      <c r="R170" s="1">
        <f t="shared" si="12"/>
        <v>30.086729032397308</v>
      </c>
    </row>
    <row r="171" spans="1:18" x14ac:dyDescent="0.35">
      <c r="A171">
        <v>1.2638985102068201</v>
      </c>
      <c r="B171">
        <v>1.36333234049406</v>
      </c>
      <c r="C171">
        <v>1.51751321882666</v>
      </c>
      <c r="I171" s="1">
        <f t="shared" si="13"/>
        <v>109200.83128186925</v>
      </c>
      <c r="J171">
        <f t="shared" si="14"/>
        <v>600.00005806992704</v>
      </c>
      <c r="K171" s="1">
        <f t="shared" si="15"/>
        <v>3.8445975722857146</v>
      </c>
      <c r="L171" s="1">
        <f t="shared" si="15"/>
        <v>4.2793876912640263</v>
      </c>
      <c r="N171">
        <f>I171</f>
        <v>109200.83128186925</v>
      </c>
      <c r="O171" s="1">
        <f>SUM(K$2:K171)/$G$3</f>
        <v>2.9999274806811548E-2</v>
      </c>
      <c r="P171" s="1">
        <f>SUM(L$2:L171)/$G$3</f>
        <v>3.0131081913065433E-2</v>
      </c>
      <c r="Q171" s="1">
        <f t="shared" si="11"/>
        <v>29.999274806811549</v>
      </c>
      <c r="R171" s="1">
        <f t="shared" si="12"/>
        <v>30.131081913065433</v>
      </c>
    </row>
    <row r="172" spans="1:18" x14ac:dyDescent="0.35">
      <c r="A172">
        <v>1.2708429553231699</v>
      </c>
      <c r="B172">
        <v>1.34949206305647</v>
      </c>
      <c r="C172">
        <v>1.5042666901399</v>
      </c>
      <c r="I172" s="1">
        <f t="shared" si="13"/>
        <v>109800.83133992188</v>
      </c>
      <c r="J172">
        <f t="shared" si="14"/>
        <v>600.00005805262481</v>
      </c>
      <c r="K172" s="1">
        <f t="shared" si="15"/>
        <v>3.8055679860245606</v>
      </c>
      <c r="L172" s="1">
        <f t="shared" si="15"/>
        <v>4.242032476629678</v>
      </c>
      <c r="N172">
        <f>I172</f>
        <v>109800.83133992188</v>
      </c>
      <c r="O172" s="1">
        <f>SUM(K$2:K172)/$G$3</f>
        <v>3.0038716875382045E-2</v>
      </c>
      <c r="P172" s="1">
        <f>SUM(L$2:L172)/$G$3</f>
        <v>3.0175047632883333E-2</v>
      </c>
      <c r="Q172" s="1">
        <f t="shared" si="11"/>
        <v>30.038716875382043</v>
      </c>
      <c r="R172" s="1">
        <f t="shared" si="12"/>
        <v>30.175047632883331</v>
      </c>
    </row>
    <row r="173" spans="1:18" x14ac:dyDescent="0.35">
      <c r="A173">
        <v>1.2777874004401799</v>
      </c>
      <c r="B173">
        <v>1.3363152210945</v>
      </c>
      <c r="C173">
        <v>1.4905646997519799</v>
      </c>
      <c r="I173" s="1">
        <f t="shared" si="13"/>
        <v>110400.83139803154</v>
      </c>
      <c r="J173">
        <f t="shared" si="14"/>
        <v>600.00005810966832</v>
      </c>
      <c r="K173" s="1">
        <f t="shared" si="15"/>
        <v>3.7684092884548113</v>
      </c>
      <c r="L173" s="1">
        <f t="shared" si="15"/>
        <v>4.2033928603968187</v>
      </c>
      <c r="N173">
        <f>I173</f>
        <v>110400.83139803154</v>
      </c>
      <c r="O173" s="1">
        <f>SUM(K$2:K173)/$G$3</f>
        <v>3.0077773819865174E-2</v>
      </c>
      <c r="P173" s="1">
        <f>SUM(L$2:L173)/$G$3</f>
        <v>3.0218612879920663E-2</v>
      </c>
      <c r="Q173" s="1">
        <f t="shared" si="11"/>
        <v>30.077773819865175</v>
      </c>
      <c r="R173" s="1">
        <f t="shared" si="12"/>
        <v>30.218612879920663</v>
      </c>
    </row>
    <row r="174" spans="1:18" x14ac:dyDescent="0.35">
      <c r="A174">
        <v>1.2847318455565899</v>
      </c>
      <c r="B174">
        <v>1.323883020984</v>
      </c>
      <c r="C174">
        <v>1.4785428042684901</v>
      </c>
      <c r="I174" s="1">
        <f t="shared" si="13"/>
        <v>111000.83145608936</v>
      </c>
      <c r="J174">
        <f t="shared" si="14"/>
        <v>600.00005805781984</v>
      </c>
      <c r="K174" s="1">
        <f t="shared" si="15"/>
        <v>3.7333504804251616</v>
      </c>
      <c r="L174" s="1">
        <f t="shared" si="15"/>
        <v>4.1694911114897089</v>
      </c>
      <c r="N174">
        <f>I174</f>
        <v>111000.83145608936</v>
      </c>
      <c r="O174" s="1">
        <f>SUM(K$2:K174)/$G$3</f>
        <v>3.0116467404157292E-2</v>
      </c>
      <c r="P174" s="1">
        <f>SUM(L$2:L174)/$G$3</f>
        <v>3.0261826758881016E-2</v>
      </c>
      <c r="Q174" s="1">
        <f t="shared" si="11"/>
        <v>30.116467404157291</v>
      </c>
      <c r="R174" s="1">
        <f t="shared" si="12"/>
        <v>30.261826758881014</v>
      </c>
    </row>
    <row r="175" spans="1:18" x14ac:dyDescent="0.35">
      <c r="A175">
        <v>1.2916762906730599</v>
      </c>
      <c r="B175">
        <v>1.3115934852129301</v>
      </c>
      <c r="C175">
        <v>1.4655056478294199</v>
      </c>
      <c r="I175" s="1">
        <f t="shared" si="13"/>
        <v>111600.83151415238</v>
      </c>
      <c r="J175">
        <f t="shared" si="14"/>
        <v>600.00005806301488</v>
      </c>
      <c r="K175" s="1">
        <f t="shared" si="15"/>
        <v>3.6986939862293013</v>
      </c>
      <c r="L175" s="1">
        <f t="shared" si="15"/>
        <v>4.1327263268098431</v>
      </c>
      <c r="N175">
        <f>I175</f>
        <v>111600.83151415238</v>
      </c>
      <c r="O175" s="1">
        <f>SUM(K$2:K175)/$G$3</f>
        <v>3.0154801797961817E-2</v>
      </c>
      <c r="P175" s="1">
        <f>SUM(L$2:L175)/$G$3</f>
        <v>3.0304659596387468E-2</v>
      </c>
      <c r="Q175" s="1">
        <f t="shared" si="11"/>
        <v>30.154801797961817</v>
      </c>
      <c r="R175" s="1">
        <f t="shared" si="12"/>
        <v>30.30465959638747</v>
      </c>
    </row>
    <row r="176" spans="1:18" x14ac:dyDescent="0.35">
      <c r="A176">
        <v>1.2986207357900801</v>
      </c>
      <c r="B176">
        <v>1.2990792324162099</v>
      </c>
      <c r="C176">
        <v>1.45269125620892</v>
      </c>
      <c r="I176" s="1">
        <f t="shared" si="13"/>
        <v>112200.83157226292</v>
      </c>
      <c r="J176">
        <f t="shared" si="14"/>
        <v>600.00005811054143</v>
      </c>
      <c r="K176" s="1">
        <f t="shared" si="15"/>
        <v>3.6634037902176404</v>
      </c>
      <c r="L176" s="1">
        <f t="shared" si="15"/>
        <v>4.0965897392675288</v>
      </c>
      <c r="N176">
        <f>I176</f>
        <v>112200.83157226292</v>
      </c>
      <c r="O176" s="1">
        <f>SUM(K$2:K176)/$G$3</f>
        <v>3.0192770433399633E-2</v>
      </c>
      <c r="P176" s="1">
        <f>SUM(L$2:L176)/$G$3</f>
        <v>3.0347117903266958E-2</v>
      </c>
      <c r="Q176" s="1">
        <f t="shared" si="11"/>
        <v>30.192770433399634</v>
      </c>
      <c r="R176" s="1">
        <f t="shared" si="12"/>
        <v>30.347117903266959</v>
      </c>
    </row>
    <row r="177" spans="1:18" x14ac:dyDescent="0.35">
      <c r="A177">
        <v>1.30556518090635</v>
      </c>
      <c r="B177">
        <v>1.28654799303881</v>
      </c>
      <c r="C177">
        <v>1.4409279279760201</v>
      </c>
      <c r="I177" s="1">
        <f t="shared" si="13"/>
        <v>112800.83163030863</v>
      </c>
      <c r="J177">
        <f t="shared" si="14"/>
        <v>600.00005804571265</v>
      </c>
      <c r="K177" s="1">
        <f t="shared" si="15"/>
        <v>3.6280656913588412</v>
      </c>
      <c r="L177" s="1">
        <f t="shared" si="15"/>
        <v>4.0634171499989122</v>
      </c>
      <c r="N177">
        <f>I177</f>
        <v>112800.83163030863</v>
      </c>
      <c r="O177" s="1">
        <f>SUM(K$2:K177)/$G$3</f>
        <v>3.0230372813991005E-2</v>
      </c>
      <c r="P177" s="1">
        <f>SUM(L$2:L177)/$G$3</f>
        <v>3.0389232399302597E-2</v>
      </c>
      <c r="Q177" s="1">
        <f t="shared" si="11"/>
        <v>30.230372813991004</v>
      </c>
      <c r="R177" s="1">
        <f t="shared" si="12"/>
        <v>30.389232399302596</v>
      </c>
    </row>
    <row r="178" spans="1:18" x14ac:dyDescent="0.35">
      <c r="A178">
        <v>1.3125096260229601</v>
      </c>
      <c r="B178">
        <v>1.2749170160871399</v>
      </c>
      <c r="C178">
        <v>1.4287530563587001</v>
      </c>
      <c r="I178" s="1">
        <f t="shared" si="13"/>
        <v>113400.83168838375</v>
      </c>
      <c r="J178">
        <f t="shared" si="14"/>
        <v>600.00005807512207</v>
      </c>
      <c r="K178" s="1">
        <f t="shared" si="15"/>
        <v>3.5952663333582531</v>
      </c>
      <c r="L178" s="1">
        <f t="shared" si="15"/>
        <v>4.0290840089140723</v>
      </c>
      <c r="N178">
        <f>I178</f>
        <v>113400.83168838375</v>
      </c>
      <c r="O178" s="1">
        <f>SUM(K$2:K178)/$G$3</f>
        <v>3.0267635252021356E-2</v>
      </c>
      <c r="P178" s="1">
        <f>SUM(L$2:L178)/$G$3</f>
        <v>3.0430991056181016E-2</v>
      </c>
      <c r="Q178" s="1">
        <f t="shared" si="11"/>
        <v>30.267635252021357</v>
      </c>
      <c r="R178" s="1">
        <f t="shared" si="12"/>
        <v>30.430991056181014</v>
      </c>
    </row>
    <row r="179" spans="1:18" x14ac:dyDescent="0.35">
      <c r="A179">
        <v>1.3194540711399101</v>
      </c>
      <c r="B179">
        <v>1.2634457105528101</v>
      </c>
      <c r="C179">
        <v>1.4172373314453901</v>
      </c>
      <c r="I179" s="1">
        <f t="shared" si="13"/>
        <v>114000.83174648823</v>
      </c>
      <c r="J179">
        <f t="shared" si="14"/>
        <v>600.00005810447328</v>
      </c>
      <c r="K179" s="1">
        <f t="shared" si="15"/>
        <v>3.5629172487946081</v>
      </c>
      <c r="L179" s="1">
        <f t="shared" si="15"/>
        <v>3.9966096617107953</v>
      </c>
      <c r="N179">
        <f>I179</f>
        <v>114000.83174648823</v>
      </c>
      <c r="O179" s="1">
        <f>SUM(K$2:K179)/$G$3</f>
        <v>3.0304562414262062E-2</v>
      </c>
      <c r="P179" s="1">
        <f>SUM(L$2:L179)/$G$3</f>
        <v>3.0472413139009547E-2</v>
      </c>
      <c r="Q179" s="1">
        <f t="shared" si="11"/>
        <v>30.304562414262062</v>
      </c>
      <c r="R179" s="1">
        <f t="shared" si="12"/>
        <v>30.472413139009547</v>
      </c>
    </row>
    <row r="180" spans="1:18" x14ac:dyDescent="0.35">
      <c r="A180">
        <v>1.32639851625611</v>
      </c>
      <c r="B180">
        <v>1.2518914426029899</v>
      </c>
      <c r="C180">
        <v>1.4061399786168001</v>
      </c>
      <c r="I180" s="1">
        <f t="shared" si="13"/>
        <v>114600.8318045279</v>
      </c>
      <c r="J180">
        <f t="shared" si="14"/>
        <v>600.0000580396736</v>
      </c>
      <c r="K180" s="1">
        <f t="shared" si="15"/>
        <v>3.5303342096394741</v>
      </c>
      <c r="L180" s="1">
        <f t="shared" si="15"/>
        <v>3.9653151232753316</v>
      </c>
      <c r="N180">
        <f>I180</f>
        <v>114600.8318045279</v>
      </c>
      <c r="O180" s="1">
        <f>SUM(K$2:K180)/$G$3</f>
        <v>3.034115187593631E-2</v>
      </c>
      <c r="P180" s="1">
        <f>SUM(L$2:L180)/$G$3</f>
        <v>3.0513510875686496E-2</v>
      </c>
      <c r="Q180" s="1">
        <f t="shared" si="11"/>
        <v>30.341151875936308</v>
      </c>
      <c r="R180" s="1">
        <f t="shared" si="12"/>
        <v>30.513510875686496</v>
      </c>
    </row>
    <row r="181" spans="1:18" x14ac:dyDescent="0.35">
      <c r="A181">
        <v>1.33334296137286</v>
      </c>
      <c r="B181">
        <v>1.2408498125551899</v>
      </c>
      <c r="C181">
        <v>1.3960213885004</v>
      </c>
      <c r="I181" s="1">
        <f t="shared" si="13"/>
        <v>115200.8318626151</v>
      </c>
      <c r="J181">
        <f t="shared" si="14"/>
        <v>600.00005808720016</v>
      </c>
      <c r="K181" s="1">
        <f t="shared" si="15"/>
        <v>3.4991968101698454</v>
      </c>
      <c r="L181" s="1">
        <f t="shared" si="15"/>
        <v>3.9367806966987051</v>
      </c>
      <c r="N181">
        <f>I181</f>
        <v>115200.8318626151</v>
      </c>
      <c r="O181" s="1">
        <f>SUM(K$2:K181)/$G$3</f>
        <v>3.0377418620095194E-2</v>
      </c>
      <c r="P181" s="1">
        <f>SUM(L$2:L181)/$G$3</f>
        <v>3.0554312872853921E-2</v>
      </c>
      <c r="Q181" s="1">
        <f t="shared" si="11"/>
        <v>30.377418620095195</v>
      </c>
      <c r="R181" s="1">
        <f t="shared" si="12"/>
        <v>30.55431287285392</v>
      </c>
    </row>
    <row r="182" spans="1:18" x14ac:dyDescent="0.35">
      <c r="A182">
        <v>1.3402874064896699</v>
      </c>
      <c r="B182">
        <v>1.22888305418836</v>
      </c>
      <c r="C182">
        <v>1.3841279405042901</v>
      </c>
      <c r="I182" s="1">
        <f t="shared" si="13"/>
        <v>115800.83192070748</v>
      </c>
      <c r="J182">
        <f t="shared" si="14"/>
        <v>600.00005809238064</v>
      </c>
      <c r="K182" s="1">
        <f t="shared" si="15"/>
        <v>3.4654505483382634</v>
      </c>
      <c r="L182" s="1">
        <f t="shared" si="15"/>
        <v>3.9032411701363476</v>
      </c>
      <c r="N182">
        <f>I182</f>
        <v>115800.83192070748</v>
      </c>
      <c r="O182" s="1">
        <f>SUM(K$2:K182)/$G$3</f>
        <v>3.0413335607692622E-2</v>
      </c>
      <c r="P182" s="1">
        <f>SUM(L$2:L182)/$G$3</f>
        <v>3.0594767256127343E-2</v>
      </c>
      <c r="Q182" s="1">
        <f t="shared" si="11"/>
        <v>30.413335607692623</v>
      </c>
      <c r="R182" s="1">
        <f t="shared" si="12"/>
        <v>30.594767256127344</v>
      </c>
    </row>
    <row r="183" spans="1:18" x14ac:dyDescent="0.35">
      <c r="A183">
        <v>1.3472318516058801</v>
      </c>
      <c r="B183">
        <v>1.2174195915452199</v>
      </c>
      <c r="C183">
        <v>1.37229007618177</v>
      </c>
      <c r="I183" s="1">
        <f t="shared" si="13"/>
        <v>116400.83197874804</v>
      </c>
      <c r="J183">
        <f t="shared" si="14"/>
        <v>600.00005804056127</v>
      </c>
      <c r="K183" s="1">
        <f t="shared" si="15"/>
        <v>3.4331235802581874</v>
      </c>
      <c r="L183" s="1">
        <f t="shared" si="15"/>
        <v>3.869858389180477</v>
      </c>
      <c r="N183">
        <f>I183</f>
        <v>116400.83197874804</v>
      </c>
      <c r="O183" s="1">
        <f>SUM(K$2:K183)/$G$3</f>
        <v>3.0448917548722403E-2</v>
      </c>
      <c r="P183" s="1">
        <f>SUM(L$2:L183)/$G$3</f>
        <v>3.0634875650066097E-2</v>
      </c>
      <c r="Q183" s="1">
        <f t="shared" si="11"/>
        <v>30.448917548722402</v>
      </c>
      <c r="R183" s="1">
        <f t="shared" si="12"/>
        <v>30.634875650066096</v>
      </c>
    </row>
    <row r="184" spans="1:18" x14ac:dyDescent="0.35">
      <c r="A184">
        <v>1.35417629672277</v>
      </c>
      <c r="B184">
        <v>1.2056911243620501</v>
      </c>
      <c r="C184">
        <v>1.36120904571485</v>
      </c>
      <c r="I184" s="1">
        <f t="shared" si="13"/>
        <v>117000.83203684732</v>
      </c>
      <c r="J184">
        <f t="shared" si="14"/>
        <v>600.00005809927825</v>
      </c>
      <c r="K184" s="1">
        <f t="shared" si="15"/>
        <v>3.4000492999349667</v>
      </c>
      <c r="L184" s="1">
        <f t="shared" si="15"/>
        <v>3.8386098806166142</v>
      </c>
      <c r="N184">
        <f>I184</f>
        <v>117000.83203684732</v>
      </c>
      <c r="O184" s="1">
        <f>SUM(K$2:K184)/$G$3</f>
        <v>3.0484156697812261E-2</v>
      </c>
      <c r="P184" s="1">
        <f>SUM(L$2:L184)/$G$3</f>
        <v>3.0674660174920911E-2</v>
      </c>
      <c r="Q184" s="1">
        <f t="shared" si="11"/>
        <v>30.48415669781226</v>
      </c>
      <c r="R184" s="1">
        <f t="shared" si="12"/>
        <v>30.674660174920909</v>
      </c>
    </row>
    <row r="185" spans="1:18" x14ac:dyDescent="0.35">
      <c r="A185">
        <v>1.36112074183942</v>
      </c>
      <c r="B185">
        <v>1.1955508045715599</v>
      </c>
      <c r="C185">
        <v>1.3490456231310799</v>
      </c>
      <c r="I185" s="1">
        <f t="shared" si="13"/>
        <v>117600.83209492589</v>
      </c>
      <c r="J185">
        <f t="shared" si="14"/>
        <v>600.00005807857087</v>
      </c>
      <c r="K185" s="1">
        <f t="shared" si="15"/>
        <v>3.3714535952404456</v>
      </c>
      <c r="L185" s="1">
        <f t="shared" si="15"/>
        <v>3.8043090254776621</v>
      </c>
      <c r="N185">
        <f>I185</f>
        <v>117600.83209492589</v>
      </c>
      <c r="O185" s="1">
        <f>SUM(K$2:K185)/$G$3</f>
        <v>3.0519099472287467E-2</v>
      </c>
      <c r="P185" s="1">
        <f>SUM(L$2:L185)/$G$3</f>
        <v>3.0714089195239904E-2</v>
      </c>
      <c r="Q185" s="1">
        <f t="shared" si="11"/>
        <v>30.519099472287468</v>
      </c>
      <c r="R185" s="1">
        <f t="shared" si="12"/>
        <v>30.714089195239904</v>
      </c>
    </row>
    <row r="186" spans="1:18" x14ac:dyDescent="0.35">
      <c r="A186">
        <v>1.3680651869556599</v>
      </c>
      <c r="B186">
        <v>1.18460615335062</v>
      </c>
      <c r="C186">
        <v>1.3391602722089899</v>
      </c>
      <c r="I186" s="1">
        <f t="shared" si="13"/>
        <v>118200.83215296901</v>
      </c>
      <c r="J186">
        <f t="shared" si="14"/>
        <v>600.00005804312241</v>
      </c>
      <c r="K186" s="1">
        <f t="shared" si="15"/>
        <v>3.3405896756124762</v>
      </c>
      <c r="L186" s="1">
        <f t="shared" si="15"/>
        <v>3.7764323329558565</v>
      </c>
      <c r="N186">
        <f>I186</f>
        <v>118200.83215296901</v>
      </c>
      <c r="O186" s="1">
        <f>SUM(K$2:K186)/$G$3</f>
        <v>3.0553722363675897E-2</v>
      </c>
      <c r="P186" s="1">
        <f>SUM(L$2:L186)/$G$3</f>
        <v>3.0753229293005935E-2</v>
      </c>
      <c r="Q186" s="1">
        <f t="shared" si="11"/>
        <v>30.553722363675895</v>
      </c>
      <c r="R186" s="1">
        <f t="shared" si="12"/>
        <v>30.753229293005937</v>
      </c>
    </row>
    <row r="187" spans="1:18" x14ac:dyDescent="0.35">
      <c r="A187">
        <v>1.3750096320726799</v>
      </c>
      <c r="B187">
        <v>1.1735207679789501</v>
      </c>
      <c r="C187">
        <v>1.32820378729625</v>
      </c>
      <c r="I187" s="1">
        <f t="shared" si="13"/>
        <v>118800.83221107954</v>
      </c>
      <c r="J187">
        <f t="shared" si="14"/>
        <v>600.00005811052688</v>
      </c>
      <c r="K187" s="1">
        <f t="shared" si="15"/>
        <v>3.3093288862120169</v>
      </c>
      <c r="L187" s="1">
        <f t="shared" si="15"/>
        <v>3.7455350429337479</v>
      </c>
      <c r="N187">
        <f>I187</f>
        <v>118800.83221107954</v>
      </c>
      <c r="O187" s="1">
        <f>SUM(K$2:K187)/$G$3</f>
        <v>3.0588021258698046E-2</v>
      </c>
      <c r="P187" s="1">
        <f>SUM(L$2:L187)/$G$3</f>
        <v>3.0792049161824233E-2</v>
      </c>
      <c r="Q187" s="1">
        <f t="shared" si="11"/>
        <v>30.588021258698046</v>
      </c>
      <c r="R187" s="1">
        <f t="shared" si="12"/>
        <v>30.792049161824234</v>
      </c>
    </row>
    <row r="188" spans="1:18" x14ac:dyDescent="0.35">
      <c r="A188">
        <v>1.3819540771891801</v>
      </c>
      <c r="B188">
        <v>1.1630356063337699</v>
      </c>
      <c r="C188">
        <v>1.31716776217299</v>
      </c>
      <c r="I188" s="1">
        <f t="shared" si="13"/>
        <v>119400.83226914516</v>
      </c>
      <c r="J188">
        <f t="shared" si="14"/>
        <v>600.00005806561967</v>
      </c>
      <c r="K188" s="1">
        <f t="shared" si="15"/>
        <v>3.2797607272634322</v>
      </c>
      <c r="L188" s="1">
        <f t="shared" si="15"/>
        <v>3.7144134487939953</v>
      </c>
      <c r="N188">
        <f>I188</f>
        <v>119400.83226914516</v>
      </c>
      <c r="O188" s="1">
        <f>SUM(K$2:K188)/$G$3</f>
        <v>3.062201370029273E-2</v>
      </c>
      <c r="P188" s="1">
        <f>SUM(L$2:L188)/$G$3</f>
        <v>3.0830546476938437E-2</v>
      </c>
      <c r="Q188" s="1">
        <f t="shared" si="11"/>
        <v>30.62201370029273</v>
      </c>
      <c r="R188" s="1">
        <f t="shared" si="12"/>
        <v>30.830546476938437</v>
      </c>
    </row>
    <row r="189" spans="1:18" x14ac:dyDescent="0.35">
      <c r="A189">
        <v>1.3888985223055601</v>
      </c>
      <c r="B189">
        <v>1.15281519746311</v>
      </c>
      <c r="C189">
        <v>1.3072817595959101</v>
      </c>
      <c r="I189" s="1">
        <f t="shared" si="13"/>
        <v>120000.83232720039</v>
      </c>
      <c r="J189">
        <f t="shared" si="14"/>
        <v>600.0000580552296</v>
      </c>
      <c r="K189" s="1">
        <f t="shared" si="15"/>
        <v>3.2509391714026399</v>
      </c>
      <c r="L189" s="1">
        <f t="shared" si="15"/>
        <v>3.6865349187648171</v>
      </c>
      <c r="N189">
        <f>I189</f>
        <v>120000.83232720039</v>
      </c>
      <c r="O189" s="1">
        <f>SUM(K$2:K189)/$G$3</f>
        <v>3.0655707426482319E-2</v>
      </c>
      <c r="P189" s="1">
        <f>SUM(L$2:L189)/$G$3</f>
        <v>3.0868754850455198E-2</v>
      </c>
      <c r="Q189" s="1">
        <f t="shared" si="11"/>
        <v>30.655707426482319</v>
      </c>
      <c r="R189" s="1">
        <f t="shared" si="12"/>
        <v>30.868754850455197</v>
      </c>
    </row>
    <row r="190" spans="1:18" x14ac:dyDescent="0.35">
      <c r="A190">
        <v>1.3958429674225801</v>
      </c>
      <c r="B190">
        <v>1.1427476549287201</v>
      </c>
      <c r="C190">
        <v>1.2965719364956101</v>
      </c>
      <c r="I190" s="1">
        <f t="shared" si="13"/>
        <v>120600.83238531092</v>
      </c>
      <c r="J190">
        <f t="shared" si="14"/>
        <v>600.00005811052688</v>
      </c>
      <c r="K190" s="1">
        <f t="shared" si="15"/>
        <v>3.2225486990056318</v>
      </c>
      <c r="L190" s="1">
        <f t="shared" si="15"/>
        <v>3.6563332150366685</v>
      </c>
      <c r="N190">
        <f>I190</f>
        <v>120600.83238531092</v>
      </c>
      <c r="O190" s="1">
        <f>SUM(K$2:K190)/$G$3</f>
        <v>3.0689106905147454E-2</v>
      </c>
      <c r="P190" s="1">
        <f>SUM(L$2:L190)/$G$3</f>
        <v>3.0906650204292965E-2</v>
      </c>
      <c r="Q190" s="1">
        <f t="shared" si="11"/>
        <v>30.689106905147455</v>
      </c>
      <c r="R190" s="1">
        <f t="shared" si="12"/>
        <v>30.906650204292966</v>
      </c>
    </row>
    <row r="191" spans="1:18" x14ac:dyDescent="0.35">
      <c r="A191">
        <v>1.4027874125389399</v>
      </c>
      <c r="B191">
        <v>1.1327579888124799</v>
      </c>
      <c r="C191">
        <v>1.28680732536313</v>
      </c>
      <c r="I191" s="1">
        <f t="shared" si="13"/>
        <v>121200.8324433644</v>
      </c>
      <c r="J191">
        <f t="shared" si="14"/>
        <v>600.00005805348337</v>
      </c>
      <c r="K191" s="1">
        <f t="shared" si="15"/>
        <v>3.194377837525765</v>
      </c>
      <c r="L191" s="1">
        <f t="shared" si="15"/>
        <v>3.6287970086311709</v>
      </c>
      <c r="N191">
        <f>I191</f>
        <v>121200.8324433644</v>
      </c>
      <c r="O191" s="1">
        <f>SUM(K$2:K191)/$G$3</f>
        <v>3.0722214412402735E-2</v>
      </c>
      <c r="P191" s="1">
        <f>SUM(L$2:L191)/$G$3</f>
        <v>3.0944260164479841E-2</v>
      </c>
      <c r="Q191" s="1">
        <f t="shared" si="11"/>
        <v>30.722214412402735</v>
      </c>
      <c r="R191" s="1">
        <f t="shared" si="12"/>
        <v>30.944260164479839</v>
      </c>
    </row>
    <row r="192" spans="1:18" x14ac:dyDescent="0.35">
      <c r="A192">
        <v>1.4097318576554501</v>
      </c>
      <c r="B192">
        <v>1.1225295208614801</v>
      </c>
      <c r="C192">
        <v>1.27732260341594</v>
      </c>
      <c r="I192" s="1">
        <f t="shared" si="13"/>
        <v>121800.83250143088</v>
      </c>
      <c r="J192">
        <f t="shared" si="14"/>
        <v>600.00005806647823</v>
      </c>
      <c r="K192" s="1">
        <f t="shared" si="15"/>
        <v>3.165533555181653</v>
      </c>
      <c r="L192" s="1">
        <f t="shared" si="15"/>
        <v>3.6020500902301893</v>
      </c>
      <c r="N192">
        <f>I192</f>
        <v>121800.83250143088</v>
      </c>
      <c r="O192" s="1">
        <f>SUM(K$2:K192)/$G$3</f>
        <v>3.0755022968708707E-2</v>
      </c>
      <c r="P192" s="1">
        <f>SUM(L$2:L192)/$G$3</f>
        <v>3.0981592911437712E-2</v>
      </c>
      <c r="Q192" s="1">
        <f t="shared" si="11"/>
        <v>30.755022968708708</v>
      </c>
      <c r="R192" s="1">
        <f t="shared" si="12"/>
        <v>30.981592911437712</v>
      </c>
    </row>
    <row r="193" spans="1:18" x14ac:dyDescent="0.35">
      <c r="A193">
        <v>1.41667630277248</v>
      </c>
      <c r="B193">
        <v>1.11290990655258</v>
      </c>
      <c r="C193">
        <v>1.26674562421603</v>
      </c>
      <c r="I193" s="1">
        <f t="shared" si="13"/>
        <v>122400.83255954228</v>
      </c>
      <c r="J193">
        <f t="shared" si="14"/>
        <v>600.00005811139999</v>
      </c>
      <c r="K193" s="1">
        <f t="shared" si="15"/>
        <v>3.1384062404402138</v>
      </c>
      <c r="L193" s="1">
        <f t="shared" si="15"/>
        <v>3.5722230062673046</v>
      </c>
      <c r="N193">
        <f>I193</f>
        <v>122400.83255954228</v>
      </c>
      <c r="O193" s="1">
        <f>SUM(K$2:K193)/$G$3</f>
        <v>3.0787550369241853E-2</v>
      </c>
      <c r="P193" s="1">
        <f>SUM(L$2:L193)/$G$3</f>
        <v>3.1018616521390218E-2</v>
      </c>
      <c r="Q193" s="1">
        <f t="shared" si="11"/>
        <v>30.787550369241853</v>
      </c>
      <c r="R193" s="1">
        <f t="shared" si="12"/>
        <v>31.018616521390218</v>
      </c>
    </row>
    <row r="194" spans="1:18" x14ac:dyDescent="0.35">
      <c r="A194">
        <v>1.42362074788871</v>
      </c>
      <c r="B194">
        <v>1.10279933187108</v>
      </c>
      <c r="C194">
        <v>1.2572719496968801</v>
      </c>
      <c r="I194" s="1">
        <f t="shared" si="13"/>
        <v>123000.83261758454</v>
      </c>
      <c r="J194">
        <f t="shared" si="14"/>
        <v>600.00005804226384</v>
      </c>
      <c r="K194" s="1">
        <f t="shared" si="15"/>
        <v>3.1098944167186038</v>
      </c>
      <c r="L194" s="1">
        <f t="shared" si="15"/>
        <v>3.5455072411272797</v>
      </c>
      <c r="N194">
        <f>I194</f>
        <v>123000.83261758454</v>
      </c>
      <c r="O194" s="1">
        <f>SUM(K$2:K194)/$G$3</f>
        <v>3.0819782264528361E-2</v>
      </c>
      <c r="P194" s="1">
        <f>SUM(L$2:L194)/$G$3</f>
        <v>3.1055363240995618E-2</v>
      </c>
      <c r="Q194" s="1">
        <f t="shared" ref="Q194:Q257" si="16">O194*1000</f>
        <v>30.81978226452836</v>
      </c>
      <c r="R194" s="1">
        <f t="shared" ref="R194:R257" si="17">P194*1000</f>
        <v>31.055363240995618</v>
      </c>
    </row>
    <row r="195" spans="1:18" x14ac:dyDescent="0.35">
      <c r="A195">
        <v>1.43056519300535</v>
      </c>
      <c r="B195">
        <v>1.09364914325829</v>
      </c>
      <c r="C195">
        <v>1.2477832412073</v>
      </c>
      <c r="I195" s="1">
        <f t="shared" ref="I195:I258" si="18">A195*86400</f>
        <v>123600.83267566224</v>
      </c>
      <c r="J195">
        <f t="shared" si="14"/>
        <v>600.00005807769776</v>
      </c>
      <c r="K195" s="1">
        <f t="shared" si="15"/>
        <v>3.0840908825165125</v>
      </c>
      <c r="L195" s="1">
        <f t="shared" si="15"/>
        <v>3.5187490808059629</v>
      </c>
      <c r="N195">
        <f>I195</f>
        <v>123600.83267566224</v>
      </c>
      <c r="O195" s="1">
        <f>SUM(K$2:K195)/$G$3</f>
        <v>3.0851746724107742E-2</v>
      </c>
      <c r="P195" s="1">
        <f>SUM(L$2:L195)/$G$3</f>
        <v>3.1091832630857321E-2</v>
      </c>
      <c r="Q195" s="1">
        <f t="shared" si="16"/>
        <v>30.851746724107741</v>
      </c>
      <c r="R195" s="1">
        <f t="shared" si="17"/>
        <v>31.091832630857322</v>
      </c>
    </row>
    <row r="196" spans="1:18" x14ac:dyDescent="0.35">
      <c r="A196">
        <v>1.4375096381222501</v>
      </c>
      <c r="B196">
        <v>1.0840279459592299</v>
      </c>
      <c r="C196">
        <v>1.2386971663897699</v>
      </c>
      <c r="I196" s="1">
        <f t="shared" si="18"/>
        <v>124200.83273376241</v>
      </c>
      <c r="J196">
        <f t="shared" si="14"/>
        <v>600.00005810016592</v>
      </c>
      <c r="K196" s="1">
        <f t="shared" si="15"/>
        <v>3.0569591036213852</v>
      </c>
      <c r="L196" s="1">
        <f t="shared" si="15"/>
        <v>3.4931263474711525</v>
      </c>
      <c r="N196">
        <f>I196</f>
        <v>124200.83273376241</v>
      </c>
      <c r="O196" s="1">
        <f>SUM(K$2:K196)/$G$3</f>
        <v>3.0883429981646442E-2</v>
      </c>
      <c r="P196" s="1">
        <f>SUM(L$2:L196)/$G$3</f>
        <v>3.1128036458887284E-2</v>
      </c>
      <c r="Q196" s="1">
        <f t="shared" si="16"/>
        <v>30.88342998164644</v>
      </c>
      <c r="R196" s="1">
        <f t="shared" si="17"/>
        <v>31.128036458887284</v>
      </c>
    </row>
    <row r="197" spans="1:18" x14ac:dyDescent="0.35">
      <c r="A197">
        <v>1.44445408323847</v>
      </c>
      <c r="B197">
        <v>1.07356066889622</v>
      </c>
      <c r="C197">
        <v>1.2294067327740801</v>
      </c>
      <c r="I197" s="1">
        <f t="shared" si="18"/>
        <v>124800.83279180381</v>
      </c>
      <c r="J197">
        <f t="shared" si="14"/>
        <v>600.00005804140528</v>
      </c>
      <c r="K197" s="1">
        <f t="shared" si="15"/>
        <v>3.027441379148899</v>
      </c>
      <c r="L197" s="1">
        <f t="shared" si="15"/>
        <v>3.4669273217984298</v>
      </c>
      <c r="N197">
        <f>I197</f>
        <v>124800.83279180381</v>
      </c>
      <c r="O197" s="1">
        <f>SUM(K$2:K197)/$G$3</f>
        <v>3.091480730847599E-2</v>
      </c>
      <c r="P197" s="1">
        <f>SUM(L$2:L197)/$G$3</f>
        <v>3.1163968752215762E-2</v>
      </c>
      <c r="Q197" s="1">
        <f t="shared" si="16"/>
        <v>30.914807308475989</v>
      </c>
      <c r="R197" s="1">
        <f t="shared" si="17"/>
        <v>31.163968752215762</v>
      </c>
    </row>
    <row r="198" spans="1:18" x14ac:dyDescent="0.35">
      <c r="A198">
        <v>1.45139852835525</v>
      </c>
      <c r="B198">
        <v>1.06389957643736</v>
      </c>
      <c r="C198">
        <v>1.22034574200437</v>
      </c>
      <c r="I198" s="1">
        <f t="shared" si="18"/>
        <v>125400.8328498936</v>
      </c>
      <c r="J198">
        <f t="shared" ref="J198:J261" si="19">I198-I197</f>
        <v>600.0000580897904</v>
      </c>
      <c r="K198" s="1">
        <f t="shared" si="15"/>
        <v>3.0001970960213611</v>
      </c>
      <c r="L198" s="1">
        <f t="shared" si="15"/>
        <v>3.4413753256335768</v>
      </c>
      <c r="N198">
        <f>I198</f>
        <v>125400.8328498936</v>
      </c>
      <c r="O198" s="1">
        <f>SUM(K$2:K198)/$G$3</f>
        <v>3.0945902267236643E-2</v>
      </c>
      <c r="P198" s="1">
        <f>SUM(L$2:L198)/$G$3</f>
        <v>3.1199636216854135E-2</v>
      </c>
      <c r="Q198" s="1">
        <f t="shared" si="16"/>
        <v>30.945902267236644</v>
      </c>
      <c r="R198" s="1">
        <f t="shared" si="17"/>
        <v>31.199636216854135</v>
      </c>
    </row>
    <row r="199" spans="1:18" x14ac:dyDescent="0.35">
      <c r="A199">
        <v>1.4583429734720099</v>
      </c>
      <c r="B199">
        <v>1.0547251007952101</v>
      </c>
      <c r="C199">
        <v>1.21198584671883</v>
      </c>
      <c r="I199" s="1">
        <f t="shared" si="18"/>
        <v>126000.83290798166</v>
      </c>
      <c r="J199">
        <f t="shared" si="19"/>
        <v>600.00005808805872</v>
      </c>
      <c r="K199" s="1">
        <f t="shared" si="15"/>
        <v>2.9743250721970802</v>
      </c>
      <c r="L199" s="1">
        <f t="shared" si="15"/>
        <v>3.4178004186360544</v>
      </c>
      <c r="N199">
        <f>I199</f>
        <v>126000.83290798166</v>
      </c>
      <c r="O199" s="1">
        <f>SUM(K$2:K199)/$G$3</f>
        <v>3.097672908044281E-2</v>
      </c>
      <c r="P199" s="1">
        <f>SUM(L$2:L199)/$G$3</f>
        <v>3.1235059343958205E-2</v>
      </c>
      <c r="Q199" s="1">
        <f t="shared" si="16"/>
        <v>30.976729080442809</v>
      </c>
      <c r="R199" s="1">
        <f t="shared" si="17"/>
        <v>31.235059343958206</v>
      </c>
    </row>
    <row r="200" spans="1:18" x14ac:dyDescent="0.35">
      <c r="A200">
        <v>1.4652874185882301</v>
      </c>
      <c r="B200">
        <v>1.0461613384510799</v>
      </c>
      <c r="C200">
        <v>1.20204477460229</v>
      </c>
      <c r="I200" s="1">
        <f t="shared" si="18"/>
        <v>126600.83296602308</v>
      </c>
      <c r="J200">
        <f t="shared" si="19"/>
        <v>600.00005804141983</v>
      </c>
      <c r="K200" s="1">
        <f t="shared" si="15"/>
        <v>2.9501752598192863</v>
      </c>
      <c r="L200" s="1">
        <f t="shared" si="15"/>
        <v>3.3897665922898694</v>
      </c>
      <c r="N200">
        <f>I200</f>
        <v>126600.83296602308</v>
      </c>
      <c r="O200" s="1">
        <f>SUM(K$2:K200)/$G$3</f>
        <v>3.1007305597619775E-2</v>
      </c>
      <c r="P200" s="1">
        <f>SUM(L$2:L200)/$G$3</f>
        <v>3.1270191919926388E-2</v>
      </c>
      <c r="Q200" s="1">
        <f t="shared" si="16"/>
        <v>31.007305597619776</v>
      </c>
      <c r="R200" s="1">
        <f t="shared" si="17"/>
        <v>31.270191919926386</v>
      </c>
    </row>
    <row r="201" spans="1:18" x14ac:dyDescent="0.35">
      <c r="A201">
        <v>1.4722318637051599</v>
      </c>
      <c r="B201">
        <v>1.03499400263941</v>
      </c>
      <c r="C201">
        <v>1.1926196547358401</v>
      </c>
      <c r="I201" s="1">
        <f t="shared" si="18"/>
        <v>127200.83302412582</v>
      </c>
      <c r="J201">
        <f t="shared" si="19"/>
        <v>600.0000581027416</v>
      </c>
      <c r="K201" s="1">
        <f t="shared" si="15"/>
        <v>2.9186833700822854</v>
      </c>
      <c r="L201" s="1">
        <f t="shared" si="15"/>
        <v>3.363187752039086</v>
      </c>
      <c r="N201">
        <f>I201</f>
        <v>127200.83302412582</v>
      </c>
      <c r="O201" s="1">
        <f>SUM(K$2:K201)/$G$3</f>
        <v>3.1037555723236011E-2</v>
      </c>
      <c r="P201" s="1">
        <f>SUM(L$2:L201)/$G$3</f>
        <v>3.130504902467883E-2</v>
      </c>
      <c r="Q201" s="1">
        <f t="shared" si="16"/>
        <v>31.037555723236011</v>
      </c>
      <c r="R201" s="1">
        <f t="shared" si="17"/>
        <v>31.30504902467883</v>
      </c>
    </row>
    <row r="202" spans="1:18" x14ac:dyDescent="0.35">
      <c r="A202">
        <v>1.47917630882176</v>
      </c>
      <c r="B202">
        <v>1.02712111811241</v>
      </c>
      <c r="C202">
        <v>1.1839306374571801</v>
      </c>
      <c r="I202" s="1">
        <f t="shared" si="18"/>
        <v>127800.83308220006</v>
      </c>
      <c r="J202">
        <f t="shared" si="19"/>
        <v>600.0000580742344</v>
      </c>
      <c r="K202" s="1">
        <f t="shared" si="15"/>
        <v>2.8964818334285778</v>
      </c>
      <c r="L202" s="1">
        <f t="shared" si="15"/>
        <v>3.3386847207818149</v>
      </c>
      <c r="N202">
        <f>I202</f>
        <v>127800.83308220006</v>
      </c>
      <c r="O202" s="1">
        <f>SUM(K$2:K202)/$G$3</f>
        <v>3.1067575745347513E-2</v>
      </c>
      <c r="P202" s="1">
        <f>SUM(L$2:L202)/$G$3</f>
        <v>3.1339652172533747E-2</v>
      </c>
      <c r="Q202" s="1">
        <f t="shared" si="16"/>
        <v>31.067575745347511</v>
      </c>
      <c r="R202" s="1">
        <f t="shared" si="17"/>
        <v>31.339652172533746</v>
      </c>
    </row>
    <row r="203" spans="1:18" x14ac:dyDescent="0.35">
      <c r="A203">
        <v>1.4861207539380501</v>
      </c>
      <c r="B203">
        <v>1.0181372109518301</v>
      </c>
      <c r="C203">
        <v>1.1750272073068599</v>
      </c>
      <c r="I203" s="1">
        <f t="shared" si="18"/>
        <v>128400.83314024753</v>
      </c>
      <c r="J203">
        <f t="shared" si="19"/>
        <v>600.00005804747343</v>
      </c>
      <c r="K203" s="1">
        <f t="shared" si="15"/>
        <v>2.8711472126555364</v>
      </c>
      <c r="L203" s="1">
        <f t="shared" si="15"/>
        <v>3.3135770451799402</v>
      </c>
      <c r="N203">
        <f>I203</f>
        <v>128400.83314024753</v>
      </c>
      <c r="O203" s="1">
        <f>SUM(K$2:K203)/$G$3</f>
        <v>3.1097333191713847E-2</v>
      </c>
      <c r="P203" s="1">
        <f>SUM(L$2:L203)/$G$3</f>
        <v>3.1373995096772536E-2</v>
      </c>
      <c r="Q203" s="1">
        <f t="shared" si="16"/>
        <v>31.097333191713847</v>
      </c>
      <c r="R203" s="1">
        <f t="shared" si="17"/>
        <v>31.373995096772536</v>
      </c>
    </row>
    <row r="204" spans="1:18" x14ac:dyDescent="0.35">
      <c r="A204">
        <v>1.4930651990550701</v>
      </c>
      <c r="B204">
        <v>1.0092406140660599</v>
      </c>
      <c r="C204">
        <v>1.1663692544101301</v>
      </c>
      <c r="I204" s="1">
        <f t="shared" si="18"/>
        <v>129000.83319835806</v>
      </c>
      <c r="J204">
        <f t="shared" si="19"/>
        <v>600.00005811052688</v>
      </c>
      <c r="K204" s="1">
        <f t="shared" si="15"/>
        <v>2.8460588073095567</v>
      </c>
      <c r="L204" s="1">
        <f t="shared" si="15"/>
        <v>3.2891616159947268</v>
      </c>
      <c r="N204">
        <f>I204</f>
        <v>129000.83319835806</v>
      </c>
      <c r="O204" s="1">
        <f>SUM(K$2:K204)/$G$3</f>
        <v>3.1126830614186866E-2</v>
      </c>
      <c r="P204" s="1">
        <f>SUM(L$2:L204)/$G$3</f>
        <v>3.1408084972048431E-2</v>
      </c>
      <c r="Q204" s="1">
        <f t="shared" si="16"/>
        <v>31.126830614186865</v>
      </c>
      <c r="R204" s="1">
        <f t="shared" si="17"/>
        <v>31.408084972048432</v>
      </c>
    </row>
    <row r="205" spans="1:18" x14ac:dyDescent="0.35">
      <c r="A205">
        <v>1.50000964417153</v>
      </c>
      <c r="B205">
        <v>1.00079413232193</v>
      </c>
      <c r="C205">
        <v>1.1581920562186401</v>
      </c>
      <c r="I205" s="1">
        <f t="shared" si="18"/>
        <v>129600.8332564202</v>
      </c>
      <c r="J205">
        <f t="shared" si="19"/>
        <v>600.00005806214176</v>
      </c>
      <c r="K205" s="1">
        <f t="shared" si="15"/>
        <v>2.8222397262566212</v>
      </c>
      <c r="L205" s="1">
        <f t="shared" si="15"/>
        <v>3.2661019145979884</v>
      </c>
      <c r="N205">
        <f>I205</f>
        <v>129600.8332564202</v>
      </c>
      <c r="O205" s="1">
        <f>SUM(K$2:K205)/$G$3</f>
        <v>3.1156081168431118E-2</v>
      </c>
      <c r="P205" s="1">
        <f>SUM(L$2:L205)/$G$3</f>
        <v>3.1441935849538173E-2</v>
      </c>
      <c r="Q205" s="1">
        <f t="shared" si="16"/>
        <v>31.156081168431118</v>
      </c>
      <c r="R205" s="1">
        <f t="shared" si="17"/>
        <v>31.441935849538172</v>
      </c>
    </row>
    <row r="206" spans="1:18" x14ac:dyDescent="0.35">
      <c r="A206">
        <v>1.50695408928795</v>
      </c>
      <c r="B206">
        <v>0.99321406249181199</v>
      </c>
      <c r="C206">
        <v>1.15020224243699</v>
      </c>
      <c r="I206" s="1">
        <f t="shared" si="18"/>
        <v>130200.83331447888</v>
      </c>
      <c r="J206">
        <f t="shared" si="19"/>
        <v>600.00005805867841</v>
      </c>
      <c r="K206" s="1">
        <f t="shared" si="15"/>
        <v>2.8008639272509801</v>
      </c>
      <c r="L206" s="1">
        <f t="shared" si="15"/>
        <v>3.2435706375346558</v>
      </c>
      <c r="N206">
        <f>I206</f>
        <v>130200.83331447888</v>
      </c>
      <c r="O206" s="1">
        <f>SUM(K$2:K206)/$G$3</f>
        <v>3.1185110177367754E-2</v>
      </c>
      <c r="P206" s="1">
        <f>SUM(L$2:L206)/$G$3</f>
        <v>3.1475553205992907E-2</v>
      </c>
      <c r="Q206" s="1">
        <f t="shared" si="16"/>
        <v>31.185110177367754</v>
      </c>
      <c r="R206" s="1">
        <f t="shared" si="17"/>
        <v>31.475553205992906</v>
      </c>
    </row>
    <row r="207" spans="1:18" x14ac:dyDescent="0.35">
      <c r="A207">
        <v>1.51389853440497</v>
      </c>
      <c r="B207">
        <v>0.98552075088980595</v>
      </c>
      <c r="C207">
        <v>1.14205138355993</v>
      </c>
      <c r="I207" s="1">
        <f t="shared" si="18"/>
        <v>130800.8333725894</v>
      </c>
      <c r="J207">
        <f t="shared" si="19"/>
        <v>600.00005811052688</v>
      </c>
      <c r="K207" s="1">
        <f t="shared" si="15"/>
        <v>2.7791687866741643</v>
      </c>
      <c r="L207" s="1">
        <f t="shared" si="15"/>
        <v>3.2205852135554784</v>
      </c>
      <c r="N207">
        <f>I207</f>
        <v>130800.8333725894</v>
      </c>
      <c r="O207" s="1">
        <f>SUM(K$2:K207)/$G$3</f>
        <v>3.1213914331243219E-2</v>
      </c>
      <c r="P207" s="1">
        <f>SUM(L$2:L207)/$G$3</f>
        <v>3.1508932334495317E-2</v>
      </c>
      <c r="Q207" s="1">
        <f t="shared" si="16"/>
        <v>31.21391433124322</v>
      </c>
      <c r="R207" s="1">
        <f t="shared" si="17"/>
        <v>31.508932334495316</v>
      </c>
    </row>
    <row r="208" spans="1:18" x14ac:dyDescent="0.35">
      <c r="A208">
        <v>1.5208429810172901</v>
      </c>
      <c r="B208">
        <v>0.97783014023429105</v>
      </c>
      <c r="C208">
        <v>1.1343125144686801</v>
      </c>
      <c r="I208" s="1">
        <f t="shared" si="18"/>
        <v>131400.83355989386</v>
      </c>
      <c r="J208">
        <f t="shared" si="19"/>
        <v>600.00018730445299</v>
      </c>
      <c r="K208" s="1">
        <f t="shared" si="15"/>
        <v>2.7574818562748167</v>
      </c>
      <c r="L208" s="1">
        <f t="shared" si="15"/>
        <v>3.198762289372068</v>
      </c>
      <c r="N208">
        <f>I208</f>
        <v>131400.83355989386</v>
      </c>
      <c r="O208" s="1">
        <f>SUM(K$2:K208)/$G$3</f>
        <v>3.12424937151503E-2</v>
      </c>
      <c r="P208" s="1">
        <f>SUM(L$2:L208)/$G$3</f>
        <v>3.1542085283548245E-2</v>
      </c>
      <c r="Q208" s="1">
        <f t="shared" si="16"/>
        <v>31.242493715150299</v>
      </c>
      <c r="R208" s="1">
        <f t="shared" si="17"/>
        <v>31.542085283548246</v>
      </c>
    </row>
    <row r="209" spans="1:18" x14ac:dyDescent="0.35">
      <c r="A209">
        <v>1.52778742654828</v>
      </c>
      <c r="B209">
        <v>0.97009777571248201</v>
      </c>
      <c r="C209">
        <v>1.12587318161923</v>
      </c>
      <c r="I209" s="1">
        <f t="shared" si="18"/>
        <v>132000.83365377141</v>
      </c>
      <c r="J209">
        <f t="shared" si="19"/>
        <v>600.00009387754835</v>
      </c>
      <c r="K209" s="1">
        <f t="shared" si="15"/>
        <v>2.7356761555400833</v>
      </c>
      <c r="L209" s="1">
        <f t="shared" si="15"/>
        <v>3.1749628689290348</v>
      </c>
      <c r="N209">
        <f>I209</f>
        <v>132000.83365377141</v>
      </c>
      <c r="O209" s="1">
        <f>SUM(K$2:K209)/$G$3</f>
        <v>3.1270847098116984E-2</v>
      </c>
      <c r="P209" s="1">
        <f>SUM(L$2:L209)/$G$3</f>
        <v>3.1574991568140975E-2</v>
      </c>
      <c r="Q209" s="1">
        <f t="shared" si="16"/>
        <v>31.270847098116985</v>
      </c>
      <c r="R209" s="1">
        <f t="shared" si="17"/>
        <v>31.574991568140977</v>
      </c>
    </row>
    <row r="210" spans="1:18" x14ac:dyDescent="0.35">
      <c r="A210">
        <v>1.53473187207926</v>
      </c>
      <c r="B210">
        <v>0.96201693084134998</v>
      </c>
      <c r="C210">
        <v>1.1186012114566899</v>
      </c>
      <c r="I210" s="1">
        <f t="shared" si="18"/>
        <v>132600.83374764805</v>
      </c>
      <c r="J210">
        <f t="shared" si="19"/>
        <v>600.00009387664613</v>
      </c>
      <c r="K210" s="1">
        <f t="shared" si="15"/>
        <v>2.7128881694339451</v>
      </c>
      <c r="L210" s="1">
        <f t="shared" si="15"/>
        <v>3.154455909857357</v>
      </c>
      <c r="N210">
        <f>I210</f>
        <v>132600.83374764805</v>
      </c>
      <c r="O210" s="1">
        <f>SUM(K$2:K210)/$G$3</f>
        <v>3.1298964299437744E-2</v>
      </c>
      <c r="P210" s="1">
        <f>SUM(L$2:L210)/$G$3</f>
        <v>3.1607685312348442E-2</v>
      </c>
      <c r="Q210" s="1">
        <f t="shared" si="16"/>
        <v>31.298964299437745</v>
      </c>
      <c r="R210" s="1">
        <f t="shared" si="17"/>
        <v>31.60768531234844</v>
      </c>
    </row>
    <row r="211" spans="1:18" x14ac:dyDescent="0.35">
      <c r="A211">
        <v>1.5416763176102499</v>
      </c>
      <c r="B211">
        <v>0.95371984553015499</v>
      </c>
      <c r="C211">
        <v>1.11088749556035</v>
      </c>
      <c r="I211" s="1">
        <f t="shared" si="18"/>
        <v>133200.8338415256</v>
      </c>
      <c r="J211">
        <f t="shared" si="19"/>
        <v>600.00009387754835</v>
      </c>
      <c r="K211" s="1">
        <f t="shared" ref="K211:L274" si="20">B211*$J211*$G$2</f>
        <v>2.6894903851995777</v>
      </c>
      <c r="L211" s="1">
        <f t="shared" si="20"/>
        <v>3.1327032276309419</v>
      </c>
      <c r="N211">
        <f>I211</f>
        <v>133200.8338415256</v>
      </c>
      <c r="O211" s="1">
        <f>SUM(K$2:K211)/$G$3</f>
        <v>3.1326838998978597E-2</v>
      </c>
      <c r="P211" s="1">
        <f>SUM(L$2:L211)/$G$3</f>
        <v>3.1640153605115511E-2</v>
      </c>
      <c r="Q211" s="1">
        <f t="shared" si="16"/>
        <v>31.326838998978598</v>
      </c>
      <c r="R211" s="1">
        <f t="shared" si="17"/>
        <v>31.640153605115511</v>
      </c>
    </row>
    <row r="212" spans="1:18" x14ac:dyDescent="0.35">
      <c r="A212">
        <v>1.5486207631412301</v>
      </c>
      <c r="B212">
        <v>0.94580959938803699</v>
      </c>
      <c r="C212">
        <v>1.1036425124504501</v>
      </c>
      <c r="I212" s="1">
        <f t="shared" si="18"/>
        <v>133800.83393540228</v>
      </c>
      <c r="J212">
        <f t="shared" si="19"/>
        <v>600.00009387667524</v>
      </c>
      <c r="K212" s="1">
        <f t="shared" si="20"/>
        <v>2.6671834875847291</v>
      </c>
      <c r="L212" s="1">
        <f t="shared" si="20"/>
        <v>3.1122723720598309</v>
      </c>
      <c r="N212">
        <f>I212</f>
        <v>133800.83393540228</v>
      </c>
      <c r="O212" s="1">
        <f>SUM(K$2:K212)/$G$3</f>
        <v>3.1354482503021558E-2</v>
      </c>
      <c r="P212" s="1">
        <f>SUM(L$2:L212)/$G$3</f>
        <v>3.167241014625724E-2</v>
      </c>
      <c r="Q212" s="1">
        <f t="shared" si="16"/>
        <v>31.354482503021558</v>
      </c>
      <c r="R212" s="1">
        <f t="shared" si="17"/>
        <v>31.672410146257242</v>
      </c>
    </row>
    <row r="213" spans="1:18" x14ac:dyDescent="0.35">
      <c r="A213">
        <v>1.55556520867222</v>
      </c>
      <c r="B213">
        <v>0.93854675354264805</v>
      </c>
      <c r="C213">
        <v>1.0953219170377599</v>
      </c>
      <c r="I213" s="1">
        <f t="shared" si="18"/>
        <v>134400.83402927982</v>
      </c>
      <c r="J213">
        <f t="shared" si="19"/>
        <v>600.00009387754835</v>
      </c>
      <c r="K213" s="1">
        <f t="shared" si="20"/>
        <v>2.646702259100068</v>
      </c>
      <c r="L213" s="1">
        <f t="shared" si="20"/>
        <v>3.0888082893293234</v>
      </c>
      <c r="N213">
        <f>I213</f>
        <v>134400.83402927982</v>
      </c>
      <c r="O213" s="1">
        <f>SUM(K$2:K213)/$G$3</f>
        <v>3.1381913733358913E-2</v>
      </c>
      <c r="P213" s="1">
        <f>SUM(L$2:L213)/$G$3</f>
        <v>3.170442349848121E-2</v>
      </c>
      <c r="Q213" s="1">
        <f t="shared" si="16"/>
        <v>31.381913733358914</v>
      </c>
      <c r="R213" s="1">
        <f t="shared" si="17"/>
        <v>31.704423498481209</v>
      </c>
    </row>
    <row r="214" spans="1:18" x14ac:dyDescent="0.35">
      <c r="A214">
        <v>1.5625096542032</v>
      </c>
      <c r="B214">
        <v>0.93167825766471002</v>
      </c>
      <c r="C214">
        <v>1.08793386030321</v>
      </c>
      <c r="I214" s="1">
        <f t="shared" si="18"/>
        <v>135000.83412315647</v>
      </c>
      <c r="J214">
        <f t="shared" si="19"/>
        <v>600.00009387664613</v>
      </c>
      <c r="K214" s="1">
        <f t="shared" si="20"/>
        <v>2.6273330976897835</v>
      </c>
      <c r="L214" s="1">
        <f t="shared" si="20"/>
        <v>3.0679739660734877</v>
      </c>
      <c r="N214">
        <f>I214</f>
        <v>135000.83412315647</v>
      </c>
      <c r="O214" s="1">
        <f>SUM(K$2:K214)/$G$3</f>
        <v>3.1409144215793383E-2</v>
      </c>
      <c r="P214" s="1">
        <f>SUM(L$2:L214)/$G$3</f>
        <v>3.1736220917417554E-2</v>
      </c>
      <c r="Q214" s="1">
        <f t="shared" si="16"/>
        <v>31.409144215793383</v>
      </c>
      <c r="R214" s="1">
        <f t="shared" si="17"/>
        <v>31.736220917417555</v>
      </c>
    </row>
    <row r="215" spans="1:18" x14ac:dyDescent="0.35">
      <c r="A215">
        <v>1.5694540997341899</v>
      </c>
      <c r="B215">
        <v>0.92475378770739303</v>
      </c>
      <c r="C215">
        <v>1.0805594682081701</v>
      </c>
      <c r="I215" s="1">
        <f t="shared" si="18"/>
        <v>135600.83421703402</v>
      </c>
      <c r="J215">
        <f t="shared" si="19"/>
        <v>600.00009387754835</v>
      </c>
      <c r="K215" s="1">
        <f t="shared" si="20"/>
        <v>2.6078060893588551</v>
      </c>
      <c r="L215" s="1">
        <f t="shared" si="20"/>
        <v>3.0471781771163262</v>
      </c>
      <c r="N215">
        <f>I215</f>
        <v>135600.83421703402</v>
      </c>
      <c r="O215" s="1">
        <f>SUM(K$2:K215)/$G$3</f>
        <v>3.1436172314351279E-2</v>
      </c>
      <c r="P215" s="1">
        <f>SUM(L$2:L215)/$G$3</f>
        <v>3.1767802802447523E-2</v>
      </c>
      <c r="Q215" s="1">
        <f t="shared" si="16"/>
        <v>31.436172314351278</v>
      </c>
      <c r="R215" s="1">
        <f t="shared" si="17"/>
        <v>31.767802802447523</v>
      </c>
    </row>
    <row r="216" spans="1:18" x14ac:dyDescent="0.35">
      <c r="A216">
        <v>1.5763985452651801</v>
      </c>
      <c r="B216">
        <v>0.91711524800474697</v>
      </c>
      <c r="C216">
        <v>1.0735280035819601</v>
      </c>
      <c r="I216" s="1">
        <f t="shared" si="18"/>
        <v>136200.83431091157</v>
      </c>
      <c r="J216">
        <f t="shared" si="19"/>
        <v>600.00009387754835</v>
      </c>
      <c r="K216" s="1">
        <f t="shared" si="20"/>
        <v>2.586265404027082</v>
      </c>
      <c r="L216" s="1">
        <f t="shared" si="20"/>
        <v>3.0273494437679598</v>
      </c>
      <c r="N216">
        <f>I216</f>
        <v>136200.83431091157</v>
      </c>
      <c r="O216" s="1">
        <f>SUM(K$2:K216)/$G$3</f>
        <v>3.1462977158669331E-2</v>
      </c>
      <c r="P216" s="1">
        <f>SUM(L$2:L216)/$G$3</f>
        <v>3.1799179176430707E-2</v>
      </c>
      <c r="Q216" s="1">
        <f t="shared" si="16"/>
        <v>31.462977158669332</v>
      </c>
      <c r="R216" s="1">
        <f t="shared" si="17"/>
        <v>31.799179176430709</v>
      </c>
    </row>
    <row r="217" spans="1:18" x14ac:dyDescent="0.35">
      <c r="A217">
        <v>1.58334299079616</v>
      </c>
      <c r="B217">
        <v>0.90952361535860904</v>
      </c>
      <c r="C217">
        <v>1.06801896155444</v>
      </c>
      <c r="I217" s="1">
        <f t="shared" si="18"/>
        <v>136800.83440478821</v>
      </c>
      <c r="J217">
        <f t="shared" si="19"/>
        <v>600.00009387664613</v>
      </c>
      <c r="K217" s="1">
        <f t="shared" si="20"/>
        <v>2.5648569966115029</v>
      </c>
      <c r="L217" s="1">
        <f t="shared" si="20"/>
        <v>3.0118139428150998</v>
      </c>
      <c r="N217">
        <f>I217</f>
        <v>136800.83440478821</v>
      </c>
      <c r="O217" s="1">
        <f>SUM(K$2:K217)/$G$3</f>
        <v>3.1489560119716244E-2</v>
      </c>
      <c r="P217" s="1">
        <f>SUM(L$2:L217)/$G$3</f>
        <v>3.1830394535738528E-2</v>
      </c>
      <c r="Q217" s="1">
        <f t="shared" si="16"/>
        <v>31.489560119716245</v>
      </c>
      <c r="R217" s="1">
        <f t="shared" si="17"/>
        <v>31.830394535738527</v>
      </c>
    </row>
    <row r="218" spans="1:18" x14ac:dyDescent="0.35">
      <c r="A218">
        <v>1.59028743632715</v>
      </c>
      <c r="B218">
        <v>0.90254394794489501</v>
      </c>
      <c r="C218">
        <v>1.0613016246495299</v>
      </c>
      <c r="I218" s="1">
        <f t="shared" si="18"/>
        <v>137400.83449866576</v>
      </c>
      <c r="J218">
        <f t="shared" si="19"/>
        <v>600.00009387754835</v>
      </c>
      <c r="K218" s="1">
        <f t="shared" si="20"/>
        <v>2.5451743314290853</v>
      </c>
      <c r="L218" s="1">
        <f t="shared" si="20"/>
        <v>2.992871049783929</v>
      </c>
      <c r="N218">
        <f>I218</f>
        <v>137400.83449866576</v>
      </c>
      <c r="O218" s="1">
        <f>SUM(K$2:K218)/$G$3</f>
        <v>3.1515939083611451E-2</v>
      </c>
      <c r="P218" s="1">
        <f>SUM(L$2:L218)/$G$3</f>
        <v>3.1861413565119096E-2</v>
      </c>
      <c r="Q218" s="1">
        <f t="shared" si="16"/>
        <v>31.51593908361145</v>
      </c>
      <c r="R218" s="1">
        <f t="shared" si="17"/>
        <v>31.861413565119097</v>
      </c>
    </row>
    <row r="219" spans="1:18" x14ac:dyDescent="0.35">
      <c r="A219">
        <v>1.5972318818581299</v>
      </c>
      <c r="B219">
        <v>0.89525442732940097</v>
      </c>
      <c r="C219">
        <v>1.0545284860415001</v>
      </c>
      <c r="I219" s="1">
        <f t="shared" si="18"/>
        <v>138000.83459254244</v>
      </c>
      <c r="J219">
        <f t="shared" si="19"/>
        <v>600.00009387667524</v>
      </c>
      <c r="K219" s="1">
        <f t="shared" si="20"/>
        <v>2.5246178800734036</v>
      </c>
      <c r="L219" s="1">
        <f t="shared" si="20"/>
        <v>2.973770795916483</v>
      </c>
      <c r="N219">
        <f>I219</f>
        <v>138000.83459254244</v>
      </c>
      <c r="O219" s="1">
        <f>SUM(K$2:K219)/$G$3</f>
        <v>3.1542104994168263E-2</v>
      </c>
      <c r="P219" s="1">
        <f>SUM(L$2:L219)/$G$3</f>
        <v>3.1892234633636656E-2</v>
      </c>
      <c r="Q219" s="1">
        <f t="shared" si="16"/>
        <v>31.542104994168263</v>
      </c>
      <c r="R219" s="1">
        <f t="shared" si="17"/>
        <v>31.892234633636654</v>
      </c>
    </row>
    <row r="220" spans="1:18" x14ac:dyDescent="0.35">
      <c r="A220">
        <v>1.6041763273891101</v>
      </c>
      <c r="B220">
        <v>0.88875322778627097</v>
      </c>
      <c r="C220">
        <v>1.0469914112810601</v>
      </c>
      <c r="I220" s="1">
        <f t="shared" si="18"/>
        <v>138600.83468641911</v>
      </c>
      <c r="J220">
        <f t="shared" si="19"/>
        <v>600.00009387667524</v>
      </c>
      <c r="K220" s="1">
        <f t="shared" si="20"/>
        <v>2.5062844944933156</v>
      </c>
      <c r="L220" s="1">
        <f t="shared" si="20"/>
        <v>2.9525162417665314</v>
      </c>
      <c r="N220">
        <f>I220</f>
        <v>138600.83468641911</v>
      </c>
      <c r="O220" s="1">
        <f>SUM(K$2:K220)/$G$3</f>
        <v>3.1568080891919134E-2</v>
      </c>
      <c r="P220" s="1">
        <f>SUM(L$2:L220)/$G$3</f>
        <v>3.19228354134653E-2</v>
      </c>
      <c r="Q220" s="1">
        <f t="shared" si="16"/>
        <v>31.568080891919134</v>
      </c>
      <c r="R220" s="1">
        <f t="shared" si="17"/>
        <v>31.9228354134653</v>
      </c>
    </row>
    <row r="221" spans="1:18" x14ac:dyDescent="0.35">
      <c r="A221">
        <v>1.6111207729201</v>
      </c>
      <c r="B221">
        <v>0.88206977948397003</v>
      </c>
      <c r="C221">
        <v>1.0400628781616199</v>
      </c>
      <c r="I221" s="1">
        <f t="shared" si="18"/>
        <v>139200.83478029663</v>
      </c>
      <c r="J221">
        <f t="shared" si="19"/>
        <v>600.00009387751925</v>
      </c>
      <c r="K221" s="1">
        <f t="shared" si="20"/>
        <v>2.4874371673354521</v>
      </c>
      <c r="L221" s="1">
        <f t="shared" si="20"/>
        <v>2.9329777753168256</v>
      </c>
      <c r="N221">
        <f>I221</f>
        <v>139200.83478029663</v>
      </c>
      <c r="O221" s="1">
        <f>SUM(K$2:K221)/$G$3</f>
        <v>3.159386145021665E-2</v>
      </c>
      <c r="P221" s="1">
        <f>SUM(L$2:L221)/$G$3</f>
        <v>3.1953233690661928E-2</v>
      </c>
      <c r="Q221" s="1">
        <f t="shared" si="16"/>
        <v>31.59386145021665</v>
      </c>
      <c r="R221" s="1">
        <f t="shared" si="17"/>
        <v>31.953233690661929</v>
      </c>
    </row>
    <row r="222" spans="1:18" x14ac:dyDescent="0.35">
      <c r="A222">
        <v>1.61806521845108</v>
      </c>
      <c r="B222">
        <v>0.87566831790069599</v>
      </c>
      <c r="C222">
        <v>1.03327810353474</v>
      </c>
      <c r="I222" s="1">
        <f t="shared" si="18"/>
        <v>139800.83487417331</v>
      </c>
      <c r="J222">
        <f t="shared" si="19"/>
        <v>600.00009387667524</v>
      </c>
      <c r="K222" s="1">
        <f t="shared" si="20"/>
        <v>2.4693850428426649</v>
      </c>
      <c r="L222" s="1">
        <f t="shared" si="20"/>
        <v>2.9138447078713181</v>
      </c>
      <c r="N222">
        <f>I222</f>
        <v>139800.83487417331</v>
      </c>
      <c r="O222" s="1">
        <f>SUM(K$2:K222)/$G$3</f>
        <v>3.1619454910784016E-2</v>
      </c>
      <c r="P222" s="1">
        <f>SUM(L$2:L222)/$G$3</f>
        <v>3.1983433666905606E-2</v>
      </c>
      <c r="Q222" s="1">
        <f t="shared" si="16"/>
        <v>31.619454910784015</v>
      </c>
      <c r="R222" s="1">
        <f t="shared" si="17"/>
        <v>31.983433666905604</v>
      </c>
    </row>
    <row r="223" spans="1:18" x14ac:dyDescent="0.35">
      <c r="A223">
        <v>1.6250096639820699</v>
      </c>
      <c r="B223">
        <v>0.86865593700983301</v>
      </c>
      <c r="C223">
        <v>1.0263279090220301</v>
      </c>
      <c r="I223" s="1">
        <f t="shared" si="18"/>
        <v>140400.83496805085</v>
      </c>
      <c r="J223">
        <f t="shared" si="19"/>
        <v>600.00009387754835</v>
      </c>
      <c r="K223" s="1">
        <f t="shared" si="20"/>
        <v>2.4496101256399911</v>
      </c>
      <c r="L223" s="1">
        <f t="shared" si="20"/>
        <v>2.89424515628312</v>
      </c>
      <c r="N223">
        <f>I223</f>
        <v>140400.83496805085</v>
      </c>
      <c r="O223" s="1">
        <f>SUM(K$2:K223)/$G$3</f>
        <v>3.1644843418071576E-2</v>
      </c>
      <c r="P223" s="1">
        <f>SUM(L$2:L223)/$G$3</f>
        <v>3.2013430507412247E-2</v>
      </c>
      <c r="Q223" s="1">
        <f t="shared" si="16"/>
        <v>31.644843418071577</v>
      </c>
      <c r="R223" s="1">
        <f t="shared" si="17"/>
        <v>32.013430507412245</v>
      </c>
    </row>
    <row r="224" spans="1:18" x14ac:dyDescent="0.35">
      <c r="A224">
        <v>1.6319541095130501</v>
      </c>
      <c r="B224">
        <v>0.86235244627061203</v>
      </c>
      <c r="C224">
        <v>1.01958944233335</v>
      </c>
      <c r="I224" s="1">
        <f t="shared" si="18"/>
        <v>141000.83506192753</v>
      </c>
      <c r="J224">
        <f t="shared" si="19"/>
        <v>600.00009387667524</v>
      </c>
      <c r="K224" s="1">
        <f t="shared" si="20"/>
        <v>2.4318342789705945</v>
      </c>
      <c r="L224" s="1">
        <f t="shared" si="20"/>
        <v>2.8752426772436821</v>
      </c>
      <c r="N224">
        <f>I224</f>
        <v>141000.83506192753</v>
      </c>
      <c r="O224" s="1">
        <f>SUM(K$2:K224)/$G$3</f>
        <v>3.1670047691056705E-2</v>
      </c>
      <c r="P224" s="1">
        <f>SUM(L$2:L224)/$G$3</f>
        <v>3.2043230400424047E-2</v>
      </c>
      <c r="Q224" s="1">
        <f t="shared" si="16"/>
        <v>31.670047691056705</v>
      </c>
      <c r="R224" s="1">
        <f t="shared" si="17"/>
        <v>32.043230400424044</v>
      </c>
    </row>
    <row r="225" spans="1:18" x14ac:dyDescent="0.35">
      <c r="A225">
        <v>1.63889855504404</v>
      </c>
      <c r="B225">
        <v>0.85620950408260699</v>
      </c>
      <c r="C225">
        <v>1.0129618206648801</v>
      </c>
      <c r="I225" s="1">
        <f t="shared" si="18"/>
        <v>141600.83515580505</v>
      </c>
      <c r="J225">
        <f t="shared" si="19"/>
        <v>600.00009387751925</v>
      </c>
      <c r="K225" s="1">
        <f t="shared" si="20"/>
        <v>2.414511179293426</v>
      </c>
      <c r="L225" s="1">
        <f t="shared" si="20"/>
        <v>2.8565527812183729</v>
      </c>
      <c r="N225">
        <f>I225</f>
        <v>141600.83515580505</v>
      </c>
      <c r="O225" s="1">
        <f>SUM(K$2:K225)/$G$3</f>
        <v>3.1695072422147488E-2</v>
      </c>
      <c r="P225" s="1">
        <f>SUM(L$2:L225)/$G$3</f>
        <v>3.2072836585646809E-2</v>
      </c>
      <c r="Q225" s="1">
        <f t="shared" si="16"/>
        <v>31.69507242214749</v>
      </c>
      <c r="R225" s="1">
        <f t="shared" si="17"/>
        <v>32.072836585646812</v>
      </c>
    </row>
    <row r="226" spans="1:18" x14ac:dyDescent="0.35">
      <c r="A226">
        <v>1.64584300057502</v>
      </c>
      <c r="B226">
        <v>0.84954251578758799</v>
      </c>
      <c r="C226">
        <v>1.00602094134706</v>
      </c>
      <c r="I226" s="1">
        <f t="shared" si="18"/>
        <v>142200.83524968172</v>
      </c>
      <c r="J226">
        <f t="shared" si="19"/>
        <v>600.00009387667524</v>
      </c>
      <c r="K226" s="1">
        <f t="shared" si="20"/>
        <v>2.3957102693564645</v>
      </c>
      <c r="L226" s="1">
        <f t="shared" si="20"/>
        <v>2.8369794984756451</v>
      </c>
      <c r="N226">
        <f>I226</f>
        <v>142200.83524968172</v>
      </c>
      <c r="O226" s="1">
        <f>SUM(K$2:K226)/$G$3</f>
        <v>3.1719902294867146E-2</v>
      </c>
      <c r="P226" s="1">
        <f>SUM(L$2:L226)/$G$3</f>
        <v>3.2102239907390868E-2</v>
      </c>
      <c r="Q226" s="1">
        <f t="shared" si="16"/>
        <v>31.719902294867147</v>
      </c>
      <c r="R226" s="1">
        <f t="shared" si="17"/>
        <v>32.102239907390867</v>
      </c>
    </row>
    <row r="227" spans="1:18" x14ac:dyDescent="0.35">
      <c r="A227">
        <v>1.6527874461060099</v>
      </c>
      <c r="B227">
        <v>0.84290610029547997</v>
      </c>
      <c r="C227">
        <v>0.99962656941338501</v>
      </c>
      <c r="I227" s="1">
        <f t="shared" si="18"/>
        <v>142800.83534355924</v>
      </c>
      <c r="J227">
        <f t="shared" si="19"/>
        <v>600.00009387751925</v>
      </c>
      <c r="K227" s="1">
        <f t="shared" si="20"/>
        <v>2.3769955747439417</v>
      </c>
      <c r="L227" s="1">
        <f t="shared" si="20"/>
        <v>2.8189473668053195</v>
      </c>
      <c r="N227">
        <f>I227</f>
        <v>142800.83534355924</v>
      </c>
      <c r="O227" s="1">
        <f>SUM(K$2:K227)/$G$3</f>
        <v>3.1744538202777638E-2</v>
      </c>
      <c r="P227" s="1">
        <f>SUM(L$2:L227)/$G$3</f>
        <v>3.2131456338616499E-2</v>
      </c>
      <c r="Q227" s="1">
        <f t="shared" si="16"/>
        <v>31.744538202777637</v>
      </c>
      <c r="R227" s="1">
        <f t="shared" si="17"/>
        <v>32.131456338616502</v>
      </c>
    </row>
    <row r="228" spans="1:18" x14ac:dyDescent="0.35">
      <c r="A228">
        <v>1.6597318916369901</v>
      </c>
      <c r="B228">
        <v>0.83691882702857101</v>
      </c>
      <c r="C228">
        <v>0.99334686149779505</v>
      </c>
      <c r="I228" s="1">
        <f t="shared" si="18"/>
        <v>143400.83543743595</v>
      </c>
      <c r="J228">
        <f t="shared" si="19"/>
        <v>600.00009387670434</v>
      </c>
      <c r="K228" s="1">
        <f t="shared" si="20"/>
        <v>2.3601114614863223</v>
      </c>
      <c r="L228" s="1">
        <f t="shared" si="20"/>
        <v>2.8012385877087915</v>
      </c>
      <c r="N228">
        <f>I228</f>
        <v>143400.83543743595</v>
      </c>
      <c r="O228" s="1">
        <f>SUM(K$2:K228)/$G$3</f>
        <v>3.1768999118583066E-2</v>
      </c>
      <c r="P228" s="1">
        <f>SUM(L$2:L228)/$G$3</f>
        <v>3.2160489230648515E-2</v>
      </c>
      <c r="Q228" s="1">
        <f t="shared" si="16"/>
        <v>31.768999118583068</v>
      </c>
      <c r="R228" s="1">
        <f t="shared" si="17"/>
        <v>32.160489230648516</v>
      </c>
    </row>
    <row r="229" spans="1:18" x14ac:dyDescent="0.35">
      <c r="A229">
        <v>1.66667633716798</v>
      </c>
      <c r="B229">
        <v>0.830613441782177</v>
      </c>
      <c r="C229">
        <v>0.98670263666964497</v>
      </c>
      <c r="I229" s="1">
        <f t="shared" si="18"/>
        <v>144000.83553131347</v>
      </c>
      <c r="J229">
        <f t="shared" si="19"/>
        <v>600.00009387751925</v>
      </c>
      <c r="K229" s="1">
        <f t="shared" si="20"/>
        <v>2.3423302723126072</v>
      </c>
      <c r="L229" s="1">
        <f t="shared" si="20"/>
        <v>2.7825018707656191</v>
      </c>
      <c r="N229">
        <f>I229</f>
        <v>144000.83553131347</v>
      </c>
      <c r="O229" s="1">
        <f>SUM(K$2:K229)/$G$3</f>
        <v>3.1793275744714716E-2</v>
      </c>
      <c r="P229" s="1">
        <f>SUM(L$2:L229)/$G$3</f>
        <v>3.21893279296252E-2</v>
      </c>
      <c r="Q229" s="1">
        <f t="shared" si="16"/>
        <v>31.793275744714716</v>
      </c>
      <c r="R229" s="1">
        <f t="shared" si="17"/>
        <v>32.1893279296252</v>
      </c>
    </row>
    <row r="230" spans="1:18" x14ac:dyDescent="0.35">
      <c r="A230">
        <v>1.67362078269896</v>
      </c>
      <c r="B230">
        <v>0.824894507334201</v>
      </c>
      <c r="C230">
        <v>0.98038954203340101</v>
      </c>
      <c r="I230" s="1">
        <f t="shared" si="18"/>
        <v>144600.83562519014</v>
      </c>
      <c r="J230">
        <f t="shared" si="19"/>
        <v>600.00009387667524</v>
      </c>
      <c r="K230" s="1">
        <f t="shared" si="20"/>
        <v>2.3262028746427097</v>
      </c>
      <c r="L230" s="1">
        <f t="shared" si="20"/>
        <v>2.7646989411020306</v>
      </c>
      <c r="N230">
        <f>I230</f>
        <v>144600.83562519014</v>
      </c>
      <c r="O230" s="1">
        <f>SUM(K$2:K230)/$G$3</f>
        <v>3.1817385221572701E-2</v>
      </c>
      <c r="P230" s="1">
        <f>SUM(L$2:L230)/$G$3</f>
        <v>3.2217982113603043E-2</v>
      </c>
      <c r="Q230" s="1">
        <f t="shared" si="16"/>
        <v>31.8173852215727</v>
      </c>
      <c r="R230" s="1">
        <f t="shared" si="17"/>
        <v>32.217982113603043</v>
      </c>
    </row>
    <row r="231" spans="1:18" x14ac:dyDescent="0.35">
      <c r="A231">
        <v>1.6805652282299399</v>
      </c>
      <c r="B231">
        <v>0.81869487948446795</v>
      </c>
      <c r="C231">
        <v>0.97390495129324595</v>
      </c>
      <c r="I231" s="1">
        <f t="shared" si="18"/>
        <v>145200.83571906682</v>
      </c>
      <c r="J231">
        <f t="shared" si="19"/>
        <v>600.00009387667524</v>
      </c>
      <c r="K231" s="1">
        <f t="shared" si="20"/>
        <v>2.3087199213710603</v>
      </c>
      <c r="L231" s="1">
        <f t="shared" si="20"/>
        <v>2.7464123923536601</v>
      </c>
      <c r="N231">
        <f>I231</f>
        <v>145200.83571906682</v>
      </c>
      <c r="O231" s="1">
        <f>SUM(K$2:K231)/$G$3</f>
        <v>3.1841313499764864E-2</v>
      </c>
      <c r="P231" s="1">
        <f>SUM(L$2:L231)/$G$3</f>
        <v>3.2246446770206182E-2</v>
      </c>
      <c r="Q231" s="1">
        <f t="shared" si="16"/>
        <v>31.841313499764865</v>
      </c>
      <c r="R231" s="1">
        <f t="shared" si="17"/>
        <v>32.246446770206184</v>
      </c>
    </row>
    <row r="232" spans="1:18" x14ac:dyDescent="0.35">
      <c r="A232">
        <v>1.6875096737609301</v>
      </c>
      <c r="B232">
        <v>0.81270134906892599</v>
      </c>
      <c r="C232">
        <v>0.96789512075315398</v>
      </c>
      <c r="I232" s="1">
        <f t="shared" si="18"/>
        <v>145800.83581294437</v>
      </c>
      <c r="J232">
        <f t="shared" si="19"/>
        <v>600.00009387754835</v>
      </c>
      <c r="K232" s="1">
        <f t="shared" si="20"/>
        <v>2.2918181629580991</v>
      </c>
      <c r="L232" s="1">
        <f t="shared" si="20"/>
        <v>2.7294646675829131</v>
      </c>
      <c r="N232">
        <f>I232</f>
        <v>145800.83581294437</v>
      </c>
      <c r="O232" s="1">
        <f>SUM(K$2:K232)/$G$3</f>
        <v>3.1865066602972184E-2</v>
      </c>
      <c r="P232" s="1">
        <f>SUM(L$2:L232)/$G$3</f>
        <v>3.2274735775415099E-2</v>
      </c>
      <c r="Q232" s="1">
        <f t="shared" si="16"/>
        <v>31.865066602972185</v>
      </c>
      <c r="R232" s="1">
        <f t="shared" si="17"/>
        <v>32.274735775415103</v>
      </c>
    </row>
    <row r="233" spans="1:18" x14ac:dyDescent="0.35">
      <c r="A233">
        <v>1.69445411929192</v>
      </c>
      <c r="B233">
        <v>0.80681919740564301</v>
      </c>
      <c r="C233">
        <v>0.96181206242873196</v>
      </c>
      <c r="I233" s="1">
        <f t="shared" si="18"/>
        <v>146400.83590682189</v>
      </c>
      <c r="J233">
        <f t="shared" si="19"/>
        <v>600.00009387751925</v>
      </c>
      <c r="K233" s="1">
        <f t="shared" si="20"/>
        <v>2.2752304926721818</v>
      </c>
      <c r="L233" s="1">
        <f t="shared" si="20"/>
        <v>2.7123104404239169</v>
      </c>
      <c r="N233">
        <f>I233</f>
        <v>146400.83590682189</v>
      </c>
      <c r="O233" s="1">
        <f>SUM(K$2:K233)/$G$3</f>
        <v>3.1888647786499906E-2</v>
      </c>
      <c r="P233" s="1">
        <f>SUM(L$2:L233)/$G$3</f>
        <v>3.2302846988976008E-2</v>
      </c>
      <c r="Q233" s="1">
        <f t="shared" si="16"/>
        <v>31.888647786499906</v>
      </c>
      <c r="R233" s="1">
        <f t="shared" si="17"/>
        <v>32.302846988976007</v>
      </c>
    </row>
    <row r="234" spans="1:18" x14ac:dyDescent="0.35">
      <c r="A234">
        <v>1.7013985648229</v>
      </c>
      <c r="B234">
        <v>0.80093550123617097</v>
      </c>
      <c r="C234">
        <v>0.955218844027383</v>
      </c>
      <c r="I234" s="1">
        <f t="shared" si="18"/>
        <v>147000.83600069856</v>
      </c>
      <c r="J234">
        <f t="shared" si="19"/>
        <v>600.00009387667524</v>
      </c>
      <c r="K234" s="1">
        <f t="shared" si="20"/>
        <v>2.2586384668750634</v>
      </c>
      <c r="L234" s="1">
        <f t="shared" si="20"/>
        <v>2.6937175616192355</v>
      </c>
      <c r="N234">
        <f>I234</f>
        <v>147000.83600069856</v>
      </c>
      <c r="O234" s="1">
        <f>SUM(K$2:K234)/$G$3</f>
        <v>3.1912057005206183E-2</v>
      </c>
      <c r="P234" s="1">
        <f>SUM(L$2:L234)/$G$3</f>
        <v>3.2330765500263973E-2</v>
      </c>
      <c r="Q234" s="1">
        <f t="shared" si="16"/>
        <v>31.912057005206183</v>
      </c>
      <c r="R234" s="1">
        <f t="shared" si="17"/>
        <v>32.330765500263972</v>
      </c>
    </row>
    <row r="235" spans="1:18" x14ac:dyDescent="0.35">
      <c r="A235">
        <v>1.7083430103538799</v>
      </c>
      <c r="B235">
        <v>0.79538335709888597</v>
      </c>
      <c r="C235">
        <v>0.94964198208837303</v>
      </c>
      <c r="I235" s="1">
        <f t="shared" si="18"/>
        <v>147600.83609457524</v>
      </c>
      <c r="J235">
        <f t="shared" si="19"/>
        <v>600.00009387667524</v>
      </c>
      <c r="K235" s="1">
        <f t="shared" si="20"/>
        <v>2.2429814179582008</v>
      </c>
      <c r="L235" s="1">
        <f t="shared" si="20"/>
        <v>2.6779908084906023</v>
      </c>
      <c r="N235">
        <f>I235</f>
        <v>147600.83609457524</v>
      </c>
      <c r="O235" s="1">
        <f>SUM(K$2:K235)/$G$3</f>
        <v>3.1935303949476877E-2</v>
      </c>
      <c r="P235" s="1">
        <f>SUM(L$2:L235)/$G$3</f>
        <v>3.2358521014680626E-2</v>
      </c>
      <c r="Q235" s="1">
        <f t="shared" si="16"/>
        <v>31.935303949476879</v>
      </c>
      <c r="R235" s="1">
        <f t="shared" si="17"/>
        <v>32.358521014680626</v>
      </c>
    </row>
    <row r="236" spans="1:18" x14ac:dyDescent="0.35">
      <c r="A236">
        <v>1.7152874558848701</v>
      </c>
      <c r="B236">
        <v>0.78994980758093603</v>
      </c>
      <c r="C236">
        <v>0.94325054334144298</v>
      </c>
      <c r="I236" s="1">
        <f t="shared" si="18"/>
        <v>148200.83618845278</v>
      </c>
      <c r="J236">
        <f t="shared" si="19"/>
        <v>600.00009387754835</v>
      </c>
      <c r="K236" s="1">
        <f t="shared" si="20"/>
        <v>2.2276588059234306</v>
      </c>
      <c r="L236" s="1">
        <f t="shared" si="20"/>
        <v>2.6599669484080968</v>
      </c>
      <c r="N236">
        <f>I236</f>
        <v>148200.83618845278</v>
      </c>
      <c r="O236" s="1">
        <f>SUM(K$2:K236)/$G$3</f>
        <v>3.1958392085517956E-2</v>
      </c>
      <c r="P236" s="1">
        <f>SUM(L$2:L236)/$G$3</f>
        <v>3.2386089724308106E-2</v>
      </c>
      <c r="Q236" s="1">
        <f t="shared" si="16"/>
        <v>31.958392085517957</v>
      </c>
      <c r="R236" s="1">
        <f t="shared" si="17"/>
        <v>32.386089724308107</v>
      </c>
    </row>
    <row r="237" spans="1:18" x14ac:dyDescent="0.35">
      <c r="A237">
        <v>1.72223190141585</v>
      </c>
      <c r="B237">
        <v>0.78446172127046898</v>
      </c>
      <c r="C237">
        <v>0.93755142633903799</v>
      </c>
      <c r="I237" s="1">
        <f t="shared" si="18"/>
        <v>148800.83628232943</v>
      </c>
      <c r="J237">
        <f t="shared" si="19"/>
        <v>600.00009387664613</v>
      </c>
      <c r="K237" s="1">
        <f t="shared" si="20"/>
        <v>2.2121824001031092</v>
      </c>
      <c r="L237" s="1">
        <f t="shared" si="20"/>
        <v>2.6438954359427496</v>
      </c>
      <c r="N237">
        <f>I237</f>
        <v>148800.83628232943</v>
      </c>
      <c r="O237" s="1">
        <f>SUM(K$2:K237)/$G$3</f>
        <v>3.1981319819363668E-2</v>
      </c>
      <c r="P237" s="1">
        <f>SUM(L$2:L237)/$G$3</f>
        <v>3.2413491863873253E-2</v>
      </c>
      <c r="Q237" s="1">
        <f t="shared" si="16"/>
        <v>31.981319819363669</v>
      </c>
      <c r="R237" s="1">
        <f t="shared" si="17"/>
        <v>32.413491863873254</v>
      </c>
    </row>
    <row r="238" spans="1:18" x14ac:dyDescent="0.35">
      <c r="A238">
        <v>1.72917634694684</v>
      </c>
      <c r="B238">
        <v>0.77590634434358996</v>
      </c>
      <c r="C238">
        <v>0.92941391096395398</v>
      </c>
      <c r="I238" s="1">
        <f t="shared" si="18"/>
        <v>149400.83637620698</v>
      </c>
      <c r="J238">
        <f t="shared" si="19"/>
        <v>600.00009387754835</v>
      </c>
      <c r="K238" s="1">
        <f t="shared" si="20"/>
        <v>2.1880562333977949</v>
      </c>
      <c r="L238" s="1">
        <f t="shared" si="20"/>
        <v>2.6209476389985173</v>
      </c>
      <c r="N238">
        <f>I238</f>
        <v>149400.83637620698</v>
      </c>
      <c r="O238" s="1">
        <f>SUM(K$2:K238)/$G$3</f>
        <v>3.2003997502251136E-2</v>
      </c>
      <c r="P238" s="1">
        <f>SUM(L$2:L238)/$G$3</f>
        <v>3.2440656165464161E-2</v>
      </c>
      <c r="Q238" s="1">
        <f t="shared" si="16"/>
        <v>32.003997502251138</v>
      </c>
      <c r="R238" s="1">
        <f t="shared" si="17"/>
        <v>32.440656165464162</v>
      </c>
    </row>
    <row r="239" spans="1:18" x14ac:dyDescent="0.35">
      <c r="A239">
        <v>1.7361207924778199</v>
      </c>
      <c r="B239">
        <v>0.77317085876688796</v>
      </c>
      <c r="C239">
        <v>0.925971242361882</v>
      </c>
      <c r="I239" s="1">
        <f t="shared" si="18"/>
        <v>150000.83647008365</v>
      </c>
      <c r="J239">
        <f t="shared" si="19"/>
        <v>600.00009387667524</v>
      </c>
      <c r="K239" s="1">
        <f t="shared" si="20"/>
        <v>2.1803421628613591</v>
      </c>
      <c r="L239" s="1">
        <f t="shared" si="20"/>
        <v>2.6112393120178852</v>
      </c>
      <c r="N239">
        <f>I239</f>
        <v>150000.83647008365</v>
      </c>
      <c r="O239" s="1">
        <f>SUM(K$2:K239)/$G$3</f>
        <v>3.202659523415622E-2</v>
      </c>
      <c r="P239" s="1">
        <f>SUM(L$2:L239)/$G$3</f>
        <v>3.246771984698997E-2</v>
      </c>
      <c r="Q239" s="1">
        <f t="shared" si="16"/>
        <v>32.026595234156218</v>
      </c>
      <c r="R239" s="1">
        <f t="shared" si="17"/>
        <v>32.467719846989972</v>
      </c>
    </row>
    <row r="240" spans="1:18" x14ac:dyDescent="0.35">
      <c r="A240">
        <v>1.7430652380088001</v>
      </c>
      <c r="B240">
        <v>0.76732283374501298</v>
      </c>
      <c r="C240">
        <v>0.92010988546856398</v>
      </c>
      <c r="I240" s="1">
        <f t="shared" si="18"/>
        <v>150600.83656396033</v>
      </c>
      <c r="J240">
        <f t="shared" si="19"/>
        <v>600.00009387667524</v>
      </c>
      <c r="K240" s="1">
        <f t="shared" si="20"/>
        <v>2.1638507297194041</v>
      </c>
      <c r="L240" s="1">
        <f t="shared" si="20"/>
        <v>2.5947102829925779</v>
      </c>
      <c r="N240">
        <f>I240</f>
        <v>150600.83656396033</v>
      </c>
      <c r="O240" s="1">
        <f>SUM(K$2:K240)/$G$3</f>
        <v>3.2049022043812839E-2</v>
      </c>
      <c r="P240" s="1">
        <f>SUM(L$2:L240)/$G$3</f>
        <v>3.2494612216612116E-2</v>
      </c>
      <c r="Q240" s="1">
        <f t="shared" si="16"/>
        <v>32.04902204381284</v>
      </c>
      <c r="R240" s="1">
        <f t="shared" si="17"/>
        <v>32.494612216612119</v>
      </c>
    </row>
    <row r="241" spans="1:18" x14ac:dyDescent="0.35">
      <c r="A241">
        <v>1.75000968353979</v>
      </c>
      <c r="B241">
        <v>0.76207580461134405</v>
      </c>
      <c r="C241">
        <v>0.91483344471824002</v>
      </c>
      <c r="I241" s="1">
        <f t="shared" si="18"/>
        <v>151200.83665783785</v>
      </c>
      <c r="J241">
        <f t="shared" si="19"/>
        <v>600.00009387751925</v>
      </c>
      <c r="K241" s="1">
        <f t="shared" si="20"/>
        <v>2.1490541052503844</v>
      </c>
      <c r="L241" s="1">
        <f t="shared" si="20"/>
        <v>2.5798307177522202</v>
      </c>
      <c r="N241">
        <f>I241</f>
        <v>151200.83665783785</v>
      </c>
      <c r="O241" s="1">
        <f>SUM(K$2:K241)/$G$3</f>
        <v>3.2071295496735576E-2</v>
      </c>
      <c r="P241" s="1">
        <f>SUM(L$2:L241)/$G$3</f>
        <v>3.2521350369876897E-2</v>
      </c>
      <c r="Q241" s="1">
        <f t="shared" si="16"/>
        <v>32.071295496735573</v>
      </c>
      <c r="R241" s="1">
        <f t="shared" si="17"/>
        <v>32.521350369876899</v>
      </c>
    </row>
    <row r="242" spans="1:18" x14ac:dyDescent="0.35">
      <c r="A242">
        <v>1.75695412907077</v>
      </c>
      <c r="B242">
        <v>0.75667236367135604</v>
      </c>
      <c r="C242">
        <v>0.90984008983223297</v>
      </c>
      <c r="I242" s="1">
        <f t="shared" si="18"/>
        <v>151800.83675171452</v>
      </c>
      <c r="J242">
        <f t="shared" si="19"/>
        <v>600.00009387667524</v>
      </c>
      <c r="K242" s="1">
        <f t="shared" si="20"/>
        <v>2.133816399412487</v>
      </c>
      <c r="L242" s="1">
        <f t="shared" si="20"/>
        <v>2.5657494547668813</v>
      </c>
      <c r="N242">
        <f>I242</f>
        <v>151800.83675171452</v>
      </c>
      <c r="O242" s="1">
        <f>SUM(K$2:K242)/$G$3</f>
        <v>3.2093411021422442E-2</v>
      </c>
      <c r="P242" s="1">
        <f>SUM(L$2:L242)/$G$3</f>
        <v>3.2547942580632629E-2</v>
      </c>
      <c r="Q242" s="1">
        <f t="shared" si="16"/>
        <v>32.09341102142244</v>
      </c>
      <c r="R242" s="1">
        <f t="shared" si="17"/>
        <v>32.547942580632629</v>
      </c>
    </row>
    <row r="243" spans="1:18" x14ac:dyDescent="0.35">
      <c r="A243">
        <v>1.7638985746017599</v>
      </c>
      <c r="B243">
        <v>0.75148388249006204</v>
      </c>
      <c r="C243">
        <v>0.90483428864623305</v>
      </c>
      <c r="I243" s="1">
        <f t="shared" si="18"/>
        <v>152400.83684559204</v>
      </c>
      <c r="J243">
        <f t="shared" si="19"/>
        <v>600.00009387751925</v>
      </c>
      <c r="K243" s="1">
        <f t="shared" si="20"/>
        <v>2.1191848801949558</v>
      </c>
      <c r="L243" s="1">
        <f t="shared" si="20"/>
        <v>2.5516330932172897</v>
      </c>
      <c r="N243">
        <f>I243</f>
        <v>152400.83684559204</v>
      </c>
      <c r="O243" s="1">
        <f>SUM(K$2:K243)/$G$3</f>
        <v>3.2115374900576664E-2</v>
      </c>
      <c r="P243" s="1">
        <f>SUM(L$2:L243)/$G$3</f>
        <v>3.2574388485107082E-2</v>
      </c>
      <c r="Q243" s="1">
        <f t="shared" si="16"/>
        <v>32.115374900576661</v>
      </c>
      <c r="R243" s="1">
        <f t="shared" si="17"/>
        <v>32.574388485107079</v>
      </c>
    </row>
    <row r="244" spans="1:18" x14ac:dyDescent="0.35">
      <c r="A244">
        <v>1.7708430201327401</v>
      </c>
      <c r="B244">
        <v>0.74639833846149495</v>
      </c>
      <c r="C244">
        <v>0.89884165647304104</v>
      </c>
      <c r="I244" s="1">
        <f t="shared" si="18"/>
        <v>153000.83693946875</v>
      </c>
      <c r="J244">
        <f t="shared" si="19"/>
        <v>600.00009387670434</v>
      </c>
      <c r="K244" s="1">
        <f t="shared" si="20"/>
        <v>2.1048436437876719</v>
      </c>
      <c r="L244" s="1">
        <f t="shared" si="20"/>
        <v>2.53473386784135</v>
      </c>
      <c r="N244">
        <f>I244</f>
        <v>153000.83693946875</v>
      </c>
      <c r="O244" s="1">
        <f>SUM(K$2:K244)/$G$3</f>
        <v>3.2137190142777917E-2</v>
      </c>
      <c r="P244" s="1">
        <f>SUM(L$2:L244)/$G$3</f>
        <v>3.2600659240849851E-2</v>
      </c>
      <c r="Q244" s="1">
        <f t="shared" si="16"/>
        <v>32.137190142777918</v>
      </c>
      <c r="R244" s="1">
        <f t="shared" si="17"/>
        <v>32.600659240849851</v>
      </c>
    </row>
    <row r="245" spans="1:18" x14ac:dyDescent="0.35">
      <c r="A245">
        <v>1.77778746566373</v>
      </c>
      <c r="B245">
        <v>0.74079853168631304</v>
      </c>
      <c r="C245">
        <v>0.89423306122325696</v>
      </c>
      <c r="I245" s="1">
        <f t="shared" si="18"/>
        <v>153600.83703334627</v>
      </c>
      <c r="J245">
        <f t="shared" si="19"/>
        <v>600.00009387751925</v>
      </c>
      <c r="K245" s="1">
        <f t="shared" si="20"/>
        <v>2.0890521862137463</v>
      </c>
      <c r="L245" s="1">
        <f t="shared" si="20"/>
        <v>2.5217376272069774</v>
      </c>
      <c r="N245">
        <f>I245</f>
        <v>153600.83703334627</v>
      </c>
      <c r="O245" s="1">
        <f>SUM(K$2:K245)/$G$3</f>
        <v>3.2158841717491227E-2</v>
      </c>
      <c r="P245" s="1">
        <f>SUM(L$2:L245)/$G$3</f>
        <v>3.2626795299586515E-2</v>
      </c>
      <c r="Q245" s="1">
        <f t="shared" si="16"/>
        <v>32.158841717491228</v>
      </c>
      <c r="R245" s="1">
        <f t="shared" si="17"/>
        <v>32.626795299586519</v>
      </c>
    </row>
    <row r="246" spans="1:18" x14ac:dyDescent="0.35">
      <c r="A246">
        <v>1.78473191119472</v>
      </c>
      <c r="B246">
        <v>0.73564466033779996</v>
      </c>
      <c r="C246">
        <v>0.88889593389781396</v>
      </c>
      <c r="I246" s="1">
        <f t="shared" si="18"/>
        <v>154200.83712722381</v>
      </c>
      <c r="J246">
        <f t="shared" si="19"/>
        <v>600.00009387754835</v>
      </c>
      <c r="K246" s="1">
        <f t="shared" si="20"/>
        <v>2.0745182667370266</v>
      </c>
      <c r="L246" s="1">
        <f t="shared" si="20"/>
        <v>2.5066869257944795</v>
      </c>
      <c r="N246">
        <f>I246</f>
        <v>154200.83712722381</v>
      </c>
      <c r="O246" s="1">
        <f>SUM(K$2:K246)/$G$3</f>
        <v>3.2180342658225405E-2</v>
      </c>
      <c r="P246" s="1">
        <f>SUM(L$2:L246)/$G$3</f>
        <v>3.2652775368258273E-2</v>
      </c>
      <c r="Q246" s="1">
        <f t="shared" si="16"/>
        <v>32.180342658225406</v>
      </c>
      <c r="R246" s="1">
        <f t="shared" si="17"/>
        <v>32.652775368258276</v>
      </c>
    </row>
    <row r="247" spans="1:18" x14ac:dyDescent="0.35">
      <c r="A247">
        <v>1.7916763567256999</v>
      </c>
      <c r="B247">
        <v>0.73105903587392296</v>
      </c>
      <c r="C247">
        <v>0.883355790774768</v>
      </c>
      <c r="I247" s="1">
        <f t="shared" si="18"/>
        <v>154800.83722110046</v>
      </c>
      <c r="J247">
        <f t="shared" si="19"/>
        <v>600.00009387664613</v>
      </c>
      <c r="K247" s="1">
        <f t="shared" si="20"/>
        <v>2.0615868037225038</v>
      </c>
      <c r="L247" s="1">
        <f t="shared" si="20"/>
        <v>2.4910637197392971</v>
      </c>
      <c r="N247">
        <f>I247</f>
        <v>154800.83722110046</v>
      </c>
      <c r="O247" s="1">
        <f>SUM(K$2:K247)/$G$3</f>
        <v>3.2201709573328505E-2</v>
      </c>
      <c r="P247" s="1">
        <f>SUM(L$2:L247)/$G$3</f>
        <v>3.2678593513252203E-2</v>
      </c>
      <c r="Q247" s="1">
        <f t="shared" si="16"/>
        <v>32.201709573328507</v>
      </c>
      <c r="R247" s="1">
        <f t="shared" si="17"/>
        <v>32.678593513252203</v>
      </c>
    </row>
    <row r="248" spans="1:18" x14ac:dyDescent="0.35">
      <c r="A248">
        <v>1.7986208022566901</v>
      </c>
      <c r="B248">
        <v>0.726389470172776</v>
      </c>
      <c r="C248">
        <v>0.87834234670485201</v>
      </c>
      <c r="I248" s="1">
        <f t="shared" si="18"/>
        <v>155400.83731497801</v>
      </c>
      <c r="J248">
        <f t="shared" si="19"/>
        <v>600.00009387754835</v>
      </c>
      <c r="K248" s="1">
        <f t="shared" si="20"/>
        <v>2.0484186263880426</v>
      </c>
      <c r="L248" s="1">
        <f t="shared" si="20"/>
        <v>2.4769258052538254</v>
      </c>
      <c r="N248">
        <f>I248</f>
        <v>155400.83731497801</v>
      </c>
      <c r="O248" s="1">
        <f>SUM(K$2:K248)/$G$3</f>
        <v>3.2222940009421039E-2</v>
      </c>
      <c r="P248" s="1">
        <f>SUM(L$2:L248)/$G$3</f>
        <v>3.270426512858364E-2</v>
      </c>
      <c r="Q248" s="1">
        <f t="shared" si="16"/>
        <v>32.222940009421038</v>
      </c>
      <c r="R248" s="1">
        <f t="shared" si="17"/>
        <v>32.704265128583643</v>
      </c>
    </row>
    <row r="249" spans="1:18" x14ac:dyDescent="0.35">
      <c r="A249">
        <v>1.80556524778767</v>
      </c>
      <c r="B249">
        <v>0.72176575277881805</v>
      </c>
      <c r="C249">
        <v>0.87347069847403502</v>
      </c>
      <c r="I249" s="1">
        <f t="shared" si="18"/>
        <v>156000.83740885468</v>
      </c>
      <c r="J249">
        <f t="shared" si="19"/>
        <v>600.00009387667524</v>
      </c>
      <c r="K249" s="1">
        <f t="shared" si="20"/>
        <v>2.035379741294022</v>
      </c>
      <c r="L249" s="1">
        <f t="shared" si="20"/>
        <v>2.4631877550898467</v>
      </c>
      <c r="N249">
        <f>I249</f>
        <v>156000.83740885468</v>
      </c>
      <c r="O249" s="1">
        <f>SUM(K$2:K249)/$G$3</f>
        <v>3.2244035306527259E-2</v>
      </c>
      <c r="P249" s="1">
        <f>SUM(L$2:L249)/$G$3</f>
        <v>3.2729794358568508E-2</v>
      </c>
      <c r="Q249" s="1">
        <f t="shared" si="16"/>
        <v>32.244035306527259</v>
      </c>
      <c r="R249" s="1">
        <f t="shared" si="17"/>
        <v>32.729794358568505</v>
      </c>
    </row>
    <row r="250" spans="1:18" x14ac:dyDescent="0.35">
      <c r="A250">
        <v>1.81250969331866</v>
      </c>
      <c r="B250">
        <v>0.71721188432511196</v>
      </c>
      <c r="C250">
        <v>0.86879797662137803</v>
      </c>
      <c r="I250" s="1">
        <f t="shared" si="18"/>
        <v>156600.83750273223</v>
      </c>
      <c r="J250">
        <f t="shared" si="19"/>
        <v>600.00009387754835</v>
      </c>
      <c r="K250" s="1">
        <f t="shared" si="20"/>
        <v>2.0225378302482544</v>
      </c>
      <c r="L250" s="1">
        <f t="shared" si="20"/>
        <v>2.4500106774072195</v>
      </c>
      <c r="N250">
        <f>I250</f>
        <v>156600.83750273223</v>
      </c>
      <c r="O250" s="1">
        <f>SUM(K$2:K250)/$G$3</f>
        <v>3.2264997506146358E-2</v>
      </c>
      <c r="P250" s="1">
        <f>SUM(L$2:L250)/$G$3</f>
        <v>3.2755187017296877E-2</v>
      </c>
      <c r="Q250" s="1">
        <f t="shared" si="16"/>
        <v>32.264997506146358</v>
      </c>
      <c r="R250" s="1">
        <f t="shared" si="17"/>
        <v>32.755187017296876</v>
      </c>
    </row>
    <row r="251" spans="1:18" x14ac:dyDescent="0.35">
      <c r="A251">
        <v>1.8194541388496399</v>
      </c>
      <c r="B251">
        <v>0.71234883762563495</v>
      </c>
      <c r="C251">
        <v>0.86375767807486104</v>
      </c>
      <c r="I251" s="1">
        <f t="shared" si="18"/>
        <v>157200.83759660888</v>
      </c>
      <c r="J251">
        <f t="shared" si="19"/>
        <v>600.00009387664613</v>
      </c>
      <c r="K251" s="1">
        <f t="shared" si="20"/>
        <v>2.0088240364070136</v>
      </c>
      <c r="L251" s="1">
        <f t="shared" si="20"/>
        <v>2.4357970332784755</v>
      </c>
      <c r="N251">
        <f>I251</f>
        <v>157200.83759660888</v>
      </c>
      <c r="O251" s="1">
        <f>SUM(K$2:K251)/$G$3</f>
        <v>3.2285817571818816E-2</v>
      </c>
      <c r="P251" s="1">
        <f>SUM(L$2:L251)/$G$3</f>
        <v>3.2780432361477617E-2</v>
      </c>
      <c r="Q251" s="1">
        <f t="shared" si="16"/>
        <v>32.285817571818818</v>
      </c>
      <c r="R251" s="1">
        <f t="shared" si="17"/>
        <v>32.780432361477615</v>
      </c>
    </row>
    <row r="252" spans="1:18" x14ac:dyDescent="0.35">
      <c r="A252">
        <v>1.8263985843806301</v>
      </c>
      <c r="B252">
        <v>0.70773345425248302</v>
      </c>
      <c r="C252">
        <v>0.858588211125624</v>
      </c>
      <c r="I252" s="1">
        <f t="shared" si="18"/>
        <v>157800.83769048643</v>
      </c>
      <c r="J252">
        <f t="shared" si="19"/>
        <v>600.00009387754835</v>
      </c>
      <c r="K252" s="1">
        <f t="shared" si="20"/>
        <v>1.9958086532613255</v>
      </c>
      <c r="L252" s="1">
        <f t="shared" si="20"/>
        <v>2.4212191342043945</v>
      </c>
      <c r="N252">
        <f>I252</f>
        <v>157800.83769048643</v>
      </c>
      <c r="O252" s="1">
        <f>SUM(K$2:K252)/$G$3</f>
        <v>3.2306502742086331E-2</v>
      </c>
      <c r="P252" s="1">
        <f>SUM(L$2:L252)/$G$3</f>
        <v>3.2805526615861245E-2</v>
      </c>
      <c r="Q252" s="1">
        <f t="shared" si="16"/>
        <v>32.30650274208633</v>
      </c>
      <c r="R252" s="1">
        <f t="shared" si="17"/>
        <v>32.805526615861247</v>
      </c>
    </row>
    <row r="253" spans="1:18" x14ac:dyDescent="0.35">
      <c r="A253">
        <v>1.83334302991161</v>
      </c>
      <c r="B253">
        <v>0.70272985986497005</v>
      </c>
      <c r="C253">
        <v>0.85356117068908</v>
      </c>
      <c r="I253" s="1">
        <f t="shared" si="18"/>
        <v>158400.8377843631</v>
      </c>
      <c r="J253">
        <f t="shared" si="19"/>
        <v>600.00009387667524</v>
      </c>
      <c r="K253" s="1">
        <f t="shared" si="20"/>
        <v>1.9816985148779469</v>
      </c>
      <c r="L253" s="1">
        <f t="shared" si="20"/>
        <v>2.4070428779517843</v>
      </c>
      <c r="N253">
        <f>I253</f>
        <v>158400.8377843631</v>
      </c>
      <c r="O253" s="1">
        <f>SUM(K$2:K253)/$G$3</f>
        <v>3.2327041670571356E-2</v>
      </c>
      <c r="P253" s="1">
        <f>SUM(L$2:L253)/$G$3</f>
        <v>3.2830473943196603E-2</v>
      </c>
      <c r="Q253" s="1">
        <f t="shared" si="16"/>
        <v>32.327041670571354</v>
      </c>
      <c r="R253" s="1">
        <f t="shared" si="17"/>
        <v>32.830473943196601</v>
      </c>
    </row>
    <row r="254" spans="1:18" x14ac:dyDescent="0.35">
      <c r="A254">
        <v>1.8402874754426</v>
      </c>
      <c r="B254">
        <v>0.69819275522528301</v>
      </c>
      <c r="C254">
        <v>0.84880283060353101</v>
      </c>
      <c r="I254" s="1">
        <f t="shared" si="18"/>
        <v>159000.83787824065</v>
      </c>
      <c r="J254">
        <f t="shared" si="19"/>
        <v>600.00009387754835</v>
      </c>
      <c r="K254" s="1">
        <f t="shared" si="20"/>
        <v>1.9689038777950316</v>
      </c>
      <c r="L254" s="1">
        <f t="shared" si="20"/>
        <v>2.3936243568145428</v>
      </c>
      <c r="N254">
        <f>I254</f>
        <v>159000.83787824065</v>
      </c>
      <c r="O254" s="1">
        <f>SUM(K$2:K254)/$G$3</f>
        <v>3.2347447991531039E-2</v>
      </c>
      <c r="P254" s="1">
        <f>SUM(L$2:L254)/$G$3</f>
        <v>3.2855282196881781E-2</v>
      </c>
      <c r="Q254" s="1">
        <f t="shared" si="16"/>
        <v>32.347447991531041</v>
      </c>
      <c r="R254" s="1">
        <f t="shared" si="17"/>
        <v>32.855282196881781</v>
      </c>
    </row>
    <row r="255" spans="1:18" x14ac:dyDescent="0.35">
      <c r="A255">
        <v>1.8472319209735799</v>
      </c>
      <c r="B255">
        <v>0.69394818758332</v>
      </c>
      <c r="C255">
        <v>0.84417305367860695</v>
      </c>
      <c r="I255" s="1">
        <f t="shared" si="18"/>
        <v>159600.8379721173</v>
      </c>
      <c r="J255">
        <f t="shared" si="19"/>
        <v>600.00009387664613</v>
      </c>
      <c r="K255" s="1">
        <f t="shared" si="20"/>
        <v>1.9569341951689461</v>
      </c>
      <c r="L255" s="1">
        <f t="shared" si="20"/>
        <v>2.3805683838399063</v>
      </c>
      <c r="N255">
        <f>I255</f>
        <v>159600.8379721173</v>
      </c>
      <c r="O255" s="1">
        <f>SUM(K$2:K255)/$G$3</f>
        <v>3.2367730255045253E-2</v>
      </c>
      <c r="P255" s="1">
        <f>SUM(L$2:L255)/$G$3</f>
        <v>3.2879955134476641E-2</v>
      </c>
      <c r="Q255" s="1">
        <f t="shared" si="16"/>
        <v>32.367730255045252</v>
      </c>
      <c r="R255" s="1">
        <f t="shared" si="17"/>
        <v>32.879955134476639</v>
      </c>
    </row>
    <row r="256" spans="1:18" x14ac:dyDescent="0.35">
      <c r="A256">
        <v>1.8541763665045701</v>
      </c>
      <c r="B256">
        <v>0.68931770307696605</v>
      </c>
      <c r="C256">
        <v>0.83955386273718902</v>
      </c>
      <c r="I256" s="1">
        <f t="shared" si="18"/>
        <v>160200.83806599485</v>
      </c>
      <c r="J256">
        <f t="shared" si="19"/>
        <v>600.00009387754835</v>
      </c>
      <c r="K256" s="1">
        <f t="shared" si="20"/>
        <v>1.9438762268208876</v>
      </c>
      <c r="L256" s="1">
        <f t="shared" si="20"/>
        <v>2.3675422633505874</v>
      </c>
      <c r="N256">
        <f>I256</f>
        <v>160200.83806599485</v>
      </c>
      <c r="O256" s="1">
        <f>SUM(K$2:K256)/$G$3</f>
        <v>3.2387877181788489E-2</v>
      </c>
      <c r="P256" s="1">
        <f>SUM(L$2:L256)/$G$3</f>
        <v>3.290449306538145E-2</v>
      </c>
      <c r="Q256" s="1">
        <f t="shared" si="16"/>
        <v>32.38787718178849</v>
      </c>
      <c r="R256" s="1">
        <f t="shared" si="17"/>
        <v>32.904493065381452</v>
      </c>
    </row>
    <row r="257" spans="1:18" x14ac:dyDescent="0.35">
      <c r="A257">
        <v>1.86112081203555</v>
      </c>
      <c r="B257">
        <v>0.68490776864451197</v>
      </c>
      <c r="C257">
        <v>0.83476508505412095</v>
      </c>
      <c r="I257" s="1">
        <f t="shared" si="18"/>
        <v>160800.83815987152</v>
      </c>
      <c r="J257">
        <f t="shared" si="19"/>
        <v>600.00009387667524</v>
      </c>
      <c r="K257" s="1">
        <f t="shared" si="20"/>
        <v>1.9314402097727854</v>
      </c>
      <c r="L257" s="1">
        <f t="shared" si="20"/>
        <v>2.3540379081679839</v>
      </c>
      <c r="N257">
        <f>I257</f>
        <v>160800.83815987152</v>
      </c>
      <c r="O257" s="1">
        <f>SUM(K$2:K257)/$G$3</f>
        <v>3.2407895217853921E-2</v>
      </c>
      <c r="P257" s="1">
        <f>SUM(L$2:L257)/$G$3</f>
        <v>3.2928891033025827E-2</v>
      </c>
      <c r="Q257" s="1">
        <f t="shared" si="16"/>
        <v>32.40789521785392</v>
      </c>
      <c r="R257" s="1">
        <f t="shared" si="17"/>
        <v>32.928891033025828</v>
      </c>
    </row>
    <row r="258" spans="1:18" x14ac:dyDescent="0.35">
      <c r="A258">
        <v>1.86806525756654</v>
      </c>
      <c r="B258">
        <v>0.68063985969097696</v>
      </c>
      <c r="C258">
        <v>0.82987216820598297</v>
      </c>
      <c r="I258" s="1">
        <f t="shared" si="18"/>
        <v>161400.83825374904</v>
      </c>
      <c r="J258">
        <f t="shared" si="19"/>
        <v>600.00009387751925</v>
      </c>
      <c r="K258" s="1">
        <f t="shared" si="20"/>
        <v>1.9194047046434284</v>
      </c>
      <c r="L258" s="1">
        <f t="shared" si="20"/>
        <v>2.3402398805006723</v>
      </c>
      <c r="N258">
        <f>I258</f>
        <v>161400.83825374904</v>
      </c>
      <c r="O258" s="1">
        <f>SUM(K$2:K258)/$G$3</f>
        <v>3.2427788514269355E-2</v>
      </c>
      <c r="P258" s="1">
        <f>SUM(L$2:L258)/$G$3</f>
        <v>3.2953145993698481E-2</v>
      </c>
      <c r="Q258" s="1">
        <f t="shared" ref="Q258:Q321" si="21">O258*1000</f>
        <v>32.427788514269352</v>
      </c>
      <c r="R258" s="1">
        <f t="shared" ref="R258:R321" si="22">P258*1000</f>
        <v>32.953145993698477</v>
      </c>
    </row>
    <row r="259" spans="1:18" x14ac:dyDescent="0.35">
      <c r="A259">
        <v>1.8750097030975199</v>
      </c>
      <c r="B259">
        <v>0.67662247515192597</v>
      </c>
      <c r="C259">
        <v>0.82543207899210802</v>
      </c>
      <c r="I259" s="1">
        <f t="shared" ref="I259:I322" si="23">A259*86400</f>
        <v>162000.83834762571</v>
      </c>
      <c r="J259">
        <f t="shared" si="19"/>
        <v>600.00009387667524</v>
      </c>
      <c r="K259" s="1">
        <f t="shared" si="20"/>
        <v>1.9080756784680526</v>
      </c>
      <c r="L259" s="1">
        <f t="shared" si="20"/>
        <v>2.3277188269551949</v>
      </c>
      <c r="N259">
        <f>I259</f>
        <v>162000.83834762571</v>
      </c>
      <c r="O259" s="1">
        <f>SUM(K$2:K259)/$G$3</f>
        <v>3.2447564393198389E-2</v>
      </c>
      <c r="P259" s="1">
        <f>SUM(L$2:L259)/$G$3</f>
        <v>3.2977271182349104E-2</v>
      </c>
      <c r="Q259" s="1">
        <f t="shared" si="21"/>
        <v>32.447564393198391</v>
      </c>
      <c r="R259" s="1">
        <f t="shared" si="22"/>
        <v>32.977271182349106</v>
      </c>
    </row>
    <row r="260" spans="1:18" x14ac:dyDescent="0.35">
      <c r="A260">
        <v>1.8819541486285101</v>
      </c>
      <c r="B260">
        <v>0.67208059569203504</v>
      </c>
      <c r="C260">
        <v>0.82093136311767401</v>
      </c>
      <c r="I260" s="1">
        <f t="shared" si="23"/>
        <v>162600.83844150326</v>
      </c>
      <c r="J260">
        <f t="shared" si="19"/>
        <v>600.00009387754835</v>
      </c>
      <c r="K260" s="1">
        <f t="shared" si="20"/>
        <v>1.8952675763899482</v>
      </c>
      <c r="L260" s="1">
        <f t="shared" si="20"/>
        <v>2.3150268062068524</v>
      </c>
      <c r="N260">
        <f>I260</f>
        <v>162600.83844150326</v>
      </c>
      <c r="O260" s="1">
        <f>SUM(K$2:K260)/$G$3</f>
        <v>3.2467207525046761E-2</v>
      </c>
      <c r="P260" s="1">
        <f>SUM(L$2:L260)/$G$3</f>
        <v>3.3001264827021398E-2</v>
      </c>
      <c r="Q260" s="1">
        <f t="shared" si="21"/>
        <v>32.46720752504676</v>
      </c>
      <c r="R260" s="1">
        <f t="shared" si="22"/>
        <v>33.001264827021402</v>
      </c>
    </row>
    <row r="261" spans="1:18" x14ac:dyDescent="0.35">
      <c r="A261">
        <v>1.88889859415949</v>
      </c>
      <c r="B261">
        <v>0.66777160853221396</v>
      </c>
      <c r="C261">
        <v>0.81640876384391903</v>
      </c>
      <c r="I261" s="1">
        <f t="shared" si="23"/>
        <v>163200.83853537994</v>
      </c>
      <c r="J261">
        <f t="shared" si="19"/>
        <v>600.00009387667524</v>
      </c>
      <c r="K261" s="1">
        <f t="shared" si="20"/>
        <v>1.883116230695282</v>
      </c>
      <c r="L261" s="1">
        <f t="shared" si="20"/>
        <v>2.3022730742560316</v>
      </c>
      <c r="N261">
        <f>I261</f>
        <v>163200.83853537994</v>
      </c>
      <c r="O261" s="1">
        <f>SUM(K$2:K261)/$G$3</f>
        <v>3.2486724716638146E-2</v>
      </c>
      <c r="P261" s="1">
        <f>SUM(L$2:L261)/$G$3</f>
        <v>3.3025126288121633E-2</v>
      </c>
      <c r="Q261" s="1">
        <f t="shared" si="21"/>
        <v>32.486724716638143</v>
      </c>
      <c r="R261" s="1">
        <f t="shared" si="22"/>
        <v>33.025126288121633</v>
      </c>
    </row>
    <row r="262" spans="1:18" x14ac:dyDescent="0.35">
      <c r="A262">
        <v>1.89584303969047</v>
      </c>
      <c r="B262">
        <v>0.66361727261681402</v>
      </c>
      <c r="C262">
        <v>0.81243436773549504</v>
      </c>
      <c r="I262" s="1">
        <f t="shared" si="23"/>
        <v>163800.83862925661</v>
      </c>
      <c r="J262">
        <f t="shared" ref="J262:J325" si="24">I262-I261</f>
        <v>600.00009387667524</v>
      </c>
      <c r="K262" s="1">
        <f t="shared" si="20"/>
        <v>1.8714010015808766</v>
      </c>
      <c r="L262" s="1">
        <f t="shared" si="20"/>
        <v>2.2910652754766914</v>
      </c>
      <c r="N262">
        <f>I262</f>
        <v>163800.83862925661</v>
      </c>
      <c r="O262" s="1">
        <f>SUM(K$2:K262)/$G$3</f>
        <v>3.2506120488017959E-2</v>
      </c>
      <c r="P262" s="1">
        <f>SUM(L$2:L262)/$G$3</f>
        <v>3.3048871588173212E-2</v>
      </c>
      <c r="Q262" s="1">
        <f t="shared" si="21"/>
        <v>32.506120488017956</v>
      </c>
      <c r="R262" s="1">
        <f t="shared" si="22"/>
        <v>33.048871588173213</v>
      </c>
    </row>
    <row r="263" spans="1:18" x14ac:dyDescent="0.35">
      <c r="A263">
        <v>1.9027874852214599</v>
      </c>
      <c r="B263">
        <v>0.65968679243501904</v>
      </c>
      <c r="C263">
        <v>0.80789172930130004</v>
      </c>
      <c r="I263" s="1">
        <f t="shared" si="23"/>
        <v>164400.83872313413</v>
      </c>
      <c r="J263">
        <f t="shared" si="24"/>
        <v>600.00009387751925</v>
      </c>
      <c r="K263" s="1">
        <f t="shared" si="20"/>
        <v>1.8603170457366238</v>
      </c>
      <c r="L263" s="1">
        <f t="shared" si="20"/>
        <v>2.2782550330911615</v>
      </c>
      <c r="N263">
        <f>I263</f>
        <v>164400.83872313413</v>
      </c>
      <c r="O263" s="1">
        <f>SUM(K$2:K263)/$G$3</f>
        <v>3.2525401381895108E-2</v>
      </c>
      <c r="P263" s="1">
        <f>SUM(L$2:L263)/$G$3</f>
        <v>3.3072484118961326E-2</v>
      </c>
      <c r="Q263" s="1">
        <f t="shared" si="21"/>
        <v>32.525401381895108</v>
      </c>
      <c r="R263" s="1">
        <f t="shared" si="22"/>
        <v>33.072484118961327</v>
      </c>
    </row>
    <row r="264" spans="1:18" x14ac:dyDescent="0.35">
      <c r="A264">
        <v>1.9097319307524401</v>
      </c>
      <c r="B264">
        <v>0.65548119947850103</v>
      </c>
      <c r="C264">
        <v>0.80349134639883402</v>
      </c>
      <c r="I264" s="1">
        <f t="shared" si="23"/>
        <v>165000.83881701081</v>
      </c>
      <c r="J264">
        <f t="shared" si="24"/>
        <v>600.00009387667524</v>
      </c>
      <c r="K264" s="1">
        <f t="shared" si="20"/>
        <v>1.8484572717410328</v>
      </c>
      <c r="L264" s="1">
        <f t="shared" si="20"/>
        <v>2.2658459513614639</v>
      </c>
      <c r="N264">
        <f>I264</f>
        <v>165000.83881701081</v>
      </c>
      <c r="O264" s="1">
        <f>SUM(K$2:K264)/$G$3</f>
        <v>3.2544559357453394E-2</v>
      </c>
      <c r="P264" s="1">
        <f>SUM(L$2:L264)/$G$3</f>
        <v>3.30959680382375E-2</v>
      </c>
      <c r="Q264" s="1">
        <f t="shared" si="21"/>
        <v>32.544559357453394</v>
      </c>
      <c r="R264" s="1">
        <f t="shared" si="22"/>
        <v>33.095968038237501</v>
      </c>
    </row>
    <row r="265" spans="1:18" x14ac:dyDescent="0.35">
      <c r="A265">
        <v>1.91667637628343</v>
      </c>
      <c r="B265">
        <v>0.65149217723499198</v>
      </c>
      <c r="C265">
        <v>0.79919702110639501</v>
      </c>
      <c r="I265" s="1">
        <f t="shared" si="23"/>
        <v>165600.83891088836</v>
      </c>
      <c r="J265">
        <f t="shared" si="24"/>
        <v>600.00009387754835</v>
      </c>
      <c r="K265" s="1">
        <f t="shared" si="20"/>
        <v>1.837208227256973</v>
      </c>
      <c r="L265" s="1">
        <f t="shared" si="20"/>
        <v>2.253735952145322</v>
      </c>
      <c r="N265">
        <f>I265</f>
        <v>165600.83891088836</v>
      </c>
      <c r="O265" s="1">
        <f>SUM(K$2:K265)/$G$3</f>
        <v>3.2563600744479948E-2</v>
      </c>
      <c r="P265" s="1">
        <f>SUM(L$2:L265)/$G$3</f>
        <v>3.311932644578422E-2</v>
      </c>
      <c r="Q265" s="1">
        <f t="shared" si="21"/>
        <v>32.563600744479949</v>
      </c>
      <c r="R265" s="1">
        <f t="shared" si="22"/>
        <v>33.119326445784218</v>
      </c>
    </row>
    <row r="266" spans="1:18" x14ac:dyDescent="0.35">
      <c r="A266">
        <v>1.92362082181441</v>
      </c>
      <c r="B266">
        <v>0.64757908093173</v>
      </c>
      <c r="C266">
        <v>0.79519901226505496</v>
      </c>
      <c r="I266" s="1">
        <f t="shared" si="23"/>
        <v>166200.83900476503</v>
      </c>
      <c r="J266">
        <f t="shared" si="24"/>
        <v>600.00009387667524</v>
      </c>
      <c r="K266" s="1">
        <f t="shared" si="20"/>
        <v>1.8261732939525626</v>
      </c>
      <c r="L266" s="1">
        <f t="shared" si="20"/>
        <v>2.2424615654454603</v>
      </c>
      <c r="N266">
        <f>I266</f>
        <v>166200.83900476503</v>
      </c>
      <c r="O266" s="1">
        <f>SUM(K$2:K266)/$G$3</f>
        <v>3.2582527762088413E-2</v>
      </c>
      <c r="P266" s="1">
        <f>SUM(L$2:L266)/$G$3</f>
        <v>3.3142568002144747E-2</v>
      </c>
      <c r="Q266" s="1">
        <f t="shared" si="21"/>
        <v>32.582527762088411</v>
      </c>
      <c r="R266" s="1">
        <f t="shared" si="22"/>
        <v>33.142568002144749</v>
      </c>
    </row>
    <row r="267" spans="1:18" x14ac:dyDescent="0.35">
      <c r="A267">
        <v>1.9305652673453999</v>
      </c>
      <c r="B267">
        <v>0.64380753747824804</v>
      </c>
      <c r="C267">
        <v>0.79105494721837499</v>
      </c>
      <c r="I267" s="1">
        <f t="shared" si="23"/>
        <v>166800.83909864255</v>
      </c>
      <c r="J267">
        <f t="shared" si="24"/>
        <v>600.00009387751925</v>
      </c>
      <c r="K267" s="1">
        <f t="shared" si="20"/>
        <v>1.8155375397522158</v>
      </c>
      <c r="L267" s="1">
        <f t="shared" si="20"/>
        <v>2.2307753001885149</v>
      </c>
      <c r="N267">
        <f>I267</f>
        <v>166800.83909864255</v>
      </c>
      <c r="O267" s="1">
        <f>SUM(K$2:K267)/$G$3</f>
        <v>3.2601344547492903E-2</v>
      </c>
      <c r="P267" s="1">
        <f>SUM(L$2:L267)/$G$3</f>
        <v>3.3165688438483956E-2</v>
      </c>
      <c r="Q267" s="1">
        <f t="shared" si="21"/>
        <v>32.6013445474929</v>
      </c>
      <c r="R267" s="1">
        <f t="shared" si="22"/>
        <v>33.165688438483954</v>
      </c>
    </row>
    <row r="268" spans="1:18" x14ac:dyDescent="0.35">
      <c r="A268">
        <v>1.9375097128763801</v>
      </c>
      <c r="B268">
        <v>0.63976029353438801</v>
      </c>
      <c r="C268">
        <v>0.78671078050172805</v>
      </c>
      <c r="I268" s="1">
        <f t="shared" si="23"/>
        <v>167400.83919251923</v>
      </c>
      <c r="J268">
        <f t="shared" si="24"/>
        <v>600.00009387667524</v>
      </c>
      <c r="K268" s="1">
        <f t="shared" si="20"/>
        <v>1.8041243100422502</v>
      </c>
      <c r="L268" s="1">
        <f t="shared" si="20"/>
        <v>2.2185247481276975</v>
      </c>
      <c r="N268">
        <f>I268</f>
        <v>167400.83919251923</v>
      </c>
      <c r="O268" s="1">
        <f>SUM(K$2:K268)/$G$3</f>
        <v>3.2620043042699852E-2</v>
      </c>
      <c r="P268" s="1">
        <f>SUM(L$2:L268)/$G$3</f>
        <v>3.3188681906361109E-2</v>
      </c>
      <c r="Q268" s="1">
        <f t="shared" si="21"/>
        <v>32.620043042699855</v>
      </c>
      <c r="R268" s="1">
        <f t="shared" si="22"/>
        <v>33.188681906361111</v>
      </c>
    </row>
    <row r="269" spans="1:18" x14ac:dyDescent="0.35">
      <c r="A269">
        <v>1.94445415840737</v>
      </c>
      <c r="B269">
        <v>0.63586730223677901</v>
      </c>
      <c r="C269">
        <v>0.78256702004268297</v>
      </c>
      <c r="I269" s="1">
        <f t="shared" si="23"/>
        <v>168000.83928639677</v>
      </c>
      <c r="J269">
        <f t="shared" si="24"/>
        <v>600.00009387754835</v>
      </c>
      <c r="K269" s="1">
        <f t="shared" si="20"/>
        <v>1.7931460728679349</v>
      </c>
      <c r="L269" s="1">
        <f t="shared" si="20"/>
        <v>2.2068393418080907</v>
      </c>
      <c r="N269">
        <f>I269</f>
        <v>168000.83928639677</v>
      </c>
      <c r="O269" s="1">
        <f>SUM(K$2:K269)/$G$3</f>
        <v>3.263862775610471E-2</v>
      </c>
      <c r="P269" s="1">
        <f>SUM(L$2:L269)/$G$3</f>
        <v>3.3211554263119239E-2</v>
      </c>
      <c r="Q269" s="1">
        <f t="shared" si="21"/>
        <v>32.638627756104711</v>
      </c>
      <c r="R269" s="1">
        <f t="shared" si="22"/>
        <v>33.21155426311924</v>
      </c>
    </row>
    <row r="270" spans="1:18" x14ac:dyDescent="0.35">
      <c r="A270">
        <v>1.95139860393835</v>
      </c>
      <c r="B270">
        <v>0.63221039529705003</v>
      </c>
      <c r="C270">
        <v>0.77844510773716802</v>
      </c>
      <c r="I270" s="1">
        <f t="shared" si="23"/>
        <v>168600.83938027345</v>
      </c>
      <c r="J270">
        <f t="shared" si="24"/>
        <v>600.00009387667524</v>
      </c>
      <c r="K270" s="1">
        <f t="shared" si="20"/>
        <v>1.7828335936817878</v>
      </c>
      <c r="L270" s="1">
        <f t="shared" si="20"/>
        <v>2.1952155472846551</v>
      </c>
      <c r="N270">
        <f>I270</f>
        <v>168600.83938027345</v>
      </c>
      <c r="O270" s="1">
        <f>SUM(K$2:K270)/$G$3</f>
        <v>3.2657105587826557E-2</v>
      </c>
      <c r="P270" s="1">
        <f>SUM(L$2:L270)/$G$3</f>
        <v>3.3234306147321806E-2</v>
      </c>
      <c r="Q270" s="1">
        <f t="shared" si="21"/>
        <v>32.657105587826557</v>
      </c>
      <c r="R270" s="1">
        <f t="shared" si="22"/>
        <v>33.234306147321803</v>
      </c>
    </row>
    <row r="271" spans="1:18" x14ac:dyDescent="0.35">
      <c r="A271">
        <v>1.9583430494693399</v>
      </c>
      <c r="B271">
        <v>0.62833667527821102</v>
      </c>
      <c r="C271">
        <v>0.77450338032895405</v>
      </c>
      <c r="I271" s="1">
        <f t="shared" si="23"/>
        <v>169200.83947415097</v>
      </c>
      <c r="J271">
        <f t="shared" si="24"/>
        <v>600.00009387751925</v>
      </c>
      <c r="K271" s="1">
        <f t="shared" si="20"/>
        <v>1.7719097015219902</v>
      </c>
      <c r="L271" s="1">
        <f t="shared" si="20"/>
        <v>2.1840998742573938</v>
      </c>
      <c r="N271">
        <f>I271</f>
        <v>169200.83947415097</v>
      </c>
      <c r="O271" s="1">
        <f>SUM(K$2:K271)/$G$3</f>
        <v>3.2675470200994629E-2</v>
      </c>
      <c r="P271" s="1">
        <f>SUM(L$2:L271)/$G$3</f>
        <v>3.3256942825295142E-2</v>
      </c>
      <c r="Q271" s="1">
        <f t="shared" si="21"/>
        <v>32.675470200994631</v>
      </c>
      <c r="R271" s="1">
        <f t="shared" si="22"/>
        <v>33.256942825295141</v>
      </c>
    </row>
    <row r="272" spans="1:18" x14ac:dyDescent="0.35">
      <c r="A272">
        <v>1.9652874950003201</v>
      </c>
      <c r="B272">
        <v>0.62435060057501501</v>
      </c>
      <c r="C272">
        <v>0.76988215121707504</v>
      </c>
      <c r="I272" s="1">
        <f t="shared" si="23"/>
        <v>169800.83956802764</v>
      </c>
      <c r="J272">
        <f t="shared" si="24"/>
        <v>600.00009387667524</v>
      </c>
      <c r="K272" s="1">
        <f t="shared" si="20"/>
        <v>1.7606689690977477</v>
      </c>
      <c r="L272" s="1">
        <f t="shared" si="20"/>
        <v>2.1710680061198424</v>
      </c>
      <c r="N272">
        <f>I272</f>
        <v>169800.83956802764</v>
      </c>
      <c r="O272" s="1">
        <f>SUM(K$2:K272)/$G$3</f>
        <v>3.2693718311779703E-2</v>
      </c>
      <c r="P272" s="1">
        <f>SUM(L$2:L272)/$G$3</f>
        <v>3.3279444437008046E-2</v>
      </c>
      <c r="Q272" s="1">
        <f t="shared" si="21"/>
        <v>32.693718311779705</v>
      </c>
      <c r="R272" s="1">
        <f t="shared" si="22"/>
        <v>33.279444437008046</v>
      </c>
    </row>
    <row r="273" spans="1:18" x14ac:dyDescent="0.35">
      <c r="A273">
        <v>1.97223194053131</v>
      </c>
      <c r="B273">
        <v>0.62062064047899901</v>
      </c>
      <c r="C273">
        <v>0.76609411293158902</v>
      </c>
      <c r="I273" s="1">
        <f t="shared" si="23"/>
        <v>170400.83966190519</v>
      </c>
      <c r="J273">
        <f t="shared" si="24"/>
        <v>600.00009387754835</v>
      </c>
      <c r="K273" s="1">
        <f t="shared" si="20"/>
        <v>1.750150479983795</v>
      </c>
      <c r="L273" s="1">
        <f t="shared" si="20"/>
        <v>2.160385736486556</v>
      </c>
      <c r="N273">
        <f>I273</f>
        <v>170400.83966190519</v>
      </c>
      <c r="O273" s="1">
        <f>SUM(K$2:K273)/$G$3</f>
        <v>3.2711857405731966E-2</v>
      </c>
      <c r="P273" s="1">
        <f>SUM(L$2:L273)/$G$3</f>
        <v>3.3301835334416829E-2</v>
      </c>
      <c r="Q273" s="1">
        <f t="shared" si="21"/>
        <v>32.711857405731969</v>
      </c>
      <c r="R273" s="1">
        <f t="shared" si="22"/>
        <v>33.301835334416829</v>
      </c>
    </row>
    <row r="274" spans="1:18" x14ac:dyDescent="0.35">
      <c r="A274">
        <v>1.97917638606229</v>
      </c>
      <c r="B274">
        <v>0.61698495606753601</v>
      </c>
      <c r="C274">
        <v>0.76245985938711702</v>
      </c>
      <c r="I274" s="1">
        <f t="shared" si="23"/>
        <v>171000.83975578184</v>
      </c>
      <c r="J274">
        <f t="shared" si="24"/>
        <v>600.00009387664613</v>
      </c>
      <c r="K274" s="1">
        <f t="shared" si="20"/>
        <v>1.7398978483367</v>
      </c>
      <c r="L274" s="1">
        <f t="shared" si="20"/>
        <v>2.1501371398843898</v>
      </c>
      <c r="N274">
        <f>I274</f>
        <v>171000.83975578184</v>
      </c>
      <c r="O274" s="1">
        <f>SUM(K$2:K274)/$G$3</f>
        <v>3.2729890238279373E-2</v>
      </c>
      <c r="P274" s="1">
        <f>SUM(L$2:L274)/$G$3</f>
        <v>3.3324120012241207E-2</v>
      </c>
      <c r="Q274" s="1">
        <f t="shared" si="21"/>
        <v>32.729890238279374</v>
      </c>
      <c r="R274" s="1">
        <f t="shared" si="22"/>
        <v>33.32412001224121</v>
      </c>
    </row>
    <row r="275" spans="1:18" x14ac:dyDescent="0.35">
      <c r="A275">
        <v>1.9861208315932799</v>
      </c>
      <c r="B275">
        <v>0.61316381641449702</v>
      </c>
      <c r="C275">
        <v>0.75875279295564102</v>
      </c>
      <c r="I275" s="1">
        <f t="shared" si="23"/>
        <v>171600.83984965939</v>
      </c>
      <c r="J275">
        <f t="shared" si="24"/>
        <v>600.00009387754835</v>
      </c>
      <c r="K275" s="1">
        <f t="shared" ref="K275:L338" si="25">B275*$J275*$G$2</f>
        <v>1.7291222328317659</v>
      </c>
      <c r="L275" s="1">
        <f t="shared" si="25"/>
        <v>2.1396832109152122</v>
      </c>
      <c r="N275">
        <f>I275</f>
        <v>171600.83984965939</v>
      </c>
      <c r="O275" s="1">
        <f>SUM(K$2:K275)/$G$3</f>
        <v>3.2747811389057545E-2</v>
      </c>
      <c r="P275" s="1">
        <f>SUM(L$2:L275)/$G$3</f>
        <v>3.3346296342353816E-2</v>
      </c>
      <c r="Q275" s="1">
        <f t="shared" si="21"/>
        <v>32.747811389057546</v>
      </c>
      <c r="R275" s="1">
        <f t="shared" si="22"/>
        <v>33.346296342353817</v>
      </c>
    </row>
    <row r="276" spans="1:18" x14ac:dyDescent="0.35">
      <c r="A276">
        <v>1.9930652771242601</v>
      </c>
      <c r="B276">
        <v>0.60972366404962397</v>
      </c>
      <c r="C276">
        <v>0.75502812459402302</v>
      </c>
      <c r="I276" s="1">
        <f t="shared" si="23"/>
        <v>172200.83994353606</v>
      </c>
      <c r="J276">
        <f t="shared" si="24"/>
        <v>600.00009387667524</v>
      </c>
      <c r="K276" s="1">
        <f t="shared" si="25"/>
        <v>1.7194210016424425</v>
      </c>
      <c r="L276" s="1">
        <f t="shared" si="25"/>
        <v>2.1291796444889362</v>
      </c>
      <c r="N276">
        <f>I276</f>
        <v>172200.83994353606</v>
      </c>
      <c r="O276" s="1">
        <f>SUM(K$2:K276)/$G$3</f>
        <v>3.2765631993313567E-2</v>
      </c>
      <c r="P276" s="1">
        <f>SUM(L$2:L276)/$G$3</f>
        <v>3.3368363810296904E-2</v>
      </c>
      <c r="Q276" s="1">
        <f t="shared" si="21"/>
        <v>32.765631993313569</v>
      </c>
      <c r="R276" s="1">
        <f t="shared" si="22"/>
        <v>33.368363810296906</v>
      </c>
    </row>
    <row r="277" spans="1:18" x14ac:dyDescent="0.35">
      <c r="A277">
        <v>2.0000097226552498</v>
      </c>
      <c r="B277">
        <v>0.60635669369248901</v>
      </c>
      <c r="C277">
        <v>0.75115333186955302</v>
      </c>
      <c r="I277" s="1">
        <f t="shared" si="23"/>
        <v>172800.84003741358</v>
      </c>
      <c r="J277">
        <f t="shared" si="24"/>
        <v>600.00009387751925</v>
      </c>
      <c r="K277" s="1">
        <f t="shared" si="25"/>
        <v>1.7099261437521514</v>
      </c>
      <c r="L277" s="1">
        <f t="shared" si="25"/>
        <v>2.1182527272992733</v>
      </c>
      <c r="N277">
        <f>I277</f>
        <v>172800.84003741358</v>
      </c>
      <c r="O277" s="1">
        <f>SUM(K$2:K277)/$G$3</f>
        <v>3.2783354189963324E-2</v>
      </c>
      <c r="P277" s="1">
        <f>SUM(L$2:L277)/$G$3</f>
        <v>3.33903180283339E-2</v>
      </c>
      <c r="Q277" s="1">
        <f t="shared" si="21"/>
        <v>32.783354189963326</v>
      </c>
      <c r="R277" s="1">
        <f t="shared" si="22"/>
        <v>33.390318028333901</v>
      </c>
    </row>
    <row r="278" spans="1:18" x14ac:dyDescent="0.35">
      <c r="A278">
        <v>2.0069541681862302</v>
      </c>
      <c r="B278">
        <v>0.60281573695833901</v>
      </c>
      <c r="C278">
        <v>0.74767643832437503</v>
      </c>
      <c r="I278" s="1">
        <f t="shared" si="23"/>
        <v>173400.84013129029</v>
      </c>
      <c r="J278">
        <f t="shared" si="24"/>
        <v>600.00009387670434</v>
      </c>
      <c r="K278" s="1">
        <f t="shared" si="25"/>
        <v>1.6999406441971832</v>
      </c>
      <c r="L278" s="1">
        <f t="shared" si="25"/>
        <v>2.1084478859649174</v>
      </c>
      <c r="N278">
        <f>I278</f>
        <v>173400.84013129029</v>
      </c>
      <c r="O278" s="1">
        <f>SUM(K$2:K278)/$G$3</f>
        <v>3.28009728938468E-2</v>
      </c>
      <c r="P278" s="1">
        <f>SUM(L$2:L278)/$G$3</f>
        <v>3.3412170626001568E-2</v>
      </c>
      <c r="Q278" s="1">
        <f t="shared" si="21"/>
        <v>32.800972893846797</v>
      </c>
      <c r="R278" s="1">
        <f t="shared" si="22"/>
        <v>33.412170626001569</v>
      </c>
    </row>
    <row r="279" spans="1:18" x14ac:dyDescent="0.35">
      <c r="A279">
        <v>2.0138986137172101</v>
      </c>
      <c r="B279">
        <v>0.59944669845955001</v>
      </c>
      <c r="C279">
        <v>0.74398722184842103</v>
      </c>
      <c r="I279" s="1">
        <f t="shared" si="23"/>
        <v>174000.84022516696</v>
      </c>
      <c r="J279">
        <f t="shared" si="24"/>
        <v>600.00009387667524</v>
      </c>
      <c r="K279" s="1">
        <f t="shared" si="25"/>
        <v>1.6904399541440271</v>
      </c>
      <c r="L279" s="1">
        <f t="shared" si="25"/>
        <v>2.0980442938748673</v>
      </c>
      <c r="N279">
        <f>I279</f>
        <v>174000.84022516696</v>
      </c>
      <c r="O279" s="1">
        <f>SUM(K$2:K279)/$G$3</f>
        <v>3.2818493129677696E-2</v>
      </c>
      <c r="P279" s="1">
        <f>SUM(L$2:L279)/$G$3</f>
        <v>3.3433915397664257E-2</v>
      </c>
      <c r="Q279" s="1">
        <f t="shared" si="21"/>
        <v>32.818493129677698</v>
      </c>
      <c r="R279" s="1">
        <f t="shared" si="22"/>
        <v>33.433915397664258</v>
      </c>
    </row>
    <row r="280" spans="1:18" x14ac:dyDescent="0.35">
      <c r="A280">
        <v>2.0208430592481998</v>
      </c>
      <c r="B280">
        <v>0.59593106816862296</v>
      </c>
      <c r="C280">
        <v>0.74034281844177996</v>
      </c>
      <c r="I280" s="1">
        <f t="shared" si="23"/>
        <v>174600.84031904448</v>
      </c>
      <c r="J280">
        <f t="shared" si="24"/>
        <v>600.00009387751925</v>
      </c>
      <c r="K280" s="1">
        <f t="shared" si="25"/>
        <v>1.6805258751748093</v>
      </c>
      <c r="L280" s="1">
        <f t="shared" si="25"/>
        <v>2.0877670746630912</v>
      </c>
      <c r="N280">
        <f>I280</f>
        <v>174600.84031904448</v>
      </c>
      <c r="O280" s="1">
        <f>SUM(K$2:K280)/$G$3</f>
        <v>3.2835910612967069E-2</v>
      </c>
      <c r="P280" s="1">
        <f>SUM(L$2:L280)/$G$3</f>
        <v>3.3455553653089068E-2</v>
      </c>
      <c r="Q280" s="1">
        <f t="shared" si="21"/>
        <v>32.835910612967069</v>
      </c>
      <c r="R280" s="1">
        <f t="shared" si="22"/>
        <v>33.455553653089069</v>
      </c>
    </row>
    <row r="281" spans="1:18" x14ac:dyDescent="0.35">
      <c r="A281">
        <v>2.0277875047791798</v>
      </c>
      <c r="B281">
        <v>0.59261659861243898</v>
      </c>
      <c r="C281">
        <v>0.73664761368348597</v>
      </c>
      <c r="I281" s="1">
        <f t="shared" si="23"/>
        <v>175200.84041292113</v>
      </c>
      <c r="J281">
        <f t="shared" si="24"/>
        <v>600.00009387664613</v>
      </c>
      <c r="K281" s="1">
        <f t="shared" si="25"/>
        <v>1.6711790695615139</v>
      </c>
      <c r="L281" s="1">
        <f t="shared" si="25"/>
        <v>2.0773465956112651</v>
      </c>
      <c r="N281">
        <f>I281</f>
        <v>175200.84041292113</v>
      </c>
      <c r="O281" s="1">
        <f>SUM(K$2:K281)/$G$3</f>
        <v>3.2853231223109181E-2</v>
      </c>
      <c r="P281" s="1">
        <f>SUM(L$2:L281)/$G$3</f>
        <v>3.3477083907487278E-2</v>
      </c>
      <c r="Q281" s="1">
        <f t="shared" si="21"/>
        <v>32.853231223109184</v>
      </c>
      <c r="R281" s="1">
        <f t="shared" si="22"/>
        <v>33.477083907487277</v>
      </c>
    </row>
    <row r="282" spans="1:18" x14ac:dyDescent="0.35">
      <c r="A282">
        <v>2.0347319503101602</v>
      </c>
      <c r="B282">
        <v>0.58928238842523395</v>
      </c>
      <c r="C282">
        <v>0.73316905460787996</v>
      </c>
      <c r="I282" s="1">
        <f t="shared" si="23"/>
        <v>175800.84050679783</v>
      </c>
      <c r="J282">
        <f t="shared" si="24"/>
        <v>600.00009387670434</v>
      </c>
      <c r="K282" s="1">
        <f t="shared" si="25"/>
        <v>1.661776595362636</v>
      </c>
      <c r="L282" s="1">
        <f t="shared" si="25"/>
        <v>2.0675370574834462</v>
      </c>
      <c r="N282">
        <f>I282</f>
        <v>175800.84050679783</v>
      </c>
      <c r="O282" s="1">
        <f>SUM(K$2:K282)/$G$3</f>
        <v>3.2870454383137807E-2</v>
      </c>
      <c r="P282" s="1">
        <f>SUM(L$2:L282)/$G$3</f>
        <v>3.3498512492837168E-2</v>
      </c>
      <c r="Q282" s="1">
        <f t="shared" si="21"/>
        <v>32.870454383137805</v>
      </c>
      <c r="R282" s="1">
        <f t="shared" si="22"/>
        <v>33.498512492837165</v>
      </c>
    </row>
    <row r="283" spans="1:18" x14ac:dyDescent="0.35">
      <c r="A283">
        <v>2.0416763958411499</v>
      </c>
      <c r="B283">
        <v>0.58589598662458797</v>
      </c>
      <c r="C283">
        <v>0.72937872362905698</v>
      </c>
      <c r="I283" s="1">
        <f t="shared" si="23"/>
        <v>176400.84060067535</v>
      </c>
      <c r="J283">
        <f t="shared" si="24"/>
        <v>600.00009387751925</v>
      </c>
      <c r="K283" s="1">
        <f t="shared" si="25"/>
        <v>1.6522269407929084</v>
      </c>
      <c r="L283" s="1">
        <f t="shared" si="25"/>
        <v>2.056848322453587</v>
      </c>
      <c r="N283">
        <f>I283</f>
        <v>176400.84060067535</v>
      </c>
      <c r="O283" s="1">
        <f>SUM(K$2:K283)/$G$3</f>
        <v>3.2887578567630665E-2</v>
      </c>
      <c r="P283" s="1">
        <f>SUM(L$2:L283)/$G$3</f>
        <v>3.3519830296873582E-2</v>
      </c>
      <c r="Q283" s="1">
        <f t="shared" si="21"/>
        <v>32.887578567630662</v>
      </c>
      <c r="R283" s="1">
        <f t="shared" si="22"/>
        <v>33.519830296873579</v>
      </c>
    </row>
    <row r="284" spans="1:18" x14ac:dyDescent="0.35">
      <c r="A284">
        <v>2.0486208413721299</v>
      </c>
      <c r="B284">
        <v>0.58255458915268699</v>
      </c>
      <c r="C284">
        <v>0.72584812733791804</v>
      </c>
      <c r="I284" s="1">
        <f t="shared" si="23"/>
        <v>177000.84069455203</v>
      </c>
      <c r="J284">
        <f t="shared" si="24"/>
        <v>600.00009387667524</v>
      </c>
      <c r="K284" s="1">
        <f t="shared" si="25"/>
        <v>1.6428041984455308</v>
      </c>
      <c r="L284" s="1">
        <f t="shared" si="25"/>
        <v>2.0468920393519108</v>
      </c>
      <c r="N284">
        <f>I284</f>
        <v>177000.84069455203</v>
      </c>
      <c r="O284" s="1">
        <f>SUM(K$2:K284)/$G$3</f>
        <v>3.2904605091944754E-2</v>
      </c>
      <c r="P284" s="1">
        <f>SUM(L$2:L284)/$G$3</f>
        <v>3.3541044910951959E-2</v>
      </c>
      <c r="Q284" s="1">
        <f t="shared" si="21"/>
        <v>32.904605091944752</v>
      </c>
      <c r="R284" s="1">
        <f t="shared" si="22"/>
        <v>33.54104491095196</v>
      </c>
    </row>
    <row r="285" spans="1:18" x14ac:dyDescent="0.35">
      <c r="A285">
        <v>2.0555652869031098</v>
      </c>
      <c r="B285">
        <v>0.57909950085918205</v>
      </c>
      <c r="C285">
        <v>0.722099135143349</v>
      </c>
      <c r="I285" s="1">
        <f t="shared" si="23"/>
        <v>177600.8407884287</v>
      </c>
      <c r="J285">
        <f t="shared" si="24"/>
        <v>600.00009387667524</v>
      </c>
      <c r="K285" s="1">
        <f t="shared" si="25"/>
        <v>1.6330608479333917</v>
      </c>
      <c r="L285" s="1">
        <f t="shared" si="25"/>
        <v>2.0363198797090947</v>
      </c>
      <c r="N285">
        <f>I285</f>
        <v>177600.8407884287</v>
      </c>
      <c r="O285" s="1">
        <f>SUM(K$2:K285)/$G$3</f>
        <v>3.2921530633199185E-2</v>
      </c>
      <c r="P285" s="1">
        <f>SUM(L$2:L285)/$G$3</f>
        <v>3.356214995193977E-2</v>
      </c>
      <c r="Q285" s="1">
        <f t="shared" si="21"/>
        <v>32.921530633199183</v>
      </c>
      <c r="R285" s="1">
        <f t="shared" si="22"/>
        <v>33.562149951939773</v>
      </c>
    </row>
    <row r="286" spans="1:18" x14ac:dyDescent="0.35">
      <c r="A286">
        <v>2.0625097324341</v>
      </c>
      <c r="B286">
        <v>0.575834845010047</v>
      </c>
      <c r="C286">
        <v>0.71834086665476704</v>
      </c>
      <c r="I286" s="1">
        <f t="shared" si="23"/>
        <v>178200.84088230625</v>
      </c>
      <c r="J286">
        <f t="shared" si="24"/>
        <v>600.00009387754835</v>
      </c>
      <c r="K286" s="1">
        <f t="shared" si="25"/>
        <v>1.6238545170007612</v>
      </c>
      <c r="L286" s="1">
        <f t="shared" si="25"/>
        <v>2.0257215609160166</v>
      </c>
      <c r="N286">
        <f>I286</f>
        <v>178200.84088230625</v>
      </c>
      <c r="O286" s="1">
        <f>SUM(K$2:K286)/$G$3</f>
        <v>3.2938360757228835E-2</v>
      </c>
      <c r="P286" s="1">
        <f>SUM(L$2:L286)/$G$3</f>
        <v>3.3583145148715597E-2</v>
      </c>
      <c r="Q286" s="1">
        <f t="shared" si="21"/>
        <v>32.938360757228835</v>
      </c>
      <c r="R286" s="1">
        <f t="shared" si="22"/>
        <v>33.583145148715595</v>
      </c>
    </row>
    <row r="287" spans="1:18" x14ac:dyDescent="0.35">
      <c r="A287">
        <v>2.0694541779650799</v>
      </c>
      <c r="B287">
        <v>0.57264706712785196</v>
      </c>
      <c r="C287">
        <v>0.71527831442846601</v>
      </c>
      <c r="I287" s="1">
        <f t="shared" si="23"/>
        <v>178800.8409761829</v>
      </c>
      <c r="J287">
        <f t="shared" si="24"/>
        <v>600.00009387664613</v>
      </c>
      <c r="K287" s="1">
        <f t="shared" si="25"/>
        <v>1.6148649819640173</v>
      </c>
      <c r="L287" s="1">
        <f t="shared" si="25"/>
        <v>2.0170851622835415</v>
      </c>
      <c r="N287">
        <f>I287</f>
        <v>178800.8409761829</v>
      </c>
      <c r="O287" s="1">
        <f>SUM(K$2:K287)/$G$3</f>
        <v>3.2955097710972568E-2</v>
      </c>
      <c r="P287" s="1">
        <f>SUM(L$2:L287)/$G$3</f>
        <v>3.3604050835219029E-2</v>
      </c>
      <c r="Q287" s="1">
        <f t="shared" si="21"/>
        <v>32.955097710972566</v>
      </c>
      <c r="R287" s="1">
        <f t="shared" si="22"/>
        <v>33.604050835219027</v>
      </c>
    </row>
    <row r="288" spans="1:18" x14ac:dyDescent="0.35">
      <c r="A288">
        <v>2.0763986234960599</v>
      </c>
      <c r="B288">
        <v>0.56945596585357705</v>
      </c>
      <c r="C288">
        <v>0.711592548212164</v>
      </c>
      <c r="I288" s="1">
        <f t="shared" si="23"/>
        <v>179400.84107005957</v>
      </c>
      <c r="J288">
        <f t="shared" si="24"/>
        <v>600.00009387667524</v>
      </c>
      <c r="K288" s="1">
        <f t="shared" si="25"/>
        <v>1.6058660749626614</v>
      </c>
      <c r="L288" s="1">
        <f t="shared" si="25"/>
        <v>2.0066912999274327</v>
      </c>
      <c r="N288">
        <f>I288</f>
        <v>179400.84107005957</v>
      </c>
      <c r="O288" s="1">
        <f>SUM(K$2:K288)/$G$3</f>
        <v>3.2971741397296479E-2</v>
      </c>
      <c r="P288" s="1">
        <f>SUM(L$2:L288)/$G$3</f>
        <v>3.3624848796559414E-2</v>
      </c>
      <c r="Q288" s="1">
        <f t="shared" si="21"/>
        <v>32.971741397296476</v>
      </c>
      <c r="R288" s="1">
        <f t="shared" si="22"/>
        <v>33.624848796559412</v>
      </c>
    </row>
    <row r="289" spans="1:18" x14ac:dyDescent="0.35">
      <c r="A289">
        <v>2.08334306902705</v>
      </c>
      <c r="B289">
        <v>0.565149060410709</v>
      </c>
      <c r="C289">
        <v>0.70658868507332595</v>
      </c>
      <c r="I289" s="1">
        <f t="shared" si="23"/>
        <v>180000.84116393712</v>
      </c>
      <c r="J289">
        <f t="shared" si="24"/>
        <v>600.00009387754835</v>
      </c>
      <c r="K289" s="1">
        <f t="shared" si="25"/>
        <v>1.5937205997157982</v>
      </c>
      <c r="L289" s="1">
        <f t="shared" si="25"/>
        <v>1.9925804036710024</v>
      </c>
      <c r="N289">
        <f>I289</f>
        <v>180000.84116393712</v>
      </c>
      <c r="O289" s="1">
        <f>SUM(K$2:K289)/$G$3</f>
        <v>3.2988259204206519E-2</v>
      </c>
      <c r="P289" s="1">
        <f>SUM(L$2:L289)/$G$3</f>
        <v>3.3645500508262489E-2</v>
      </c>
      <c r="Q289" s="1">
        <f t="shared" si="21"/>
        <v>32.988259204206521</v>
      </c>
      <c r="R289" s="1">
        <f t="shared" si="22"/>
        <v>33.645500508262487</v>
      </c>
    </row>
    <row r="290" spans="1:18" x14ac:dyDescent="0.35">
      <c r="A290">
        <v>2.09028751455803</v>
      </c>
      <c r="B290">
        <v>0.56359016273030604</v>
      </c>
      <c r="C290">
        <v>0.70466501023498995</v>
      </c>
      <c r="I290" s="1">
        <f t="shared" si="23"/>
        <v>180600.84125781379</v>
      </c>
      <c r="J290">
        <f t="shared" si="24"/>
        <v>600.00009387667524</v>
      </c>
      <c r="K290" s="1">
        <f t="shared" si="25"/>
        <v>1.5893245075669253</v>
      </c>
      <c r="L290" s="1">
        <f t="shared" si="25"/>
        <v>1.9871556397752308</v>
      </c>
      <c r="N290">
        <f>I290</f>
        <v>180600.84125781379</v>
      </c>
      <c r="O290" s="1">
        <f>SUM(K$2:K290)/$G$3</f>
        <v>3.3004731448675266E-2</v>
      </c>
      <c r="P290" s="1">
        <f>SUM(L$2:L290)/$G$3</f>
        <v>3.3666095996056189E-2</v>
      </c>
      <c r="Q290" s="1">
        <f t="shared" si="21"/>
        <v>33.004731448675265</v>
      </c>
      <c r="R290" s="1">
        <f t="shared" si="22"/>
        <v>33.666095996056185</v>
      </c>
    </row>
    <row r="291" spans="1:18" x14ac:dyDescent="0.35">
      <c r="A291">
        <v>2.0972319600890099</v>
      </c>
      <c r="B291">
        <v>0.56052687898713605</v>
      </c>
      <c r="C291">
        <v>0.70168540518456402</v>
      </c>
      <c r="I291" s="1">
        <f t="shared" si="23"/>
        <v>181200.84135169047</v>
      </c>
      <c r="J291">
        <f t="shared" si="24"/>
        <v>600.00009387667524</v>
      </c>
      <c r="K291" s="1">
        <f t="shared" si="25"/>
        <v>1.5806860460596026</v>
      </c>
      <c r="L291" s="1">
        <f t="shared" si="25"/>
        <v>1.9787531522183672</v>
      </c>
      <c r="N291">
        <f>I291</f>
        <v>181200.84135169047</v>
      </c>
      <c r="O291" s="1">
        <f>SUM(K$2:K291)/$G$3</f>
        <v>3.3021114161491352E-2</v>
      </c>
      <c r="P291" s="1">
        <f>SUM(L$2:L291)/$G$3</f>
        <v>3.3686604397903296E-2</v>
      </c>
      <c r="Q291" s="1">
        <f t="shared" si="21"/>
        <v>33.021114161491354</v>
      </c>
      <c r="R291" s="1">
        <f t="shared" si="22"/>
        <v>33.686604397903295</v>
      </c>
    </row>
    <row r="292" spans="1:18" x14ac:dyDescent="0.35">
      <c r="A292">
        <v>2.1041764056200001</v>
      </c>
      <c r="B292">
        <v>0.55744250397091999</v>
      </c>
      <c r="C292">
        <v>0.69808968412532302</v>
      </c>
      <c r="I292" s="1">
        <f t="shared" si="23"/>
        <v>181800.84144556802</v>
      </c>
      <c r="J292">
        <f t="shared" si="24"/>
        <v>600.00009387754835</v>
      </c>
      <c r="K292" s="1">
        <f t="shared" si="25"/>
        <v>1.5719881071552719</v>
      </c>
      <c r="L292" s="1">
        <f t="shared" si="25"/>
        <v>1.9686132172476669</v>
      </c>
      <c r="N292">
        <f>I292</f>
        <v>181800.84144556802</v>
      </c>
      <c r="O292" s="1">
        <f>SUM(K$2:K292)/$G$3</f>
        <v>3.3037406726212866E-2</v>
      </c>
      <c r="P292" s="1">
        <f>SUM(L$2:L292)/$G$3</f>
        <v>3.3707007706368322E-2</v>
      </c>
      <c r="Q292" s="1">
        <f t="shared" si="21"/>
        <v>33.037406726212865</v>
      </c>
      <c r="R292" s="1">
        <f t="shared" si="22"/>
        <v>33.707007706368323</v>
      </c>
    </row>
    <row r="293" spans="1:18" x14ac:dyDescent="0.35">
      <c r="A293">
        <v>2.11112085115098</v>
      </c>
      <c r="B293">
        <v>0.55431846578238397</v>
      </c>
      <c r="C293">
        <v>0.69500049765106697</v>
      </c>
      <c r="I293" s="1">
        <f t="shared" si="23"/>
        <v>182400.84153944466</v>
      </c>
      <c r="J293">
        <f t="shared" si="24"/>
        <v>600.00009387664613</v>
      </c>
      <c r="K293" s="1">
        <f t="shared" si="25"/>
        <v>1.5631783180828478</v>
      </c>
      <c r="L293" s="1">
        <f t="shared" si="25"/>
        <v>1.9599017100242933</v>
      </c>
      <c r="N293">
        <f>I293</f>
        <v>182400.84153944466</v>
      </c>
      <c r="O293" s="1">
        <f>SUM(K$2:K293)/$G$3</f>
        <v>3.305360798359052E-2</v>
      </c>
      <c r="P293" s="1">
        <f>SUM(L$2:L293)/$G$3</f>
        <v>3.3727320726112578E-2</v>
      </c>
      <c r="Q293" s="1">
        <f t="shared" si="21"/>
        <v>33.053607983590517</v>
      </c>
      <c r="R293" s="1">
        <f t="shared" si="22"/>
        <v>33.72732072611258</v>
      </c>
    </row>
    <row r="294" spans="1:18" x14ac:dyDescent="0.35">
      <c r="A294">
        <v>2.1180652966819702</v>
      </c>
      <c r="B294">
        <v>0.55144987030850701</v>
      </c>
      <c r="C294">
        <v>0.69224356804688802</v>
      </c>
      <c r="I294" s="1">
        <f t="shared" si="23"/>
        <v>183000.84163332221</v>
      </c>
      <c r="J294">
        <f t="shared" si="24"/>
        <v>600.00009387754835</v>
      </c>
      <c r="K294" s="1">
        <f t="shared" si="25"/>
        <v>1.5550888775831706</v>
      </c>
      <c r="L294" s="1">
        <f t="shared" si="25"/>
        <v>1.9521271673270308</v>
      </c>
      <c r="N294">
        <f>I294</f>
        <v>183000.84163332221</v>
      </c>
      <c r="O294" s="1">
        <f>SUM(K$2:K294)/$G$3</f>
        <v>3.3069725399536863E-2</v>
      </c>
      <c r="P294" s="1">
        <f>SUM(L$2:L294)/$G$3</f>
        <v>3.3747553168122495E-2</v>
      </c>
      <c r="Q294" s="1">
        <f t="shared" si="21"/>
        <v>33.069725399536864</v>
      </c>
      <c r="R294" s="1">
        <f t="shared" si="22"/>
        <v>33.747553168122494</v>
      </c>
    </row>
    <row r="295" spans="1:18" x14ac:dyDescent="0.35">
      <c r="A295">
        <v>2.1250097422129501</v>
      </c>
      <c r="B295">
        <v>0.54840448164369304</v>
      </c>
      <c r="C295">
        <v>0.68876232368574597</v>
      </c>
      <c r="I295" s="1">
        <f t="shared" si="23"/>
        <v>183600.84172719889</v>
      </c>
      <c r="J295">
        <f t="shared" si="24"/>
        <v>600.00009387667524</v>
      </c>
      <c r="K295" s="1">
        <f t="shared" si="25"/>
        <v>1.5465008802024447</v>
      </c>
      <c r="L295" s="1">
        <f t="shared" si="25"/>
        <v>1.9423100566897735</v>
      </c>
      <c r="N295">
        <f>I295</f>
        <v>183600.84172719889</v>
      </c>
      <c r="O295" s="1">
        <f>SUM(K$2:K295)/$G$3</f>
        <v>3.3085753806856168E-2</v>
      </c>
      <c r="P295" s="1">
        <f>SUM(L$2:L295)/$G$3</f>
        <v>3.376768386260029E-2</v>
      </c>
      <c r="Q295" s="1">
        <f t="shared" si="21"/>
        <v>33.085753806856168</v>
      </c>
      <c r="R295" s="1">
        <f t="shared" si="22"/>
        <v>33.767683862600286</v>
      </c>
    </row>
    <row r="296" spans="1:18" x14ac:dyDescent="0.35">
      <c r="A296">
        <v>2.1319541877439399</v>
      </c>
      <c r="B296">
        <v>0.54541322836879802</v>
      </c>
      <c r="C296">
        <v>0.685233387585099</v>
      </c>
      <c r="I296" s="1">
        <f t="shared" si="23"/>
        <v>184200.84182107641</v>
      </c>
      <c r="J296">
        <f t="shared" si="24"/>
        <v>600.00009387751925</v>
      </c>
      <c r="K296" s="1">
        <f t="shared" si="25"/>
        <v>1.5380655446496025</v>
      </c>
      <c r="L296" s="1">
        <f t="shared" si="25"/>
        <v>1.9323584553316286</v>
      </c>
      <c r="N296">
        <f>I296</f>
        <v>184200.84182107641</v>
      </c>
      <c r="O296" s="1">
        <f>SUM(K$2:K296)/$G$3</f>
        <v>3.3101694787782215E-2</v>
      </c>
      <c r="P296" s="1">
        <f>SUM(L$2:L296)/$G$3</f>
        <v>3.378771141564306E-2</v>
      </c>
      <c r="Q296" s="1">
        <f t="shared" si="21"/>
        <v>33.101694787782215</v>
      </c>
      <c r="R296" s="1">
        <f t="shared" si="22"/>
        <v>33.787711415643059</v>
      </c>
    </row>
    <row r="297" spans="1:18" x14ac:dyDescent="0.35">
      <c r="A297">
        <v>2.1388986332749198</v>
      </c>
      <c r="B297">
        <v>0.54255904964193102</v>
      </c>
      <c r="C297">
        <v>0.68240845212442303</v>
      </c>
      <c r="I297" s="1">
        <f t="shared" si="23"/>
        <v>184800.84191495308</v>
      </c>
      <c r="J297">
        <f t="shared" si="24"/>
        <v>600.00009387667524</v>
      </c>
      <c r="K297" s="1">
        <f t="shared" si="25"/>
        <v>1.5300167593783522</v>
      </c>
      <c r="L297" s="1">
        <f t="shared" si="25"/>
        <v>1.9243921360833853</v>
      </c>
      <c r="N297">
        <f>I297</f>
        <v>184800.84191495308</v>
      </c>
      <c r="O297" s="1">
        <f>SUM(K$2:K297)/$G$3</f>
        <v>3.3117552348640153E-2</v>
      </c>
      <c r="P297" s="1">
        <f>SUM(L$2:L297)/$G$3</f>
        <v>3.3807656403320764E-2</v>
      </c>
      <c r="Q297" s="1">
        <f t="shared" si="21"/>
        <v>33.117552348640153</v>
      </c>
      <c r="R297" s="1">
        <f t="shared" si="22"/>
        <v>33.807656403320763</v>
      </c>
    </row>
    <row r="298" spans="1:18" x14ac:dyDescent="0.35">
      <c r="A298">
        <v>2.1458430788059002</v>
      </c>
      <c r="B298">
        <v>0.53975535036175903</v>
      </c>
      <c r="C298">
        <v>0.679303943450977</v>
      </c>
      <c r="I298" s="1">
        <f t="shared" si="23"/>
        <v>185400.84200882979</v>
      </c>
      <c r="J298">
        <f t="shared" si="24"/>
        <v>600.00009387670434</v>
      </c>
      <c r="K298" s="1">
        <f t="shared" si="25"/>
        <v>1.5221103261712916</v>
      </c>
      <c r="L298" s="1">
        <f t="shared" si="25"/>
        <v>1.9156374202545881</v>
      </c>
      <c r="N298">
        <f>I298</f>
        <v>185400.84200882979</v>
      </c>
      <c r="O298" s="1">
        <f>SUM(K$2:K298)/$G$3</f>
        <v>3.3133327964810243E-2</v>
      </c>
      <c r="P298" s="1">
        <f>SUM(L$2:L298)/$G$3</f>
        <v>3.382751065445052E-2</v>
      </c>
      <c r="Q298" s="1">
        <f t="shared" si="21"/>
        <v>33.133327964810242</v>
      </c>
      <c r="R298" s="1">
        <f t="shared" si="22"/>
        <v>33.827510654450521</v>
      </c>
    </row>
    <row r="299" spans="1:18" x14ac:dyDescent="0.35">
      <c r="A299">
        <v>2.1527875243368899</v>
      </c>
      <c r="B299">
        <v>0.53697407580571499</v>
      </c>
      <c r="C299">
        <v>0.67661008214888696</v>
      </c>
      <c r="I299" s="1">
        <f t="shared" si="23"/>
        <v>186000.84210270728</v>
      </c>
      <c r="J299">
        <f t="shared" si="24"/>
        <v>600.00009387749014</v>
      </c>
      <c r="K299" s="1">
        <f t="shared" si="25"/>
        <v>1.5142671306980753</v>
      </c>
      <c r="L299" s="1">
        <f t="shared" si="25"/>
        <v>1.9080407301966058</v>
      </c>
      <c r="N299">
        <f>I299</f>
        <v>186000.84210270728</v>
      </c>
      <c r="O299" s="1">
        <f>SUM(K$2:K299)/$G$3</f>
        <v>3.3149022291707672E-2</v>
      </c>
      <c r="P299" s="1">
        <f>SUM(L$2:L299)/$G$3</f>
        <v>3.3847286171165003E-2</v>
      </c>
      <c r="Q299" s="1">
        <f t="shared" si="21"/>
        <v>33.149022291707674</v>
      </c>
      <c r="R299" s="1">
        <f t="shared" si="22"/>
        <v>33.847286171165003</v>
      </c>
    </row>
    <row r="300" spans="1:18" x14ac:dyDescent="0.35">
      <c r="A300">
        <v>2.1597319698678699</v>
      </c>
      <c r="B300">
        <v>0.53414181881616596</v>
      </c>
      <c r="C300">
        <v>0.67382048788667304</v>
      </c>
      <c r="I300" s="1">
        <f t="shared" si="23"/>
        <v>186600.84219658395</v>
      </c>
      <c r="J300">
        <f t="shared" si="24"/>
        <v>600.00009387667524</v>
      </c>
      <c r="K300" s="1">
        <f t="shared" si="25"/>
        <v>1.506280164735841</v>
      </c>
      <c r="L300" s="1">
        <f t="shared" si="25"/>
        <v>1.9001740731437453</v>
      </c>
      <c r="N300">
        <f>I300</f>
        <v>186600.84219658395</v>
      </c>
      <c r="O300" s="1">
        <f>SUM(K$2:K300)/$G$3</f>
        <v>3.3164633839251181E-2</v>
      </c>
      <c r="P300" s="1">
        <f>SUM(L$2:L300)/$G$3</f>
        <v>3.3866980155443836E-2</v>
      </c>
      <c r="Q300" s="1">
        <f t="shared" si="21"/>
        <v>33.164633839251181</v>
      </c>
      <c r="R300" s="1">
        <f t="shared" si="22"/>
        <v>33.866980155443834</v>
      </c>
    </row>
    <row r="301" spans="1:18" x14ac:dyDescent="0.35">
      <c r="A301">
        <v>2.16667641539886</v>
      </c>
      <c r="B301">
        <v>0.53134443688611699</v>
      </c>
      <c r="C301">
        <v>0.67076599757286703</v>
      </c>
      <c r="I301" s="1">
        <f t="shared" si="23"/>
        <v>187200.8422904615</v>
      </c>
      <c r="J301">
        <f t="shared" si="24"/>
        <v>600.00009387754835</v>
      </c>
      <c r="K301" s="1">
        <f t="shared" si="25"/>
        <v>1.4983915464610214</v>
      </c>
      <c r="L301" s="1">
        <f t="shared" si="25"/>
        <v>1.8915604091138618</v>
      </c>
      <c r="N301">
        <f>I301</f>
        <v>187200.8422904615</v>
      </c>
      <c r="O301" s="1">
        <f>SUM(K$2:K301)/$G$3</f>
        <v>3.3180163626746244E-2</v>
      </c>
      <c r="P301" s="1">
        <f>SUM(L$2:L301)/$G$3</f>
        <v>3.3886584865078638E-2</v>
      </c>
      <c r="Q301" s="1">
        <f t="shared" si="21"/>
        <v>33.180163626746243</v>
      </c>
      <c r="R301" s="1">
        <f t="shared" si="22"/>
        <v>33.886584865078639</v>
      </c>
    </row>
    <row r="302" spans="1:18" x14ac:dyDescent="0.35">
      <c r="A302">
        <v>2.17362086092984</v>
      </c>
      <c r="B302">
        <v>0.52855698580688204</v>
      </c>
      <c r="C302">
        <v>0.66802650279133902</v>
      </c>
      <c r="I302" s="1">
        <f t="shared" si="23"/>
        <v>187800.84238433818</v>
      </c>
      <c r="J302">
        <f t="shared" si="24"/>
        <v>600.00009387667524</v>
      </c>
      <c r="K302" s="1">
        <f t="shared" si="25"/>
        <v>1.4905309331855183</v>
      </c>
      <c r="L302" s="1">
        <f t="shared" si="25"/>
        <v>1.8838350326184794</v>
      </c>
      <c r="N302">
        <f>I302</f>
        <v>187800.84238433818</v>
      </c>
      <c r="O302" s="1">
        <f>SUM(K$2:K302)/$G$3</f>
        <v>3.3195611944445223E-2</v>
      </c>
      <c r="P302" s="1">
        <f>SUM(L$2:L302)/$G$3</f>
        <v>3.3906109506552637E-2</v>
      </c>
      <c r="Q302" s="1">
        <f t="shared" si="21"/>
        <v>33.195611944445226</v>
      </c>
      <c r="R302" s="1">
        <f t="shared" si="22"/>
        <v>33.906109506552639</v>
      </c>
    </row>
    <row r="303" spans="1:18" x14ac:dyDescent="0.35">
      <c r="A303">
        <v>2.1805653064608301</v>
      </c>
      <c r="B303">
        <v>0.52581348423830998</v>
      </c>
      <c r="C303">
        <v>0.66483036332731804</v>
      </c>
      <c r="I303" s="1">
        <f t="shared" si="23"/>
        <v>188400.84247821572</v>
      </c>
      <c r="J303">
        <f t="shared" si="24"/>
        <v>600.00009387754835</v>
      </c>
      <c r="K303" s="1">
        <f t="shared" si="25"/>
        <v>1.4827942575538138</v>
      </c>
      <c r="L303" s="1">
        <f t="shared" si="25"/>
        <v>1.8748219179224666</v>
      </c>
      <c r="N303">
        <f>I303</f>
        <v>188400.84247821572</v>
      </c>
      <c r="O303" s="1">
        <f>SUM(K$2:K303)/$G$3</f>
        <v>3.3210980076875687E-2</v>
      </c>
      <c r="P303" s="1">
        <f>SUM(L$2:L303)/$G$3</f>
        <v>3.392554073335393E-2</v>
      </c>
      <c r="Q303" s="1">
        <f t="shared" si="21"/>
        <v>33.210980076875686</v>
      </c>
      <c r="R303" s="1">
        <f t="shared" si="22"/>
        <v>33.925540733353927</v>
      </c>
    </row>
    <row r="304" spans="1:18" x14ac:dyDescent="0.35">
      <c r="A304">
        <v>2.1875097519918101</v>
      </c>
      <c r="B304">
        <v>0.52318201716921597</v>
      </c>
      <c r="C304">
        <v>0.66209423248365595</v>
      </c>
      <c r="I304" s="1">
        <f t="shared" si="23"/>
        <v>189000.8425720924</v>
      </c>
      <c r="J304">
        <f t="shared" si="24"/>
        <v>600.00009387667524</v>
      </c>
      <c r="K304" s="1">
        <f t="shared" si="25"/>
        <v>1.4753735192557542</v>
      </c>
      <c r="L304" s="1">
        <f t="shared" si="25"/>
        <v>1.8671060277333744</v>
      </c>
      <c r="N304">
        <f>I304</f>
        <v>189000.8425720924</v>
      </c>
      <c r="O304" s="1">
        <f>SUM(K$2:K304)/$G$3</f>
        <v>3.3226271298508643E-2</v>
      </c>
      <c r="P304" s="1">
        <f>SUM(L$2:L304)/$G$3</f>
        <v>3.3944891990313385E-2</v>
      </c>
      <c r="Q304" s="1">
        <f t="shared" si="21"/>
        <v>33.226271298508642</v>
      </c>
      <c r="R304" s="1">
        <f t="shared" si="22"/>
        <v>33.944891990313387</v>
      </c>
    </row>
    <row r="305" spans="1:18" x14ac:dyDescent="0.35">
      <c r="A305">
        <v>2.19445419752279</v>
      </c>
      <c r="B305">
        <v>0.52052657795020996</v>
      </c>
      <c r="C305">
        <v>0.65921141840358799</v>
      </c>
      <c r="I305" s="1">
        <f t="shared" si="23"/>
        <v>189600.84266596904</v>
      </c>
      <c r="J305">
        <f t="shared" si="24"/>
        <v>600.00009387664613</v>
      </c>
      <c r="K305" s="1">
        <f t="shared" si="25"/>
        <v>1.467885179486452</v>
      </c>
      <c r="L305" s="1">
        <f t="shared" si="25"/>
        <v>1.8589764907555362</v>
      </c>
      <c r="N305">
        <f>I305</f>
        <v>189600.84266596904</v>
      </c>
      <c r="O305" s="1">
        <f>SUM(K$2:K305)/$G$3</f>
        <v>3.3241484908701803E-2</v>
      </c>
      <c r="P305" s="1">
        <f>SUM(L$2:L305)/$G$3</f>
        <v>3.3964158990269395E-2</v>
      </c>
      <c r="Q305" s="1">
        <f t="shared" si="21"/>
        <v>33.2414849087018</v>
      </c>
      <c r="R305" s="1">
        <f t="shared" si="22"/>
        <v>33.964158990269397</v>
      </c>
    </row>
    <row r="306" spans="1:18" x14ac:dyDescent="0.35">
      <c r="A306">
        <v>2.2013986430537802</v>
      </c>
      <c r="B306">
        <v>0.51770219939746498</v>
      </c>
      <c r="C306">
        <v>0.656542892032696</v>
      </c>
      <c r="I306" s="1">
        <f t="shared" si="23"/>
        <v>190200.84275984662</v>
      </c>
      <c r="J306">
        <f t="shared" si="24"/>
        <v>600.00009387757746</v>
      </c>
      <c r="K306" s="1">
        <f t="shared" si="25"/>
        <v>1.4599204307238045</v>
      </c>
      <c r="L306" s="1">
        <f t="shared" si="25"/>
        <v>1.8514512452150871</v>
      </c>
      <c r="N306">
        <f>I306</f>
        <v>190200.84275984662</v>
      </c>
      <c r="O306" s="1">
        <f>SUM(K$2:K306)/$G$3</f>
        <v>3.3256615969806884E-2</v>
      </c>
      <c r="P306" s="1">
        <f>SUM(L$2:L306)/$G$3</f>
        <v>3.3983347996282921E-2</v>
      </c>
      <c r="Q306" s="1">
        <f t="shared" si="21"/>
        <v>33.256615969806887</v>
      </c>
      <c r="R306" s="1">
        <f t="shared" si="22"/>
        <v>33.983347996282923</v>
      </c>
    </row>
    <row r="307" spans="1:18" x14ac:dyDescent="0.35">
      <c r="A307">
        <v>2.2083430885847601</v>
      </c>
      <c r="B307">
        <v>0.51517306913349703</v>
      </c>
      <c r="C307">
        <v>0.65383320429069802</v>
      </c>
      <c r="I307" s="1">
        <f t="shared" si="23"/>
        <v>190800.84285372327</v>
      </c>
      <c r="J307">
        <f t="shared" si="24"/>
        <v>600.00009387664613</v>
      </c>
      <c r="K307" s="1">
        <f t="shared" si="25"/>
        <v>1.4527882822612455</v>
      </c>
      <c r="L307" s="1">
        <f t="shared" si="25"/>
        <v>1.8438099245842097</v>
      </c>
      <c r="N307">
        <f>I307</f>
        <v>190800.84285372327</v>
      </c>
      <c r="O307" s="1">
        <f>SUM(K$2:K307)/$G$3</f>
        <v>3.327167311114762E-2</v>
      </c>
      <c r="P307" s="1">
        <f>SUM(L$2:L307)/$G$3</f>
        <v>3.4002457805316286E-2</v>
      </c>
      <c r="Q307" s="1">
        <f t="shared" si="21"/>
        <v>33.271673111147621</v>
      </c>
      <c r="R307" s="1">
        <f t="shared" si="22"/>
        <v>34.002457805316283</v>
      </c>
    </row>
    <row r="308" spans="1:18" x14ac:dyDescent="0.35">
      <c r="A308">
        <v>2.2152875341157401</v>
      </c>
      <c r="B308">
        <v>0.51288313394262397</v>
      </c>
      <c r="C308">
        <v>0.65114085813410705</v>
      </c>
      <c r="I308" s="1">
        <f t="shared" si="23"/>
        <v>191400.84294759994</v>
      </c>
      <c r="J308">
        <f t="shared" si="24"/>
        <v>600.00009387667524</v>
      </c>
      <c r="K308" s="1">
        <f t="shared" si="25"/>
        <v>1.4463306640126876</v>
      </c>
      <c r="L308" s="1">
        <f t="shared" si="25"/>
        <v>1.8362175072347946</v>
      </c>
      <c r="N308">
        <f>I308</f>
        <v>191400.84294759994</v>
      </c>
      <c r="O308" s="1">
        <f>SUM(K$2:K308)/$G$3</f>
        <v>3.3286663323761116E-2</v>
      </c>
      <c r="P308" s="1">
        <f>SUM(L$2:L308)/$G$3</f>
        <v>3.4021488924218031E-2</v>
      </c>
      <c r="Q308" s="1">
        <f t="shared" si="21"/>
        <v>33.286663323761118</v>
      </c>
      <c r="R308" s="1">
        <f t="shared" si="22"/>
        <v>34.021488924218033</v>
      </c>
    </row>
    <row r="309" spans="1:18" x14ac:dyDescent="0.35">
      <c r="A309">
        <v>2.2222319796467298</v>
      </c>
      <c r="B309">
        <v>0.51045696076242997</v>
      </c>
      <c r="C309">
        <v>0.648461285872169</v>
      </c>
      <c r="I309" s="1">
        <f t="shared" si="23"/>
        <v>192000.84304147746</v>
      </c>
      <c r="J309">
        <f t="shared" si="24"/>
        <v>600.00009387751925</v>
      </c>
      <c r="K309" s="1">
        <f t="shared" si="25"/>
        <v>1.4394888545760884</v>
      </c>
      <c r="L309" s="1">
        <f t="shared" si="25"/>
        <v>1.8286611122764198</v>
      </c>
      <c r="N309">
        <f>I309</f>
        <v>192000.84304147746</v>
      </c>
      <c r="O309" s="1">
        <f>SUM(K$2:K309)/$G$3</f>
        <v>3.3301582625772576E-2</v>
      </c>
      <c r="P309" s="1">
        <f>SUM(L$2:L309)/$G$3</f>
        <v>3.4040441726335212E-2</v>
      </c>
      <c r="Q309" s="1">
        <f t="shared" si="21"/>
        <v>33.301582625772575</v>
      </c>
      <c r="R309" s="1">
        <f t="shared" si="22"/>
        <v>34.04044172633521</v>
      </c>
    </row>
    <row r="310" spans="1:18" x14ac:dyDescent="0.35">
      <c r="A310">
        <v>2.22917642517772</v>
      </c>
      <c r="B310">
        <v>0.50783152445458402</v>
      </c>
      <c r="C310">
        <v>0.64589203853954402</v>
      </c>
      <c r="I310" s="1">
        <f t="shared" si="23"/>
        <v>192600.84313535501</v>
      </c>
      <c r="J310">
        <f t="shared" si="24"/>
        <v>600.00009387754835</v>
      </c>
      <c r="K310" s="1">
        <f t="shared" si="25"/>
        <v>1.4320851230296259</v>
      </c>
      <c r="L310" s="1">
        <f t="shared" si="25"/>
        <v>1.8214158336648911</v>
      </c>
      <c r="N310">
        <f>I310</f>
        <v>192600.84313535501</v>
      </c>
      <c r="O310" s="1">
        <f>SUM(K$2:K310)/$G$3</f>
        <v>3.3316425193249698E-2</v>
      </c>
      <c r="P310" s="1">
        <f>SUM(L$2:L310)/$G$3</f>
        <v>3.4059319436172651E-2</v>
      </c>
      <c r="Q310" s="1">
        <f t="shared" si="21"/>
        <v>33.3164251932497</v>
      </c>
      <c r="R310" s="1">
        <f t="shared" si="22"/>
        <v>34.05931943617265</v>
      </c>
    </row>
    <row r="311" spans="1:18" x14ac:dyDescent="0.35">
      <c r="A311">
        <v>2.2361208707086999</v>
      </c>
      <c r="B311">
        <v>0.50489611723023997</v>
      </c>
      <c r="C311">
        <v>0.64299368357073095</v>
      </c>
      <c r="I311" s="1">
        <f t="shared" si="23"/>
        <v>193200.84322923169</v>
      </c>
      <c r="J311">
        <f t="shared" si="24"/>
        <v>600.00009387667524</v>
      </c>
      <c r="K311" s="1">
        <f t="shared" si="25"/>
        <v>1.4238072733597302</v>
      </c>
      <c r="L311" s="1">
        <f t="shared" si="25"/>
        <v>1.8132424713713748</v>
      </c>
      <c r="N311">
        <f>I311</f>
        <v>193200.84322923169</v>
      </c>
      <c r="O311" s="1">
        <f>SUM(K$2:K311)/$G$3</f>
        <v>3.3331181966565336E-2</v>
      </c>
      <c r="P311" s="1">
        <f>SUM(L$2:L311)/$G$3</f>
        <v>3.4078112434787679E-2</v>
      </c>
      <c r="Q311" s="1">
        <f t="shared" si="21"/>
        <v>33.331181966565339</v>
      </c>
      <c r="R311" s="1">
        <f t="shared" si="22"/>
        <v>34.078112434787677</v>
      </c>
    </row>
    <row r="312" spans="1:18" x14ac:dyDescent="0.35">
      <c r="A312">
        <v>2.2430653162396901</v>
      </c>
      <c r="B312">
        <v>0.502604218121117</v>
      </c>
      <c r="C312">
        <v>0.64035114661769699</v>
      </c>
      <c r="I312" s="1">
        <f t="shared" si="23"/>
        <v>193800.84332310923</v>
      </c>
      <c r="J312">
        <f t="shared" si="24"/>
        <v>600.00009387754835</v>
      </c>
      <c r="K312" s="1">
        <f t="shared" si="25"/>
        <v>1.4173441168628333</v>
      </c>
      <c r="L312" s="1">
        <f t="shared" si="25"/>
        <v>1.8057905160005057</v>
      </c>
      <c r="N312">
        <f>I312</f>
        <v>193800.84332310923</v>
      </c>
      <c r="O312" s="1">
        <f>SUM(K$2:K312)/$G$3</f>
        <v>3.3345871753753635E-2</v>
      </c>
      <c r="P312" s="1">
        <f>SUM(L$2:L312)/$G$3</f>
        <v>3.4096828199061922E-2</v>
      </c>
      <c r="Q312" s="1">
        <f t="shared" si="21"/>
        <v>33.345871753753634</v>
      </c>
      <c r="R312" s="1">
        <f t="shared" si="22"/>
        <v>34.096828199061925</v>
      </c>
    </row>
    <row r="313" spans="1:18" x14ac:dyDescent="0.35">
      <c r="A313">
        <v>2.25000976177067</v>
      </c>
      <c r="B313">
        <v>0.50016496897252705</v>
      </c>
      <c r="C313">
        <v>0.63784606835686197</v>
      </c>
      <c r="I313" s="1">
        <f t="shared" si="23"/>
        <v>194400.84341698588</v>
      </c>
      <c r="J313">
        <f t="shared" si="24"/>
        <v>600.00009387664613</v>
      </c>
      <c r="K313" s="1">
        <f t="shared" si="25"/>
        <v>1.4104654331854325</v>
      </c>
      <c r="L313" s="1">
        <f t="shared" si="25"/>
        <v>1.7987261941969441</v>
      </c>
      <c r="N313">
        <f>I313</f>
        <v>194400.84341698588</v>
      </c>
      <c r="O313" s="1">
        <f>SUM(K$2:K313)/$G$3</f>
        <v>3.336049024816401E-2</v>
      </c>
      <c r="P313" s="1">
        <f>SUM(L$2:L313)/$G$3</f>
        <v>3.4115470746548034E-2</v>
      </c>
      <c r="Q313" s="1">
        <f t="shared" si="21"/>
        <v>33.360490248164012</v>
      </c>
      <c r="R313" s="1">
        <f t="shared" si="22"/>
        <v>34.115470746548034</v>
      </c>
    </row>
    <row r="314" spans="1:18" x14ac:dyDescent="0.35">
      <c r="A314">
        <v>2.25695420730165</v>
      </c>
      <c r="B314">
        <v>0.49759118826815502</v>
      </c>
      <c r="C314">
        <v>0.63533430935920099</v>
      </c>
      <c r="I314" s="1">
        <f t="shared" si="23"/>
        <v>195000.84351086256</v>
      </c>
      <c r="J314">
        <f t="shared" si="24"/>
        <v>600.00009387667524</v>
      </c>
      <c r="K314" s="1">
        <f t="shared" si="25"/>
        <v>1.4032073704635672</v>
      </c>
      <c r="L314" s="1">
        <f t="shared" si="25"/>
        <v>1.7916430327153883</v>
      </c>
      <c r="N314">
        <f>I314</f>
        <v>195000.84351086256</v>
      </c>
      <c r="O314" s="1">
        <f>SUM(K$2:K314)/$G$3</f>
        <v>3.3375033517796214E-2</v>
      </c>
      <c r="P314" s="1">
        <f>SUM(L$2:L314)/$G$3</f>
        <v>3.4134039881985823E-2</v>
      </c>
      <c r="Q314" s="1">
        <f t="shared" si="21"/>
        <v>33.375033517796211</v>
      </c>
      <c r="R314" s="1">
        <f t="shared" si="22"/>
        <v>34.134039881985821</v>
      </c>
    </row>
    <row r="315" spans="1:18" x14ac:dyDescent="0.35">
      <c r="A315">
        <v>2.2638986528326401</v>
      </c>
      <c r="B315">
        <v>0.49526846856065598</v>
      </c>
      <c r="C315">
        <v>0.632495462018687</v>
      </c>
      <c r="I315" s="1">
        <f t="shared" si="23"/>
        <v>195600.8436047401</v>
      </c>
      <c r="J315">
        <f t="shared" si="24"/>
        <v>600.00009387754835</v>
      </c>
      <c r="K315" s="1">
        <f t="shared" si="25"/>
        <v>1.396657299865621</v>
      </c>
      <c r="L315" s="1">
        <f t="shared" si="25"/>
        <v>1.783637481965177</v>
      </c>
      <c r="N315">
        <f>I315</f>
        <v>195600.8436047401</v>
      </c>
      <c r="O315" s="1">
        <f>SUM(K$2:K315)/$G$3</f>
        <v>3.33895089004968E-2</v>
      </c>
      <c r="P315" s="1">
        <f>SUM(L$2:L315)/$G$3</f>
        <v>3.4152526045451291E-2</v>
      </c>
      <c r="Q315" s="1">
        <f t="shared" si="21"/>
        <v>33.3895089004968</v>
      </c>
      <c r="R315" s="1">
        <f t="shared" si="22"/>
        <v>34.152526045451289</v>
      </c>
    </row>
    <row r="316" spans="1:18" x14ac:dyDescent="0.35">
      <c r="A316">
        <v>2.2708430983636201</v>
      </c>
      <c r="B316">
        <v>0.49288391775648199</v>
      </c>
      <c r="C316">
        <v>0.63008417115454096</v>
      </c>
      <c r="I316" s="1">
        <f t="shared" si="23"/>
        <v>196200.84369861678</v>
      </c>
      <c r="J316">
        <f t="shared" si="24"/>
        <v>600.00009387667524</v>
      </c>
      <c r="K316" s="1">
        <f t="shared" si="25"/>
        <v>1.3899328655437058</v>
      </c>
      <c r="L316" s="1">
        <f t="shared" si="25"/>
        <v>1.776837640661779</v>
      </c>
      <c r="N316">
        <f>I316</f>
        <v>196200.84369861678</v>
      </c>
      <c r="O316" s="1">
        <f>SUM(K$2:K316)/$G$3</f>
        <v>3.3403914589106881E-2</v>
      </c>
      <c r="P316" s="1">
        <f>SUM(L$2:L316)/$G$3</f>
        <v>3.4170941733285269E-2</v>
      </c>
      <c r="Q316" s="1">
        <f t="shared" si="21"/>
        <v>33.403914589106883</v>
      </c>
      <c r="R316" s="1">
        <f t="shared" si="22"/>
        <v>34.170941733285268</v>
      </c>
    </row>
    <row r="317" spans="1:18" x14ac:dyDescent="0.35">
      <c r="A317">
        <v>2.2777875438946</v>
      </c>
      <c r="B317">
        <v>0.49052211763811499</v>
      </c>
      <c r="C317">
        <v>0.62783443552678297</v>
      </c>
      <c r="I317" s="1">
        <f t="shared" si="23"/>
        <v>196800.84379249346</v>
      </c>
      <c r="J317">
        <f t="shared" si="24"/>
        <v>600.00009387667524</v>
      </c>
      <c r="K317" s="1">
        <f t="shared" si="25"/>
        <v>1.3832725881678365</v>
      </c>
      <c r="L317" s="1">
        <f t="shared" si="25"/>
        <v>1.7704933851988722</v>
      </c>
      <c r="N317">
        <f>I317</f>
        <v>196800.84379249346</v>
      </c>
      <c r="O317" s="1">
        <f>SUM(K$2:K317)/$G$3</f>
        <v>3.3418251248568641E-2</v>
      </c>
      <c r="P317" s="1">
        <f>SUM(L$2:L317)/$G$3</f>
        <v>3.4189291667318523E-2</v>
      </c>
      <c r="Q317" s="1">
        <f t="shared" si="21"/>
        <v>33.418251248568637</v>
      </c>
      <c r="R317" s="1">
        <f t="shared" si="22"/>
        <v>34.189291667318521</v>
      </c>
    </row>
    <row r="318" spans="1:18" x14ac:dyDescent="0.35">
      <c r="A318">
        <v>2.2847319894255902</v>
      </c>
      <c r="B318">
        <v>0.48818960437553499</v>
      </c>
      <c r="C318">
        <v>0.62517904202016095</v>
      </c>
      <c r="I318" s="1">
        <f t="shared" si="23"/>
        <v>197400.843886371</v>
      </c>
      <c r="J318">
        <f t="shared" si="24"/>
        <v>600.00009387754835</v>
      </c>
      <c r="K318" s="1">
        <f t="shared" si="25"/>
        <v>1.3766948997402118</v>
      </c>
      <c r="L318" s="1">
        <f t="shared" si="25"/>
        <v>1.7630051743411501</v>
      </c>
      <c r="N318">
        <f>I318</f>
        <v>197400.843886371</v>
      </c>
      <c r="O318" s="1">
        <f>SUM(K$2:K318)/$G$3</f>
        <v>3.343251973485916E-2</v>
      </c>
      <c r="P318" s="1">
        <f>SUM(L$2:L318)/$G$3</f>
        <v>3.4207563991248059E-2</v>
      </c>
      <c r="Q318" s="1">
        <f t="shared" si="21"/>
        <v>33.432519734859163</v>
      </c>
      <c r="R318" s="1">
        <f t="shared" si="22"/>
        <v>34.207563991248058</v>
      </c>
    </row>
    <row r="319" spans="1:18" x14ac:dyDescent="0.35">
      <c r="A319">
        <v>2.2916764349565701</v>
      </c>
      <c r="B319">
        <v>0.48594477353675702</v>
      </c>
      <c r="C319">
        <v>0.62287515596517096</v>
      </c>
      <c r="I319" s="1">
        <f t="shared" si="23"/>
        <v>198000.84398024765</v>
      </c>
      <c r="J319">
        <f t="shared" si="24"/>
        <v>600.00009387664613</v>
      </c>
      <c r="K319" s="1">
        <f t="shared" si="25"/>
        <v>1.370364475782323</v>
      </c>
      <c r="L319" s="1">
        <f t="shared" si="25"/>
        <v>1.756508214646906</v>
      </c>
      <c r="N319">
        <f>I319</f>
        <v>198000.84398024765</v>
      </c>
      <c r="O319" s="1">
        <f>SUM(K$2:K319)/$G$3</f>
        <v>3.3446722610702889E-2</v>
      </c>
      <c r="P319" s="1">
        <f>SUM(L$2:L319)/$G$3</f>
        <v>3.4225768978703594E-2</v>
      </c>
      <c r="Q319" s="1">
        <f t="shared" si="21"/>
        <v>33.446722610702892</v>
      </c>
      <c r="R319" s="1">
        <f t="shared" si="22"/>
        <v>34.225768978703591</v>
      </c>
    </row>
    <row r="320" spans="1:18" x14ac:dyDescent="0.35">
      <c r="A320">
        <v>2.2986208804875599</v>
      </c>
      <c r="B320">
        <v>0.48351241298688002</v>
      </c>
      <c r="C320">
        <v>0.62039814474071497</v>
      </c>
      <c r="I320" s="1">
        <f t="shared" si="23"/>
        <v>198600.84407412517</v>
      </c>
      <c r="J320">
        <f t="shared" si="24"/>
        <v>600.00009387751925</v>
      </c>
      <c r="K320" s="1">
        <f t="shared" si="25"/>
        <v>1.3635052179604472</v>
      </c>
      <c r="L320" s="1">
        <f t="shared" si="25"/>
        <v>1.7495230419035785</v>
      </c>
      <c r="N320">
        <f>I320</f>
        <v>198600.84407412517</v>
      </c>
      <c r="O320" s="1">
        <f>SUM(K$2:K320)/$G$3</f>
        <v>3.3460854395104205E-2</v>
      </c>
      <c r="P320" s="1">
        <f>SUM(L$2:L320)/$G$3</f>
        <v>3.4243901569696013E-2</v>
      </c>
      <c r="Q320" s="1">
        <f t="shared" si="21"/>
        <v>33.460854395104207</v>
      </c>
      <c r="R320" s="1">
        <f t="shared" si="22"/>
        <v>34.243901569696014</v>
      </c>
    </row>
    <row r="321" spans="1:18" x14ac:dyDescent="0.35">
      <c r="A321">
        <v>2.3055653260185398</v>
      </c>
      <c r="B321">
        <v>0.48147794051965298</v>
      </c>
      <c r="C321">
        <v>0.61811698198144105</v>
      </c>
      <c r="I321" s="1">
        <f t="shared" si="23"/>
        <v>199200.84416800184</v>
      </c>
      <c r="J321">
        <f t="shared" si="24"/>
        <v>600.00009387667524</v>
      </c>
      <c r="K321" s="1">
        <f t="shared" si="25"/>
        <v>1.3577680047032983</v>
      </c>
      <c r="L321" s="1">
        <f t="shared" si="25"/>
        <v>1.7430901619134695</v>
      </c>
      <c r="N321">
        <f>I321</f>
        <v>199200.84416800184</v>
      </c>
      <c r="O321" s="1">
        <f>SUM(K$2:K321)/$G$3</f>
        <v>3.347492671727556E-2</v>
      </c>
      <c r="P321" s="1">
        <f>SUM(L$2:L321)/$G$3</f>
        <v>3.4261967488356047E-2</v>
      </c>
      <c r="Q321" s="1">
        <f t="shared" si="21"/>
        <v>33.474926717275558</v>
      </c>
      <c r="R321" s="1">
        <f t="shared" si="22"/>
        <v>34.261967488356049</v>
      </c>
    </row>
    <row r="322" spans="1:18" x14ac:dyDescent="0.35">
      <c r="A322">
        <v>2.31250977154953</v>
      </c>
      <c r="B322">
        <v>0.47930350286956502</v>
      </c>
      <c r="C322">
        <v>0.61565254873719499</v>
      </c>
      <c r="I322" s="1">
        <f t="shared" si="23"/>
        <v>199800.84426187939</v>
      </c>
      <c r="J322">
        <f t="shared" si="24"/>
        <v>600.00009387754835</v>
      </c>
      <c r="K322" s="1">
        <f t="shared" si="25"/>
        <v>1.3516360895726109</v>
      </c>
      <c r="L322" s="1">
        <f t="shared" si="25"/>
        <v>1.7361404590798639</v>
      </c>
      <c r="N322">
        <f>I322</f>
        <v>199800.84426187939</v>
      </c>
      <c r="O322" s="1">
        <f>SUM(K$2:K322)/$G$3</f>
        <v>3.3488935486406232E-2</v>
      </c>
      <c r="P322" s="1">
        <f>SUM(L$2:L322)/$G$3</f>
        <v>3.4279961378173948E-2</v>
      </c>
      <c r="Q322" s="1">
        <f t="shared" ref="Q322:Q385" si="26">O322*1000</f>
        <v>33.488935486406234</v>
      </c>
      <c r="R322" s="1">
        <f t="shared" ref="R322:R385" si="27">P322*1000</f>
        <v>34.279961378173951</v>
      </c>
    </row>
    <row r="323" spans="1:18" x14ac:dyDescent="0.35">
      <c r="A323">
        <v>2.3194542170805099</v>
      </c>
      <c r="B323">
        <v>0.47715998496939899</v>
      </c>
      <c r="C323">
        <v>0.61352973408000899</v>
      </c>
      <c r="I323" s="1">
        <f t="shared" ref="I323:I386" si="28">A323*86400</f>
        <v>200400.84435575607</v>
      </c>
      <c r="J323">
        <f t="shared" si="24"/>
        <v>600.00009387667524</v>
      </c>
      <c r="K323" s="1">
        <f t="shared" si="25"/>
        <v>1.3455913681464122</v>
      </c>
      <c r="L323" s="1">
        <f t="shared" si="25"/>
        <v>1.730154120807444</v>
      </c>
      <c r="N323">
        <f>I323</f>
        <v>200400.84435575607</v>
      </c>
      <c r="O323" s="1">
        <f>SUM(K$2:K323)/$G$3</f>
        <v>3.3502881606198388E-2</v>
      </c>
      <c r="P323" s="1">
        <f>SUM(L$2:L323)/$G$3</f>
        <v>3.4297893223754164E-2</v>
      </c>
      <c r="Q323" s="1">
        <f t="shared" si="26"/>
        <v>33.502881606198386</v>
      </c>
      <c r="R323" s="1">
        <f t="shared" si="27"/>
        <v>34.297893223754166</v>
      </c>
    </row>
    <row r="324" spans="1:18" x14ac:dyDescent="0.35">
      <c r="A324">
        <v>2.3263986626114899</v>
      </c>
      <c r="B324">
        <v>0.47479951246139801</v>
      </c>
      <c r="C324">
        <v>0.61126295494539895</v>
      </c>
      <c r="I324" s="1">
        <f t="shared" si="28"/>
        <v>201000.84444963271</v>
      </c>
      <c r="J324">
        <f t="shared" si="24"/>
        <v>600.00009387664613</v>
      </c>
      <c r="K324" s="1">
        <f t="shared" si="25"/>
        <v>1.3389348346322958</v>
      </c>
      <c r="L324" s="1">
        <f t="shared" si="25"/>
        <v>1.7237618026476109</v>
      </c>
      <c r="N324">
        <f>I324</f>
        <v>201000.84444963271</v>
      </c>
      <c r="O324" s="1">
        <f>SUM(K$2:K324)/$G$3</f>
        <v>3.3516758735644754E-2</v>
      </c>
      <c r="P324" s="1">
        <f>SUM(L$2:L324)/$G$3</f>
        <v>3.4315758817397193E-2</v>
      </c>
      <c r="Q324" s="1">
        <f t="shared" si="26"/>
        <v>33.516758735644757</v>
      </c>
      <c r="R324" s="1">
        <f t="shared" si="27"/>
        <v>34.315758817397196</v>
      </c>
    </row>
    <row r="325" spans="1:18" x14ac:dyDescent="0.35">
      <c r="A325">
        <v>2.33334310814248</v>
      </c>
      <c r="B325">
        <v>0.47281153346472199</v>
      </c>
      <c r="C325">
        <v>0.60918081186202899</v>
      </c>
      <c r="I325" s="1">
        <f t="shared" si="28"/>
        <v>201600.84454351026</v>
      </c>
      <c r="J325">
        <f t="shared" si="24"/>
        <v>600.00009387754835</v>
      </c>
      <c r="K325" s="1">
        <f t="shared" si="25"/>
        <v>1.3333287329865378</v>
      </c>
      <c r="L325" s="1">
        <f t="shared" si="25"/>
        <v>1.717890158236407</v>
      </c>
      <c r="N325">
        <f>I325</f>
        <v>201600.84454351026</v>
      </c>
      <c r="O325" s="1">
        <f>SUM(K$2:K325)/$G$3</f>
        <v>3.3530577761741932E-2</v>
      </c>
      <c r="P325" s="1">
        <f>SUM(L$2:L325)/$G$3</f>
        <v>3.4333563555524742E-2</v>
      </c>
      <c r="Q325" s="1">
        <f t="shared" si="26"/>
        <v>33.530577761741931</v>
      </c>
      <c r="R325" s="1">
        <f t="shared" si="27"/>
        <v>34.333563555524741</v>
      </c>
    </row>
    <row r="326" spans="1:18" x14ac:dyDescent="0.35">
      <c r="A326">
        <v>2.34028755367346</v>
      </c>
      <c r="B326">
        <v>0.47053350538892103</v>
      </c>
      <c r="C326">
        <v>0.606740222287669</v>
      </c>
      <c r="I326" s="1">
        <f t="shared" si="28"/>
        <v>202200.84463738694</v>
      </c>
      <c r="J326">
        <f t="shared" ref="J326:J389" si="29">I326-I325</f>
        <v>600.00009387667524</v>
      </c>
      <c r="K326" s="1">
        <f t="shared" si="25"/>
        <v>1.3269046928057264</v>
      </c>
      <c r="L326" s="1">
        <f t="shared" si="25"/>
        <v>1.7110076945573742</v>
      </c>
      <c r="N326">
        <f>I326</f>
        <v>202200.84463738694</v>
      </c>
      <c r="O326" s="1">
        <f>SUM(K$2:K326)/$G$3</f>
        <v>3.354433020712521E-2</v>
      </c>
      <c r="P326" s="1">
        <f>SUM(L$2:L326)/$G$3</f>
        <v>3.4351296961697281E-2</v>
      </c>
      <c r="Q326" s="1">
        <f t="shared" si="26"/>
        <v>33.544330207125213</v>
      </c>
      <c r="R326" s="1">
        <f t="shared" si="27"/>
        <v>34.35129696169728</v>
      </c>
    </row>
    <row r="327" spans="1:18" x14ac:dyDescent="0.35">
      <c r="A327">
        <v>2.3472319992044501</v>
      </c>
      <c r="B327">
        <v>0.46832857604768502</v>
      </c>
      <c r="C327">
        <v>0.60450226450110101</v>
      </c>
      <c r="I327" s="1">
        <f t="shared" si="28"/>
        <v>202800.84473126449</v>
      </c>
      <c r="J327">
        <f t="shared" si="29"/>
        <v>600.00009387754835</v>
      </c>
      <c r="K327" s="1">
        <f t="shared" si="25"/>
        <v>1.3206867910925031</v>
      </c>
      <c r="L327" s="1">
        <f t="shared" si="25"/>
        <v>1.7046966526143004</v>
      </c>
      <c r="N327">
        <f>I327</f>
        <v>202800.84473126449</v>
      </c>
      <c r="O327" s="1">
        <f>SUM(K$2:K327)/$G$3</f>
        <v>3.3558018208276613E-2</v>
      </c>
      <c r="P327" s="1">
        <f>SUM(L$2:L327)/$G$3</f>
        <v>3.4368964958304153E-2</v>
      </c>
      <c r="Q327" s="1">
        <f t="shared" si="26"/>
        <v>33.558018208276614</v>
      </c>
      <c r="R327" s="1">
        <f t="shared" si="27"/>
        <v>34.368964958304154</v>
      </c>
    </row>
    <row r="328" spans="1:18" x14ac:dyDescent="0.35">
      <c r="A328">
        <v>2.3541764447354301</v>
      </c>
      <c r="B328">
        <v>0.466264023856237</v>
      </c>
      <c r="C328">
        <v>0.60224781796198801</v>
      </c>
      <c r="I328" s="1">
        <f t="shared" si="28"/>
        <v>203400.84482514116</v>
      </c>
      <c r="J328">
        <f t="shared" si="29"/>
        <v>600.00009387667524</v>
      </c>
      <c r="K328" s="1">
        <f t="shared" si="25"/>
        <v>1.314864752999775</v>
      </c>
      <c r="L328" s="1">
        <f t="shared" si="25"/>
        <v>1.6983391123768137</v>
      </c>
      <c r="N328">
        <f>I328</f>
        <v>203400.84482514116</v>
      </c>
      <c r="O328" s="1">
        <f>SUM(K$2:K328)/$G$3</f>
        <v>3.3571645868047555E-2</v>
      </c>
      <c r="P328" s="1">
        <f>SUM(L$2:L328)/$G$3</f>
        <v>3.4386567063422843E-2</v>
      </c>
      <c r="Q328" s="1">
        <f t="shared" si="26"/>
        <v>33.571645868047554</v>
      </c>
      <c r="R328" s="1">
        <f t="shared" si="27"/>
        <v>34.386567063422845</v>
      </c>
    </row>
    <row r="329" spans="1:18" x14ac:dyDescent="0.35">
      <c r="A329">
        <v>2.3611208902664198</v>
      </c>
      <c r="B329">
        <v>0.46422200948678399</v>
      </c>
      <c r="C329">
        <v>0.59982615639689596</v>
      </c>
      <c r="I329" s="1">
        <f t="shared" si="28"/>
        <v>204000.84491901868</v>
      </c>
      <c r="J329">
        <f t="shared" si="29"/>
        <v>600.00009387751925</v>
      </c>
      <c r="K329" s="1">
        <f t="shared" si="25"/>
        <v>1.3091062715787809</v>
      </c>
      <c r="L329" s="1">
        <f t="shared" si="25"/>
        <v>1.6915100256971469</v>
      </c>
      <c r="N329">
        <f>I329</f>
        <v>204000.84491901868</v>
      </c>
      <c r="O329" s="1">
        <f>SUM(K$2:K329)/$G$3</f>
        <v>3.3585213845158807E-2</v>
      </c>
      <c r="P329" s="1">
        <f>SUM(L$2:L329)/$G$3</f>
        <v>3.4404098389802039E-2</v>
      </c>
      <c r="Q329" s="1">
        <f t="shared" si="26"/>
        <v>33.585213845158805</v>
      </c>
      <c r="R329" s="1">
        <f t="shared" si="27"/>
        <v>34.404098389802037</v>
      </c>
    </row>
    <row r="330" spans="1:18" x14ac:dyDescent="0.35">
      <c r="A330">
        <v>2.3680653357974002</v>
      </c>
      <c r="B330">
        <v>0.46217395454082899</v>
      </c>
      <c r="C330">
        <v>0.59762320321068996</v>
      </c>
      <c r="I330" s="1">
        <f t="shared" si="28"/>
        <v>204600.84501289538</v>
      </c>
      <c r="J330">
        <f t="shared" si="29"/>
        <v>600.00009387670434</v>
      </c>
      <c r="K330" s="1">
        <f t="shared" si="25"/>
        <v>1.3033307557257658</v>
      </c>
      <c r="L330" s="1">
        <f t="shared" si="25"/>
        <v>1.6852976967377606</v>
      </c>
      <c r="N330">
        <f>I330</f>
        <v>204600.84501289538</v>
      </c>
      <c r="O330" s="1">
        <f>SUM(K$2:K330)/$G$3</f>
        <v>3.3598721963060303E-2</v>
      </c>
      <c r="P330" s="1">
        <f>SUM(L$2:L330)/$G$3</f>
        <v>3.4421565329707082E-2</v>
      </c>
      <c r="Q330" s="1">
        <f t="shared" si="26"/>
        <v>33.598721963060306</v>
      </c>
      <c r="R330" s="1">
        <f t="shared" si="27"/>
        <v>34.421565329707079</v>
      </c>
    </row>
    <row r="331" spans="1:18" x14ac:dyDescent="0.35">
      <c r="A331">
        <v>2.3750097813283801</v>
      </c>
      <c r="B331">
        <v>0.46029427322831101</v>
      </c>
      <c r="C331">
        <v>0.59542642832541104</v>
      </c>
      <c r="I331" s="1">
        <f t="shared" si="28"/>
        <v>205200.84510677203</v>
      </c>
      <c r="J331">
        <f t="shared" si="29"/>
        <v>600.00009387664613</v>
      </c>
      <c r="K331" s="1">
        <f t="shared" si="25"/>
        <v>1.2980300535949854</v>
      </c>
      <c r="L331" s="1">
        <f t="shared" si="25"/>
        <v>1.679102790591849</v>
      </c>
      <c r="N331">
        <f>I331</f>
        <v>205200.84510677203</v>
      </c>
      <c r="O331" s="1">
        <f>SUM(K$2:K331)/$G$3</f>
        <v>3.3612175142866435E-2</v>
      </c>
      <c r="P331" s="1">
        <f>SUM(L$2:L331)/$G$3</f>
        <v>3.443896806371332E-2</v>
      </c>
      <c r="Q331" s="1">
        <f t="shared" si="26"/>
        <v>33.612175142866434</v>
      </c>
      <c r="R331" s="1">
        <f t="shared" si="27"/>
        <v>34.438968063713318</v>
      </c>
    </row>
    <row r="332" spans="1:18" x14ac:dyDescent="0.35">
      <c r="A332">
        <v>2.3819542268593699</v>
      </c>
      <c r="B332">
        <v>0.45837218006403802</v>
      </c>
      <c r="C332">
        <v>0.59324958429052599</v>
      </c>
      <c r="I332" s="1">
        <f t="shared" si="28"/>
        <v>205800.84520064955</v>
      </c>
      <c r="J332">
        <f t="shared" si="29"/>
        <v>600.00009387751925</v>
      </c>
      <c r="K332" s="1">
        <f t="shared" si="25"/>
        <v>1.29260975002555</v>
      </c>
      <c r="L332" s="1">
        <f t="shared" si="25"/>
        <v>1.6729640894554398</v>
      </c>
      <c r="N332">
        <f>I332</f>
        <v>205800.84520064955</v>
      </c>
      <c r="O332" s="1">
        <f>SUM(K$2:K332)/$G$3</f>
        <v>3.3625572144991379E-2</v>
      </c>
      <c r="P332" s="1">
        <f>SUM(L$2:L332)/$G$3</f>
        <v>3.445630717434664E-2</v>
      </c>
      <c r="Q332" s="1">
        <f t="shared" si="26"/>
        <v>33.625572144991381</v>
      </c>
      <c r="R332" s="1">
        <f t="shared" si="27"/>
        <v>34.456307174346641</v>
      </c>
    </row>
    <row r="333" spans="1:18" x14ac:dyDescent="0.35">
      <c r="A333">
        <v>2.3888986723903498</v>
      </c>
      <c r="B333">
        <v>0.45607803464834201</v>
      </c>
      <c r="C333">
        <v>0.59083125732613395</v>
      </c>
      <c r="I333" s="1">
        <f t="shared" si="28"/>
        <v>206400.84529452623</v>
      </c>
      <c r="J333">
        <f t="shared" si="29"/>
        <v>600.00009387667524</v>
      </c>
      <c r="K333" s="1">
        <f t="shared" si="25"/>
        <v>1.2861402589392452</v>
      </c>
      <c r="L333" s="1">
        <f t="shared" si="25"/>
        <v>1.6661444063464861</v>
      </c>
      <c r="N333">
        <f>I333</f>
        <v>206400.84529452623</v>
      </c>
      <c r="O333" s="1">
        <f>SUM(K$2:K333)/$G$3</f>
        <v>3.3638902095335363E-2</v>
      </c>
      <c r="P333" s="1">
        <f>SUM(L$2:L333)/$G$3</f>
        <v>3.4473575603701942E-2</v>
      </c>
      <c r="Q333" s="1">
        <f t="shared" si="26"/>
        <v>33.638902095335361</v>
      </c>
      <c r="R333" s="1">
        <f t="shared" si="27"/>
        <v>34.473575603701939</v>
      </c>
    </row>
    <row r="334" spans="1:18" x14ac:dyDescent="0.35">
      <c r="A334">
        <v>2.39584311792134</v>
      </c>
      <c r="B334">
        <v>0.45463383628360798</v>
      </c>
      <c r="C334">
        <v>0.589431338023096</v>
      </c>
      <c r="I334" s="1">
        <f t="shared" si="28"/>
        <v>207000.84538840377</v>
      </c>
      <c r="J334">
        <f t="shared" si="29"/>
        <v>600.00009387754835</v>
      </c>
      <c r="K334" s="1">
        <f t="shared" si="25"/>
        <v>1.2820676189153513</v>
      </c>
      <c r="L334" s="1">
        <f t="shared" si="25"/>
        <v>1.6621966332966649</v>
      </c>
      <c r="N334">
        <f>I334</f>
        <v>207000.84538840377</v>
      </c>
      <c r="O334" s="1">
        <f>SUM(K$2:K334)/$G$3</f>
        <v>3.3652189835594634E-2</v>
      </c>
      <c r="P334" s="1">
        <f>SUM(L$2:L334)/$G$3</f>
        <v>3.4490803117131978E-2</v>
      </c>
      <c r="Q334" s="1">
        <f t="shared" si="26"/>
        <v>33.652189835594633</v>
      </c>
      <c r="R334" s="1">
        <f t="shared" si="27"/>
        <v>34.490803117131975</v>
      </c>
    </row>
    <row r="335" spans="1:18" x14ac:dyDescent="0.35">
      <c r="A335">
        <v>2.4027875634523199</v>
      </c>
      <c r="B335">
        <v>0.45286761841524598</v>
      </c>
      <c r="C335">
        <v>0.58769695398173805</v>
      </c>
      <c r="I335" s="1">
        <f t="shared" si="28"/>
        <v>207600.84548228045</v>
      </c>
      <c r="J335">
        <f t="shared" si="29"/>
        <v>600.00009387667524</v>
      </c>
      <c r="K335" s="1">
        <f t="shared" si="25"/>
        <v>1.2770868837454137</v>
      </c>
      <c r="L335" s="1">
        <f t="shared" si="25"/>
        <v>1.6573056695323711</v>
      </c>
      <c r="N335">
        <f>I335</f>
        <v>207600.84548228045</v>
      </c>
      <c r="O335" s="1">
        <f>SUM(K$2:K335)/$G$3</f>
        <v>3.366542595399382E-2</v>
      </c>
      <c r="P335" s="1">
        <f>SUM(L$2:L335)/$G$3</f>
        <v>3.4507979939120186E-2</v>
      </c>
      <c r="Q335" s="1">
        <f t="shared" si="26"/>
        <v>33.665425953993818</v>
      </c>
      <c r="R335" s="1">
        <f t="shared" si="27"/>
        <v>34.507979939120183</v>
      </c>
    </row>
    <row r="336" spans="1:18" x14ac:dyDescent="0.35">
      <c r="A336">
        <v>2.4097320089832999</v>
      </c>
      <c r="B336">
        <v>0.45104903876443603</v>
      </c>
      <c r="C336">
        <v>0.58567222934333796</v>
      </c>
      <c r="I336" s="1">
        <f t="shared" si="28"/>
        <v>208200.84557615709</v>
      </c>
      <c r="J336">
        <f t="shared" si="29"/>
        <v>600.00009387664613</v>
      </c>
      <c r="K336" s="1">
        <f t="shared" si="25"/>
        <v>1.2719584883276733</v>
      </c>
      <c r="L336" s="1">
        <f t="shared" si="25"/>
        <v>1.6515959451586528</v>
      </c>
      <c r="N336">
        <f>I336</f>
        <v>208200.84557615709</v>
      </c>
      <c r="O336" s="1">
        <f>SUM(K$2:K336)/$G$3</f>
        <v>3.3678608920137028E-2</v>
      </c>
      <c r="P336" s="1">
        <f>SUM(L$2:L336)/$G$3</f>
        <v>3.4525097583781618E-2</v>
      </c>
      <c r="Q336" s="1">
        <f t="shared" si="26"/>
        <v>33.67860892013703</v>
      </c>
      <c r="R336" s="1">
        <f t="shared" si="27"/>
        <v>34.525097583781616</v>
      </c>
    </row>
    <row r="337" spans="1:18" x14ac:dyDescent="0.35">
      <c r="A337">
        <v>2.41667645451429</v>
      </c>
      <c r="B337">
        <v>0.44929548954809401</v>
      </c>
      <c r="C337">
        <v>0.58375161037520296</v>
      </c>
      <c r="I337" s="1">
        <f t="shared" si="28"/>
        <v>208800.84567003467</v>
      </c>
      <c r="J337">
        <f t="shared" si="29"/>
        <v>600.00009387757746</v>
      </c>
      <c r="K337" s="1">
        <f t="shared" si="25"/>
        <v>1.2670134787658542</v>
      </c>
      <c r="L337" s="1">
        <f t="shared" si="25"/>
        <v>1.6461797988236515</v>
      </c>
      <c r="N337">
        <f>I337</f>
        <v>208800.84567003467</v>
      </c>
      <c r="O337" s="1">
        <f>SUM(K$2:K337)/$G$3</f>
        <v>3.369174063469127E-2</v>
      </c>
      <c r="P337" s="1">
        <f>SUM(L$2:L337)/$G$3</f>
        <v>3.4542159093848716E-2</v>
      </c>
      <c r="Q337" s="1">
        <f t="shared" si="26"/>
        <v>33.691740634691271</v>
      </c>
      <c r="R337" s="1">
        <f t="shared" si="27"/>
        <v>34.542159093848717</v>
      </c>
    </row>
    <row r="338" spans="1:18" x14ac:dyDescent="0.35">
      <c r="A338">
        <v>2.42362090004527</v>
      </c>
      <c r="B338">
        <v>0.44738439514574102</v>
      </c>
      <c r="C338">
        <v>0.58200859542028904</v>
      </c>
      <c r="I338" s="1">
        <f t="shared" si="28"/>
        <v>209400.84576391132</v>
      </c>
      <c r="J338">
        <f t="shared" si="29"/>
        <v>600.00009387664613</v>
      </c>
      <c r="K338" s="1">
        <f t="shared" si="25"/>
        <v>1.2616241917060385</v>
      </c>
      <c r="L338" s="1">
        <f t="shared" si="25"/>
        <v>1.6412644958791853</v>
      </c>
      <c r="N338">
        <f>I338</f>
        <v>209400.84576391132</v>
      </c>
      <c r="O338" s="1">
        <f>SUM(K$2:K338)/$G$3</f>
        <v>3.3704816493028901E-2</v>
      </c>
      <c r="P338" s="1">
        <f>SUM(L$2:L338)/$G$3</f>
        <v>3.4559169660215293E-2</v>
      </c>
      <c r="Q338" s="1">
        <f t="shared" si="26"/>
        <v>33.7048164930289</v>
      </c>
      <c r="R338" s="1">
        <f t="shared" si="27"/>
        <v>34.559169660215289</v>
      </c>
    </row>
    <row r="339" spans="1:18" x14ac:dyDescent="0.35">
      <c r="A339">
        <v>2.4305653455762601</v>
      </c>
      <c r="B339">
        <v>0.44485051905629402</v>
      </c>
      <c r="C339">
        <v>0.57968462227977502</v>
      </c>
      <c r="I339" s="1">
        <f t="shared" si="28"/>
        <v>210000.84585778887</v>
      </c>
      <c r="J339">
        <f t="shared" si="29"/>
        <v>600.00009387754835</v>
      </c>
      <c r="K339" s="1">
        <f t="shared" ref="K339:L402" si="30">B339*$J339*$G$2</f>
        <v>1.2544786600176869</v>
      </c>
      <c r="L339" s="1">
        <f t="shared" si="30"/>
        <v>1.6347108906000101</v>
      </c>
      <c r="N339">
        <f>I339</f>
        <v>210000.84585778887</v>
      </c>
      <c r="O339" s="1">
        <f>SUM(K$2:K339)/$G$3</f>
        <v>3.3717818292894351E-2</v>
      </c>
      <c r="P339" s="1">
        <f>SUM(L$2:L339)/$G$3</f>
        <v>3.457611230301573E-2</v>
      </c>
      <c r="Q339" s="1">
        <f t="shared" si="26"/>
        <v>33.71781829289435</v>
      </c>
      <c r="R339" s="1">
        <f t="shared" si="27"/>
        <v>34.576112303015726</v>
      </c>
    </row>
    <row r="340" spans="1:18" x14ac:dyDescent="0.35">
      <c r="A340">
        <v>2.4375097911072401</v>
      </c>
      <c r="B340">
        <v>0.44371723592579099</v>
      </c>
      <c r="C340">
        <v>0.57852788135246003</v>
      </c>
      <c r="I340" s="1">
        <f t="shared" si="28"/>
        <v>210600.84595166554</v>
      </c>
      <c r="J340">
        <f t="shared" si="29"/>
        <v>600.00009387667524</v>
      </c>
      <c r="K340" s="1">
        <f t="shared" si="30"/>
        <v>1.2512828010878152</v>
      </c>
      <c r="L340" s="1">
        <f t="shared" si="30"/>
        <v>1.6314488806722254</v>
      </c>
      <c r="N340">
        <f>I340</f>
        <v>210600.84595166554</v>
      </c>
      <c r="O340" s="1">
        <f>SUM(K$2:K340)/$G$3</f>
        <v>3.3730786969902046E-2</v>
      </c>
      <c r="P340" s="1">
        <f>SUM(L$2:L340)/$G$3</f>
        <v>3.4593021137349279E-2</v>
      </c>
      <c r="Q340" s="1">
        <f t="shared" si="26"/>
        <v>33.730786969902049</v>
      </c>
      <c r="R340" s="1">
        <f t="shared" si="27"/>
        <v>34.593021137349282</v>
      </c>
    </row>
    <row r="341" spans="1:18" x14ac:dyDescent="0.35">
      <c r="A341">
        <v>2.44445423663822</v>
      </c>
      <c r="B341">
        <v>0.44195427686431099</v>
      </c>
      <c r="C341">
        <v>0.57661174081419897</v>
      </c>
      <c r="I341" s="1">
        <f t="shared" si="28"/>
        <v>211200.84604554222</v>
      </c>
      <c r="J341">
        <f t="shared" si="29"/>
        <v>600.00009387667524</v>
      </c>
      <c r="K341" s="1">
        <f t="shared" si="30"/>
        <v>1.2463112557565881</v>
      </c>
      <c r="L341" s="1">
        <f t="shared" si="30"/>
        <v>1.626045363508889</v>
      </c>
      <c r="N341">
        <f>I341</f>
        <v>211200.84604554222</v>
      </c>
      <c r="O341" s="1">
        <f>SUM(K$2:K341)/$G$3</f>
        <v>3.374370412029596E-2</v>
      </c>
      <c r="P341" s="1">
        <f>SUM(L$2:L341)/$G$3</f>
        <v>3.4609873967981077E-2</v>
      </c>
      <c r="Q341" s="1">
        <f t="shared" si="26"/>
        <v>33.743704120295959</v>
      </c>
      <c r="R341" s="1">
        <f t="shared" si="27"/>
        <v>34.609873967981073</v>
      </c>
    </row>
    <row r="342" spans="1:18" x14ac:dyDescent="0.35">
      <c r="A342">
        <v>2.4513986821692</v>
      </c>
      <c r="B342">
        <v>0.44034097202837202</v>
      </c>
      <c r="C342">
        <v>0.57471455819274098</v>
      </c>
      <c r="I342" s="1">
        <f t="shared" si="28"/>
        <v>211800.84613941889</v>
      </c>
      <c r="J342">
        <f t="shared" si="29"/>
        <v>600.00009387667524</v>
      </c>
      <c r="K342" s="1">
        <f t="shared" si="30"/>
        <v>1.2417617354074173</v>
      </c>
      <c r="L342" s="1">
        <f t="shared" si="30"/>
        <v>1.6206953076793016</v>
      </c>
      <c r="N342">
        <f>I342</f>
        <v>211800.84613941889</v>
      </c>
      <c r="O342" s="1">
        <f>SUM(K$2:K342)/$G$3</f>
        <v>3.3756574118071855E-2</v>
      </c>
      <c r="P342" s="1">
        <f>SUM(L$2:L342)/$G$3</f>
        <v>3.4626671349000708E-2</v>
      </c>
      <c r="Q342" s="1">
        <f t="shared" si="26"/>
        <v>33.756574118071853</v>
      </c>
      <c r="R342" s="1">
        <f t="shared" si="27"/>
        <v>34.626671349000709</v>
      </c>
    </row>
    <row r="343" spans="1:18" x14ac:dyDescent="0.35">
      <c r="A343">
        <v>2.4583431277001901</v>
      </c>
      <c r="B343">
        <v>0.438815411792498</v>
      </c>
      <c r="C343">
        <v>0.57292501363765902</v>
      </c>
      <c r="I343" s="1">
        <f t="shared" si="28"/>
        <v>212400.84623329644</v>
      </c>
      <c r="J343">
        <f t="shared" si="29"/>
        <v>600.00009387754835</v>
      </c>
      <c r="K343" s="1">
        <f t="shared" si="30"/>
        <v>1.2374596548709451</v>
      </c>
      <c r="L343" s="1">
        <f t="shared" si="30"/>
        <v>1.6156487912467383</v>
      </c>
      <c r="N343">
        <f>I343</f>
        <v>212400.84623329644</v>
      </c>
      <c r="O343" s="1">
        <f>SUM(K$2:K343)/$G$3</f>
        <v>3.3769399527771513E-2</v>
      </c>
      <c r="P343" s="1">
        <f>SUM(L$2:L343)/$G$3</f>
        <v>3.4643416426383168E-2</v>
      </c>
      <c r="Q343" s="1">
        <f t="shared" si="26"/>
        <v>33.769399527771512</v>
      </c>
      <c r="R343" s="1">
        <f t="shared" si="27"/>
        <v>34.643416426383169</v>
      </c>
    </row>
    <row r="344" spans="1:18" x14ac:dyDescent="0.35">
      <c r="A344">
        <v>2.4652875732311799</v>
      </c>
      <c r="B344">
        <v>0.43699500317929502</v>
      </c>
      <c r="C344">
        <v>0.57119393225265902</v>
      </c>
      <c r="I344" s="1">
        <f t="shared" si="28"/>
        <v>213000.84632717393</v>
      </c>
      <c r="J344">
        <f t="shared" si="29"/>
        <v>600.00009387749014</v>
      </c>
      <c r="K344" s="1">
        <f t="shared" si="30"/>
        <v>1.2323261017783842</v>
      </c>
      <c r="L344" s="1">
        <f t="shared" si="30"/>
        <v>1.6107671409770863</v>
      </c>
      <c r="N344">
        <f>I344</f>
        <v>213000.84632717393</v>
      </c>
      <c r="O344" s="1">
        <f>SUM(K$2:K344)/$G$3</f>
        <v>3.3782171731759472E-2</v>
      </c>
      <c r="P344" s="1">
        <f>SUM(L$2:L344)/$G$3</f>
        <v>3.466011090885171E-2</v>
      </c>
      <c r="Q344" s="1">
        <f t="shared" si="26"/>
        <v>33.782171731759469</v>
      </c>
      <c r="R344" s="1">
        <f t="shared" si="27"/>
        <v>34.660110908851713</v>
      </c>
    </row>
    <row r="345" spans="1:18" x14ac:dyDescent="0.35">
      <c r="A345">
        <v>2.4722320187621598</v>
      </c>
      <c r="B345">
        <v>0.43538828417217201</v>
      </c>
      <c r="C345">
        <v>0.56961957136591501</v>
      </c>
      <c r="I345" s="1">
        <f t="shared" si="28"/>
        <v>213600.84642105061</v>
      </c>
      <c r="J345">
        <f t="shared" si="29"/>
        <v>600.00009387667524</v>
      </c>
      <c r="K345" s="1">
        <f t="shared" si="30"/>
        <v>1.2277951534677065</v>
      </c>
      <c r="L345" s="1">
        <f t="shared" si="30"/>
        <v>1.6063274425796403</v>
      </c>
      <c r="N345">
        <f>I345</f>
        <v>213600.84642105061</v>
      </c>
      <c r="O345" s="1">
        <f>SUM(K$2:K345)/$G$3</f>
        <v>3.3794896975615697E-2</v>
      </c>
      <c r="P345" s="1">
        <f>SUM(L$2:L345)/$G$3</f>
        <v>3.4676759376930481E-2</v>
      </c>
      <c r="Q345" s="1">
        <f t="shared" si="26"/>
        <v>33.7948969756157</v>
      </c>
      <c r="R345" s="1">
        <f t="shared" si="27"/>
        <v>34.676759376930484</v>
      </c>
    </row>
    <row r="346" spans="1:18" x14ac:dyDescent="0.35">
      <c r="A346">
        <v>2.4791764642931402</v>
      </c>
      <c r="B346">
        <v>0.43388049733707001</v>
      </c>
      <c r="C346">
        <v>0.56797583675456698</v>
      </c>
      <c r="I346" s="1">
        <f t="shared" si="28"/>
        <v>214200.84651492731</v>
      </c>
      <c r="J346">
        <f t="shared" si="29"/>
        <v>600.00009387670434</v>
      </c>
      <c r="K346" s="1">
        <f t="shared" si="30"/>
        <v>1.2235431939275119</v>
      </c>
      <c r="L346" s="1">
        <f t="shared" si="30"/>
        <v>1.6016921102504675</v>
      </c>
      <c r="N346">
        <f>I346</f>
        <v>214200.84651492731</v>
      </c>
      <c r="O346" s="1">
        <f>SUM(K$2:K346)/$G$3</f>
        <v>3.3807578150864985E-2</v>
      </c>
      <c r="P346" s="1">
        <f>SUM(L$2:L346)/$G$3</f>
        <v>3.4693359803009666E-2</v>
      </c>
      <c r="Q346" s="1">
        <f t="shared" si="26"/>
        <v>33.807578150864984</v>
      </c>
      <c r="R346" s="1">
        <f t="shared" si="27"/>
        <v>34.693359803009663</v>
      </c>
    </row>
    <row r="347" spans="1:18" x14ac:dyDescent="0.35">
      <c r="A347">
        <v>2.4861209098241299</v>
      </c>
      <c r="B347">
        <v>0.43216256611675502</v>
      </c>
      <c r="C347">
        <v>0.56620359169034695</v>
      </c>
      <c r="I347" s="1">
        <f t="shared" si="28"/>
        <v>214800.84660880483</v>
      </c>
      <c r="J347">
        <f t="shared" si="29"/>
        <v>600.00009387751925</v>
      </c>
      <c r="K347" s="1">
        <f t="shared" si="30"/>
        <v>1.2186986271298923</v>
      </c>
      <c r="L347" s="1">
        <f t="shared" si="30"/>
        <v>1.5966943783895848</v>
      </c>
      <c r="N347">
        <f>I347</f>
        <v>214800.84660880483</v>
      </c>
      <c r="O347" s="1">
        <f>SUM(K$2:K347)/$G$3</f>
        <v>3.3820209115544779E-2</v>
      </c>
      <c r="P347" s="1">
        <f>SUM(L$2:L347)/$G$3</f>
        <v>3.4709908431069879E-2</v>
      </c>
      <c r="Q347" s="1">
        <f t="shared" si="26"/>
        <v>33.820209115544777</v>
      </c>
      <c r="R347" s="1">
        <f t="shared" si="27"/>
        <v>34.709908431069877</v>
      </c>
    </row>
    <row r="348" spans="1:18" x14ac:dyDescent="0.35">
      <c r="A348">
        <v>2.4930653553551099</v>
      </c>
      <c r="B348">
        <v>0.43061169292364099</v>
      </c>
      <c r="C348">
        <v>0.56458052150889904</v>
      </c>
      <c r="I348" s="1">
        <f t="shared" si="28"/>
        <v>215400.84670268151</v>
      </c>
      <c r="J348">
        <f t="shared" si="29"/>
        <v>600.00009387667524</v>
      </c>
      <c r="K348" s="1">
        <f t="shared" si="30"/>
        <v>1.2143251640393198</v>
      </c>
      <c r="L348" s="1">
        <f t="shared" si="30"/>
        <v>1.592117319759524</v>
      </c>
      <c r="N348">
        <f>I348</f>
        <v>215400.84670268151</v>
      </c>
      <c r="O348" s="1">
        <f>SUM(K$2:K348)/$G$3</f>
        <v>3.3832794752317735E-2</v>
      </c>
      <c r="P348" s="1">
        <f>SUM(L$2:L348)/$G$3</f>
        <v>3.4726409621096924E-2</v>
      </c>
      <c r="Q348" s="1">
        <f t="shared" si="26"/>
        <v>33.832794752317739</v>
      </c>
      <c r="R348" s="1">
        <f t="shared" si="27"/>
        <v>34.726409621096927</v>
      </c>
    </row>
    <row r="349" spans="1:18" x14ac:dyDescent="0.35">
      <c r="A349">
        <v>2.5000098008860898</v>
      </c>
      <c r="B349">
        <v>0.42902822434841498</v>
      </c>
      <c r="C349">
        <v>0.56326064976724799</v>
      </c>
      <c r="I349" s="1">
        <f t="shared" si="28"/>
        <v>216000.84679655815</v>
      </c>
      <c r="J349">
        <f t="shared" si="29"/>
        <v>600.00009387664613</v>
      </c>
      <c r="K349" s="1">
        <f t="shared" si="30"/>
        <v>1.2098597819584651</v>
      </c>
      <c r="L349" s="1">
        <f t="shared" si="30"/>
        <v>1.5883952808656367</v>
      </c>
      <c r="N349">
        <f>I349</f>
        <v>216000.84679655815</v>
      </c>
      <c r="O349" s="1">
        <f>SUM(K$2:K349)/$G$3</f>
        <v>3.3845334108507388E-2</v>
      </c>
      <c r="P349" s="1">
        <f>SUM(L$2:L349)/$G$3</f>
        <v>3.4742872234776415E-2</v>
      </c>
      <c r="Q349" s="1">
        <f t="shared" si="26"/>
        <v>33.845334108507387</v>
      </c>
      <c r="R349" s="1">
        <f t="shared" si="27"/>
        <v>34.742872234776414</v>
      </c>
    </row>
    <row r="350" spans="1:18" x14ac:dyDescent="0.35">
      <c r="A350">
        <v>2.50695424641708</v>
      </c>
      <c r="B350">
        <v>0.427510426377955</v>
      </c>
      <c r="C350">
        <v>0.56158780124591801</v>
      </c>
      <c r="I350" s="1">
        <f t="shared" si="28"/>
        <v>216600.8468904357</v>
      </c>
      <c r="J350">
        <f t="shared" si="29"/>
        <v>600.00009387754835</v>
      </c>
      <c r="K350" s="1">
        <f t="shared" si="30"/>
        <v>1.2055795910138976</v>
      </c>
      <c r="L350" s="1">
        <f t="shared" si="30"/>
        <v>1.583677847299773</v>
      </c>
      <c r="N350">
        <f>I350</f>
        <v>216600.8468904357</v>
      </c>
      <c r="O350" s="1">
        <f>SUM(K$2:K350)/$G$3</f>
        <v>3.3857829103491208E-2</v>
      </c>
      <c r="P350" s="1">
        <f>SUM(L$2:L350)/$G$3</f>
        <v>3.4759285955534049E-2</v>
      </c>
      <c r="Q350" s="1">
        <f t="shared" si="26"/>
        <v>33.857829103491206</v>
      </c>
      <c r="R350" s="1">
        <f t="shared" si="27"/>
        <v>34.759285955534047</v>
      </c>
    </row>
    <row r="351" spans="1:18" x14ac:dyDescent="0.35">
      <c r="A351">
        <v>2.5138986919480599</v>
      </c>
      <c r="B351">
        <v>0.42617056183619101</v>
      </c>
      <c r="C351">
        <v>0.56013523431116397</v>
      </c>
      <c r="I351" s="1">
        <f t="shared" si="28"/>
        <v>217200.84698431237</v>
      </c>
      <c r="J351">
        <f t="shared" si="29"/>
        <v>600.00009387667524</v>
      </c>
      <c r="K351" s="1">
        <f t="shared" si="30"/>
        <v>1.2018011724131932</v>
      </c>
      <c r="L351" s="1">
        <f t="shared" si="30"/>
        <v>1.5795816079005598</v>
      </c>
      <c r="N351">
        <f>I351</f>
        <v>217200.84698431237</v>
      </c>
      <c r="O351" s="1">
        <f>SUM(K$2:K351)/$G$3</f>
        <v>3.3870284937790977E-2</v>
      </c>
      <c r="P351" s="1">
        <f>SUM(L$2:L351)/$G$3</f>
        <v>3.4775657221615831E-2</v>
      </c>
      <c r="Q351" s="1">
        <f t="shared" si="26"/>
        <v>33.870284937790977</v>
      </c>
      <c r="R351" s="1">
        <f t="shared" si="27"/>
        <v>34.77565722161583</v>
      </c>
    </row>
    <row r="352" spans="1:18" x14ac:dyDescent="0.35">
      <c r="A352">
        <v>2.5208431374790501</v>
      </c>
      <c r="B352">
        <v>0.42457003277480398</v>
      </c>
      <c r="C352">
        <v>0.55860958624613</v>
      </c>
      <c r="I352" s="1">
        <f t="shared" si="28"/>
        <v>217800.84707818992</v>
      </c>
      <c r="J352">
        <f t="shared" si="29"/>
        <v>600.00009387754835</v>
      </c>
      <c r="K352" s="1">
        <f t="shared" si="30"/>
        <v>1.1972876797556382</v>
      </c>
      <c r="L352" s="1">
        <f t="shared" si="30"/>
        <v>1.5752792796863093</v>
      </c>
      <c r="N352">
        <f>I352</f>
        <v>217800.84707818992</v>
      </c>
      <c r="O352" s="1">
        <f>SUM(K$2:K352)/$G$3</f>
        <v>3.3882693992874725E-2</v>
      </c>
      <c r="P352" s="1">
        <f>SUM(L$2:L352)/$G$3</f>
        <v>3.4791983897054353E-2</v>
      </c>
      <c r="Q352" s="1">
        <f t="shared" si="26"/>
        <v>33.882693992874728</v>
      </c>
      <c r="R352" s="1">
        <f t="shared" si="27"/>
        <v>34.791983897054351</v>
      </c>
    </row>
    <row r="353" spans="1:18" x14ac:dyDescent="0.35">
      <c r="A353">
        <v>2.52778758301003</v>
      </c>
      <c r="B353">
        <v>0.42291373129204801</v>
      </c>
      <c r="C353">
        <v>0.557084747683673</v>
      </c>
      <c r="I353" s="1">
        <f t="shared" si="28"/>
        <v>218400.8471720666</v>
      </c>
      <c r="J353">
        <f t="shared" si="29"/>
        <v>600.00009387667524</v>
      </c>
      <c r="K353" s="1">
        <f t="shared" si="30"/>
        <v>1.19261690884173</v>
      </c>
      <c r="L353" s="1">
        <f t="shared" si="30"/>
        <v>1.5709792342650983</v>
      </c>
      <c r="N353">
        <f>I353</f>
        <v>218400.8471720666</v>
      </c>
      <c r="O353" s="1">
        <f>SUM(K$2:K353)/$G$3</f>
        <v>3.3895054638662589E-2</v>
      </c>
      <c r="P353" s="1">
        <f>SUM(L$2:L353)/$G$3</f>
        <v>3.4808266005509188E-2</v>
      </c>
      <c r="Q353" s="1">
        <f t="shared" si="26"/>
        <v>33.895054638662586</v>
      </c>
      <c r="R353" s="1">
        <f t="shared" si="27"/>
        <v>34.808266005509189</v>
      </c>
    </row>
    <row r="354" spans="1:18" x14ac:dyDescent="0.35">
      <c r="A354">
        <v>2.53473202854101</v>
      </c>
      <c r="B354">
        <v>0.42099859243210003</v>
      </c>
      <c r="C354">
        <v>0.55540323574155803</v>
      </c>
      <c r="I354" s="1">
        <f t="shared" si="28"/>
        <v>219000.84726594327</v>
      </c>
      <c r="J354">
        <f t="shared" si="29"/>
        <v>600.00009387667524</v>
      </c>
      <c r="K354" s="1">
        <f t="shared" si="30"/>
        <v>1.1872162164116784</v>
      </c>
      <c r="L354" s="1">
        <f t="shared" si="30"/>
        <v>1.5662373698464169</v>
      </c>
      <c r="N354">
        <f>I354</f>
        <v>219000.84726594327</v>
      </c>
      <c r="O354" s="1">
        <f>SUM(K$2:K354)/$G$3</f>
        <v>3.3907359310025101E-2</v>
      </c>
      <c r="P354" s="1">
        <f>SUM(L$2:L354)/$G$3</f>
        <v>3.4824498967833351E-2</v>
      </c>
      <c r="Q354" s="1">
        <f t="shared" si="26"/>
        <v>33.9073593100251</v>
      </c>
      <c r="R354" s="1">
        <f t="shared" si="27"/>
        <v>34.82449896783335</v>
      </c>
    </row>
    <row r="355" spans="1:18" x14ac:dyDescent="0.35">
      <c r="A355">
        <v>2.5416764740719899</v>
      </c>
      <c r="B355">
        <v>0.418987332018113</v>
      </c>
      <c r="C355">
        <v>0.55417926479719004</v>
      </c>
      <c r="I355" s="1">
        <f t="shared" si="28"/>
        <v>219600.84735981992</v>
      </c>
      <c r="J355">
        <f t="shared" si="29"/>
        <v>600.00009387664613</v>
      </c>
      <c r="K355" s="1">
        <f t="shared" si="30"/>
        <v>1.1815444611567687</v>
      </c>
      <c r="L355" s="1">
        <f t="shared" si="30"/>
        <v>1.5627857712431823</v>
      </c>
      <c r="N355">
        <f>I355</f>
        <v>219600.84735981992</v>
      </c>
      <c r="O355" s="1">
        <f>SUM(K$2:K355)/$G$3</f>
        <v>3.3919605197584378E-2</v>
      </c>
      <c r="P355" s="1">
        <f>SUM(L$2:L355)/$G$3</f>
        <v>3.4840696156735705E-2</v>
      </c>
      <c r="Q355" s="1">
        <f t="shared" si="26"/>
        <v>33.919605197584374</v>
      </c>
      <c r="R355" s="1">
        <f t="shared" si="27"/>
        <v>34.840696156735703</v>
      </c>
    </row>
    <row r="356" spans="1:18" x14ac:dyDescent="0.35">
      <c r="A356">
        <v>2.5486209196029801</v>
      </c>
      <c r="B356">
        <v>0.41725310780013802</v>
      </c>
      <c r="C356">
        <v>0.552610871707506</v>
      </c>
      <c r="I356" s="1">
        <f t="shared" si="28"/>
        <v>220200.84745369747</v>
      </c>
      <c r="J356">
        <f t="shared" si="29"/>
        <v>600.00009387754835</v>
      </c>
      <c r="K356" s="1">
        <f t="shared" si="30"/>
        <v>1.1766539480986735</v>
      </c>
      <c r="L356" s="1">
        <f t="shared" si="30"/>
        <v>1.55836290204061</v>
      </c>
      <c r="N356">
        <f>I356</f>
        <v>220200.84745369747</v>
      </c>
      <c r="O356" s="1">
        <f>SUM(K$2:K356)/$G$3</f>
        <v>3.3931800398373083E-2</v>
      </c>
      <c r="P356" s="1">
        <f>SUM(L$2:L356)/$G$3</f>
        <v>3.4856847505671189E-2</v>
      </c>
      <c r="Q356" s="1">
        <f t="shared" si="26"/>
        <v>33.931800398373085</v>
      </c>
      <c r="R356" s="1">
        <f t="shared" si="27"/>
        <v>34.85684750567119</v>
      </c>
    </row>
    <row r="357" spans="1:18" x14ac:dyDescent="0.35">
      <c r="A357">
        <v>2.55556536513396</v>
      </c>
      <c r="B357">
        <v>0.41594712195251698</v>
      </c>
      <c r="C357">
        <v>0.55138771157030197</v>
      </c>
      <c r="I357" s="1">
        <f t="shared" si="28"/>
        <v>220800.84754757414</v>
      </c>
      <c r="J357">
        <f t="shared" si="29"/>
        <v>600.00009387667524</v>
      </c>
      <c r="K357" s="1">
        <f t="shared" si="30"/>
        <v>1.1729710674304425</v>
      </c>
      <c r="L357" s="1">
        <f t="shared" si="30"/>
        <v>1.5549135899117437</v>
      </c>
      <c r="N357">
        <f>I357</f>
        <v>220800.84754757414</v>
      </c>
      <c r="O357" s="1">
        <f>SUM(K$2:K357)/$G$3</f>
        <v>3.3943957428662047E-2</v>
      </c>
      <c r="P357" s="1">
        <f>SUM(L$2:L357)/$G$3</f>
        <v>3.4872963104882589E-2</v>
      </c>
      <c r="Q357" s="1">
        <f t="shared" si="26"/>
        <v>33.943957428662046</v>
      </c>
      <c r="R357" s="1">
        <f t="shared" si="27"/>
        <v>34.872963104882587</v>
      </c>
    </row>
    <row r="358" spans="1:18" x14ac:dyDescent="0.35">
      <c r="A358">
        <v>2.5625098106649502</v>
      </c>
      <c r="B358">
        <v>0.41462361279071502</v>
      </c>
      <c r="C358">
        <v>0.55007473115360705</v>
      </c>
      <c r="I358" s="1">
        <f t="shared" si="28"/>
        <v>221400.84764145169</v>
      </c>
      <c r="J358">
        <f t="shared" si="29"/>
        <v>600.00009387754835</v>
      </c>
      <c r="K358" s="1">
        <f t="shared" si="30"/>
        <v>1.1692387710119032</v>
      </c>
      <c r="L358" s="1">
        <f t="shared" si="30"/>
        <v>1.5512109845596078</v>
      </c>
      <c r="N358">
        <f>I358</f>
        <v>221400.84764145169</v>
      </c>
      <c r="O358" s="1">
        <f>SUM(K$2:K358)/$G$3</f>
        <v>3.3956075776291332E-2</v>
      </c>
      <c r="P358" s="1">
        <f>SUM(L$2:L358)/$G$3</f>
        <v>3.488904032916159E-2</v>
      </c>
      <c r="Q358" s="1">
        <f t="shared" si="26"/>
        <v>33.956075776291335</v>
      </c>
      <c r="R358" s="1">
        <f t="shared" si="27"/>
        <v>34.889040329161588</v>
      </c>
    </row>
    <row r="359" spans="1:18" x14ac:dyDescent="0.35">
      <c r="A359">
        <v>2.5694542561959302</v>
      </c>
      <c r="B359">
        <v>0.41314070690321603</v>
      </c>
      <c r="C359">
        <v>0.54870895281833398</v>
      </c>
      <c r="I359" s="1">
        <f t="shared" si="28"/>
        <v>222000.84773532837</v>
      </c>
      <c r="J359">
        <f t="shared" si="29"/>
        <v>600.00009387667524</v>
      </c>
      <c r="K359" s="1">
        <f t="shared" si="30"/>
        <v>1.1650569757531661</v>
      </c>
      <c r="L359" s="1">
        <f t="shared" si="30"/>
        <v>1.547359489049271</v>
      </c>
      <c r="N359">
        <f>I359</f>
        <v>222000.84773532837</v>
      </c>
      <c r="O359" s="1">
        <f>SUM(K$2:K359)/$G$3</f>
        <v>3.396815078251772E-2</v>
      </c>
      <c r="P359" s="1">
        <f>SUM(L$2:L359)/$G$3</f>
        <v>3.4905077635365135E-2</v>
      </c>
      <c r="Q359" s="1">
        <f t="shared" si="26"/>
        <v>33.968150782517718</v>
      </c>
      <c r="R359" s="1">
        <f t="shared" si="27"/>
        <v>34.905077635365139</v>
      </c>
    </row>
    <row r="360" spans="1:18" x14ac:dyDescent="0.35">
      <c r="A360">
        <v>2.5763987017269199</v>
      </c>
      <c r="B360">
        <v>0.411783366614764</v>
      </c>
      <c r="C360">
        <v>0.54729069671416097</v>
      </c>
      <c r="I360" s="1">
        <f t="shared" si="28"/>
        <v>222600.84782920589</v>
      </c>
      <c r="J360">
        <f t="shared" si="29"/>
        <v>600.00009387751925</v>
      </c>
      <c r="K360" s="1">
        <f t="shared" si="30"/>
        <v>1.1612292755424789</v>
      </c>
      <c r="L360" s="1">
        <f t="shared" si="30"/>
        <v>1.5433600062119106</v>
      </c>
      <c r="N360">
        <f>I360</f>
        <v>222600.84782920589</v>
      </c>
      <c r="O360" s="1">
        <f>SUM(K$2:K360)/$G$3</f>
        <v>3.3980186117290409E-2</v>
      </c>
      <c r="P360" s="1">
        <f>SUM(L$2:L360)/$G$3</f>
        <v>3.492107348970739E-2</v>
      </c>
      <c r="Q360" s="1">
        <f t="shared" si="26"/>
        <v>33.980186117290408</v>
      </c>
      <c r="R360" s="1">
        <f t="shared" si="27"/>
        <v>34.921073489707389</v>
      </c>
    </row>
    <row r="361" spans="1:18" x14ac:dyDescent="0.35">
      <c r="A361">
        <v>2.5833431472578998</v>
      </c>
      <c r="B361">
        <v>0.41070778530701202</v>
      </c>
      <c r="C361">
        <v>0.54598173756301005</v>
      </c>
      <c r="I361" s="1">
        <f t="shared" si="28"/>
        <v>223200.84792308253</v>
      </c>
      <c r="J361">
        <f t="shared" si="29"/>
        <v>600.00009387664613</v>
      </c>
      <c r="K361" s="1">
        <f t="shared" si="30"/>
        <v>1.1581961357783603</v>
      </c>
      <c r="L361" s="1">
        <f t="shared" si="30"/>
        <v>1.53966874082588</v>
      </c>
      <c r="N361">
        <f>I361</f>
        <v>223200.84792308253</v>
      </c>
      <c r="O361" s="1">
        <f>SUM(K$2:K361)/$G$3</f>
        <v>3.3992190015676459E-2</v>
      </c>
      <c r="P361" s="1">
        <f>SUM(L$2:L361)/$G$3</f>
        <v>3.4937031086648113E-2</v>
      </c>
      <c r="Q361" s="1">
        <f t="shared" si="26"/>
        <v>33.992190015676456</v>
      </c>
      <c r="R361" s="1">
        <f t="shared" si="27"/>
        <v>34.937031086648112</v>
      </c>
    </row>
    <row r="362" spans="1:18" x14ac:dyDescent="0.35">
      <c r="A362">
        <v>2.59028759278889</v>
      </c>
      <c r="B362">
        <v>0.40954501175809899</v>
      </c>
      <c r="C362">
        <v>0.54456983407699799</v>
      </c>
      <c r="I362" s="1">
        <f t="shared" si="28"/>
        <v>223800.84801696008</v>
      </c>
      <c r="J362">
        <f t="shared" si="29"/>
        <v>600.00009387754835</v>
      </c>
      <c r="K362" s="1">
        <f t="shared" si="30"/>
        <v>1.154917113859123</v>
      </c>
      <c r="L362" s="1">
        <f t="shared" si="30"/>
        <v>1.5356871723746748</v>
      </c>
      <c r="N362">
        <f>I362</f>
        <v>223800.84801696008</v>
      </c>
      <c r="O362" s="1">
        <f>SUM(K$2:K362)/$G$3</f>
        <v>3.4004159929278147E-2</v>
      </c>
      <c r="P362" s="1">
        <f>SUM(L$2:L362)/$G$3</f>
        <v>3.4952947417397712E-2</v>
      </c>
      <c r="Q362" s="1">
        <f t="shared" si="26"/>
        <v>34.004159929278146</v>
      </c>
      <c r="R362" s="1">
        <f t="shared" si="27"/>
        <v>34.952947417397709</v>
      </c>
    </row>
    <row r="363" spans="1:18" x14ac:dyDescent="0.35">
      <c r="A363">
        <v>2.5972320383198699</v>
      </c>
      <c r="B363">
        <v>0.40830510025616201</v>
      </c>
      <c r="C363">
        <v>0.54335533814680903</v>
      </c>
      <c r="I363" s="1">
        <f t="shared" si="28"/>
        <v>224400.84811083676</v>
      </c>
      <c r="J363">
        <f t="shared" si="29"/>
        <v>600.00009387667524</v>
      </c>
      <c r="K363" s="1">
        <f t="shared" si="30"/>
        <v>1.1514205628749057</v>
      </c>
      <c r="L363" s="1">
        <f t="shared" si="30"/>
        <v>1.5322622933134469</v>
      </c>
      <c r="N363">
        <f>I363</f>
        <v>224400.84811083676</v>
      </c>
      <c r="O363" s="1">
        <f>SUM(K$2:K363)/$G$3</f>
        <v>3.4016093603557833E-2</v>
      </c>
      <c r="P363" s="1">
        <f>SUM(L$2:L363)/$G$3</f>
        <v>3.4968828251654989E-2</v>
      </c>
      <c r="Q363" s="1">
        <f t="shared" si="26"/>
        <v>34.016093603557835</v>
      </c>
      <c r="R363" s="1">
        <f t="shared" si="27"/>
        <v>34.96882825165499</v>
      </c>
    </row>
    <row r="364" spans="1:18" x14ac:dyDescent="0.35">
      <c r="A364">
        <v>2.6041764838508499</v>
      </c>
      <c r="B364">
        <v>0.407081641498795</v>
      </c>
      <c r="C364">
        <v>0.54218696756073403</v>
      </c>
      <c r="I364" s="1">
        <f t="shared" si="28"/>
        <v>225000.84820471343</v>
      </c>
      <c r="J364">
        <f t="shared" si="29"/>
        <v>600.00009387667524</v>
      </c>
      <c r="K364" s="1">
        <f t="shared" si="30"/>
        <v>1.1479704086393159</v>
      </c>
      <c r="L364" s="1">
        <f t="shared" si="30"/>
        <v>1.5289674877452064</v>
      </c>
      <c r="N364">
        <f>I364</f>
        <v>225000.84820471343</v>
      </c>
      <c r="O364" s="1">
        <f>SUM(K$2:K364)/$G$3</f>
        <v>3.402799151938557E-2</v>
      </c>
      <c r="P364" s="1">
        <f>SUM(L$2:L364)/$G$3</f>
        <v>3.498467493754135E-2</v>
      </c>
      <c r="Q364" s="1">
        <f t="shared" si="26"/>
        <v>34.027991519385573</v>
      </c>
      <c r="R364" s="1">
        <f t="shared" si="27"/>
        <v>34.984674937541349</v>
      </c>
    </row>
    <row r="365" spans="1:18" x14ac:dyDescent="0.35">
      <c r="A365">
        <v>2.61112092938184</v>
      </c>
      <c r="B365">
        <v>0.40579690731541901</v>
      </c>
      <c r="C365">
        <v>0.54099446280823404</v>
      </c>
      <c r="I365" s="1">
        <f t="shared" si="28"/>
        <v>225600.84829859098</v>
      </c>
      <c r="J365">
        <f t="shared" si="29"/>
        <v>600.00009387754835</v>
      </c>
      <c r="K365" s="1">
        <f t="shared" si="30"/>
        <v>1.1443474576770098</v>
      </c>
      <c r="L365" s="1">
        <f t="shared" si="30"/>
        <v>1.5256046238192191</v>
      </c>
      <c r="N365">
        <f>I365</f>
        <v>225600.84829859098</v>
      </c>
      <c r="O365" s="1">
        <f>SUM(K$2:K365)/$G$3</f>
        <v>3.4039851885843332E-2</v>
      </c>
      <c r="P365" s="1">
        <f>SUM(L$2:L365)/$G$3</f>
        <v>3.5000486769679186E-2</v>
      </c>
      <c r="Q365" s="1">
        <f t="shared" si="26"/>
        <v>34.039851885843333</v>
      </c>
      <c r="R365" s="1">
        <f t="shared" si="27"/>
        <v>35.000486769679185</v>
      </c>
    </row>
    <row r="366" spans="1:18" x14ac:dyDescent="0.35">
      <c r="A366">
        <v>2.61806537491282</v>
      </c>
      <c r="B366">
        <v>0.40452983082965899</v>
      </c>
      <c r="C366">
        <v>0.53972551400588997</v>
      </c>
      <c r="I366" s="1">
        <f t="shared" si="28"/>
        <v>226200.84839246765</v>
      </c>
      <c r="J366">
        <f t="shared" si="29"/>
        <v>600.00009387667524</v>
      </c>
      <c r="K366" s="1">
        <f t="shared" si="30"/>
        <v>1.1407743014264415</v>
      </c>
      <c r="L366" s="1">
        <f t="shared" si="30"/>
        <v>1.5220261876345027</v>
      </c>
      <c r="N366">
        <f>I366</f>
        <v>226200.84839246765</v>
      </c>
      <c r="O366" s="1">
        <f>SUM(K$2:K366)/$G$3</f>
        <v>3.4051675219018709E-2</v>
      </c>
      <c r="P366" s="1">
        <f>SUM(L$2:L366)/$G$3</f>
        <v>3.5016261513811792E-2</v>
      </c>
      <c r="Q366" s="1">
        <f t="shared" si="26"/>
        <v>34.051675219018712</v>
      </c>
      <c r="R366" s="1">
        <f t="shared" si="27"/>
        <v>35.016261513811791</v>
      </c>
    </row>
    <row r="367" spans="1:18" x14ac:dyDescent="0.35">
      <c r="A367">
        <v>2.6250098204438101</v>
      </c>
      <c r="B367">
        <v>0.40347151672918102</v>
      </c>
      <c r="C367">
        <v>0.53872168623460504</v>
      </c>
      <c r="I367" s="1">
        <f t="shared" si="28"/>
        <v>226800.8484863452</v>
      </c>
      <c r="J367">
        <f t="shared" si="29"/>
        <v>600.00009387754835</v>
      </c>
      <c r="K367" s="1">
        <f t="shared" si="30"/>
        <v>1.1377898551977996</v>
      </c>
      <c r="L367" s="1">
        <f t="shared" si="30"/>
        <v>1.5191953928787807</v>
      </c>
      <c r="N367">
        <f>I367</f>
        <v>226800.8484863452</v>
      </c>
      <c r="O367" s="1">
        <f>SUM(K$2:K367)/$G$3</f>
        <v>3.4063467620482124E-2</v>
      </c>
      <c r="P367" s="1">
        <f>SUM(L$2:L367)/$G$3</f>
        <v>3.5032006918723213E-2</v>
      </c>
      <c r="Q367" s="1">
        <f t="shared" si="26"/>
        <v>34.063467620482122</v>
      </c>
      <c r="R367" s="1">
        <f t="shared" si="27"/>
        <v>35.032006918723212</v>
      </c>
    </row>
    <row r="368" spans="1:18" x14ac:dyDescent="0.35">
      <c r="A368">
        <v>2.6319542659747901</v>
      </c>
      <c r="B368">
        <v>0.40239602272401997</v>
      </c>
      <c r="C368">
        <v>0.53785392726084502</v>
      </c>
      <c r="I368" s="1">
        <f t="shared" si="28"/>
        <v>227400.84858022188</v>
      </c>
      <c r="J368">
        <f t="shared" si="29"/>
        <v>600.00009387667524</v>
      </c>
      <c r="K368" s="1">
        <f t="shared" si="30"/>
        <v>1.1347569616270599</v>
      </c>
      <c r="L368" s="1">
        <f t="shared" si="30"/>
        <v>1.5167483121876939</v>
      </c>
      <c r="N368">
        <f>I368</f>
        <v>227400.84858022188</v>
      </c>
      <c r="O368" s="1">
        <f>SUM(K$2:K368)/$G$3</f>
        <v>3.4075228588110532E-2</v>
      </c>
      <c r="P368" s="1">
        <f>SUM(L$2:L368)/$G$3</f>
        <v>3.5047726961343187E-2</v>
      </c>
      <c r="Q368" s="1">
        <f t="shared" si="26"/>
        <v>34.075228588110534</v>
      </c>
      <c r="R368" s="1">
        <f t="shared" si="27"/>
        <v>35.047726961343187</v>
      </c>
    </row>
    <row r="369" spans="1:18" x14ac:dyDescent="0.35">
      <c r="A369">
        <v>2.6388987115057798</v>
      </c>
      <c r="B369">
        <v>0.40135268332558099</v>
      </c>
      <c r="C369">
        <v>0.53671764666093003</v>
      </c>
      <c r="I369" s="1">
        <f t="shared" si="28"/>
        <v>228000.84867409937</v>
      </c>
      <c r="J369">
        <f t="shared" si="29"/>
        <v>600.00009387749014</v>
      </c>
      <c r="K369" s="1">
        <f t="shared" si="30"/>
        <v>1.1318147440646567</v>
      </c>
      <c r="L369" s="1">
        <f t="shared" si="30"/>
        <v>1.5135440003966389</v>
      </c>
      <c r="N369">
        <f>I369</f>
        <v>228000.84867409937</v>
      </c>
      <c r="O369" s="1">
        <f>SUM(K$2:K369)/$G$3</f>
        <v>3.4086959061697772E-2</v>
      </c>
      <c r="P369" s="1">
        <f>SUM(L$2:L369)/$G$3</f>
        <v>3.5063413793497367E-2</v>
      </c>
      <c r="Q369" s="1">
        <f t="shared" si="26"/>
        <v>34.086959061697769</v>
      </c>
      <c r="R369" s="1">
        <f t="shared" si="27"/>
        <v>35.063413793497368</v>
      </c>
    </row>
    <row r="370" spans="1:18" x14ac:dyDescent="0.35">
      <c r="A370">
        <v>2.6458431570367602</v>
      </c>
      <c r="B370">
        <v>0.40022763826608398</v>
      </c>
      <c r="C370">
        <v>0.53555162895123198</v>
      </c>
      <c r="I370" s="1">
        <f t="shared" si="28"/>
        <v>228600.84876797607</v>
      </c>
      <c r="J370">
        <f t="shared" si="29"/>
        <v>600.00009387670434</v>
      </c>
      <c r="K370" s="1">
        <f t="shared" si="30"/>
        <v>1.1286421164989997</v>
      </c>
      <c r="L370" s="1">
        <f t="shared" si="30"/>
        <v>1.5102558299388371</v>
      </c>
      <c r="N370">
        <f>I370</f>
        <v>228600.84876797607</v>
      </c>
      <c r="O370" s="1">
        <f>SUM(K$2:K370)/$G$3</f>
        <v>3.4098656653204218E-2</v>
      </c>
      <c r="P370" s="1">
        <f>SUM(L$2:L370)/$G$3</f>
        <v>3.5079066546048941E-2</v>
      </c>
      <c r="Q370" s="1">
        <f t="shared" si="26"/>
        <v>34.098656653204216</v>
      </c>
      <c r="R370" s="1">
        <f t="shared" si="27"/>
        <v>35.079066546048942</v>
      </c>
    </row>
    <row r="371" spans="1:18" x14ac:dyDescent="0.35">
      <c r="A371">
        <v>2.6527876025677499</v>
      </c>
      <c r="B371">
        <v>0.39896948076659899</v>
      </c>
      <c r="C371">
        <v>0.53452683188369698</v>
      </c>
      <c r="I371" s="1">
        <f t="shared" si="28"/>
        <v>229200.84886185359</v>
      </c>
      <c r="J371">
        <f t="shared" si="29"/>
        <v>600.00009387751925</v>
      </c>
      <c r="K371" s="1">
        <f t="shared" si="30"/>
        <v>1.1250941117968554</v>
      </c>
      <c r="L371" s="1">
        <f t="shared" si="30"/>
        <v>1.5073659017582743</v>
      </c>
      <c r="N371">
        <f>I371</f>
        <v>229200.84886185359</v>
      </c>
      <c r="O371" s="1">
        <f>SUM(K$2:K371)/$G$3</f>
        <v>3.4110317472106605E-2</v>
      </c>
      <c r="P371" s="1">
        <f>SUM(L$2:L371)/$G$3</f>
        <v>3.5094689346502471E-2</v>
      </c>
      <c r="Q371" s="1">
        <f t="shared" si="26"/>
        <v>34.110317472106608</v>
      </c>
      <c r="R371" s="1">
        <f t="shared" si="27"/>
        <v>35.09468934650247</v>
      </c>
    </row>
    <row r="372" spans="1:18" x14ac:dyDescent="0.35">
      <c r="A372">
        <v>2.6597320480987299</v>
      </c>
      <c r="B372">
        <v>0.39787806856797397</v>
      </c>
      <c r="C372">
        <v>0.53349992473118002</v>
      </c>
      <c r="I372" s="1">
        <f t="shared" si="28"/>
        <v>229800.84895573027</v>
      </c>
      <c r="J372">
        <f t="shared" si="29"/>
        <v>600.00009387667524</v>
      </c>
      <c r="K372" s="1">
        <f t="shared" si="30"/>
        <v>1.1220163289135967</v>
      </c>
      <c r="L372" s="1">
        <f t="shared" si="30"/>
        <v>1.5044700231329637</v>
      </c>
      <c r="N372">
        <f>I372</f>
        <v>229800.84895573027</v>
      </c>
      <c r="O372" s="1">
        <f>SUM(K$2:K372)/$G$3</f>
        <v>3.4121946391927442E-2</v>
      </c>
      <c r="P372" s="1">
        <f>SUM(L$2:L372)/$G$3</f>
        <v>3.5110282133185712E-2</v>
      </c>
      <c r="Q372" s="1">
        <f t="shared" si="26"/>
        <v>34.121946391927445</v>
      </c>
      <c r="R372" s="1">
        <f t="shared" si="27"/>
        <v>35.110282133185713</v>
      </c>
    </row>
    <row r="373" spans="1:18" x14ac:dyDescent="0.35">
      <c r="A373">
        <v>2.66667649362972</v>
      </c>
      <c r="B373">
        <v>0.39684756853722403</v>
      </c>
      <c r="C373">
        <v>0.53252091539169799</v>
      </c>
      <c r="I373" s="1">
        <f t="shared" si="28"/>
        <v>230400.84904960782</v>
      </c>
      <c r="J373">
        <f t="shared" si="29"/>
        <v>600.00009387754835</v>
      </c>
      <c r="K373" s="1">
        <f t="shared" si="30"/>
        <v>1.1191103183738327</v>
      </c>
      <c r="L373" s="1">
        <f t="shared" si="30"/>
        <v>1.501709216365851</v>
      </c>
      <c r="N373">
        <f>I373</f>
        <v>230400.84904960782</v>
      </c>
      <c r="O373" s="1">
        <f>SUM(K$2:K373)/$G$3</f>
        <v>3.4133545192967747E-2</v>
      </c>
      <c r="P373" s="1">
        <f>SUM(L$2:L373)/$G$3</f>
        <v>3.5125846306024659E-2</v>
      </c>
      <c r="Q373" s="1">
        <f t="shared" si="26"/>
        <v>34.133545192967745</v>
      </c>
      <c r="R373" s="1">
        <f t="shared" si="27"/>
        <v>35.125846306024663</v>
      </c>
    </row>
    <row r="374" spans="1:18" x14ac:dyDescent="0.35">
      <c r="A374">
        <v>2.6736209391607</v>
      </c>
      <c r="B374">
        <v>0.395881761401361</v>
      </c>
      <c r="C374">
        <v>0.53140979445983005</v>
      </c>
      <c r="I374" s="1">
        <f t="shared" si="28"/>
        <v>231000.84914348449</v>
      </c>
      <c r="J374">
        <f t="shared" si="29"/>
        <v>600.00009387667524</v>
      </c>
      <c r="K374" s="1">
        <f t="shared" si="30"/>
        <v>1.1163867418229367</v>
      </c>
      <c r="L374" s="1">
        <f t="shared" si="30"/>
        <v>1.4985758548455488</v>
      </c>
      <c r="N374">
        <f>I374</f>
        <v>231000.84914348449</v>
      </c>
      <c r="O374" s="1">
        <f>SUM(K$2:K374)/$G$3</f>
        <v>3.4145115766029084E-2</v>
      </c>
      <c r="P374" s="1">
        <f>SUM(L$2:L374)/$G$3</f>
        <v>3.5141378003748093E-2</v>
      </c>
      <c r="Q374" s="1">
        <f t="shared" si="26"/>
        <v>34.145115766029086</v>
      </c>
      <c r="R374" s="1">
        <f t="shared" si="27"/>
        <v>35.141378003748095</v>
      </c>
    </row>
    <row r="375" spans="1:18" x14ac:dyDescent="0.35">
      <c r="A375">
        <v>2.6805653846916901</v>
      </c>
      <c r="B375">
        <v>0.39487147686547103</v>
      </c>
      <c r="C375">
        <v>0.530720812969531</v>
      </c>
      <c r="I375" s="1">
        <f t="shared" si="28"/>
        <v>231600.84923736204</v>
      </c>
      <c r="J375">
        <f t="shared" si="29"/>
        <v>600.00009387754835</v>
      </c>
      <c r="K375" s="1">
        <f t="shared" si="30"/>
        <v>1.1135377389875893</v>
      </c>
      <c r="L375" s="1">
        <f t="shared" si="30"/>
        <v>1.4966329267410907</v>
      </c>
      <c r="N375">
        <f>I375</f>
        <v>231600.84923736204</v>
      </c>
      <c r="O375" s="1">
        <f>SUM(K$2:K375)/$G$3</f>
        <v>3.4156656811155144E-2</v>
      </c>
      <c r="P375" s="1">
        <f>SUM(L$2:L375)/$G$3</f>
        <v>3.5156889564371414E-2</v>
      </c>
      <c r="Q375" s="1">
        <f t="shared" si="26"/>
        <v>34.156656811155145</v>
      </c>
      <c r="R375" s="1">
        <f t="shared" si="27"/>
        <v>35.156889564371411</v>
      </c>
    </row>
    <row r="376" spans="1:18" x14ac:dyDescent="0.35">
      <c r="A376">
        <v>2.6875098302226799</v>
      </c>
      <c r="B376">
        <v>0.39399086057095001</v>
      </c>
      <c r="C376">
        <v>0.52984615313028505</v>
      </c>
      <c r="I376" s="1">
        <f t="shared" si="28"/>
        <v>232200.84933123953</v>
      </c>
      <c r="J376">
        <f t="shared" si="29"/>
        <v>600.00009387749014</v>
      </c>
      <c r="K376" s="1">
        <f t="shared" si="30"/>
        <v>1.1110544006483829</v>
      </c>
      <c r="L376" s="1">
        <f t="shared" si="30"/>
        <v>1.4941663856083509</v>
      </c>
      <c r="N376">
        <f>I376</f>
        <v>232200.84933123953</v>
      </c>
      <c r="O376" s="1">
        <f>SUM(K$2:K376)/$G$3</f>
        <v>3.4168172118204408E-2</v>
      </c>
      <c r="P376" s="1">
        <f>SUM(L$2:L376)/$G$3</f>
        <v>3.5172375561009321E-2</v>
      </c>
      <c r="Q376" s="1">
        <f t="shared" si="26"/>
        <v>34.16817211820441</v>
      </c>
      <c r="R376" s="1">
        <f t="shared" si="27"/>
        <v>35.172375561009318</v>
      </c>
    </row>
    <row r="377" spans="1:18" x14ac:dyDescent="0.35">
      <c r="A377">
        <v>2.6944542757536598</v>
      </c>
      <c r="B377">
        <v>0.39300988001669501</v>
      </c>
      <c r="C377">
        <v>0.52895064287229798</v>
      </c>
      <c r="I377" s="1">
        <f t="shared" si="28"/>
        <v>232800.8494251162</v>
      </c>
      <c r="J377">
        <f t="shared" si="29"/>
        <v>600.00009387667524</v>
      </c>
      <c r="K377" s="1">
        <f t="shared" si="30"/>
        <v>1.1082880350510462</v>
      </c>
      <c r="L377" s="1">
        <f t="shared" si="30"/>
        <v>1.4916410462836807</v>
      </c>
      <c r="N377">
        <f>I377</f>
        <v>232800.8494251162</v>
      </c>
      <c r="O377" s="1">
        <f>SUM(K$2:K377)/$G$3</f>
        <v>3.4179658753795958E-2</v>
      </c>
      <c r="P377" s="1">
        <f>SUM(L$2:L377)/$G$3</f>
        <v>3.5187835384259403E-2</v>
      </c>
      <c r="Q377" s="1">
        <f t="shared" si="26"/>
        <v>34.179658753795955</v>
      </c>
      <c r="R377" s="1">
        <f t="shared" si="27"/>
        <v>35.187835384259401</v>
      </c>
    </row>
    <row r="378" spans="1:18" x14ac:dyDescent="0.35">
      <c r="A378">
        <v>2.70139872128465</v>
      </c>
      <c r="B378">
        <v>0.39204731038409002</v>
      </c>
      <c r="C378">
        <v>0.528003045217461</v>
      </c>
      <c r="I378" s="1">
        <f t="shared" si="28"/>
        <v>233400.84951899375</v>
      </c>
      <c r="J378">
        <f t="shared" si="29"/>
        <v>600.00009387754835</v>
      </c>
      <c r="K378" s="1">
        <f t="shared" si="30"/>
        <v>1.1055735882640034</v>
      </c>
      <c r="L378" s="1">
        <f t="shared" si="30"/>
        <v>1.4889688204811076</v>
      </c>
      <c r="N378">
        <f>I378</f>
        <v>233400.84951899375</v>
      </c>
      <c r="O378" s="1">
        <f>SUM(K$2:K378)/$G$3</f>
        <v>3.4191117256032202E-2</v>
      </c>
      <c r="P378" s="1">
        <f>SUM(L$2:L378)/$G$3</f>
        <v>3.5203267511745344E-2</v>
      </c>
      <c r="Q378" s="1">
        <f t="shared" si="26"/>
        <v>34.1911172560322</v>
      </c>
      <c r="R378" s="1">
        <f t="shared" si="27"/>
        <v>35.203267511745345</v>
      </c>
    </row>
    <row r="379" spans="1:18" x14ac:dyDescent="0.35">
      <c r="A379">
        <v>2.7083431668156299</v>
      </c>
      <c r="B379">
        <v>0.39131787148249603</v>
      </c>
      <c r="C379">
        <v>0.52733044854437205</v>
      </c>
      <c r="I379" s="1">
        <f t="shared" si="28"/>
        <v>234000.84961287043</v>
      </c>
      <c r="J379">
        <f t="shared" si="29"/>
        <v>600.00009387667524</v>
      </c>
      <c r="K379" s="1">
        <f t="shared" si="30"/>
        <v>1.1035165702380563</v>
      </c>
      <c r="L379" s="1">
        <f t="shared" si="30"/>
        <v>1.4870720975640668</v>
      </c>
      <c r="N379">
        <f>I379</f>
        <v>234000.84961287043</v>
      </c>
      <c r="O379" s="1">
        <f>SUM(K$2:K379)/$G$3</f>
        <v>3.4202554438705547E-2</v>
      </c>
      <c r="P379" s="1">
        <f>SUM(L$2:L379)/$G$3</f>
        <v>3.5218679981015841E-2</v>
      </c>
      <c r="Q379" s="1">
        <f t="shared" si="26"/>
        <v>34.202554438705548</v>
      </c>
      <c r="R379" s="1">
        <f t="shared" si="27"/>
        <v>35.218679981015839</v>
      </c>
    </row>
    <row r="380" spans="1:18" x14ac:dyDescent="0.35">
      <c r="A380">
        <v>2.7152876123466201</v>
      </c>
      <c r="B380">
        <v>0.390573511450508</v>
      </c>
      <c r="C380">
        <v>0.52670280617913001</v>
      </c>
      <c r="I380" s="1">
        <f t="shared" si="28"/>
        <v>234600.84970674798</v>
      </c>
      <c r="J380">
        <f t="shared" si="29"/>
        <v>600.00009387754835</v>
      </c>
      <c r="K380" s="1">
        <f t="shared" si="30"/>
        <v>1.1014174746210261</v>
      </c>
      <c r="L380" s="1">
        <f t="shared" si="30"/>
        <v>1.485302145819317</v>
      </c>
      <c r="N380">
        <f>I380</f>
        <v>234600.84970674798</v>
      </c>
      <c r="O380" s="1">
        <f>SUM(K$2:K380)/$G$3</f>
        <v>3.4213969865711E-2</v>
      </c>
      <c r="P380" s="1">
        <f>SUM(L$2:L380)/$G$3</f>
        <v>3.5234074105966032E-2</v>
      </c>
      <c r="Q380" s="1">
        <f t="shared" si="26"/>
        <v>34.213969865711</v>
      </c>
      <c r="R380" s="1">
        <f t="shared" si="27"/>
        <v>35.23407410596603</v>
      </c>
    </row>
    <row r="381" spans="1:18" x14ac:dyDescent="0.35">
      <c r="A381">
        <v>2.7222320578776</v>
      </c>
      <c r="B381">
        <v>0.38981190193402998</v>
      </c>
      <c r="C381">
        <v>0.52621410083731601</v>
      </c>
      <c r="I381" s="1">
        <f t="shared" si="28"/>
        <v>235200.84980062465</v>
      </c>
      <c r="J381">
        <f t="shared" si="29"/>
        <v>600.00009387667524</v>
      </c>
      <c r="K381" s="1">
        <f t="shared" si="30"/>
        <v>1.0992697354469176</v>
      </c>
      <c r="L381" s="1">
        <f t="shared" si="30"/>
        <v>1.4839239965376134</v>
      </c>
      <c r="N381">
        <f>I381</f>
        <v>235200.84980062465</v>
      </c>
      <c r="O381" s="1">
        <f>SUM(K$2:K381)/$G$3</f>
        <v>3.4225363032891878E-2</v>
      </c>
      <c r="P381" s="1">
        <f>SUM(L$2:L381)/$G$3</f>
        <v>3.5249453947356277E-2</v>
      </c>
      <c r="Q381" s="1">
        <f t="shared" si="26"/>
        <v>34.225363032891877</v>
      </c>
      <c r="R381" s="1">
        <f t="shared" si="27"/>
        <v>35.24945394735628</v>
      </c>
    </row>
    <row r="382" spans="1:18" x14ac:dyDescent="0.35">
      <c r="A382">
        <v>2.7291765034085902</v>
      </c>
      <c r="B382">
        <v>0.38890717025933702</v>
      </c>
      <c r="C382">
        <v>0.52542644478546996</v>
      </c>
      <c r="I382" s="1">
        <f t="shared" si="28"/>
        <v>235800.8498945022</v>
      </c>
      <c r="J382">
        <f t="shared" si="29"/>
        <v>600.00009387754835</v>
      </c>
      <c r="K382" s="1">
        <f t="shared" si="30"/>
        <v>1.0967183917266934</v>
      </c>
      <c r="L382" s="1">
        <f t="shared" si="30"/>
        <v>1.4817028061260338</v>
      </c>
      <c r="N382">
        <f>I382</f>
        <v>235800.8498945022</v>
      </c>
      <c r="O382" s="1">
        <f>SUM(K$2:K382)/$G$3</f>
        <v>3.4236729757167433E-2</v>
      </c>
      <c r="P382" s="1">
        <f>SUM(L$2:L382)/$G$3</f>
        <v>3.5264810767650895E-2</v>
      </c>
      <c r="Q382" s="1">
        <f t="shared" si="26"/>
        <v>34.236729757167431</v>
      </c>
      <c r="R382" s="1">
        <f t="shared" si="27"/>
        <v>35.264810767650893</v>
      </c>
    </row>
    <row r="383" spans="1:18" x14ac:dyDescent="0.35">
      <c r="A383">
        <v>2.7361209489395701</v>
      </c>
      <c r="B383">
        <v>0.38796081573075403</v>
      </c>
      <c r="C383">
        <v>0.52467131528496402</v>
      </c>
      <c r="I383" s="1">
        <f t="shared" si="28"/>
        <v>236400.84998837885</v>
      </c>
      <c r="J383">
        <f t="shared" si="29"/>
        <v>600.00009387664613</v>
      </c>
      <c r="K383" s="1">
        <f t="shared" si="30"/>
        <v>1.0940496715368895</v>
      </c>
      <c r="L383" s="1">
        <f t="shared" si="30"/>
        <v>1.4795733405992006</v>
      </c>
      <c r="N383">
        <f>I383</f>
        <v>236400.84998837885</v>
      </c>
      <c r="O383" s="1">
        <f>SUM(K$2:K383)/$G$3</f>
        <v>3.424806882201209E-2</v>
      </c>
      <c r="P383" s="1">
        <f>SUM(L$2:L383)/$G$3</f>
        <v>3.5280145517514593E-2</v>
      </c>
      <c r="Q383" s="1">
        <f t="shared" si="26"/>
        <v>34.248068822012087</v>
      </c>
      <c r="R383" s="1">
        <f t="shared" si="27"/>
        <v>35.28014551751459</v>
      </c>
    </row>
    <row r="384" spans="1:18" x14ac:dyDescent="0.35">
      <c r="A384">
        <v>2.7430653944705599</v>
      </c>
      <c r="B384">
        <v>0.38716251906855498</v>
      </c>
      <c r="C384">
        <v>0.52408961891364103</v>
      </c>
      <c r="I384" s="1">
        <f t="shared" si="28"/>
        <v>237000.85008225637</v>
      </c>
      <c r="J384">
        <f t="shared" si="29"/>
        <v>600.00009387751925</v>
      </c>
      <c r="K384" s="1">
        <f t="shared" si="30"/>
        <v>1.091798474598852</v>
      </c>
      <c r="L384" s="1">
        <f t="shared" si="30"/>
        <v>1.4779329565775643</v>
      </c>
      <c r="N384">
        <f>I384</f>
        <v>237000.85008225637</v>
      </c>
      <c r="O384" s="1">
        <f>SUM(K$2:K384)/$G$3</f>
        <v>3.4259384554764322E-2</v>
      </c>
      <c r="P384" s="1">
        <f>SUM(L$2:L384)/$G$3</f>
        <v>3.5295463265937438E-2</v>
      </c>
      <c r="Q384" s="1">
        <f t="shared" si="26"/>
        <v>34.259384554764324</v>
      </c>
      <c r="R384" s="1">
        <f t="shared" si="27"/>
        <v>35.295463265937435</v>
      </c>
    </row>
    <row r="385" spans="1:18" x14ac:dyDescent="0.35">
      <c r="A385">
        <v>2.7500098400015398</v>
      </c>
      <c r="B385">
        <v>0.386286252374198</v>
      </c>
      <c r="C385">
        <v>0.52342813697006496</v>
      </c>
      <c r="I385" s="1">
        <f t="shared" si="28"/>
        <v>237600.85017613304</v>
      </c>
      <c r="J385">
        <f t="shared" si="29"/>
        <v>600.00009387667524</v>
      </c>
      <c r="K385" s="1">
        <f t="shared" si="30"/>
        <v>1.0893274021326032</v>
      </c>
      <c r="L385" s="1">
        <f t="shared" si="30"/>
        <v>1.4760675772027414</v>
      </c>
      <c r="N385">
        <f>I385</f>
        <v>237600.85017613304</v>
      </c>
      <c r="O385" s="1">
        <f>SUM(K$2:K385)/$G$3</f>
        <v>3.4270674676567012E-2</v>
      </c>
      <c r="P385" s="1">
        <f>SUM(L$2:L385)/$G$3</f>
        <v>3.5310761680998871E-2</v>
      </c>
      <c r="Q385" s="1">
        <f t="shared" si="26"/>
        <v>34.270674676567012</v>
      </c>
      <c r="R385" s="1">
        <f t="shared" si="27"/>
        <v>35.310761680998873</v>
      </c>
    </row>
    <row r="386" spans="1:18" x14ac:dyDescent="0.35">
      <c r="A386">
        <v>2.7569542855325202</v>
      </c>
      <c r="B386">
        <v>0.38547869796798401</v>
      </c>
      <c r="C386">
        <v>0.52268362921542799</v>
      </c>
      <c r="I386" s="1">
        <f t="shared" si="28"/>
        <v>238200.85027000975</v>
      </c>
      <c r="J386">
        <f t="shared" si="29"/>
        <v>600.00009387670434</v>
      </c>
      <c r="K386" s="1">
        <f t="shared" si="30"/>
        <v>1.0870500983508229</v>
      </c>
      <c r="L386" s="1">
        <f t="shared" si="30"/>
        <v>1.4739680650062448</v>
      </c>
      <c r="N386">
        <f>I386</f>
        <v>238200.85027000975</v>
      </c>
      <c r="O386" s="1">
        <f>SUM(K$2:K386)/$G$3</f>
        <v>3.4281941195697975E-2</v>
      </c>
      <c r="P386" s="1">
        <f>SUM(L$2:L386)/$G$3</f>
        <v>3.5326038336074853E-2</v>
      </c>
      <c r="Q386" s="1">
        <f t="shared" ref="Q386:Q449" si="31">O386*1000</f>
        <v>34.281941195697975</v>
      </c>
      <c r="R386" s="1">
        <f t="shared" ref="R386:R449" si="32">P386*1000</f>
        <v>35.326038336074852</v>
      </c>
    </row>
    <row r="387" spans="1:18" x14ac:dyDescent="0.35">
      <c r="A387">
        <v>2.7638987310635099</v>
      </c>
      <c r="B387">
        <v>0.38455691218516402</v>
      </c>
      <c r="C387">
        <v>0.52212836896233505</v>
      </c>
      <c r="I387" s="1">
        <f t="shared" ref="I387:I450" si="33">A387*86400</f>
        <v>238800.85036388726</v>
      </c>
      <c r="J387">
        <f t="shared" si="29"/>
        <v>600.00009387751925</v>
      </c>
      <c r="K387" s="1">
        <f t="shared" si="30"/>
        <v>1.0844506620380325</v>
      </c>
      <c r="L387" s="1">
        <f t="shared" si="30"/>
        <v>1.4724022308495301</v>
      </c>
      <c r="N387">
        <f>I387</f>
        <v>238800.85036388726</v>
      </c>
      <c r="O387" s="1">
        <f>SUM(K$2:K387)/$G$3</f>
        <v>3.4293180773477303E-2</v>
      </c>
      <c r="P387" s="1">
        <f>SUM(L$2:L387)/$G$3</f>
        <v>3.5341298762367537E-2</v>
      </c>
      <c r="Q387" s="1">
        <f t="shared" si="31"/>
        <v>34.293180773477303</v>
      </c>
      <c r="R387" s="1">
        <f t="shared" si="32"/>
        <v>35.341298762367536</v>
      </c>
    </row>
    <row r="388" spans="1:18" x14ac:dyDescent="0.35">
      <c r="A388">
        <v>2.7708431765944899</v>
      </c>
      <c r="B388">
        <v>0.38369795703257198</v>
      </c>
      <c r="C388">
        <v>0.52156245445203897</v>
      </c>
      <c r="I388" s="1">
        <f t="shared" si="33"/>
        <v>239400.85045776391</v>
      </c>
      <c r="J388">
        <f t="shared" si="29"/>
        <v>600.00009387664613</v>
      </c>
      <c r="K388" s="1">
        <f t="shared" si="30"/>
        <v>1.0820284081271565</v>
      </c>
      <c r="L388" s="1">
        <f t="shared" si="30"/>
        <v>1.4708063516786596</v>
      </c>
      <c r="N388">
        <f>I388</f>
        <v>239400.85045776391</v>
      </c>
      <c r="O388" s="1">
        <f>SUM(K$2:K388)/$G$3</f>
        <v>3.43043952462775E-2</v>
      </c>
      <c r="P388" s="1">
        <f>SUM(L$2:L388)/$G$3</f>
        <v>3.5356542648481225E-2</v>
      </c>
      <c r="Q388" s="1">
        <f t="shared" si="31"/>
        <v>34.304395246277501</v>
      </c>
      <c r="R388" s="1">
        <f t="shared" si="32"/>
        <v>35.356542648481224</v>
      </c>
    </row>
    <row r="389" spans="1:18" x14ac:dyDescent="0.35">
      <c r="A389">
        <v>2.77778762212548</v>
      </c>
      <c r="B389">
        <v>0.38290764232124502</v>
      </c>
      <c r="C389">
        <v>0.52084567072184595</v>
      </c>
      <c r="I389" s="1">
        <f t="shared" si="33"/>
        <v>240000.85055164149</v>
      </c>
      <c r="J389">
        <f t="shared" si="29"/>
        <v>600.00009387757746</v>
      </c>
      <c r="K389" s="1">
        <f t="shared" si="30"/>
        <v>1.0797997202941876</v>
      </c>
      <c r="L389" s="1">
        <f t="shared" si="30"/>
        <v>1.4687850212455356</v>
      </c>
      <c r="N389">
        <f>I389</f>
        <v>240000.85055164149</v>
      </c>
      <c r="O389" s="1">
        <f>SUM(K$2:K389)/$G$3</f>
        <v>3.4315586620276506E-2</v>
      </c>
      <c r="P389" s="1">
        <f>SUM(L$2:L389)/$G$3</f>
        <v>3.5371765584909114E-2</v>
      </c>
      <c r="Q389" s="1">
        <f t="shared" si="31"/>
        <v>34.315586620276505</v>
      </c>
      <c r="R389" s="1">
        <f t="shared" si="32"/>
        <v>35.371765584909113</v>
      </c>
    </row>
    <row r="390" spans="1:18" x14ac:dyDescent="0.35">
      <c r="A390">
        <v>2.78473206765646</v>
      </c>
      <c r="B390">
        <v>0.38230336307745599</v>
      </c>
      <c r="C390">
        <v>0.52003357003682305</v>
      </c>
      <c r="I390" s="1">
        <f t="shared" si="33"/>
        <v>240600.85064551813</v>
      </c>
      <c r="J390">
        <f t="shared" ref="J390:J453" si="34">I390-I389</f>
        <v>600.00009387664613</v>
      </c>
      <c r="K390" s="1">
        <f t="shared" si="30"/>
        <v>1.0780956525584064</v>
      </c>
      <c r="L390" s="1">
        <f t="shared" si="30"/>
        <v>1.4664948969531761</v>
      </c>
      <c r="N390">
        <f>I390</f>
        <v>240600.85064551813</v>
      </c>
      <c r="O390" s="1">
        <f>SUM(K$2:K390)/$G$3</f>
        <v>3.432676033279719E-2</v>
      </c>
      <c r="P390" s="1">
        <f>SUM(L$2:L390)/$G$3</f>
        <v>3.5386964785789593E-2</v>
      </c>
      <c r="Q390" s="1">
        <f t="shared" si="31"/>
        <v>34.326760332797193</v>
      </c>
      <c r="R390" s="1">
        <f t="shared" si="32"/>
        <v>35.386964785789594</v>
      </c>
    </row>
    <row r="391" spans="1:18" x14ac:dyDescent="0.35">
      <c r="A391">
        <v>2.7916765131874501</v>
      </c>
      <c r="B391">
        <v>0.38159238562261399</v>
      </c>
      <c r="C391">
        <v>0.51961320898122598</v>
      </c>
      <c r="I391" s="1">
        <f t="shared" si="33"/>
        <v>241200.85073939568</v>
      </c>
      <c r="J391">
        <f t="shared" si="34"/>
        <v>600.00009387754835</v>
      </c>
      <c r="K391" s="1">
        <f t="shared" si="30"/>
        <v>1.0760906958236724</v>
      </c>
      <c r="L391" s="1">
        <f t="shared" si="30"/>
        <v>1.4653094785931238</v>
      </c>
      <c r="N391">
        <f>I391</f>
        <v>241200.85073939568</v>
      </c>
      <c r="O391" s="1">
        <f>SUM(K$2:K391)/$G$3</f>
        <v>3.43379132653341E-2</v>
      </c>
      <c r="P391" s="1">
        <f>SUM(L$2:L391)/$G$3</f>
        <v>3.5402151700632246E-2</v>
      </c>
      <c r="Q391" s="1">
        <f t="shared" si="31"/>
        <v>34.337913265334102</v>
      </c>
      <c r="R391" s="1">
        <f t="shared" si="32"/>
        <v>35.402151700632245</v>
      </c>
    </row>
    <row r="392" spans="1:18" x14ac:dyDescent="0.35">
      <c r="A392">
        <v>2.7986209587184301</v>
      </c>
      <c r="B392">
        <v>0.38090041537650499</v>
      </c>
      <c r="C392">
        <v>0.51933596849513197</v>
      </c>
      <c r="I392" s="1">
        <f t="shared" si="33"/>
        <v>241800.85083327236</v>
      </c>
      <c r="J392">
        <f t="shared" si="34"/>
        <v>600.00009387667524</v>
      </c>
      <c r="K392" s="1">
        <f t="shared" si="30"/>
        <v>1.0741393394227676</v>
      </c>
      <c r="L392" s="1">
        <f t="shared" si="30"/>
        <v>1.4645276602978823</v>
      </c>
      <c r="N392">
        <f>I392</f>
        <v>241800.85083327236</v>
      </c>
      <c r="O392" s="1">
        <f>SUM(K$2:K392)/$G$3</f>
        <v>3.4349045973417452E-2</v>
      </c>
      <c r="P392" s="1">
        <f>SUM(L$2:L392)/$G$3</f>
        <v>3.5417330512471368E-2</v>
      </c>
      <c r="Q392" s="1">
        <f t="shared" si="31"/>
        <v>34.349045973417454</v>
      </c>
      <c r="R392" s="1">
        <f t="shared" si="32"/>
        <v>35.417330512471366</v>
      </c>
    </row>
    <row r="393" spans="1:18" x14ac:dyDescent="0.35">
      <c r="A393">
        <v>2.8055654042494198</v>
      </c>
      <c r="B393">
        <v>0.38052944210819201</v>
      </c>
      <c r="C393">
        <v>0.51874560722266705</v>
      </c>
      <c r="I393" s="1">
        <f t="shared" si="33"/>
        <v>242400.85092714988</v>
      </c>
      <c r="J393">
        <f t="shared" si="34"/>
        <v>600.00009387751925</v>
      </c>
      <c r="K393" s="1">
        <f t="shared" si="30"/>
        <v>1.0730931946439535</v>
      </c>
      <c r="L393" s="1">
        <f t="shared" si="30"/>
        <v>1.4628628412511095</v>
      </c>
      <c r="N393">
        <f>I393</f>
        <v>242400.85092714988</v>
      </c>
      <c r="O393" s="1">
        <f>SUM(K$2:K393)/$G$3</f>
        <v>3.4360167838936903E-2</v>
      </c>
      <c r="P393" s="1">
        <f>SUM(L$2:L393)/$G$3</f>
        <v>3.5432492069617572E-2</v>
      </c>
      <c r="Q393" s="1">
        <f t="shared" si="31"/>
        <v>34.360167838936903</v>
      </c>
      <c r="R393" s="1">
        <f t="shared" si="32"/>
        <v>35.432492069617574</v>
      </c>
    </row>
    <row r="394" spans="1:18" x14ac:dyDescent="0.35">
      <c r="A394">
        <v>2.8125098497804002</v>
      </c>
      <c r="B394">
        <v>2.6744712623258802</v>
      </c>
      <c r="C394">
        <v>2.4629882931654801</v>
      </c>
      <c r="I394" s="1">
        <f t="shared" si="33"/>
        <v>243000.85102102658</v>
      </c>
      <c r="J394">
        <f t="shared" si="34"/>
        <v>600.00009387670434</v>
      </c>
      <c r="K394" s="1">
        <f t="shared" si="30"/>
        <v>7.5420101397905572</v>
      </c>
      <c r="L394" s="1">
        <f t="shared" si="30"/>
        <v>6.9456280734476064</v>
      </c>
      <c r="N394">
        <f>I394</f>
        <v>243000.85102102658</v>
      </c>
      <c r="O394" s="1">
        <f>SUM(K$2:K394)/$G$3</f>
        <v>3.4438335534846015E-2</v>
      </c>
      <c r="P394" s="1">
        <f>SUM(L$2:L394)/$G$3</f>
        <v>3.5504478679696312E-2</v>
      </c>
      <c r="Q394" s="1">
        <f t="shared" si="31"/>
        <v>34.438335534846019</v>
      </c>
      <c r="R394" s="1">
        <f t="shared" si="32"/>
        <v>35.504478679696312</v>
      </c>
    </row>
    <row r="395" spans="1:18" x14ac:dyDescent="0.35">
      <c r="A395">
        <v>2.8194542953113899</v>
      </c>
      <c r="B395">
        <v>4.9684881562322296</v>
      </c>
      <c r="C395">
        <v>4.8079101231650796</v>
      </c>
      <c r="I395" s="1">
        <f t="shared" si="33"/>
        <v>243600.8511149041</v>
      </c>
      <c r="J395">
        <f t="shared" si="34"/>
        <v>600.00009387751925</v>
      </c>
      <c r="K395" s="1">
        <f t="shared" si="30"/>
        <v>14.011138792792798</v>
      </c>
      <c r="L395" s="1">
        <f t="shared" si="30"/>
        <v>13.558308668692497</v>
      </c>
      <c r="N395">
        <f>I395</f>
        <v>243600.8511149041</v>
      </c>
      <c r="O395" s="1">
        <f>SUM(K$2:K395)/$G$3</f>
        <v>3.4583551255349641E-2</v>
      </c>
      <c r="P395" s="1">
        <f>SUM(L$2:L395)/$G$3</f>
        <v>3.5645001130530041E-2</v>
      </c>
      <c r="Q395" s="1">
        <f t="shared" si="31"/>
        <v>34.58355125534964</v>
      </c>
      <c r="R395" s="1">
        <f t="shared" si="32"/>
        <v>35.645001130530041</v>
      </c>
    </row>
    <row r="396" spans="1:18" x14ac:dyDescent="0.35">
      <c r="A396">
        <v>2.8263987408423699</v>
      </c>
      <c r="B396">
        <v>6.52151847800803</v>
      </c>
      <c r="C396">
        <v>6.2653792043333798</v>
      </c>
      <c r="I396" s="1">
        <f t="shared" si="33"/>
        <v>244200.85120878075</v>
      </c>
      <c r="J396">
        <f t="shared" si="34"/>
        <v>600.00009387664613</v>
      </c>
      <c r="K396" s="1">
        <f t="shared" si="30"/>
        <v>18.390684985408573</v>
      </c>
      <c r="L396" s="1">
        <f t="shared" si="30"/>
        <v>17.668372120632228</v>
      </c>
      <c r="N396">
        <f>I396</f>
        <v>244200.85120878075</v>
      </c>
      <c r="O396" s="1">
        <f>SUM(K$2:K396)/$G$3</f>
        <v>3.4774157929811048E-2</v>
      </c>
      <c r="P396" s="1">
        <f>SUM(L$2:L396)/$G$3</f>
        <v>3.5828121533915361E-2</v>
      </c>
      <c r="Q396" s="1">
        <f t="shared" si="31"/>
        <v>34.774157929811047</v>
      </c>
      <c r="R396" s="1">
        <f t="shared" si="32"/>
        <v>35.828121533915358</v>
      </c>
    </row>
    <row r="397" spans="1:18" x14ac:dyDescent="0.35">
      <c r="A397">
        <v>2.83334318637336</v>
      </c>
      <c r="B397">
        <v>7.4113087011956198</v>
      </c>
      <c r="C397">
        <v>7.1505225067528002</v>
      </c>
      <c r="I397" s="1">
        <f t="shared" si="33"/>
        <v>244800.8513026583</v>
      </c>
      <c r="J397">
        <f t="shared" si="34"/>
        <v>600.00009387754835</v>
      </c>
      <c r="K397" s="1">
        <f t="shared" si="30"/>
        <v>20.899893807422455</v>
      </c>
      <c r="L397" s="1">
        <f t="shared" si="30"/>
        <v>20.164476624028449</v>
      </c>
      <c r="N397">
        <f>I397</f>
        <v>244800.8513026583</v>
      </c>
      <c r="O397" s="1">
        <f>SUM(K$2:K397)/$G$3</f>
        <v>3.4990770810646638E-2</v>
      </c>
      <c r="P397" s="1">
        <f>SUM(L$2:L397)/$G$3</f>
        <v>3.603711232651554E-2</v>
      </c>
      <c r="Q397" s="1">
        <f t="shared" si="31"/>
        <v>34.990770810646637</v>
      </c>
      <c r="R397" s="1">
        <f t="shared" si="32"/>
        <v>36.03711232651554</v>
      </c>
    </row>
    <row r="398" spans="1:18" x14ac:dyDescent="0.35">
      <c r="A398">
        <v>2.84028763190434</v>
      </c>
      <c r="B398">
        <v>7.9696196130435197</v>
      </c>
      <c r="C398">
        <v>7.76833718753507</v>
      </c>
      <c r="I398" s="1">
        <f t="shared" si="33"/>
        <v>245400.85139653497</v>
      </c>
      <c r="J398">
        <f t="shared" si="34"/>
        <v>600.00009387667524</v>
      </c>
      <c r="K398" s="1">
        <f t="shared" si="30"/>
        <v>22.474330825141273</v>
      </c>
      <c r="L398" s="1">
        <f t="shared" si="30"/>
        <v>21.906714296397535</v>
      </c>
      <c r="N398">
        <f>I398</f>
        <v>245400.85139653497</v>
      </c>
      <c r="O398" s="1">
        <f>SUM(K$2:K398)/$G$3</f>
        <v>3.522370163746056E-2</v>
      </c>
      <c r="P398" s="1">
        <f>SUM(L$2:L398)/$G$3</f>
        <v>3.6264160202313822E-2</v>
      </c>
      <c r="Q398" s="1">
        <f t="shared" si="31"/>
        <v>35.223701637460557</v>
      </c>
      <c r="R398" s="1">
        <f t="shared" si="32"/>
        <v>36.264160202313825</v>
      </c>
    </row>
    <row r="399" spans="1:18" x14ac:dyDescent="0.35">
      <c r="A399">
        <v>2.8472320774353301</v>
      </c>
      <c r="B399">
        <v>8.3981903360309698</v>
      </c>
      <c r="C399">
        <v>8.2218972837121598</v>
      </c>
      <c r="I399" s="1">
        <f t="shared" si="33"/>
        <v>246000.85149041252</v>
      </c>
      <c r="J399">
        <f t="shared" si="34"/>
        <v>600.00009387754835</v>
      </c>
      <c r="K399" s="1">
        <f t="shared" si="30"/>
        <v>23.682900453094476</v>
      </c>
      <c r="L399" s="1">
        <f t="shared" si="30"/>
        <v>23.185753967770623</v>
      </c>
      <c r="N399">
        <f>I399</f>
        <v>246000.85149041252</v>
      </c>
      <c r="O399" s="1">
        <f>SUM(K$2:K399)/$G$3</f>
        <v>3.5469158448914101E-2</v>
      </c>
      <c r="P399" s="1">
        <f>SUM(L$2:L399)/$G$3</f>
        <v>3.6504464435798523E-2</v>
      </c>
      <c r="Q399" s="1">
        <f t="shared" si="31"/>
        <v>35.469158448914101</v>
      </c>
      <c r="R399" s="1">
        <f t="shared" si="32"/>
        <v>36.504464435798525</v>
      </c>
    </row>
    <row r="400" spans="1:18" x14ac:dyDescent="0.35">
      <c r="A400">
        <v>2.8541765229663101</v>
      </c>
      <c r="B400">
        <v>8.7715877247492404</v>
      </c>
      <c r="C400">
        <v>8.6442488594347004</v>
      </c>
      <c r="I400" s="1">
        <f t="shared" si="33"/>
        <v>246600.85158428919</v>
      </c>
      <c r="J400">
        <f t="shared" si="34"/>
        <v>600.00009387667524</v>
      </c>
      <c r="K400" s="1">
        <f t="shared" si="30"/>
        <v>24.735881253996073</v>
      </c>
      <c r="L400" s="1">
        <f t="shared" si="30"/>
        <v>24.376785597624568</v>
      </c>
      <c r="N400">
        <f>I400</f>
        <v>246600.85158428919</v>
      </c>
      <c r="O400" s="1">
        <f>SUM(K$2:K400)/$G$3</f>
        <v>3.5725528674897374E-2</v>
      </c>
      <c r="P400" s="1">
        <f>SUM(L$2:L400)/$G$3</f>
        <v>3.6757112884755604E-2</v>
      </c>
      <c r="Q400" s="1">
        <f t="shared" si="31"/>
        <v>35.725528674897376</v>
      </c>
      <c r="R400" s="1">
        <f t="shared" si="32"/>
        <v>36.757112884755607</v>
      </c>
    </row>
    <row r="401" spans="1:18" x14ac:dyDescent="0.35">
      <c r="A401">
        <v>2.86112096849729</v>
      </c>
      <c r="B401">
        <v>9.10925271157239</v>
      </c>
      <c r="C401">
        <v>9.1409598499796996</v>
      </c>
      <c r="I401" s="1">
        <f t="shared" si="33"/>
        <v>247200.85167816587</v>
      </c>
      <c r="J401">
        <f t="shared" si="34"/>
        <v>600.00009387667524</v>
      </c>
      <c r="K401" s="1">
        <f t="shared" si="30"/>
        <v>25.688096665822027</v>
      </c>
      <c r="L401" s="1">
        <f t="shared" si="30"/>
        <v>25.777510810120475</v>
      </c>
      <c r="N401">
        <f>I401</f>
        <v>247200.85167816587</v>
      </c>
      <c r="O401" s="1">
        <f>SUM(K$2:K401)/$G$3</f>
        <v>3.599176795215106E-2</v>
      </c>
      <c r="P401" s="1">
        <f>SUM(L$2:L401)/$G$3</f>
        <v>3.7024278877501843E-2</v>
      </c>
      <c r="Q401" s="1">
        <f t="shared" si="31"/>
        <v>35.991767952151058</v>
      </c>
      <c r="R401" s="1">
        <f t="shared" si="32"/>
        <v>37.024278877501843</v>
      </c>
    </row>
    <row r="402" spans="1:18" x14ac:dyDescent="0.35">
      <c r="A402">
        <v>2.8680654140282802</v>
      </c>
      <c r="B402">
        <v>9.4155202940833007</v>
      </c>
      <c r="C402">
        <v>9.4699460909684596</v>
      </c>
      <c r="I402" s="1">
        <f t="shared" si="33"/>
        <v>247800.85177204342</v>
      </c>
      <c r="J402">
        <f t="shared" si="34"/>
        <v>600.00009387754835</v>
      </c>
      <c r="K402" s="1">
        <f t="shared" si="30"/>
        <v>26.551771383672929</v>
      </c>
      <c r="L402" s="1">
        <f t="shared" si="30"/>
        <v>26.705252154903068</v>
      </c>
      <c r="N402">
        <f>I402</f>
        <v>247800.85177204342</v>
      </c>
      <c r="O402" s="1">
        <f>SUM(K$2:K402)/$G$3</f>
        <v>3.6266958617888458E-2</v>
      </c>
      <c r="P402" s="1">
        <f>SUM(L$2:L402)/$G$3</f>
        <v>3.7301060264814924E-2</v>
      </c>
      <c r="Q402" s="1">
        <f t="shared" si="31"/>
        <v>36.266958617888456</v>
      </c>
      <c r="R402" s="1">
        <f t="shared" si="32"/>
        <v>37.301060264814922</v>
      </c>
    </row>
    <row r="403" spans="1:18" x14ac:dyDescent="0.35">
      <c r="A403">
        <v>2.8750098595592601</v>
      </c>
      <c r="B403">
        <v>9.8527913012486099</v>
      </c>
      <c r="C403">
        <v>9.6810145351352102</v>
      </c>
      <c r="I403" s="1">
        <f t="shared" si="33"/>
        <v>248400.85186592006</v>
      </c>
      <c r="J403">
        <f t="shared" si="34"/>
        <v>600.00009387664613</v>
      </c>
      <c r="K403" s="1">
        <f t="shared" ref="K403:L466" si="35">B403*$J403*$G$2</f>
        <v>27.784875816771994</v>
      </c>
      <c r="L403" s="1">
        <f t="shared" si="35"/>
        <v>27.300465260540822</v>
      </c>
      <c r="N403">
        <f>I403</f>
        <v>248400.85186592006</v>
      </c>
      <c r="O403" s="1">
        <f>SUM(K$2:K403)/$G$3</f>
        <v>3.6554929554477276E-2</v>
      </c>
      <c r="P403" s="1">
        <f>SUM(L$2:L403)/$G$3</f>
        <v>3.7584010622492711E-2</v>
      </c>
      <c r="Q403" s="1">
        <f t="shared" si="31"/>
        <v>36.554929554477276</v>
      </c>
      <c r="R403" s="1">
        <f t="shared" si="32"/>
        <v>37.584010622492713</v>
      </c>
    </row>
    <row r="404" spans="1:18" x14ac:dyDescent="0.35">
      <c r="A404">
        <v>2.8819543050902499</v>
      </c>
      <c r="B404">
        <v>10.570662908841101</v>
      </c>
      <c r="C404">
        <v>9.8579813695427205</v>
      </c>
      <c r="I404" s="1">
        <f t="shared" si="33"/>
        <v>249000.85195979758</v>
      </c>
      <c r="J404">
        <f t="shared" si="34"/>
        <v>600.00009387751925</v>
      </c>
      <c r="K404" s="1">
        <f t="shared" si="35"/>
        <v>29.809274066965674</v>
      </c>
      <c r="L404" s="1">
        <f t="shared" si="35"/>
        <v>27.799511811691801</v>
      </c>
      <c r="N404">
        <f>I404</f>
        <v>249000.85195979758</v>
      </c>
      <c r="O404" s="1">
        <f>SUM(K$2:K404)/$G$3</f>
        <v>3.6863881972645549E-2</v>
      </c>
      <c r="P404" s="1">
        <f>SUM(L$2:L404)/$G$3</f>
        <v>3.7872133251001722E-2</v>
      </c>
      <c r="Q404" s="1">
        <f t="shared" si="31"/>
        <v>36.863881972645551</v>
      </c>
      <c r="R404" s="1">
        <f t="shared" si="32"/>
        <v>37.872133251001721</v>
      </c>
    </row>
    <row r="405" spans="1:18" x14ac:dyDescent="0.35">
      <c r="A405">
        <v>2.8888987506212298</v>
      </c>
      <c r="B405">
        <v>10.7540431127031</v>
      </c>
      <c r="C405">
        <v>10.0610366733181</v>
      </c>
      <c r="I405" s="1">
        <f t="shared" si="33"/>
        <v>249600.85205367426</v>
      </c>
      <c r="J405">
        <f t="shared" si="34"/>
        <v>600.00009387667524</v>
      </c>
      <c r="K405" s="1">
        <f t="shared" si="35"/>
        <v>30.32640632272566</v>
      </c>
      <c r="L405" s="1">
        <f t="shared" si="35"/>
        <v>28.372127857891403</v>
      </c>
      <c r="N405">
        <f>I405</f>
        <v>249600.85205367426</v>
      </c>
      <c r="O405" s="1">
        <f>SUM(K$2:K405)/$G$3</f>
        <v>3.7178194107409766E-2</v>
      </c>
      <c r="P405" s="1">
        <f>SUM(L$2:L405)/$G$3</f>
        <v>3.8166190647051797E-2</v>
      </c>
      <c r="Q405" s="1">
        <f t="shared" si="31"/>
        <v>37.178194107409766</v>
      </c>
      <c r="R405" s="1">
        <f t="shared" si="32"/>
        <v>38.166190647051799</v>
      </c>
    </row>
    <row r="406" spans="1:18" x14ac:dyDescent="0.35">
      <c r="A406">
        <v>2.89584319615222</v>
      </c>
      <c r="B406">
        <v>10.882998569668599</v>
      </c>
      <c r="C406">
        <v>10.201435233019099</v>
      </c>
      <c r="I406" s="1">
        <f t="shared" si="33"/>
        <v>250200.85214755181</v>
      </c>
      <c r="J406">
        <f t="shared" si="34"/>
        <v>600.00009387754835</v>
      </c>
      <c r="K406" s="1">
        <f t="shared" si="35"/>
        <v>30.690060768310808</v>
      </c>
      <c r="L406" s="1">
        <f t="shared" si="35"/>
        <v>28.768051858236788</v>
      </c>
      <c r="N406">
        <f>I406</f>
        <v>250200.85214755181</v>
      </c>
      <c r="O406" s="1">
        <f>SUM(K$2:K406)/$G$3</f>
        <v>3.749627526788353E-2</v>
      </c>
      <c r="P406" s="1">
        <f>SUM(L$2:L406)/$G$3</f>
        <v>3.8464351520329891E-2</v>
      </c>
      <c r="Q406" s="1">
        <f t="shared" si="31"/>
        <v>37.496275267883533</v>
      </c>
      <c r="R406" s="1">
        <f t="shared" si="32"/>
        <v>38.464351520329892</v>
      </c>
    </row>
    <row r="407" spans="1:18" x14ac:dyDescent="0.35">
      <c r="A407">
        <v>2.9027876416831999</v>
      </c>
      <c r="B407">
        <v>11.010618069109301</v>
      </c>
      <c r="C407">
        <v>10.3351406535471</v>
      </c>
      <c r="I407" s="1">
        <f t="shared" si="33"/>
        <v>250800.85224142848</v>
      </c>
      <c r="J407">
        <f t="shared" si="34"/>
        <v>600.00009387667524</v>
      </c>
      <c r="K407" s="1">
        <f t="shared" si="35"/>
        <v>31.049947812997246</v>
      </c>
      <c r="L407" s="1">
        <f t="shared" si="35"/>
        <v>29.145101203077445</v>
      </c>
      <c r="N407">
        <f>I407</f>
        <v>250800.85224142848</v>
      </c>
      <c r="O407" s="1">
        <f>SUM(K$2:K407)/$G$3</f>
        <v>3.7818086407573608E-2</v>
      </c>
      <c r="P407" s="1">
        <f>SUM(L$2:L407)/$G$3</f>
        <v>3.8766420248143307E-2</v>
      </c>
      <c r="Q407" s="1">
        <f t="shared" si="31"/>
        <v>37.81808640757361</v>
      </c>
      <c r="R407" s="1">
        <f t="shared" si="32"/>
        <v>38.766420248143305</v>
      </c>
    </row>
    <row r="408" spans="1:18" x14ac:dyDescent="0.35">
      <c r="A408">
        <v>2.9097320872141901</v>
      </c>
      <c r="B408">
        <v>11.109151996963501</v>
      </c>
      <c r="C408">
        <v>10.427222802124</v>
      </c>
      <c r="I408" s="1">
        <f t="shared" si="33"/>
        <v>251400.85233530603</v>
      </c>
      <c r="J408">
        <f t="shared" si="34"/>
        <v>600.00009387754835</v>
      </c>
      <c r="K408" s="1">
        <f t="shared" si="35"/>
        <v>31.327813533066859</v>
      </c>
      <c r="L408" s="1">
        <f t="shared" si="35"/>
        <v>29.404772902735612</v>
      </c>
      <c r="N408">
        <f>I408</f>
        <v>251400.85233530603</v>
      </c>
      <c r="O408" s="1">
        <f>SUM(K$2:K408)/$G$3</f>
        <v>3.8142777432427909E-2</v>
      </c>
      <c r="P408" s="1">
        <f>SUM(L$2:L408)/$G$3</f>
        <v>3.9071180292738171E-2</v>
      </c>
      <c r="Q408" s="1">
        <f t="shared" si="31"/>
        <v>38.142777432427906</v>
      </c>
      <c r="R408" s="1">
        <f t="shared" si="32"/>
        <v>39.07118029273817</v>
      </c>
    </row>
    <row r="409" spans="1:18" x14ac:dyDescent="0.35">
      <c r="A409">
        <v>2.91667653274517</v>
      </c>
      <c r="B409">
        <v>11.1999073855355</v>
      </c>
      <c r="C409">
        <v>10.5360357137998</v>
      </c>
      <c r="I409" s="1">
        <f t="shared" si="33"/>
        <v>252000.85242918268</v>
      </c>
      <c r="J409">
        <f t="shared" si="34"/>
        <v>600.00009387664613</v>
      </c>
      <c r="K409" s="1">
        <f t="shared" si="35"/>
        <v>31.583743768835898</v>
      </c>
      <c r="L409" s="1">
        <f t="shared" si="35"/>
        <v>29.711625361627611</v>
      </c>
      <c r="N409">
        <f>I409</f>
        <v>252000.85242918268</v>
      </c>
      <c r="O409" s="1">
        <f>SUM(K$2:K409)/$G$3</f>
        <v>3.8470120996389516E-2</v>
      </c>
      <c r="P409" s="1">
        <f>SUM(L$2:L409)/$G$3</f>
        <v>3.9379120649909005E-2</v>
      </c>
      <c r="Q409" s="1">
        <f t="shared" si="31"/>
        <v>38.470120996389518</v>
      </c>
      <c r="R409" s="1">
        <f t="shared" si="32"/>
        <v>39.379120649909005</v>
      </c>
    </row>
    <row r="410" spans="1:18" x14ac:dyDescent="0.35">
      <c r="A410">
        <v>2.9236209782761602</v>
      </c>
      <c r="B410">
        <v>11.2716942351193</v>
      </c>
      <c r="C410">
        <v>10.606117649741201</v>
      </c>
      <c r="I410" s="1">
        <f t="shared" si="33"/>
        <v>252600.85252306025</v>
      </c>
      <c r="J410">
        <f t="shared" si="34"/>
        <v>600.00009387757746</v>
      </c>
      <c r="K410" s="1">
        <f t="shared" si="35"/>
        <v>31.786182716385365</v>
      </c>
      <c r="L410" s="1">
        <f t="shared" si="35"/>
        <v>29.909256451950352</v>
      </c>
      <c r="N410">
        <f>I410</f>
        <v>252600.85252306025</v>
      </c>
      <c r="O410" s="1">
        <f>SUM(K$2:K410)/$G$3</f>
        <v>3.8799562699414702E-2</v>
      </c>
      <c r="P410" s="1">
        <f>SUM(L$2:L410)/$G$3</f>
        <v>3.9689109316043122E-2</v>
      </c>
      <c r="Q410" s="1">
        <f t="shared" si="31"/>
        <v>38.7995626994147</v>
      </c>
      <c r="R410" s="1">
        <f t="shared" si="32"/>
        <v>39.689109316043123</v>
      </c>
    </row>
    <row r="411" spans="1:18" x14ac:dyDescent="0.35">
      <c r="A411">
        <v>2.9305654238071401</v>
      </c>
      <c r="B411">
        <v>11.3371979901756</v>
      </c>
      <c r="C411">
        <v>10.687797033340701</v>
      </c>
      <c r="I411" s="1">
        <f t="shared" si="33"/>
        <v>253200.8526169369</v>
      </c>
      <c r="J411">
        <f t="shared" si="34"/>
        <v>600.00009387664613</v>
      </c>
      <c r="K411" s="1">
        <f t="shared" si="35"/>
        <v>31.970903334496374</v>
      </c>
      <c r="L411" s="1">
        <f t="shared" si="35"/>
        <v>30.139592349693118</v>
      </c>
      <c r="N411">
        <f>I411</f>
        <v>253200.8526169369</v>
      </c>
      <c r="O411" s="1">
        <f>SUM(K$2:K411)/$G$3</f>
        <v>3.9130918903327191E-2</v>
      </c>
      <c r="P411" s="1">
        <f>SUM(L$2:L411)/$G$3</f>
        <v>4.0001485253750468E-2</v>
      </c>
      <c r="Q411" s="1">
        <f t="shared" si="31"/>
        <v>39.130918903327192</v>
      </c>
      <c r="R411" s="1">
        <f t="shared" si="32"/>
        <v>40.001485253750467</v>
      </c>
    </row>
    <row r="412" spans="1:18" x14ac:dyDescent="0.35">
      <c r="A412">
        <v>2.9375098693381299</v>
      </c>
      <c r="B412">
        <v>11.3874032856745</v>
      </c>
      <c r="C412">
        <v>10.746382216498001</v>
      </c>
      <c r="I412" s="1">
        <f t="shared" si="33"/>
        <v>253800.85271081442</v>
      </c>
      <c r="J412">
        <f t="shared" si="34"/>
        <v>600.00009387751925</v>
      </c>
      <c r="K412" s="1">
        <f t="shared" si="35"/>
        <v>32.112482290001594</v>
      </c>
      <c r="L412" s="1">
        <f t="shared" si="35"/>
        <v>30.304802592089771</v>
      </c>
      <c r="N412">
        <f>I412</f>
        <v>253800.85271081442</v>
      </c>
      <c r="O412" s="1">
        <f>SUM(K$2:K412)/$G$3</f>
        <v>3.9463742474763183E-2</v>
      </c>
      <c r="P412" s="1">
        <f>SUM(L$2:L412)/$G$3</f>
        <v>4.0315573480854058E-2</v>
      </c>
      <c r="Q412" s="1">
        <f t="shared" si="31"/>
        <v>39.46374247476318</v>
      </c>
      <c r="R412" s="1">
        <f t="shared" si="32"/>
        <v>40.315573480854056</v>
      </c>
    </row>
    <row r="413" spans="1:18" x14ac:dyDescent="0.35">
      <c r="A413">
        <v>2.9444543148691098</v>
      </c>
      <c r="B413">
        <v>11.4230745507843</v>
      </c>
      <c r="C413">
        <v>10.7938091217802</v>
      </c>
      <c r="I413" s="1">
        <f t="shared" si="33"/>
        <v>254400.85280469109</v>
      </c>
      <c r="J413">
        <f t="shared" si="34"/>
        <v>600.00009387667524</v>
      </c>
      <c r="K413" s="1">
        <f t="shared" si="35"/>
        <v>32.213075273304945</v>
      </c>
      <c r="L413" s="1">
        <f t="shared" si="35"/>
        <v>30.438546485868656</v>
      </c>
      <c r="N413">
        <f>I413</f>
        <v>254400.85280469109</v>
      </c>
      <c r="O413" s="1">
        <f>SUM(K$2:K413)/$G$3</f>
        <v>3.9797608622592434E-2</v>
      </c>
      <c r="P413" s="1">
        <f>SUM(L$2:L413)/$G$3</f>
        <v>4.063104787050912E-2</v>
      </c>
      <c r="Q413" s="1">
        <f t="shared" si="31"/>
        <v>39.797608622592435</v>
      </c>
      <c r="R413" s="1">
        <f t="shared" si="32"/>
        <v>40.631047870509121</v>
      </c>
    </row>
    <row r="414" spans="1:18" x14ac:dyDescent="0.35">
      <c r="A414">
        <v>2.9513987604001</v>
      </c>
      <c r="B414">
        <v>11.4372719921795</v>
      </c>
      <c r="C414">
        <v>10.8162670900618</v>
      </c>
      <c r="I414" s="1">
        <f t="shared" si="33"/>
        <v>255000.85289856864</v>
      </c>
      <c r="J414">
        <f t="shared" si="34"/>
        <v>600.00009387754835</v>
      </c>
      <c r="K414" s="1">
        <f t="shared" si="35"/>
        <v>32.253112064350546</v>
      </c>
      <c r="L414" s="1">
        <f t="shared" si="35"/>
        <v>30.501877966376071</v>
      </c>
      <c r="N414">
        <f>I414</f>
        <v>255000.85289856864</v>
      </c>
      <c r="O414" s="1">
        <f>SUM(K$2:K414)/$G$3</f>
        <v>4.0131889723948613E-2</v>
      </c>
      <c r="P414" s="1">
        <f>SUM(L$2:L414)/$G$3</f>
        <v>4.0947178646965315E-2</v>
      </c>
      <c r="Q414" s="1">
        <f t="shared" si="31"/>
        <v>40.131889723948611</v>
      </c>
      <c r="R414" s="1">
        <f t="shared" si="32"/>
        <v>40.947178646965313</v>
      </c>
    </row>
    <row r="415" spans="1:18" x14ac:dyDescent="0.35">
      <c r="A415">
        <v>2.9583432059310799</v>
      </c>
      <c r="B415">
        <v>11.4668503664775</v>
      </c>
      <c r="C415">
        <v>10.8615925336179</v>
      </c>
      <c r="I415" s="1">
        <f t="shared" si="33"/>
        <v>255600.85299244532</v>
      </c>
      <c r="J415">
        <f t="shared" si="34"/>
        <v>600.00009387667524</v>
      </c>
      <c r="K415" s="1">
        <f t="shared" si="35"/>
        <v>32.336523092874558</v>
      </c>
      <c r="L415" s="1">
        <f t="shared" si="35"/>
        <v>30.629695737158396</v>
      </c>
      <c r="N415">
        <f>I415</f>
        <v>255600.85299244532</v>
      </c>
      <c r="O415" s="1">
        <f>SUM(K$2:K415)/$G$3</f>
        <v>4.0467035322672498E-2</v>
      </c>
      <c r="P415" s="1">
        <f>SUM(L$2:L415)/$G$3</f>
        <v>4.1264634165824807E-2</v>
      </c>
      <c r="Q415" s="1">
        <f t="shared" si="31"/>
        <v>40.467035322672501</v>
      </c>
      <c r="R415" s="1">
        <f t="shared" si="32"/>
        <v>41.264634165824809</v>
      </c>
    </row>
    <row r="416" spans="1:18" x14ac:dyDescent="0.35">
      <c r="A416">
        <v>2.9652876514620701</v>
      </c>
      <c r="B416">
        <v>11.479289664175599</v>
      </c>
      <c r="C416">
        <v>10.9044005070526</v>
      </c>
      <c r="I416" s="1">
        <f t="shared" si="33"/>
        <v>256200.85308632287</v>
      </c>
      <c r="J416">
        <f t="shared" si="34"/>
        <v>600.00009387754835</v>
      </c>
      <c r="K416" s="1">
        <f t="shared" si="35"/>
        <v>32.371601917918774</v>
      </c>
      <c r="L416" s="1">
        <f t="shared" si="35"/>
        <v>30.750414241176749</v>
      </c>
      <c r="N416">
        <f>I416</f>
        <v>256200.85308632287</v>
      </c>
      <c r="O416" s="1">
        <f>SUM(K$2:K416)/$G$3</f>
        <v>4.0802544489049852E-2</v>
      </c>
      <c r="P416" s="1">
        <f>SUM(L$2:L416)/$G$3</f>
        <v>4.1583340848119224E-2</v>
      </c>
      <c r="Q416" s="1">
        <f t="shared" si="31"/>
        <v>40.802544489049851</v>
      </c>
      <c r="R416" s="1">
        <f t="shared" si="32"/>
        <v>41.583340848119221</v>
      </c>
    </row>
    <row r="417" spans="1:18" x14ac:dyDescent="0.35">
      <c r="A417">
        <v>2.97223209699305</v>
      </c>
      <c r="B417">
        <v>11.5272719823085</v>
      </c>
      <c r="C417">
        <v>10.938034600377099</v>
      </c>
      <c r="I417" s="1">
        <f t="shared" si="33"/>
        <v>256800.85318019951</v>
      </c>
      <c r="J417">
        <f t="shared" si="34"/>
        <v>600.00009387664613</v>
      </c>
      <c r="K417" s="1">
        <f t="shared" si="35"/>
        <v>32.506912076175645</v>
      </c>
      <c r="L417" s="1">
        <f t="shared" si="35"/>
        <v>30.845262399145639</v>
      </c>
      <c r="N417">
        <f>I417</f>
        <v>256800.85318019951</v>
      </c>
      <c r="O417" s="1">
        <f>SUM(K$2:K417)/$G$3</f>
        <v>4.1139456051221955E-2</v>
      </c>
      <c r="P417" s="1">
        <f>SUM(L$2:L417)/$G$3</f>
        <v>4.190303056568305E-2</v>
      </c>
      <c r="Q417" s="1">
        <f t="shared" si="31"/>
        <v>41.139456051221956</v>
      </c>
      <c r="R417" s="1">
        <f t="shared" si="32"/>
        <v>41.903030565683046</v>
      </c>
    </row>
    <row r="418" spans="1:18" x14ac:dyDescent="0.35">
      <c r="A418">
        <v>2.9791765425240402</v>
      </c>
      <c r="B418">
        <v>11.5509486970221</v>
      </c>
      <c r="C418">
        <v>10.9271227616736</v>
      </c>
      <c r="I418" s="1">
        <f t="shared" si="33"/>
        <v>257400.85327407706</v>
      </c>
      <c r="J418">
        <f t="shared" si="34"/>
        <v>600.00009387754835</v>
      </c>
      <c r="K418" s="1">
        <f t="shared" si="35"/>
        <v>32.573680422163626</v>
      </c>
      <c r="L418" s="1">
        <f t="shared" si="35"/>
        <v>30.814491009233581</v>
      </c>
      <c r="N418">
        <f>I418</f>
        <v>257400.85327407706</v>
      </c>
      <c r="O418" s="1">
        <f>SUM(K$2:K418)/$G$3</f>
        <v>4.1477059620918424E-2</v>
      </c>
      <c r="P418" s="1">
        <f>SUM(L$2:L418)/$G$3</f>
        <v>4.2222401359166321E-2</v>
      </c>
      <c r="Q418" s="1">
        <f t="shared" si="31"/>
        <v>41.477059620918425</v>
      </c>
      <c r="R418" s="1">
        <f t="shared" si="32"/>
        <v>42.222401359166319</v>
      </c>
    </row>
    <row r="419" spans="1:18" x14ac:dyDescent="0.35">
      <c r="A419">
        <v>2.9861209880550201</v>
      </c>
      <c r="B419">
        <v>11.560275091665201</v>
      </c>
      <c r="C419">
        <v>10.9445680470202</v>
      </c>
      <c r="I419" s="1">
        <f t="shared" si="33"/>
        <v>258000.85336795374</v>
      </c>
      <c r="J419">
        <f t="shared" si="34"/>
        <v>600.00009387667524</v>
      </c>
      <c r="K419" s="1">
        <f t="shared" si="35"/>
        <v>32.599980859124763</v>
      </c>
      <c r="L419" s="1">
        <f t="shared" si="35"/>
        <v>30.863686721563365</v>
      </c>
      <c r="N419">
        <f>I419</f>
        <v>258000.85336795374</v>
      </c>
      <c r="O419" s="1">
        <f>SUM(K$2:K419)/$G$3</f>
        <v>4.1814935776373928E-2</v>
      </c>
      <c r="P419" s="1">
        <f>SUM(L$2:L419)/$G$3</f>
        <v>4.2542282032033224E-2</v>
      </c>
      <c r="Q419" s="1">
        <f t="shared" si="31"/>
        <v>41.814935776373929</v>
      </c>
      <c r="R419" s="1">
        <f t="shared" si="32"/>
        <v>42.542282032033221</v>
      </c>
    </row>
    <row r="420" spans="1:18" x14ac:dyDescent="0.35">
      <c r="A420">
        <v>2.9930654335860098</v>
      </c>
      <c r="B420">
        <v>11.552256647360499</v>
      </c>
      <c r="C420">
        <v>10.978554645461699</v>
      </c>
      <c r="I420" s="1">
        <f t="shared" si="33"/>
        <v>258600.85346183126</v>
      </c>
      <c r="J420">
        <f t="shared" si="34"/>
        <v>600.00009387751925</v>
      </c>
      <c r="K420" s="1">
        <f t="shared" si="35"/>
        <v>32.577368842693424</v>
      </c>
      <c r="L420" s="1">
        <f t="shared" si="35"/>
        <v>30.959528944207523</v>
      </c>
      <c r="N420">
        <f>I420</f>
        <v>258600.85346183126</v>
      </c>
      <c r="O420" s="1">
        <f>SUM(K$2:K420)/$G$3</f>
        <v>4.2152577573986959E-2</v>
      </c>
      <c r="P420" s="1">
        <f>SUM(L$2:L420)/$G$3</f>
        <v>4.2863156042959358E-2</v>
      </c>
      <c r="Q420" s="1">
        <f t="shared" si="31"/>
        <v>42.15257757398696</v>
      </c>
      <c r="R420" s="1">
        <f t="shared" si="32"/>
        <v>42.863156042959361</v>
      </c>
    </row>
    <row r="421" spans="1:18" x14ac:dyDescent="0.35">
      <c r="A421">
        <v>3.0000098791169898</v>
      </c>
      <c r="B421">
        <v>11.5319471873618</v>
      </c>
      <c r="C421">
        <v>11.016117074062199</v>
      </c>
      <c r="I421" s="1">
        <f t="shared" si="33"/>
        <v>259200.85355570793</v>
      </c>
      <c r="J421">
        <f t="shared" si="34"/>
        <v>600.00009387667524</v>
      </c>
      <c r="K421" s="1">
        <f t="shared" si="35"/>
        <v>32.520096156490325</v>
      </c>
      <c r="L421" s="1">
        <f t="shared" si="35"/>
        <v>31.065455009390693</v>
      </c>
      <c r="N421">
        <f>I421</f>
        <v>259200.85355570793</v>
      </c>
      <c r="O421" s="1">
        <f>SUM(K$2:K421)/$G$3</f>
        <v>4.2489625779992976E-2</v>
      </c>
      <c r="P421" s="1">
        <f>SUM(L$2:L421)/$G$3</f>
        <v>4.3185127903967703E-2</v>
      </c>
      <c r="Q421" s="1">
        <f t="shared" si="31"/>
        <v>42.489625779992977</v>
      </c>
      <c r="R421" s="1">
        <f t="shared" si="32"/>
        <v>43.185127903967704</v>
      </c>
    </row>
    <row r="422" spans="1:18" x14ac:dyDescent="0.35">
      <c r="A422">
        <v>3.00695432464798</v>
      </c>
      <c r="B422">
        <v>11.5089566967336</v>
      </c>
      <c r="C422">
        <v>11.0285043972487</v>
      </c>
      <c r="I422" s="1">
        <f t="shared" si="33"/>
        <v>259800.85364958548</v>
      </c>
      <c r="J422">
        <f t="shared" si="34"/>
        <v>600.00009387754835</v>
      </c>
      <c r="K422" s="1">
        <f t="shared" si="35"/>
        <v>32.455262962822154</v>
      </c>
      <c r="L422" s="1">
        <f t="shared" si="35"/>
        <v>31.10038726628742</v>
      </c>
      <c r="N422">
        <f>I422</f>
        <v>259800.85364958548</v>
      </c>
      <c r="O422" s="1">
        <f>SUM(K$2:K422)/$G$3</f>
        <v>4.2826002034984142E-2</v>
      </c>
      <c r="P422" s="1">
        <f>SUM(L$2:L422)/$G$3</f>
        <v>4.3507461813552487E-2</v>
      </c>
      <c r="Q422" s="1">
        <f t="shared" si="31"/>
        <v>42.826002034984143</v>
      </c>
      <c r="R422" s="1">
        <f t="shared" si="32"/>
        <v>43.507461813552489</v>
      </c>
    </row>
    <row r="423" spans="1:18" x14ac:dyDescent="0.35">
      <c r="A423">
        <v>3.0138987701789599</v>
      </c>
      <c r="B423">
        <v>11.4881277807388</v>
      </c>
      <c r="C423">
        <v>11.0637434632858</v>
      </c>
      <c r="I423" s="1">
        <f t="shared" si="33"/>
        <v>260400.85374346212</v>
      </c>
      <c r="J423">
        <f t="shared" si="34"/>
        <v>600.00009387664613</v>
      </c>
      <c r="K423" s="1">
        <f t="shared" si="35"/>
        <v>32.396525410477878</v>
      </c>
      <c r="L423" s="1">
        <f t="shared" si="35"/>
        <v>31.199761448013469</v>
      </c>
      <c r="N423">
        <f>I423</f>
        <v>260400.85374346212</v>
      </c>
      <c r="O423" s="1">
        <f>SUM(K$2:K423)/$G$3</f>
        <v>4.3161769516048325E-2</v>
      </c>
      <c r="P423" s="1">
        <f>SUM(L$2:L423)/$G$3</f>
        <v>4.3830825667498838E-2</v>
      </c>
      <c r="Q423" s="1">
        <f t="shared" si="31"/>
        <v>43.161769516048324</v>
      </c>
      <c r="R423" s="1">
        <f t="shared" si="32"/>
        <v>43.830825667498836</v>
      </c>
    </row>
    <row r="424" spans="1:18" x14ac:dyDescent="0.35">
      <c r="A424">
        <v>3.0208432157099501</v>
      </c>
      <c r="B424">
        <v>11.472192770516999</v>
      </c>
      <c r="C424">
        <v>11.052606717585601</v>
      </c>
      <c r="I424" s="1">
        <f t="shared" si="33"/>
        <v>261000.85383733967</v>
      </c>
      <c r="J424">
        <f t="shared" si="34"/>
        <v>600.00009387754835</v>
      </c>
      <c r="K424" s="1">
        <f t="shared" si="35"/>
        <v>32.351588674670197</v>
      </c>
      <c r="L424" s="1">
        <f t="shared" si="35"/>
        <v>31.168355820272016</v>
      </c>
      <c r="N424">
        <f>I424</f>
        <v>261000.85383733967</v>
      </c>
      <c r="O424" s="1">
        <f>SUM(K$2:K424)/$G$3</f>
        <v>4.3497071259061958E-2</v>
      </c>
      <c r="P424" s="1">
        <f>SUM(L$2:L424)/$G$3</f>
        <v>4.4153864023930116E-2</v>
      </c>
      <c r="Q424" s="1">
        <f t="shared" si="31"/>
        <v>43.497071259061954</v>
      </c>
      <c r="R424" s="1">
        <f t="shared" si="32"/>
        <v>44.153864023930119</v>
      </c>
    </row>
    <row r="425" spans="1:18" x14ac:dyDescent="0.35">
      <c r="A425">
        <v>3.02778766124093</v>
      </c>
      <c r="B425">
        <v>11.448548995184201</v>
      </c>
      <c r="C425">
        <v>11.059365318631301</v>
      </c>
      <c r="I425" s="1">
        <f t="shared" si="33"/>
        <v>261600.85393121635</v>
      </c>
      <c r="J425">
        <f t="shared" si="34"/>
        <v>600.00009387667524</v>
      </c>
      <c r="K425" s="1">
        <f t="shared" si="35"/>
        <v>32.284913217752511</v>
      </c>
      <c r="L425" s="1">
        <f t="shared" si="35"/>
        <v>31.187415078157567</v>
      </c>
      <c r="N425">
        <f>I425</f>
        <v>261600.85393121635</v>
      </c>
      <c r="O425" s="1">
        <f>SUM(K$2:K425)/$G$3</f>
        <v>4.3831681957281911E-2</v>
      </c>
      <c r="P425" s="1">
        <f>SUM(L$2:L425)/$G$3</f>
        <v>4.4477099916329532E-2</v>
      </c>
      <c r="Q425" s="1">
        <f t="shared" si="31"/>
        <v>43.831681957281909</v>
      </c>
      <c r="R425" s="1">
        <f t="shared" si="32"/>
        <v>44.477099916329536</v>
      </c>
    </row>
    <row r="426" spans="1:18" x14ac:dyDescent="0.35">
      <c r="A426">
        <v>3.03473210617874</v>
      </c>
      <c r="B426">
        <v>11.4369113860125</v>
      </c>
      <c r="C426">
        <v>11.0648516943912</v>
      </c>
      <c r="I426" s="1">
        <f t="shared" si="33"/>
        <v>262200.85397384316</v>
      </c>
      <c r="J426">
        <f t="shared" si="34"/>
        <v>600.00004262680886</v>
      </c>
      <c r="K426" s="1">
        <f t="shared" si="35"/>
        <v>32.252092399894721</v>
      </c>
      <c r="L426" s="1">
        <f t="shared" si="35"/>
        <v>31.202883994981981</v>
      </c>
      <c r="N426">
        <f>I426</f>
        <v>262200.85397384316</v>
      </c>
      <c r="O426" s="1">
        <f>SUM(K$2:K426)/$G$3</f>
        <v>4.4165952490524331E-2</v>
      </c>
      <c r="P426" s="1">
        <f>SUM(L$2:L426)/$G$3</f>
        <v>4.4800496133306077E-2</v>
      </c>
      <c r="Q426" s="1">
        <f t="shared" si="31"/>
        <v>44.165952490524333</v>
      </c>
      <c r="R426" s="1">
        <f t="shared" si="32"/>
        <v>44.800496133306076</v>
      </c>
    </row>
    <row r="427" spans="1:18" x14ac:dyDescent="0.35">
      <c r="A427">
        <v>3.0416765523936</v>
      </c>
      <c r="B427">
        <v>11.422242864359999</v>
      </c>
      <c r="C427">
        <v>11.0699378502472</v>
      </c>
      <c r="I427" s="1">
        <f t="shared" si="33"/>
        <v>262800.85412680707</v>
      </c>
      <c r="J427">
        <f t="shared" si="34"/>
        <v>600.00015296391211</v>
      </c>
      <c r="K427" s="1">
        <f t="shared" si="35"/>
        <v>32.210733089292681</v>
      </c>
      <c r="L427" s="1">
        <f t="shared" si="35"/>
        <v>31.217232696211806</v>
      </c>
      <c r="N427">
        <f>I427</f>
        <v>262800.85412680707</v>
      </c>
      <c r="O427" s="1">
        <f>SUM(K$2:K427)/$G$3</f>
        <v>4.4499794363243327E-2</v>
      </c>
      <c r="P427" s="1">
        <f>SUM(L$2:L427)/$G$3</f>
        <v>4.5124041064603292E-2</v>
      </c>
      <c r="Q427" s="1">
        <f t="shared" si="31"/>
        <v>44.499794363243325</v>
      </c>
      <c r="R427" s="1">
        <f t="shared" si="32"/>
        <v>45.12404106460329</v>
      </c>
    </row>
    <row r="428" spans="1:18" x14ac:dyDescent="0.35">
      <c r="A428">
        <v>3.04862099860846</v>
      </c>
      <c r="B428">
        <v>11.406024081115699</v>
      </c>
      <c r="C428">
        <v>11.0818891831293</v>
      </c>
      <c r="I428" s="1">
        <f t="shared" si="33"/>
        <v>263400.85427977092</v>
      </c>
      <c r="J428">
        <f t="shared" si="34"/>
        <v>600.00015296385391</v>
      </c>
      <c r="K428" s="1">
        <f t="shared" si="35"/>
        <v>32.164996108880459</v>
      </c>
      <c r="L428" s="1">
        <f t="shared" si="35"/>
        <v>31.250935463528478</v>
      </c>
      <c r="N428">
        <f>I428</f>
        <v>263400.85427977092</v>
      </c>
      <c r="O428" s="1">
        <f>SUM(K$2:K428)/$G$3</f>
        <v>4.4833162203932346E-2</v>
      </c>
      <c r="P428" s="1">
        <f>SUM(L$2:L428)/$G$3</f>
        <v>4.5447935301671523E-2</v>
      </c>
      <c r="Q428" s="1">
        <f t="shared" si="31"/>
        <v>44.833162203932346</v>
      </c>
      <c r="R428" s="1">
        <f t="shared" si="32"/>
        <v>45.447935301671521</v>
      </c>
    </row>
    <row r="429" spans="1:18" x14ac:dyDescent="0.35">
      <c r="A429">
        <v>3.05556544482332</v>
      </c>
      <c r="B429">
        <v>11.386838610353699</v>
      </c>
      <c r="C429">
        <v>11.080891249906401</v>
      </c>
      <c r="I429" s="1">
        <f t="shared" si="33"/>
        <v>264000.85443273484</v>
      </c>
      <c r="J429">
        <f t="shared" si="34"/>
        <v>600.00015296391211</v>
      </c>
      <c r="K429" s="1">
        <f t="shared" si="35"/>
        <v>32.110893067541724</v>
      </c>
      <c r="L429" s="1">
        <f t="shared" si="35"/>
        <v>31.248121291125486</v>
      </c>
      <c r="N429">
        <f>I429</f>
        <v>264000.85443273484</v>
      </c>
      <c r="O429" s="1">
        <f>SUM(K$2:K429)/$G$3</f>
        <v>4.5165969304181527E-2</v>
      </c>
      <c r="P429" s="1">
        <f>SUM(L$2:L429)/$G$3</f>
        <v>4.5771800371797712E-2</v>
      </c>
      <c r="Q429" s="1">
        <f t="shared" si="31"/>
        <v>45.16596930418153</v>
      </c>
      <c r="R429" s="1">
        <f t="shared" si="32"/>
        <v>45.77180037179771</v>
      </c>
    </row>
    <row r="430" spans="1:18" x14ac:dyDescent="0.35">
      <c r="A430">
        <v>3.0625098910381898</v>
      </c>
      <c r="B430">
        <v>11.370684010192599</v>
      </c>
      <c r="C430">
        <v>11.0708094996575</v>
      </c>
      <c r="I430" s="1">
        <f t="shared" si="33"/>
        <v>264600.85458569962</v>
      </c>
      <c r="J430">
        <f t="shared" si="34"/>
        <v>600.00015296478523</v>
      </c>
      <c r="K430" s="1">
        <f t="shared" si="35"/>
        <v>32.065337083520049</v>
      </c>
      <c r="L430" s="1">
        <f t="shared" si="35"/>
        <v>31.219690748220938</v>
      </c>
      <c r="N430">
        <f>I430</f>
        <v>264600.85458569962</v>
      </c>
      <c r="O430" s="1">
        <f>SUM(K$2:K430)/$G$3</f>
        <v>4.5498304248302576E-2</v>
      </c>
      <c r="P430" s="1">
        <f>SUM(L$2:L430)/$G$3</f>
        <v>4.6095370779096478E-2</v>
      </c>
      <c r="Q430" s="1">
        <f t="shared" si="31"/>
        <v>45.498304248302574</v>
      </c>
      <c r="R430" s="1">
        <f t="shared" si="32"/>
        <v>46.095370779096477</v>
      </c>
    </row>
    <row r="431" spans="1:18" x14ac:dyDescent="0.35">
      <c r="A431">
        <v>3.0694543372530498</v>
      </c>
      <c r="B431">
        <v>11.3522652229599</v>
      </c>
      <c r="C431">
        <v>11.110142660347099</v>
      </c>
      <c r="I431" s="1">
        <f t="shared" si="33"/>
        <v>265200.85473866353</v>
      </c>
      <c r="J431">
        <f t="shared" si="34"/>
        <v>600.00015296391211</v>
      </c>
      <c r="K431" s="1">
        <f t="shared" si="35"/>
        <v>32.013396090235346</v>
      </c>
      <c r="L431" s="1">
        <f t="shared" si="35"/>
        <v>31.330610289597981</v>
      </c>
      <c r="N431">
        <f>I431</f>
        <v>265200.85473866353</v>
      </c>
      <c r="O431" s="1">
        <f>SUM(K$2:K431)/$G$3</f>
        <v>4.5830100860109961E-2</v>
      </c>
      <c r="P431" s="1">
        <f>SUM(L$2:L431)/$G$3</f>
        <v>4.6420090790389397E-2</v>
      </c>
      <c r="Q431" s="1">
        <f t="shared" si="31"/>
        <v>45.830100860109958</v>
      </c>
      <c r="R431" s="1">
        <f t="shared" si="32"/>
        <v>46.420090790389395</v>
      </c>
    </row>
    <row r="432" spans="1:18" x14ac:dyDescent="0.35">
      <c r="A432">
        <v>3.0763987834679098</v>
      </c>
      <c r="B432">
        <v>11.3245821920023</v>
      </c>
      <c r="C432">
        <v>11.1219373662707</v>
      </c>
      <c r="I432" s="1">
        <f t="shared" si="33"/>
        <v>265800.85489162739</v>
      </c>
      <c r="J432">
        <f t="shared" si="34"/>
        <v>600.00015296385391</v>
      </c>
      <c r="K432" s="1">
        <f t="shared" si="35"/>
        <v>31.935329923029645</v>
      </c>
      <c r="L432" s="1">
        <f t="shared" si="35"/>
        <v>31.363871368779069</v>
      </c>
      <c r="N432">
        <f>I432</f>
        <v>265800.85489162739</v>
      </c>
      <c r="O432" s="1">
        <f>SUM(K$2:K432)/$G$3</f>
        <v>4.6161088370324288E-2</v>
      </c>
      <c r="P432" s="1">
        <f>SUM(L$2:L432)/$G$3</f>
        <v>4.6745155529662644E-2</v>
      </c>
      <c r="Q432" s="1">
        <f t="shared" si="31"/>
        <v>46.161088370324286</v>
      </c>
      <c r="R432" s="1">
        <f t="shared" si="32"/>
        <v>46.745155529662647</v>
      </c>
    </row>
    <row r="433" spans="1:18" x14ac:dyDescent="0.35">
      <c r="A433">
        <v>3.0833432296827801</v>
      </c>
      <c r="B433">
        <v>11.298147633434899</v>
      </c>
      <c r="C433">
        <v>11.098658242300599</v>
      </c>
      <c r="I433" s="1">
        <f t="shared" si="33"/>
        <v>266400.85504459217</v>
      </c>
      <c r="J433">
        <f t="shared" si="34"/>
        <v>600.00015296478523</v>
      </c>
      <c r="K433" s="1">
        <f t="shared" si="35"/>
        <v>31.86078444891443</v>
      </c>
      <c r="L433" s="1">
        <f t="shared" si="35"/>
        <v>31.2982242224959</v>
      </c>
      <c r="N433">
        <f>I433</f>
        <v>266400.85504459217</v>
      </c>
      <c r="O433" s="1">
        <f>SUM(K$2:K433)/$G$3</f>
        <v>4.6491303268483733E-2</v>
      </c>
      <c r="P433" s="1">
        <f>SUM(L$2:L433)/$G$3</f>
        <v>4.7069539881867607E-2</v>
      </c>
      <c r="Q433" s="1">
        <f t="shared" si="31"/>
        <v>46.491303268483733</v>
      </c>
      <c r="R433" s="1">
        <f t="shared" si="32"/>
        <v>47.069539881867605</v>
      </c>
    </row>
    <row r="434" spans="1:18" x14ac:dyDescent="0.35">
      <c r="A434">
        <v>3.0902876758976401</v>
      </c>
      <c r="B434">
        <v>11.2642020342966</v>
      </c>
      <c r="C434">
        <v>11.1149364584442</v>
      </c>
      <c r="I434" s="1">
        <f t="shared" si="33"/>
        <v>267000.85519755608</v>
      </c>
      <c r="J434">
        <f t="shared" si="34"/>
        <v>600.00015296391211</v>
      </c>
      <c r="K434" s="1">
        <f t="shared" si="35"/>
        <v>31.76505783489354</v>
      </c>
      <c r="L434" s="1">
        <f t="shared" si="35"/>
        <v>31.344128803678213</v>
      </c>
      <c r="N434">
        <f>I434</f>
        <v>267000.85519755608</v>
      </c>
      <c r="O434" s="1">
        <f>SUM(K$2:K434)/$G$3</f>
        <v>4.6820526026787039E-2</v>
      </c>
      <c r="P434" s="1">
        <f>SUM(L$2:L434)/$G$3</f>
        <v>4.7394400003168101E-2</v>
      </c>
      <c r="Q434" s="1">
        <f t="shared" si="31"/>
        <v>46.820526026787036</v>
      </c>
      <c r="R434" s="1">
        <f t="shared" si="32"/>
        <v>47.394400003168101</v>
      </c>
    </row>
    <row r="435" spans="1:18" x14ac:dyDescent="0.35">
      <c r="A435">
        <v>3.0972321221125001</v>
      </c>
      <c r="B435">
        <v>11.2253460984687</v>
      </c>
      <c r="C435">
        <v>11.10801749674</v>
      </c>
      <c r="I435" s="1">
        <f t="shared" si="33"/>
        <v>267600.85535052</v>
      </c>
      <c r="J435">
        <f t="shared" si="34"/>
        <v>600.00015296391211</v>
      </c>
      <c r="K435" s="1">
        <f t="shared" si="35"/>
        <v>31.655484067924146</v>
      </c>
      <c r="L435" s="1">
        <f t="shared" si="35"/>
        <v>31.324617326698121</v>
      </c>
      <c r="N435">
        <f>I435</f>
        <v>267600.85535052</v>
      </c>
      <c r="O435" s="1">
        <f>SUM(K$2:K435)/$G$3</f>
        <v>4.7148613129113039E-2</v>
      </c>
      <c r="P435" s="1">
        <f>SUM(L$2:L435)/$G$3</f>
        <v>4.7719057901563687E-2</v>
      </c>
      <c r="Q435" s="1">
        <f t="shared" si="31"/>
        <v>47.148613129113038</v>
      </c>
      <c r="R435" s="1">
        <f t="shared" si="32"/>
        <v>47.719057901563687</v>
      </c>
    </row>
    <row r="436" spans="1:18" x14ac:dyDescent="0.35">
      <c r="A436">
        <v>3.1041765683273601</v>
      </c>
      <c r="B436">
        <v>11.180314234079701</v>
      </c>
      <c r="C436">
        <v>11.087538419388</v>
      </c>
      <c r="I436" s="1">
        <f t="shared" si="33"/>
        <v>268200.85550348391</v>
      </c>
      <c r="J436">
        <f t="shared" si="34"/>
        <v>600.00015296391211</v>
      </c>
      <c r="K436" s="1">
        <f t="shared" si="35"/>
        <v>31.528494177972394</v>
      </c>
      <c r="L436" s="1">
        <f t="shared" si="35"/>
        <v>31.266866313842449</v>
      </c>
      <c r="N436">
        <f>I436</f>
        <v>268200.85550348391</v>
      </c>
      <c r="O436" s="1">
        <f>SUM(K$2:K436)/$G$3</f>
        <v>4.7475384069445452E-2</v>
      </c>
      <c r="P436" s="1">
        <f>SUM(L$2:L436)/$G$3</f>
        <v>4.8043117250828778E-2</v>
      </c>
      <c r="Q436" s="1">
        <f t="shared" si="31"/>
        <v>47.475384069445454</v>
      </c>
      <c r="R436" s="1">
        <f t="shared" si="32"/>
        <v>48.043117250828779</v>
      </c>
    </row>
    <row r="437" spans="1:18" x14ac:dyDescent="0.35">
      <c r="A437">
        <v>3.1111210145422299</v>
      </c>
      <c r="B437">
        <v>11.1431497226544</v>
      </c>
      <c r="C437">
        <v>11.090947629734201</v>
      </c>
      <c r="I437" s="1">
        <f t="shared" si="33"/>
        <v>268800.85565644864</v>
      </c>
      <c r="J437">
        <f t="shared" si="34"/>
        <v>600.00015296472702</v>
      </c>
      <c r="K437" s="1">
        <f t="shared" si="35"/>
        <v>31.423690229077028</v>
      </c>
      <c r="L437" s="1">
        <f t="shared" si="35"/>
        <v>31.276480289512197</v>
      </c>
      <c r="N437">
        <f>I437</f>
        <v>268800.85565644864</v>
      </c>
      <c r="O437" s="1">
        <f>SUM(K$2:K437)/$G$3</f>
        <v>4.7801068789651464E-2</v>
      </c>
      <c r="P437" s="1">
        <f>SUM(L$2:L437)/$G$3</f>
        <v>4.8367276242273174E-2</v>
      </c>
      <c r="Q437" s="1">
        <f t="shared" si="31"/>
        <v>47.801068789651467</v>
      </c>
      <c r="R437" s="1">
        <f t="shared" si="32"/>
        <v>48.367276242273178</v>
      </c>
    </row>
    <row r="438" spans="1:18" x14ac:dyDescent="0.35">
      <c r="A438">
        <v>3.1180654607570899</v>
      </c>
      <c r="B438">
        <v>11.099035041060899</v>
      </c>
      <c r="C438">
        <v>11.083106976978501</v>
      </c>
      <c r="I438" s="1">
        <f t="shared" si="33"/>
        <v>269400.85580941255</v>
      </c>
      <c r="J438">
        <f t="shared" si="34"/>
        <v>600.00015296391211</v>
      </c>
      <c r="K438" s="1">
        <f t="shared" si="35"/>
        <v>31.299286795225292</v>
      </c>
      <c r="L438" s="1">
        <f t="shared" si="35"/>
        <v>31.254369643061761</v>
      </c>
      <c r="N438">
        <f>I438</f>
        <v>269400.85580941255</v>
      </c>
      <c r="O438" s="1">
        <f>SUM(K$2:K438)/$G$3</f>
        <v>4.8125464154684633E-2</v>
      </c>
      <c r="P438" s="1">
        <f>SUM(L$2:L438)/$G$3</f>
        <v>4.8691206072226656E-2</v>
      </c>
      <c r="Q438" s="1">
        <f t="shared" si="31"/>
        <v>48.125464154684636</v>
      </c>
      <c r="R438" s="1">
        <f t="shared" si="32"/>
        <v>48.691206072226656</v>
      </c>
    </row>
    <row r="439" spans="1:18" x14ac:dyDescent="0.35">
      <c r="A439">
        <v>3.1250099069719499</v>
      </c>
      <c r="B439">
        <v>11.0586926834079</v>
      </c>
      <c r="C439">
        <v>11.097474908044299</v>
      </c>
      <c r="I439" s="1">
        <f t="shared" si="33"/>
        <v>270000.85596237646</v>
      </c>
      <c r="J439">
        <f t="shared" si="34"/>
        <v>600.00015296391211</v>
      </c>
      <c r="K439" s="1">
        <f t="shared" si="35"/>
        <v>31.18552131764049</v>
      </c>
      <c r="L439" s="1">
        <f t="shared" si="35"/>
        <v>31.294887218996855</v>
      </c>
      <c r="N439">
        <f>I439</f>
        <v>270000.85596237646</v>
      </c>
      <c r="O439" s="1">
        <f>SUM(K$2:K439)/$G$3</f>
        <v>4.8448680419571823E-2</v>
      </c>
      <c r="P439" s="1">
        <f>SUM(L$2:L439)/$G$3</f>
        <v>4.9015555838708466E-2</v>
      </c>
      <c r="Q439" s="1">
        <f t="shared" si="31"/>
        <v>48.448680419571822</v>
      </c>
      <c r="R439" s="1">
        <f t="shared" si="32"/>
        <v>49.015555838708465</v>
      </c>
    </row>
    <row r="440" spans="1:18" x14ac:dyDescent="0.35">
      <c r="A440">
        <v>3.1319543531868099</v>
      </c>
      <c r="B440">
        <v>11.008410281575401</v>
      </c>
      <c r="C440">
        <v>11.104302107306101</v>
      </c>
      <c r="I440" s="1">
        <f t="shared" si="33"/>
        <v>270600.85611534037</v>
      </c>
      <c r="J440">
        <f t="shared" si="34"/>
        <v>600.00015296391211</v>
      </c>
      <c r="K440" s="1">
        <f t="shared" si="35"/>
        <v>31.043724908323295</v>
      </c>
      <c r="L440" s="1">
        <f t="shared" si="35"/>
        <v>31.314139925823415</v>
      </c>
      <c r="N440">
        <f>I440</f>
        <v>270600.85611534037</v>
      </c>
      <c r="O440" s="1">
        <f>SUM(K$2:K440)/$G$3</f>
        <v>4.8770427063177801E-2</v>
      </c>
      <c r="P440" s="1">
        <f>SUM(L$2:L440)/$G$3</f>
        <v>4.9340105146122304E-2</v>
      </c>
      <c r="Q440" s="1">
        <f t="shared" si="31"/>
        <v>48.770427063177799</v>
      </c>
      <c r="R440" s="1">
        <f t="shared" si="32"/>
        <v>49.340105146122305</v>
      </c>
    </row>
    <row r="441" spans="1:18" x14ac:dyDescent="0.35">
      <c r="A441">
        <v>3.1388987994016802</v>
      </c>
      <c r="B441">
        <v>10.948147046464801</v>
      </c>
      <c r="C441">
        <v>11.093840100959399</v>
      </c>
      <c r="I441" s="1">
        <f t="shared" si="33"/>
        <v>271200.85626830516</v>
      </c>
      <c r="J441">
        <f t="shared" si="34"/>
        <v>600.00015296478523</v>
      </c>
      <c r="K441" s="1">
        <f t="shared" si="35"/>
        <v>30.873782542031257</v>
      </c>
      <c r="L441" s="1">
        <f t="shared" si="35"/>
        <v>31.284637060449789</v>
      </c>
      <c r="N441">
        <f>I441</f>
        <v>271200.85626830516</v>
      </c>
      <c r="O441" s="1">
        <f>SUM(K$2:K441)/$G$3</f>
        <v>4.9090412372210616E-2</v>
      </c>
      <c r="P441" s="1">
        <f>SUM(L$2:L441)/$G$3</f>
        <v>4.966434867683122E-2</v>
      </c>
      <c r="Q441" s="1">
        <f t="shared" si="31"/>
        <v>49.090412372210615</v>
      </c>
      <c r="R441" s="1">
        <f t="shared" si="32"/>
        <v>49.664348676831217</v>
      </c>
    </row>
    <row r="442" spans="1:18" x14ac:dyDescent="0.35">
      <c r="A442">
        <v>3.1458432456165402</v>
      </c>
      <c r="B442">
        <v>10.897503837220899</v>
      </c>
      <c r="C442">
        <v>11.0992731692807</v>
      </c>
      <c r="I442" s="1">
        <f t="shared" si="33"/>
        <v>271800.85642126907</v>
      </c>
      <c r="J442">
        <f t="shared" si="34"/>
        <v>600.00015296391211</v>
      </c>
      <c r="K442" s="1">
        <f t="shared" si="35"/>
        <v>30.730968655509589</v>
      </c>
      <c r="L442" s="1">
        <f t="shared" si="35"/>
        <v>31.299958316976326</v>
      </c>
      <c r="N442">
        <f>I442</f>
        <v>271800.85642126907</v>
      </c>
      <c r="O442" s="1">
        <f>SUM(K$2:K442)/$G$3</f>
        <v>4.9408917514517821E-2</v>
      </c>
      <c r="P442" s="1">
        <f>SUM(L$2:L442)/$G$3</f>
        <v>4.9988751001720858E-2</v>
      </c>
      <c r="Q442" s="1">
        <f t="shared" si="31"/>
        <v>49.408917514517817</v>
      </c>
      <c r="R442" s="1">
        <f t="shared" si="32"/>
        <v>49.988751001720857</v>
      </c>
    </row>
    <row r="443" spans="1:18" x14ac:dyDescent="0.35">
      <c r="A443">
        <v>3.1527876918314002</v>
      </c>
      <c r="B443">
        <v>10.7923456485522</v>
      </c>
      <c r="C443">
        <v>11.0633070019472</v>
      </c>
      <c r="I443" s="1">
        <f t="shared" si="33"/>
        <v>272400.85657423298</v>
      </c>
      <c r="J443">
        <f t="shared" si="34"/>
        <v>600.00015296391211</v>
      </c>
      <c r="K443" s="1">
        <f t="shared" si="35"/>
        <v>30.434422487862438</v>
      </c>
      <c r="L443" s="1">
        <f t="shared" si="35"/>
        <v>31.198533699238688</v>
      </c>
      <c r="N443">
        <f>I443</f>
        <v>272400.85657423298</v>
      </c>
      <c r="O443" s="1">
        <f>SUM(K$2:K443)/$G$3</f>
        <v>4.9724349161798354E-2</v>
      </c>
      <c r="P443" s="1">
        <f>SUM(L$2:L443)/$G$3</f>
        <v>5.0312102130904035E-2</v>
      </c>
      <c r="Q443" s="1">
        <f t="shared" si="31"/>
        <v>49.724349161798351</v>
      </c>
      <c r="R443" s="1">
        <f t="shared" si="32"/>
        <v>50.312102130904037</v>
      </c>
    </row>
    <row r="444" spans="1:18" x14ac:dyDescent="0.35">
      <c r="A444">
        <v>3.15973213804627</v>
      </c>
      <c r="B444">
        <v>10.732389767007501</v>
      </c>
      <c r="C444">
        <v>11.043366237313</v>
      </c>
      <c r="I444" s="1">
        <f t="shared" si="33"/>
        <v>273000.85672719771</v>
      </c>
      <c r="J444">
        <f t="shared" si="34"/>
        <v>600.00015296472702</v>
      </c>
      <c r="K444" s="1">
        <f t="shared" si="35"/>
        <v>30.265346858843387</v>
      </c>
      <c r="L444" s="1">
        <f t="shared" si="35"/>
        <v>31.142300728676521</v>
      </c>
      <c r="N444">
        <f>I444</f>
        <v>273000.85672719771</v>
      </c>
      <c r="O444" s="1">
        <f>SUM(K$2:K444)/$G$3</f>
        <v>5.0038028457635456E-2</v>
      </c>
      <c r="P444" s="1">
        <f>SUM(L$2:L444)/$G$3</f>
        <v>5.0634870444410555E-2</v>
      </c>
      <c r="Q444" s="1">
        <f t="shared" si="31"/>
        <v>50.038028457635455</v>
      </c>
      <c r="R444" s="1">
        <f t="shared" si="32"/>
        <v>50.634870444410552</v>
      </c>
    </row>
    <row r="445" spans="1:18" x14ac:dyDescent="0.35">
      <c r="A445">
        <v>3.16667658426113</v>
      </c>
      <c r="B445">
        <v>10.678748790757</v>
      </c>
      <c r="C445">
        <v>11.010901605816001</v>
      </c>
      <c r="I445" s="1">
        <f t="shared" si="33"/>
        <v>273600.85688016162</v>
      </c>
      <c r="J445">
        <f t="shared" si="34"/>
        <v>600.00015296391211</v>
      </c>
      <c r="K445" s="1">
        <f t="shared" si="35"/>
        <v>30.114079267211743</v>
      </c>
      <c r="L445" s="1">
        <f t="shared" si="35"/>
        <v>31.050750444472875</v>
      </c>
      <c r="N445">
        <f>I445</f>
        <v>273600.85688016162</v>
      </c>
      <c r="O445" s="1">
        <f>SUM(K$2:K445)/$G$3</f>
        <v>5.0350139969965992E-2</v>
      </c>
      <c r="P445" s="1">
        <f>SUM(L$2:L445)/$G$3</f>
        <v>5.095668990281832E-2</v>
      </c>
      <c r="Q445" s="1">
        <f t="shared" si="31"/>
        <v>50.350139969965994</v>
      </c>
      <c r="R445" s="1">
        <f t="shared" si="32"/>
        <v>50.956689902818319</v>
      </c>
    </row>
    <row r="446" spans="1:18" x14ac:dyDescent="0.35">
      <c r="A446">
        <v>3.17362103047599</v>
      </c>
      <c r="B446">
        <v>10.6060858883049</v>
      </c>
      <c r="C446">
        <v>10.9555187796364</v>
      </c>
      <c r="I446" s="1">
        <f t="shared" si="33"/>
        <v>274200.85703312553</v>
      </c>
      <c r="J446">
        <f t="shared" si="34"/>
        <v>600.00015296391211</v>
      </c>
      <c r="K446" s="1">
        <f t="shared" si="35"/>
        <v>29.909169830057252</v>
      </c>
      <c r="L446" s="1">
        <f t="shared" si="35"/>
        <v>30.894570834830002</v>
      </c>
      <c r="N446">
        <f>I446</f>
        <v>274200.85703312553</v>
      </c>
      <c r="O446" s="1">
        <f>SUM(K$2:K446)/$G$3</f>
        <v>5.0660127738324359E-2</v>
      </c>
      <c r="P446" s="1">
        <f>SUM(L$2:L446)/$G$3</f>
        <v>5.1276890668065039E-2</v>
      </c>
      <c r="Q446" s="1">
        <f t="shared" si="31"/>
        <v>50.660127738324363</v>
      </c>
      <c r="R446" s="1">
        <f t="shared" si="32"/>
        <v>51.276890668065036</v>
      </c>
    </row>
    <row r="447" spans="1:18" x14ac:dyDescent="0.35">
      <c r="A447">
        <v>3.18056547669085</v>
      </c>
      <c r="B447">
        <v>10.5238577515134</v>
      </c>
      <c r="C447">
        <v>10.9359437890118</v>
      </c>
      <c r="I447" s="1">
        <f t="shared" si="33"/>
        <v>274800.85718608944</v>
      </c>
      <c r="J447">
        <f t="shared" si="34"/>
        <v>600.00015296391211</v>
      </c>
      <c r="K447" s="1">
        <f t="shared" si="35"/>
        <v>29.677286425188917</v>
      </c>
      <c r="L447" s="1">
        <f t="shared" si="35"/>
        <v>30.839369347195575</v>
      </c>
      <c r="N447">
        <f>I447</f>
        <v>274800.85718608944</v>
      </c>
      <c r="O447" s="1">
        <f>SUM(K$2:K447)/$G$3</f>
        <v>5.0967712196273149E-2</v>
      </c>
      <c r="P447" s="1">
        <f>SUM(L$2:L447)/$G$3</f>
        <v>5.1596519308239115E-2</v>
      </c>
      <c r="Q447" s="1">
        <f t="shared" si="31"/>
        <v>50.967712196273148</v>
      </c>
      <c r="R447" s="1">
        <f t="shared" si="32"/>
        <v>51.596519308239117</v>
      </c>
    </row>
    <row r="448" spans="1:18" x14ac:dyDescent="0.35">
      <c r="A448">
        <v>3.1875099229057202</v>
      </c>
      <c r="B448">
        <v>10.438253897909901</v>
      </c>
      <c r="C448">
        <v>10.8732621244309</v>
      </c>
      <c r="I448" s="1">
        <f t="shared" si="33"/>
        <v>275400.85733905423</v>
      </c>
      <c r="J448">
        <f t="shared" si="34"/>
        <v>600.00015296478523</v>
      </c>
      <c r="K448" s="1">
        <f t="shared" si="35"/>
        <v>29.435883496526671</v>
      </c>
      <c r="L448" s="1">
        <f t="shared" si="35"/>
        <v>30.662607008058306</v>
      </c>
      <c r="N448">
        <f>I448</f>
        <v>275400.85733905423</v>
      </c>
      <c r="O448" s="1">
        <f>SUM(K$2:K448)/$G$3</f>
        <v>5.1272794680561139E-2</v>
      </c>
      <c r="P448" s="1">
        <f>SUM(L$2:L448)/$G$3</f>
        <v>5.1914315929559092E-2</v>
      </c>
      <c r="Q448" s="1">
        <f t="shared" si="31"/>
        <v>51.272794680561141</v>
      </c>
      <c r="R448" s="1">
        <f t="shared" si="32"/>
        <v>51.914315929559095</v>
      </c>
    </row>
    <row r="449" spans="1:18" x14ac:dyDescent="0.35">
      <c r="A449">
        <v>3.1944543691205798</v>
      </c>
      <c r="B449">
        <v>10.341993840825101</v>
      </c>
      <c r="C449">
        <v>10.7988693422685</v>
      </c>
      <c r="I449" s="1">
        <f t="shared" si="33"/>
        <v>276000.85749201808</v>
      </c>
      <c r="J449">
        <f t="shared" si="34"/>
        <v>600.00015296385391</v>
      </c>
      <c r="K449" s="1">
        <f t="shared" si="35"/>
        <v>29.164430066297591</v>
      </c>
      <c r="L449" s="1">
        <f t="shared" si="35"/>
        <v>30.452819308829532</v>
      </c>
      <c r="N449">
        <f>I449</f>
        <v>276000.85749201808</v>
      </c>
      <c r="O449" s="1">
        <f>SUM(K$2:K449)/$G$3</f>
        <v>5.1575063738614695E-2</v>
      </c>
      <c r="P449" s="1">
        <f>SUM(L$2:L449)/$G$3</f>
        <v>5.2229938247109281E-2</v>
      </c>
      <c r="Q449" s="1">
        <f t="shared" si="31"/>
        <v>51.575063738614695</v>
      </c>
      <c r="R449" s="1">
        <f t="shared" si="32"/>
        <v>52.229938247109281</v>
      </c>
    </row>
    <row r="450" spans="1:18" x14ac:dyDescent="0.35">
      <c r="A450">
        <v>3.2013988153354398</v>
      </c>
      <c r="B450">
        <v>10.2388485161239</v>
      </c>
      <c r="C450">
        <v>10.752246561535401</v>
      </c>
      <c r="I450" s="1">
        <f t="shared" si="33"/>
        <v>276600.857644982</v>
      </c>
      <c r="J450">
        <f t="shared" si="34"/>
        <v>600.00015296391211</v>
      </c>
      <c r="K450" s="1">
        <f t="shared" si="35"/>
        <v>28.873560176488724</v>
      </c>
      <c r="L450" s="1">
        <f t="shared" si="35"/>
        <v>30.321343033646613</v>
      </c>
      <c r="N450">
        <f>I450</f>
        <v>276600.857644982</v>
      </c>
      <c r="O450" s="1">
        <f>SUM(K$2:K450)/$G$3</f>
        <v>5.1874318132318256E-2</v>
      </c>
      <c r="P450" s="1">
        <f>SUM(L$2:L450)/$G$3</f>
        <v>5.2544197904399494E-2</v>
      </c>
      <c r="Q450" s="1">
        <f t="shared" ref="Q450:Q513" si="36">O450*1000</f>
        <v>51.874318132318258</v>
      </c>
      <c r="R450" s="1">
        <f t="shared" ref="R450:R513" si="37">P450*1000</f>
        <v>52.544197904399496</v>
      </c>
    </row>
    <row r="451" spans="1:18" x14ac:dyDescent="0.35">
      <c r="A451">
        <v>3.20834326155031</v>
      </c>
      <c r="B451">
        <v>10.1225829685558</v>
      </c>
      <c r="C451">
        <v>10.7186008838879</v>
      </c>
      <c r="I451" s="1">
        <f t="shared" ref="I451:I514" si="38">A451*86400</f>
        <v>277200.85779794678</v>
      </c>
      <c r="J451">
        <f t="shared" si="34"/>
        <v>600.00015296478523</v>
      </c>
      <c r="K451" s="1">
        <f t="shared" si="35"/>
        <v>28.545691248801386</v>
      </c>
      <c r="L451" s="1">
        <f t="shared" si="35"/>
        <v>30.226462198535746</v>
      </c>
      <c r="N451">
        <f>I451</f>
        <v>277200.85779794678</v>
      </c>
      <c r="O451" s="1">
        <f>SUM(K$2:K451)/$G$3</f>
        <v>5.2170174392346259E-2</v>
      </c>
      <c r="P451" s="1">
        <f>SUM(L$2:L451)/$G$3</f>
        <v>5.2857474187744433E-2</v>
      </c>
      <c r="Q451" s="1">
        <f t="shared" si="36"/>
        <v>52.170174392346262</v>
      </c>
      <c r="R451" s="1">
        <f t="shared" si="37"/>
        <v>52.85747418774443</v>
      </c>
    </row>
    <row r="452" spans="1:18" x14ac:dyDescent="0.35">
      <c r="A452">
        <v>3.21528770776517</v>
      </c>
      <c r="B452">
        <v>9.9818586625649299</v>
      </c>
      <c r="C452">
        <v>10.654120579738301</v>
      </c>
      <c r="I452" s="1">
        <f t="shared" si="38"/>
        <v>277800.85795091069</v>
      </c>
      <c r="J452">
        <f t="shared" si="34"/>
        <v>600.00015296391211</v>
      </c>
      <c r="K452" s="1">
        <f t="shared" si="35"/>
        <v>28.148848604694614</v>
      </c>
      <c r="L452" s="1">
        <f t="shared" si="35"/>
        <v>30.044627694433039</v>
      </c>
      <c r="N452">
        <f>I452</f>
        <v>277800.85795091069</v>
      </c>
      <c r="O452" s="1">
        <f>SUM(K$2:K452)/$G$3</f>
        <v>5.2461917654041804E-2</v>
      </c>
      <c r="P452" s="1">
        <f>SUM(L$2:L452)/$G$3</f>
        <v>5.3168865882768868E-2</v>
      </c>
      <c r="Q452" s="1">
        <f t="shared" si="36"/>
        <v>52.461917654041805</v>
      </c>
      <c r="R452" s="1">
        <f t="shared" si="37"/>
        <v>53.16886588276887</v>
      </c>
    </row>
    <row r="453" spans="1:18" x14ac:dyDescent="0.35">
      <c r="A453">
        <v>3.22223215398003</v>
      </c>
      <c r="B453">
        <v>9.8088183490841807</v>
      </c>
      <c r="C453">
        <v>10.591939949755499</v>
      </c>
      <c r="I453" s="1">
        <f t="shared" si="38"/>
        <v>278400.85810387461</v>
      </c>
      <c r="J453">
        <f t="shared" si="34"/>
        <v>600.00015296391211</v>
      </c>
      <c r="K453" s="1">
        <f t="shared" si="35"/>
        <v>27.66087479627496</v>
      </c>
      <c r="L453" s="1">
        <f t="shared" si="35"/>
        <v>29.869278273177994</v>
      </c>
      <c r="N453">
        <f>I453</f>
        <v>278400.85810387461</v>
      </c>
      <c r="O453" s="1">
        <f>SUM(K$2:K453)/$G$3</f>
        <v>5.2748603406192654E-2</v>
      </c>
      <c r="P453" s="1">
        <f>SUM(L$2:L453)/$G$3</f>
        <v>5.3478440202851557E-2</v>
      </c>
      <c r="Q453" s="1">
        <f t="shared" si="36"/>
        <v>52.748603406192657</v>
      </c>
      <c r="R453" s="1">
        <f t="shared" si="37"/>
        <v>53.478440202851559</v>
      </c>
    </row>
    <row r="454" spans="1:18" x14ac:dyDescent="0.35">
      <c r="A454">
        <v>3.2291766001948901</v>
      </c>
      <c r="B454">
        <v>9.5956853784014893</v>
      </c>
      <c r="C454">
        <v>10.527738644121699</v>
      </c>
      <c r="I454" s="1">
        <f t="shared" si="38"/>
        <v>279000.85825683852</v>
      </c>
      <c r="J454">
        <f t="shared" ref="J454:J517" si="39">I454-I453</f>
        <v>600.00015296391211</v>
      </c>
      <c r="K454" s="1">
        <f t="shared" si="35"/>
        <v>27.059839665722002</v>
      </c>
      <c r="L454" s="1">
        <f t="shared" si="35"/>
        <v>29.68823054513441</v>
      </c>
      <c r="N454">
        <f>I454</f>
        <v>279000.85825683852</v>
      </c>
      <c r="O454" s="1">
        <f>SUM(K$2:K454)/$G$3</f>
        <v>5.3029059846734936E-2</v>
      </c>
      <c r="P454" s="1">
        <f>SUM(L$2:L454)/$G$3</f>
        <v>5.3786138089001054E-2</v>
      </c>
      <c r="Q454" s="1">
        <f t="shared" si="36"/>
        <v>53.029059846734938</v>
      </c>
      <c r="R454" s="1">
        <f t="shared" si="37"/>
        <v>53.786138089001057</v>
      </c>
    </row>
    <row r="455" spans="1:18" x14ac:dyDescent="0.35">
      <c r="A455">
        <v>3.2361210464097598</v>
      </c>
      <c r="B455">
        <v>9.4374199061187998</v>
      </c>
      <c r="C455">
        <v>10.449267508791401</v>
      </c>
      <c r="I455" s="1">
        <f t="shared" si="38"/>
        <v>279600.85840980324</v>
      </c>
      <c r="J455">
        <f t="shared" si="39"/>
        <v>600.00015296472702</v>
      </c>
      <c r="K455" s="1">
        <f t="shared" si="35"/>
        <v>26.613530920139105</v>
      </c>
      <c r="L455" s="1">
        <f t="shared" si="35"/>
        <v>29.466941887127707</v>
      </c>
      <c r="N455">
        <f>I455</f>
        <v>279600.85840980324</v>
      </c>
      <c r="O455" s="1">
        <f>SUM(K$2:K455)/$G$3</f>
        <v>5.3304890607165464E-2</v>
      </c>
      <c r="P455" s="1">
        <f>SUM(L$2:L455)/$G$3</f>
        <v>5.4091542471932368E-2</v>
      </c>
      <c r="Q455" s="1">
        <f t="shared" si="36"/>
        <v>53.304890607165461</v>
      </c>
      <c r="R455" s="1">
        <f t="shared" si="37"/>
        <v>54.091542471932371</v>
      </c>
    </row>
    <row r="456" spans="1:18" x14ac:dyDescent="0.35">
      <c r="A456">
        <v>3.2430654926246198</v>
      </c>
      <c r="B456">
        <v>9.3021593755340799</v>
      </c>
      <c r="C456">
        <v>10.371713040115999</v>
      </c>
      <c r="I456" s="1">
        <f t="shared" si="38"/>
        <v>280200.85856276716</v>
      </c>
      <c r="J456">
        <f t="shared" si="39"/>
        <v>600.00015296391211</v>
      </c>
      <c r="K456" s="1">
        <f t="shared" si="35"/>
        <v>26.232096126611143</v>
      </c>
      <c r="L456" s="1">
        <f t="shared" si="35"/>
        <v>29.248238229666786</v>
      </c>
      <c r="N456">
        <f>I456</f>
        <v>280200.85856276716</v>
      </c>
      <c r="O456" s="1">
        <f>SUM(K$2:K456)/$G$3</f>
        <v>5.3576768060931451E-2</v>
      </c>
      <c r="P456" s="1">
        <f>SUM(L$2:L456)/$G$3</f>
        <v>5.4394680143380433E-2</v>
      </c>
      <c r="Q456" s="1">
        <f t="shared" si="36"/>
        <v>53.57676806093145</v>
      </c>
      <c r="R456" s="1">
        <f t="shared" si="37"/>
        <v>54.394680143380434</v>
      </c>
    </row>
    <row r="457" spans="1:18" x14ac:dyDescent="0.35">
      <c r="A457">
        <v>3.2500099388394799</v>
      </c>
      <c r="B457">
        <v>9.1975123001689294</v>
      </c>
      <c r="C457">
        <v>10.304539295638101</v>
      </c>
      <c r="I457" s="1">
        <f t="shared" si="38"/>
        <v>280800.85871573107</v>
      </c>
      <c r="J457">
        <f t="shared" si="39"/>
        <v>600.00015296391211</v>
      </c>
      <c r="K457" s="1">
        <f t="shared" si="35"/>
        <v>25.93699129884746</v>
      </c>
      <c r="L457" s="1">
        <f t="shared" si="35"/>
        <v>29.058808221945867</v>
      </c>
      <c r="N457">
        <f>I457</f>
        <v>280800.85871573107</v>
      </c>
      <c r="O457" s="1">
        <f>SUM(K$2:K457)/$G$3</f>
        <v>5.3845586958157422E-2</v>
      </c>
      <c r="P457" s="1">
        <f>SUM(L$2:L457)/$G$3</f>
        <v>5.4695854504389359E-2</v>
      </c>
      <c r="Q457" s="1">
        <f t="shared" si="36"/>
        <v>53.845586958157419</v>
      </c>
      <c r="R457" s="1">
        <f t="shared" si="37"/>
        <v>54.695854504389359</v>
      </c>
    </row>
    <row r="458" spans="1:18" x14ac:dyDescent="0.35">
      <c r="A458">
        <v>3.2569543850543399</v>
      </c>
      <c r="B458">
        <v>9.1231772582773498</v>
      </c>
      <c r="C458">
        <v>10.212026285601</v>
      </c>
      <c r="I458" s="1">
        <f t="shared" si="38"/>
        <v>281400.85886869498</v>
      </c>
      <c r="J458">
        <f t="shared" si="39"/>
        <v>600.00015296391211</v>
      </c>
      <c r="K458" s="1">
        <f t="shared" si="35"/>
        <v>25.727366427271484</v>
      </c>
      <c r="L458" s="1">
        <f t="shared" si="35"/>
        <v>28.797921467130831</v>
      </c>
      <c r="N458">
        <f>I458</f>
        <v>281400.85886869498</v>
      </c>
      <c r="O458" s="1">
        <f>SUM(K$2:K458)/$G$3</f>
        <v>5.41122332392091E-2</v>
      </c>
      <c r="P458" s="1">
        <f>SUM(L$2:L458)/$G$3</f>
        <v>5.4994324955414182E-2</v>
      </c>
      <c r="Q458" s="1">
        <f t="shared" si="36"/>
        <v>54.112233239209097</v>
      </c>
      <c r="R458" s="1">
        <f t="shared" si="37"/>
        <v>54.994324955414186</v>
      </c>
    </row>
    <row r="459" spans="1:18" x14ac:dyDescent="0.35">
      <c r="A459">
        <v>3.2638988312692101</v>
      </c>
      <c r="B459">
        <v>9.0419001989491203</v>
      </c>
      <c r="C459">
        <v>10.144904962904899</v>
      </c>
      <c r="I459" s="1">
        <f t="shared" si="38"/>
        <v>282000.85902165977</v>
      </c>
      <c r="J459">
        <f t="shared" si="39"/>
        <v>600.00015296478523</v>
      </c>
      <c r="K459" s="1">
        <f t="shared" si="35"/>
        <v>25.498165061570436</v>
      </c>
      <c r="L459" s="1">
        <f t="shared" si="35"/>
        <v>28.608639288913899</v>
      </c>
      <c r="N459">
        <f>I459</f>
        <v>282000.85902165977</v>
      </c>
      <c r="O459" s="1">
        <f>SUM(K$2:K459)/$G$3</f>
        <v>5.4376504007324043E-2</v>
      </c>
      <c r="P459" s="1">
        <f>SUM(L$2:L459)/$G$3</f>
        <v>5.5290833628149981E-2</v>
      </c>
      <c r="Q459" s="1">
        <f t="shared" si="36"/>
        <v>54.376504007324044</v>
      </c>
      <c r="R459" s="1">
        <f t="shared" si="37"/>
        <v>55.290833628149983</v>
      </c>
    </row>
    <row r="460" spans="1:18" x14ac:dyDescent="0.35">
      <c r="A460">
        <v>3.2708432774840701</v>
      </c>
      <c r="B460">
        <v>8.9617430547070001</v>
      </c>
      <c r="C460">
        <v>10.075634025965501</v>
      </c>
      <c r="I460" s="1">
        <f t="shared" si="38"/>
        <v>282600.85917462368</v>
      </c>
      <c r="J460">
        <f t="shared" si="39"/>
        <v>600.00015296391211</v>
      </c>
      <c r="K460" s="1">
        <f t="shared" si="35"/>
        <v>25.272121857143141</v>
      </c>
      <c r="L460" s="1">
        <f t="shared" si="35"/>
        <v>28.413295196902183</v>
      </c>
      <c r="N460">
        <f>I460</f>
        <v>282600.85917462368</v>
      </c>
      <c r="O460" s="1">
        <f>SUM(K$2:K460)/$G$3</f>
        <v>5.4638431994649982E-2</v>
      </c>
      <c r="P460" s="1">
        <f>SUM(L$2:L460)/$G$3</f>
        <v>5.5585317695071287E-2</v>
      </c>
      <c r="Q460" s="1">
        <f t="shared" si="36"/>
        <v>54.638431994649984</v>
      </c>
      <c r="R460" s="1">
        <f t="shared" si="37"/>
        <v>55.585317695071289</v>
      </c>
    </row>
    <row r="461" spans="1:18" x14ac:dyDescent="0.35">
      <c r="A461">
        <v>3.2777877236989301</v>
      </c>
      <c r="B461">
        <v>8.8939889724404306</v>
      </c>
      <c r="C461">
        <v>9.9884015403943494</v>
      </c>
      <c r="I461" s="1">
        <f t="shared" si="38"/>
        <v>283200.85932758759</v>
      </c>
      <c r="J461">
        <f t="shared" si="39"/>
        <v>600.00015296391211</v>
      </c>
      <c r="K461" s="1">
        <f t="shared" si="35"/>
        <v>25.081055296440951</v>
      </c>
      <c r="L461" s="1">
        <f t="shared" si="35"/>
        <v>28.16729952487745</v>
      </c>
      <c r="N461">
        <f>I461</f>
        <v>283200.85932758759</v>
      </c>
      <c r="O461" s="1">
        <f>SUM(K$2:K461)/$G$3</f>
        <v>5.4898379709801985E-2</v>
      </c>
      <c r="P461" s="1">
        <f>SUM(L$2:L461)/$G$3</f>
        <v>5.5877252187737272E-2</v>
      </c>
      <c r="Q461" s="1">
        <f t="shared" si="36"/>
        <v>54.898379709801986</v>
      </c>
      <c r="R461" s="1">
        <f t="shared" si="37"/>
        <v>55.87725218773727</v>
      </c>
    </row>
    <row r="462" spans="1:18" x14ac:dyDescent="0.35">
      <c r="A462">
        <v>3.2847321699137999</v>
      </c>
      <c r="B462">
        <v>8.8228104564638894</v>
      </c>
      <c r="C462">
        <v>9.8793473444272397</v>
      </c>
      <c r="I462" s="1">
        <f t="shared" si="38"/>
        <v>283800.85948055232</v>
      </c>
      <c r="J462">
        <f t="shared" si="39"/>
        <v>600.00015296472702</v>
      </c>
      <c r="K462" s="1">
        <f t="shared" si="35"/>
        <v>24.880331830248494</v>
      </c>
      <c r="L462" s="1">
        <f t="shared" si="35"/>
        <v>27.859766613885665</v>
      </c>
      <c r="N462">
        <f>I462</f>
        <v>283800.85948055232</v>
      </c>
      <c r="O462" s="1">
        <f>SUM(K$2:K462)/$G$3</f>
        <v>5.5156247065662994E-2</v>
      </c>
      <c r="P462" s="1">
        <f>SUM(L$2:L462)/$G$3</f>
        <v>5.6165999315413967E-2</v>
      </c>
      <c r="Q462" s="1">
        <f t="shared" si="36"/>
        <v>55.156247065662996</v>
      </c>
      <c r="R462" s="1">
        <f t="shared" si="37"/>
        <v>56.16599931541397</v>
      </c>
    </row>
    <row r="463" spans="1:18" x14ac:dyDescent="0.35">
      <c r="A463">
        <v>3.2916766161286599</v>
      </c>
      <c r="B463">
        <v>8.7521840884670095</v>
      </c>
      <c r="C463">
        <v>9.7920252446664797</v>
      </c>
      <c r="I463" s="1">
        <f t="shared" si="38"/>
        <v>284400.85963351623</v>
      </c>
      <c r="J463">
        <f t="shared" si="39"/>
        <v>600.00015296391211</v>
      </c>
      <c r="K463" s="1">
        <f t="shared" si="35"/>
        <v>24.68116542168806</v>
      </c>
      <c r="L463" s="1">
        <f t="shared" si="35"/>
        <v>27.613518229743971</v>
      </c>
      <c r="N463">
        <f>I463</f>
        <v>284400.85963351623</v>
      </c>
      <c r="O463" s="1">
        <f>SUM(K$2:K463)/$G$3</f>
        <v>5.5412050200053707E-2</v>
      </c>
      <c r="P463" s="1">
        <f>SUM(L$2:L463)/$G$3</f>
        <v>5.6452194249649798E-2</v>
      </c>
      <c r="Q463" s="1">
        <f t="shared" si="36"/>
        <v>55.412050200053706</v>
      </c>
      <c r="R463" s="1">
        <f t="shared" si="37"/>
        <v>56.4521942496498</v>
      </c>
    </row>
    <row r="464" spans="1:18" x14ac:dyDescent="0.35">
      <c r="A464">
        <v>3.2986210623435199</v>
      </c>
      <c r="B464">
        <v>8.6803322845749395</v>
      </c>
      <c r="C464">
        <v>9.7239299085004092</v>
      </c>
      <c r="I464" s="1">
        <f t="shared" si="38"/>
        <v>285000.85978648014</v>
      </c>
      <c r="J464">
        <f t="shared" si="39"/>
        <v>600.00015296391211</v>
      </c>
      <c r="K464" s="1">
        <f t="shared" si="35"/>
        <v>24.478543283055977</v>
      </c>
      <c r="L464" s="1">
        <f t="shared" si="35"/>
        <v>27.421489332799844</v>
      </c>
      <c r="N464">
        <f>I464</f>
        <v>285000.85978648014</v>
      </c>
      <c r="O464" s="1">
        <f>SUM(K$2:K464)/$G$3</f>
        <v>5.5665753296732526E-2</v>
      </c>
      <c r="P464" s="1">
        <f>SUM(L$2:L464)/$G$3</f>
        <v>5.6736398937765047E-2</v>
      </c>
      <c r="Q464" s="1">
        <f t="shared" si="36"/>
        <v>55.665753296732525</v>
      </c>
      <c r="R464" s="1">
        <f t="shared" si="37"/>
        <v>56.736398937765046</v>
      </c>
    </row>
    <row r="465" spans="1:18" x14ac:dyDescent="0.35">
      <c r="A465">
        <v>3.3055655085583799</v>
      </c>
      <c r="B465">
        <v>8.6164489354953009</v>
      </c>
      <c r="C465">
        <v>9.6389557600840803</v>
      </c>
      <c r="I465" s="1">
        <f t="shared" si="38"/>
        <v>285600.85993944405</v>
      </c>
      <c r="J465">
        <f t="shared" si="39"/>
        <v>600.00015296391211</v>
      </c>
      <c r="K465" s="1">
        <f t="shared" si="35"/>
        <v>24.298392192723718</v>
      </c>
      <c r="L465" s="1">
        <f t="shared" si="35"/>
        <v>27.181862173175301</v>
      </c>
      <c r="N465">
        <f>I465</f>
        <v>285600.85993944405</v>
      </c>
      <c r="O465" s="1">
        <f>SUM(K$2:K465)/$G$3</f>
        <v>5.5917589252505166E-2</v>
      </c>
      <c r="P465" s="1">
        <f>SUM(L$2:L465)/$G$3</f>
        <v>5.7018120056832003E-2</v>
      </c>
      <c r="Q465" s="1">
        <f t="shared" si="36"/>
        <v>55.917589252505167</v>
      </c>
      <c r="R465" s="1">
        <f t="shared" si="37"/>
        <v>57.018120056832004</v>
      </c>
    </row>
    <row r="466" spans="1:18" x14ac:dyDescent="0.35">
      <c r="A466">
        <v>3.3125099547732502</v>
      </c>
      <c r="B466">
        <v>8.5372851815264994</v>
      </c>
      <c r="C466">
        <v>9.5470156252861607</v>
      </c>
      <c r="I466" s="1">
        <f t="shared" si="38"/>
        <v>286200.86009240884</v>
      </c>
      <c r="J466">
        <f t="shared" si="39"/>
        <v>600.00015296478523</v>
      </c>
      <c r="K466" s="1">
        <f t="shared" si="35"/>
        <v>24.075150349653502</v>
      </c>
      <c r="L466" s="1">
        <f t="shared" si="35"/>
        <v>26.922590926985787</v>
      </c>
      <c r="N466">
        <f>I466</f>
        <v>286200.86009240884</v>
      </c>
      <c r="O466" s="1">
        <f>SUM(K$2:K466)/$G$3</f>
        <v>5.6167111461653256E-2</v>
      </c>
      <c r="P466" s="1">
        <f>SUM(L$2:L466)/$G$3</f>
        <v>5.7297154009539532E-2</v>
      </c>
      <c r="Q466" s="1">
        <f t="shared" si="36"/>
        <v>56.167111461653256</v>
      </c>
      <c r="R466" s="1">
        <f t="shared" si="37"/>
        <v>57.297154009539533</v>
      </c>
    </row>
    <row r="467" spans="1:18" x14ac:dyDescent="0.35">
      <c r="A467">
        <v>3.3194544009881102</v>
      </c>
      <c r="B467">
        <v>8.4762426076417299</v>
      </c>
      <c r="C467">
        <v>9.4632377309721303</v>
      </c>
      <c r="I467" s="1">
        <f t="shared" si="38"/>
        <v>286800.86024537269</v>
      </c>
      <c r="J467">
        <f t="shared" si="39"/>
        <v>600.00015296385391</v>
      </c>
      <c r="K467" s="1">
        <f t="shared" ref="K467:L530" si="40">B467*$J467*$G$2</f>
        <v>23.903010247375736</v>
      </c>
      <c r="L467" s="1">
        <f t="shared" si="40"/>
        <v>26.686337204747986</v>
      </c>
      <c r="N467">
        <f>I467</f>
        <v>286800.86024537269</v>
      </c>
      <c r="O467" s="1">
        <f>SUM(K$2:K467)/$G$3</f>
        <v>5.6414849558221389E-2</v>
      </c>
      <c r="P467" s="1">
        <f>SUM(L$2:L467)/$G$3</f>
        <v>5.7573739356533871E-2</v>
      </c>
      <c r="Q467" s="1">
        <f t="shared" si="36"/>
        <v>56.414849558221391</v>
      </c>
      <c r="R467" s="1">
        <f t="shared" si="37"/>
        <v>57.573739356533871</v>
      </c>
    </row>
    <row r="468" spans="1:18" x14ac:dyDescent="0.35">
      <c r="A468">
        <v>3.3263988472029702</v>
      </c>
      <c r="B468">
        <v>8.4098887908840005</v>
      </c>
      <c r="C468">
        <v>9.3562669906782201</v>
      </c>
      <c r="I468" s="1">
        <f t="shared" si="38"/>
        <v>287400.8603983366</v>
      </c>
      <c r="J468">
        <f t="shared" si="39"/>
        <v>600.00015296391211</v>
      </c>
      <c r="K468" s="1">
        <f t="shared" si="40"/>
        <v>23.715892436417487</v>
      </c>
      <c r="L468" s="1">
        <f t="shared" si="40"/>
        <v>26.384679640217232</v>
      </c>
      <c r="N468">
        <f>I468</f>
        <v>287400.8603983366</v>
      </c>
      <c r="O468" s="1">
        <f>SUM(K$2:K468)/$G$3</f>
        <v>5.6660648308663603E-2</v>
      </c>
      <c r="P468" s="1">
        <f>SUM(L$2:L468)/$G$3</f>
        <v>5.7847198232423569E-2</v>
      </c>
      <c r="Q468" s="1">
        <f t="shared" si="36"/>
        <v>56.660648308663603</v>
      </c>
      <c r="R468" s="1">
        <f t="shared" si="37"/>
        <v>57.847198232423565</v>
      </c>
    </row>
    <row r="469" spans="1:18" x14ac:dyDescent="0.35">
      <c r="A469">
        <v>3.33334329341784</v>
      </c>
      <c r="B469">
        <v>8.3282434187450498</v>
      </c>
      <c r="C469">
        <v>9.2209307105849305</v>
      </c>
      <c r="I469" s="1">
        <f t="shared" si="38"/>
        <v>288000.86055130139</v>
      </c>
      <c r="J469">
        <f t="shared" si="39"/>
        <v>600.00015296478523</v>
      </c>
      <c r="K469" s="1">
        <f t="shared" si="40"/>
        <v>23.485652428322481</v>
      </c>
      <c r="L469" s="1">
        <f t="shared" si="40"/>
        <v>26.003031233094628</v>
      </c>
      <c r="N469">
        <f>I469</f>
        <v>288000.86055130139</v>
      </c>
      <c r="O469" s="1">
        <f>SUM(K$2:K469)/$G$3</f>
        <v>5.6904060781362183E-2</v>
      </c>
      <c r="P469" s="1">
        <f>SUM(L$2:L469)/$G$3</f>
        <v>5.8116701587692207E-2</v>
      </c>
      <c r="Q469" s="1">
        <f t="shared" si="36"/>
        <v>56.904060781362183</v>
      </c>
      <c r="R469" s="1">
        <f t="shared" si="37"/>
        <v>58.116701587692205</v>
      </c>
    </row>
    <row r="470" spans="1:18" x14ac:dyDescent="0.35">
      <c r="A470">
        <v>3.3402877396327</v>
      </c>
      <c r="B470">
        <v>8.2504279918053101</v>
      </c>
      <c r="C470">
        <v>9.0887150802797407</v>
      </c>
      <c r="I470" s="1">
        <f t="shared" si="38"/>
        <v>288600.8607042653</v>
      </c>
      <c r="J470">
        <f t="shared" si="39"/>
        <v>600.00015296391211</v>
      </c>
      <c r="K470" s="1">
        <f t="shared" si="40"/>
        <v>23.266212868374364</v>
      </c>
      <c r="L470" s="1">
        <f t="shared" si="40"/>
        <v>25.630183060542322</v>
      </c>
      <c r="N470">
        <f>I470</f>
        <v>288600.8607042653</v>
      </c>
      <c r="O470" s="1">
        <f>SUM(K$2:K470)/$G$3</f>
        <v>5.7145198915459446E-2</v>
      </c>
      <c r="P470" s="1">
        <f>SUM(L$2:L470)/$G$3</f>
        <v>5.8382340630657878E-2</v>
      </c>
      <c r="Q470" s="1">
        <f t="shared" si="36"/>
        <v>57.145198915459446</v>
      </c>
      <c r="R470" s="1">
        <f t="shared" si="37"/>
        <v>58.382340630657879</v>
      </c>
    </row>
    <row r="471" spans="1:18" x14ac:dyDescent="0.35">
      <c r="A471">
        <v>3.34723218584756</v>
      </c>
      <c r="B471">
        <v>8.1788113727834606</v>
      </c>
      <c r="C471">
        <v>8.9488954698831407</v>
      </c>
      <c r="I471" s="1">
        <f t="shared" si="38"/>
        <v>289200.86085722916</v>
      </c>
      <c r="J471">
        <f t="shared" si="39"/>
        <v>600.00015296385391</v>
      </c>
      <c r="K471" s="1">
        <f t="shared" si="40"/>
        <v>23.064253951243149</v>
      </c>
      <c r="L471" s="1">
        <f t="shared" si="40"/>
        <v>25.235891658700893</v>
      </c>
      <c r="N471">
        <f>I471</f>
        <v>289200.86085722916</v>
      </c>
      <c r="O471" s="1">
        <f>SUM(K$2:K471)/$G$3</f>
        <v>5.7384243885674945E-2</v>
      </c>
      <c r="P471" s="1">
        <f>SUM(L$2:L471)/$G$3</f>
        <v>5.86438931171449E-2</v>
      </c>
      <c r="Q471" s="1">
        <f t="shared" si="36"/>
        <v>57.384243885674941</v>
      </c>
      <c r="R471" s="1">
        <f t="shared" si="37"/>
        <v>58.643893117144898</v>
      </c>
    </row>
    <row r="472" spans="1:18" x14ac:dyDescent="0.35">
      <c r="A472">
        <v>3.35417663206242</v>
      </c>
      <c r="B472">
        <v>8.1158753328984208</v>
      </c>
      <c r="C472">
        <v>8.8368849826250493</v>
      </c>
      <c r="I472" s="1">
        <f t="shared" si="38"/>
        <v>289800.86101019307</v>
      </c>
      <c r="J472">
        <f t="shared" si="39"/>
        <v>600.00015296391211</v>
      </c>
      <c r="K472" s="1">
        <f t="shared" si="40"/>
        <v>22.886774273522938</v>
      </c>
      <c r="L472" s="1">
        <f t="shared" si="40"/>
        <v>24.920022004107778</v>
      </c>
      <c r="N472">
        <f>I472</f>
        <v>289800.86101019307</v>
      </c>
      <c r="O472" s="1">
        <f>SUM(K$2:K472)/$G$3</f>
        <v>5.7621449402320259E-2</v>
      </c>
      <c r="P472" s="1">
        <f>SUM(L$2:L472)/$G$3</f>
        <v>5.8902171834086477E-2</v>
      </c>
      <c r="Q472" s="1">
        <f t="shared" si="36"/>
        <v>57.621449402320259</v>
      </c>
      <c r="R472" s="1">
        <f t="shared" si="37"/>
        <v>58.902171834086474</v>
      </c>
    </row>
    <row r="473" spans="1:18" x14ac:dyDescent="0.35">
      <c r="A473">
        <v>3.3611210782772898</v>
      </c>
      <c r="B473">
        <v>8.0498520101375703</v>
      </c>
      <c r="C473">
        <v>8.7086111739701799</v>
      </c>
      <c r="I473" s="1">
        <f t="shared" si="38"/>
        <v>290400.86116315785</v>
      </c>
      <c r="J473">
        <f t="shared" si="39"/>
        <v>600.00015296478523</v>
      </c>
      <c r="K473" s="1">
        <f t="shared" si="40"/>
        <v>22.700588455904203</v>
      </c>
      <c r="L473" s="1">
        <f t="shared" si="40"/>
        <v>24.558289771516847</v>
      </c>
      <c r="N473">
        <f>I473</f>
        <v>290400.86116315785</v>
      </c>
      <c r="O473" s="1">
        <f>SUM(K$2:K473)/$G$3</f>
        <v>5.7856725232303195E-2</v>
      </c>
      <c r="P473" s="1">
        <f>SUM(L$2:L473)/$G$3</f>
        <v>5.9156701447720887E-2</v>
      </c>
      <c r="Q473" s="1">
        <f t="shared" si="36"/>
        <v>57.856725232303198</v>
      </c>
      <c r="R473" s="1">
        <f t="shared" si="37"/>
        <v>59.156701447720884</v>
      </c>
    </row>
    <row r="474" spans="1:18" x14ac:dyDescent="0.35">
      <c r="A474">
        <v>3.3680655244921498</v>
      </c>
      <c r="B474">
        <v>7.97108641272591</v>
      </c>
      <c r="C474">
        <v>8.5936085429415101</v>
      </c>
      <c r="I474" s="1">
        <f t="shared" si="38"/>
        <v>291000.86131612177</v>
      </c>
      <c r="J474">
        <f t="shared" si="39"/>
        <v>600.00015296391211</v>
      </c>
      <c r="K474" s="1">
        <f t="shared" si="40"/>
        <v>22.478469414543305</v>
      </c>
      <c r="L474" s="1">
        <f t="shared" si="40"/>
        <v>24.233982269301375</v>
      </c>
      <c r="N474">
        <f>I474</f>
        <v>291000.86131612177</v>
      </c>
      <c r="O474" s="1">
        <f>SUM(K$2:K474)/$G$3</f>
        <v>5.8089698952721334E-2</v>
      </c>
      <c r="P474" s="1">
        <f>SUM(L$2:L474)/$G$3</f>
        <v>5.9407869839380748E-2</v>
      </c>
      <c r="Q474" s="1">
        <f t="shared" si="36"/>
        <v>58.089698952721335</v>
      </c>
      <c r="R474" s="1">
        <f t="shared" si="37"/>
        <v>59.407869839380744</v>
      </c>
    </row>
    <row r="475" spans="1:18" x14ac:dyDescent="0.35">
      <c r="A475">
        <v>3.3750099707070098</v>
      </c>
      <c r="B475">
        <v>7.8933533138934298</v>
      </c>
      <c r="C475">
        <v>8.4416553611986203</v>
      </c>
      <c r="I475" s="1">
        <f t="shared" si="38"/>
        <v>291600.86146908562</v>
      </c>
      <c r="J475">
        <f t="shared" si="39"/>
        <v>600.00015296385391</v>
      </c>
      <c r="K475" s="1">
        <f t="shared" si="40"/>
        <v>22.259262019948864</v>
      </c>
      <c r="L475" s="1">
        <f t="shared" si="40"/>
        <v>23.805474187540355</v>
      </c>
      <c r="N475">
        <f>I475</f>
        <v>291600.86146908562</v>
      </c>
      <c r="O475" s="1">
        <f>SUM(K$2:K475)/$G$3</f>
        <v>5.8320400740770752E-2</v>
      </c>
      <c r="P475" s="1">
        <f>SUM(L$2:L475)/$G$3</f>
        <v>5.9654597042443816E-2</v>
      </c>
      <c r="Q475" s="1">
        <f t="shared" si="36"/>
        <v>58.320400740770751</v>
      </c>
      <c r="R475" s="1">
        <f t="shared" si="37"/>
        <v>59.654597042443818</v>
      </c>
    </row>
    <row r="476" spans="1:18" x14ac:dyDescent="0.35">
      <c r="A476">
        <v>3.38195441692188</v>
      </c>
      <c r="B476">
        <v>7.8145816011384097</v>
      </c>
      <c r="C476">
        <v>8.2208014676188892</v>
      </c>
      <c r="I476" s="1">
        <f t="shared" si="38"/>
        <v>292200.86162205046</v>
      </c>
      <c r="J476">
        <f t="shared" si="39"/>
        <v>600.00015296484344</v>
      </c>
      <c r="K476" s="1">
        <f t="shared" si="40"/>
        <v>22.037125733384695</v>
      </c>
      <c r="L476" s="1">
        <f t="shared" si="40"/>
        <v>23.182666048905233</v>
      </c>
      <c r="N476">
        <f>I476</f>
        <v>292200.86162205046</v>
      </c>
      <c r="O476" s="1">
        <f>SUM(K$2:K476)/$G$3</f>
        <v>5.854880024052081E-2</v>
      </c>
      <c r="P476" s="1">
        <f>SUM(L$2:L476)/$G$3</f>
        <v>5.9894869271794542E-2</v>
      </c>
      <c r="Q476" s="1">
        <f t="shared" si="36"/>
        <v>58.548800240520812</v>
      </c>
      <c r="R476" s="1">
        <f t="shared" si="37"/>
        <v>59.894869271794541</v>
      </c>
    </row>
    <row r="477" spans="1:18" x14ac:dyDescent="0.35">
      <c r="A477">
        <v>3.38889886313674</v>
      </c>
      <c r="B477">
        <v>7.7426629183881399</v>
      </c>
      <c r="C477">
        <v>8.1697248774424391</v>
      </c>
      <c r="I477" s="1">
        <f t="shared" si="38"/>
        <v>292800.86177501432</v>
      </c>
      <c r="J477">
        <f t="shared" si="39"/>
        <v>600.00015296385391</v>
      </c>
      <c r="K477" s="1">
        <f t="shared" si="40"/>
        <v>21.834314996288086</v>
      </c>
      <c r="L477" s="1">
        <f t="shared" si="40"/>
        <v>23.038630027848914</v>
      </c>
      <c r="N477">
        <f>I477</f>
        <v>292800.86177501432</v>
      </c>
      <c r="O477" s="1">
        <f>SUM(K$2:K477)/$G$3</f>
        <v>5.8775097747866913E-2</v>
      </c>
      <c r="P477" s="1">
        <f>SUM(L$2:L477)/$G$3</f>
        <v>6.0133648667844174E-2</v>
      </c>
      <c r="Q477" s="1">
        <f t="shared" si="36"/>
        <v>58.775097747866916</v>
      </c>
      <c r="R477" s="1">
        <f t="shared" si="37"/>
        <v>60.13364866784417</v>
      </c>
    </row>
    <row r="478" spans="1:18" x14ac:dyDescent="0.35">
      <c r="A478">
        <v>3.3958433093516001</v>
      </c>
      <c r="B478">
        <v>7.6728266734717803</v>
      </c>
      <c r="C478">
        <v>8.1205773716903398</v>
      </c>
      <c r="I478" s="1">
        <f t="shared" si="38"/>
        <v>293400.86192797823</v>
      </c>
      <c r="J478">
        <f t="shared" si="39"/>
        <v>600.00015296391211</v>
      </c>
      <c r="K478" s="1">
        <f t="shared" si="40"/>
        <v>21.63737673541867</v>
      </c>
      <c r="L478" s="1">
        <f t="shared" si="40"/>
        <v>22.900034026296591</v>
      </c>
      <c r="N478">
        <f>I478</f>
        <v>293400.86192797823</v>
      </c>
      <c r="O478" s="1">
        <f>SUM(K$2:K478)/$G$3</f>
        <v>5.8999354126945722E-2</v>
      </c>
      <c r="P478" s="1">
        <f>SUM(L$2:L478)/$G$3</f>
        <v>6.0370991612615867E-2</v>
      </c>
      <c r="Q478" s="1">
        <f t="shared" si="36"/>
        <v>58.999354126945718</v>
      </c>
      <c r="R478" s="1">
        <f t="shared" si="37"/>
        <v>60.370991612615867</v>
      </c>
    </row>
    <row r="479" spans="1:18" x14ac:dyDescent="0.35">
      <c r="A479">
        <v>3.4027877555664601</v>
      </c>
      <c r="B479">
        <v>7.6018195528261803</v>
      </c>
      <c r="C479">
        <v>8.0685567911831999</v>
      </c>
      <c r="I479" s="1">
        <f t="shared" si="38"/>
        <v>294000.86208094214</v>
      </c>
      <c r="J479">
        <f t="shared" si="39"/>
        <v>600.00015296391211</v>
      </c>
      <c r="K479" s="1">
        <f t="shared" si="40"/>
        <v>21.4371366041489</v>
      </c>
      <c r="L479" s="1">
        <f t="shared" si="40"/>
        <v>22.753335951867282</v>
      </c>
      <c r="N479">
        <f>I479</f>
        <v>294000.86208094214</v>
      </c>
      <c r="O479" s="1">
        <f>SUM(K$2:K479)/$G$3</f>
        <v>5.922153515616424E-2</v>
      </c>
      <c r="P479" s="1">
        <f>SUM(L$2:L479)/$G$3</f>
        <v>6.060681413375249E-2</v>
      </c>
      <c r="Q479" s="1">
        <f t="shared" si="36"/>
        <v>59.221535156164236</v>
      </c>
      <c r="R479" s="1">
        <f t="shared" si="37"/>
        <v>60.606814133752493</v>
      </c>
    </row>
    <row r="480" spans="1:18" x14ac:dyDescent="0.35">
      <c r="A480">
        <v>3.4097322017813299</v>
      </c>
      <c r="B480">
        <v>7.5240663458039903</v>
      </c>
      <c r="C480">
        <v>8.0144310431791901</v>
      </c>
      <c r="I480" s="1">
        <f t="shared" si="38"/>
        <v>294600.86223390693</v>
      </c>
      <c r="J480">
        <f t="shared" si="39"/>
        <v>600.00015296478523</v>
      </c>
      <c r="K480" s="1">
        <f t="shared" si="40"/>
        <v>21.217872504478059</v>
      </c>
      <c r="L480" s="1">
        <f t="shared" si="40"/>
        <v>22.600701303616216</v>
      </c>
      <c r="N480">
        <f>I480</f>
        <v>294600.86223390693</v>
      </c>
      <c r="O480" s="1">
        <f>SUM(K$2:K480)/$G$3</f>
        <v>5.9441443665305328E-2</v>
      </c>
      <c r="P480" s="1">
        <f>SUM(L$2:L480)/$G$3</f>
        <v>6.0841054702790331E-2</v>
      </c>
      <c r="Q480" s="1">
        <f t="shared" si="36"/>
        <v>59.441443665305329</v>
      </c>
      <c r="R480" s="1">
        <f t="shared" si="37"/>
        <v>60.841054702790331</v>
      </c>
    </row>
    <row r="481" spans="1:18" x14ac:dyDescent="0.35">
      <c r="A481">
        <v>3.4166766479961899</v>
      </c>
      <c r="B481">
        <v>7.4470525328636503</v>
      </c>
      <c r="C481">
        <v>7.9727614442066796</v>
      </c>
      <c r="I481" s="1">
        <f t="shared" si="38"/>
        <v>295200.86238687078</v>
      </c>
      <c r="J481">
        <f t="shared" si="39"/>
        <v>600.00015296385391</v>
      </c>
      <c r="K481" s="1">
        <f t="shared" si="40"/>
        <v>21.000693496585814</v>
      </c>
      <c r="L481" s="1">
        <f t="shared" si="40"/>
        <v>22.483193004521127</v>
      </c>
      <c r="N481">
        <f>I481</f>
        <v>295200.86238687078</v>
      </c>
      <c r="O481" s="1">
        <f>SUM(K$2:K481)/$G$3</f>
        <v>5.9659101264896826E-2</v>
      </c>
      <c r="P481" s="1">
        <f>SUM(L$2:L481)/$G$3</f>
        <v>6.107407737993726E-2</v>
      </c>
      <c r="Q481" s="1">
        <f t="shared" si="36"/>
        <v>59.659101264896826</v>
      </c>
      <c r="R481" s="1">
        <f t="shared" si="37"/>
        <v>61.074077379937258</v>
      </c>
    </row>
    <row r="482" spans="1:18" x14ac:dyDescent="0.35">
      <c r="A482">
        <v>3.4236210942110499</v>
      </c>
      <c r="B482">
        <v>7.3770299143264202</v>
      </c>
      <c r="C482">
        <v>7.9181774534923504</v>
      </c>
      <c r="I482" s="1">
        <f t="shared" si="38"/>
        <v>295800.86253983469</v>
      </c>
      <c r="J482">
        <f t="shared" si="39"/>
        <v>600.00015296391211</v>
      </c>
      <c r="K482" s="1">
        <f t="shared" si="40"/>
        <v>20.803229661971475</v>
      </c>
      <c r="L482" s="1">
        <f t="shared" si="40"/>
        <v>22.329266111466811</v>
      </c>
      <c r="N482">
        <f>I482</f>
        <v>295800.86253983469</v>
      </c>
      <c r="O482" s="1">
        <f>SUM(K$2:K482)/$G$3</f>
        <v>5.9874712289014267E-2</v>
      </c>
      <c r="P482" s="1">
        <f>SUM(L$2:L482)/$G$3</f>
        <v>6.1305504711765692E-2</v>
      </c>
      <c r="Q482" s="1">
        <f t="shared" si="36"/>
        <v>59.874712289014269</v>
      </c>
      <c r="R482" s="1">
        <f t="shared" si="37"/>
        <v>61.305504711765693</v>
      </c>
    </row>
    <row r="483" spans="1:18" x14ac:dyDescent="0.35">
      <c r="A483">
        <v>3.4305655404259099</v>
      </c>
      <c r="B483">
        <v>7.2998855653974104</v>
      </c>
      <c r="C483">
        <v>7.86761168033728</v>
      </c>
      <c r="I483" s="1">
        <f t="shared" si="38"/>
        <v>296400.8626927986</v>
      </c>
      <c r="J483">
        <f t="shared" si="39"/>
        <v>600.00015296391211</v>
      </c>
      <c r="K483" s="1">
        <f t="shared" si="40"/>
        <v>20.58568254253025</v>
      </c>
      <c r="L483" s="1">
        <f t="shared" si="40"/>
        <v>22.186670594816238</v>
      </c>
      <c r="N483">
        <f>I483</f>
        <v>296400.8626927986</v>
      </c>
      <c r="O483" s="1">
        <f>SUM(K$2:K483)/$G$3</f>
        <v>6.0088068588361625E-2</v>
      </c>
      <c r="P483" s="1">
        <f>SUM(L$2:L483)/$G$3</f>
        <v>6.1535454140120523E-2</v>
      </c>
      <c r="Q483" s="1">
        <f t="shared" si="36"/>
        <v>60.088068588361622</v>
      </c>
      <c r="R483" s="1">
        <f t="shared" si="37"/>
        <v>61.535454140120521</v>
      </c>
    </row>
    <row r="484" spans="1:18" x14ac:dyDescent="0.35">
      <c r="A484">
        <v>3.4375099866407801</v>
      </c>
      <c r="B484">
        <v>7.2326145740242698</v>
      </c>
      <c r="C484">
        <v>7.8156782353299601</v>
      </c>
      <c r="I484" s="1">
        <f t="shared" si="38"/>
        <v>297000.86284576339</v>
      </c>
      <c r="J484">
        <f t="shared" si="39"/>
        <v>600.00015296478523</v>
      </c>
      <c r="K484" s="1">
        <f t="shared" si="40"/>
        <v>20.395978298524515</v>
      </c>
      <c r="L484" s="1">
        <f t="shared" si="40"/>
        <v>22.040218242591138</v>
      </c>
      <c r="N484">
        <f>I484</f>
        <v>297000.86284576339</v>
      </c>
      <c r="O484" s="1">
        <f>SUM(K$2:K484)/$G$3</f>
        <v>6.0299458735001255E-2</v>
      </c>
      <c r="P484" s="1">
        <f>SUM(L$2:L484)/$G$3</f>
        <v>6.1763885691580249E-2</v>
      </c>
      <c r="Q484" s="1">
        <f t="shared" si="36"/>
        <v>60.299458735001252</v>
      </c>
      <c r="R484" s="1">
        <f t="shared" si="37"/>
        <v>61.763885691580249</v>
      </c>
    </row>
    <row r="485" spans="1:18" x14ac:dyDescent="0.35">
      <c r="A485">
        <v>3.4444544328556401</v>
      </c>
      <c r="B485">
        <v>7.1554700323298501</v>
      </c>
      <c r="C485">
        <v>7.7596245663823904</v>
      </c>
      <c r="I485" s="1">
        <f t="shared" si="38"/>
        <v>297600.8629987273</v>
      </c>
      <c r="J485">
        <f t="shared" si="39"/>
        <v>600.00015296391211</v>
      </c>
      <c r="K485" s="1">
        <f t="shared" si="40"/>
        <v>20.178430635455015</v>
      </c>
      <c r="L485" s="1">
        <f t="shared" si="40"/>
        <v>21.882146855828235</v>
      </c>
      <c r="N485">
        <f>I485</f>
        <v>297600.8629987273</v>
      </c>
      <c r="O485" s="1">
        <f>SUM(K$2:K485)/$G$3</f>
        <v>6.0508594151236474E-2</v>
      </c>
      <c r="P485" s="1">
        <f>SUM(L$2:L485)/$G$3</f>
        <v>6.1990678942923233E-2</v>
      </c>
      <c r="Q485" s="1">
        <f t="shared" si="36"/>
        <v>60.508594151236473</v>
      </c>
      <c r="R485" s="1">
        <f t="shared" si="37"/>
        <v>61.990678942923232</v>
      </c>
    </row>
    <row r="486" spans="1:18" x14ac:dyDescent="0.35">
      <c r="A486">
        <v>3.4513988790705001</v>
      </c>
      <c r="B486">
        <v>7.0887837316456501</v>
      </c>
      <c r="C486">
        <v>7.7033621964439902</v>
      </c>
      <c r="I486" s="1">
        <f t="shared" si="38"/>
        <v>298200.86315169121</v>
      </c>
      <c r="J486">
        <f t="shared" si="39"/>
        <v>600.00015296391211</v>
      </c>
      <c r="K486" s="1">
        <f t="shared" si="40"/>
        <v>19.990375219582766</v>
      </c>
      <c r="L486" s="1">
        <f t="shared" si="40"/>
        <v>21.723486932153218</v>
      </c>
      <c r="N486">
        <f>I486</f>
        <v>298200.86315169121</v>
      </c>
      <c r="O486" s="1">
        <f>SUM(K$2:K486)/$G$3</f>
        <v>6.0715780503722165E-2</v>
      </c>
      <c r="P486" s="1">
        <f>SUM(L$2:L486)/$G$3</f>
        <v>6.2215827794373228E-2</v>
      </c>
      <c r="Q486" s="1">
        <f t="shared" si="36"/>
        <v>60.715780503722165</v>
      </c>
      <c r="R486" s="1">
        <f t="shared" si="37"/>
        <v>62.215827794373226</v>
      </c>
    </row>
    <row r="487" spans="1:18" x14ac:dyDescent="0.35">
      <c r="A487">
        <v>3.4583433252853699</v>
      </c>
      <c r="B487">
        <v>7.0160445433073404</v>
      </c>
      <c r="C487">
        <v>7.6446127642355597</v>
      </c>
      <c r="I487" s="1">
        <f t="shared" si="38"/>
        <v>298800.86330465594</v>
      </c>
      <c r="J487">
        <f t="shared" si="39"/>
        <v>600.00015296472702</v>
      </c>
      <c r="K487" s="1">
        <f t="shared" si="40"/>
        <v>19.785250656201189</v>
      </c>
      <c r="L487" s="1">
        <f t="shared" si="40"/>
        <v>21.557813491117969</v>
      </c>
      <c r="N487">
        <f>I487</f>
        <v>298800.86330465594</v>
      </c>
      <c r="O487" s="1">
        <f>SUM(K$2:K487)/$G$3</f>
        <v>6.0920840882601801E-2</v>
      </c>
      <c r="P487" s="1">
        <f>SUM(L$2:L487)/$G$3</f>
        <v>6.2439259555694869E-2</v>
      </c>
      <c r="Q487" s="1">
        <f t="shared" si="36"/>
        <v>60.920840882601802</v>
      </c>
      <c r="R487" s="1">
        <f t="shared" si="37"/>
        <v>62.439259555694868</v>
      </c>
    </row>
    <row r="488" spans="1:18" x14ac:dyDescent="0.35">
      <c r="A488">
        <v>3.4652877715002299</v>
      </c>
      <c r="B488">
        <v>6.9447719524632001</v>
      </c>
      <c r="C488">
        <v>7.5960962422296303</v>
      </c>
      <c r="I488" s="1">
        <f t="shared" si="38"/>
        <v>299400.86345761985</v>
      </c>
      <c r="J488">
        <f t="shared" si="39"/>
        <v>600.00015296391211</v>
      </c>
      <c r="K488" s="1">
        <f t="shared" si="40"/>
        <v>19.584261898753809</v>
      </c>
      <c r="L488" s="1">
        <f t="shared" si="40"/>
        <v>21.42099686415197</v>
      </c>
      <c r="N488">
        <f>I488</f>
        <v>299400.86345761985</v>
      </c>
      <c r="O488" s="1">
        <f>SUM(K$2:K488)/$G$3</f>
        <v>6.1123818152630856E-2</v>
      </c>
      <c r="P488" s="1">
        <f>SUM(L$2:L488)/$G$3</f>
        <v>6.2661273307720075E-2</v>
      </c>
      <c r="Q488" s="1">
        <f t="shared" si="36"/>
        <v>61.123818152630854</v>
      </c>
      <c r="R488" s="1">
        <f t="shared" si="37"/>
        <v>62.661273307720073</v>
      </c>
    </row>
    <row r="489" spans="1:18" x14ac:dyDescent="0.35">
      <c r="A489">
        <v>3.4722322177150899</v>
      </c>
      <c r="B489">
        <v>6.8659490782316999</v>
      </c>
      <c r="C489">
        <v>7.5338652241792099</v>
      </c>
      <c r="I489" s="1">
        <f t="shared" si="38"/>
        <v>300000.86361058376</v>
      </c>
      <c r="J489">
        <f t="shared" si="39"/>
        <v>600.00015296391211</v>
      </c>
      <c r="K489" s="1">
        <f t="shared" si="40"/>
        <v>19.36198133675282</v>
      </c>
      <c r="L489" s="1">
        <f t="shared" si="40"/>
        <v>21.245505348510012</v>
      </c>
      <c r="N489">
        <f>I489</f>
        <v>300000.86361058376</v>
      </c>
      <c r="O489" s="1">
        <f>SUM(K$2:K489)/$G$3</f>
        <v>6.1324491639045874E-2</v>
      </c>
      <c r="P489" s="1">
        <f>SUM(L$2:L489)/$G$3</f>
        <v>6.2881468212093908E-2</v>
      </c>
      <c r="Q489" s="1">
        <f t="shared" si="36"/>
        <v>61.324491639045874</v>
      </c>
      <c r="R489" s="1">
        <f t="shared" si="37"/>
        <v>62.881468212093907</v>
      </c>
    </row>
    <row r="490" spans="1:18" x14ac:dyDescent="0.35">
      <c r="A490">
        <v>3.47917666392995</v>
      </c>
      <c r="B490">
        <v>6.7972497990716603</v>
      </c>
      <c r="C490">
        <v>7.4773791103012801</v>
      </c>
      <c r="I490" s="1">
        <f t="shared" si="38"/>
        <v>300600.86376354768</v>
      </c>
      <c r="J490">
        <f t="shared" si="39"/>
        <v>600.00015296391211</v>
      </c>
      <c r="K490" s="1">
        <f t="shared" si="40"/>
        <v>19.168249320131512</v>
      </c>
      <c r="L490" s="1">
        <f t="shared" si="40"/>
        <v>21.08621446676467</v>
      </c>
      <c r="N490">
        <f>I490</f>
        <v>300600.86376354768</v>
      </c>
      <c r="O490" s="1">
        <f>SUM(K$2:K490)/$G$3</f>
        <v>6.1523157227687961E-2</v>
      </c>
      <c r="P490" s="1">
        <f>SUM(L$2:L490)/$G$3</f>
        <v>6.3100012177132667E-2</v>
      </c>
      <c r="Q490" s="1">
        <f t="shared" si="36"/>
        <v>61.52315722768796</v>
      </c>
      <c r="R490" s="1">
        <f t="shared" si="37"/>
        <v>63.100012177132669</v>
      </c>
    </row>
    <row r="491" spans="1:18" x14ac:dyDescent="0.35">
      <c r="A491">
        <v>3.4861211101448202</v>
      </c>
      <c r="B491">
        <v>6.7304411599574197</v>
      </c>
      <c r="C491">
        <v>7.4190975246109101</v>
      </c>
      <c r="I491" s="1">
        <f t="shared" si="38"/>
        <v>301200.86391651246</v>
      </c>
      <c r="J491">
        <f t="shared" si="39"/>
        <v>600.00015296478523</v>
      </c>
      <c r="K491" s="1">
        <f t="shared" si="40"/>
        <v>18.97984890982621</v>
      </c>
      <c r="L491" s="1">
        <f t="shared" si="40"/>
        <v>20.921860353247865</v>
      </c>
      <c r="N491">
        <f>I491</f>
        <v>301200.86391651246</v>
      </c>
      <c r="O491" s="1">
        <f>SUM(K$2:K491)/$G$3</f>
        <v>6.1719870176952886E-2</v>
      </c>
      <c r="P491" s="1">
        <f>SUM(L$2:L491)/$G$3</f>
        <v>6.3316852725956302E-2</v>
      </c>
      <c r="Q491" s="1">
        <f t="shared" si="36"/>
        <v>61.719870176952888</v>
      </c>
      <c r="R491" s="1">
        <f t="shared" si="37"/>
        <v>63.316852725956302</v>
      </c>
    </row>
    <row r="492" spans="1:18" x14ac:dyDescent="0.35">
      <c r="A492">
        <v>3.4930655563596802</v>
      </c>
      <c r="B492">
        <v>6.6554528416199297</v>
      </c>
      <c r="C492">
        <v>7.3628207717226299</v>
      </c>
      <c r="I492" s="1">
        <f t="shared" si="38"/>
        <v>301800.86406947637</v>
      </c>
      <c r="J492">
        <f t="shared" si="39"/>
        <v>600.00015296391211</v>
      </c>
      <c r="K492" s="1">
        <f t="shared" si="40"/>
        <v>18.76838179817549</v>
      </c>
      <c r="L492" s="1">
        <f t="shared" si="40"/>
        <v>20.763159869613403</v>
      </c>
      <c r="N492">
        <f>I492</f>
        <v>301800.86406947637</v>
      </c>
      <c r="O492" s="1">
        <f>SUM(K$2:K492)/$G$3</f>
        <v>6.1914391416504892E-2</v>
      </c>
      <c r="P492" s="1">
        <f>SUM(L$2:L492)/$G$3</f>
        <v>6.3532048454511145E-2</v>
      </c>
      <c r="Q492" s="1">
        <f t="shared" si="36"/>
        <v>61.914391416504891</v>
      </c>
      <c r="R492" s="1">
        <f t="shared" si="37"/>
        <v>63.532048454511141</v>
      </c>
    </row>
    <row r="493" spans="1:18" x14ac:dyDescent="0.35">
      <c r="A493">
        <v>3.5000100025745402</v>
      </c>
      <c r="B493">
        <v>6.5917922334667196</v>
      </c>
      <c r="C493">
        <v>7.3111257078386798</v>
      </c>
      <c r="I493" s="1">
        <f t="shared" si="38"/>
        <v>302400.86422244029</v>
      </c>
      <c r="J493">
        <f t="shared" si="39"/>
        <v>600.00015296391211</v>
      </c>
      <c r="K493" s="1">
        <f t="shared" si="40"/>
        <v>18.588858837415891</v>
      </c>
      <c r="L493" s="1">
        <f t="shared" si="40"/>
        <v>20.617379752295513</v>
      </c>
      <c r="N493">
        <f>I493</f>
        <v>302400.86422244029</v>
      </c>
      <c r="O493" s="1">
        <f>SUM(K$2:K493)/$G$3</f>
        <v>6.2107052025277401E-2</v>
      </c>
      <c r="P493" s="1">
        <f>SUM(L$2:L493)/$G$3</f>
        <v>6.3745733273418689E-2</v>
      </c>
      <c r="Q493" s="1">
        <f t="shared" si="36"/>
        <v>62.107052025277405</v>
      </c>
      <c r="R493" s="1">
        <f t="shared" si="37"/>
        <v>63.745733273418686</v>
      </c>
    </row>
    <row r="494" spans="1:18" x14ac:dyDescent="0.35">
      <c r="A494">
        <v>3.50695444878941</v>
      </c>
      <c r="B494">
        <v>6.5132741073024798</v>
      </c>
      <c r="C494">
        <v>7.2473638154671098</v>
      </c>
      <c r="I494" s="1">
        <f t="shared" si="38"/>
        <v>303000.86437540501</v>
      </c>
      <c r="J494">
        <f t="shared" si="39"/>
        <v>600.00015296472702</v>
      </c>
      <c r="K494" s="1">
        <f t="shared" si="40"/>
        <v>18.367437665208616</v>
      </c>
      <c r="L494" s="1">
        <f t="shared" si="40"/>
        <v>20.437571169995081</v>
      </c>
      <c r="N494">
        <f>I494</f>
        <v>303000.86437540501</v>
      </c>
      <c r="O494" s="1">
        <f>SUM(K$2:K494)/$G$3</f>
        <v>6.2297417757414097E-2</v>
      </c>
      <c r="P494" s="1">
        <f>SUM(L$2:L494)/$G$3</f>
        <v>6.3957554501277894E-2</v>
      </c>
      <c r="Q494" s="1">
        <f t="shared" si="36"/>
        <v>62.297417757414095</v>
      </c>
      <c r="R494" s="1">
        <f t="shared" si="37"/>
        <v>63.957554501277897</v>
      </c>
    </row>
    <row r="495" spans="1:18" x14ac:dyDescent="0.35">
      <c r="A495">
        <v>3.51389889500427</v>
      </c>
      <c r="B495">
        <v>6.4391312225596797</v>
      </c>
      <c r="C495">
        <v>7.1937004276394001</v>
      </c>
      <c r="I495" s="1">
        <f t="shared" si="38"/>
        <v>303600.86452836893</v>
      </c>
      <c r="J495">
        <f t="shared" si="39"/>
        <v>600.00015296391211</v>
      </c>
      <c r="K495" s="1">
        <f t="shared" si="40"/>
        <v>18.158354676905397</v>
      </c>
      <c r="L495" s="1">
        <f t="shared" si="40"/>
        <v>20.286240377712939</v>
      </c>
      <c r="N495">
        <f>I495</f>
        <v>303600.86452836893</v>
      </c>
      <c r="O495" s="1">
        <f>SUM(K$2:K495)/$G$3</f>
        <v>6.2485616489620192E-2</v>
      </c>
      <c r="P495" s="1">
        <f>SUM(L$2:L495)/$G$3</f>
        <v>6.4167807290599677E-2</v>
      </c>
      <c r="Q495" s="1">
        <f t="shared" si="36"/>
        <v>62.485616489620192</v>
      </c>
      <c r="R495" s="1">
        <f t="shared" si="37"/>
        <v>64.167807290599683</v>
      </c>
    </row>
    <row r="496" spans="1:18" x14ac:dyDescent="0.35">
      <c r="A496">
        <v>3.52084334121913</v>
      </c>
      <c r="B496">
        <v>6.3740103993376298</v>
      </c>
      <c r="C496">
        <v>7.1480907258983697</v>
      </c>
      <c r="I496" s="1">
        <f t="shared" si="38"/>
        <v>304200.86468133284</v>
      </c>
      <c r="J496">
        <f t="shared" si="39"/>
        <v>600.00015296391211</v>
      </c>
      <c r="K496" s="1">
        <f t="shared" si="40"/>
        <v>17.974713908601881</v>
      </c>
      <c r="L496" s="1">
        <f t="shared" si="40"/>
        <v>20.157620986013033</v>
      </c>
      <c r="N496">
        <f>I496</f>
        <v>304200.86468133284</v>
      </c>
      <c r="O496" s="1">
        <f>SUM(K$2:K496)/$G$3</f>
        <v>6.2671911912832112E-2</v>
      </c>
      <c r="P496" s="1">
        <f>SUM(L$2:L496)/$G$3</f>
        <v>6.4376727029274217E-2</v>
      </c>
      <c r="Q496" s="1">
        <f t="shared" si="36"/>
        <v>62.671911912832115</v>
      </c>
      <c r="R496" s="1">
        <f t="shared" si="37"/>
        <v>64.376727029274221</v>
      </c>
    </row>
    <row r="497" spans="1:18" x14ac:dyDescent="0.35">
      <c r="A497">
        <v>3.52778778743399</v>
      </c>
      <c r="B497">
        <v>6.3007065322289701</v>
      </c>
      <c r="C497">
        <v>7.0850281111098203</v>
      </c>
      <c r="I497" s="1">
        <f t="shared" si="38"/>
        <v>304800.86483429675</v>
      </c>
      <c r="J497">
        <f t="shared" si="39"/>
        <v>600.00015296391211</v>
      </c>
      <c r="K497" s="1">
        <f t="shared" si="40"/>
        <v>17.767996950655082</v>
      </c>
      <c r="L497" s="1">
        <f t="shared" si="40"/>
        <v>19.979784366971696</v>
      </c>
      <c r="N497">
        <f>I497</f>
        <v>304800.86483429675</v>
      </c>
      <c r="O497" s="1">
        <f>SUM(K$2:K497)/$G$3</f>
        <v>6.2856064858374486E-2</v>
      </c>
      <c r="P497" s="1">
        <f>SUM(L$2:L497)/$G$3</f>
        <v>6.4583803614929727E-2</v>
      </c>
      <c r="Q497" s="1">
        <f t="shared" si="36"/>
        <v>62.856064858374488</v>
      </c>
      <c r="R497" s="1">
        <f t="shared" si="37"/>
        <v>64.583803614929721</v>
      </c>
    </row>
    <row r="498" spans="1:18" x14ac:dyDescent="0.35">
      <c r="A498">
        <v>3.5347322336488598</v>
      </c>
      <c r="B498">
        <v>6.2289456208356304</v>
      </c>
      <c r="C498">
        <v>7.0316176095423204</v>
      </c>
      <c r="I498" s="1">
        <f t="shared" si="38"/>
        <v>305400.86498726148</v>
      </c>
      <c r="J498">
        <f t="shared" si="39"/>
        <v>600.00015296472702</v>
      </c>
      <c r="K498" s="1">
        <f t="shared" si="40"/>
        <v>17.565631128958621</v>
      </c>
      <c r="L498" s="1">
        <f t="shared" si="40"/>
        <v>19.829166714179845</v>
      </c>
      <c r="N498">
        <f>I498</f>
        <v>305400.86498726148</v>
      </c>
      <c r="O498" s="1">
        <f>SUM(K$2:K498)/$G$3</f>
        <v>6.3038120422751934E-2</v>
      </c>
      <c r="P498" s="1">
        <f>SUM(L$2:L498)/$G$3</f>
        <v>6.4789319153243249E-2</v>
      </c>
      <c r="Q498" s="1">
        <f t="shared" si="36"/>
        <v>63.038120422751931</v>
      </c>
      <c r="R498" s="1">
        <f t="shared" si="37"/>
        <v>64.789319153243255</v>
      </c>
    </row>
    <row r="499" spans="1:18" x14ac:dyDescent="0.35">
      <c r="A499">
        <v>3.5416766798637198</v>
      </c>
      <c r="B499">
        <v>6.1659130373204798</v>
      </c>
      <c r="C499">
        <v>6.9697090178215504</v>
      </c>
      <c r="I499" s="1">
        <f t="shared" si="38"/>
        <v>306000.86514022539</v>
      </c>
      <c r="J499">
        <f t="shared" si="39"/>
        <v>600.00015296391211</v>
      </c>
      <c r="K499" s="1">
        <f t="shared" si="40"/>
        <v>17.387879198105999</v>
      </c>
      <c r="L499" s="1">
        <f t="shared" si="40"/>
        <v>19.654584440992373</v>
      </c>
      <c r="N499">
        <f>I499</f>
        <v>306000.86514022539</v>
      </c>
      <c r="O499" s="1">
        <f>SUM(K$2:K499)/$G$3</f>
        <v>6.3218333711844599E-2</v>
      </c>
      <c r="P499" s="1">
        <f>SUM(L$2:L499)/$G$3</f>
        <v>6.4993025267571822E-2</v>
      </c>
      <c r="Q499" s="1">
        <f t="shared" si="36"/>
        <v>63.2183337118446</v>
      </c>
      <c r="R499" s="1">
        <f t="shared" si="37"/>
        <v>64.993025267571824</v>
      </c>
    </row>
    <row r="500" spans="1:18" x14ac:dyDescent="0.35">
      <c r="A500">
        <v>3.5486211260785798</v>
      </c>
      <c r="B500">
        <v>6.0985814901011803</v>
      </c>
      <c r="C500">
        <v>6.9212491070191504</v>
      </c>
      <c r="I500" s="1">
        <f t="shared" si="38"/>
        <v>306600.8652931893</v>
      </c>
      <c r="J500">
        <f t="shared" si="39"/>
        <v>600.00015296391211</v>
      </c>
      <c r="K500" s="1">
        <f t="shared" si="40"/>
        <v>17.198004186540878</v>
      </c>
      <c r="L500" s="1">
        <f t="shared" si="40"/>
        <v>19.517927457690302</v>
      </c>
      <c r="N500">
        <f>I500</f>
        <v>306600.8652931893</v>
      </c>
      <c r="O500" s="1">
        <f>SUM(K$2:K500)/$G$3</f>
        <v>6.339657907834241E-2</v>
      </c>
      <c r="P500" s="1">
        <f>SUM(L$2:L500)/$G$3</f>
        <v>6.5195315027199649E-2</v>
      </c>
      <c r="Q500" s="1">
        <f t="shared" si="36"/>
        <v>63.396579078342413</v>
      </c>
      <c r="R500" s="1">
        <f t="shared" si="37"/>
        <v>65.195315027199655</v>
      </c>
    </row>
    <row r="501" spans="1:18" x14ac:dyDescent="0.35">
      <c r="A501">
        <v>3.5555655722934398</v>
      </c>
      <c r="B501">
        <v>6.0358263828362801</v>
      </c>
      <c r="C501">
        <v>6.8685812052884803</v>
      </c>
      <c r="I501" s="1">
        <f t="shared" si="38"/>
        <v>307200.86544615321</v>
      </c>
      <c r="J501">
        <f t="shared" si="39"/>
        <v>600.00015296391211</v>
      </c>
      <c r="K501" s="1">
        <f t="shared" si="40"/>
        <v>17.021034738937306</v>
      </c>
      <c r="L501" s="1">
        <f t="shared" si="40"/>
        <v>19.369403936945258</v>
      </c>
      <c r="N501">
        <f>I501</f>
        <v>307200.86544615321</v>
      </c>
      <c r="O501" s="1">
        <f>SUM(K$2:K501)/$G$3</f>
        <v>6.3572990279450736E-2</v>
      </c>
      <c r="P501" s="1">
        <f>SUM(L$2:L501)/$G$3</f>
        <v>6.539606544370942E-2</v>
      </c>
      <c r="Q501" s="1">
        <f t="shared" si="36"/>
        <v>63.572990279450735</v>
      </c>
      <c r="R501" s="1">
        <f t="shared" si="37"/>
        <v>65.396065443709418</v>
      </c>
    </row>
    <row r="502" spans="1:18" x14ac:dyDescent="0.35">
      <c r="A502">
        <v>3.5625100185083101</v>
      </c>
      <c r="B502">
        <v>5.9726043805776801</v>
      </c>
      <c r="C502">
        <v>6.8121797672487396</v>
      </c>
      <c r="I502" s="1">
        <f t="shared" si="38"/>
        <v>307800.865599118</v>
      </c>
      <c r="J502">
        <f t="shared" si="39"/>
        <v>600.00015296478523</v>
      </c>
      <c r="K502" s="1">
        <f t="shared" si="40"/>
        <v>16.842748647140347</v>
      </c>
      <c r="L502" s="1">
        <f t="shared" si="40"/>
        <v>19.210351841152438</v>
      </c>
      <c r="N502">
        <f>I502</f>
        <v>307800.865599118</v>
      </c>
      <c r="O502" s="1">
        <f>SUM(K$2:K502)/$G$3</f>
        <v>6.3747553669067161E-2</v>
      </c>
      <c r="P502" s="1">
        <f>SUM(L$2:L502)/$G$3</f>
        <v>6.5595167395734635E-2</v>
      </c>
      <c r="Q502" s="1">
        <f t="shared" si="36"/>
        <v>63.747553669067159</v>
      </c>
      <c r="R502" s="1">
        <f t="shared" si="37"/>
        <v>65.595167395734634</v>
      </c>
    </row>
    <row r="503" spans="1:18" x14ac:dyDescent="0.35">
      <c r="A503">
        <v>3.5694544647231701</v>
      </c>
      <c r="B503">
        <v>5.9054827484474197</v>
      </c>
      <c r="C503">
        <v>6.7516758532315597</v>
      </c>
      <c r="I503" s="1">
        <f t="shared" si="38"/>
        <v>308400.86575208191</v>
      </c>
      <c r="J503">
        <f t="shared" si="39"/>
        <v>600.00015296391211</v>
      </c>
      <c r="K503" s="1">
        <f t="shared" si="40"/>
        <v>16.653465596252722</v>
      </c>
      <c r="L503" s="1">
        <f t="shared" si="40"/>
        <v>19.039730760097932</v>
      </c>
      <c r="N503">
        <f>I503</f>
        <v>308400.86575208191</v>
      </c>
      <c r="O503" s="1">
        <f>SUM(K$2:K503)/$G$3</f>
        <v>6.3920155271349921E-2</v>
      </c>
      <c r="P503" s="1">
        <f>SUM(L$2:L503)/$G$3</f>
        <v>6.5792500978779644E-2</v>
      </c>
      <c r="Q503" s="1">
        <f t="shared" si="36"/>
        <v>63.92015527134992</v>
      </c>
      <c r="R503" s="1">
        <f t="shared" si="37"/>
        <v>65.792500978779643</v>
      </c>
    </row>
    <row r="504" spans="1:18" x14ac:dyDescent="0.35">
      <c r="A504">
        <v>3.5763989109380301</v>
      </c>
      <c r="B504">
        <v>5.83431673580733</v>
      </c>
      <c r="C504">
        <v>6.7015619230376098</v>
      </c>
      <c r="I504" s="1">
        <f t="shared" si="38"/>
        <v>309000.86590504582</v>
      </c>
      <c r="J504">
        <f t="shared" si="39"/>
        <v>600.00015296391211</v>
      </c>
      <c r="K504" s="1">
        <f t="shared" si="40"/>
        <v>16.452777389444257</v>
      </c>
      <c r="L504" s="1">
        <f t="shared" si="40"/>
        <v>18.898409440922567</v>
      </c>
      <c r="N504">
        <f>I504</f>
        <v>309000.86590504582</v>
      </c>
      <c r="O504" s="1">
        <f>SUM(K$2:K504)/$G$3</f>
        <v>6.4090676879780706E-2</v>
      </c>
      <c r="P504" s="1">
        <f>SUM(L$2:L504)/$G$3</f>
        <v>6.5988369864522736E-2</v>
      </c>
      <c r="Q504" s="1">
        <f t="shared" si="36"/>
        <v>64.090676879780702</v>
      </c>
      <c r="R504" s="1">
        <f t="shared" si="37"/>
        <v>65.988369864522738</v>
      </c>
    </row>
    <row r="505" spans="1:18" x14ac:dyDescent="0.35">
      <c r="A505">
        <v>3.5833433571528999</v>
      </c>
      <c r="B505">
        <v>5.7673119554992702</v>
      </c>
      <c r="C505">
        <v>6.6385803174370599</v>
      </c>
      <c r="I505" s="1">
        <f t="shared" si="38"/>
        <v>309600.86605801055</v>
      </c>
      <c r="J505">
        <f t="shared" si="39"/>
        <v>600.00015296472702</v>
      </c>
      <c r="K505" s="1">
        <f t="shared" si="40"/>
        <v>16.263823860825848</v>
      </c>
      <c r="L505" s="1">
        <f t="shared" si="40"/>
        <v>18.720801267875053</v>
      </c>
      <c r="N505">
        <f>I505</f>
        <v>309600.86605801055</v>
      </c>
      <c r="O505" s="1">
        <f>SUM(K$2:K505)/$G$3</f>
        <v>6.4259240116147254E-2</v>
      </c>
      <c r="P505" s="1">
        <f>SUM(L$2:L505)/$G$3</f>
        <v>6.6182397964930834E-2</v>
      </c>
      <c r="Q505" s="1">
        <f t="shared" si="36"/>
        <v>64.259240116147254</v>
      </c>
      <c r="R505" s="1">
        <f t="shared" si="37"/>
        <v>66.182397964930828</v>
      </c>
    </row>
    <row r="506" spans="1:18" x14ac:dyDescent="0.35">
      <c r="A506">
        <v>3.5902878033677599</v>
      </c>
      <c r="B506">
        <v>5.7014286262593199</v>
      </c>
      <c r="C506">
        <v>6.5756314023508997</v>
      </c>
      <c r="I506" s="1">
        <f t="shared" si="38"/>
        <v>310200.86621097446</v>
      </c>
      <c r="J506">
        <f t="shared" si="39"/>
        <v>600.00015296391211</v>
      </c>
      <c r="K506" s="1">
        <f t="shared" si="40"/>
        <v>16.078032824981573</v>
      </c>
      <c r="L506" s="1">
        <f t="shared" si="40"/>
        <v>18.543285282050768</v>
      </c>
      <c r="N506">
        <f>I506</f>
        <v>310200.86621097446</v>
      </c>
      <c r="O506" s="1">
        <f>SUM(K$2:K506)/$G$3</f>
        <v>6.4425877757490271E-2</v>
      </c>
      <c r="P506" s="1">
        <f>SUM(L$2:L506)/$G$3</f>
        <v>6.6374586235460456E-2</v>
      </c>
      <c r="Q506" s="1">
        <f t="shared" si="36"/>
        <v>64.425877757490269</v>
      </c>
      <c r="R506" s="1">
        <f t="shared" si="37"/>
        <v>66.374586235460455</v>
      </c>
    </row>
    <row r="507" spans="1:18" x14ac:dyDescent="0.35">
      <c r="A507">
        <v>3.5972322495826199</v>
      </c>
      <c r="B507">
        <v>5.63770921344718</v>
      </c>
      <c r="C507">
        <v>6.5200331915966103</v>
      </c>
      <c r="I507" s="1">
        <f t="shared" si="38"/>
        <v>310800.86636393837</v>
      </c>
      <c r="J507">
        <f t="shared" si="39"/>
        <v>600.00015296391211</v>
      </c>
      <c r="K507" s="1">
        <f t="shared" si="40"/>
        <v>15.898344035041514</v>
      </c>
      <c r="L507" s="1">
        <f t="shared" si="40"/>
        <v>18.386498287752428</v>
      </c>
      <c r="N507">
        <f>I507</f>
        <v>310800.86636393837</v>
      </c>
      <c r="O507" s="1">
        <f>SUM(K$2:K507)/$G$3</f>
        <v>6.4590653049349536E-2</v>
      </c>
      <c r="P507" s="1">
        <f>SUM(L$2:L507)/$G$3</f>
        <v>6.6565149517709005E-2</v>
      </c>
      <c r="Q507" s="1">
        <f t="shared" si="36"/>
        <v>64.590653049349541</v>
      </c>
      <c r="R507" s="1">
        <f t="shared" si="37"/>
        <v>66.565149517709003</v>
      </c>
    </row>
    <row r="508" spans="1:18" x14ac:dyDescent="0.35">
      <c r="A508">
        <v>3.6041766957974799</v>
      </c>
      <c r="B508">
        <v>5.5808386204927398</v>
      </c>
      <c r="C508">
        <v>6.4507035003586797</v>
      </c>
      <c r="I508" s="1">
        <f t="shared" si="38"/>
        <v>311400.86651690229</v>
      </c>
      <c r="J508">
        <f t="shared" si="39"/>
        <v>600.00015296391211</v>
      </c>
      <c r="K508" s="1">
        <f t="shared" si="40"/>
        <v>15.737968922023995</v>
      </c>
      <c r="L508" s="1">
        <f t="shared" si="40"/>
        <v>18.19098850861824</v>
      </c>
      <c r="N508">
        <f>I508</f>
        <v>311400.86651690229</v>
      </c>
      <c r="O508" s="1">
        <f>SUM(K$2:K508)/$G$3</f>
        <v>6.4753766164569765E-2</v>
      </c>
      <c r="P508" s="1">
        <f>SUM(L$2:L508)/$G$3</f>
        <v>6.6753686476911142E-2</v>
      </c>
      <c r="Q508" s="1">
        <f t="shared" si="36"/>
        <v>64.753766164569768</v>
      </c>
      <c r="R508" s="1">
        <f t="shared" si="37"/>
        <v>66.753686476911142</v>
      </c>
    </row>
    <row r="509" spans="1:18" x14ac:dyDescent="0.35">
      <c r="A509">
        <v>3.6111211420123501</v>
      </c>
      <c r="B509">
        <v>5.5223613040256501</v>
      </c>
      <c r="C509">
        <v>6.3976433489669304</v>
      </c>
      <c r="I509" s="1">
        <f t="shared" si="38"/>
        <v>312000.86666986707</v>
      </c>
      <c r="J509">
        <f t="shared" si="39"/>
        <v>600.00015296478523</v>
      </c>
      <c r="K509" s="1">
        <f t="shared" si="40"/>
        <v>15.573062847568345</v>
      </c>
      <c r="L509" s="1">
        <f t="shared" si="40"/>
        <v>18.041358843573207</v>
      </c>
      <c r="N509">
        <f>I509</f>
        <v>312000.86666986707</v>
      </c>
      <c r="O509" s="1">
        <f>SUM(K$2:K509)/$G$3</f>
        <v>6.4915170142883172E-2</v>
      </c>
      <c r="P509" s="1">
        <f>SUM(L$2:L509)/$G$3</f>
        <v>6.694067262857796E-2</v>
      </c>
      <c r="Q509" s="1">
        <f t="shared" si="36"/>
        <v>64.91517014288317</v>
      </c>
      <c r="R509" s="1">
        <f t="shared" si="37"/>
        <v>66.940672628577957</v>
      </c>
    </row>
    <row r="510" spans="1:18" x14ac:dyDescent="0.35">
      <c r="A510">
        <v>3.6180655882272101</v>
      </c>
      <c r="B510">
        <v>5.45767936490358</v>
      </c>
      <c r="C510">
        <v>6.3428589019785599</v>
      </c>
      <c r="I510" s="1">
        <f t="shared" si="38"/>
        <v>312600.86682283098</v>
      </c>
      <c r="J510">
        <f t="shared" si="39"/>
        <v>600.00015296391211</v>
      </c>
      <c r="K510" s="1">
        <f t="shared" si="40"/>
        <v>15.390659732719635</v>
      </c>
      <c r="L510" s="1">
        <f t="shared" si="40"/>
        <v>17.886866663653542</v>
      </c>
      <c r="N510">
        <f>I510</f>
        <v>312600.86682283098</v>
      </c>
      <c r="O510" s="1">
        <f>SUM(K$2:K510)/$G$3</f>
        <v>6.5074683639620684E-2</v>
      </c>
      <c r="P510" s="1">
        <f>SUM(L$2:L510)/$G$3</f>
        <v>6.7126057576120626E-2</v>
      </c>
      <c r="Q510" s="1">
        <f t="shared" si="36"/>
        <v>65.074683639620687</v>
      </c>
      <c r="R510" s="1">
        <f t="shared" si="37"/>
        <v>67.12605757612063</v>
      </c>
    </row>
    <row r="511" spans="1:18" x14ac:dyDescent="0.35">
      <c r="A511">
        <v>3.6250100344420702</v>
      </c>
      <c r="B511">
        <v>5.4003999053580003</v>
      </c>
      <c r="C511">
        <v>6.2850939018897298</v>
      </c>
      <c r="I511" s="1">
        <f t="shared" si="38"/>
        <v>313200.86697579484</v>
      </c>
      <c r="J511">
        <f t="shared" si="39"/>
        <v>600.00015296385391</v>
      </c>
      <c r="K511" s="1">
        <f t="shared" si="40"/>
        <v>15.229131615619679</v>
      </c>
      <c r="L511" s="1">
        <f t="shared" si="40"/>
        <v>17.72396932187231</v>
      </c>
      <c r="N511">
        <f>I511</f>
        <v>313200.86697579484</v>
      </c>
      <c r="O511" s="1">
        <f>SUM(K$2:K511)/$G$3</f>
        <v>6.5232523009632809E-2</v>
      </c>
      <c r="P511" s="1">
        <f>SUM(L$2:L511)/$G$3</f>
        <v>6.7309754205875219E-2</v>
      </c>
      <c r="Q511" s="1">
        <f t="shared" si="36"/>
        <v>65.232523009632814</v>
      </c>
      <c r="R511" s="1">
        <f t="shared" si="37"/>
        <v>67.309754205875223</v>
      </c>
    </row>
    <row r="512" spans="1:18" x14ac:dyDescent="0.35">
      <c r="A512">
        <v>3.6319544806569399</v>
      </c>
      <c r="B512">
        <v>5.3491333417414797</v>
      </c>
      <c r="C512">
        <v>6.2343433251137697</v>
      </c>
      <c r="I512" s="1">
        <f t="shared" si="38"/>
        <v>313800.86712875962</v>
      </c>
      <c r="J512">
        <f t="shared" si="39"/>
        <v>600.00015296478523</v>
      </c>
      <c r="K512" s="1">
        <f t="shared" si="40"/>
        <v>15.084559869387427</v>
      </c>
      <c r="L512" s="1">
        <f t="shared" si="40"/>
        <v>17.580852658905275</v>
      </c>
      <c r="N512">
        <f>I512</f>
        <v>313800.86712875962</v>
      </c>
      <c r="O512" s="1">
        <f>SUM(K$2:K512)/$G$3</f>
        <v>6.5388863993924545E-2</v>
      </c>
      <c r="P512" s="1">
        <f>SUM(L$2:L512)/$G$3</f>
        <v>6.7491967530836666E-2</v>
      </c>
      <c r="Q512" s="1">
        <f t="shared" si="36"/>
        <v>65.388863993924545</v>
      </c>
      <c r="R512" s="1">
        <f t="shared" si="37"/>
        <v>67.491967530836661</v>
      </c>
    </row>
    <row r="513" spans="1:18" x14ac:dyDescent="0.35">
      <c r="A513">
        <v>3.6388989268717999</v>
      </c>
      <c r="B513">
        <v>5.2931837486987101</v>
      </c>
      <c r="C513">
        <v>6.1774039645841698</v>
      </c>
      <c r="I513" s="1">
        <f t="shared" si="38"/>
        <v>314400.86728172353</v>
      </c>
      <c r="J513">
        <f t="shared" si="39"/>
        <v>600.00015296391211</v>
      </c>
      <c r="K513" s="1">
        <f t="shared" si="40"/>
        <v>14.926781976761005</v>
      </c>
      <c r="L513" s="1">
        <f t="shared" si="40"/>
        <v>17.420283621250782</v>
      </c>
      <c r="N513">
        <f>I513</f>
        <v>314400.86728172353</v>
      </c>
      <c r="O513" s="1">
        <f>SUM(K$2:K513)/$G$3</f>
        <v>6.5543569719962377E-2</v>
      </c>
      <c r="P513" s="1">
        <f>SUM(L$2:L513)/$G$3</f>
        <v>6.7672516669264937E-2</v>
      </c>
      <c r="Q513" s="1">
        <f t="shared" si="36"/>
        <v>65.543569719962377</v>
      </c>
      <c r="R513" s="1">
        <f t="shared" si="37"/>
        <v>67.672516669264937</v>
      </c>
    </row>
    <row r="514" spans="1:18" x14ac:dyDescent="0.35">
      <c r="A514">
        <v>3.6458433730866702</v>
      </c>
      <c r="B514">
        <v>5.23455180553667</v>
      </c>
      <c r="C514">
        <v>6.11922143857067</v>
      </c>
      <c r="I514" s="1">
        <f t="shared" si="38"/>
        <v>315000.86743468832</v>
      </c>
      <c r="J514">
        <f t="shared" si="39"/>
        <v>600.00015296478523</v>
      </c>
      <c r="K514" s="1">
        <f t="shared" si="40"/>
        <v>14.761439854913245</v>
      </c>
      <c r="L514" s="1">
        <f t="shared" si="40"/>
        <v>17.256208856088637</v>
      </c>
      <c r="N514">
        <f>I514</f>
        <v>315000.86743468832</v>
      </c>
      <c r="O514" s="1">
        <f>SUM(K$2:K514)/$G$3</f>
        <v>6.5696561789765073E-2</v>
      </c>
      <c r="P514" s="1">
        <f>SUM(L$2:L514)/$G$3</f>
        <v>6.7851365286729706E-2</v>
      </c>
      <c r="Q514" s="1">
        <f t="shared" ref="Q514:Q577" si="41">O514*1000</f>
        <v>65.69656178976507</v>
      </c>
      <c r="R514" s="1">
        <f t="shared" ref="R514:R577" si="42">P514*1000</f>
        <v>67.851365286729703</v>
      </c>
    </row>
    <row r="515" spans="1:18" x14ac:dyDescent="0.35">
      <c r="A515">
        <v>3.65278781930154</v>
      </c>
      <c r="B515">
        <v>5.1794695268950699</v>
      </c>
      <c r="C515">
        <v>6.06277463951906</v>
      </c>
      <c r="I515" s="1">
        <f t="shared" ref="I515:I578" si="43">A515*86400</f>
        <v>315600.86758765305</v>
      </c>
      <c r="J515">
        <f t="shared" si="39"/>
        <v>600.00015296472702</v>
      </c>
      <c r="K515" s="1">
        <f t="shared" si="40"/>
        <v>14.606107789541966</v>
      </c>
      <c r="L515" s="1">
        <f t="shared" si="40"/>
        <v>17.097028842179888</v>
      </c>
      <c r="N515">
        <f>I515</f>
        <v>315600.86758765305</v>
      </c>
      <c r="O515" s="1">
        <f>SUM(K$2:K515)/$G$3</f>
        <v>6.5847943950614343E-2</v>
      </c>
      <c r="P515" s="1">
        <f>SUM(L$2:L515)/$G$3</f>
        <v>6.8028564113927506E-2</v>
      </c>
      <c r="Q515" s="1">
        <f t="shared" si="41"/>
        <v>65.847943950614336</v>
      </c>
      <c r="R515" s="1">
        <f t="shared" si="42"/>
        <v>68.028564113927501</v>
      </c>
    </row>
    <row r="516" spans="1:18" x14ac:dyDescent="0.35">
      <c r="A516">
        <v>3.6597322655164</v>
      </c>
      <c r="B516">
        <v>5.1181602245002704</v>
      </c>
      <c r="C516">
        <v>6.0117565384552103</v>
      </c>
      <c r="I516" s="1">
        <f t="shared" si="43"/>
        <v>316200.86774061696</v>
      </c>
      <c r="J516">
        <f t="shared" si="39"/>
        <v>600.00015296391211</v>
      </c>
      <c r="K516" s="1">
        <f t="shared" si="40"/>
        <v>14.433215512691673</v>
      </c>
      <c r="L516" s="1">
        <f t="shared" si="40"/>
        <v>16.953157760478149</v>
      </c>
      <c r="N516">
        <f>I516</f>
        <v>316200.86774061696</v>
      </c>
      <c r="O516" s="1">
        <f>SUM(K$2:K516)/$G$3</f>
        <v>6.5997534203116714E-2</v>
      </c>
      <c r="P516" s="1">
        <f>SUM(L$2:L516)/$G$3</f>
        <v>6.8204271817306039E-2</v>
      </c>
      <c r="Q516" s="1">
        <f t="shared" si="41"/>
        <v>65.997534203116714</v>
      </c>
      <c r="R516" s="1">
        <f t="shared" si="42"/>
        <v>68.204271817306036</v>
      </c>
    </row>
    <row r="517" spans="1:18" x14ac:dyDescent="0.35">
      <c r="A517">
        <v>3.6666767117312702</v>
      </c>
      <c r="B517">
        <v>5.0625400379808303</v>
      </c>
      <c r="C517">
        <v>5.9559296782586797</v>
      </c>
      <c r="I517" s="1">
        <f t="shared" si="43"/>
        <v>316800.86789358174</v>
      </c>
      <c r="J517">
        <f t="shared" si="39"/>
        <v>600.00015296478523</v>
      </c>
      <c r="K517" s="1">
        <f t="shared" si="40"/>
        <v>14.276366546740585</v>
      </c>
      <c r="L517" s="1">
        <f t="shared" si="40"/>
        <v>16.795725974612747</v>
      </c>
      <c r="N517">
        <f>I517</f>
        <v>316800.86789358174</v>
      </c>
      <c r="O517" s="1">
        <f>SUM(K$2:K517)/$G$3</f>
        <v>6.6145498825044904E-2</v>
      </c>
      <c r="P517" s="1">
        <f>SUM(L$2:L517)/$G$3</f>
        <v>6.8378347849586837E-2</v>
      </c>
      <c r="Q517" s="1">
        <f t="shared" si="41"/>
        <v>66.145498825044911</v>
      </c>
      <c r="R517" s="1">
        <f t="shared" si="42"/>
        <v>68.378347849586831</v>
      </c>
    </row>
    <row r="518" spans="1:18" x14ac:dyDescent="0.35">
      <c r="A518">
        <v>3.67362115794614</v>
      </c>
      <c r="B518">
        <v>5.0043154820516902</v>
      </c>
      <c r="C518">
        <v>5.9017859888250799</v>
      </c>
      <c r="I518" s="1">
        <f t="shared" si="43"/>
        <v>317400.86804654647</v>
      </c>
      <c r="J518">
        <f t="shared" ref="J518:J581" si="44">I518-I517</f>
        <v>600.00015296472702</v>
      </c>
      <c r="K518" s="1">
        <f t="shared" si="40"/>
        <v>14.1121732571594</v>
      </c>
      <c r="L518" s="1">
        <f t="shared" si="40"/>
        <v>16.643040731482614</v>
      </c>
      <c r="N518">
        <f>I518</f>
        <v>317400.86804654647</v>
      </c>
      <c r="O518" s="1">
        <f>SUM(K$2:K518)/$G$3</f>
        <v>6.6291761697586327E-2</v>
      </c>
      <c r="P518" s="1">
        <f>SUM(L$2:L518)/$G$3</f>
        <v>6.8550841405388085E-2</v>
      </c>
      <c r="Q518" s="1">
        <f t="shared" si="41"/>
        <v>66.291761697586324</v>
      </c>
      <c r="R518" s="1">
        <f t="shared" si="42"/>
        <v>68.550841405388084</v>
      </c>
    </row>
    <row r="519" spans="1:18" x14ac:dyDescent="0.35">
      <c r="A519">
        <v>3.6805656041610102</v>
      </c>
      <c r="B519">
        <v>4.9494814538856797</v>
      </c>
      <c r="C519">
        <v>5.8525006596011</v>
      </c>
      <c r="I519" s="1">
        <f t="shared" si="43"/>
        <v>318000.86819951126</v>
      </c>
      <c r="J519">
        <f t="shared" si="44"/>
        <v>600.00015296478523</v>
      </c>
      <c r="K519" s="1">
        <f t="shared" si="40"/>
        <v>13.957541258310545</v>
      </c>
      <c r="L519" s="1">
        <f t="shared" si="40"/>
        <v>16.504056067639684</v>
      </c>
      <c r="N519">
        <f>I519</f>
        <v>318000.86819951126</v>
      </c>
      <c r="O519" s="1">
        <f>SUM(K$2:K519)/$G$3</f>
        <v>6.6436421916877528E-2</v>
      </c>
      <c r="P519" s="1">
        <f>SUM(L$2:L519)/$G$3</f>
        <v>6.872189448169673E-2</v>
      </c>
      <c r="Q519" s="1">
        <f t="shared" si="41"/>
        <v>66.436421916877521</v>
      </c>
      <c r="R519" s="1">
        <f t="shared" si="42"/>
        <v>68.721894481696737</v>
      </c>
    </row>
    <row r="520" spans="1:18" x14ac:dyDescent="0.35">
      <c r="A520">
        <v>3.6875100503758702</v>
      </c>
      <c r="B520">
        <v>4.9007476429908303</v>
      </c>
      <c r="C520">
        <v>5.8080374898676501</v>
      </c>
      <c r="I520" s="1">
        <f t="shared" si="43"/>
        <v>318600.86835247517</v>
      </c>
      <c r="J520">
        <f t="shared" si="44"/>
        <v>600.00015296391211</v>
      </c>
      <c r="K520" s="1">
        <f t="shared" si="40"/>
        <v>13.820111876530541</v>
      </c>
      <c r="L520" s="1">
        <f t="shared" si="40"/>
        <v>16.378669897001416</v>
      </c>
      <c r="N520">
        <f>I520</f>
        <v>318600.86835247517</v>
      </c>
      <c r="O520" s="1">
        <f>SUM(K$2:K520)/$G$3</f>
        <v>6.65796577760943E-2</v>
      </c>
      <c r="P520" s="1">
        <f>SUM(L$2:L520)/$G$3</f>
        <v>6.8891648017448417E-2</v>
      </c>
      <c r="Q520" s="1">
        <f t="shared" si="41"/>
        <v>66.579657776094294</v>
      </c>
      <c r="R520" s="1">
        <f t="shared" si="42"/>
        <v>68.891648017448418</v>
      </c>
    </row>
    <row r="521" spans="1:18" x14ac:dyDescent="0.35">
      <c r="A521">
        <v>3.69445449659074</v>
      </c>
      <c r="B521">
        <v>4.8459598296074802</v>
      </c>
      <c r="C521">
        <v>5.7513313961456403</v>
      </c>
      <c r="I521" s="1">
        <f t="shared" si="43"/>
        <v>319200.86850543995</v>
      </c>
      <c r="J521">
        <f t="shared" si="44"/>
        <v>600.00015296478523</v>
      </c>
      <c r="K521" s="1">
        <f t="shared" si="40"/>
        <v>13.665610203420757</v>
      </c>
      <c r="L521" s="1">
        <f t="shared" si="40"/>
        <v>16.218758671961215</v>
      </c>
      <c r="N521">
        <f>I521</f>
        <v>319200.86850543995</v>
      </c>
      <c r="O521" s="1">
        <f>SUM(K$2:K521)/$G$3</f>
        <v>6.6721292332796583E-2</v>
      </c>
      <c r="P521" s="1">
        <f>SUM(L$2:L521)/$G$3</f>
        <v>6.9059744184437707E-2</v>
      </c>
      <c r="Q521" s="1">
        <f t="shared" si="41"/>
        <v>66.72129233279658</v>
      </c>
      <c r="R521" s="1">
        <f t="shared" si="42"/>
        <v>69.059744184437704</v>
      </c>
    </row>
    <row r="522" spans="1:18" x14ac:dyDescent="0.35">
      <c r="A522">
        <v>3.7013989428056102</v>
      </c>
      <c r="B522">
        <v>4.7938174159917999</v>
      </c>
      <c r="C522">
        <v>5.6991366361661999</v>
      </c>
      <c r="I522" s="1">
        <f t="shared" si="43"/>
        <v>319800.86865840474</v>
      </c>
      <c r="J522">
        <f t="shared" si="44"/>
        <v>600.00015296478523</v>
      </c>
      <c r="K522" s="1">
        <f t="shared" si="40"/>
        <v>13.518568559537558</v>
      </c>
      <c r="L522" s="1">
        <f t="shared" si="40"/>
        <v>16.071569411294579</v>
      </c>
      <c r="N522">
        <f>I522</f>
        <v>319800.86865840474</v>
      </c>
      <c r="O522" s="1">
        <f>SUM(K$2:K522)/$G$3</f>
        <v>6.6861402905005099E-2</v>
      </c>
      <c r="P522" s="1">
        <f>SUM(L$2:L522)/$G$3</f>
        <v>6.9226314836987782E-2</v>
      </c>
      <c r="Q522" s="1">
        <f t="shared" si="41"/>
        <v>66.861402905005093</v>
      </c>
      <c r="R522" s="1">
        <f t="shared" si="42"/>
        <v>69.226314836987783</v>
      </c>
    </row>
    <row r="523" spans="1:18" x14ac:dyDescent="0.35">
      <c r="A523">
        <v>3.7083433890204698</v>
      </c>
      <c r="B523">
        <v>4.7348170773382696</v>
      </c>
      <c r="C523">
        <v>5.6434179148041501</v>
      </c>
      <c r="I523" s="1">
        <f t="shared" si="43"/>
        <v>320400.86881136859</v>
      </c>
      <c r="J523">
        <f t="shared" si="44"/>
        <v>600.00015296385391</v>
      </c>
      <c r="K523" s="1">
        <f t="shared" si="40"/>
        <v>13.352187562096498</v>
      </c>
      <c r="L523" s="1">
        <f t="shared" si="40"/>
        <v>15.914442576970785</v>
      </c>
      <c r="N523">
        <f>I523</f>
        <v>320400.86881136859</v>
      </c>
      <c r="O523" s="1">
        <f>SUM(K$2:K523)/$G$3</f>
        <v>6.6999789053754602E-2</v>
      </c>
      <c r="P523" s="1">
        <f>SUM(L$2:L523)/$G$3</f>
        <v>6.9391256979051005E-2</v>
      </c>
      <c r="Q523" s="1">
        <f t="shared" si="41"/>
        <v>66.999789053754597</v>
      </c>
      <c r="R523" s="1">
        <f t="shared" si="42"/>
        <v>69.391256979051008</v>
      </c>
    </row>
    <row r="524" spans="1:18" x14ac:dyDescent="0.35">
      <c r="A524">
        <v>3.71528783523534</v>
      </c>
      <c r="B524">
        <v>4.6843681458043598</v>
      </c>
      <c r="C524">
        <v>5.5898422257717799</v>
      </c>
      <c r="I524" s="1">
        <f t="shared" si="43"/>
        <v>321000.86896433338</v>
      </c>
      <c r="J524">
        <f t="shared" si="44"/>
        <v>600.00015296478523</v>
      </c>
      <c r="K524" s="1">
        <f t="shared" si="40"/>
        <v>13.209921538922123</v>
      </c>
      <c r="L524" s="1">
        <f t="shared" si="40"/>
        <v>15.763359095406793</v>
      </c>
      <c r="N524">
        <f>I524</f>
        <v>321000.86896433338</v>
      </c>
      <c r="O524" s="1">
        <f>SUM(K$2:K524)/$G$3</f>
        <v>6.7136700714001504E-2</v>
      </c>
      <c r="P524" s="1">
        <f>SUM(L$2:L524)/$G$3</f>
        <v>6.9554633245780623E-2</v>
      </c>
      <c r="Q524" s="1">
        <f t="shared" si="41"/>
        <v>67.136700714001506</v>
      </c>
      <c r="R524" s="1">
        <f t="shared" si="42"/>
        <v>69.554633245780622</v>
      </c>
    </row>
    <row r="525" spans="1:18" x14ac:dyDescent="0.35">
      <c r="A525">
        <v>3.7222322814502098</v>
      </c>
      <c r="B525">
        <v>4.6359486931616596</v>
      </c>
      <c r="C525">
        <v>5.5414349189832404</v>
      </c>
      <c r="I525" s="1">
        <f t="shared" si="43"/>
        <v>321600.86911729811</v>
      </c>
      <c r="J525">
        <f t="shared" si="44"/>
        <v>600.00015296472702</v>
      </c>
      <c r="K525" s="1">
        <f t="shared" si="40"/>
        <v>13.073378647658023</v>
      </c>
      <c r="L525" s="1">
        <f t="shared" si="40"/>
        <v>15.626850455459913</v>
      </c>
      <c r="N525">
        <f>I525</f>
        <v>321600.86911729811</v>
      </c>
      <c r="O525" s="1">
        <f>SUM(K$2:K525)/$G$3</f>
        <v>6.7272197202032369E-2</v>
      </c>
      <c r="P525" s="1">
        <f>SUM(L$2:L525)/$G$3</f>
        <v>6.9716594695285308E-2</v>
      </c>
      <c r="Q525" s="1">
        <f t="shared" si="41"/>
        <v>67.272197202032373</v>
      </c>
      <c r="R525" s="1">
        <f t="shared" si="42"/>
        <v>69.716594695285309</v>
      </c>
    </row>
    <row r="526" spans="1:18" x14ac:dyDescent="0.35">
      <c r="A526">
        <v>3.7291767276650698</v>
      </c>
      <c r="B526">
        <v>4.5849284565716601</v>
      </c>
      <c r="C526">
        <v>5.4963365743821502</v>
      </c>
      <c r="I526" s="1">
        <f t="shared" si="43"/>
        <v>322200.86927026202</v>
      </c>
      <c r="J526">
        <f t="shared" si="44"/>
        <v>600.00015296391211</v>
      </c>
      <c r="K526" s="1">
        <f t="shared" si="40"/>
        <v>12.929501543776471</v>
      </c>
      <c r="L526" s="1">
        <f t="shared" si="40"/>
        <v>15.499673091241045</v>
      </c>
      <c r="N526">
        <f>I526</f>
        <v>322200.86927026202</v>
      </c>
      <c r="O526" s="1">
        <f>SUM(K$2:K526)/$G$3</f>
        <v>6.7406202503828255E-2</v>
      </c>
      <c r="P526" s="1">
        <f>SUM(L$2:L526)/$G$3</f>
        <v>6.987723803975586E-2</v>
      </c>
      <c r="Q526" s="1">
        <f t="shared" si="41"/>
        <v>67.406202503828254</v>
      </c>
      <c r="R526" s="1">
        <f t="shared" si="42"/>
        <v>69.877238039755866</v>
      </c>
    </row>
    <row r="527" spans="1:18" x14ac:dyDescent="0.35">
      <c r="A527">
        <v>3.73612117387994</v>
      </c>
      <c r="B527">
        <v>4.5312139352812402</v>
      </c>
      <c r="C527">
        <v>5.4564954083705297</v>
      </c>
      <c r="I527" s="1">
        <f t="shared" si="43"/>
        <v>322800.8694232268</v>
      </c>
      <c r="J527">
        <f t="shared" si="44"/>
        <v>600.00015296478523</v>
      </c>
      <c r="K527" s="1">
        <f t="shared" si="40"/>
        <v>12.77802655513908</v>
      </c>
      <c r="L527" s="1">
        <f t="shared" si="40"/>
        <v>15.387320974467642</v>
      </c>
      <c r="N527">
        <f>I527</f>
        <v>322800.8694232268</v>
      </c>
      <c r="O527" s="1">
        <f>SUM(K$2:K527)/$G$3</f>
        <v>6.7538637872591692E-2</v>
      </c>
      <c r="P527" s="1">
        <f>SUM(L$2:L527)/$G$3</f>
        <v>7.0036716932583426E-2</v>
      </c>
      <c r="Q527" s="1">
        <f t="shared" si="41"/>
        <v>67.538637872591693</v>
      </c>
      <c r="R527" s="1">
        <f t="shared" si="42"/>
        <v>70.036716932583431</v>
      </c>
    </row>
    <row r="528" spans="1:18" x14ac:dyDescent="0.35">
      <c r="A528">
        <v>3.7430656200948</v>
      </c>
      <c r="B528">
        <v>4.4821423145727204</v>
      </c>
      <c r="C528">
        <v>5.4020638126763298</v>
      </c>
      <c r="I528" s="1">
        <f t="shared" si="43"/>
        <v>323400.86957619071</v>
      </c>
      <c r="J528">
        <f t="shared" si="44"/>
        <v>600.00015296391211</v>
      </c>
      <c r="K528" s="1">
        <f t="shared" si="40"/>
        <v>12.63964454944338</v>
      </c>
      <c r="L528" s="1">
        <f t="shared" si="40"/>
        <v>15.233823835455079</v>
      </c>
      <c r="N528">
        <f>I528</f>
        <v>323400.86957619071</v>
      </c>
      <c r="O528" s="1">
        <f>SUM(K$2:K528)/$G$3</f>
        <v>6.7669639007995566E-2</v>
      </c>
      <c r="P528" s="1">
        <f>SUM(L$2:L528)/$G$3</f>
        <v>7.0194604934194604E-2</v>
      </c>
      <c r="Q528" s="1">
        <f t="shared" si="41"/>
        <v>67.669639007995571</v>
      </c>
      <c r="R528" s="1">
        <f t="shared" si="42"/>
        <v>70.194604934194601</v>
      </c>
    </row>
    <row r="529" spans="1:18" x14ac:dyDescent="0.35">
      <c r="A529">
        <v>3.7500100663096698</v>
      </c>
      <c r="B529">
        <v>4.4333880238174102</v>
      </c>
      <c r="C529">
        <v>5.3461612293052001</v>
      </c>
      <c r="I529" s="1">
        <f t="shared" si="43"/>
        <v>324000.8697291555</v>
      </c>
      <c r="J529">
        <f t="shared" si="44"/>
        <v>600.00015296478523</v>
      </c>
      <c r="K529" s="1">
        <f t="shared" si="40"/>
        <v>12.502157414480656</v>
      </c>
      <c r="L529" s="1">
        <f t="shared" si="40"/>
        <v>15.076178510180366</v>
      </c>
      <c r="N529">
        <f>I529</f>
        <v>324000.8697291555</v>
      </c>
      <c r="O529" s="1">
        <f>SUM(K$2:K529)/$G$3</f>
        <v>6.7799215184753417E-2</v>
      </c>
      <c r="P529" s="1">
        <f>SUM(L$2:L529)/$G$3</f>
        <v>7.0350859051520415E-2</v>
      </c>
      <c r="Q529" s="1">
        <f t="shared" si="41"/>
        <v>67.799215184753422</v>
      </c>
      <c r="R529" s="1">
        <f t="shared" si="42"/>
        <v>70.350859051520416</v>
      </c>
    </row>
    <row r="530" spans="1:18" x14ac:dyDescent="0.35">
      <c r="A530">
        <v>3.75695451252454</v>
      </c>
      <c r="B530">
        <v>4.3849957655127101</v>
      </c>
      <c r="C530">
        <v>5.3040420489402003</v>
      </c>
      <c r="I530" s="1">
        <f t="shared" si="43"/>
        <v>324600.86988212029</v>
      </c>
      <c r="J530">
        <f t="shared" si="44"/>
        <v>600.00015296478523</v>
      </c>
      <c r="K530" s="1">
        <f t="shared" si="40"/>
        <v>12.365691211270539</v>
      </c>
      <c r="L530" s="1">
        <f t="shared" si="40"/>
        <v>14.957402391270133</v>
      </c>
      <c r="N530">
        <f>I530</f>
        <v>324600.86988212029</v>
      </c>
      <c r="O530" s="1">
        <f>SUM(K$2:K530)/$G$3</f>
        <v>6.7927376984113622E-2</v>
      </c>
      <c r="P530" s="1">
        <f>SUM(L$2:L530)/$G$3</f>
        <v>7.0505882136883635E-2</v>
      </c>
      <c r="Q530" s="1">
        <f t="shared" si="41"/>
        <v>67.927376984113621</v>
      </c>
      <c r="R530" s="1">
        <f t="shared" si="42"/>
        <v>70.505882136883642</v>
      </c>
    </row>
    <row r="531" spans="1:18" x14ac:dyDescent="0.35">
      <c r="A531">
        <v>3.7638989587394098</v>
      </c>
      <c r="B531">
        <v>4.3361791994299299</v>
      </c>
      <c r="C531">
        <v>5.2545528789727198</v>
      </c>
      <c r="I531" s="1">
        <f t="shared" si="43"/>
        <v>325200.87003508501</v>
      </c>
      <c r="J531">
        <f t="shared" si="44"/>
        <v>600.00015296472702</v>
      </c>
      <c r="K531" s="1">
        <f t="shared" ref="K531:L594" si="45">B531*$J531*$G$2</f>
        <v>12.228028459820001</v>
      </c>
      <c r="L531" s="1">
        <f t="shared" si="45"/>
        <v>14.817842896380929</v>
      </c>
      <c r="N531">
        <f>I531</f>
        <v>325200.87003508501</v>
      </c>
      <c r="O531" s="1">
        <f>SUM(K$2:K531)/$G$3</f>
        <v>6.8054112004684905E-2</v>
      </c>
      <c r="P531" s="1">
        <f>SUM(L$2:L531)/$G$3</f>
        <v>7.0659458785029786E-2</v>
      </c>
      <c r="Q531" s="1">
        <f t="shared" si="41"/>
        <v>68.05411200468491</v>
      </c>
      <c r="R531" s="1">
        <f t="shared" si="42"/>
        <v>70.659458785029784</v>
      </c>
    </row>
    <row r="532" spans="1:18" x14ac:dyDescent="0.35">
      <c r="A532">
        <v>3.7708434049542801</v>
      </c>
      <c r="B532">
        <v>4.2879942923398202</v>
      </c>
      <c r="C532">
        <v>5.2033680985091602</v>
      </c>
      <c r="I532" s="1">
        <f t="shared" si="43"/>
        <v>325800.8701880498</v>
      </c>
      <c r="J532">
        <f t="shared" si="44"/>
        <v>600.00015296478523</v>
      </c>
      <c r="K532" s="1">
        <f t="shared" si="45"/>
        <v>12.092146987185286</v>
      </c>
      <c r="L532" s="1">
        <f t="shared" si="45"/>
        <v>14.673501778676625</v>
      </c>
      <c r="N532">
        <f>I532</f>
        <v>325800.8701880498</v>
      </c>
      <c r="O532" s="1">
        <f>SUM(K$2:K532)/$G$3</f>
        <v>6.8179438708184784E-2</v>
      </c>
      <c r="P532" s="1">
        <f>SUM(L$2:L532)/$G$3</f>
        <v>7.0811539437760015E-2</v>
      </c>
      <c r="Q532" s="1">
        <f t="shared" si="41"/>
        <v>68.17943870818479</v>
      </c>
      <c r="R532" s="1">
        <f t="shared" si="42"/>
        <v>70.811539437760018</v>
      </c>
    </row>
    <row r="533" spans="1:18" x14ac:dyDescent="0.35">
      <c r="A533">
        <v>3.7777878511691401</v>
      </c>
      <c r="B533">
        <v>4.2390453215347303</v>
      </c>
      <c r="C533">
        <v>5.1528302251059399</v>
      </c>
      <c r="I533" s="1">
        <f t="shared" si="43"/>
        <v>326400.87034101371</v>
      </c>
      <c r="J533">
        <f t="shared" si="44"/>
        <v>600.00015296391211</v>
      </c>
      <c r="K533" s="1">
        <f t="shared" si="45"/>
        <v>11.954110854306434</v>
      </c>
      <c r="L533" s="1">
        <f t="shared" si="45"/>
        <v>14.530984939324979</v>
      </c>
      <c r="N533">
        <f>I533</f>
        <v>326400.87034101371</v>
      </c>
      <c r="O533" s="1">
        <f>SUM(K$2:K533)/$G$3</f>
        <v>6.8303334763056583E-2</v>
      </c>
      <c r="P533" s="1">
        <f>SUM(L$2:L533)/$G$3</f>
        <v>7.0962143002452197E-2</v>
      </c>
      <c r="Q533" s="1">
        <f t="shared" si="41"/>
        <v>68.303334763056583</v>
      </c>
      <c r="R533" s="1">
        <f t="shared" si="42"/>
        <v>70.962143002452194</v>
      </c>
    </row>
    <row r="534" spans="1:18" x14ac:dyDescent="0.35">
      <c r="A534">
        <v>3.7847322973840098</v>
      </c>
      <c r="B534">
        <v>5.9638617826892899</v>
      </c>
      <c r="C534">
        <v>6.2816326130229303</v>
      </c>
      <c r="I534" s="1">
        <f t="shared" si="43"/>
        <v>327000.87049397844</v>
      </c>
      <c r="J534">
        <f t="shared" si="44"/>
        <v>600.00015296472702</v>
      </c>
      <c r="K534" s="1">
        <f t="shared" si="45"/>
        <v>16.818094514808099</v>
      </c>
      <c r="L534" s="1">
        <f t="shared" si="45"/>
        <v>17.714208484805287</v>
      </c>
      <c r="N534">
        <f>I534</f>
        <v>327000.87049397844</v>
      </c>
      <c r="O534" s="1">
        <f>SUM(K$2:K534)/$G$3</f>
        <v>6.8477642629717811E-2</v>
      </c>
      <c r="P534" s="1">
        <f>SUM(L$2:L534)/$G$3</f>
        <v>7.114573846791114E-2</v>
      </c>
      <c r="Q534" s="1">
        <f t="shared" si="41"/>
        <v>68.477642629717806</v>
      </c>
      <c r="R534" s="1">
        <f t="shared" si="42"/>
        <v>71.145738467911144</v>
      </c>
    </row>
    <row r="535" spans="1:18" x14ac:dyDescent="0.35">
      <c r="A535">
        <v>3.7916767435988801</v>
      </c>
      <c r="B535">
        <v>10.340544019539299</v>
      </c>
      <c r="C535">
        <v>9.67390833344699</v>
      </c>
      <c r="I535" s="1">
        <f t="shared" si="43"/>
        <v>327600.87064694322</v>
      </c>
      <c r="J535">
        <f t="shared" si="44"/>
        <v>600.00015296478523</v>
      </c>
      <c r="K535" s="1">
        <f t="shared" si="45"/>
        <v>29.160341569274571</v>
      </c>
      <c r="L535" s="1">
        <f t="shared" si="45"/>
        <v>27.280428455226872</v>
      </c>
      <c r="N535">
        <f>I535</f>
        <v>327600.87064694322</v>
      </c>
      <c r="O535" s="1">
        <f>SUM(K$2:K535)/$G$3</f>
        <v>6.8779869313339875E-2</v>
      </c>
      <c r="P535" s="1">
        <f>SUM(L$2:L535)/$G$3</f>
        <v>7.1428481158020765E-2</v>
      </c>
      <c r="Q535" s="1">
        <f t="shared" si="41"/>
        <v>68.779869313339873</v>
      </c>
      <c r="R535" s="1">
        <f t="shared" si="42"/>
        <v>71.428481158020759</v>
      </c>
    </row>
    <row r="536" spans="1:18" x14ac:dyDescent="0.35">
      <c r="A536">
        <v>3.7986211898137401</v>
      </c>
      <c r="B536">
        <v>10.9049513065362</v>
      </c>
      <c r="C536">
        <v>10.150423521067401</v>
      </c>
      <c r="I536" s="1">
        <f t="shared" si="43"/>
        <v>328200.87079990713</v>
      </c>
      <c r="J536">
        <f t="shared" si="44"/>
        <v>600.00015296391211</v>
      </c>
      <c r="K536" s="1">
        <f t="shared" si="45"/>
        <v>30.751970524332943</v>
      </c>
      <c r="L536" s="1">
        <f t="shared" si="45"/>
        <v>28.624201626857978</v>
      </c>
      <c r="N536">
        <f>I536</f>
        <v>328200.87079990713</v>
      </c>
      <c r="O536" s="1">
        <f>SUM(K$2:K536)/$G$3</f>
        <v>6.9098592125428099E-2</v>
      </c>
      <c r="P536" s="1">
        <f>SUM(L$2:L536)/$G$3</f>
        <v>7.1725151123578704E-2</v>
      </c>
      <c r="Q536" s="1">
        <f t="shared" si="41"/>
        <v>69.098592125428098</v>
      </c>
      <c r="R536" s="1">
        <f t="shared" si="42"/>
        <v>71.725151123578698</v>
      </c>
    </row>
    <row r="537" spans="1:18" x14ac:dyDescent="0.35">
      <c r="A537">
        <v>3.8055656360286099</v>
      </c>
      <c r="B537">
        <v>10.9715301740766</v>
      </c>
      <c r="C537">
        <v>10.3070344763288</v>
      </c>
      <c r="I537" s="1">
        <f t="shared" si="43"/>
        <v>328800.87095287192</v>
      </c>
      <c r="J537">
        <f t="shared" si="44"/>
        <v>600.00015296478523</v>
      </c>
      <c r="K537" s="1">
        <f t="shared" si="45"/>
        <v>30.939722978707472</v>
      </c>
      <c r="L537" s="1">
        <f t="shared" si="45"/>
        <v>29.0658446333298</v>
      </c>
      <c r="N537">
        <f>I537</f>
        <v>328800.87095287192</v>
      </c>
      <c r="O537" s="1">
        <f>SUM(K$2:K537)/$G$3</f>
        <v>6.9419260861280377E-2</v>
      </c>
      <c r="P537" s="1">
        <f>SUM(L$2:L537)/$G$3</f>
        <v>7.2026398412103648E-2</v>
      </c>
      <c r="Q537" s="1">
        <f t="shared" si="41"/>
        <v>69.419260861280378</v>
      </c>
      <c r="R537" s="1">
        <f t="shared" si="42"/>
        <v>72.026398412103646</v>
      </c>
    </row>
    <row r="538" spans="1:18" x14ac:dyDescent="0.35">
      <c r="A538">
        <v>3.8125100822434699</v>
      </c>
      <c r="B538">
        <v>10.968770604550899</v>
      </c>
      <c r="C538">
        <v>10.3751199091449</v>
      </c>
      <c r="I538" s="1">
        <f t="shared" si="43"/>
        <v>329400.87110583577</v>
      </c>
      <c r="J538">
        <f t="shared" si="44"/>
        <v>600.00015296385391</v>
      </c>
      <c r="K538" s="1">
        <f t="shared" si="45"/>
        <v>30.931940990613032</v>
      </c>
      <c r="L538" s="1">
        <f t="shared" si="45"/>
        <v>29.257845602774751</v>
      </c>
      <c r="N538">
        <f>I538</f>
        <v>329400.87110583577</v>
      </c>
      <c r="O538" s="1">
        <f>SUM(K$2:K538)/$G$3</f>
        <v>6.9739848942231952E-2</v>
      </c>
      <c r="P538" s="1">
        <f>SUM(L$2:L538)/$G$3</f>
        <v>7.2329635657300051E-2</v>
      </c>
      <c r="Q538" s="1">
        <f t="shared" si="41"/>
        <v>69.739848942231959</v>
      </c>
      <c r="R538" s="1">
        <f t="shared" si="42"/>
        <v>72.329635657300045</v>
      </c>
    </row>
    <row r="539" spans="1:18" x14ac:dyDescent="0.35">
      <c r="A539">
        <v>3.8194545284583401</v>
      </c>
      <c r="B539">
        <v>10.936472006865401</v>
      </c>
      <c r="C539">
        <v>10.399233929754701</v>
      </c>
      <c r="I539" s="1">
        <f t="shared" si="43"/>
        <v>330000.87125880056</v>
      </c>
      <c r="J539">
        <f t="shared" si="44"/>
        <v>600.00015296478523</v>
      </c>
      <c r="K539" s="1">
        <f t="shared" si="45"/>
        <v>30.840858921967364</v>
      </c>
      <c r="L539" s="1">
        <f t="shared" si="45"/>
        <v>29.325847158276204</v>
      </c>
      <c r="N539">
        <f>I539</f>
        <v>330000.87125880056</v>
      </c>
      <c r="O539" s="1">
        <f>SUM(K$2:K539)/$G$3</f>
        <v>7.0059493020813782E-2</v>
      </c>
      <c r="P539" s="1">
        <f>SUM(L$2:L539)/$G$3</f>
        <v>7.2633577691380749E-2</v>
      </c>
      <c r="Q539" s="1">
        <f t="shared" si="41"/>
        <v>70.059493020813775</v>
      </c>
      <c r="R539" s="1">
        <f t="shared" si="42"/>
        <v>72.633577691380751</v>
      </c>
    </row>
    <row r="540" spans="1:18" x14ac:dyDescent="0.35">
      <c r="A540">
        <v>3.8263989746732099</v>
      </c>
      <c r="B540">
        <v>10.897893751998801</v>
      </c>
      <c r="C540">
        <v>10.426615540394399</v>
      </c>
      <c r="I540" s="1">
        <f t="shared" si="43"/>
        <v>330600.87141176534</v>
      </c>
      <c r="J540">
        <f t="shared" si="44"/>
        <v>600.00015296478523</v>
      </c>
      <c r="K540" s="1">
        <f t="shared" si="45"/>
        <v>30.73206821550831</v>
      </c>
      <c r="L540" s="1">
        <f t="shared" si="45"/>
        <v>29.403063319965742</v>
      </c>
      <c r="N540">
        <f>I540</f>
        <v>330600.87141176534</v>
      </c>
      <c r="O540" s="1">
        <f>SUM(K$2:K540)/$G$3</f>
        <v>7.0378009559296531E-2</v>
      </c>
      <c r="P540" s="1">
        <f>SUM(L$2:L540)/$G$3</f>
        <v>7.2938320017337799E-2</v>
      </c>
      <c r="Q540" s="1">
        <f t="shared" si="41"/>
        <v>70.37800955929653</v>
      </c>
      <c r="R540" s="1">
        <f t="shared" si="42"/>
        <v>72.938320017337801</v>
      </c>
    </row>
    <row r="541" spans="1:18" x14ac:dyDescent="0.35">
      <c r="A541">
        <v>3.8333434208880699</v>
      </c>
      <c r="B541">
        <v>10.871771276711099</v>
      </c>
      <c r="C541">
        <v>10.414370146481801</v>
      </c>
      <c r="I541" s="1">
        <f t="shared" si="43"/>
        <v>331200.87156472926</v>
      </c>
      <c r="J541">
        <f t="shared" si="44"/>
        <v>600.00015296391211</v>
      </c>
      <c r="K541" s="1">
        <f t="shared" si="45"/>
        <v>30.658402816372032</v>
      </c>
      <c r="L541" s="1">
        <f t="shared" si="45"/>
        <v>29.368531300285838</v>
      </c>
      <c r="N541">
        <f>I541</f>
        <v>331200.87156472926</v>
      </c>
      <c r="O541" s="1">
        <f>SUM(K$2:K541)/$G$3</f>
        <v>7.0695762607090207E-2</v>
      </c>
      <c r="P541" s="1">
        <f>SUM(L$2:L541)/$G$3</f>
        <v>7.324270444289914E-2</v>
      </c>
      <c r="Q541" s="1">
        <f t="shared" si="41"/>
        <v>70.695762607090202</v>
      </c>
      <c r="R541" s="1">
        <f t="shared" si="42"/>
        <v>73.242704442899139</v>
      </c>
    </row>
    <row r="542" spans="1:18" x14ac:dyDescent="0.35">
      <c r="A542">
        <v>3.8402878671029299</v>
      </c>
      <c r="B542">
        <v>10.843433703025299</v>
      </c>
      <c r="C542">
        <v>10.4321162095608</v>
      </c>
      <c r="I542" s="1">
        <f t="shared" si="43"/>
        <v>331800.87171769317</v>
      </c>
      <c r="J542">
        <f t="shared" si="44"/>
        <v>600.00015296391211</v>
      </c>
      <c r="K542" s="1">
        <f t="shared" si="45"/>
        <v>30.578490838205333</v>
      </c>
      <c r="L542" s="1">
        <f t="shared" si="45"/>
        <v>29.4185752109268</v>
      </c>
      <c r="N542">
        <f>I542</f>
        <v>331800.87171769317</v>
      </c>
      <c r="O542" s="1">
        <f>SUM(K$2:K542)/$G$3</f>
        <v>7.1012687422742443E-2</v>
      </c>
      <c r="P542" s="1">
        <f>SUM(L$2:L542)/$G$3</f>
        <v>7.3547607538830384E-2</v>
      </c>
      <c r="Q542" s="1">
        <f t="shared" si="41"/>
        <v>71.012687422742445</v>
      </c>
      <c r="R542" s="1">
        <f t="shared" si="42"/>
        <v>73.547607538830391</v>
      </c>
    </row>
    <row r="543" spans="1:18" x14ac:dyDescent="0.35">
      <c r="A543">
        <v>3.8472323133178001</v>
      </c>
      <c r="B543">
        <v>10.798229365056701</v>
      </c>
      <c r="C543">
        <v>10.461348000875899</v>
      </c>
      <c r="I543" s="1">
        <f t="shared" si="43"/>
        <v>332400.87187065795</v>
      </c>
      <c r="J543">
        <f t="shared" si="44"/>
        <v>600.00015296478523</v>
      </c>
      <c r="K543" s="1">
        <f t="shared" si="45"/>
        <v>30.451014572679423</v>
      </c>
      <c r="L543" s="1">
        <f t="shared" si="45"/>
        <v>29.501008883493931</v>
      </c>
      <c r="N543">
        <f>I543</f>
        <v>332400.87187065795</v>
      </c>
      <c r="O543" s="1">
        <f>SUM(K$2:K543)/$G$3</f>
        <v>7.1328291035456112E-2</v>
      </c>
      <c r="P543" s="1">
        <f>SUM(L$2:L543)/$G$3</f>
        <v>7.3853365002513799E-2</v>
      </c>
      <c r="Q543" s="1">
        <f t="shared" si="41"/>
        <v>71.328291035456118</v>
      </c>
      <c r="R543" s="1">
        <f t="shared" si="42"/>
        <v>73.853365002513797</v>
      </c>
    </row>
    <row r="544" spans="1:18" x14ac:dyDescent="0.35">
      <c r="A544">
        <v>3.8541767595326699</v>
      </c>
      <c r="B544">
        <v>10.761111068697099</v>
      </c>
      <c r="C544">
        <v>10.428493931984899</v>
      </c>
      <c r="I544" s="1">
        <f t="shared" si="43"/>
        <v>333000.87202362268</v>
      </c>
      <c r="J544">
        <f t="shared" si="44"/>
        <v>600.00015296472702</v>
      </c>
      <c r="K544" s="1">
        <f t="shared" si="45"/>
        <v>30.346340950256781</v>
      </c>
      <c r="L544" s="1">
        <f t="shared" si="45"/>
        <v>29.408360385598534</v>
      </c>
      <c r="N544">
        <f>I544</f>
        <v>333000.87202362268</v>
      </c>
      <c r="O544" s="1">
        <f>SUM(K$2:K544)/$G$3</f>
        <v>7.1642809778786759E-2</v>
      </c>
      <c r="P544" s="1">
        <f>SUM(L$2:L544)/$G$3</f>
        <v>7.4158162228876445E-2</v>
      </c>
      <c r="Q544" s="1">
        <f t="shared" si="41"/>
        <v>71.642809778786756</v>
      </c>
      <c r="R544" s="1">
        <f t="shared" si="42"/>
        <v>74.158162228876449</v>
      </c>
    </row>
    <row r="545" spans="1:18" x14ac:dyDescent="0.35">
      <c r="A545">
        <v>3.8611212057475299</v>
      </c>
      <c r="B545">
        <v>10.7190802098691</v>
      </c>
      <c r="C545">
        <v>10.400390961721</v>
      </c>
      <c r="I545" s="1">
        <f t="shared" si="43"/>
        <v>333600.87217658659</v>
      </c>
      <c r="J545">
        <f t="shared" si="44"/>
        <v>600.00015296391211</v>
      </c>
      <c r="K545" s="1">
        <f t="shared" si="45"/>
        <v>30.227813898103349</v>
      </c>
      <c r="L545" s="1">
        <f t="shared" si="45"/>
        <v>29.32910998921032</v>
      </c>
      <c r="N545">
        <f>I545</f>
        <v>333600.87217658659</v>
      </c>
      <c r="O545" s="1">
        <f>SUM(K$2:K545)/$G$3</f>
        <v>7.1956100071558726E-2</v>
      </c>
      <c r="P545" s="1">
        <f>SUM(L$2:L545)/$G$3</f>
        <v>7.4462138079933182E-2</v>
      </c>
      <c r="Q545" s="1">
        <f t="shared" si="41"/>
        <v>71.956100071558723</v>
      </c>
      <c r="R545" s="1">
        <f t="shared" si="42"/>
        <v>74.462138079933183</v>
      </c>
    </row>
    <row r="546" spans="1:18" x14ac:dyDescent="0.35">
      <c r="A546">
        <v>3.8680656519623899</v>
      </c>
      <c r="B546">
        <v>10.6807430808789</v>
      </c>
      <c r="C546">
        <v>10.4083532771461</v>
      </c>
      <c r="I546" s="1">
        <f t="shared" si="43"/>
        <v>334200.8723295505</v>
      </c>
      <c r="J546">
        <f t="shared" si="44"/>
        <v>600.00015296391211</v>
      </c>
      <c r="K546" s="1">
        <f t="shared" si="45"/>
        <v>30.119703166789254</v>
      </c>
      <c r="L546" s="1">
        <f t="shared" si="45"/>
        <v>29.351563724433451</v>
      </c>
      <c r="N546">
        <f>I546</f>
        <v>334200.8723295505</v>
      </c>
      <c r="O546" s="1">
        <f>SUM(K$2:K546)/$G$3</f>
        <v>7.2268269871701638E-2</v>
      </c>
      <c r="P546" s="1">
        <f>SUM(L$2:L546)/$G$3</f>
        <v>7.4766346648357643E-2</v>
      </c>
      <c r="Q546" s="1">
        <f t="shared" si="41"/>
        <v>72.268269871701634</v>
      </c>
      <c r="R546" s="1">
        <f t="shared" si="42"/>
        <v>74.76634664835764</v>
      </c>
    </row>
    <row r="547" spans="1:18" x14ac:dyDescent="0.35">
      <c r="A547">
        <v>3.8750100981772602</v>
      </c>
      <c r="B547">
        <v>10.637090471483701</v>
      </c>
      <c r="C547">
        <v>10.421135911683299</v>
      </c>
      <c r="I547" s="1">
        <f t="shared" si="43"/>
        <v>334800.87248251529</v>
      </c>
      <c r="J547">
        <f t="shared" si="44"/>
        <v>600.00015296478523</v>
      </c>
      <c r="K547" s="1">
        <f t="shared" si="45"/>
        <v>29.996602776955257</v>
      </c>
      <c r="L547" s="1">
        <f t="shared" si="45"/>
        <v>29.387610763060945</v>
      </c>
      <c r="N547">
        <f>I547</f>
        <v>334800.87248251529</v>
      </c>
      <c r="O547" s="1">
        <f>SUM(K$2:K547)/$G$3</f>
        <v>7.2579163821817769E-2</v>
      </c>
      <c r="P547" s="1">
        <f>SUM(L$2:L547)/$G$3</f>
        <v>7.5070928819296764E-2</v>
      </c>
      <c r="Q547" s="1">
        <f t="shared" si="41"/>
        <v>72.579163821817772</v>
      </c>
      <c r="R547" s="1">
        <f t="shared" si="42"/>
        <v>75.070928819296768</v>
      </c>
    </row>
    <row r="548" spans="1:18" x14ac:dyDescent="0.35">
      <c r="A548">
        <v>3.8819545443921299</v>
      </c>
      <c r="B548">
        <v>10.5835256879782</v>
      </c>
      <c r="C548">
        <v>10.4027524262876</v>
      </c>
      <c r="I548" s="1">
        <f t="shared" si="43"/>
        <v>335400.87263548002</v>
      </c>
      <c r="J548">
        <f t="shared" si="44"/>
        <v>600.00015296472702</v>
      </c>
      <c r="K548" s="1">
        <f t="shared" si="45"/>
        <v>29.845550048957282</v>
      </c>
      <c r="L548" s="1">
        <f t="shared" si="45"/>
        <v>29.335769321025705</v>
      </c>
      <c r="N548">
        <f>I548</f>
        <v>335400.87263548002</v>
      </c>
      <c r="O548" s="1">
        <f>SUM(K$2:K548)/$G$3</f>
        <v>7.2888492215339634E-2</v>
      </c>
      <c r="P548" s="1">
        <f>SUM(L$2:L548)/$G$3</f>
        <v>7.5374973689701752E-2</v>
      </c>
      <c r="Q548" s="1">
        <f t="shared" si="41"/>
        <v>72.888492215339639</v>
      </c>
      <c r="R548" s="1">
        <f t="shared" si="42"/>
        <v>75.374973689701747</v>
      </c>
    </row>
    <row r="549" spans="1:18" x14ac:dyDescent="0.35">
      <c r="A549">
        <v>3.88889899060699</v>
      </c>
      <c r="B549">
        <v>10.5267368353203</v>
      </c>
      <c r="C549">
        <v>10.405786357444001</v>
      </c>
      <c r="I549" s="1">
        <f t="shared" si="43"/>
        <v>336000.87278844393</v>
      </c>
      <c r="J549">
        <f t="shared" si="44"/>
        <v>600.00015296391211</v>
      </c>
      <c r="K549" s="1">
        <f t="shared" si="45"/>
        <v>29.685405443594234</v>
      </c>
      <c r="L549" s="1">
        <f t="shared" si="45"/>
        <v>29.344325009028093</v>
      </c>
      <c r="N549">
        <f>I549</f>
        <v>336000.87278844393</v>
      </c>
      <c r="O549" s="1">
        <f>SUM(K$2:K549)/$G$3</f>
        <v>7.3196160821274184E-2</v>
      </c>
      <c r="P549" s="1">
        <f>SUM(L$2:L549)/$G$3</f>
        <v>7.567910723386953E-2</v>
      </c>
      <c r="Q549" s="1">
        <f t="shared" si="41"/>
        <v>73.196160821274191</v>
      </c>
      <c r="R549" s="1">
        <f t="shared" si="42"/>
        <v>75.67910723386953</v>
      </c>
    </row>
    <row r="550" spans="1:18" x14ac:dyDescent="0.35">
      <c r="A550">
        <v>3.89584343682185</v>
      </c>
      <c r="B550">
        <v>10.473650653108599</v>
      </c>
      <c r="C550">
        <v>10.391102667274801</v>
      </c>
      <c r="I550" s="1">
        <f t="shared" si="43"/>
        <v>336600.87294140784</v>
      </c>
      <c r="J550">
        <f t="shared" si="44"/>
        <v>600.00015296391211</v>
      </c>
      <c r="K550" s="1">
        <f t="shared" si="45"/>
        <v>29.535702371591967</v>
      </c>
      <c r="L550" s="1">
        <f t="shared" si="45"/>
        <v>29.302916992194401</v>
      </c>
      <c r="N550">
        <f>I550</f>
        <v>336600.87294140784</v>
      </c>
      <c r="O550" s="1">
        <f>SUM(K$2:K550)/$G$3</f>
        <v>7.3502277858861292E-2</v>
      </c>
      <c r="P550" s="1">
        <f>SUM(L$2:L550)/$G$3</f>
        <v>7.5982811612707632E-2</v>
      </c>
      <c r="Q550" s="1">
        <f t="shared" si="41"/>
        <v>73.502277858861291</v>
      </c>
      <c r="R550" s="1">
        <f t="shared" si="42"/>
        <v>75.982811612707636</v>
      </c>
    </row>
    <row r="551" spans="1:18" x14ac:dyDescent="0.35">
      <c r="A551">
        <v>3.9027878830367202</v>
      </c>
      <c r="B551">
        <v>10.405166275024699</v>
      </c>
      <c r="C551">
        <v>10.380835083022999</v>
      </c>
      <c r="I551" s="1">
        <f t="shared" si="43"/>
        <v>337200.87309437263</v>
      </c>
      <c r="J551">
        <f t="shared" si="44"/>
        <v>600.00015296478523</v>
      </c>
      <c r="K551" s="1">
        <f t="shared" si="45"/>
        <v>29.342576376202565</v>
      </c>
      <c r="L551" s="1">
        <f t="shared" si="45"/>
        <v>29.27396239726524</v>
      </c>
      <c r="N551">
        <f>I551</f>
        <v>337200.87309437263</v>
      </c>
      <c r="O551" s="1">
        <f>SUM(K$2:K551)/$G$3</f>
        <v>7.3806393279664553E-2</v>
      </c>
      <c r="P551" s="1">
        <f>SUM(L$2:L551)/$G$3</f>
        <v>7.6286215897283127E-2</v>
      </c>
      <c r="Q551" s="1">
        <f t="shared" si="41"/>
        <v>73.806393279664547</v>
      </c>
      <c r="R551" s="1">
        <f t="shared" si="42"/>
        <v>76.286215897283128</v>
      </c>
    </row>
    <row r="552" spans="1:18" x14ac:dyDescent="0.35">
      <c r="A552">
        <v>3.90973232925159</v>
      </c>
      <c r="B552">
        <v>10.342014899701701</v>
      </c>
      <c r="C552">
        <v>10.369310687661599</v>
      </c>
      <c r="I552" s="1">
        <f t="shared" si="43"/>
        <v>337800.87324733735</v>
      </c>
      <c r="J552">
        <f t="shared" si="44"/>
        <v>600.00015296472702</v>
      </c>
      <c r="K552" s="1">
        <f t="shared" si="45"/>
        <v>29.16448945238718</v>
      </c>
      <c r="L552" s="1">
        <f t="shared" si="45"/>
        <v>29.241463594057972</v>
      </c>
      <c r="N552">
        <f>I552</f>
        <v>337800.87324733735</v>
      </c>
      <c r="O552" s="1">
        <f>SUM(K$2:K552)/$G$3</f>
        <v>7.4108662953213666E-2</v>
      </c>
      <c r="P552" s="1">
        <f>SUM(L$2:L552)/$G$3</f>
        <v>7.6589283354339219E-2</v>
      </c>
      <c r="Q552" s="1">
        <f t="shared" si="41"/>
        <v>74.108662953213667</v>
      </c>
      <c r="R552" s="1">
        <f t="shared" si="42"/>
        <v>76.589283354339216</v>
      </c>
    </row>
    <row r="553" spans="1:18" x14ac:dyDescent="0.35">
      <c r="A553">
        <v>3.91667677546645</v>
      </c>
      <c r="B553">
        <v>10.279462840638599</v>
      </c>
      <c r="C553">
        <v>10.3441014886704</v>
      </c>
      <c r="I553" s="1">
        <f t="shared" si="43"/>
        <v>338400.87340030127</v>
      </c>
      <c r="J553">
        <f t="shared" si="44"/>
        <v>600.00015296391211</v>
      </c>
      <c r="K553" s="1">
        <f t="shared" si="45"/>
        <v>28.988092600819048</v>
      </c>
      <c r="L553" s="1">
        <f t="shared" si="45"/>
        <v>29.170373634739413</v>
      </c>
      <c r="N553">
        <f>I553</f>
        <v>338400.87340030127</v>
      </c>
      <c r="O553" s="1">
        <f>SUM(K$2:K553)/$G$3</f>
        <v>7.4409104395933456E-2</v>
      </c>
      <c r="P553" s="1">
        <f>SUM(L$2:L553)/$G$3</f>
        <v>7.6891614013350873E-2</v>
      </c>
      <c r="Q553" s="1">
        <f t="shared" si="41"/>
        <v>74.409104395933454</v>
      </c>
      <c r="R553" s="1">
        <f t="shared" si="42"/>
        <v>76.891614013350875</v>
      </c>
    </row>
    <row r="554" spans="1:18" x14ac:dyDescent="0.35">
      <c r="A554">
        <v>3.92362122168131</v>
      </c>
      <c r="B554">
        <v>10.206326478770199</v>
      </c>
      <c r="C554">
        <v>10.315916667052599</v>
      </c>
      <c r="I554" s="1">
        <f t="shared" si="43"/>
        <v>339000.87355326518</v>
      </c>
      <c r="J554">
        <f t="shared" si="44"/>
        <v>600.00015296391211</v>
      </c>
      <c r="K554" s="1">
        <f t="shared" si="45"/>
        <v>28.781848007770208</v>
      </c>
      <c r="L554" s="1">
        <f t="shared" si="45"/>
        <v>29.090892417514294</v>
      </c>
      <c r="N554">
        <f>I554</f>
        <v>339000.87355326518</v>
      </c>
      <c r="O554" s="1">
        <f>SUM(K$2:K554)/$G$3</f>
        <v>7.4707408256717733E-2</v>
      </c>
      <c r="P554" s="1">
        <f>SUM(L$2:L554)/$G$3</f>
        <v>7.7193120904759008E-2</v>
      </c>
      <c r="Q554" s="1">
        <f t="shared" si="41"/>
        <v>74.707408256717727</v>
      </c>
      <c r="R554" s="1">
        <f t="shared" si="42"/>
        <v>77.193120904759013</v>
      </c>
    </row>
    <row r="555" spans="1:18" x14ac:dyDescent="0.35">
      <c r="A555">
        <v>3.9305656678961798</v>
      </c>
      <c r="B555">
        <v>10.1378049525492</v>
      </c>
      <c r="C555">
        <v>10.296992123032</v>
      </c>
      <c r="I555" s="1">
        <f t="shared" si="43"/>
        <v>339600.8737062299</v>
      </c>
      <c r="J555">
        <f t="shared" si="44"/>
        <v>600.00015296472702</v>
      </c>
      <c r="K555" s="1">
        <f t="shared" si="45"/>
        <v>28.588617254603609</v>
      </c>
      <c r="L555" s="1">
        <f t="shared" si="45"/>
        <v>29.037525189810211</v>
      </c>
      <c r="N555">
        <f>I555</f>
        <v>339600.8737062299</v>
      </c>
      <c r="O555" s="1">
        <f>SUM(K$2:K555)/$G$3</f>
        <v>7.5003709414976569E-2</v>
      </c>
      <c r="P555" s="1">
        <f>SUM(L$2:L555)/$G$3</f>
        <v>7.7494074681924485E-2</v>
      </c>
      <c r="Q555" s="1">
        <f t="shared" si="41"/>
        <v>75.003709414976569</v>
      </c>
      <c r="R555" s="1">
        <f t="shared" si="42"/>
        <v>77.494074681924488</v>
      </c>
    </row>
    <row r="556" spans="1:18" x14ac:dyDescent="0.35">
      <c r="A556">
        <v>3.93751011411105</v>
      </c>
      <c r="B556">
        <v>10.0417325998921</v>
      </c>
      <c r="C556">
        <v>10.2923904254045</v>
      </c>
      <c r="I556" s="1">
        <f t="shared" si="43"/>
        <v>340200.87385919475</v>
      </c>
      <c r="J556">
        <f t="shared" si="44"/>
        <v>600.00015296484344</v>
      </c>
      <c r="K556" s="1">
        <f t="shared" si="45"/>
        <v>28.317693151046385</v>
      </c>
      <c r="L556" s="1">
        <f t="shared" si="45"/>
        <v>29.024548399197975</v>
      </c>
      <c r="N556">
        <f>I556</f>
        <v>340200.87385919475</v>
      </c>
      <c r="O556" s="1">
        <f>SUM(K$2:K556)/$G$3</f>
        <v>7.5297202633104215E-2</v>
      </c>
      <c r="P556" s="1">
        <f>SUM(L$2:L556)/$G$3</f>
        <v>7.7794893963669801E-2</v>
      </c>
      <c r="Q556" s="1">
        <f t="shared" si="41"/>
        <v>75.29720263310422</v>
      </c>
      <c r="R556" s="1">
        <f t="shared" si="42"/>
        <v>77.794893963669807</v>
      </c>
    </row>
    <row r="557" spans="1:18" x14ac:dyDescent="0.35">
      <c r="A557">
        <v>3.9444545603259198</v>
      </c>
      <c r="B557">
        <v>9.94836883991624</v>
      </c>
      <c r="C557">
        <v>10.260328340681101</v>
      </c>
      <c r="I557" s="1">
        <f t="shared" si="43"/>
        <v>340800.87401215947</v>
      </c>
      <c r="J557">
        <f t="shared" si="44"/>
        <v>600.00015296472702</v>
      </c>
      <c r="K557" s="1">
        <f t="shared" si="45"/>
        <v>28.05440728078656</v>
      </c>
      <c r="L557" s="1">
        <f t="shared" si="45"/>
        <v>28.934133297221827</v>
      </c>
      <c r="N557">
        <f>I557</f>
        <v>340800.87401215947</v>
      </c>
      <c r="O557" s="1">
        <f>SUM(K$2:K557)/$G$3</f>
        <v>7.5587967076082771E-2</v>
      </c>
      <c r="P557" s="1">
        <f>SUM(L$2:L557)/$G$3</f>
        <v>7.8094776155691589E-2</v>
      </c>
      <c r="Q557" s="1">
        <f t="shared" si="41"/>
        <v>75.587967076082776</v>
      </c>
      <c r="R557" s="1">
        <f t="shared" si="42"/>
        <v>78.094776155691591</v>
      </c>
    </row>
    <row r="558" spans="1:18" x14ac:dyDescent="0.35">
      <c r="A558">
        <v>3.9513990065407798</v>
      </c>
      <c r="B558">
        <v>9.8539865548319199</v>
      </c>
      <c r="C558">
        <v>10.228868225739999</v>
      </c>
      <c r="I558" s="1">
        <f t="shared" si="43"/>
        <v>341400.87416512339</v>
      </c>
      <c r="J558">
        <f t="shared" si="44"/>
        <v>600.00015296391211</v>
      </c>
      <c r="K558" s="1">
        <f t="shared" si="45"/>
        <v>27.788249168956384</v>
      </c>
      <c r="L558" s="1">
        <f t="shared" si="45"/>
        <v>28.845415750430991</v>
      </c>
      <c r="N558">
        <f>I558</f>
        <v>341400.87416512339</v>
      </c>
      <c r="O558" s="1">
        <f>SUM(K$2:K558)/$G$3</f>
        <v>7.5875972975123621E-2</v>
      </c>
      <c r="P558" s="1">
        <f>SUM(L$2:L558)/$G$3</f>
        <v>7.8393738851970096E-2</v>
      </c>
      <c r="Q558" s="1">
        <f t="shared" si="41"/>
        <v>75.875972975123616</v>
      </c>
      <c r="R558" s="1">
        <f t="shared" si="42"/>
        <v>78.393738851970099</v>
      </c>
    </row>
    <row r="559" spans="1:18" x14ac:dyDescent="0.35">
      <c r="A559">
        <v>3.9583434527556398</v>
      </c>
      <c r="B559">
        <v>9.7408802248765909</v>
      </c>
      <c r="C559">
        <v>10.1999763865551</v>
      </c>
      <c r="I559" s="1">
        <f t="shared" si="43"/>
        <v>342000.8743180873</v>
      </c>
      <c r="J559">
        <f t="shared" si="44"/>
        <v>600.00015296391211</v>
      </c>
      <c r="K559" s="1">
        <f t="shared" si="45"/>
        <v>27.469289237166777</v>
      </c>
      <c r="L559" s="1">
        <f t="shared" si="45"/>
        <v>28.763940743158354</v>
      </c>
      <c r="N559">
        <f>I559</f>
        <v>342000.8743180873</v>
      </c>
      <c r="O559" s="1">
        <f>SUM(K$2:K559)/$G$3</f>
        <v>7.6160673076042587E-2</v>
      </c>
      <c r="P559" s="1">
        <f>SUM(L$2:L559)/$G$3</f>
        <v>7.8691857116396244E-2</v>
      </c>
      <c r="Q559" s="1">
        <f t="shared" si="41"/>
        <v>76.160673076042585</v>
      </c>
      <c r="R559" s="1">
        <f t="shared" si="42"/>
        <v>78.69185711639625</v>
      </c>
    </row>
    <row r="560" spans="1:18" x14ac:dyDescent="0.35">
      <c r="A560">
        <v>3.96528789897051</v>
      </c>
      <c r="B560">
        <v>9.6421064666459806</v>
      </c>
      <c r="C560">
        <v>10.179736899041499</v>
      </c>
      <c r="I560" s="1">
        <f t="shared" si="43"/>
        <v>342600.87447105208</v>
      </c>
      <c r="J560">
        <f t="shared" si="44"/>
        <v>600.00015296478523</v>
      </c>
      <c r="K560" s="1">
        <f t="shared" si="45"/>
        <v>27.190747167984568</v>
      </c>
      <c r="L560" s="1">
        <f t="shared" si="45"/>
        <v>28.706865373860989</v>
      </c>
      <c r="N560">
        <f>I560</f>
        <v>342600.87447105208</v>
      </c>
      <c r="O560" s="1">
        <f>SUM(K$2:K560)/$G$3</f>
        <v>7.6442486281908625E-2</v>
      </c>
      <c r="P560" s="1">
        <f>SUM(L$2:L560)/$G$3</f>
        <v>7.8989383834268054E-2</v>
      </c>
      <c r="Q560" s="1">
        <f t="shared" si="41"/>
        <v>76.442486281908629</v>
      </c>
      <c r="R560" s="1">
        <f t="shared" si="42"/>
        <v>78.989383834268054</v>
      </c>
    </row>
    <row r="561" spans="1:18" x14ac:dyDescent="0.35">
      <c r="A561">
        <v>3.9722323451853798</v>
      </c>
      <c r="B561">
        <v>9.5343118312068498</v>
      </c>
      <c r="C561">
        <v>10.151584085309899</v>
      </c>
      <c r="I561" s="1">
        <f t="shared" si="43"/>
        <v>343200.87462401681</v>
      </c>
      <c r="J561">
        <f t="shared" si="44"/>
        <v>600.00015296472702</v>
      </c>
      <c r="K561" s="1">
        <f t="shared" si="45"/>
        <v>26.886766218546327</v>
      </c>
      <c r="L561" s="1">
        <f t="shared" si="45"/>
        <v>28.627474418895073</v>
      </c>
      <c r="N561">
        <f>I561</f>
        <v>343200.87462401681</v>
      </c>
      <c r="O561" s="1">
        <f>SUM(K$2:K561)/$G$3</f>
        <v>7.6721148936399433E-2</v>
      </c>
      <c r="P561" s="1">
        <f>SUM(L$2:L561)/$G$3</f>
        <v>7.9286087720041948E-2</v>
      </c>
      <c r="Q561" s="1">
        <f t="shared" si="41"/>
        <v>76.72114893639943</v>
      </c>
      <c r="R561" s="1">
        <f t="shared" si="42"/>
        <v>79.286087720041948</v>
      </c>
    </row>
    <row r="562" spans="1:18" x14ac:dyDescent="0.35">
      <c r="A562">
        <v>3.9791767914002398</v>
      </c>
      <c r="B562">
        <v>9.4500879613828506</v>
      </c>
      <c r="C562">
        <v>10.1181099811684</v>
      </c>
      <c r="I562" s="1">
        <f t="shared" si="43"/>
        <v>343800.87477698072</v>
      </c>
      <c r="J562">
        <f t="shared" si="44"/>
        <v>600.00015296391211</v>
      </c>
      <c r="K562" s="1">
        <f t="shared" si="45"/>
        <v>26.649254845055037</v>
      </c>
      <c r="L562" s="1">
        <f t="shared" si="45"/>
        <v>28.533077421111614</v>
      </c>
      <c r="N562">
        <f>I562</f>
        <v>343800.87477698072</v>
      </c>
      <c r="O562" s="1">
        <f>SUM(K$2:K562)/$G$3</f>
        <v>7.6997349950495467E-2</v>
      </c>
      <c r="P562" s="1">
        <f>SUM(L$2:L562)/$G$3</f>
        <v>7.9581813246508357E-2</v>
      </c>
      <c r="Q562" s="1">
        <f t="shared" si="41"/>
        <v>76.997349950495462</v>
      </c>
      <c r="R562" s="1">
        <f t="shared" si="42"/>
        <v>79.581813246508361</v>
      </c>
    </row>
    <row r="563" spans="1:18" x14ac:dyDescent="0.35">
      <c r="A563">
        <v>3.9861212376151101</v>
      </c>
      <c r="B563">
        <v>9.3659742953966294</v>
      </c>
      <c r="C563">
        <v>10.084747186433299</v>
      </c>
      <c r="I563" s="1">
        <f t="shared" si="43"/>
        <v>344400.87492994551</v>
      </c>
      <c r="J563">
        <f t="shared" si="44"/>
        <v>600.00015296478523</v>
      </c>
      <c r="K563" s="1">
        <f t="shared" si="45"/>
        <v>26.412054246540453</v>
      </c>
      <c r="L563" s="1">
        <f t="shared" si="45"/>
        <v>28.438994316014483</v>
      </c>
      <c r="N563">
        <f>I563</f>
        <v>344400.87492994551</v>
      </c>
      <c r="O563" s="1">
        <f>SUM(K$2:K563)/$G$3</f>
        <v>7.7271092545163456E-2</v>
      </c>
      <c r="P563" s="1">
        <f>SUM(L$2:L563)/$G$3</f>
        <v>7.9876563666946912E-2</v>
      </c>
      <c r="Q563" s="1">
        <f t="shared" si="41"/>
        <v>77.271092545163455</v>
      </c>
      <c r="R563" s="1">
        <f t="shared" si="42"/>
        <v>79.876563666946907</v>
      </c>
    </row>
    <row r="564" spans="1:18" x14ac:dyDescent="0.35">
      <c r="A564">
        <v>3.9930656838299798</v>
      </c>
      <c r="B564">
        <v>9.2900727944162593</v>
      </c>
      <c r="C564">
        <v>10.054290695971099</v>
      </c>
      <c r="I564" s="1">
        <f t="shared" si="43"/>
        <v>345000.87508291024</v>
      </c>
      <c r="J564">
        <f t="shared" si="44"/>
        <v>600.00015296472702</v>
      </c>
      <c r="K564" s="1">
        <f t="shared" si="45"/>
        <v>26.198011959205061</v>
      </c>
      <c r="L564" s="1">
        <f t="shared" si="45"/>
        <v>28.353106991012108</v>
      </c>
      <c r="N564">
        <f>I564</f>
        <v>345000.87508291024</v>
      </c>
      <c r="O564" s="1">
        <f>SUM(K$2:K564)/$G$3</f>
        <v>7.7542616740211442E-2</v>
      </c>
      <c r="P564" s="1">
        <f>SUM(L$2:L564)/$G$3</f>
        <v>8.0170423924924961E-2</v>
      </c>
      <c r="Q564" s="1">
        <f t="shared" si="41"/>
        <v>77.542616740211443</v>
      </c>
      <c r="R564" s="1">
        <f t="shared" si="42"/>
        <v>80.170423924924961</v>
      </c>
    </row>
    <row r="565" spans="1:18" x14ac:dyDescent="0.35">
      <c r="A565">
        <v>4.0000101300448403</v>
      </c>
      <c r="B565">
        <v>9.1987154198793792</v>
      </c>
      <c r="C565">
        <v>10.028516686147</v>
      </c>
      <c r="I565" s="1">
        <f t="shared" si="43"/>
        <v>345600.87523587421</v>
      </c>
      <c r="J565">
        <f t="shared" si="44"/>
        <v>600.00015296397032</v>
      </c>
      <c r="K565" s="1">
        <f t="shared" si="45"/>
        <v>25.940384097298402</v>
      </c>
      <c r="L565" s="1">
        <f t="shared" si="45"/>
        <v>28.280424264742667</v>
      </c>
      <c r="N565">
        <f>I565</f>
        <v>345600.87523587421</v>
      </c>
      <c r="O565" s="1">
        <f>SUM(K$2:K565)/$G$3</f>
        <v>7.781147080143648E-2</v>
      </c>
      <c r="P565" s="1">
        <f>SUM(L$2:L565)/$G$3</f>
        <v>8.0463530876935571E-2</v>
      </c>
      <c r="Q565" s="1">
        <f t="shared" si="41"/>
        <v>77.811470801436485</v>
      </c>
      <c r="R565" s="1">
        <f t="shared" si="42"/>
        <v>80.463530876935565</v>
      </c>
    </row>
    <row r="566" spans="1:18" x14ac:dyDescent="0.35">
      <c r="A566">
        <v>4.0069545762597096</v>
      </c>
      <c r="B566">
        <v>9.1176910205777109</v>
      </c>
      <c r="C566">
        <v>10.0071217397835</v>
      </c>
      <c r="I566" s="1">
        <f t="shared" si="43"/>
        <v>346200.87538883893</v>
      </c>
      <c r="J566">
        <f t="shared" si="44"/>
        <v>600.00015296472702</v>
      </c>
      <c r="K566" s="1">
        <f t="shared" si="45"/>
        <v>25.711895233049201</v>
      </c>
      <c r="L566" s="1">
        <f t="shared" si="45"/>
        <v>28.2200905006517</v>
      </c>
      <c r="N566">
        <f>I566</f>
        <v>346200.87538883893</v>
      </c>
      <c r="O566" s="1">
        <f>SUM(K$2:K566)/$G$3</f>
        <v>7.8077956734307383E-2</v>
      </c>
      <c r="P566" s="1">
        <f>SUM(L$2:L566)/$G$3</f>
        <v>8.0756012511393277E-2</v>
      </c>
      <c r="Q566" s="1">
        <f t="shared" si="41"/>
        <v>78.077956734307378</v>
      </c>
      <c r="R566" s="1">
        <f t="shared" si="42"/>
        <v>80.75601251139328</v>
      </c>
    </row>
    <row r="567" spans="1:18" x14ac:dyDescent="0.35">
      <c r="A567">
        <v>4.0138990224745701</v>
      </c>
      <c r="B567">
        <v>9.0407878615916495</v>
      </c>
      <c r="C567">
        <v>9.9688276703719101</v>
      </c>
      <c r="I567" s="1">
        <f t="shared" si="43"/>
        <v>346800.87554180284</v>
      </c>
      <c r="J567">
        <f t="shared" si="44"/>
        <v>600.00015296391211</v>
      </c>
      <c r="K567" s="1">
        <f t="shared" si="45"/>
        <v>25.495028269385568</v>
      </c>
      <c r="L567" s="1">
        <f t="shared" si="45"/>
        <v>28.112101197341921</v>
      </c>
      <c r="N567">
        <f>I567</f>
        <v>346800.87554180284</v>
      </c>
      <c r="O567" s="1">
        <f>SUM(K$2:K567)/$G$3</f>
        <v>7.8342194991750366E-2</v>
      </c>
      <c r="P567" s="1">
        <f>SUM(L$2:L567)/$G$3</f>
        <v>8.1047374911738843E-2</v>
      </c>
      <c r="Q567" s="1">
        <f t="shared" si="41"/>
        <v>78.342194991750361</v>
      </c>
      <c r="R567" s="1">
        <f t="shared" si="42"/>
        <v>81.047374911738842</v>
      </c>
    </row>
    <row r="568" spans="1:18" x14ac:dyDescent="0.35">
      <c r="A568">
        <v>4.0208434686894403</v>
      </c>
      <c r="B568">
        <v>8.9624875050947708</v>
      </c>
      <c r="C568">
        <v>9.9308253314760808</v>
      </c>
      <c r="I568" s="1">
        <f t="shared" si="43"/>
        <v>347400.87569476763</v>
      </c>
      <c r="J568">
        <f t="shared" si="44"/>
        <v>600.00015296478523</v>
      </c>
      <c r="K568" s="1">
        <f t="shared" si="45"/>
        <v>25.274221207808644</v>
      </c>
      <c r="L568" s="1">
        <f t="shared" si="45"/>
        <v>28.004934574375401</v>
      </c>
      <c r="N568">
        <f>I568</f>
        <v>347400.87569476763</v>
      </c>
      <c r="O568" s="1">
        <f>SUM(K$2:K568)/$G$3</f>
        <v>7.8604144737387596E-2</v>
      </c>
      <c r="P568" s="1">
        <f>SUM(L$2:L568)/$G$3</f>
        <v>8.133762660448253E-2</v>
      </c>
      <c r="Q568" s="1">
        <f t="shared" si="41"/>
        <v>78.6041447373876</v>
      </c>
      <c r="R568" s="1">
        <f t="shared" si="42"/>
        <v>81.337626604482523</v>
      </c>
    </row>
    <row r="569" spans="1:18" x14ac:dyDescent="0.35">
      <c r="A569">
        <v>4.0277879149043097</v>
      </c>
      <c r="B569">
        <v>8.8824632936012105</v>
      </c>
      <c r="C569">
        <v>9.90811520640551</v>
      </c>
      <c r="I569" s="1">
        <f t="shared" si="43"/>
        <v>348000.87584773236</v>
      </c>
      <c r="J569">
        <f t="shared" si="44"/>
        <v>600.00015296472702</v>
      </c>
      <c r="K569" s="1">
        <f t="shared" si="45"/>
        <v>25.048552873862207</v>
      </c>
      <c r="L569" s="1">
        <f t="shared" si="45"/>
        <v>27.940892005346587</v>
      </c>
      <c r="N569">
        <f>I569</f>
        <v>348000.87584773236</v>
      </c>
      <c r="O569" s="1">
        <f>SUM(K$2:K569)/$G$3</f>
        <v>7.8863755587507939E-2</v>
      </c>
      <c r="P569" s="1">
        <f>SUM(L$2:L569)/$G$3</f>
        <v>8.1627214540486548E-2</v>
      </c>
      <c r="Q569" s="1">
        <f t="shared" si="41"/>
        <v>78.863755587507939</v>
      </c>
      <c r="R569" s="1">
        <f t="shared" si="42"/>
        <v>81.627214540486548</v>
      </c>
    </row>
    <row r="570" spans="1:18" x14ac:dyDescent="0.35">
      <c r="A570">
        <v>4.0347323611191701</v>
      </c>
      <c r="B570">
        <v>8.8010288858772405</v>
      </c>
      <c r="C570">
        <v>9.8614453483848408</v>
      </c>
      <c r="I570" s="1">
        <f t="shared" si="43"/>
        <v>348600.87600069627</v>
      </c>
      <c r="J570">
        <f t="shared" si="44"/>
        <v>600.00015296391211</v>
      </c>
      <c r="K570" s="1">
        <f t="shared" si="45"/>
        <v>24.818907785500922</v>
      </c>
      <c r="L570" s="1">
        <f t="shared" si="45"/>
        <v>27.809282972137975</v>
      </c>
      <c r="N570">
        <f>I570</f>
        <v>348600.87600069627</v>
      </c>
      <c r="O570" s="1">
        <f>SUM(K$2:K570)/$G$3</f>
        <v>7.9120986325814435E-2</v>
      </c>
      <c r="P570" s="1">
        <f>SUM(L$2:L570)/$G$3</f>
        <v>8.191543844028587E-2</v>
      </c>
      <c r="Q570" s="1">
        <f t="shared" si="41"/>
        <v>79.120986325814442</v>
      </c>
      <c r="R570" s="1">
        <f t="shared" si="42"/>
        <v>81.915438440285868</v>
      </c>
    </row>
    <row r="571" spans="1:18" x14ac:dyDescent="0.35">
      <c r="A571">
        <v>4.0416768073340297</v>
      </c>
      <c r="B571">
        <v>8.7208734791631901</v>
      </c>
      <c r="C571">
        <v>9.8097882572178392</v>
      </c>
      <c r="I571" s="1">
        <f t="shared" si="43"/>
        <v>349200.87615366018</v>
      </c>
      <c r="J571">
        <f t="shared" si="44"/>
        <v>600.00015296391211</v>
      </c>
      <c r="K571" s="1">
        <f t="shared" si="45"/>
        <v>24.59286948094114</v>
      </c>
      <c r="L571" s="1">
        <f t="shared" si="45"/>
        <v>27.663609937909175</v>
      </c>
      <c r="N571">
        <f>I571</f>
        <v>349200.87615366018</v>
      </c>
      <c r="O571" s="1">
        <f>SUM(K$2:K571)/$G$3</f>
        <v>7.9375874334115623E-2</v>
      </c>
      <c r="P571" s="1">
        <f>SUM(L$2:L571)/$G$3</f>
        <v>8.2202152540279752E-2</v>
      </c>
      <c r="Q571" s="1">
        <f t="shared" si="41"/>
        <v>79.375874334115622</v>
      </c>
      <c r="R571" s="1">
        <f t="shared" si="42"/>
        <v>82.202152540279755</v>
      </c>
    </row>
    <row r="572" spans="1:18" x14ac:dyDescent="0.35">
      <c r="A572">
        <v>4.0486212535488999</v>
      </c>
      <c r="B572">
        <v>8.6460118344115209</v>
      </c>
      <c r="C572">
        <v>9.7695366286832908</v>
      </c>
      <c r="I572" s="1">
        <f t="shared" si="43"/>
        <v>349800.87630662497</v>
      </c>
      <c r="J572">
        <f t="shared" si="44"/>
        <v>600.00015296478523</v>
      </c>
      <c r="K572" s="1">
        <f t="shared" si="45"/>
        <v>24.381759588956605</v>
      </c>
      <c r="L572" s="1">
        <f t="shared" si="45"/>
        <v>27.550100316543723</v>
      </c>
      <c r="N572">
        <f>I572</f>
        <v>349800.87630662497</v>
      </c>
      <c r="O572" s="1">
        <f>SUM(K$2:K572)/$G$3</f>
        <v>7.9628574335037602E-2</v>
      </c>
      <c r="P572" s="1">
        <f>SUM(L$2:L572)/$G$3</f>
        <v>8.2487690191899624E-2</v>
      </c>
      <c r="Q572" s="1">
        <f t="shared" si="41"/>
        <v>79.628574335037598</v>
      </c>
      <c r="R572" s="1">
        <f t="shared" si="42"/>
        <v>82.487690191899617</v>
      </c>
    </row>
    <row r="573" spans="1:18" x14ac:dyDescent="0.35">
      <c r="A573">
        <v>4.0555656997637701</v>
      </c>
      <c r="B573">
        <v>8.5627511458875603</v>
      </c>
      <c r="C573">
        <v>9.7132619707815309</v>
      </c>
      <c r="I573" s="1">
        <f t="shared" si="43"/>
        <v>350400.87645958975</v>
      </c>
      <c r="J573">
        <f t="shared" si="44"/>
        <v>600.00015296478523</v>
      </c>
      <c r="K573" s="1">
        <f t="shared" si="45"/>
        <v>24.146964387460056</v>
      </c>
      <c r="L573" s="1">
        <f t="shared" si="45"/>
        <v>27.391405740802963</v>
      </c>
      <c r="N573">
        <f>I573</f>
        <v>350400.87645958975</v>
      </c>
      <c r="O573" s="1">
        <f>SUM(K$2:K573)/$G$3</f>
        <v>7.9878840846800664E-2</v>
      </c>
      <c r="P573" s="1">
        <f>SUM(L$2:L573)/$G$3</f>
        <v>8.2771583084481917E-2</v>
      </c>
      <c r="Q573" s="1">
        <f t="shared" si="41"/>
        <v>79.878840846800671</v>
      </c>
      <c r="R573" s="1">
        <f t="shared" si="42"/>
        <v>82.771583084481918</v>
      </c>
    </row>
    <row r="574" spans="1:18" x14ac:dyDescent="0.35">
      <c r="A574">
        <v>4.0625101459786297</v>
      </c>
      <c r="B574">
        <v>8.4844588638787499</v>
      </c>
      <c r="C574">
        <v>9.6640164597749401</v>
      </c>
      <c r="I574" s="1">
        <f t="shared" si="43"/>
        <v>351000.87661255361</v>
      </c>
      <c r="J574">
        <f t="shared" si="44"/>
        <v>600.00015296385391</v>
      </c>
      <c r="K574" s="1">
        <f t="shared" si="45"/>
        <v>23.926180095871047</v>
      </c>
      <c r="L574" s="1">
        <f t="shared" si="45"/>
        <v>27.252533364317781</v>
      </c>
      <c r="N574">
        <f>I574</f>
        <v>351000.87661255361</v>
      </c>
      <c r="O574" s="1">
        <f>SUM(K$2:K574)/$G$3</f>
        <v>8.0126819082753112E-2</v>
      </c>
      <c r="P574" s="1">
        <f>SUM(L$2:L574)/$G$3</f>
        <v>8.3054036661352082E-2</v>
      </c>
      <c r="Q574" s="1">
        <f t="shared" si="41"/>
        <v>80.126819082753116</v>
      </c>
      <c r="R574" s="1">
        <f t="shared" si="42"/>
        <v>83.054036661352086</v>
      </c>
    </row>
    <row r="575" spans="1:18" x14ac:dyDescent="0.35">
      <c r="A575">
        <v>4.0694545921934999</v>
      </c>
      <c r="B575">
        <v>8.4021909562080896</v>
      </c>
      <c r="C575">
        <v>9.6167198472218907</v>
      </c>
      <c r="I575" s="1">
        <f t="shared" si="43"/>
        <v>351600.87676551839</v>
      </c>
      <c r="J575">
        <f t="shared" si="44"/>
        <v>600.00015296478523</v>
      </c>
      <c r="K575" s="1">
        <f t="shared" si="45"/>
        <v>23.69418453713169</v>
      </c>
      <c r="L575" s="1">
        <f t="shared" si="45"/>
        <v>27.119156882957316</v>
      </c>
      <c r="N575">
        <f>I575</f>
        <v>351600.87676551839</v>
      </c>
      <c r="O575" s="1">
        <f>SUM(K$2:K575)/$G$3</f>
        <v>8.0372392845899004E-2</v>
      </c>
      <c r="P575" s="1">
        <f>SUM(L$2:L575)/$G$3</f>
        <v>8.333510788364526E-2</v>
      </c>
      <c r="Q575" s="1">
        <f t="shared" si="41"/>
        <v>80.372392845899</v>
      </c>
      <c r="R575" s="1">
        <f t="shared" si="42"/>
        <v>83.335107883645264</v>
      </c>
    </row>
    <row r="576" spans="1:18" x14ac:dyDescent="0.35">
      <c r="A576">
        <v>4.0763990384083604</v>
      </c>
      <c r="B576">
        <v>8.3233144488494109</v>
      </c>
      <c r="C576">
        <v>9.5537776277811002</v>
      </c>
      <c r="I576" s="1">
        <f t="shared" si="43"/>
        <v>352200.87691848236</v>
      </c>
      <c r="J576">
        <f t="shared" si="44"/>
        <v>600.00015296397032</v>
      </c>
      <c r="K576" s="1">
        <f t="shared" si="45"/>
        <v>23.471752729641295</v>
      </c>
      <c r="L576" s="1">
        <f t="shared" si="45"/>
        <v>26.941659778846365</v>
      </c>
      <c r="N576">
        <f>I576</f>
        <v>352200.87691848236</v>
      </c>
      <c r="O576" s="1">
        <f>SUM(K$2:K576)/$G$3</f>
        <v>8.0615661257876434E-2</v>
      </c>
      <c r="P576" s="1">
        <f>SUM(L$2:L576)/$G$3</f>
        <v>8.3614339471755811E-2</v>
      </c>
      <c r="Q576" s="1">
        <f t="shared" si="41"/>
        <v>80.61566125787644</v>
      </c>
      <c r="R576" s="1">
        <f t="shared" si="42"/>
        <v>83.614339471755812</v>
      </c>
    </row>
    <row r="577" spans="1:18" x14ac:dyDescent="0.35">
      <c r="A577">
        <v>4.0833434846232297</v>
      </c>
      <c r="B577">
        <v>8.2482201729025295</v>
      </c>
      <c r="C577">
        <v>9.4868668119799597</v>
      </c>
      <c r="I577" s="1">
        <f t="shared" si="43"/>
        <v>352800.87707144703</v>
      </c>
      <c r="J577">
        <f t="shared" si="44"/>
        <v>600.00015296466881</v>
      </c>
      <c r="K577" s="1">
        <f t="shared" si="45"/>
        <v>23.259986817510587</v>
      </c>
      <c r="L577" s="1">
        <f t="shared" si="45"/>
        <v>26.752971230214055</v>
      </c>
      <c r="N577">
        <f>I577</f>
        <v>352800.87707144703</v>
      </c>
      <c r="O577" s="1">
        <f>SUM(K$2:K577)/$G$3</f>
        <v>8.0856734863281529E-2</v>
      </c>
      <c r="P577" s="1">
        <f>SUM(L$2:L577)/$G$3</f>
        <v>8.3891615434135605E-2</v>
      </c>
      <c r="Q577" s="1">
        <f t="shared" si="41"/>
        <v>80.856734863281531</v>
      </c>
      <c r="R577" s="1">
        <f t="shared" si="42"/>
        <v>83.891615434135602</v>
      </c>
    </row>
    <row r="578" spans="1:18" x14ac:dyDescent="0.35">
      <c r="A578">
        <v>4.0902879308380999</v>
      </c>
      <c r="B578">
        <v>8.1691079736439995</v>
      </c>
      <c r="C578">
        <v>9.4217349688380807</v>
      </c>
      <c r="I578" s="1">
        <f t="shared" si="43"/>
        <v>353400.87722441182</v>
      </c>
      <c r="J578">
        <f t="shared" si="44"/>
        <v>600.00015296478523</v>
      </c>
      <c r="K578" s="1">
        <f t="shared" si="45"/>
        <v>23.036890358729558</v>
      </c>
      <c r="L578" s="1">
        <f t="shared" si="45"/>
        <v>26.569299385733618</v>
      </c>
      <c r="N578">
        <f>I578</f>
        <v>353400.87722441182</v>
      </c>
      <c r="O578" s="1">
        <f>SUM(K$2:K578)/$G$3</f>
        <v>8.1095496228869232E-2</v>
      </c>
      <c r="P578" s="1">
        <f>SUM(L$2:L578)/$G$3</f>
        <v>8.4166987765438225E-2</v>
      </c>
      <c r="Q578" s="1">
        <f t="shared" ref="Q578:Q641" si="46">O578*1000</f>
        <v>81.095496228869237</v>
      </c>
      <c r="R578" s="1">
        <f t="shared" ref="R578:R641" si="47">P578*1000</f>
        <v>84.166987765438222</v>
      </c>
    </row>
    <row r="579" spans="1:18" x14ac:dyDescent="0.35">
      <c r="A579">
        <v>4.0972323770529604</v>
      </c>
      <c r="B579">
        <v>8.0846375948650699</v>
      </c>
      <c r="C579">
        <v>9.3665678316774699</v>
      </c>
      <c r="I579" s="1">
        <f t="shared" ref="I579:I642" si="48">A579*86400</f>
        <v>354000.87737737579</v>
      </c>
      <c r="J579">
        <f t="shared" si="44"/>
        <v>600.00015296397032</v>
      </c>
      <c r="K579" s="1">
        <f t="shared" si="45"/>
        <v>22.798683829813342</v>
      </c>
      <c r="L579" s="1">
        <f t="shared" si="45"/>
        <v>26.413728019243262</v>
      </c>
      <c r="N579">
        <f>I579</f>
        <v>354000.87737737579</v>
      </c>
      <c r="O579" s="1">
        <f>SUM(K$2:K579)/$G$3</f>
        <v>8.133178874925906E-2</v>
      </c>
      <c r="P579" s="1">
        <f>SUM(L$2:L579)/$G$3</f>
        <v>8.444074770759756E-2</v>
      </c>
      <c r="Q579" s="1">
        <f t="shared" si="46"/>
        <v>81.331788749259061</v>
      </c>
      <c r="R579" s="1">
        <f t="shared" si="47"/>
        <v>84.440747707597566</v>
      </c>
    </row>
    <row r="580" spans="1:18" x14ac:dyDescent="0.35">
      <c r="A580">
        <v>4.10417682326782</v>
      </c>
      <c r="B580">
        <v>8.0207041435387492</v>
      </c>
      <c r="C580">
        <v>9.2983550448415198</v>
      </c>
      <c r="I580" s="1">
        <f t="shared" si="48"/>
        <v>354600.87753033964</v>
      </c>
      <c r="J580">
        <f t="shared" si="44"/>
        <v>600.00015296385391</v>
      </c>
      <c r="K580" s="1">
        <f t="shared" si="45"/>
        <v>22.618391451105012</v>
      </c>
      <c r="L580" s="1">
        <f t="shared" si="45"/>
        <v>26.221367911320534</v>
      </c>
      <c r="N580">
        <f>I580</f>
        <v>354600.87753033964</v>
      </c>
      <c r="O580" s="1">
        <f>SUM(K$2:K580)/$G$3</f>
        <v>8.156621266438685E-2</v>
      </c>
      <c r="P580" s="1">
        <f>SUM(L$2:L580)/$G$3</f>
        <v>8.47125139708646E-2</v>
      </c>
      <c r="Q580" s="1">
        <f t="shared" si="46"/>
        <v>81.566212664386853</v>
      </c>
      <c r="R580" s="1">
        <f t="shared" si="47"/>
        <v>84.712513970864606</v>
      </c>
    </row>
    <row r="581" spans="1:18" x14ac:dyDescent="0.35">
      <c r="A581">
        <v>4.1111212694826902</v>
      </c>
      <c r="B581">
        <v>7.9435704264252101</v>
      </c>
      <c r="C581">
        <v>9.2195372329710406</v>
      </c>
      <c r="I581" s="1">
        <f t="shared" si="48"/>
        <v>355200.87768330442</v>
      </c>
      <c r="J581">
        <f t="shared" si="44"/>
        <v>600.00015296478523</v>
      </c>
      <c r="K581" s="1">
        <f t="shared" si="45"/>
        <v>22.400874313425849</v>
      </c>
      <c r="L581" s="1">
        <f t="shared" si="45"/>
        <v>25.999101625221641</v>
      </c>
      <c r="N581">
        <f>I581</f>
        <v>355200.87768330442</v>
      </c>
      <c r="O581" s="1">
        <f>SUM(K$2:K581)/$G$3</f>
        <v>8.1798382165484698E-2</v>
      </c>
      <c r="P581" s="1">
        <f>SUM(L$2:L581)/$G$3</f>
        <v>8.4981976598477407E-2</v>
      </c>
      <c r="Q581" s="1">
        <f t="shared" si="46"/>
        <v>81.798382165484696</v>
      </c>
      <c r="R581" s="1">
        <f t="shared" si="47"/>
        <v>84.981976598477402</v>
      </c>
    </row>
    <row r="582" spans="1:18" x14ac:dyDescent="0.35">
      <c r="A582">
        <v>4.1180657156975498</v>
      </c>
      <c r="B582">
        <v>7.8713745823104402</v>
      </c>
      <c r="C582">
        <v>9.1362840776409708</v>
      </c>
      <c r="I582" s="1">
        <f t="shared" si="48"/>
        <v>355800.87783626828</v>
      </c>
      <c r="J582">
        <f t="shared" ref="J582:J645" si="49">I582-I581</f>
        <v>600.00015296385391</v>
      </c>
      <c r="K582" s="1">
        <f t="shared" si="45"/>
        <v>22.197281981083663</v>
      </c>
      <c r="L582" s="1">
        <f t="shared" si="45"/>
        <v>25.764327667297284</v>
      </c>
      <c r="N582">
        <f>I582</f>
        <v>355800.87783626828</v>
      </c>
      <c r="O582" s="1">
        <f>SUM(K$2:K582)/$G$3</f>
        <v>8.2028441573486807E-2</v>
      </c>
      <c r="P582" s="1">
        <f>SUM(L$2:L582)/$G$3</f>
        <v>8.5249005957106175E-2</v>
      </c>
      <c r="Q582" s="1">
        <f t="shared" si="46"/>
        <v>82.028441573486802</v>
      </c>
      <c r="R582" s="1">
        <f t="shared" si="47"/>
        <v>85.249005957106178</v>
      </c>
    </row>
    <row r="583" spans="1:18" x14ac:dyDescent="0.35">
      <c r="A583">
        <v>4.12501016191242</v>
      </c>
      <c r="B583">
        <v>7.7990581748501899</v>
      </c>
      <c r="C583">
        <v>9.0572843048799001</v>
      </c>
      <c r="I583" s="1">
        <f t="shared" si="48"/>
        <v>356400.87798923306</v>
      </c>
      <c r="J583">
        <f t="shared" si="49"/>
        <v>600.00015296478523</v>
      </c>
      <c r="K583" s="1">
        <f t="shared" si="45"/>
        <v>21.993349660089454</v>
      </c>
      <c r="L583" s="1">
        <f t="shared" si="45"/>
        <v>25.541548251355398</v>
      </c>
      <c r="N583">
        <f>I583</f>
        <v>356400.87798923306</v>
      </c>
      <c r="O583" s="1">
        <f>SUM(K$2:K583)/$G$3</f>
        <v>8.225638736464698E-2</v>
      </c>
      <c r="P583" s="1">
        <f>SUM(L$2:L583)/$G$3</f>
        <v>8.5513726361846357E-2</v>
      </c>
      <c r="Q583" s="1">
        <f t="shared" si="46"/>
        <v>82.256387364646983</v>
      </c>
      <c r="R583" s="1">
        <f t="shared" si="47"/>
        <v>85.513726361846352</v>
      </c>
    </row>
    <row r="584" spans="1:18" x14ac:dyDescent="0.35">
      <c r="A584">
        <v>4.1319546081272804</v>
      </c>
      <c r="B584">
        <v>7.7204860536230502</v>
      </c>
      <c r="C584">
        <v>8.9945577450583993</v>
      </c>
      <c r="I584" s="1">
        <f t="shared" si="48"/>
        <v>357000.87814219703</v>
      </c>
      <c r="J584">
        <f t="shared" si="49"/>
        <v>600.00015296397032</v>
      </c>
      <c r="K584" s="1">
        <f t="shared" si="45"/>
        <v>21.771776221711139</v>
      </c>
      <c r="L584" s="1">
        <f t="shared" si="45"/>
        <v>25.364659307528029</v>
      </c>
      <c r="N584">
        <f>I584</f>
        <v>357000.87814219703</v>
      </c>
      <c r="O584" s="1">
        <f>SUM(K$2:K584)/$G$3</f>
        <v>8.2482036701038236E-2</v>
      </c>
      <c r="P584" s="1">
        <f>SUM(L$2:L584)/$G$3</f>
        <v>8.5776613435562782E-2</v>
      </c>
      <c r="Q584" s="1">
        <f t="shared" si="46"/>
        <v>82.48203670103824</v>
      </c>
      <c r="R584" s="1">
        <f t="shared" si="47"/>
        <v>85.77661343556278</v>
      </c>
    </row>
    <row r="585" spans="1:18" x14ac:dyDescent="0.35">
      <c r="A585">
        <v>4.1388990543421498</v>
      </c>
      <c r="B585">
        <v>7.6432512633857597</v>
      </c>
      <c r="C585">
        <v>8.9196638619812898</v>
      </c>
      <c r="I585" s="1">
        <f t="shared" si="48"/>
        <v>357600.87829516176</v>
      </c>
      <c r="J585">
        <f t="shared" si="49"/>
        <v>600.00015296472702</v>
      </c>
      <c r="K585" s="1">
        <f t="shared" si="45"/>
        <v>21.553974057742707</v>
      </c>
      <c r="L585" s="1">
        <f t="shared" si="45"/>
        <v>25.153458503438795</v>
      </c>
      <c r="N585">
        <f>I585</f>
        <v>357600.87829516176</v>
      </c>
      <c r="O585" s="1">
        <f>SUM(K$2:K585)/$G$3</f>
        <v>8.2705428669300071E-2</v>
      </c>
      <c r="P585" s="1">
        <f>SUM(L$2:L585)/$G$3</f>
        <v>8.6037311559659158E-2</v>
      </c>
      <c r="Q585" s="1">
        <f t="shared" si="46"/>
        <v>82.705428669300076</v>
      </c>
      <c r="R585" s="1">
        <f t="shared" si="47"/>
        <v>86.037311559659159</v>
      </c>
    </row>
    <row r="586" spans="1:18" x14ac:dyDescent="0.35">
      <c r="A586">
        <v>4.14584350055702</v>
      </c>
      <c r="B586">
        <v>7.5635403887424104</v>
      </c>
      <c r="C586">
        <v>8.8426732704649798</v>
      </c>
      <c r="I586" s="1">
        <f t="shared" si="48"/>
        <v>358200.87844812655</v>
      </c>
      <c r="J586">
        <f t="shared" si="49"/>
        <v>600.00015296478523</v>
      </c>
      <c r="K586" s="1">
        <f t="shared" si="45"/>
        <v>21.329189333943656</v>
      </c>
      <c r="L586" s="1">
        <f t="shared" si="45"/>
        <v>24.936344980014049</v>
      </c>
      <c r="N586">
        <f>I586</f>
        <v>358200.87844812655</v>
      </c>
      <c r="O586" s="1">
        <f>SUM(K$2:K586)/$G$3</f>
        <v>8.2926490900050373E-2</v>
      </c>
      <c r="P586" s="1">
        <f>SUM(L$2:L586)/$G$3</f>
        <v>8.6295759452906962E-2</v>
      </c>
      <c r="Q586" s="1">
        <f t="shared" si="46"/>
        <v>82.926490900050368</v>
      </c>
      <c r="R586" s="1">
        <f t="shared" si="47"/>
        <v>86.295759452906964</v>
      </c>
    </row>
    <row r="587" spans="1:18" x14ac:dyDescent="0.35">
      <c r="A587">
        <v>4.1527879467718796</v>
      </c>
      <c r="B587">
        <v>7.4939375151137799</v>
      </c>
      <c r="C587">
        <v>8.7601567961029296</v>
      </c>
      <c r="I587" s="1">
        <f t="shared" si="48"/>
        <v>358800.8786010904</v>
      </c>
      <c r="J587">
        <f t="shared" si="49"/>
        <v>600.00015296385391</v>
      </c>
      <c r="K587" s="1">
        <f t="shared" si="45"/>
        <v>21.132909180238208</v>
      </c>
      <c r="L587" s="1">
        <f t="shared" si="45"/>
        <v>24.703648462950781</v>
      </c>
      <c r="N587">
        <f>I587</f>
        <v>358800.8786010904</v>
      </c>
      <c r="O587" s="1">
        <f>SUM(K$2:K587)/$G$3</f>
        <v>8.3145518823356981E-2</v>
      </c>
      <c r="P587" s="1">
        <f>SUM(L$2:L587)/$G$3</f>
        <v>8.6551795608402135E-2</v>
      </c>
      <c r="Q587" s="1">
        <f t="shared" si="46"/>
        <v>83.14551882335698</v>
      </c>
      <c r="R587" s="1">
        <f t="shared" si="47"/>
        <v>86.551795608402131</v>
      </c>
    </row>
    <row r="588" spans="1:18" x14ac:dyDescent="0.35">
      <c r="A588">
        <v>4.15973239298674</v>
      </c>
      <c r="B588">
        <v>7.4224324555606298</v>
      </c>
      <c r="C588">
        <v>8.6797625182461697</v>
      </c>
      <c r="I588" s="1">
        <f t="shared" si="48"/>
        <v>359400.87875405431</v>
      </c>
      <c r="J588">
        <f t="shared" si="49"/>
        <v>600.00015296391211</v>
      </c>
      <c r="K588" s="1">
        <f t="shared" si="45"/>
        <v>20.931264860893215</v>
      </c>
      <c r="L588" s="1">
        <f t="shared" si="45"/>
        <v>24.476936541599223</v>
      </c>
      <c r="N588">
        <f>I588</f>
        <v>359400.87875405431</v>
      </c>
      <c r="O588" s="1">
        <f>SUM(K$2:K588)/$G$3</f>
        <v>8.3362456843369348E-2</v>
      </c>
      <c r="P588" s="1">
        <f>SUM(L$2:L588)/$G$3</f>
        <v>8.68054820523219E-2</v>
      </c>
      <c r="Q588" s="1">
        <f t="shared" si="46"/>
        <v>83.362456843369344</v>
      </c>
      <c r="R588" s="1">
        <f t="shared" si="47"/>
        <v>86.805482052321906</v>
      </c>
    </row>
    <row r="589" spans="1:18" x14ac:dyDescent="0.35">
      <c r="A589">
        <v>4.1666768392016102</v>
      </c>
      <c r="B589">
        <v>7.3407204268678603</v>
      </c>
      <c r="C589">
        <v>8.6020885509568394</v>
      </c>
      <c r="I589" s="1">
        <f t="shared" si="48"/>
        <v>360000.8789070191</v>
      </c>
      <c r="J589">
        <f t="shared" si="49"/>
        <v>600.00015296478523</v>
      </c>
      <c r="K589" s="1">
        <f t="shared" si="45"/>
        <v>20.700836881264465</v>
      </c>
      <c r="L589" s="1">
        <f t="shared" si="45"/>
        <v>24.257895898036438</v>
      </c>
      <c r="N589">
        <f>I589</f>
        <v>360000.8789070191</v>
      </c>
      <c r="O589" s="1">
        <f>SUM(K$2:K589)/$G$3</f>
        <v>8.3577006637443718E-2</v>
      </c>
      <c r="P589" s="1">
        <f>SUM(L$2:L589)/$G$3</f>
        <v>8.7056898292131576E-2</v>
      </c>
      <c r="Q589" s="1">
        <f t="shared" si="46"/>
        <v>83.577006637443716</v>
      </c>
      <c r="R589" s="1">
        <f t="shared" si="47"/>
        <v>87.056898292131578</v>
      </c>
    </row>
    <row r="590" spans="1:18" x14ac:dyDescent="0.35">
      <c r="A590">
        <v>4.1736212854164796</v>
      </c>
      <c r="B590">
        <v>7.26415660997991</v>
      </c>
      <c r="C590">
        <v>8.5268905825659704</v>
      </c>
      <c r="I590" s="1">
        <f t="shared" si="48"/>
        <v>360600.87905998382</v>
      </c>
      <c r="J590">
        <f t="shared" si="49"/>
        <v>600.00015296472702</v>
      </c>
      <c r="K590" s="1">
        <f t="shared" si="45"/>
        <v>20.48492686259409</v>
      </c>
      <c r="L590" s="1">
        <f t="shared" si="45"/>
        <v>24.045837573109441</v>
      </c>
      <c r="N590">
        <f>I590</f>
        <v>360600.87905998382</v>
      </c>
      <c r="O590" s="1">
        <f>SUM(K$2:K590)/$G$3</f>
        <v>8.3789318674160243E-2</v>
      </c>
      <c r="P590" s="1">
        <f>SUM(L$2:L590)/$G$3</f>
        <v>8.7306116694713415E-2</v>
      </c>
      <c r="Q590" s="1">
        <f t="shared" si="46"/>
        <v>83.789318674160242</v>
      </c>
      <c r="R590" s="1">
        <f t="shared" si="47"/>
        <v>87.30611669471341</v>
      </c>
    </row>
    <row r="591" spans="1:18" x14ac:dyDescent="0.35">
      <c r="A591">
        <v>4.18056573163134</v>
      </c>
      <c r="B591">
        <v>7.18419536262929</v>
      </c>
      <c r="C591">
        <v>8.4405207662828392</v>
      </c>
      <c r="I591" s="1">
        <f t="shared" si="48"/>
        <v>361200.8792129478</v>
      </c>
      <c r="J591">
        <f t="shared" si="49"/>
        <v>600.00015296397032</v>
      </c>
      <c r="K591" s="1">
        <f t="shared" si="45"/>
        <v>20.259436087552917</v>
      </c>
      <c r="L591" s="1">
        <f t="shared" si="45"/>
        <v>23.802274629066776</v>
      </c>
      <c r="N591">
        <f>I591</f>
        <v>361200.8792129478</v>
      </c>
      <c r="O591" s="1">
        <f>SUM(K$2:K591)/$G$3</f>
        <v>8.3999293655634591E-2</v>
      </c>
      <c r="P591" s="1">
        <f>SUM(L$2:L591)/$G$3</f>
        <v>8.7552810736575531E-2</v>
      </c>
      <c r="Q591" s="1">
        <f t="shared" si="46"/>
        <v>83.999293655634588</v>
      </c>
      <c r="R591" s="1">
        <f t="shared" si="47"/>
        <v>87.552810736575537</v>
      </c>
    </row>
    <row r="592" spans="1:18" x14ac:dyDescent="0.35">
      <c r="A592">
        <v>4.1875101778462103</v>
      </c>
      <c r="B592">
        <v>7.1071271954022901</v>
      </c>
      <c r="C592">
        <v>8.3411447134044501</v>
      </c>
      <c r="I592" s="1">
        <f t="shared" si="48"/>
        <v>361800.87936591258</v>
      </c>
      <c r="J592">
        <f t="shared" si="49"/>
        <v>600.00015296478523</v>
      </c>
      <c r="K592" s="1">
        <f t="shared" si="45"/>
        <v>20.042103800593328</v>
      </c>
      <c r="L592" s="1">
        <f t="shared" si="45"/>
        <v>23.522034088537175</v>
      </c>
      <c r="N592">
        <f>I592</f>
        <v>361800.87936591258</v>
      </c>
      <c r="O592" s="1">
        <f>SUM(K$2:K592)/$G$3</f>
        <v>8.4207016138928295E-2</v>
      </c>
      <c r="P592" s="1">
        <f>SUM(L$2:L592)/$G$3</f>
        <v>8.7796600279909071E-2</v>
      </c>
      <c r="Q592" s="1">
        <f t="shared" si="46"/>
        <v>84.207016138928296</v>
      </c>
      <c r="R592" s="1">
        <f t="shared" si="47"/>
        <v>87.796600279909072</v>
      </c>
    </row>
    <row r="593" spans="1:18" x14ac:dyDescent="0.35">
      <c r="A593">
        <v>4.1944546240610698</v>
      </c>
      <c r="B593">
        <v>7.0330263063033698</v>
      </c>
      <c r="C593">
        <v>8.2415593367922</v>
      </c>
      <c r="I593" s="1">
        <f t="shared" si="48"/>
        <v>362400.87951887643</v>
      </c>
      <c r="J593">
        <f t="shared" si="49"/>
        <v>600.00015296385391</v>
      </c>
      <c r="K593" s="1">
        <f t="shared" si="45"/>
        <v>19.833139240029901</v>
      </c>
      <c r="L593" s="1">
        <f t="shared" si="45"/>
        <v>23.241203254859194</v>
      </c>
      <c r="N593">
        <f>I593</f>
        <v>362400.87951887643</v>
      </c>
      <c r="O593" s="1">
        <f>SUM(K$2:K593)/$G$3</f>
        <v>8.4412572849712667E-2</v>
      </c>
      <c r="P593" s="1">
        <f>SUM(L$2:L593)/$G$3</f>
        <v>8.803747920673563E-2</v>
      </c>
      <c r="Q593" s="1">
        <f t="shared" si="46"/>
        <v>84.41257284971266</v>
      </c>
      <c r="R593" s="1">
        <f t="shared" si="47"/>
        <v>88.037479206735625</v>
      </c>
    </row>
    <row r="594" spans="1:18" x14ac:dyDescent="0.35">
      <c r="A594">
        <v>4.2013990702759401</v>
      </c>
      <c r="B594">
        <v>6.9586403862355599</v>
      </c>
      <c r="C594">
        <v>8.1628904053004305</v>
      </c>
      <c r="I594" s="1">
        <f t="shared" si="48"/>
        <v>363000.87967184122</v>
      </c>
      <c r="J594">
        <f t="shared" si="49"/>
        <v>600.00015296478523</v>
      </c>
      <c r="K594" s="1">
        <f t="shared" si="45"/>
        <v>19.623370891990859</v>
      </c>
      <c r="L594" s="1">
        <f t="shared" si="45"/>
        <v>23.01935681153067</v>
      </c>
      <c r="N594">
        <f>I594</f>
        <v>363000.87967184122</v>
      </c>
      <c r="O594" s="1">
        <f>SUM(K$2:K594)/$G$3</f>
        <v>8.461595545728888E-2</v>
      </c>
      <c r="P594" s="1">
        <f>SUM(L$2:L594)/$G$3</f>
        <v>8.827605884928659E-2</v>
      </c>
      <c r="Q594" s="1">
        <f t="shared" si="46"/>
        <v>84.615955457288877</v>
      </c>
      <c r="R594" s="1">
        <f t="shared" si="47"/>
        <v>88.276058849286585</v>
      </c>
    </row>
    <row r="595" spans="1:18" x14ac:dyDescent="0.35">
      <c r="A595">
        <v>4.2083435164908103</v>
      </c>
      <c r="B595">
        <v>6.8871222636993297</v>
      </c>
      <c r="C595">
        <v>8.0711750656079797</v>
      </c>
      <c r="I595" s="1">
        <f t="shared" si="48"/>
        <v>363600.879824806</v>
      </c>
      <c r="J595">
        <f t="shared" si="49"/>
        <v>600.00015296478523</v>
      </c>
      <c r="K595" s="1">
        <f t="shared" ref="K595:L658" si="50">B595*$J595*$G$2</f>
        <v>19.421689735021847</v>
      </c>
      <c r="L595" s="1">
        <f t="shared" si="50"/>
        <v>22.760719487660637</v>
      </c>
      <c r="N595">
        <f>I595</f>
        <v>363600.879824806</v>
      </c>
      <c r="O595" s="1">
        <f>SUM(K$2:K595)/$G$3</f>
        <v>8.4817247779774466E-2</v>
      </c>
      <c r="P595" s="1">
        <f>SUM(L$2:L595)/$G$3</f>
        <v>8.8511957895642604E-2</v>
      </c>
      <c r="Q595" s="1">
        <f t="shared" si="46"/>
        <v>84.817247779774462</v>
      </c>
      <c r="R595" s="1">
        <f t="shared" si="47"/>
        <v>88.51195789564261</v>
      </c>
    </row>
    <row r="596" spans="1:18" x14ac:dyDescent="0.35">
      <c r="A596">
        <v>4.2152879627056699</v>
      </c>
      <c r="B596">
        <v>6.8137145136736299</v>
      </c>
      <c r="C596">
        <v>7.9595394312711996</v>
      </c>
      <c r="I596" s="1">
        <f t="shared" si="48"/>
        <v>364200.87997776986</v>
      </c>
      <c r="J596">
        <f t="shared" si="49"/>
        <v>600.00015296385391</v>
      </c>
      <c r="K596" s="1">
        <f t="shared" si="50"/>
        <v>19.214679827144185</v>
      </c>
      <c r="L596" s="1">
        <f t="shared" si="50"/>
        <v>22.445906918537371</v>
      </c>
      <c r="N596">
        <f>I596</f>
        <v>364200.87997776986</v>
      </c>
      <c r="O596" s="1">
        <f>SUM(K$2:K596)/$G$3</f>
        <v>8.5016394588367961E-2</v>
      </c>
      <c r="P596" s="1">
        <f>SUM(L$2:L596)/$G$3</f>
        <v>8.8744594128409751E-2</v>
      </c>
      <c r="Q596" s="1">
        <f t="shared" si="46"/>
        <v>85.016394588367959</v>
      </c>
      <c r="R596" s="1">
        <f t="shared" si="47"/>
        <v>88.744594128409744</v>
      </c>
    </row>
    <row r="597" spans="1:18" x14ac:dyDescent="0.35">
      <c r="A597">
        <v>4.2222324089205401</v>
      </c>
      <c r="B597">
        <v>6.7397615963421904</v>
      </c>
      <c r="C597">
        <v>7.8707714965014297</v>
      </c>
      <c r="I597" s="1">
        <f t="shared" si="48"/>
        <v>364800.88013073464</v>
      </c>
      <c r="J597">
        <f t="shared" si="49"/>
        <v>600.00015296478523</v>
      </c>
      <c r="K597" s="1">
        <f t="shared" si="50"/>
        <v>19.006132547132047</v>
      </c>
      <c r="L597" s="1">
        <f t="shared" si="50"/>
        <v>22.195581278703131</v>
      </c>
      <c r="N597">
        <f>I597</f>
        <v>364800.88013073464</v>
      </c>
      <c r="O597" s="1">
        <f>SUM(K$2:K597)/$G$3</f>
        <v>8.5213379949275178E-2</v>
      </c>
      <c r="P597" s="1">
        <f>SUM(L$2:L597)/$G$3</f>
        <v>8.897463590981311E-2</v>
      </c>
      <c r="Q597" s="1">
        <f t="shared" si="46"/>
        <v>85.213379949275179</v>
      </c>
      <c r="R597" s="1">
        <f t="shared" si="47"/>
        <v>88.974635909813117</v>
      </c>
    </row>
    <row r="598" spans="1:18" x14ac:dyDescent="0.35">
      <c r="A598">
        <v>4.2291768551354103</v>
      </c>
      <c r="B598">
        <v>6.6768200244510902</v>
      </c>
      <c r="C598">
        <v>7.7610087418723603</v>
      </c>
      <c r="I598" s="1">
        <f t="shared" si="48"/>
        <v>365400.88028369943</v>
      </c>
      <c r="J598">
        <f t="shared" si="49"/>
        <v>600.00015296478523</v>
      </c>
      <c r="K598" s="1">
        <f t="shared" si="50"/>
        <v>18.828637269148278</v>
      </c>
      <c r="L598" s="1">
        <f t="shared" si="50"/>
        <v>21.886050231736924</v>
      </c>
      <c r="N598">
        <f>I598</f>
        <v>365400.88028369943</v>
      </c>
      <c r="O598" s="1">
        <f>SUM(K$2:K598)/$G$3</f>
        <v>8.540852569492631E-2</v>
      </c>
      <c r="P598" s="1">
        <f>SUM(L$2:L598)/$G$3</f>
        <v>8.9201469616935841E-2</v>
      </c>
      <c r="Q598" s="1">
        <f t="shared" si="46"/>
        <v>85.408525694926311</v>
      </c>
      <c r="R598" s="1">
        <f t="shared" si="47"/>
        <v>89.201469616935839</v>
      </c>
    </row>
    <row r="599" spans="1:18" x14ac:dyDescent="0.35">
      <c r="A599">
        <v>4.2361213013502796</v>
      </c>
      <c r="B599">
        <v>6.6158167104034202</v>
      </c>
      <c r="C599">
        <v>7.67649371635361</v>
      </c>
      <c r="I599" s="1">
        <f t="shared" si="48"/>
        <v>366000.88043666416</v>
      </c>
      <c r="J599">
        <f t="shared" si="49"/>
        <v>600.00015296472702</v>
      </c>
      <c r="K599" s="1">
        <f t="shared" si="50"/>
        <v>18.656607879674652</v>
      </c>
      <c r="L599" s="1">
        <f t="shared" si="50"/>
        <v>21.647717799011183</v>
      </c>
      <c r="N599">
        <f>I599</f>
        <v>366000.88043666416</v>
      </c>
      <c r="O599" s="1">
        <f>SUM(K$2:K599)/$G$3</f>
        <v>8.5601888475458771E-2</v>
      </c>
      <c r="P599" s="1">
        <f>SUM(L$2:L599)/$G$3</f>
        <v>8.942583317395518E-2</v>
      </c>
      <c r="Q599" s="1">
        <f t="shared" si="46"/>
        <v>85.601888475458765</v>
      </c>
      <c r="R599" s="1">
        <f t="shared" si="47"/>
        <v>89.425833173955183</v>
      </c>
    </row>
    <row r="600" spans="1:18" x14ac:dyDescent="0.35">
      <c r="A600">
        <v>4.2430657475651499</v>
      </c>
      <c r="B600">
        <v>6.5425413286801204</v>
      </c>
      <c r="C600">
        <v>7.6078442777893498</v>
      </c>
      <c r="I600" s="1">
        <f t="shared" si="48"/>
        <v>366600.88058962894</v>
      </c>
      <c r="J600">
        <f t="shared" si="49"/>
        <v>600.00015296478523</v>
      </c>
      <c r="K600" s="1">
        <f t="shared" si="50"/>
        <v>18.449971250536557</v>
      </c>
      <c r="L600" s="1">
        <f t="shared" si="50"/>
        <v>21.454126332907617</v>
      </c>
      <c r="N600">
        <f>I600</f>
        <v>366600.88058962894</v>
      </c>
      <c r="O600" s="1">
        <f>SUM(K$2:K600)/$G$3</f>
        <v>8.5793109610873983E-2</v>
      </c>
      <c r="P600" s="1">
        <f>SUM(L$2:L600)/$G$3</f>
        <v>8.9648190289910085E-2</v>
      </c>
      <c r="Q600" s="1">
        <f t="shared" si="46"/>
        <v>85.793109610873984</v>
      </c>
      <c r="R600" s="1">
        <f t="shared" si="47"/>
        <v>89.64819028991009</v>
      </c>
    </row>
    <row r="601" spans="1:18" x14ac:dyDescent="0.35">
      <c r="A601">
        <v>4.2500101937800103</v>
      </c>
      <c r="B601">
        <v>6.4727832867939599</v>
      </c>
      <c r="C601">
        <v>7.5277333776245801</v>
      </c>
      <c r="I601" s="1">
        <f t="shared" si="48"/>
        <v>367200.88074259291</v>
      </c>
      <c r="J601">
        <f t="shared" si="49"/>
        <v>600.00015296397032</v>
      </c>
      <c r="K601" s="1">
        <f t="shared" si="50"/>
        <v>18.25325352224133</v>
      </c>
      <c r="L601" s="1">
        <f t="shared" si="50"/>
        <v>21.228213536819649</v>
      </c>
      <c r="N601">
        <f>I601</f>
        <v>367200.88074259291</v>
      </c>
      <c r="O601" s="1">
        <f>SUM(K$2:K601)/$G$3</f>
        <v>8.5982291903688848E-2</v>
      </c>
      <c r="P601" s="1">
        <f>SUM(L$2:L601)/$G$3</f>
        <v>8.9868205976667823E-2</v>
      </c>
      <c r="Q601" s="1">
        <f t="shared" si="46"/>
        <v>85.982291903688846</v>
      </c>
      <c r="R601" s="1">
        <f t="shared" si="47"/>
        <v>89.868205976667824</v>
      </c>
    </row>
    <row r="602" spans="1:18" x14ac:dyDescent="0.35">
      <c r="A602">
        <v>4.2569546399948797</v>
      </c>
      <c r="B602">
        <v>6.4052505666621098</v>
      </c>
      <c r="C602">
        <v>7.4508493177310902</v>
      </c>
      <c r="I602" s="1">
        <f t="shared" si="48"/>
        <v>367800.88089555758</v>
      </c>
      <c r="J602">
        <f t="shared" si="49"/>
        <v>600.00015296466881</v>
      </c>
      <c r="K602" s="1">
        <f t="shared" si="50"/>
        <v>18.062811202939198</v>
      </c>
      <c r="L602" s="1">
        <f t="shared" si="50"/>
        <v>21.011400432670158</v>
      </c>
      <c r="N602">
        <f>I602</f>
        <v>367800.88089555758</v>
      </c>
      <c r="O602" s="1">
        <f>SUM(K$2:K602)/$G$3</f>
        <v>8.616950039415823E-2</v>
      </c>
      <c r="P602" s="1">
        <f>SUM(L$2:L602)/$G$3</f>
        <v>9.0085974546214073E-2</v>
      </c>
      <c r="Q602" s="1">
        <f t="shared" si="46"/>
        <v>86.169500394158234</v>
      </c>
      <c r="R602" s="1">
        <f t="shared" si="47"/>
        <v>90.085974546214075</v>
      </c>
    </row>
    <row r="603" spans="1:18" x14ac:dyDescent="0.35">
      <c r="A603">
        <v>4.2638990862097499</v>
      </c>
      <c r="B603">
        <v>6.3353176142904903</v>
      </c>
      <c r="C603">
        <v>7.3808101779306297</v>
      </c>
      <c r="I603" s="1">
        <f t="shared" si="48"/>
        <v>368400.88104852237</v>
      </c>
      <c r="J603">
        <f t="shared" si="49"/>
        <v>600.00015296478523</v>
      </c>
      <c r="K603" s="1">
        <f t="shared" si="50"/>
        <v>17.865600226977524</v>
      </c>
      <c r="L603" s="1">
        <f t="shared" si="50"/>
        <v>20.813890008083384</v>
      </c>
      <c r="N603">
        <f>I603</f>
        <v>368400.88104852237</v>
      </c>
      <c r="O603" s="1">
        <f>SUM(K$2:K603)/$G$3</f>
        <v>8.6354664929857855E-2</v>
      </c>
      <c r="P603" s="1">
        <f>SUM(L$2:L603)/$G$3</f>
        <v>9.0301696057413561E-2</v>
      </c>
      <c r="Q603" s="1">
        <f t="shared" si="46"/>
        <v>86.354664929857861</v>
      </c>
      <c r="R603" s="1">
        <f t="shared" si="47"/>
        <v>90.301696057413565</v>
      </c>
    </row>
    <row r="604" spans="1:18" x14ac:dyDescent="0.35">
      <c r="A604">
        <v>4.2708435324246103</v>
      </c>
      <c r="B604">
        <v>6.2656474370338699</v>
      </c>
      <c r="C604">
        <v>7.3096526952614296</v>
      </c>
      <c r="I604" s="1">
        <f t="shared" si="48"/>
        <v>369000.88120148634</v>
      </c>
      <c r="J604">
        <f t="shared" si="49"/>
        <v>600.00015296397032</v>
      </c>
      <c r="K604" s="1">
        <f t="shared" si="50"/>
        <v>17.669130277001564</v>
      </c>
      <c r="L604" s="1">
        <f t="shared" si="50"/>
        <v>20.613225855770672</v>
      </c>
      <c r="N604">
        <f>I604</f>
        <v>369000.88120148634</v>
      </c>
      <c r="O604" s="1">
        <f>SUM(K$2:K604)/$G$3</f>
        <v>8.6537793191007267E-2</v>
      </c>
      <c r="P604" s="1">
        <f>SUM(L$2:L604)/$G$3</f>
        <v>9.0515337824069203E-2</v>
      </c>
      <c r="Q604" s="1">
        <f t="shared" si="46"/>
        <v>86.537793191007268</v>
      </c>
      <c r="R604" s="1">
        <f t="shared" si="47"/>
        <v>90.515337824069206</v>
      </c>
    </row>
    <row r="605" spans="1:18" x14ac:dyDescent="0.35">
      <c r="A605">
        <v>4.2777879786394797</v>
      </c>
      <c r="B605">
        <v>6.2036803793633899</v>
      </c>
      <c r="C605">
        <v>7.2321419881369504</v>
      </c>
      <c r="I605" s="1">
        <f t="shared" si="48"/>
        <v>369600.88135445106</v>
      </c>
      <c r="J605">
        <f t="shared" si="49"/>
        <v>600.00015296472702</v>
      </c>
      <c r="K605" s="1">
        <f t="shared" si="50"/>
        <v>17.494383129842856</v>
      </c>
      <c r="L605" s="1">
        <f t="shared" si="50"/>
        <v>20.394645605980539</v>
      </c>
      <c r="N605">
        <f>I605</f>
        <v>369600.88135445106</v>
      </c>
      <c r="O605" s="1">
        <f>SUM(K$2:K605)/$G$3</f>
        <v>8.6719110319367562E-2</v>
      </c>
      <c r="P605" s="1">
        <f>SUM(L$2:L605)/$G$3</f>
        <v>9.0726714158276392E-2</v>
      </c>
      <c r="Q605" s="1">
        <f t="shared" si="46"/>
        <v>86.719110319367559</v>
      </c>
      <c r="R605" s="1">
        <f t="shared" si="47"/>
        <v>90.726714158276394</v>
      </c>
    </row>
    <row r="606" spans="1:18" x14ac:dyDescent="0.35">
      <c r="A606">
        <v>4.2847324248543401</v>
      </c>
      <c r="B606">
        <v>6.1346778791574597</v>
      </c>
      <c r="C606">
        <v>7.1639354275104603</v>
      </c>
      <c r="I606" s="1">
        <f t="shared" si="48"/>
        <v>370200.88150741498</v>
      </c>
      <c r="J606">
        <f t="shared" si="49"/>
        <v>600.00015296391211</v>
      </c>
      <c r="K606" s="1">
        <f t="shared" si="50"/>
        <v>17.299796029630379</v>
      </c>
      <c r="L606" s="1">
        <f t="shared" si="50"/>
        <v>20.20230305595037</v>
      </c>
      <c r="N606">
        <f>I606</f>
        <v>370200.88150741498</v>
      </c>
      <c r="O606" s="1">
        <f>SUM(K$2:K606)/$G$3</f>
        <v>8.6898410687607494E-2</v>
      </c>
      <c r="P606" s="1">
        <f>SUM(L$2:L606)/$G$3</f>
        <v>9.0936096995566651E-2</v>
      </c>
      <c r="Q606" s="1">
        <f t="shared" si="46"/>
        <v>86.898410687607495</v>
      </c>
      <c r="R606" s="1">
        <f t="shared" si="47"/>
        <v>90.936096995566658</v>
      </c>
    </row>
    <row r="607" spans="1:18" x14ac:dyDescent="0.35">
      <c r="A607">
        <v>4.2916768710692104</v>
      </c>
      <c r="B607">
        <v>6.0690269306274596</v>
      </c>
      <c r="C607">
        <v>7.0826643628186696</v>
      </c>
      <c r="I607" s="1">
        <f t="shared" si="48"/>
        <v>370800.88166037976</v>
      </c>
      <c r="J607">
        <f t="shared" si="49"/>
        <v>600.00015296478523</v>
      </c>
      <c r="K607" s="1">
        <f t="shared" si="50"/>
        <v>17.114660307602222</v>
      </c>
      <c r="L607" s="1">
        <f t="shared" si="50"/>
        <v>19.973118595120347</v>
      </c>
      <c r="N607">
        <f>I607</f>
        <v>370800.88166037976</v>
      </c>
      <c r="O607" s="1">
        <f>SUM(K$2:K607)/$G$3</f>
        <v>8.7075792252696405E-2</v>
      </c>
      <c r="P607" s="1">
        <f>SUM(L$2:L607)/$G$3</f>
        <v>9.1143104495127414E-2</v>
      </c>
      <c r="Q607" s="1">
        <f t="shared" si="46"/>
        <v>87.075792252696402</v>
      </c>
      <c r="R607" s="1">
        <f t="shared" si="47"/>
        <v>91.143104495127417</v>
      </c>
    </row>
    <row r="608" spans="1:18" x14ac:dyDescent="0.35">
      <c r="A608">
        <v>4.2986213172840797</v>
      </c>
      <c r="B608">
        <v>6.0107870431356698</v>
      </c>
      <c r="C608">
        <v>7.0107768257041601</v>
      </c>
      <c r="I608" s="1">
        <f t="shared" si="48"/>
        <v>371400.88181334449</v>
      </c>
      <c r="J608">
        <f t="shared" si="49"/>
        <v>600.00015296472702</v>
      </c>
      <c r="K608" s="1">
        <f t="shared" si="50"/>
        <v>16.950423783003064</v>
      </c>
      <c r="L608" s="1">
        <f t="shared" si="50"/>
        <v>19.770395688773078</v>
      </c>
      <c r="N608">
        <f>I608</f>
        <v>371400.88181334449</v>
      </c>
      <c r="O608" s="1">
        <f>SUM(K$2:K608)/$G$3</f>
        <v>8.7251471620297616E-2</v>
      </c>
      <c r="P608" s="1">
        <f>SUM(L$2:L608)/$G$3</f>
        <v>9.1348010912588914E-2</v>
      </c>
      <c r="Q608" s="1">
        <f t="shared" si="46"/>
        <v>87.251471620297622</v>
      </c>
      <c r="R608" s="1">
        <f t="shared" si="47"/>
        <v>91.348010912588919</v>
      </c>
    </row>
    <row r="609" spans="1:18" x14ac:dyDescent="0.35">
      <c r="A609">
        <v>4.3055657634989402</v>
      </c>
      <c r="B609">
        <v>5.9469480593603201</v>
      </c>
      <c r="C609">
        <v>6.9375980318672701</v>
      </c>
      <c r="I609" s="1">
        <f t="shared" si="48"/>
        <v>372000.88196630846</v>
      </c>
      <c r="J609">
        <f t="shared" si="49"/>
        <v>600.00015296397032</v>
      </c>
      <c r="K609" s="1">
        <f t="shared" si="50"/>
        <v>16.770397802839401</v>
      </c>
      <c r="L609" s="1">
        <f t="shared" si="50"/>
        <v>19.564031437517638</v>
      </c>
      <c r="N609">
        <f>I609</f>
        <v>372000.88196630846</v>
      </c>
      <c r="O609" s="1">
        <f>SUM(K$2:K609)/$G$3</f>
        <v>8.7425285143672649E-2</v>
      </c>
      <c r="P609" s="1">
        <f>SUM(L$2:L609)/$G$3</f>
        <v>9.1550778507940703E-2</v>
      </c>
      <c r="Q609" s="1">
        <f t="shared" si="46"/>
        <v>87.425285143672653</v>
      </c>
      <c r="R609" s="1">
        <f t="shared" si="47"/>
        <v>91.550778507940706</v>
      </c>
    </row>
    <row r="610" spans="1:18" x14ac:dyDescent="0.35">
      <c r="A610">
        <v>4.3125102097138104</v>
      </c>
      <c r="B610">
        <v>5.8823817666791802</v>
      </c>
      <c r="C610">
        <v>6.8724983878525396</v>
      </c>
      <c r="I610" s="1">
        <f t="shared" si="48"/>
        <v>372600.88211927324</v>
      </c>
      <c r="J610">
        <f t="shared" si="49"/>
        <v>600.00015296478523</v>
      </c>
      <c r="K610" s="1">
        <f t="shared" si="50"/>
        <v>16.588320811082429</v>
      </c>
      <c r="L610" s="1">
        <f t="shared" si="50"/>
        <v>19.380450394620286</v>
      </c>
      <c r="N610">
        <f>I610</f>
        <v>372600.88211927324</v>
      </c>
      <c r="O610" s="1">
        <f>SUM(K$2:K610)/$G$3</f>
        <v>8.7597211565511091E-2</v>
      </c>
      <c r="P610" s="1">
        <f>SUM(L$2:L610)/$G$3</f>
        <v>9.1751643413310657E-2</v>
      </c>
      <c r="Q610" s="1">
        <f t="shared" si="46"/>
        <v>87.597211565511088</v>
      </c>
      <c r="R610" s="1">
        <f t="shared" si="47"/>
        <v>91.75164341331066</v>
      </c>
    </row>
    <row r="611" spans="1:18" x14ac:dyDescent="0.35">
      <c r="A611">
        <v>4.3194546559286797</v>
      </c>
      <c r="B611">
        <v>5.8197680578508804</v>
      </c>
      <c r="C611">
        <v>6.7963765891143701</v>
      </c>
      <c r="I611" s="1">
        <f t="shared" si="48"/>
        <v>373200.88227223791</v>
      </c>
      <c r="J611">
        <f t="shared" si="49"/>
        <v>600.00015296466881</v>
      </c>
      <c r="K611" s="1">
        <f t="shared" si="50"/>
        <v>16.411750107168281</v>
      </c>
      <c r="L611" s="1">
        <f t="shared" si="50"/>
        <v>19.165786867448347</v>
      </c>
      <c r="N611">
        <f>I611</f>
        <v>373200.88227223791</v>
      </c>
      <c r="O611" s="1">
        <f>SUM(K$2:K611)/$G$3</f>
        <v>8.7767307954661408E-2</v>
      </c>
      <c r="P611" s="1">
        <f>SUM(L$2:L611)/$G$3</f>
        <v>9.1950283480341261E-2</v>
      </c>
      <c r="Q611" s="1">
        <f t="shared" si="46"/>
        <v>87.767307954661405</v>
      </c>
      <c r="R611" s="1">
        <f t="shared" si="47"/>
        <v>91.950283480341255</v>
      </c>
    </row>
    <row r="612" spans="1:18" x14ac:dyDescent="0.35">
      <c r="A612">
        <v>4.3263991021435499</v>
      </c>
      <c r="B612">
        <v>5.7533137259059703</v>
      </c>
      <c r="C612">
        <v>6.7258792956714304</v>
      </c>
      <c r="I612" s="1">
        <f t="shared" si="48"/>
        <v>373800.8824252027</v>
      </c>
      <c r="J612">
        <f t="shared" si="49"/>
        <v>600.00015296478523</v>
      </c>
      <c r="K612" s="1">
        <f t="shared" si="50"/>
        <v>16.224348843310512</v>
      </c>
      <c r="L612" s="1">
        <f t="shared" si="50"/>
        <v>18.966984449260039</v>
      </c>
      <c r="N612">
        <f>I612</f>
        <v>373800.8824252027</v>
      </c>
      <c r="O612" s="1">
        <f>SUM(K$2:K612)/$G$3</f>
        <v>8.7935462059893429E-2</v>
      </c>
      <c r="P612" s="1">
        <f>SUM(L$2:L612)/$G$3</f>
        <v>9.2146863098408943E-2</v>
      </c>
      <c r="Q612" s="1">
        <f t="shared" si="46"/>
        <v>87.935462059893425</v>
      </c>
      <c r="R612" s="1">
        <f t="shared" si="47"/>
        <v>92.146863098408943</v>
      </c>
    </row>
    <row r="613" spans="1:18" x14ac:dyDescent="0.35">
      <c r="A613">
        <v>4.3333435483584104</v>
      </c>
      <c r="B613">
        <v>5.6946214647743796</v>
      </c>
      <c r="C613">
        <v>6.6616296834832402</v>
      </c>
      <c r="I613" s="1">
        <f t="shared" si="48"/>
        <v>374400.88257816667</v>
      </c>
      <c r="J613">
        <f t="shared" si="49"/>
        <v>600.00015296397032</v>
      </c>
      <c r="K613" s="1">
        <f t="shared" si="50"/>
        <v>16.058836624701723</v>
      </c>
      <c r="L613" s="1">
        <f t="shared" si="50"/>
        <v>18.785800496672568</v>
      </c>
      <c r="N613">
        <f>I613</f>
        <v>374400.88257816667</v>
      </c>
      <c r="O613" s="1">
        <f>SUM(K$2:K613)/$G$3</f>
        <v>8.8101900745955516E-2</v>
      </c>
      <c r="P613" s="1">
        <f>SUM(L$2:L613)/$G$3</f>
        <v>9.2341564870670675E-2</v>
      </c>
      <c r="Q613" s="1">
        <f t="shared" si="46"/>
        <v>88.101900745955518</v>
      </c>
      <c r="R613" s="1">
        <f t="shared" si="47"/>
        <v>92.34156487067068</v>
      </c>
    </row>
    <row r="614" spans="1:18" x14ac:dyDescent="0.35">
      <c r="A614">
        <v>4.3402879945732797</v>
      </c>
      <c r="B614">
        <v>5.63318386488874</v>
      </c>
      <c r="C614">
        <v>6.5951853729553296</v>
      </c>
      <c r="I614" s="1">
        <f t="shared" si="48"/>
        <v>375000.88273113139</v>
      </c>
      <c r="J614">
        <f t="shared" si="49"/>
        <v>600.00015296472702</v>
      </c>
      <c r="K614" s="1">
        <f t="shared" si="50"/>
        <v>15.885582548874879</v>
      </c>
      <c r="L614" s="1">
        <f t="shared" si="50"/>
        <v>18.598427493238464</v>
      </c>
      <c r="N614">
        <f>I614</f>
        <v>375000.88273113139</v>
      </c>
      <c r="O614" s="1">
        <f>SUM(K$2:K614)/$G$3</f>
        <v>8.8266543773875661E-2</v>
      </c>
      <c r="P614" s="1">
        <f>SUM(L$2:L614)/$G$3</f>
        <v>9.2534324651913746E-2</v>
      </c>
      <c r="Q614" s="1">
        <f t="shared" si="46"/>
        <v>88.266543773875668</v>
      </c>
      <c r="R614" s="1">
        <f t="shared" si="47"/>
        <v>92.534324651913749</v>
      </c>
    </row>
    <row r="615" spans="1:18" x14ac:dyDescent="0.35">
      <c r="A615">
        <v>4.34723244078815</v>
      </c>
      <c r="B615">
        <v>5.5718673028398502</v>
      </c>
      <c r="C615">
        <v>6.5290673468559204</v>
      </c>
      <c r="I615" s="1">
        <f t="shared" si="48"/>
        <v>375600.88288409618</v>
      </c>
      <c r="J615">
        <f t="shared" si="49"/>
        <v>600.00015296478523</v>
      </c>
      <c r="K615" s="1">
        <f t="shared" si="50"/>
        <v>15.712669799815959</v>
      </c>
      <c r="L615" s="1">
        <f t="shared" si="50"/>
        <v>18.411974612105404</v>
      </c>
      <c r="N615">
        <f>I615</f>
        <v>375600.88288409618</v>
      </c>
      <c r="O615" s="1">
        <f>SUM(K$2:K615)/$G$3</f>
        <v>8.8429394681268689E-2</v>
      </c>
      <c r="P615" s="1">
        <f>SUM(L$2:L615)/$G$3</f>
        <v>9.272515197856665E-2</v>
      </c>
      <c r="Q615" s="1">
        <f t="shared" si="46"/>
        <v>88.42939468126869</v>
      </c>
      <c r="R615" s="1">
        <f t="shared" si="47"/>
        <v>92.725151978566643</v>
      </c>
    </row>
    <row r="616" spans="1:18" x14ac:dyDescent="0.35">
      <c r="A616">
        <v>4.3541768870030104</v>
      </c>
      <c r="B616">
        <v>5.5216903905161496</v>
      </c>
      <c r="C616">
        <v>6.4561805494799902</v>
      </c>
      <c r="I616" s="1">
        <f t="shared" si="48"/>
        <v>376200.88303706009</v>
      </c>
      <c r="J616">
        <f t="shared" si="49"/>
        <v>600.00015296391211</v>
      </c>
      <c r="K616" s="1">
        <f t="shared" si="50"/>
        <v>15.571170870966551</v>
      </c>
      <c r="L616" s="1">
        <f t="shared" si="50"/>
        <v>18.206433791077956</v>
      </c>
      <c r="N616">
        <f>I616</f>
        <v>376200.88303706009</v>
      </c>
      <c r="O616" s="1">
        <f>SUM(K$2:K616)/$G$3</f>
        <v>8.8590779050558899E-2</v>
      </c>
      <c r="P616" s="1">
        <f>SUM(L$2:L616)/$G$3</f>
        <v>9.2913849017392136E-2</v>
      </c>
      <c r="Q616" s="1">
        <f t="shared" si="46"/>
        <v>88.590779050558893</v>
      </c>
      <c r="R616" s="1">
        <f t="shared" si="47"/>
        <v>92.913849017392138</v>
      </c>
    </row>
    <row r="617" spans="1:18" x14ac:dyDescent="0.35">
      <c r="A617">
        <v>4.36112133321787</v>
      </c>
      <c r="B617">
        <v>5.4599374000364902</v>
      </c>
      <c r="C617">
        <v>6.3901248279804399</v>
      </c>
      <c r="I617" s="1">
        <f t="shared" si="48"/>
        <v>376800.88319002395</v>
      </c>
      <c r="J617">
        <f t="shared" si="49"/>
        <v>600.00015296385391</v>
      </c>
      <c r="K617" s="1">
        <f t="shared" si="50"/>
        <v>15.397027393416316</v>
      </c>
      <c r="L617" s="1">
        <f t="shared" si="50"/>
        <v>18.020156608958008</v>
      </c>
      <c r="N617">
        <f>I617</f>
        <v>376800.88319002395</v>
      </c>
      <c r="O617" s="1">
        <f>SUM(K$2:K617)/$G$3</f>
        <v>8.8750358543676119E-2</v>
      </c>
      <c r="P617" s="1">
        <f>SUM(L$2:L617)/$G$3</f>
        <v>9.3100615422625682E-2</v>
      </c>
      <c r="Q617" s="1">
        <f t="shared" si="46"/>
        <v>88.750358543676114</v>
      </c>
      <c r="R617" s="1">
        <f t="shared" si="47"/>
        <v>93.10061542262568</v>
      </c>
    </row>
    <row r="618" spans="1:18" x14ac:dyDescent="0.35">
      <c r="A618">
        <v>4.3680657794327402</v>
      </c>
      <c r="B618">
        <v>5.3993156620282301</v>
      </c>
      <c r="C618">
        <v>6.32708928980602</v>
      </c>
      <c r="I618" s="1">
        <f t="shared" si="48"/>
        <v>377400.88334298873</v>
      </c>
      <c r="J618">
        <f t="shared" si="49"/>
        <v>600.00015296478523</v>
      </c>
      <c r="K618" s="1">
        <f t="shared" si="50"/>
        <v>15.226074048673865</v>
      </c>
      <c r="L618" s="1">
        <f t="shared" si="50"/>
        <v>17.842396346015693</v>
      </c>
      <c r="N618">
        <f>I618</f>
        <v>377400.88334298873</v>
      </c>
      <c r="O618" s="1">
        <f>SUM(K$2:K618)/$G$3</f>
        <v>8.890816622413085E-2</v>
      </c>
      <c r="P618" s="1">
        <f>SUM(L$2:L618)/$G$3</f>
        <v>9.3285539466218106E-2</v>
      </c>
      <c r="Q618" s="1">
        <f t="shared" si="46"/>
        <v>88.908166224130852</v>
      </c>
      <c r="R618" s="1">
        <f t="shared" si="47"/>
        <v>93.285539466218111</v>
      </c>
    </row>
    <row r="619" spans="1:18" x14ac:dyDescent="0.35">
      <c r="A619">
        <v>4.3750102256475998</v>
      </c>
      <c r="B619">
        <v>5.3368075125188703</v>
      </c>
      <c r="C619">
        <v>6.2602507760517598</v>
      </c>
      <c r="I619" s="1">
        <f t="shared" si="48"/>
        <v>378000.88349595264</v>
      </c>
      <c r="J619">
        <f t="shared" si="49"/>
        <v>600.00015296391211</v>
      </c>
      <c r="K619" s="1">
        <f t="shared" si="50"/>
        <v>15.049801022096304</v>
      </c>
      <c r="L619" s="1">
        <f t="shared" si="50"/>
        <v>17.653911689150476</v>
      </c>
      <c r="N619">
        <f>I619</f>
        <v>378000.88349595264</v>
      </c>
      <c r="O619" s="1">
        <f>SUM(K$2:K619)/$G$3</f>
        <v>8.9064146957116258E-2</v>
      </c>
      <c r="P619" s="1">
        <f>SUM(L$2:L619)/$G$3</f>
        <v>9.3468509997276308E-2</v>
      </c>
      <c r="Q619" s="1">
        <f t="shared" si="46"/>
        <v>89.064146957116265</v>
      </c>
      <c r="R619" s="1">
        <f t="shared" si="47"/>
        <v>93.468509997276314</v>
      </c>
    </row>
    <row r="620" spans="1:18" x14ac:dyDescent="0.35">
      <c r="A620">
        <v>4.3819546718624602</v>
      </c>
      <c r="B620">
        <v>5.2824160411635104</v>
      </c>
      <c r="C620">
        <v>6.1943501205547298</v>
      </c>
      <c r="I620" s="1">
        <f t="shared" si="48"/>
        <v>378600.88364891656</v>
      </c>
      <c r="J620">
        <f t="shared" si="49"/>
        <v>600.00015296391211</v>
      </c>
      <c r="K620" s="1">
        <f t="shared" si="50"/>
        <v>14.89641703377051</v>
      </c>
      <c r="L620" s="1">
        <f t="shared" si="50"/>
        <v>17.46807179327087</v>
      </c>
      <c r="N620">
        <f>I620</f>
        <v>378600.88364891656</v>
      </c>
      <c r="O620" s="1">
        <f>SUM(K$2:K620)/$G$3</f>
        <v>8.921853797161354E-2</v>
      </c>
      <c r="P620" s="1">
        <f>SUM(L$2:L620)/$G$3</f>
        <v>9.3649554426910669E-2</v>
      </c>
      <c r="Q620" s="1">
        <f t="shared" si="46"/>
        <v>89.218537971613543</v>
      </c>
      <c r="R620" s="1">
        <f t="shared" si="47"/>
        <v>93.649554426910669</v>
      </c>
    </row>
    <row r="621" spans="1:18" x14ac:dyDescent="0.35">
      <c r="A621">
        <v>4.3888991180773198</v>
      </c>
      <c r="B621">
        <v>5.2263766455226204</v>
      </c>
      <c r="C621">
        <v>6.1330203629389999</v>
      </c>
      <c r="I621" s="1">
        <f t="shared" si="48"/>
        <v>379200.88380188041</v>
      </c>
      <c r="J621">
        <f t="shared" si="49"/>
        <v>600.00015296385391</v>
      </c>
      <c r="K621" s="1">
        <f t="shared" si="50"/>
        <v>14.738385897773345</v>
      </c>
      <c r="L621" s="1">
        <f t="shared" si="50"/>
        <v>17.295121832701007</v>
      </c>
      <c r="N621">
        <f>I621</f>
        <v>379200.88380188041</v>
      </c>
      <c r="O621" s="1">
        <f>SUM(K$2:K621)/$G$3</f>
        <v>8.9371291103165329E-2</v>
      </c>
      <c r="P621" s="1">
        <f>SUM(L$2:L621)/$G$3</f>
        <v>9.3828806350346461E-2</v>
      </c>
      <c r="Q621" s="1">
        <f t="shared" si="46"/>
        <v>89.371291103165333</v>
      </c>
      <c r="R621" s="1">
        <f t="shared" si="47"/>
        <v>93.828806350346454</v>
      </c>
    </row>
    <row r="622" spans="1:18" x14ac:dyDescent="0.35">
      <c r="A622">
        <v>4.39584356429219</v>
      </c>
      <c r="B622">
        <v>5.17038352471564</v>
      </c>
      <c r="C622">
        <v>6.0625169135663803</v>
      </c>
      <c r="I622" s="1">
        <f t="shared" si="48"/>
        <v>379800.88395484519</v>
      </c>
      <c r="J622">
        <f t="shared" si="49"/>
        <v>600.00015296478523</v>
      </c>
      <c r="K622" s="1">
        <f t="shared" si="50"/>
        <v>14.580485256865151</v>
      </c>
      <c r="L622" s="1">
        <f t="shared" si="50"/>
        <v>17.096302054809701</v>
      </c>
      <c r="N622">
        <f>I622</f>
        <v>379800.88395484519</v>
      </c>
      <c r="O622" s="1">
        <f>SUM(K$2:K622)/$G$3</f>
        <v>8.9522407704262549E-2</v>
      </c>
      <c r="P622" s="1">
        <f>SUM(L$2:L622)/$G$3</f>
        <v>9.4005997644898046E-2</v>
      </c>
      <c r="Q622" s="1">
        <f t="shared" si="46"/>
        <v>89.522407704262548</v>
      </c>
      <c r="R622" s="1">
        <f t="shared" si="47"/>
        <v>94.005997644898045</v>
      </c>
    </row>
    <row r="623" spans="1:18" x14ac:dyDescent="0.35">
      <c r="A623">
        <v>4.4027880105070496</v>
      </c>
      <c r="B623">
        <v>5.1209130499525797</v>
      </c>
      <c r="C623">
        <v>6.0121084209721998</v>
      </c>
      <c r="I623" s="1">
        <f t="shared" si="48"/>
        <v>380400.88410780911</v>
      </c>
      <c r="J623">
        <f t="shared" si="49"/>
        <v>600.00015296391211</v>
      </c>
      <c r="K623" s="1">
        <f t="shared" si="50"/>
        <v>14.440978482446276</v>
      </c>
      <c r="L623" s="1">
        <f t="shared" si="50"/>
        <v>16.954150069429037</v>
      </c>
      <c r="N623">
        <f>I623</f>
        <v>380400.88410780911</v>
      </c>
      <c r="O623" s="1">
        <f>SUM(K$2:K623)/$G$3</f>
        <v>8.9672078414553741E-2</v>
      </c>
      <c r="P623" s="1">
        <f>SUM(L$2:L623)/$G$3</f>
        <v>9.4181715632869534E-2</v>
      </c>
      <c r="Q623" s="1">
        <f t="shared" si="46"/>
        <v>89.672078414553738</v>
      </c>
      <c r="R623" s="1">
        <f t="shared" si="47"/>
        <v>94.18171563286954</v>
      </c>
    </row>
    <row r="624" spans="1:18" x14ac:dyDescent="0.35">
      <c r="A624">
        <v>4.4097324567219101</v>
      </c>
      <c r="B624">
        <v>5.0681369595081698</v>
      </c>
      <c r="C624">
        <v>5.9566477481474003</v>
      </c>
      <c r="I624" s="1">
        <f t="shared" si="48"/>
        <v>381000.88426077302</v>
      </c>
      <c r="J624">
        <f t="shared" si="49"/>
        <v>600.00015296391211</v>
      </c>
      <c r="K624" s="1">
        <f t="shared" si="50"/>
        <v>14.292149869450705</v>
      </c>
      <c r="L624" s="1">
        <f t="shared" si="50"/>
        <v>16.797750932190741</v>
      </c>
      <c r="N624">
        <f>I624</f>
        <v>381000.88426077302</v>
      </c>
      <c r="O624" s="1">
        <f>SUM(K$2:K624)/$G$3</f>
        <v>8.9820206619657644E-2</v>
      </c>
      <c r="P624" s="1">
        <f>SUM(L$2:L624)/$G$3</f>
        <v>9.4355812652428941E-2</v>
      </c>
      <c r="Q624" s="1">
        <f t="shared" si="46"/>
        <v>89.82020661965764</v>
      </c>
      <c r="R624" s="1">
        <f t="shared" si="47"/>
        <v>94.355812652428938</v>
      </c>
    </row>
    <row r="625" spans="1:18" x14ac:dyDescent="0.35">
      <c r="A625">
        <v>4.4166769029367803</v>
      </c>
      <c r="B625">
        <v>5.0147983114230099</v>
      </c>
      <c r="C625">
        <v>5.9046007111955099</v>
      </c>
      <c r="I625" s="1">
        <f t="shared" si="48"/>
        <v>381600.8844137378</v>
      </c>
      <c r="J625">
        <f t="shared" si="49"/>
        <v>600.00015296478523</v>
      </c>
      <c r="K625" s="1">
        <f t="shared" si="50"/>
        <v>14.141734843524358</v>
      </c>
      <c r="L625" s="1">
        <f t="shared" si="50"/>
        <v>16.650978250592441</v>
      </c>
      <c r="N625">
        <f>I625</f>
        <v>381600.8844137378</v>
      </c>
      <c r="O625" s="1">
        <f>SUM(K$2:K625)/$G$3</f>
        <v>8.9966775877506275E-2</v>
      </c>
      <c r="P625" s="1">
        <f>SUM(L$2:L625)/$G$3</f>
        <v>9.4528388475101824E-2</v>
      </c>
      <c r="Q625" s="1">
        <f t="shared" si="46"/>
        <v>89.966775877506279</v>
      </c>
      <c r="R625" s="1">
        <f t="shared" si="47"/>
        <v>94.528388475101821</v>
      </c>
    </row>
    <row r="626" spans="1:18" x14ac:dyDescent="0.35">
      <c r="A626">
        <v>4.4236213491516398</v>
      </c>
      <c r="B626">
        <v>4.9644265084914103</v>
      </c>
      <c r="C626">
        <v>5.8441500711142398</v>
      </c>
      <c r="I626" s="1">
        <f t="shared" si="48"/>
        <v>382200.88456670166</v>
      </c>
      <c r="J626">
        <f t="shared" si="49"/>
        <v>600.00015296385391</v>
      </c>
      <c r="K626" s="1">
        <f t="shared" si="50"/>
        <v>13.999686323021489</v>
      </c>
      <c r="L626" s="1">
        <f t="shared" si="50"/>
        <v>16.480507402077631</v>
      </c>
      <c r="N626">
        <f>I626</f>
        <v>382200.88456670166</v>
      </c>
      <c r="O626" s="1">
        <f>SUM(K$2:K626)/$G$3</f>
        <v>9.0111872901116372E-2</v>
      </c>
      <c r="P626" s="1">
        <f>SUM(L$2:L626)/$G$3</f>
        <v>9.46991974858504E-2</v>
      </c>
      <c r="Q626" s="1">
        <f t="shared" si="46"/>
        <v>90.111872901116371</v>
      </c>
      <c r="R626" s="1">
        <f t="shared" si="47"/>
        <v>94.699197485850405</v>
      </c>
    </row>
    <row r="627" spans="1:18" x14ac:dyDescent="0.35">
      <c r="A627">
        <v>4.4305657953665003</v>
      </c>
      <c r="B627">
        <v>4.9113078163406003</v>
      </c>
      <c r="C627">
        <v>5.7905889473154097</v>
      </c>
      <c r="I627" s="1">
        <f t="shared" si="48"/>
        <v>382800.88471966563</v>
      </c>
      <c r="J627">
        <f t="shared" si="49"/>
        <v>600.00015296397032</v>
      </c>
      <c r="K627" s="1">
        <f t="shared" si="50"/>
        <v>13.849891572970266</v>
      </c>
      <c r="L627" s="1">
        <f t="shared" si="50"/>
        <v>16.329464994461393</v>
      </c>
      <c r="N627">
        <f>I627</f>
        <v>382800.88471966563</v>
      </c>
      <c r="O627" s="1">
        <f>SUM(K$2:K627)/$G$3</f>
        <v>9.0255417406199759E-2</v>
      </c>
      <c r="P627" s="1">
        <f>SUM(L$2:L627)/$G$3</f>
        <v>9.4868441046968316E-2</v>
      </c>
      <c r="Q627" s="1">
        <f t="shared" si="46"/>
        <v>90.255417406199754</v>
      </c>
      <c r="R627" s="1">
        <f t="shared" si="47"/>
        <v>94.868441046968314</v>
      </c>
    </row>
    <row r="628" spans="1:18" x14ac:dyDescent="0.35">
      <c r="A628">
        <v>4.4375102415813599</v>
      </c>
      <c r="B628">
        <v>4.8599426959020402</v>
      </c>
      <c r="C628">
        <v>5.7329003182306204</v>
      </c>
      <c r="I628" s="1">
        <f t="shared" si="48"/>
        <v>383400.88487262948</v>
      </c>
      <c r="J628">
        <f t="shared" si="49"/>
        <v>600.00015296385391</v>
      </c>
      <c r="K628" s="1">
        <f t="shared" si="50"/>
        <v>13.705041896402907</v>
      </c>
      <c r="L628" s="1">
        <f t="shared" si="50"/>
        <v>16.166783018965024</v>
      </c>
      <c r="N628">
        <f>I628</f>
        <v>383400.88487262948</v>
      </c>
      <c r="O628" s="1">
        <f>SUM(K$2:K628)/$G$3</f>
        <v>9.0397460645007893E-2</v>
      </c>
      <c r="P628" s="1">
        <f>SUM(L$2:L628)/$G$3</f>
        <v>9.5035998522420104E-2</v>
      </c>
      <c r="Q628" s="1">
        <f t="shared" si="46"/>
        <v>90.397460645007897</v>
      </c>
      <c r="R628" s="1">
        <f t="shared" si="47"/>
        <v>95.035998522420101</v>
      </c>
    </row>
    <row r="629" spans="1:18" x14ac:dyDescent="0.35">
      <c r="A629">
        <v>4.4444546877962301</v>
      </c>
      <c r="B629">
        <v>4.8128479536677702</v>
      </c>
      <c r="C629">
        <v>5.67606285023599</v>
      </c>
      <c r="I629" s="1">
        <f t="shared" si="48"/>
        <v>384000.88502559427</v>
      </c>
      <c r="J629">
        <f t="shared" si="49"/>
        <v>600.00015296478523</v>
      </c>
      <c r="K629" s="1">
        <f t="shared" si="50"/>
        <v>13.572234689465505</v>
      </c>
      <c r="L629" s="1">
        <f t="shared" si="50"/>
        <v>16.006501318382846</v>
      </c>
      <c r="N629">
        <f>I629</f>
        <v>384000.88502559427</v>
      </c>
      <c r="O629" s="1">
        <f>SUM(K$2:K629)/$G$3</f>
        <v>9.0538127429372978E-2</v>
      </c>
      <c r="P629" s="1">
        <f>SUM(L$2:L629)/$G$3</f>
        <v>9.5201894789387842E-2</v>
      </c>
      <c r="Q629" s="1">
        <f t="shared" si="46"/>
        <v>90.538127429372977</v>
      </c>
      <c r="R629" s="1">
        <f t="shared" si="47"/>
        <v>95.201894789387836</v>
      </c>
    </row>
    <row r="630" spans="1:18" x14ac:dyDescent="0.35">
      <c r="A630">
        <v>4.4513991340110897</v>
      </c>
      <c r="B630">
        <v>4.7677779749170002</v>
      </c>
      <c r="C630">
        <v>5.6235966492524403</v>
      </c>
      <c r="I630" s="1">
        <f t="shared" si="48"/>
        <v>384600.88517855812</v>
      </c>
      <c r="J630">
        <f t="shared" si="49"/>
        <v>600.00015296385391</v>
      </c>
      <c r="K630" s="1">
        <f t="shared" si="50"/>
        <v>13.445137316965102</v>
      </c>
      <c r="L630" s="1">
        <f t="shared" si="50"/>
        <v>15.858546593864858</v>
      </c>
      <c r="N630">
        <f>I630</f>
        <v>384600.88517855812</v>
      </c>
      <c r="O630" s="1">
        <f>SUM(K$2:K630)/$G$3</f>
        <v>9.0677476937762513E-2</v>
      </c>
      <c r="P630" s="1">
        <f>SUM(L$2:L630)/$G$3</f>
        <v>9.5366257608415314E-2</v>
      </c>
      <c r="Q630" s="1">
        <f t="shared" si="46"/>
        <v>90.67747693776252</v>
      </c>
      <c r="R630" s="1">
        <f t="shared" si="47"/>
        <v>95.36625760841531</v>
      </c>
    </row>
    <row r="631" spans="1:18" x14ac:dyDescent="0.35">
      <c r="A631">
        <v>4.4583435802259501</v>
      </c>
      <c r="B631">
        <v>4.7196715486768799</v>
      </c>
      <c r="C631">
        <v>5.56367528347735</v>
      </c>
      <c r="I631" s="1">
        <f t="shared" si="48"/>
        <v>385200.88533152209</v>
      </c>
      <c r="J631">
        <f t="shared" si="49"/>
        <v>600.00015296397032</v>
      </c>
      <c r="K631" s="1">
        <f t="shared" si="50"/>
        <v>13.309477160385386</v>
      </c>
      <c r="L631" s="1">
        <f t="shared" si="50"/>
        <v>15.689568299302874</v>
      </c>
      <c r="N631">
        <f>I631</f>
        <v>385200.88533152209</v>
      </c>
      <c r="O631" s="1">
        <f>SUM(K$2:K631)/$G$3</f>
        <v>9.0815420422867818E-2</v>
      </c>
      <c r="P631" s="1">
        <f>SUM(L$2:L631)/$G$3</f>
        <v>9.5528869084803389E-2</v>
      </c>
      <c r="Q631" s="1">
        <f t="shared" si="46"/>
        <v>90.815420422867817</v>
      </c>
      <c r="R631" s="1">
        <f t="shared" si="47"/>
        <v>95.528869084803389</v>
      </c>
    </row>
    <row r="632" spans="1:18" x14ac:dyDescent="0.35">
      <c r="A632">
        <v>4.4652880264408097</v>
      </c>
      <c r="B632">
        <v>4.66906076050065</v>
      </c>
      <c r="C632">
        <v>5.5032774986811104</v>
      </c>
      <c r="I632" s="1">
        <f t="shared" si="48"/>
        <v>385800.88548448595</v>
      </c>
      <c r="J632">
        <f t="shared" si="49"/>
        <v>600.00015296385391</v>
      </c>
      <c r="K632" s="1">
        <f t="shared" si="50"/>
        <v>13.166754701340215</v>
      </c>
      <c r="L632" s="1">
        <f t="shared" si="50"/>
        <v>15.519246502752647</v>
      </c>
      <c r="N632">
        <f>I632</f>
        <v>385800.88548448595</v>
      </c>
      <c r="O632" s="1">
        <f>SUM(K$2:K632)/$G$3</f>
        <v>9.0951884688829782E-2</v>
      </c>
      <c r="P632" s="1">
        <f>SUM(L$2:L632)/$G$3</f>
        <v>9.5689715294087235E-2</v>
      </c>
      <c r="Q632" s="1">
        <f t="shared" si="46"/>
        <v>90.951884688829779</v>
      </c>
      <c r="R632" s="1">
        <f t="shared" si="47"/>
        <v>95.689715294087236</v>
      </c>
    </row>
    <row r="633" spans="1:18" x14ac:dyDescent="0.35">
      <c r="A633">
        <v>4.4722324726556799</v>
      </c>
      <c r="B633">
        <v>4.62281399836787</v>
      </c>
      <c r="C633">
        <v>5.4453158552734298</v>
      </c>
      <c r="I633" s="1">
        <f t="shared" si="48"/>
        <v>386400.88563745073</v>
      </c>
      <c r="J633">
        <f t="shared" si="49"/>
        <v>600.00015296478523</v>
      </c>
      <c r="K633" s="1">
        <f t="shared" si="50"/>
        <v>13.036338798897821</v>
      </c>
      <c r="L633" s="1">
        <f t="shared" si="50"/>
        <v>15.355794626696452</v>
      </c>
      <c r="N633">
        <f>I633</f>
        <v>386400.88563745073</v>
      </c>
      <c r="O633" s="1">
        <f>SUM(K$2:K633)/$G$3</f>
        <v>9.108699728455863E-2</v>
      </c>
      <c r="P633" s="1">
        <f>SUM(L$2:L633)/$G$3</f>
        <v>9.5848867438220478E-2</v>
      </c>
      <c r="Q633" s="1">
        <f t="shared" si="46"/>
        <v>91.086997284558635</v>
      </c>
      <c r="R633" s="1">
        <f t="shared" si="47"/>
        <v>95.848867438220481</v>
      </c>
    </row>
    <row r="634" spans="1:18" x14ac:dyDescent="0.35">
      <c r="A634">
        <v>4.4791769188705404</v>
      </c>
      <c r="B634">
        <v>4.5793277650580002</v>
      </c>
      <c r="C634">
        <v>5.39504063134759</v>
      </c>
      <c r="I634" s="1">
        <f t="shared" si="48"/>
        <v>387000.8857904147</v>
      </c>
      <c r="J634">
        <f t="shared" si="49"/>
        <v>600.00015296397032</v>
      </c>
      <c r="K634" s="1">
        <f t="shared" si="50"/>
        <v>12.913707589682694</v>
      </c>
      <c r="L634" s="1">
        <f t="shared" si="50"/>
        <v>15.21401845906033</v>
      </c>
      <c r="N634">
        <f>I634</f>
        <v>387000.8857904147</v>
      </c>
      <c r="O634" s="1">
        <f>SUM(K$2:K634)/$G$3</f>
        <v>9.1220838892991901E-2</v>
      </c>
      <c r="P634" s="1">
        <f>SUM(L$2:L634)/$G$3</f>
        <v>9.6006550170863486E-2</v>
      </c>
      <c r="Q634" s="1">
        <f t="shared" si="46"/>
        <v>91.220838892991907</v>
      </c>
      <c r="R634" s="1">
        <f t="shared" si="47"/>
        <v>96.006550170863491</v>
      </c>
    </row>
    <row r="635" spans="1:18" x14ac:dyDescent="0.35">
      <c r="A635">
        <v>4.4861213650853999</v>
      </c>
      <c r="B635">
        <v>4.5315636453312402</v>
      </c>
      <c r="C635">
        <v>5.3440586294002204</v>
      </c>
      <c r="I635" s="1">
        <f t="shared" si="48"/>
        <v>387600.88594337855</v>
      </c>
      <c r="J635">
        <f t="shared" si="49"/>
        <v>600.00015296385391</v>
      </c>
      <c r="K635" s="1">
        <f t="shared" si="50"/>
        <v>12.779012737711664</v>
      </c>
      <c r="L635" s="1">
        <f t="shared" si="50"/>
        <v>15.070249176913299</v>
      </c>
      <c r="N635">
        <f>I635</f>
        <v>387600.88594337855</v>
      </c>
      <c r="O635" s="1">
        <f>SUM(K$2:K635)/$G$3</f>
        <v>9.1353284482852626E-2</v>
      </c>
      <c r="P635" s="1">
        <f>SUM(L$2:L635)/$G$3</f>
        <v>9.6162742834768888E-2</v>
      </c>
      <c r="Q635" s="1">
        <f t="shared" si="46"/>
        <v>91.353284482852629</v>
      </c>
      <c r="R635" s="1">
        <f t="shared" si="47"/>
        <v>96.162742834768892</v>
      </c>
    </row>
    <row r="636" spans="1:18" x14ac:dyDescent="0.35">
      <c r="A636">
        <v>4.4930658113002702</v>
      </c>
      <c r="B636">
        <v>4.4834173984779104</v>
      </c>
      <c r="C636">
        <v>5.2915302382339799</v>
      </c>
      <c r="I636" s="1">
        <f t="shared" si="48"/>
        <v>388200.88609634334</v>
      </c>
      <c r="J636">
        <f t="shared" si="49"/>
        <v>600.00015296478523</v>
      </c>
      <c r="K636" s="1">
        <f t="shared" si="50"/>
        <v>12.64324028699111</v>
      </c>
      <c r="L636" s="1">
        <f t="shared" si="50"/>
        <v>14.922119076083421</v>
      </c>
      <c r="N636">
        <f>I636</f>
        <v>388200.88609634334</v>
      </c>
      <c r="O636" s="1">
        <f>SUM(K$2:K636)/$G$3</f>
        <v>9.148432288557834E-2</v>
      </c>
      <c r="P636" s="1">
        <f>SUM(L$2:L636)/$G$3</f>
        <v>9.6317400233080372E-2</v>
      </c>
      <c r="Q636" s="1">
        <f t="shared" si="46"/>
        <v>91.484322885578337</v>
      </c>
      <c r="R636" s="1">
        <f t="shared" si="47"/>
        <v>96.317400233080377</v>
      </c>
    </row>
    <row r="637" spans="1:18" x14ac:dyDescent="0.35">
      <c r="A637">
        <v>4.5000102575151297</v>
      </c>
      <c r="B637">
        <v>4.4381478454391097</v>
      </c>
      <c r="C637">
        <v>5.2408995958548203</v>
      </c>
      <c r="I637" s="1">
        <f t="shared" si="48"/>
        <v>388800.88624930719</v>
      </c>
      <c r="J637">
        <f t="shared" si="49"/>
        <v>600.00015296385391</v>
      </c>
      <c r="K637" s="1">
        <f t="shared" si="50"/>
        <v>12.515580114856425</v>
      </c>
      <c r="L637" s="1">
        <f t="shared" si="50"/>
        <v>14.779340628151134</v>
      </c>
      <c r="N637">
        <f>I637</f>
        <v>388800.88624930719</v>
      </c>
      <c r="O637" s="1">
        <f>SUM(K$2:K637)/$G$3</f>
        <v>9.1614038179301249E-2</v>
      </c>
      <c r="P637" s="1">
        <f>SUM(L$2:L637)/$G$3</f>
        <v>9.6470577831962598E-2</v>
      </c>
      <c r="Q637" s="1">
        <f t="shared" si="46"/>
        <v>91.614038179301247</v>
      </c>
      <c r="R637" s="1">
        <f t="shared" si="47"/>
        <v>96.470577831962601</v>
      </c>
    </row>
    <row r="638" spans="1:18" x14ac:dyDescent="0.35">
      <c r="A638">
        <v>4.5069547037299902</v>
      </c>
      <c r="B638">
        <v>4.3956914403867096</v>
      </c>
      <c r="C638">
        <v>5.1932051772353196</v>
      </c>
      <c r="I638" s="1">
        <f t="shared" si="48"/>
        <v>389400.88640227116</v>
      </c>
      <c r="J638">
        <f t="shared" si="49"/>
        <v>600.00015296397032</v>
      </c>
      <c r="K638" s="1">
        <f t="shared" si="50"/>
        <v>12.395853022087874</v>
      </c>
      <c r="L638" s="1">
        <f t="shared" si="50"/>
        <v>14.64484233335803</v>
      </c>
      <c r="N638">
        <f>I638</f>
        <v>389400.88640227116</v>
      </c>
      <c r="O638" s="1">
        <f>SUM(K$2:K638)/$G$3</f>
        <v>9.1742512584878158E-2</v>
      </c>
      <c r="P638" s="1">
        <f>SUM(L$2:L638)/$G$3</f>
        <v>9.6622361449450897E-2</v>
      </c>
      <c r="Q638" s="1">
        <f t="shared" si="46"/>
        <v>91.742512584878156</v>
      </c>
      <c r="R638" s="1">
        <f t="shared" si="47"/>
        <v>96.622361449450892</v>
      </c>
    </row>
    <row r="639" spans="1:18" x14ac:dyDescent="0.35">
      <c r="A639">
        <v>4.5138991499448498</v>
      </c>
      <c r="B639">
        <v>4.3521150176499699</v>
      </c>
      <c r="C639">
        <v>5.1449025858153403</v>
      </c>
      <c r="I639" s="1">
        <f t="shared" si="48"/>
        <v>390000.88655523502</v>
      </c>
      <c r="J639">
        <f t="shared" si="49"/>
        <v>600.00015296385391</v>
      </c>
      <c r="K639" s="1">
        <f t="shared" si="50"/>
        <v>12.272967478639458</v>
      </c>
      <c r="L639" s="1">
        <f t="shared" si="50"/>
        <v>14.50862899082466</v>
      </c>
      <c r="N639">
        <f>I639</f>
        <v>390000.88655523502</v>
      </c>
      <c r="O639" s="1">
        <f>SUM(K$2:K639)/$G$3</f>
        <v>9.186971336716182E-2</v>
      </c>
      <c r="P639" s="1">
        <f>SUM(L$2:L639)/$G$3</f>
        <v>9.6772733310266826E-2</v>
      </c>
      <c r="Q639" s="1">
        <f t="shared" si="46"/>
        <v>91.869713367161822</v>
      </c>
      <c r="R639" s="1">
        <f t="shared" si="47"/>
        <v>96.77273331026683</v>
      </c>
    </row>
    <row r="640" spans="1:18" x14ac:dyDescent="0.35">
      <c r="A640">
        <v>4.52084359615972</v>
      </c>
      <c r="B640">
        <v>4.3091424457623004</v>
      </c>
      <c r="C640">
        <v>5.0970278484501401</v>
      </c>
      <c r="I640" s="1">
        <f t="shared" si="48"/>
        <v>390600.8867081998</v>
      </c>
      <c r="J640">
        <f t="shared" si="49"/>
        <v>600.00015296478523</v>
      </c>
      <c r="K640" s="1">
        <f t="shared" si="50"/>
        <v>12.151784795040816</v>
      </c>
      <c r="L640" s="1">
        <f t="shared" si="50"/>
        <v>14.373622197058515</v>
      </c>
      <c r="N640">
        <f>I640</f>
        <v>390600.8867081998</v>
      </c>
      <c r="O640" s="1">
        <f>SUM(K$2:K640)/$G$3</f>
        <v>9.1995658175111655E-2</v>
      </c>
      <c r="P640" s="1">
        <f>SUM(L$2:L640)/$G$3</f>
        <v>9.6921705919450221E-2</v>
      </c>
      <c r="Q640" s="1">
        <f t="shared" si="46"/>
        <v>91.995658175111657</v>
      </c>
      <c r="R640" s="1">
        <f t="shared" si="47"/>
        <v>96.921705919450218</v>
      </c>
    </row>
    <row r="641" spans="1:18" x14ac:dyDescent="0.35">
      <c r="A641">
        <v>4.5277880423745804</v>
      </c>
      <c r="B641">
        <v>4.2683227176624898</v>
      </c>
      <c r="C641">
        <v>5.0483525400185201</v>
      </c>
      <c r="I641" s="1">
        <f t="shared" si="48"/>
        <v>391200.88686116377</v>
      </c>
      <c r="J641">
        <f t="shared" si="49"/>
        <v>600.00015296397032</v>
      </c>
      <c r="K641" s="1">
        <f t="shared" si="50"/>
        <v>12.036673132436292</v>
      </c>
      <c r="L641" s="1">
        <f t="shared" si="50"/>
        <v>14.236357792267654</v>
      </c>
      <c r="N641">
        <f>I641</f>
        <v>391200.88686116377</v>
      </c>
      <c r="O641" s="1">
        <f>SUM(K$2:K641)/$G$3</f>
        <v>9.2120409930642938E-2</v>
      </c>
      <c r="P641" s="1">
        <f>SUM(L$2:L641)/$G$3</f>
        <v>9.7069255878431071E-2</v>
      </c>
      <c r="Q641" s="1">
        <f t="shared" si="46"/>
        <v>92.120409930642936</v>
      </c>
      <c r="R641" s="1">
        <f t="shared" si="47"/>
        <v>97.069255878431065</v>
      </c>
    </row>
    <row r="642" spans="1:18" x14ac:dyDescent="0.35">
      <c r="A642">
        <v>4.53473248858944</v>
      </c>
      <c r="B642">
        <v>4.22705779842964</v>
      </c>
      <c r="C642">
        <v>5.0024467851382202</v>
      </c>
      <c r="I642" s="1">
        <f t="shared" si="48"/>
        <v>391800.88701412763</v>
      </c>
      <c r="J642">
        <f t="shared" si="49"/>
        <v>600.00015296385391</v>
      </c>
      <c r="K642" s="1">
        <f t="shared" si="50"/>
        <v>11.920306030530726</v>
      </c>
      <c r="L642" s="1">
        <f t="shared" si="50"/>
        <v>14.106903530499416</v>
      </c>
      <c r="N642">
        <f>I642</f>
        <v>391800.88701412763</v>
      </c>
      <c r="O642" s="1">
        <f>SUM(K$2:K642)/$G$3</f>
        <v>9.2243955621999413E-2</v>
      </c>
      <c r="P642" s="1">
        <f>SUM(L$2:L642)/$G$3</f>
        <v>9.7215464133916366E-2</v>
      </c>
      <c r="Q642" s="1">
        <f t="shared" ref="Q642:Q705" si="51">O642*1000</f>
        <v>92.243955621999419</v>
      </c>
      <c r="R642" s="1">
        <f t="shared" ref="R642:R705" si="52">P642*1000</f>
        <v>97.21546413391637</v>
      </c>
    </row>
    <row r="643" spans="1:18" x14ac:dyDescent="0.35">
      <c r="A643">
        <v>4.5416769348043102</v>
      </c>
      <c r="B643">
        <v>4.1864353541053001</v>
      </c>
      <c r="C643">
        <v>4.9593796908580803</v>
      </c>
      <c r="I643" s="1">
        <f t="shared" ref="I643:I706" si="53">A643*86400</f>
        <v>392400.88716709241</v>
      </c>
      <c r="J643">
        <f t="shared" si="49"/>
        <v>600.00015296478523</v>
      </c>
      <c r="K643" s="1">
        <f t="shared" si="50"/>
        <v>11.805750708349716</v>
      </c>
      <c r="L643" s="1">
        <f t="shared" si="50"/>
        <v>13.985454293688898</v>
      </c>
      <c r="N643">
        <f>I643</f>
        <v>392400.88716709241</v>
      </c>
      <c r="O643" s="1">
        <f>SUM(K$2:K643)/$G$3</f>
        <v>9.2366314027019378E-2</v>
      </c>
      <c r="P643" s="1">
        <f>SUM(L$2:L643)/$G$3</f>
        <v>9.7360413652428965E-2</v>
      </c>
      <c r="Q643" s="1">
        <f t="shared" si="51"/>
        <v>92.366314027019371</v>
      </c>
      <c r="R643" s="1">
        <f t="shared" si="52"/>
        <v>97.36041365242896</v>
      </c>
    </row>
    <row r="644" spans="1:18" x14ac:dyDescent="0.35">
      <c r="A644">
        <v>4.5486213810191698</v>
      </c>
      <c r="B644">
        <v>4.1461202190548203</v>
      </c>
      <c r="C644">
        <v>4.9150169239272898</v>
      </c>
      <c r="I644" s="1">
        <f t="shared" si="53"/>
        <v>393000.88732005627</v>
      </c>
      <c r="J644">
        <f t="shared" si="49"/>
        <v>600.00015296385391</v>
      </c>
      <c r="K644" s="1">
        <f t="shared" si="50"/>
        <v>11.692061998505272</v>
      </c>
      <c r="L644" s="1">
        <f t="shared" si="50"/>
        <v>13.860351259028633</v>
      </c>
      <c r="N644">
        <f>I644</f>
        <v>393000.88732005627</v>
      </c>
      <c r="O644" s="1">
        <f>SUM(K$2:K644)/$G$3</f>
        <v>9.2487494127537637E-2</v>
      </c>
      <c r="P644" s="1">
        <f>SUM(L$2:L644)/$G$3</f>
        <v>9.7504066564892342E-2</v>
      </c>
      <c r="Q644" s="1">
        <f t="shared" si="51"/>
        <v>92.48749412753763</v>
      </c>
      <c r="R644" s="1">
        <f t="shared" si="52"/>
        <v>97.504066564892341</v>
      </c>
    </row>
    <row r="645" spans="1:18" x14ac:dyDescent="0.35">
      <c r="A645">
        <v>4.5555658272340303</v>
      </c>
      <c r="B645">
        <v>4.1051562879926298</v>
      </c>
      <c r="C645">
        <v>4.8681409459412404</v>
      </c>
      <c r="I645" s="1">
        <f t="shared" si="53"/>
        <v>393600.88747302024</v>
      </c>
      <c r="J645">
        <f t="shared" si="49"/>
        <v>600.00015296397032</v>
      </c>
      <c r="K645" s="1">
        <f t="shared" si="50"/>
        <v>11.576543683461939</v>
      </c>
      <c r="L645" s="1">
        <f t="shared" si="50"/>
        <v>13.728160967410084</v>
      </c>
      <c r="N645">
        <f>I645</f>
        <v>393600.88747302024</v>
      </c>
      <c r="O645" s="1">
        <f>SUM(K$2:K645)/$G$3</f>
        <v>9.2607476960967314E-2</v>
      </c>
      <c r="P645" s="1">
        <f>SUM(L$2:L645)/$G$3</f>
        <v>9.7646349416811398E-2</v>
      </c>
      <c r="Q645" s="1">
        <f t="shared" si="51"/>
        <v>92.607476960967318</v>
      </c>
      <c r="R645" s="1">
        <f t="shared" si="52"/>
        <v>97.646349416811404</v>
      </c>
    </row>
    <row r="646" spans="1:18" x14ac:dyDescent="0.35">
      <c r="A646">
        <v>4.5625102734488898</v>
      </c>
      <c r="B646">
        <v>4.0640480929739597</v>
      </c>
      <c r="C646">
        <v>4.8211275036168404</v>
      </c>
      <c r="I646" s="1">
        <f t="shared" si="53"/>
        <v>394200.88762598409</v>
      </c>
      <c r="J646">
        <f t="shared" ref="J646:J709" si="54">I646-I645</f>
        <v>600.00015296385391</v>
      </c>
      <c r="K646" s="1">
        <f t="shared" si="50"/>
        <v>11.460618543953123</v>
      </c>
      <c r="L646" s="1">
        <f t="shared" si="50"/>
        <v>13.595583026253232</v>
      </c>
      <c r="N646">
        <f>I646</f>
        <v>394200.88762598409</v>
      </c>
      <c r="O646" s="1">
        <f>SUM(K$2:K646)/$G$3</f>
        <v>9.2726258310855417E-2</v>
      </c>
      <c r="P646" s="1">
        <f>SUM(L$2:L646)/$G$3</f>
        <v>9.7787258190467963E-2</v>
      </c>
      <c r="Q646" s="1">
        <f t="shared" si="51"/>
        <v>92.726258310855414</v>
      </c>
      <c r="R646" s="1">
        <f t="shared" si="52"/>
        <v>97.787258190467966</v>
      </c>
    </row>
    <row r="647" spans="1:18" x14ac:dyDescent="0.35">
      <c r="A647">
        <v>4.56945471966376</v>
      </c>
      <c r="B647">
        <v>4.0211619284384703</v>
      </c>
      <c r="C647">
        <v>4.7803917912696798</v>
      </c>
      <c r="I647" s="1">
        <f t="shared" si="53"/>
        <v>394800.88777894888</v>
      </c>
      <c r="J647">
        <f t="shared" si="54"/>
        <v>600.00015296478523</v>
      </c>
      <c r="K647" s="1">
        <f t="shared" si="50"/>
        <v>11.339679529148489</v>
      </c>
      <c r="L647" s="1">
        <f t="shared" si="50"/>
        <v>13.480708288169035</v>
      </c>
      <c r="N647">
        <f>I647</f>
        <v>394800.88777894888</v>
      </c>
      <c r="O647" s="1">
        <f>SUM(K$2:K647)/$G$3</f>
        <v>9.2843786211867479E-2</v>
      </c>
      <c r="P647" s="1">
        <f>SUM(L$2:L647)/$G$3</f>
        <v>9.7926976367264038E-2</v>
      </c>
      <c r="Q647" s="1">
        <f t="shared" si="51"/>
        <v>92.843786211867481</v>
      </c>
      <c r="R647" s="1">
        <f t="shared" si="52"/>
        <v>97.926976367264032</v>
      </c>
    </row>
    <row r="648" spans="1:18" x14ac:dyDescent="0.35">
      <c r="A648">
        <v>4.5763991658786196</v>
      </c>
      <c r="B648">
        <v>3.9826340341975901</v>
      </c>
      <c r="C648">
        <v>4.7332926175690098</v>
      </c>
      <c r="I648" s="1">
        <f t="shared" si="53"/>
        <v>395400.88793191273</v>
      </c>
      <c r="J648">
        <f t="shared" si="54"/>
        <v>600.00015296385391</v>
      </c>
      <c r="K648" s="1">
        <f t="shared" si="50"/>
        <v>11.231030839672741</v>
      </c>
      <c r="L648" s="1">
        <f t="shared" si="50"/>
        <v>13.347888584451207</v>
      </c>
      <c r="N648">
        <f>I648</f>
        <v>395400.88793191273</v>
      </c>
      <c r="O648" s="1">
        <f>SUM(K$2:K648)/$G$3</f>
        <v>9.296018804468785E-2</v>
      </c>
      <c r="P648" s="1">
        <f>SUM(L$2:L648)/$G$3</f>
        <v>9.8065317960096612E-2</v>
      </c>
      <c r="Q648" s="1">
        <f t="shared" si="51"/>
        <v>92.960188044687854</v>
      </c>
      <c r="R648" s="1">
        <f t="shared" si="52"/>
        <v>98.065317960096607</v>
      </c>
    </row>
    <row r="649" spans="1:18" x14ac:dyDescent="0.35">
      <c r="A649">
        <v>4.5833436120934801</v>
      </c>
      <c r="B649">
        <v>3.9455494003533298</v>
      </c>
      <c r="C649">
        <v>4.6886009808850204</v>
      </c>
      <c r="I649" s="1">
        <f t="shared" si="53"/>
        <v>396000.8880848767</v>
      </c>
      <c r="J649">
        <f t="shared" si="54"/>
        <v>600.00015296397032</v>
      </c>
      <c r="K649" s="1">
        <f t="shared" si="50"/>
        <v>11.126452145572827</v>
      </c>
      <c r="L649" s="1">
        <f t="shared" si="50"/>
        <v>13.221858136874758</v>
      </c>
      <c r="N649">
        <f>I649</f>
        <v>396000.8880848767</v>
      </c>
      <c r="O649" s="1">
        <f>SUM(K$2:K649)/$G$3</f>
        <v>9.3075505991991284E-2</v>
      </c>
      <c r="P649" s="1">
        <f>SUM(L$2:L649)/$G$3</f>
        <v>9.8202353334889317E-2</v>
      </c>
      <c r="Q649" s="1">
        <f t="shared" si="51"/>
        <v>93.075505991991278</v>
      </c>
      <c r="R649" s="1">
        <f t="shared" si="52"/>
        <v>98.202353334889324</v>
      </c>
    </row>
    <row r="650" spans="1:18" x14ac:dyDescent="0.35">
      <c r="A650">
        <v>4.5902880583083396</v>
      </c>
      <c r="B650">
        <v>3.9052913750637201</v>
      </c>
      <c r="C650">
        <v>4.6430074712128002</v>
      </c>
      <c r="I650" s="1">
        <f t="shared" si="53"/>
        <v>396600.88823784055</v>
      </c>
      <c r="J650">
        <f t="shared" si="54"/>
        <v>600.00015296385391</v>
      </c>
      <c r="K650" s="1">
        <f t="shared" si="50"/>
        <v>11.012924485311261</v>
      </c>
      <c r="L650" s="1">
        <f t="shared" si="50"/>
        <v>13.093284406817984</v>
      </c>
      <c r="N650">
        <f>I650</f>
        <v>396600.88823784055</v>
      </c>
      <c r="O650" s="1">
        <f>SUM(K$2:K650)/$G$3</f>
        <v>9.3189647303960094E-2</v>
      </c>
      <c r="P650" s="1">
        <f>SUM(L$2:L650)/$G$3</f>
        <v>9.8338056132285981E-2</v>
      </c>
      <c r="Q650" s="1">
        <f t="shared" si="51"/>
        <v>93.189647303960101</v>
      </c>
      <c r="R650" s="1">
        <f t="shared" si="52"/>
        <v>98.338056132285985</v>
      </c>
    </row>
    <row r="651" spans="1:18" x14ac:dyDescent="0.35">
      <c r="A651">
        <v>4.5972325045232099</v>
      </c>
      <c r="B651">
        <v>3.8653586946454599</v>
      </c>
      <c r="C651">
        <v>4.5966731483020498</v>
      </c>
      <c r="I651" s="1">
        <f t="shared" si="53"/>
        <v>397200.88839080534</v>
      </c>
      <c r="J651">
        <f t="shared" si="54"/>
        <v>600.00015296478523</v>
      </c>
      <c r="K651" s="1">
        <f t="shared" si="50"/>
        <v>10.900314297839881</v>
      </c>
      <c r="L651" s="1">
        <f t="shared" si="50"/>
        <v>12.962621582918649</v>
      </c>
      <c r="N651">
        <f>I651</f>
        <v>397200.88839080534</v>
      </c>
      <c r="O651" s="1">
        <f>SUM(K$2:K651)/$G$3</f>
        <v>9.3302621489562421E-2</v>
      </c>
      <c r="P651" s="1">
        <f>SUM(L$2:L651)/$G$3</f>
        <v>9.8472404700280167E-2</v>
      </c>
      <c r="Q651" s="1">
        <f t="shared" si="51"/>
        <v>93.302621489562426</v>
      </c>
      <c r="R651" s="1">
        <f t="shared" si="52"/>
        <v>98.472404700280165</v>
      </c>
    </row>
    <row r="652" spans="1:18" x14ac:dyDescent="0.35">
      <c r="A652">
        <v>4.6041769507380703</v>
      </c>
      <c r="B652">
        <v>3.8255981944133701</v>
      </c>
      <c r="C652">
        <v>4.5509119365963597</v>
      </c>
      <c r="I652" s="1">
        <f t="shared" si="53"/>
        <v>397800.88854376925</v>
      </c>
      <c r="J652">
        <f t="shared" si="54"/>
        <v>600.00015296391211</v>
      </c>
      <c r="K652" s="1">
        <f t="shared" si="50"/>
        <v>10.788189658584495</v>
      </c>
      <c r="L652" s="1">
        <f t="shared" si="50"/>
        <v>12.833574932990615</v>
      </c>
      <c r="N652">
        <f>I652</f>
        <v>397800.88854376925</v>
      </c>
      <c r="O652" s="1">
        <f>SUM(K$2:K652)/$G$3</f>
        <v>9.3414433581168202E-2</v>
      </c>
      <c r="P652" s="1">
        <f>SUM(L$2:L652)/$G$3</f>
        <v>9.8605415789392373E-2</v>
      </c>
      <c r="Q652" s="1">
        <f t="shared" si="51"/>
        <v>93.414433581168197</v>
      </c>
      <c r="R652" s="1">
        <f t="shared" si="52"/>
        <v>98.605415789392367</v>
      </c>
    </row>
    <row r="653" spans="1:18" x14ac:dyDescent="0.35">
      <c r="A653">
        <v>4.6111213969529299</v>
      </c>
      <c r="B653">
        <v>3.7861184603922302</v>
      </c>
      <c r="C653">
        <v>4.5092165280942096</v>
      </c>
      <c r="I653" s="1">
        <f t="shared" si="53"/>
        <v>398400.88869673316</v>
      </c>
      <c r="J653">
        <f t="shared" si="54"/>
        <v>600.00015296391211</v>
      </c>
      <c r="K653" s="1">
        <f t="shared" si="50"/>
        <v>10.6768567802617</v>
      </c>
      <c r="L653" s="1">
        <f t="shared" si="50"/>
        <v>12.715993851038455</v>
      </c>
      <c r="N653">
        <f>I653</f>
        <v>398400.88869673316</v>
      </c>
      <c r="O653" s="1">
        <f>SUM(K$2:K653)/$G$3</f>
        <v>9.3525091784829512E-2</v>
      </c>
      <c r="P653" s="1">
        <f>SUM(L$2:L653)/$G$3</f>
        <v>9.8737208232269891E-2</v>
      </c>
      <c r="Q653" s="1">
        <f t="shared" si="51"/>
        <v>93.525091784829513</v>
      </c>
      <c r="R653" s="1">
        <f t="shared" si="52"/>
        <v>98.737208232269893</v>
      </c>
    </row>
    <row r="654" spans="1:18" x14ac:dyDescent="0.35">
      <c r="A654">
        <v>4.6180658431678001</v>
      </c>
      <c r="B654">
        <v>3.74870234285881</v>
      </c>
      <c r="C654">
        <v>4.4761785606897302</v>
      </c>
      <c r="I654" s="1">
        <f t="shared" si="53"/>
        <v>399000.88884969795</v>
      </c>
      <c r="J654">
        <f t="shared" si="54"/>
        <v>600.00015296478523</v>
      </c>
      <c r="K654" s="1">
        <f t="shared" si="50"/>
        <v>10.571343301933254</v>
      </c>
      <c r="L654" s="1">
        <f t="shared" si="50"/>
        <v>12.622826759224193</v>
      </c>
      <c r="N654">
        <f>I654</f>
        <v>399000.88884969795</v>
      </c>
      <c r="O654" s="1">
        <f>SUM(K$2:K654)/$G$3</f>
        <v>9.3634656414584738E-2</v>
      </c>
      <c r="P654" s="1">
        <f>SUM(L$2:L654)/$G$3</f>
        <v>9.8868035062960935E-2</v>
      </c>
      <c r="Q654" s="1">
        <f t="shared" si="51"/>
        <v>93.63465641458474</v>
      </c>
      <c r="R654" s="1">
        <f t="shared" si="52"/>
        <v>98.868035062960928</v>
      </c>
    </row>
    <row r="655" spans="1:18" x14ac:dyDescent="0.35">
      <c r="A655">
        <v>4.6250102893826597</v>
      </c>
      <c r="B655">
        <v>3.70910714892119</v>
      </c>
      <c r="C655">
        <v>4.43249463689446</v>
      </c>
      <c r="I655" s="1">
        <f t="shared" si="53"/>
        <v>399600.8890026618</v>
      </c>
      <c r="J655">
        <f t="shared" si="54"/>
        <v>600.00015296385391</v>
      </c>
      <c r="K655" s="1">
        <f t="shared" si="50"/>
        <v>10.45968482654658</v>
      </c>
      <c r="L655" s="1">
        <f t="shared" si="50"/>
        <v>12.499638062696249</v>
      </c>
      <c r="N655">
        <f>I655</f>
        <v>399600.8890026618</v>
      </c>
      <c r="O655" s="1">
        <f>SUM(K$2:K655)/$G$3</f>
        <v>9.3743063781808106E-2</v>
      </c>
      <c r="P655" s="1">
        <f>SUM(L$2:L655)/$G$3</f>
        <v>9.8997585128387647E-2</v>
      </c>
      <c r="Q655" s="1">
        <f t="shared" si="51"/>
        <v>93.743063781808104</v>
      </c>
      <c r="R655" s="1">
        <f t="shared" si="52"/>
        <v>98.997585128387641</v>
      </c>
    </row>
    <row r="656" spans="1:18" x14ac:dyDescent="0.35">
      <c r="A656">
        <v>4.6319547355975201</v>
      </c>
      <c r="B656">
        <v>3.67172280174593</v>
      </c>
      <c r="C656">
        <v>4.3952661279363996</v>
      </c>
      <c r="I656" s="1">
        <f t="shared" si="53"/>
        <v>400200.88915562571</v>
      </c>
      <c r="J656">
        <f t="shared" si="54"/>
        <v>600.00015296391211</v>
      </c>
      <c r="K656" s="1">
        <f t="shared" si="50"/>
        <v>10.354260940636618</v>
      </c>
      <c r="L656" s="1">
        <f t="shared" si="50"/>
        <v>12.394653640671025</v>
      </c>
      <c r="N656">
        <f>I656</f>
        <v>400200.88915562571</v>
      </c>
      <c r="O656" s="1">
        <f>SUM(K$2:K656)/$G$3</f>
        <v>9.3850378503688561E-2</v>
      </c>
      <c r="P656" s="1">
        <f>SUM(L$2:L656)/$G$3</f>
        <v>9.9126047103209339E-2</v>
      </c>
      <c r="Q656" s="1">
        <f t="shared" si="51"/>
        <v>93.85037850368856</v>
      </c>
      <c r="R656" s="1">
        <f t="shared" si="52"/>
        <v>99.126047103209345</v>
      </c>
    </row>
    <row r="657" spans="1:18" x14ac:dyDescent="0.35">
      <c r="A657">
        <v>4.6388991818123797</v>
      </c>
      <c r="B657">
        <v>3.6312569449418999</v>
      </c>
      <c r="C657">
        <v>4.3573411161219804</v>
      </c>
      <c r="I657" s="1">
        <f t="shared" si="53"/>
        <v>400800.88930858963</v>
      </c>
      <c r="J657">
        <f t="shared" si="54"/>
        <v>600.00015296391211</v>
      </c>
      <c r="K657" s="1">
        <f t="shared" si="50"/>
        <v>10.240147195357119</v>
      </c>
      <c r="L657" s="1">
        <f t="shared" si="50"/>
        <v>12.287705080088921</v>
      </c>
      <c r="N657">
        <f>I657</f>
        <v>400800.88930858963</v>
      </c>
      <c r="O657" s="1">
        <f>SUM(K$2:K657)/$G$3</f>
        <v>9.3956510515870312E-2</v>
      </c>
      <c r="P657" s="1">
        <f>SUM(L$2:L657)/$G$3</f>
        <v>9.9253400630494301E-2</v>
      </c>
      <c r="Q657" s="1">
        <f t="shared" si="51"/>
        <v>93.956510515870306</v>
      </c>
      <c r="R657" s="1">
        <f t="shared" si="52"/>
        <v>99.253400630494298</v>
      </c>
    </row>
    <row r="658" spans="1:18" x14ac:dyDescent="0.35">
      <c r="A658">
        <v>4.6458436280272499</v>
      </c>
      <c r="B658">
        <v>3.5967384237765501</v>
      </c>
      <c r="C658">
        <v>4.3149597180181196</v>
      </c>
      <c r="I658" s="1">
        <f t="shared" si="53"/>
        <v>401400.88946155441</v>
      </c>
      <c r="J658">
        <f t="shared" si="54"/>
        <v>600.00015296478523</v>
      </c>
      <c r="K658" s="1">
        <f t="shared" si="50"/>
        <v>10.142804940869178</v>
      </c>
      <c r="L658" s="1">
        <f t="shared" si="50"/>
        <v>12.168189506984463</v>
      </c>
      <c r="N658">
        <f>I658</f>
        <v>401400.88946155441</v>
      </c>
      <c r="O658" s="1">
        <f>SUM(K$2:K658)/$G$3</f>
        <v>9.4061633643204814E-2</v>
      </c>
      <c r="P658" s="1">
        <f>SUM(L$2:L658)/$G$3</f>
        <v>9.9379515461887627E-2</v>
      </c>
      <c r="Q658" s="1">
        <f t="shared" si="51"/>
        <v>94.061633643204814</v>
      </c>
      <c r="R658" s="1">
        <f t="shared" si="52"/>
        <v>99.379515461887621</v>
      </c>
    </row>
    <row r="659" spans="1:18" x14ac:dyDescent="0.35">
      <c r="A659">
        <v>4.6527880742421104</v>
      </c>
      <c r="B659">
        <v>3.56193888246611</v>
      </c>
      <c r="C659">
        <v>4.2726206665989697</v>
      </c>
      <c r="I659" s="1">
        <f t="shared" si="53"/>
        <v>402000.88961451832</v>
      </c>
      <c r="J659">
        <f t="shared" si="54"/>
        <v>600.00015296391211</v>
      </c>
      <c r="K659" s="1">
        <f t="shared" ref="K659:L722" si="55">B659*$J659*$G$2</f>
        <v>10.044670209340529</v>
      </c>
      <c r="L659" s="1">
        <f t="shared" si="55"/>
        <v>12.048793351525923</v>
      </c>
      <c r="N659">
        <f>I659</f>
        <v>402000.88961451832</v>
      </c>
      <c r="O659" s="1">
        <f>SUM(K$2:K659)/$G$3</f>
        <v>9.4165739672218043E-2</v>
      </c>
      <c r="P659" s="1">
        <f>SUM(L$2:L659)/$G$3</f>
        <v>9.9504392835070246E-2</v>
      </c>
      <c r="Q659" s="1">
        <f t="shared" si="51"/>
        <v>94.165739672218038</v>
      </c>
      <c r="R659" s="1">
        <f t="shared" si="52"/>
        <v>99.504392835070249</v>
      </c>
    </row>
    <row r="660" spans="1:18" x14ac:dyDescent="0.35">
      <c r="A660">
        <v>4.65973252045697</v>
      </c>
      <c r="B660">
        <v>3.5266927120665299</v>
      </c>
      <c r="C660">
        <v>4.2298368764478296</v>
      </c>
      <c r="I660" s="1">
        <f t="shared" si="53"/>
        <v>402600.88976748218</v>
      </c>
      <c r="J660">
        <f t="shared" si="54"/>
        <v>600.00015296385391</v>
      </c>
      <c r="K660" s="1">
        <f t="shared" si="55"/>
        <v>9.9452759834732056</v>
      </c>
      <c r="L660" s="1">
        <f t="shared" si="55"/>
        <v>11.928143032539985</v>
      </c>
      <c r="N660">
        <f>I660</f>
        <v>402600.88976748218</v>
      </c>
      <c r="O660" s="1">
        <f>SUM(K$2:K660)/$G$3</f>
        <v>9.4268815549126098E-2</v>
      </c>
      <c r="P660" s="1">
        <f>SUM(L$2:L660)/$G$3</f>
        <v>9.9628019751508437E-2</v>
      </c>
      <c r="Q660" s="1">
        <f t="shared" si="51"/>
        <v>94.268815549126103</v>
      </c>
      <c r="R660" s="1">
        <f t="shared" si="52"/>
        <v>99.628019751508432</v>
      </c>
    </row>
    <row r="661" spans="1:18" x14ac:dyDescent="0.35">
      <c r="A661">
        <v>4.6666769666718402</v>
      </c>
      <c r="B661">
        <v>3.4906242591328902</v>
      </c>
      <c r="C661">
        <v>4.1944925589682702</v>
      </c>
      <c r="I661" s="1">
        <f t="shared" si="53"/>
        <v>403200.88992044696</v>
      </c>
      <c r="J661">
        <f t="shared" si="54"/>
        <v>600.00015296478523</v>
      </c>
      <c r="K661" s="1">
        <f t="shared" si="55"/>
        <v>9.843562920284926</v>
      </c>
      <c r="L661" s="1">
        <f t="shared" si="55"/>
        <v>11.828472031855894</v>
      </c>
      <c r="N661">
        <f>I661</f>
        <v>403200.88992044696</v>
      </c>
      <c r="O661" s="1">
        <f>SUM(K$2:K661)/$G$3</f>
        <v>9.437083724079097E-2</v>
      </c>
      <c r="P661" s="1">
        <f>SUM(L$2:L661)/$G$3</f>
        <v>9.9750613647262759E-2</v>
      </c>
      <c r="Q661" s="1">
        <f t="shared" si="51"/>
        <v>94.370837240790976</v>
      </c>
      <c r="R661" s="1">
        <f t="shared" si="52"/>
        <v>99.750613647262753</v>
      </c>
    </row>
    <row r="662" spans="1:18" x14ac:dyDescent="0.35">
      <c r="A662">
        <v>4.6736214128866997</v>
      </c>
      <c r="B662">
        <v>3.4572190712725401</v>
      </c>
      <c r="C662">
        <v>4.1589245618658701</v>
      </c>
      <c r="I662" s="1">
        <f t="shared" si="53"/>
        <v>403800.89007341088</v>
      </c>
      <c r="J662">
        <f t="shared" si="54"/>
        <v>600.00015296391211</v>
      </c>
      <c r="K662" s="1">
        <f t="shared" si="55"/>
        <v>9.7493602664884094</v>
      </c>
      <c r="L662" s="1">
        <f t="shared" si="55"/>
        <v>11.728170254438998</v>
      </c>
      <c r="N662">
        <f>I662</f>
        <v>403800.89007341088</v>
      </c>
      <c r="O662" s="1">
        <f>SUM(K$2:K662)/$G$3</f>
        <v>9.447188258738877E-2</v>
      </c>
      <c r="P662" s="1">
        <f>SUM(L$2:L662)/$G$3</f>
        <v>9.9872167984770541E-2</v>
      </c>
      <c r="Q662" s="1">
        <f t="shared" si="51"/>
        <v>94.471882587388777</v>
      </c>
      <c r="R662" s="1">
        <f t="shared" si="52"/>
        <v>99.872167984770542</v>
      </c>
    </row>
    <row r="663" spans="1:18" x14ac:dyDescent="0.35">
      <c r="A663">
        <v>4.6805658591015602</v>
      </c>
      <c r="B663">
        <v>3.4232928417097601</v>
      </c>
      <c r="C663">
        <v>4.1185060517370502</v>
      </c>
      <c r="I663" s="1">
        <f t="shared" si="53"/>
        <v>404400.89022637479</v>
      </c>
      <c r="J663">
        <f t="shared" si="54"/>
        <v>600.00015296391211</v>
      </c>
      <c r="K663" s="1">
        <f t="shared" si="55"/>
        <v>9.6536882747307722</v>
      </c>
      <c r="L663" s="1">
        <f t="shared" si="55"/>
        <v>11.614190026817631</v>
      </c>
      <c r="N663">
        <f>I663</f>
        <v>404400.89022637479</v>
      </c>
      <c r="O663" s="1">
        <f>SUM(K$2:K663)/$G$3</f>
        <v>9.4571936360252226E-2</v>
      </c>
      <c r="P663" s="1">
        <f>SUM(L$2:L663)/$G$3</f>
        <v>9.99925409963974E-2</v>
      </c>
      <c r="Q663" s="1">
        <f t="shared" si="51"/>
        <v>94.571936360252224</v>
      </c>
      <c r="R663" s="1">
        <f t="shared" si="52"/>
        <v>99.992540996397395</v>
      </c>
    </row>
    <row r="664" spans="1:18" x14ac:dyDescent="0.35">
      <c r="A664">
        <v>4.6875103053164198</v>
      </c>
      <c r="B664">
        <v>3.3920721989148199</v>
      </c>
      <c r="C664">
        <v>4.0801265351006899</v>
      </c>
      <c r="I664" s="1">
        <f t="shared" si="53"/>
        <v>405000.89037933864</v>
      </c>
      <c r="J664">
        <f t="shared" si="54"/>
        <v>600.00015296385391</v>
      </c>
      <c r="K664" s="1">
        <f t="shared" si="55"/>
        <v>9.5656460396026421</v>
      </c>
      <c r="L664" s="1">
        <f t="shared" si="55"/>
        <v>11.505959762309779</v>
      </c>
      <c r="N664">
        <f>I664</f>
        <v>405000.89037933864</v>
      </c>
      <c r="O664" s="1">
        <f>SUM(K$2:K664)/$G$3</f>
        <v>9.4671077636508671E-2</v>
      </c>
      <c r="P664" s="1">
        <f>SUM(L$2:L664)/$G$3</f>
        <v>0.10011179227651669</v>
      </c>
      <c r="Q664" s="1">
        <f t="shared" si="51"/>
        <v>94.67107763650867</v>
      </c>
      <c r="R664" s="1">
        <f t="shared" si="52"/>
        <v>100.1117922765167</v>
      </c>
    </row>
    <row r="665" spans="1:18" x14ac:dyDescent="0.35">
      <c r="A665">
        <v>4.69445475153129</v>
      </c>
      <c r="B665">
        <v>3.3608792906652498</v>
      </c>
      <c r="C665">
        <v>4.0444380490969296</v>
      </c>
      <c r="I665" s="1">
        <f t="shared" si="53"/>
        <v>405600.89053230343</v>
      </c>
      <c r="J665">
        <f t="shared" si="54"/>
        <v>600.00015296478523</v>
      </c>
      <c r="K665" s="1">
        <f t="shared" si="55"/>
        <v>9.4776820159280462</v>
      </c>
      <c r="L665" s="1">
        <f t="shared" si="55"/>
        <v>11.40531820613935</v>
      </c>
      <c r="N665">
        <f>I665</f>
        <v>405600.89053230343</v>
      </c>
      <c r="O665" s="1">
        <f>SUM(K$2:K665)/$G$3</f>
        <v>9.4769307226765465E-2</v>
      </c>
      <c r="P665" s="1">
        <f>SUM(L$2:L665)/$G$3</f>
        <v>0.1002300004768187</v>
      </c>
      <c r="Q665" s="1">
        <f t="shared" si="51"/>
        <v>94.769307226765463</v>
      </c>
      <c r="R665" s="1">
        <f t="shared" si="52"/>
        <v>100.2300004768187</v>
      </c>
    </row>
    <row r="666" spans="1:18" x14ac:dyDescent="0.35">
      <c r="A666">
        <v>4.7013991977461496</v>
      </c>
      <c r="B666">
        <v>3.3267028812888499</v>
      </c>
      <c r="C666">
        <v>4.0109096201083902</v>
      </c>
      <c r="I666" s="1">
        <f t="shared" si="53"/>
        <v>406200.89068526734</v>
      </c>
      <c r="J666">
        <f t="shared" si="54"/>
        <v>600.00015296391211</v>
      </c>
      <c r="K666" s="1">
        <f t="shared" si="55"/>
        <v>9.3813045169023468</v>
      </c>
      <c r="L666" s="1">
        <f t="shared" si="55"/>
        <v>11.310768012270467</v>
      </c>
      <c r="N666">
        <f>I666</f>
        <v>406200.89068526734</v>
      </c>
      <c r="O666" s="1">
        <f>SUM(K$2:K666)/$G$3</f>
        <v>9.4866537931195205E-2</v>
      </c>
      <c r="P666" s="1">
        <f>SUM(L$2:L666)/$G$3</f>
        <v>0.1003472287300422</v>
      </c>
      <c r="Q666" s="1">
        <f t="shared" si="51"/>
        <v>94.866537931195211</v>
      </c>
      <c r="R666" s="1">
        <f t="shared" si="52"/>
        <v>100.3472287300422</v>
      </c>
    </row>
    <row r="667" spans="1:18" x14ac:dyDescent="0.35">
      <c r="A667">
        <v>4.70834364396101</v>
      </c>
      <c r="B667">
        <v>3.29410080887736</v>
      </c>
      <c r="C667">
        <v>3.9758661001446201</v>
      </c>
      <c r="I667" s="1">
        <f t="shared" si="53"/>
        <v>406800.89083823125</v>
      </c>
      <c r="J667">
        <f t="shared" si="54"/>
        <v>600.00015296391211</v>
      </c>
      <c r="K667" s="1">
        <f t="shared" si="55"/>
        <v>9.2893666492633251</v>
      </c>
      <c r="L667" s="1">
        <f t="shared" si="55"/>
        <v>11.211945260778784</v>
      </c>
      <c r="N667">
        <f>I667</f>
        <v>406800.89083823125</v>
      </c>
      <c r="O667" s="1">
        <f>SUM(K$2:K667)/$G$3</f>
        <v>9.4962815763493108E-2</v>
      </c>
      <c r="P667" s="1">
        <f>SUM(L$2:L667)/$G$3</f>
        <v>0.10046343275409547</v>
      </c>
      <c r="Q667" s="1">
        <f t="shared" si="51"/>
        <v>94.962815763493111</v>
      </c>
      <c r="R667" s="1">
        <f t="shared" si="52"/>
        <v>100.46343275409548</v>
      </c>
    </row>
    <row r="668" spans="1:18" x14ac:dyDescent="0.35">
      <c r="A668">
        <v>4.7152880901758802</v>
      </c>
      <c r="B668">
        <v>3.2629679608891502</v>
      </c>
      <c r="C668">
        <v>3.9401285457171702</v>
      </c>
      <c r="I668" s="1">
        <f t="shared" si="53"/>
        <v>407400.89099119604</v>
      </c>
      <c r="J668">
        <f t="shared" si="54"/>
        <v>600.00015296478523</v>
      </c>
      <c r="K668" s="1">
        <f t="shared" si="55"/>
        <v>9.2015719955676119</v>
      </c>
      <c r="L668" s="1">
        <f t="shared" si="55"/>
        <v>11.111165331616728</v>
      </c>
      <c r="N668">
        <f>I668</f>
        <v>407400.89099119604</v>
      </c>
      <c r="O668" s="1">
        <f>SUM(K$2:K668)/$G$3</f>
        <v>9.5058183665193557E-2</v>
      </c>
      <c r="P668" s="1">
        <f>SUM(L$2:L668)/$G$3</f>
        <v>0.10057859226419151</v>
      </c>
      <c r="Q668" s="1">
        <f t="shared" si="51"/>
        <v>95.058183665193553</v>
      </c>
      <c r="R668" s="1">
        <f t="shared" si="52"/>
        <v>100.57859226419151</v>
      </c>
    </row>
    <row r="669" spans="1:18" x14ac:dyDescent="0.35">
      <c r="A669">
        <v>4.7222325363907398</v>
      </c>
      <c r="B669">
        <v>3.2314595839268399</v>
      </c>
      <c r="C669">
        <v>3.9023329401874598</v>
      </c>
      <c r="I669" s="1">
        <f t="shared" si="53"/>
        <v>408000.89114415995</v>
      </c>
      <c r="J669">
        <f t="shared" si="54"/>
        <v>600.00015296391211</v>
      </c>
      <c r="K669" s="1">
        <f t="shared" si="55"/>
        <v>9.1127183498681781</v>
      </c>
      <c r="L669" s="1">
        <f t="shared" si="55"/>
        <v>11.004581696834366</v>
      </c>
      <c r="N669">
        <f>I669</f>
        <v>408000.89114415995</v>
      </c>
      <c r="O669" s="1">
        <f>SUM(K$2:K669)/$G$3</f>
        <v>9.5152630660580065E-2</v>
      </c>
      <c r="P669" s="1">
        <f>SUM(L$2:L669)/$G$3</f>
        <v>0.10069264710895322</v>
      </c>
      <c r="Q669" s="1">
        <f t="shared" si="51"/>
        <v>95.152630660580058</v>
      </c>
      <c r="R669" s="1">
        <f t="shared" si="52"/>
        <v>100.69264710895322</v>
      </c>
    </row>
    <row r="670" spans="1:18" x14ac:dyDescent="0.35">
      <c r="A670">
        <v>4.7291769826056003</v>
      </c>
      <c r="B670">
        <v>3.1991108589097501</v>
      </c>
      <c r="C670">
        <v>3.8629392082320302</v>
      </c>
      <c r="I670" s="1">
        <f t="shared" si="53"/>
        <v>408600.89129712386</v>
      </c>
      <c r="J670">
        <f t="shared" si="54"/>
        <v>600.00015296391211</v>
      </c>
      <c r="K670" s="1">
        <f t="shared" si="55"/>
        <v>9.0214949220635035</v>
      </c>
      <c r="L670" s="1">
        <f t="shared" si="55"/>
        <v>10.893491344398706</v>
      </c>
      <c r="N670">
        <f>I670</f>
        <v>408600.89129712386</v>
      </c>
      <c r="O670" s="1">
        <f>SUM(K$2:K670)/$G$3</f>
        <v>9.5246132188507346E-2</v>
      </c>
      <c r="P670" s="1">
        <f>SUM(L$2:L670)/$G$3</f>
        <v>0.10080555057938281</v>
      </c>
      <c r="Q670" s="1">
        <f t="shared" si="51"/>
        <v>95.246132188507346</v>
      </c>
      <c r="R670" s="1">
        <f t="shared" si="52"/>
        <v>100.80555057938281</v>
      </c>
    </row>
    <row r="671" spans="1:18" x14ac:dyDescent="0.35">
      <c r="A671">
        <v>4.7361214288204598</v>
      </c>
      <c r="B671">
        <v>3.1681757796474002</v>
      </c>
      <c r="C671">
        <v>3.8289348134489201</v>
      </c>
      <c r="I671" s="1">
        <f t="shared" si="53"/>
        <v>409200.89145008771</v>
      </c>
      <c r="J671">
        <f t="shared" si="54"/>
        <v>600.00015296385391</v>
      </c>
      <c r="K671" s="1">
        <f t="shared" si="55"/>
        <v>8.9342579763026411</v>
      </c>
      <c r="L671" s="1">
        <f t="shared" si="55"/>
        <v>10.797598926662493</v>
      </c>
      <c r="N671">
        <f>I671</f>
        <v>409200.89145008771</v>
      </c>
      <c r="O671" s="1">
        <f>SUM(K$2:K671)/$G$3</f>
        <v>9.5338729566092489E-2</v>
      </c>
      <c r="P671" s="1">
        <f>SUM(L$2:L671)/$G$3</f>
        <v>0.10091746019151593</v>
      </c>
      <c r="Q671" s="1">
        <f t="shared" si="51"/>
        <v>95.338729566092496</v>
      </c>
      <c r="R671" s="1">
        <f t="shared" si="52"/>
        <v>100.91746019151593</v>
      </c>
    </row>
    <row r="672" spans="1:18" x14ac:dyDescent="0.35">
      <c r="A672">
        <v>4.7430658750353301</v>
      </c>
      <c r="B672">
        <v>3.1367331466668902</v>
      </c>
      <c r="C672">
        <v>3.7977471602006898</v>
      </c>
      <c r="I672" s="1">
        <f t="shared" si="53"/>
        <v>409800.8916030525</v>
      </c>
      <c r="J672">
        <f t="shared" si="54"/>
        <v>600.00015296478523</v>
      </c>
      <c r="K672" s="1">
        <f t="shared" si="55"/>
        <v>8.8455897287062779</v>
      </c>
      <c r="L672" s="1">
        <f t="shared" si="55"/>
        <v>10.709649722097367</v>
      </c>
      <c r="N672">
        <f>I672</f>
        <v>409800.8916030525</v>
      </c>
      <c r="O672" s="1">
        <f>SUM(K$2:K672)/$G$3</f>
        <v>9.5430407958886257E-2</v>
      </c>
      <c r="P672" s="1">
        <f>SUM(L$2:L672)/$G$3</f>
        <v>0.10102845827123917</v>
      </c>
      <c r="Q672" s="1">
        <f t="shared" si="51"/>
        <v>95.430407958886263</v>
      </c>
      <c r="R672" s="1">
        <f t="shared" si="52"/>
        <v>101.02845827123917</v>
      </c>
    </row>
    <row r="673" spans="1:18" x14ac:dyDescent="0.35">
      <c r="A673">
        <v>4.7500103212501896</v>
      </c>
      <c r="B673">
        <v>3.1031229546447698</v>
      </c>
      <c r="C673">
        <v>3.7658723099381102</v>
      </c>
      <c r="I673" s="1">
        <f t="shared" si="53"/>
        <v>410400.89175601641</v>
      </c>
      <c r="J673">
        <f t="shared" si="54"/>
        <v>600.00015296391211</v>
      </c>
      <c r="K673" s="1">
        <f t="shared" si="55"/>
        <v>8.7508089630276373</v>
      </c>
      <c r="L673" s="1">
        <f t="shared" si="55"/>
        <v>10.619762621425508</v>
      </c>
      <c r="N673">
        <f>I673</f>
        <v>410400.89175601641</v>
      </c>
      <c r="O673" s="1">
        <f>SUM(K$2:K673)/$G$3</f>
        <v>9.5521104014884881E-2</v>
      </c>
      <c r="P673" s="1">
        <f>SUM(L$2:L673)/$G$3</f>
        <v>0.1011385247336056</v>
      </c>
      <c r="Q673" s="1">
        <f t="shared" si="51"/>
        <v>95.521104014884884</v>
      </c>
      <c r="R673" s="1">
        <f t="shared" si="52"/>
        <v>101.13852473360561</v>
      </c>
    </row>
    <row r="674" spans="1:18" x14ac:dyDescent="0.35">
      <c r="A674">
        <v>4.7569547674650501</v>
      </c>
      <c r="B674">
        <v>3.07112218981367</v>
      </c>
      <c r="C674">
        <v>3.7350937584294299</v>
      </c>
      <c r="I674" s="1">
        <f t="shared" si="53"/>
        <v>411000.89190898032</v>
      </c>
      <c r="J674">
        <f t="shared" si="54"/>
        <v>600.00015296391211</v>
      </c>
      <c r="K674" s="1">
        <f t="shared" si="55"/>
        <v>8.6605667831976128</v>
      </c>
      <c r="L674" s="1">
        <f t="shared" si="55"/>
        <v>10.532967084043394</v>
      </c>
      <c r="N674">
        <f>I674</f>
        <v>411000.89190898032</v>
      </c>
      <c r="O674" s="1">
        <f>SUM(K$2:K674)/$G$3</f>
        <v>9.5610864773377893E-2</v>
      </c>
      <c r="P674" s="1">
        <f>SUM(L$2:L674)/$G$3</f>
        <v>0.10124769162052112</v>
      </c>
      <c r="Q674" s="1">
        <f t="shared" si="51"/>
        <v>95.610864773377898</v>
      </c>
      <c r="R674" s="1">
        <f t="shared" si="52"/>
        <v>101.24769162052112</v>
      </c>
    </row>
    <row r="675" spans="1:18" x14ac:dyDescent="0.35">
      <c r="A675">
        <v>4.7638992136799096</v>
      </c>
      <c r="B675">
        <v>3.0406834851929099</v>
      </c>
      <c r="C675">
        <v>3.7018965251088698</v>
      </c>
      <c r="I675" s="1">
        <f t="shared" si="53"/>
        <v>411600.89206194418</v>
      </c>
      <c r="J675">
        <f t="shared" si="54"/>
        <v>600.00015296385391</v>
      </c>
      <c r="K675" s="1">
        <f t="shared" si="55"/>
        <v>8.5747296142829281</v>
      </c>
      <c r="L675" s="1">
        <f t="shared" si="55"/>
        <v>10.439350862211901</v>
      </c>
      <c r="N675">
        <f>I675</f>
        <v>411600.89206194418</v>
      </c>
      <c r="O675" s="1">
        <f>SUM(K$2:K675)/$G$3</f>
        <v>9.5699735889243395E-2</v>
      </c>
      <c r="P675" s="1">
        <f>SUM(L$2:L675)/$G$3</f>
        <v>0.10135588824032951</v>
      </c>
      <c r="Q675" s="1">
        <f t="shared" si="51"/>
        <v>95.699735889243399</v>
      </c>
      <c r="R675" s="1">
        <f t="shared" si="52"/>
        <v>101.35588824032951</v>
      </c>
    </row>
    <row r="676" spans="1:18" x14ac:dyDescent="0.35">
      <c r="A676">
        <v>4.7708436598947799</v>
      </c>
      <c r="B676">
        <v>3.0087894440659602</v>
      </c>
      <c r="C676">
        <v>3.6679599369194298</v>
      </c>
      <c r="I676" s="1">
        <f t="shared" si="53"/>
        <v>412200.89221490896</v>
      </c>
      <c r="J676">
        <f t="shared" si="54"/>
        <v>600.00015296478523</v>
      </c>
      <c r="K676" s="1">
        <f t="shared" si="55"/>
        <v>8.484788395388513</v>
      </c>
      <c r="L676" s="1">
        <f t="shared" si="55"/>
        <v>10.343649659135702</v>
      </c>
      <c r="N676">
        <f>I676</f>
        <v>412200.89221490896</v>
      </c>
      <c r="O676" s="1">
        <f>SUM(K$2:K676)/$G$3</f>
        <v>9.5787674826854297E-2</v>
      </c>
      <c r="P676" s="1">
        <f>SUM(L$2:L676)/$G$3</f>
        <v>0.10146309298364853</v>
      </c>
      <c r="Q676" s="1">
        <f t="shared" si="51"/>
        <v>95.7876748268543</v>
      </c>
      <c r="R676" s="1">
        <f t="shared" si="52"/>
        <v>101.46309298364852</v>
      </c>
    </row>
    <row r="677" spans="1:18" x14ac:dyDescent="0.35">
      <c r="A677">
        <v>4.7777881061096403</v>
      </c>
      <c r="B677">
        <v>2.9810979944758</v>
      </c>
      <c r="C677">
        <v>3.6311922386962601</v>
      </c>
      <c r="I677" s="1">
        <f t="shared" si="53"/>
        <v>412800.89236787293</v>
      </c>
      <c r="J677">
        <f t="shared" si="54"/>
        <v>600.00015296397032</v>
      </c>
      <c r="K677" s="1">
        <f t="shared" si="55"/>
        <v>8.4066984876245066</v>
      </c>
      <c r="L677" s="1">
        <f t="shared" si="55"/>
        <v>10.239964723698888</v>
      </c>
      <c r="N677">
        <f>I677</f>
        <v>412800.89236787293</v>
      </c>
      <c r="O677" s="1">
        <f>SUM(K$2:K677)/$G$3</f>
        <v>9.5874804416817755E-2</v>
      </c>
      <c r="P677" s="1">
        <f>SUM(L$2:L677)/$G$3</f>
        <v>0.1015692231046383</v>
      </c>
      <c r="Q677" s="1">
        <f t="shared" si="51"/>
        <v>95.874804416817753</v>
      </c>
      <c r="R677" s="1">
        <f t="shared" si="52"/>
        <v>101.5692231046383</v>
      </c>
    </row>
    <row r="678" spans="1:18" x14ac:dyDescent="0.35">
      <c r="A678">
        <v>4.7847325523244999</v>
      </c>
      <c r="B678">
        <v>2.9527918328734399</v>
      </c>
      <c r="C678">
        <v>3.6009426802039401</v>
      </c>
      <c r="I678" s="1">
        <f t="shared" si="53"/>
        <v>413400.89252083679</v>
      </c>
      <c r="J678">
        <f t="shared" si="54"/>
        <v>600.00015296385391</v>
      </c>
      <c r="K678" s="1">
        <f t="shared" si="55"/>
        <v>8.3268750915540686</v>
      </c>
      <c r="L678" s="1">
        <f t="shared" si="55"/>
        <v>10.15466094700124</v>
      </c>
      <c r="N678">
        <f>I678</f>
        <v>413400.89252083679</v>
      </c>
      <c r="O678" s="1">
        <f>SUM(K$2:K678)/$G$3</f>
        <v>9.5961106692731668E-2</v>
      </c>
      <c r="P678" s="1">
        <f>SUM(L$2:L678)/$G$3</f>
        <v>0.10167446911124037</v>
      </c>
      <c r="Q678" s="1">
        <f t="shared" si="51"/>
        <v>95.961106692731661</v>
      </c>
      <c r="R678" s="1">
        <f t="shared" si="52"/>
        <v>101.67446911124037</v>
      </c>
    </row>
    <row r="679" spans="1:18" x14ac:dyDescent="0.35">
      <c r="A679">
        <v>4.7916769985393701</v>
      </c>
      <c r="B679">
        <v>2.92386678790881</v>
      </c>
      <c r="C679">
        <v>3.5679031275312298</v>
      </c>
      <c r="I679" s="1">
        <f t="shared" si="53"/>
        <v>414000.89267380157</v>
      </c>
      <c r="J679">
        <f t="shared" si="54"/>
        <v>600.00015296478523</v>
      </c>
      <c r="K679" s="1">
        <f t="shared" si="55"/>
        <v>8.2453064439715256</v>
      </c>
      <c r="L679" s="1">
        <f t="shared" si="55"/>
        <v>10.061489384726684</v>
      </c>
      <c r="N679">
        <f>I679</f>
        <v>414000.89267380157</v>
      </c>
      <c r="O679" s="1">
        <f>SUM(K$2:K679)/$G$3</f>
        <v>9.6046563566276499E-2</v>
      </c>
      <c r="P679" s="1">
        <f>SUM(L$2:L679)/$G$3</f>
        <v>0.10177874945932272</v>
      </c>
      <c r="Q679" s="1">
        <f t="shared" si="51"/>
        <v>96.046563566276504</v>
      </c>
      <c r="R679" s="1">
        <f t="shared" si="52"/>
        <v>101.77874945932273</v>
      </c>
    </row>
    <row r="680" spans="1:18" x14ac:dyDescent="0.35">
      <c r="A680">
        <v>4.7986214447542297</v>
      </c>
      <c r="B680">
        <v>2.8944888666317801</v>
      </c>
      <c r="C680">
        <v>3.5388065108062401</v>
      </c>
      <c r="I680" s="1">
        <f t="shared" si="53"/>
        <v>414600.89282676543</v>
      </c>
      <c r="J680">
        <f t="shared" si="54"/>
        <v>600.00015296385391</v>
      </c>
      <c r="K680" s="1">
        <f t="shared" si="55"/>
        <v>8.1624606848368302</v>
      </c>
      <c r="L680" s="1">
        <f t="shared" si="55"/>
        <v>9.9794369046281641</v>
      </c>
      <c r="N680">
        <f>I680</f>
        <v>414600.89282676543</v>
      </c>
      <c r="O680" s="1">
        <f>SUM(K$2:K680)/$G$3</f>
        <v>9.6131161801078141E-2</v>
      </c>
      <c r="P680" s="1">
        <f>SUM(L$2:L680)/$G$3</f>
        <v>0.10188217939044807</v>
      </c>
      <c r="Q680" s="1">
        <f t="shared" si="51"/>
        <v>96.131161801078136</v>
      </c>
      <c r="R680" s="1">
        <f t="shared" si="52"/>
        <v>101.88217939044807</v>
      </c>
    </row>
    <row r="681" spans="1:18" x14ac:dyDescent="0.35">
      <c r="A681">
        <v>4.8055658909690901</v>
      </c>
      <c r="B681">
        <v>3.4939562556381598</v>
      </c>
      <c r="C681">
        <v>4.05912995135174</v>
      </c>
      <c r="I681" s="1">
        <f t="shared" si="53"/>
        <v>415200.8929797294</v>
      </c>
      <c r="J681">
        <f t="shared" si="54"/>
        <v>600.00015296397032</v>
      </c>
      <c r="K681" s="1">
        <f t="shared" si="55"/>
        <v>9.8529591528118896</v>
      </c>
      <c r="L681" s="1">
        <f t="shared" si="55"/>
        <v>11.446749381044883</v>
      </c>
      <c r="N681">
        <f>I681</f>
        <v>415200.8929797294</v>
      </c>
      <c r="O681" s="1">
        <f>SUM(K$2:K681)/$G$3</f>
        <v>9.6233280878165892E-2</v>
      </c>
      <c r="P681" s="1">
        <f>SUM(L$2:L681)/$G$3</f>
        <v>0.10200081699609707</v>
      </c>
      <c r="Q681" s="1">
        <f t="shared" si="51"/>
        <v>96.233280878165885</v>
      </c>
      <c r="R681" s="1">
        <f t="shared" si="52"/>
        <v>102.00081699609707</v>
      </c>
    </row>
    <row r="682" spans="1:18" x14ac:dyDescent="0.35">
      <c r="A682">
        <v>4.8125103371839497</v>
      </c>
      <c r="B682">
        <v>8.4716204527939105</v>
      </c>
      <c r="C682">
        <v>9.5002078677264503</v>
      </c>
      <c r="I682" s="1">
        <f t="shared" si="53"/>
        <v>415800.89313269325</v>
      </c>
      <c r="J682">
        <f t="shared" si="54"/>
        <v>600.00015296385391</v>
      </c>
      <c r="K682" s="1">
        <f t="shared" si="55"/>
        <v>23.889975767381884</v>
      </c>
      <c r="L682" s="1">
        <f t="shared" si="55"/>
        <v>26.79059301697411</v>
      </c>
      <c r="N682">
        <f>I682</f>
        <v>415800.89313269325</v>
      </c>
      <c r="O682" s="1">
        <f>SUM(K$2:K682)/$G$3</f>
        <v>9.6480883881403509E-2</v>
      </c>
      <c r="P682" s="1">
        <f>SUM(L$2:L682)/$G$3</f>
        <v>0.102278482882162</v>
      </c>
      <c r="Q682" s="1">
        <f t="shared" si="51"/>
        <v>96.480883881403514</v>
      </c>
      <c r="R682" s="1">
        <f t="shared" si="52"/>
        <v>102.278482882162</v>
      </c>
    </row>
    <row r="683" spans="1:18" x14ac:dyDescent="0.35">
      <c r="A683">
        <v>4.8194547833988199</v>
      </c>
      <c r="B683">
        <v>10.603219125986501</v>
      </c>
      <c r="C683">
        <v>11.0952981476507</v>
      </c>
      <c r="I683" s="1">
        <f t="shared" si="53"/>
        <v>416400.89328565804</v>
      </c>
      <c r="J683">
        <f t="shared" si="54"/>
        <v>600.00015296478523</v>
      </c>
      <c r="K683" s="1">
        <f t="shared" si="55"/>
        <v>29.901085558301876</v>
      </c>
      <c r="L683" s="1">
        <f t="shared" si="55"/>
        <v>31.288748753167496</v>
      </c>
      <c r="N683">
        <f>I683</f>
        <v>416400.89328565804</v>
      </c>
      <c r="O683" s="1">
        <f>SUM(K$2:K683)/$G$3</f>
        <v>9.6790787861901026E-2</v>
      </c>
      <c r="P683" s="1">
        <f>SUM(L$2:L683)/$G$3</f>
        <v>0.10260276902770968</v>
      </c>
      <c r="Q683" s="1">
        <f t="shared" si="51"/>
        <v>96.790787861901023</v>
      </c>
      <c r="R683" s="1">
        <f t="shared" si="52"/>
        <v>102.60276902770968</v>
      </c>
    </row>
    <row r="684" spans="1:18" x14ac:dyDescent="0.35">
      <c r="A684">
        <v>4.8263992296136804</v>
      </c>
      <c r="B684">
        <v>10.9480784177803</v>
      </c>
      <c r="C684">
        <v>11.361953684390199</v>
      </c>
      <c r="I684" s="1">
        <f t="shared" si="53"/>
        <v>417000.89343862201</v>
      </c>
      <c r="J684">
        <f t="shared" si="54"/>
        <v>600.00015296397032</v>
      </c>
      <c r="K684" s="1">
        <f t="shared" si="55"/>
        <v>30.873589009049692</v>
      </c>
      <c r="L684" s="1">
        <f t="shared" si="55"/>
        <v>32.04071755843723</v>
      </c>
      <c r="N684">
        <f>I684</f>
        <v>417000.89343862201</v>
      </c>
      <c r="O684" s="1">
        <f>SUM(K$2:K684)/$G$3</f>
        <v>9.7110771165098933E-2</v>
      </c>
      <c r="P684" s="1">
        <f>SUM(L$2:L684)/$G$3</f>
        <v>0.10293484880755563</v>
      </c>
      <c r="Q684" s="1">
        <f t="shared" si="51"/>
        <v>97.110771165098939</v>
      </c>
      <c r="R684" s="1">
        <f t="shared" si="52"/>
        <v>102.93484880755562</v>
      </c>
    </row>
    <row r="685" spans="1:18" x14ac:dyDescent="0.35">
      <c r="A685">
        <v>4.83334367582854</v>
      </c>
      <c r="B685">
        <v>10.983561484741999</v>
      </c>
      <c r="C685">
        <v>11.444735597550499</v>
      </c>
      <c r="I685" s="1">
        <f t="shared" si="53"/>
        <v>417600.89359158586</v>
      </c>
      <c r="J685">
        <f t="shared" si="54"/>
        <v>600.00015296385391</v>
      </c>
      <c r="K685" s="1">
        <f t="shared" si="55"/>
        <v>30.973651283385543</v>
      </c>
      <c r="L685" s="1">
        <f t="shared" si="55"/>
        <v>32.27416261305747</v>
      </c>
      <c r="N685">
        <f>I685</f>
        <v>417600.89359158586</v>
      </c>
      <c r="O685" s="1">
        <f>SUM(K$2:K685)/$G$3</f>
        <v>9.7431791544260307E-2</v>
      </c>
      <c r="P685" s="1">
        <f>SUM(L$2:L685)/$G$3</f>
        <v>0.10326934808322602</v>
      </c>
      <c r="Q685" s="1">
        <f t="shared" si="51"/>
        <v>97.431791544260307</v>
      </c>
      <c r="R685" s="1">
        <f t="shared" si="52"/>
        <v>103.26934808322602</v>
      </c>
    </row>
    <row r="686" spans="1:18" x14ac:dyDescent="0.35">
      <c r="A686">
        <v>4.8402881220434102</v>
      </c>
      <c r="B686">
        <v>10.9749248791203</v>
      </c>
      <c r="C686">
        <v>11.4873869419546</v>
      </c>
      <c r="I686" s="1">
        <f t="shared" si="53"/>
        <v>418200.89374455065</v>
      </c>
      <c r="J686">
        <f t="shared" si="54"/>
        <v>600.00015296478523</v>
      </c>
      <c r="K686" s="1">
        <f t="shared" si="55"/>
        <v>30.949296049371274</v>
      </c>
      <c r="L686" s="1">
        <f t="shared" si="55"/>
        <v>32.394439434990652</v>
      </c>
      <c r="N686">
        <f>I686</f>
        <v>418200.89374455065</v>
      </c>
      <c r="O686" s="1">
        <f>SUM(K$2:K686)/$G$3</f>
        <v>9.7752559498339928E-2</v>
      </c>
      <c r="P686" s="1">
        <f>SUM(L$2:L686)/$G$3</f>
        <v>0.10360509394460335</v>
      </c>
      <c r="Q686" s="1">
        <f t="shared" si="51"/>
        <v>97.752559498339934</v>
      </c>
      <c r="R686" s="1">
        <f t="shared" si="52"/>
        <v>103.60509394460335</v>
      </c>
    </row>
    <row r="687" spans="1:18" x14ac:dyDescent="0.35">
      <c r="A687">
        <v>4.8472325682582698</v>
      </c>
      <c r="B687">
        <v>10.9463173563112</v>
      </c>
      <c r="C687">
        <v>11.491535008527</v>
      </c>
      <c r="I687" s="1">
        <f t="shared" si="53"/>
        <v>418800.8938975145</v>
      </c>
      <c r="J687">
        <f t="shared" si="54"/>
        <v>600.00015296385391</v>
      </c>
      <c r="K687" s="1">
        <f t="shared" si="55"/>
        <v>30.868622814434765</v>
      </c>
      <c r="L687" s="1">
        <f t="shared" si="55"/>
        <v>32.406136985656708</v>
      </c>
      <c r="N687">
        <f>I687</f>
        <v>418800.8938975145</v>
      </c>
      <c r="O687" s="1">
        <f>SUM(K$2:K687)/$G$3</f>
        <v>9.8072491330380498E-2</v>
      </c>
      <c r="P687" s="1">
        <f>SUM(L$2:L687)/$G$3</f>
        <v>0.10394096104296742</v>
      </c>
      <c r="Q687" s="1">
        <f t="shared" si="51"/>
        <v>98.072491330380501</v>
      </c>
      <c r="R687" s="1">
        <f t="shared" si="52"/>
        <v>103.94096104296742</v>
      </c>
    </row>
    <row r="688" spans="1:18" x14ac:dyDescent="0.35">
      <c r="A688">
        <v>4.8541770144731302</v>
      </c>
      <c r="B688">
        <v>10.9140904747715</v>
      </c>
      <c r="C688">
        <v>11.484984814434601</v>
      </c>
      <c r="I688" s="1">
        <f t="shared" si="53"/>
        <v>419400.89405047847</v>
      </c>
      <c r="J688">
        <f t="shared" si="54"/>
        <v>600.00015296397032</v>
      </c>
      <c r="K688" s="1">
        <f t="shared" si="55"/>
        <v>30.777742985329908</v>
      </c>
      <c r="L688" s="1">
        <f t="shared" si="55"/>
        <v>32.387665433613293</v>
      </c>
      <c r="N688">
        <f>I688</f>
        <v>419400.89405047847</v>
      </c>
      <c r="O688" s="1">
        <f>SUM(K$2:K688)/$G$3</f>
        <v>9.8391481256123667E-2</v>
      </c>
      <c r="P688" s="1">
        <f>SUM(L$2:L688)/$G$3</f>
        <v>0.10427663669652613</v>
      </c>
      <c r="Q688" s="1">
        <f t="shared" si="51"/>
        <v>98.391481256123669</v>
      </c>
      <c r="R688" s="1">
        <f t="shared" si="52"/>
        <v>104.27663669652614</v>
      </c>
    </row>
    <row r="689" spans="1:18" x14ac:dyDescent="0.35">
      <c r="A689">
        <v>4.8611214606879898</v>
      </c>
      <c r="B689">
        <v>10.8821848247188</v>
      </c>
      <c r="C689">
        <v>11.4676935223074</v>
      </c>
      <c r="I689" s="1">
        <f t="shared" si="53"/>
        <v>420000.89420344232</v>
      </c>
      <c r="J689">
        <f t="shared" si="54"/>
        <v>600.00015296385391</v>
      </c>
      <c r="K689" s="1">
        <f t="shared" si="55"/>
        <v>30.687769029237391</v>
      </c>
      <c r="L689" s="1">
        <f t="shared" si="55"/>
        <v>32.338903977377072</v>
      </c>
      <c r="N689">
        <f>I689</f>
        <v>420000.89420344232</v>
      </c>
      <c r="O689" s="1">
        <f>SUM(K$2:K689)/$G$3</f>
        <v>9.8709538664313923E-2</v>
      </c>
      <c r="P689" s="1">
        <f>SUM(L$2:L689)/$G$3</f>
        <v>0.10461180697146397</v>
      </c>
      <c r="Q689" s="1">
        <f t="shared" si="51"/>
        <v>98.709538664313925</v>
      </c>
      <c r="R689" s="1">
        <f t="shared" si="52"/>
        <v>104.61180697146396</v>
      </c>
    </row>
    <row r="690" spans="1:18" x14ac:dyDescent="0.35">
      <c r="A690">
        <v>4.86806590690286</v>
      </c>
      <c r="B690">
        <v>10.837107315820999</v>
      </c>
      <c r="C690">
        <v>11.449948442412699</v>
      </c>
      <c r="I690" s="1">
        <f t="shared" si="53"/>
        <v>420600.89435640711</v>
      </c>
      <c r="J690">
        <f t="shared" si="54"/>
        <v>600.00015296478523</v>
      </c>
      <c r="K690" s="1">
        <f t="shared" si="55"/>
        <v>30.560650421785446</v>
      </c>
      <c r="L690" s="1">
        <f t="shared" si="55"/>
        <v>32.288862839366665</v>
      </c>
      <c r="N690">
        <f>I690</f>
        <v>420600.89435640711</v>
      </c>
      <c r="O690" s="1">
        <f>SUM(K$2:K690)/$G$3</f>
        <v>9.9026278576443125E-2</v>
      </c>
      <c r="P690" s="1">
        <f>SUM(L$2:L690)/$G$3</f>
        <v>0.10494645860476828</v>
      </c>
      <c r="Q690" s="1">
        <f t="shared" si="51"/>
        <v>99.026278576443119</v>
      </c>
      <c r="R690" s="1">
        <f t="shared" si="52"/>
        <v>104.94645860476828</v>
      </c>
    </row>
    <row r="691" spans="1:18" x14ac:dyDescent="0.35">
      <c r="A691">
        <v>4.8750103531177196</v>
      </c>
      <c r="B691">
        <v>10.7828258964055</v>
      </c>
      <c r="C691">
        <v>11.4263422542972</v>
      </c>
      <c r="I691" s="1">
        <f t="shared" si="53"/>
        <v>421200.89450937096</v>
      </c>
      <c r="J691">
        <f t="shared" si="54"/>
        <v>600.00015296385391</v>
      </c>
      <c r="K691" s="1">
        <f t="shared" si="55"/>
        <v>30.407576779961758</v>
      </c>
      <c r="L691" s="1">
        <f t="shared" si="55"/>
        <v>32.222293371859635</v>
      </c>
      <c r="N691">
        <f>I691</f>
        <v>421200.89450937096</v>
      </c>
      <c r="O691" s="1">
        <f>SUM(K$2:K691)/$G$3</f>
        <v>9.9341431986610107E-2</v>
      </c>
      <c r="P691" s="1">
        <f>SUM(L$2:L691)/$G$3</f>
        <v>0.10528042029178554</v>
      </c>
      <c r="Q691" s="1">
        <f t="shared" si="51"/>
        <v>99.341431986610104</v>
      </c>
      <c r="R691" s="1">
        <f t="shared" si="52"/>
        <v>105.28042029178555</v>
      </c>
    </row>
    <row r="692" spans="1:18" x14ac:dyDescent="0.35">
      <c r="A692">
        <v>4.88195479933258</v>
      </c>
      <c r="B692">
        <v>10.739492322894501</v>
      </c>
      <c r="C692">
        <v>11.397627342345601</v>
      </c>
      <c r="I692" s="1">
        <f t="shared" si="53"/>
        <v>421800.89466233493</v>
      </c>
      <c r="J692">
        <f t="shared" si="54"/>
        <v>600.00015296397032</v>
      </c>
      <c r="K692" s="1">
        <f t="shared" si="55"/>
        <v>30.2853760715128</v>
      </c>
      <c r="L692" s="1">
        <f t="shared" si="55"/>
        <v>32.141317299518349</v>
      </c>
      <c r="N692">
        <f>I692</f>
        <v>421800.89466233493</v>
      </c>
      <c r="O692" s="1">
        <f>SUM(K$2:K692)/$G$3</f>
        <v>9.9655318871322895E-2</v>
      </c>
      <c r="P692" s="1">
        <f>SUM(L$2:L692)/$G$3</f>
        <v>0.10561354271806443</v>
      </c>
      <c r="Q692" s="1">
        <f t="shared" si="51"/>
        <v>99.655318871322891</v>
      </c>
      <c r="R692" s="1">
        <f t="shared" si="52"/>
        <v>105.61354271806444</v>
      </c>
    </row>
    <row r="693" spans="1:18" x14ac:dyDescent="0.35">
      <c r="A693">
        <v>4.8888992455474396</v>
      </c>
      <c r="B693">
        <v>10.7058381765628</v>
      </c>
      <c r="C693">
        <v>11.3836608056474</v>
      </c>
      <c r="I693" s="1">
        <f t="shared" si="53"/>
        <v>422400.89481529879</v>
      </c>
      <c r="J693">
        <f t="shared" si="54"/>
        <v>600.00015296385391</v>
      </c>
      <c r="K693" s="1">
        <f t="shared" si="55"/>
        <v>30.190471354656552</v>
      </c>
      <c r="L693" s="1">
        <f t="shared" si="55"/>
        <v>32.10193165598222</v>
      </c>
      <c r="N693">
        <f>I693</f>
        <v>422400.89481529879</v>
      </c>
      <c r="O693" s="1">
        <f>SUM(K$2:K693)/$G$3</f>
        <v>9.996822213457271E-2</v>
      </c>
      <c r="P693" s="1">
        <f>SUM(L$2:L693)/$G$3</f>
        <v>0.10594625693950799</v>
      </c>
      <c r="Q693" s="1">
        <f t="shared" si="51"/>
        <v>99.968222134572713</v>
      </c>
      <c r="R693" s="1">
        <f t="shared" si="52"/>
        <v>105.94625693950799</v>
      </c>
    </row>
    <row r="694" spans="1:18" x14ac:dyDescent="0.35">
      <c r="A694">
        <v>4.8958436917623098</v>
      </c>
      <c r="B694">
        <v>10.6670673380758</v>
      </c>
      <c r="C694">
        <v>11.363398982178399</v>
      </c>
      <c r="I694" s="1">
        <f t="shared" si="53"/>
        <v>423000.89496826357</v>
      </c>
      <c r="J694">
        <f t="shared" si="54"/>
        <v>600.00015296478523</v>
      </c>
      <c r="K694" s="1">
        <f t="shared" si="55"/>
        <v>30.081137562296377</v>
      </c>
      <c r="L694" s="1">
        <f t="shared" si="55"/>
        <v>32.044793299282546</v>
      </c>
      <c r="N694">
        <f>I694</f>
        <v>423000.89496826357</v>
      </c>
      <c r="O694" s="1">
        <f>SUM(K$2:K694)/$G$3</f>
        <v>0.10027999222901532</v>
      </c>
      <c r="P694" s="1">
        <f>SUM(L$2:L694)/$G$3</f>
        <v>0.10627837896157652</v>
      </c>
      <c r="Q694" s="1">
        <f t="shared" si="51"/>
        <v>100.27999222901532</v>
      </c>
      <c r="R694" s="1">
        <f t="shared" si="52"/>
        <v>106.27837896157652</v>
      </c>
    </row>
    <row r="695" spans="1:18" x14ac:dyDescent="0.35">
      <c r="A695">
        <v>4.9027881379771703</v>
      </c>
      <c r="B695">
        <v>10.617484779114999</v>
      </c>
      <c r="C695">
        <v>11.3494123719763</v>
      </c>
      <c r="I695" s="1">
        <f t="shared" si="53"/>
        <v>423600.89512122748</v>
      </c>
      <c r="J695">
        <f t="shared" si="54"/>
        <v>600.00015296391211</v>
      </c>
      <c r="K695" s="1">
        <f t="shared" si="55"/>
        <v>29.941314710336741</v>
      </c>
      <c r="L695" s="1">
        <f t="shared" si="55"/>
        <v>32.005351048410596</v>
      </c>
      <c r="N695">
        <f>I695</f>
        <v>423600.89512122748</v>
      </c>
      <c r="O695" s="1">
        <f>SUM(K$2:K695)/$G$3</f>
        <v>0.10059031315672778</v>
      </c>
      <c r="P695" s="1">
        <f>SUM(L$2:L695)/$G$3</f>
        <v>0.10661009219211402</v>
      </c>
      <c r="Q695" s="1">
        <f t="shared" si="51"/>
        <v>100.59031315672779</v>
      </c>
      <c r="R695" s="1">
        <f t="shared" si="52"/>
        <v>106.61009219211402</v>
      </c>
    </row>
    <row r="696" spans="1:18" x14ac:dyDescent="0.35">
      <c r="A696">
        <v>4.9097325841920298</v>
      </c>
      <c r="B696">
        <v>10.559902436648899</v>
      </c>
      <c r="C696">
        <v>11.3441618966547</v>
      </c>
      <c r="I696" s="1">
        <f t="shared" si="53"/>
        <v>424200.8952741914</v>
      </c>
      <c r="J696">
        <f t="shared" si="54"/>
        <v>600.00015296391211</v>
      </c>
      <c r="K696" s="1">
        <f t="shared" si="55"/>
        <v>29.778932463184642</v>
      </c>
      <c r="L696" s="1">
        <f t="shared" si="55"/>
        <v>31.990544704228956</v>
      </c>
      <c r="N696">
        <f>I696</f>
        <v>424200.8952741914</v>
      </c>
      <c r="O696" s="1">
        <f>SUM(K$2:K696)/$G$3</f>
        <v>0.1008989511052502</v>
      </c>
      <c r="P696" s="1">
        <f>SUM(L$2:L696)/$G$3</f>
        <v>0.10694165196517956</v>
      </c>
      <c r="Q696" s="1">
        <f t="shared" si="51"/>
        <v>100.89895110525019</v>
      </c>
      <c r="R696" s="1">
        <f t="shared" si="52"/>
        <v>106.94165196517956</v>
      </c>
    </row>
    <row r="697" spans="1:18" x14ac:dyDescent="0.35">
      <c r="A697">
        <v>4.9166770304069001</v>
      </c>
      <c r="B697">
        <v>10.511151890122701</v>
      </c>
      <c r="C697">
        <v>11.3231302214701</v>
      </c>
      <c r="I697" s="1">
        <f t="shared" si="53"/>
        <v>424800.89542715618</v>
      </c>
      <c r="J697">
        <f t="shared" si="54"/>
        <v>600.00015296478523</v>
      </c>
      <c r="K697" s="1">
        <f t="shared" si="55"/>
        <v>29.641455886975645</v>
      </c>
      <c r="L697" s="1">
        <f t="shared" si="55"/>
        <v>31.93123536513454</v>
      </c>
      <c r="N697">
        <f>I697</f>
        <v>424800.89542715618</v>
      </c>
      <c r="O697" s="1">
        <f>SUM(K$2:K697)/$G$3</f>
        <v>0.10120616420456073</v>
      </c>
      <c r="P697" s="1">
        <f>SUM(L$2:L697)/$G$3</f>
        <v>0.10727259703814566</v>
      </c>
      <c r="Q697" s="1">
        <f t="shared" si="51"/>
        <v>101.20616420456074</v>
      </c>
      <c r="R697" s="1">
        <f t="shared" si="52"/>
        <v>107.27259703814566</v>
      </c>
    </row>
    <row r="698" spans="1:18" x14ac:dyDescent="0.35">
      <c r="A698">
        <v>4.9236214766217596</v>
      </c>
      <c r="B698">
        <v>10.4513448462908</v>
      </c>
      <c r="C698">
        <v>11.284801364050001</v>
      </c>
      <c r="I698" s="1">
        <f t="shared" si="53"/>
        <v>425400.89558012004</v>
      </c>
      <c r="J698">
        <f t="shared" si="54"/>
        <v>600.00015296385391</v>
      </c>
      <c r="K698" s="1">
        <f t="shared" si="55"/>
        <v>29.472799980326592</v>
      </c>
      <c r="L698" s="1">
        <f t="shared" si="55"/>
        <v>31.823147959604526</v>
      </c>
      <c r="N698">
        <f>I698</f>
        <v>425400.89558012004</v>
      </c>
      <c r="O698" s="1">
        <f>SUM(K$2:K698)/$G$3</f>
        <v>0.10151162930255862</v>
      </c>
      <c r="P698" s="1">
        <f>SUM(L$2:L698)/$G$3</f>
        <v>0.10760242186023827</v>
      </c>
      <c r="Q698" s="1">
        <f t="shared" si="51"/>
        <v>101.51162930255862</v>
      </c>
      <c r="R698" s="1">
        <f t="shared" si="52"/>
        <v>107.60242186023828</v>
      </c>
    </row>
    <row r="699" spans="1:18" x14ac:dyDescent="0.35">
      <c r="A699">
        <v>4.9305659228366201</v>
      </c>
      <c r="B699">
        <v>10.394465033509899</v>
      </c>
      <c r="C699">
        <v>11.2721169639498</v>
      </c>
      <c r="I699" s="1">
        <f t="shared" si="53"/>
        <v>426000.89573308395</v>
      </c>
      <c r="J699">
        <f t="shared" si="54"/>
        <v>600.00015296391211</v>
      </c>
      <c r="K699" s="1">
        <f t="shared" si="55"/>
        <v>29.312398867394684</v>
      </c>
      <c r="L699" s="1">
        <f t="shared" si="55"/>
        <v>31.78737794220585</v>
      </c>
      <c r="N699">
        <f>I699</f>
        <v>426000.89573308395</v>
      </c>
      <c r="O699" s="1">
        <f>SUM(K$2:K699)/$G$3</f>
        <v>0.10181543195444642</v>
      </c>
      <c r="P699" s="1">
        <f>SUM(L$2:L699)/$G$3</f>
        <v>0.10793187595094882</v>
      </c>
      <c r="Q699" s="1">
        <f t="shared" si="51"/>
        <v>101.81543195444642</v>
      </c>
      <c r="R699" s="1">
        <f t="shared" si="52"/>
        <v>107.93187595094882</v>
      </c>
    </row>
    <row r="700" spans="1:18" x14ac:dyDescent="0.35">
      <c r="A700">
        <v>4.9375103690514797</v>
      </c>
      <c r="B700">
        <v>10.3449139972798</v>
      </c>
      <c r="C700">
        <v>11.265518476154</v>
      </c>
      <c r="I700" s="1">
        <f t="shared" si="53"/>
        <v>426600.89588604786</v>
      </c>
      <c r="J700">
        <f t="shared" si="54"/>
        <v>600.00015296391211</v>
      </c>
      <c r="K700" s="1">
        <f t="shared" si="55"/>
        <v>29.172664909602059</v>
      </c>
      <c r="L700" s="1">
        <f t="shared" si="55"/>
        <v>31.768770201877839</v>
      </c>
      <c r="N700">
        <f>I700</f>
        <v>426600.89588604786</v>
      </c>
      <c r="O700" s="1">
        <f>SUM(K$2:K700)/$G$3</f>
        <v>0.10211778636093034</v>
      </c>
      <c r="P700" s="1">
        <f>SUM(L$2:L700)/$G$3</f>
        <v>0.10826113718535704</v>
      </c>
      <c r="Q700" s="1">
        <f t="shared" si="51"/>
        <v>102.11778636093034</v>
      </c>
      <c r="R700" s="1">
        <f t="shared" si="52"/>
        <v>108.26113718535704</v>
      </c>
    </row>
    <row r="701" spans="1:18" x14ac:dyDescent="0.35">
      <c r="A701">
        <v>4.9444548152663499</v>
      </c>
      <c r="B701">
        <v>10.2831019966093</v>
      </c>
      <c r="C701">
        <v>11.238968964959801</v>
      </c>
      <c r="I701" s="1">
        <f t="shared" si="53"/>
        <v>427200.89603901264</v>
      </c>
      <c r="J701">
        <f t="shared" si="54"/>
        <v>600.00015296478523</v>
      </c>
      <c r="K701" s="1">
        <f t="shared" si="55"/>
        <v>28.998355023314922</v>
      </c>
      <c r="L701" s="1">
        <f t="shared" si="55"/>
        <v>31.693900561269068</v>
      </c>
      <c r="N701">
        <f>I701</f>
        <v>427200.89603901264</v>
      </c>
      <c r="O701" s="1">
        <f>SUM(K$2:K701)/$G$3</f>
        <v>0.10241833416653034</v>
      </c>
      <c r="P701" s="1">
        <f>SUM(L$2:L701)/$G$3</f>
        <v>0.10858962244794987</v>
      </c>
      <c r="Q701" s="1">
        <f t="shared" si="51"/>
        <v>102.41833416653034</v>
      </c>
      <c r="R701" s="1">
        <f t="shared" si="52"/>
        <v>108.58962244794986</v>
      </c>
    </row>
    <row r="702" spans="1:18" x14ac:dyDescent="0.35">
      <c r="A702">
        <v>4.9513992614812103</v>
      </c>
      <c r="B702">
        <v>10.211671462346199</v>
      </c>
      <c r="C702">
        <v>11.2222258271399</v>
      </c>
      <c r="I702" s="1">
        <f t="shared" si="53"/>
        <v>427800.89619197656</v>
      </c>
      <c r="J702">
        <f t="shared" si="54"/>
        <v>600.00015296391211</v>
      </c>
      <c r="K702" s="1">
        <f t="shared" si="55"/>
        <v>28.796920865297203</v>
      </c>
      <c r="L702" s="1">
        <f t="shared" si="55"/>
        <v>31.646684900533671</v>
      </c>
      <c r="N702">
        <f>I702</f>
        <v>427800.89619197656</v>
      </c>
      <c r="O702" s="1">
        <f>SUM(K$2:K702)/$G$3</f>
        <v>0.10271679424701226</v>
      </c>
      <c r="P702" s="1">
        <f>SUM(L$2:L702)/$G$3</f>
        <v>0.10891761835301836</v>
      </c>
      <c r="Q702" s="1">
        <f t="shared" si="51"/>
        <v>102.71679424701226</v>
      </c>
      <c r="R702" s="1">
        <f t="shared" si="52"/>
        <v>108.91761835301836</v>
      </c>
    </row>
    <row r="703" spans="1:18" x14ac:dyDescent="0.35">
      <c r="A703">
        <v>4.9583437076960699</v>
      </c>
      <c r="B703">
        <v>10.121528491458999</v>
      </c>
      <c r="C703">
        <v>11.2142461030967</v>
      </c>
      <c r="I703" s="1">
        <f t="shared" si="53"/>
        <v>428400.89634494047</v>
      </c>
      <c r="J703">
        <f t="shared" si="54"/>
        <v>600.00015296391211</v>
      </c>
      <c r="K703" s="1">
        <f t="shared" si="55"/>
        <v>28.542717622588775</v>
      </c>
      <c r="L703" s="1">
        <f t="shared" si="55"/>
        <v>31.624182072994987</v>
      </c>
      <c r="N703">
        <f>I703</f>
        <v>428400.89634494047</v>
      </c>
      <c r="O703" s="1">
        <f>SUM(K$2:K703)/$G$3</f>
        <v>0.10301261968747025</v>
      </c>
      <c r="P703" s="1">
        <f>SUM(L$2:L703)/$G$3</f>
        <v>0.10924538103191141</v>
      </c>
      <c r="Q703" s="1">
        <f t="shared" si="51"/>
        <v>103.01261968747025</v>
      </c>
      <c r="R703" s="1">
        <f t="shared" si="52"/>
        <v>109.24538103191141</v>
      </c>
    </row>
    <row r="704" spans="1:18" x14ac:dyDescent="0.35">
      <c r="A704">
        <v>4.9652881539109401</v>
      </c>
      <c r="B704">
        <v>10.0344751140301</v>
      </c>
      <c r="C704">
        <v>11.2020106398205</v>
      </c>
      <c r="I704" s="1">
        <f t="shared" si="53"/>
        <v>429000.89649790525</v>
      </c>
      <c r="J704">
        <f t="shared" si="54"/>
        <v>600.00015296478523</v>
      </c>
      <c r="K704" s="1">
        <f t="shared" si="55"/>
        <v>28.297227035695137</v>
      </c>
      <c r="L704" s="1">
        <f t="shared" si="55"/>
        <v>31.589678057805624</v>
      </c>
      <c r="N704">
        <f>I704</f>
        <v>429000.89649790525</v>
      </c>
      <c r="O704" s="1">
        <f>SUM(K$2:K704)/$G$3</f>
        <v>0.10330590078852943</v>
      </c>
      <c r="P704" s="1">
        <f>SUM(L$2:L704)/$G$3</f>
        <v>0.10957278610065584</v>
      </c>
      <c r="Q704" s="1">
        <f t="shared" si="51"/>
        <v>103.30590078852943</v>
      </c>
      <c r="R704" s="1">
        <f t="shared" si="52"/>
        <v>109.57278610065583</v>
      </c>
    </row>
    <row r="705" spans="1:18" x14ac:dyDescent="0.35">
      <c r="A705">
        <v>4.9722326001257997</v>
      </c>
      <c r="B705">
        <v>9.9394763320523793</v>
      </c>
      <c r="C705">
        <v>11.200223782188001</v>
      </c>
      <c r="I705" s="1">
        <f t="shared" si="53"/>
        <v>429600.89665086911</v>
      </c>
      <c r="J705">
        <f t="shared" si="54"/>
        <v>600.00015296385391</v>
      </c>
      <c r="K705" s="1">
        <f t="shared" si="55"/>
        <v>28.029330402176559</v>
      </c>
      <c r="L705" s="1">
        <f t="shared" si="55"/>
        <v>31.584639117948317</v>
      </c>
      <c r="N705">
        <f>I705</f>
        <v>429600.89665086911</v>
      </c>
      <c r="O705" s="1">
        <f>SUM(K$2:K705)/$G$3</f>
        <v>0.1035964053270813</v>
      </c>
      <c r="P705" s="1">
        <f>SUM(L$2:L705)/$G$3</f>
        <v>0.10990013894428902</v>
      </c>
      <c r="Q705" s="1">
        <f t="shared" si="51"/>
        <v>103.5964053270813</v>
      </c>
      <c r="R705" s="1">
        <f t="shared" si="52"/>
        <v>109.90013894428901</v>
      </c>
    </row>
    <row r="706" spans="1:18" x14ac:dyDescent="0.35">
      <c r="A706">
        <v>4.9791770463406602</v>
      </c>
      <c r="B706">
        <v>9.8610498141734499</v>
      </c>
      <c r="C706">
        <v>11.152089296747301</v>
      </c>
      <c r="I706" s="1">
        <f t="shared" si="53"/>
        <v>430200.89680383302</v>
      </c>
      <c r="J706">
        <f t="shared" si="54"/>
        <v>600.00015296391211</v>
      </c>
      <c r="K706" s="1">
        <f t="shared" si="55"/>
        <v>27.808167565377488</v>
      </c>
      <c r="L706" s="1">
        <f t="shared" si="55"/>
        <v>31.448899834403264</v>
      </c>
      <c r="N706">
        <f>I706</f>
        <v>430200.89680383302</v>
      </c>
      <c r="O706" s="1">
        <f>SUM(K$2:K706)/$G$3</f>
        <v>0.10388461766646438</v>
      </c>
      <c r="P706" s="1">
        <f>SUM(L$2:L706)/$G$3</f>
        <v>0.11022608494454195</v>
      </c>
      <c r="Q706" s="1">
        <f t="shared" ref="Q706:Q769" si="56">O706*1000</f>
        <v>103.88461766646438</v>
      </c>
      <c r="R706" s="1">
        <f t="shared" ref="R706:R769" si="57">P706*1000</f>
        <v>110.22608494454195</v>
      </c>
    </row>
    <row r="707" spans="1:18" x14ac:dyDescent="0.35">
      <c r="A707">
        <v>4.9861214925555197</v>
      </c>
      <c r="B707">
        <v>9.7800502300872907</v>
      </c>
      <c r="C707">
        <v>11.121065220200499</v>
      </c>
      <c r="I707" s="1">
        <f t="shared" ref="I707:I770" si="58">A707*86400</f>
        <v>430800.89695679693</v>
      </c>
      <c r="J707">
        <f t="shared" si="54"/>
        <v>600.00015296391211</v>
      </c>
      <c r="K707" s="1">
        <f t="shared" si="55"/>
        <v>27.579748680021456</v>
      </c>
      <c r="L707" s="1">
        <f t="shared" si="55"/>
        <v>31.361411916237131</v>
      </c>
      <c r="N707">
        <f>I707</f>
        <v>430800.89695679693</v>
      </c>
      <c r="O707" s="1">
        <f>SUM(K$2:K707)/$G$3</f>
        <v>0.10417046260277596</v>
      </c>
      <c r="P707" s="1">
        <f>SUM(L$2:L707)/$G$3</f>
        <v>0.1105511241932981</v>
      </c>
      <c r="Q707" s="1">
        <f t="shared" si="56"/>
        <v>104.17046260277596</v>
      </c>
      <c r="R707" s="1">
        <f t="shared" si="57"/>
        <v>110.55112419329809</v>
      </c>
    </row>
    <row r="708" spans="1:18" x14ac:dyDescent="0.35">
      <c r="A708">
        <v>4.99306593877039</v>
      </c>
      <c r="B708">
        <v>9.7177339115239896</v>
      </c>
      <c r="C708">
        <v>11.045700779464401</v>
      </c>
      <c r="I708" s="1">
        <f t="shared" si="58"/>
        <v>431400.89710976172</v>
      </c>
      <c r="J708">
        <f t="shared" si="54"/>
        <v>600.00015296478523</v>
      </c>
      <c r="K708" s="1">
        <f t="shared" si="55"/>
        <v>27.404016616911733</v>
      </c>
      <c r="L708" s="1">
        <f t="shared" si="55"/>
        <v>31.148884139224876</v>
      </c>
      <c r="N708">
        <f>I708</f>
        <v>431400.89710976172</v>
      </c>
      <c r="O708" s="1">
        <f>SUM(K$2:K708)/$G$3</f>
        <v>0.10445448619832876</v>
      </c>
      <c r="P708" s="1">
        <f>SUM(L$2:L708)/$G$3</f>
        <v>0.11087396073928169</v>
      </c>
      <c r="Q708" s="1">
        <f t="shared" si="56"/>
        <v>104.45448619832875</v>
      </c>
      <c r="R708" s="1">
        <f t="shared" si="57"/>
        <v>110.87396073928169</v>
      </c>
    </row>
    <row r="709" spans="1:18" x14ac:dyDescent="0.35">
      <c r="A709">
        <v>5.0000103849852504</v>
      </c>
      <c r="B709">
        <v>9.6325296274372096</v>
      </c>
      <c r="C709">
        <v>11.0457663066148</v>
      </c>
      <c r="I709" s="1">
        <f t="shared" si="58"/>
        <v>432000.89726272563</v>
      </c>
      <c r="J709">
        <f t="shared" si="54"/>
        <v>600.00015296391211</v>
      </c>
      <c r="K709" s="1">
        <f t="shared" si="55"/>
        <v>27.163740474491185</v>
      </c>
      <c r="L709" s="1">
        <f t="shared" si="55"/>
        <v>31.149068925790782</v>
      </c>
      <c r="N709">
        <f>I709</f>
        <v>432000.89726272563</v>
      </c>
      <c r="O709" s="1">
        <f>SUM(K$2:K709)/$G$3</f>
        <v>0.1047360194985774</v>
      </c>
      <c r="P709" s="1">
        <f>SUM(L$2:L709)/$G$3</f>
        <v>0.11119679920044966</v>
      </c>
      <c r="Q709" s="1">
        <f t="shared" si="56"/>
        <v>104.73601949857741</v>
      </c>
      <c r="R709" s="1">
        <f t="shared" si="57"/>
        <v>111.19679920044966</v>
      </c>
    </row>
    <row r="710" spans="1:18" x14ac:dyDescent="0.35">
      <c r="A710">
        <v>5.00695483120011</v>
      </c>
      <c r="B710">
        <v>9.5654122892874707</v>
      </c>
      <c r="C710">
        <v>11.0354305225256</v>
      </c>
      <c r="I710" s="1">
        <f t="shared" si="58"/>
        <v>432600.89741568948</v>
      </c>
      <c r="J710">
        <f t="shared" ref="J710:J773" si="59">I710-I709</f>
        <v>600.00015296385391</v>
      </c>
      <c r="K710" s="1">
        <f t="shared" si="55"/>
        <v>26.974469532653611</v>
      </c>
      <c r="L710" s="1">
        <f t="shared" si="55"/>
        <v>31.119922007225508</v>
      </c>
      <c r="N710">
        <f>I710</f>
        <v>432600.89741568948</v>
      </c>
      <c r="O710" s="1">
        <f>SUM(K$2:K710)/$G$3</f>
        <v>0.1050155911369943</v>
      </c>
      <c r="P710" s="1">
        <f>SUM(L$2:L710)/$G$3</f>
        <v>0.11151933557405409</v>
      </c>
      <c r="Q710" s="1">
        <f t="shared" si="56"/>
        <v>105.0155911369943</v>
      </c>
      <c r="R710" s="1">
        <f t="shared" si="57"/>
        <v>111.5193355740541</v>
      </c>
    </row>
    <row r="711" spans="1:18" x14ac:dyDescent="0.35">
      <c r="A711">
        <v>5.0138992774149704</v>
      </c>
      <c r="B711">
        <v>9.5015139624435498</v>
      </c>
      <c r="C711">
        <v>11.016169175194101</v>
      </c>
      <c r="I711" s="1">
        <f t="shared" si="58"/>
        <v>433200.89756865345</v>
      </c>
      <c r="J711">
        <f t="shared" si="59"/>
        <v>600.00015296397032</v>
      </c>
      <c r="K711" s="1">
        <f t="shared" si="55"/>
        <v>26.79427620502052</v>
      </c>
      <c r="L711" s="1">
        <f t="shared" si="55"/>
        <v>31.065604993909147</v>
      </c>
      <c r="N711">
        <f>I711</f>
        <v>433200.89756865345</v>
      </c>
      <c r="O711" s="1">
        <f>SUM(K$2:K711)/$G$3</f>
        <v>0.10529329519674473</v>
      </c>
      <c r="P711" s="1">
        <f>SUM(L$2:L711)/$G$3</f>
        <v>0.11184130898954781</v>
      </c>
      <c r="Q711" s="1">
        <f t="shared" si="56"/>
        <v>105.29329519674472</v>
      </c>
      <c r="R711" s="1">
        <f t="shared" si="57"/>
        <v>111.8413089895478</v>
      </c>
    </row>
    <row r="712" spans="1:18" x14ac:dyDescent="0.35">
      <c r="A712">
        <v>5.0208437236298398</v>
      </c>
      <c r="B712">
        <v>9.4269730132012501</v>
      </c>
      <c r="C712">
        <v>10.9940392958066</v>
      </c>
      <c r="I712" s="1">
        <f t="shared" si="58"/>
        <v>433800.89772161818</v>
      </c>
      <c r="J712">
        <f t="shared" si="59"/>
        <v>600.00015296472702</v>
      </c>
      <c r="K712" s="1">
        <f t="shared" si="55"/>
        <v>26.584070674600987</v>
      </c>
      <c r="L712" s="1">
        <f t="shared" si="55"/>
        <v>31.003198718165645</v>
      </c>
      <c r="N712">
        <f>I712</f>
        <v>433800.89772161818</v>
      </c>
      <c r="O712" s="1">
        <f>SUM(K$2:K712)/$G$3</f>
        <v>0.10556882062219532</v>
      </c>
      <c r="P712" s="1">
        <f>SUM(L$2:L712)/$G$3</f>
        <v>0.11216263560734503</v>
      </c>
      <c r="Q712" s="1">
        <f t="shared" si="56"/>
        <v>105.56882062219532</v>
      </c>
      <c r="R712" s="1">
        <f t="shared" si="57"/>
        <v>112.16263560734504</v>
      </c>
    </row>
    <row r="713" spans="1:18" x14ac:dyDescent="0.35">
      <c r="A713">
        <v>5.0277881698447002</v>
      </c>
      <c r="B713">
        <v>9.3475169548565802</v>
      </c>
      <c r="C713">
        <v>10.968491000831101</v>
      </c>
      <c r="I713" s="1">
        <f t="shared" si="58"/>
        <v>434400.89787458209</v>
      </c>
      <c r="J713">
        <f t="shared" si="59"/>
        <v>600.00015296391211</v>
      </c>
      <c r="K713" s="1">
        <f t="shared" si="55"/>
        <v>26.360004532909539</v>
      </c>
      <c r="L713" s="1">
        <f t="shared" si="55"/>
        <v>30.931152507925187</v>
      </c>
      <c r="N713">
        <f>I713</f>
        <v>434400.89787458209</v>
      </c>
      <c r="O713" s="1">
        <f>SUM(K$2:K713)/$G$3</f>
        <v>0.10584202375773877</v>
      </c>
      <c r="P713" s="1">
        <f>SUM(L$2:L713)/$G$3</f>
        <v>0.11248321551622129</v>
      </c>
      <c r="Q713" s="1">
        <f t="shared" si="56"/>
        <v>105.84202375773877</v>
      </c>
      <c r="R713" s="1">
        <f t="shared" si="57"/>
        <v>112.48321551622128</v>
      </c>
    </row>
    <row r="714" spans="1:18" x14ac:dyDescent="0.35">
      <c r="A714">
        <v>5.0347326160595598</v>
      </c>
      <c r="B714">
        <v>9.2838470753789402</v>
      </c>
      <c r="C714">
        <v>10.9273483044971</v>
      </c>
      <c r="I714" s="1">
        <f t="shared" si="58"/>
        <v>435000.89802754595</v>
      </c>
      <c r="J714">
        <f t="shared" si="59"/>
        <v>600.00015296385391</v>
      </c>
      <c r="K714" s="1">
        <f t="shared" si="55"/>
        <v>26.180455427005842</v>
      </c>
      <c r="L714" s="1">
        <f t="shared" si="55"/>
        <v>30.81513007468158</v>
      </c>
      <c r="N714">
        <f>I714</f>
        <v>435000.89802754595</v>
      </c>
      <c r="O714" s="1">
        <f>SUM(K$2:K714)/$G$3</f>
        <v>0.10611336599152646</v>
      </c>
      <c r="P714" s="1">
        <f>SUM(L$2:L714)/$G$3</f>
        <v>0.11280259293317399</v>
      </c>
      <c r="Q714" s="1">
        <f t="shared" si="56"/>
        <v>106.11336599152646</v>
      </c>
      <c r="R714" s="1">
        <f t="shared" si="57"/>
        <v>112.80259293317398</v>
      </c>
    </row>
    <row r="715" spans="1:18" x14ac:dyDescent="0.35">
      <c r="A715">
        <v>5.04167706227443</v>
      </c>
      <c r="B715">
        <v>9.2174520728161102</v>
      </c>
      <c r="C715">
        <v>10.933735000248801</v>
      </c>
      <c r="I715" s="1">
        <f t="shared" si="58"/>
        <v>435600.89818051073</v>
      </c>
      <c r="J715">
        <f t="shared" si="59"/>
        <v>600.00015296478523</v>
      </c>
      <c r="K715" s="1">
        <f t="shared" si="55"/>
        <v>25.993221472085644</v>
      </c>
      <c r="L715" s="1">
        <f t="shared" si="55"/>
        <v>30.833140561340819</v>
      </c>
      <c r="N715">
        <f>I715</f>
        <v>435600.89818051073</v>
      </c>
      <c r="O715" s="1">
        <f>SUM(K$2:K715)/$G$3</f>
        <v>0.10638276767543675</v>
      </c>
      <c r="P715" s="1">
        <f>SUM(L$2:L715)/$G$3</f>
        <v>0.11312215701630961</v>
      </c>
      <c r="Q715" s="1">
        <f t="shared" si="56"/>
        <v>106.38276767543675</v>
      </c>
      <c r="R715" s="1">
        <f t="shared" si="57"/>
        <v>113.1221570163096</v>
      </c>
    </row>
    <row r="716" spans="1:18" x14ac:dyDescent="0.35">
      <c r="A716">
        <v>5.0486215084892896</v>
      </c>
      <c r="B716">
        <v>9.1480065603413401</v>
      </c>
      <c r="C716">
        <v>10.8968284872943</v>
      </c>
      <c r="I716" s="1">
        <f t="shared" si="58"/>
        <v>436200.89833347464</v>
      </c>
      <c r="J716">
        <f t="shared" si="59"/>
        <v>600.00015296391211</v>
      </c>
      <c r="K716" s="1">
        <f t="shared" si="55"/>
        <v>25.797385076942476</v>
      </c>
      <c r="L716" s="1">
        <f t="shared" si="55"/>
        <v>30.729064168231048</v>
      </c>
      <c r="N716">
        <f>I716</f>
        <v>436200.89833347464</v>
      </c>
      <c r="O716" s="1">
        <f>SUM(K$2:K716)/$G$3</f>
        <v>0.1066501396511526</v>
      </c>
      <c r="P716" s="1">
        <f>SUM(L$2:L716)/$G$3</f>
        <v>0.11344064241992914</v>
      </c>
      <c r="Q716" s="1">
        <f t="shared" si="56"/>
        <v>106.6501396511526</v>
      </c>
      <c r="R716" s="1">
        <f t="shared" si="57"/>
        <v>113.44064241992915</v>
      </c>
    </row>
    <row r="717" spans="1:18" x14ac:dyDescent="0.35">
      <c r="A717">
        <v>5.0555659547041598</v>
      </c>
      <c r="B717">
        <v>9.0773144681464295</v>
      </c>
      <c r="C717">
        <v>10.8775224150555</v>
      </c>
      <c r="I717" s="1">
        <f t="shared" si="58"/>
        <v>436800.89848643943</v>
      </c>
      <c r="J717">
        <f t="shared" si="59"/>
        <v>600.00015296478523</v>
      </c>
      <c r="K717" s="1">
        <f t="shared" si="55"/>
        <v>25.598033326167386</v>
      </c>
      <c r="L717" s="1">
        <f t="shared" si="55"/>
        <v>30.674621030682548</v>
      </c>
      <c r="N717">
        <f>I717</f>
        <v>436800.89848643943</v>
      </c>
      <c r="O717" s="1">
        <f>SUM(K$2:K717)/$G$3</f>
        <v>0.10691544548445484</v>
      </c>
      <c r="P717" s="1">
        <f>SUM(L$2:L717)/$G$3</f>
        <v>0.11375856355824787</v>
      </c>
      <c r="Q717" s="1">
        <f t="shared" si="56"/>
        <v>106.91544548445484</v>
      </c>
      <c r="R717" s="1">
        <f t="shared" si="57"/>
        <v>113.75856355824787</v>
      </c>
    </row>
    <row r="718" spans="1:18" x14ac:dyDescent="0.35">
      <c r="A718">
        <v>5.06251040091903</v>
      </c>
      <c r="B718">
        <v>9.0126841243943598</v>
      </c>
      <c r="C718">
        <v>10.8706329456716</v>
      </c>
      <c r="I718" s="1">
        <f t="shared" si="58"/>
        <v>437400.89863940421</v>
      </c>
      <c r="J718">
        <f t="shared" si="59"/>
        <v>600.00015296478523</v>
      </c>
      <c r="K718" s="1">
        <f t="shared" si="55"/>
        <v>25.415775710321565</v>
      </c>
      <c r="L718" s="1">
        <f t="shared" si="55"/>
        <v>30.655192722066872</v>
      </c>
      <c r="N718">
        <f>I718</f>
        <v>437400.89863940421</v>
      </c>
      <c r="O718" s="1">
        <f>SUM(K$2:K718)/$G$3</f>
        <v>0.10717886234417731</v>
      </c>
      <c r="P718" s="1">
        <f>SUM(L$2:L718)/$G$3</f>
        <v>0.11407628333564401</v>
      </c>
      <c r="Q718" s="1">
        <f t="shared" si="56"/>
        <v>107.17886234417732</v>
      </c>
      <c r="R718" s="1">
        <f t="shared" si="57"/>
        <v>114.07628333564401</v>
      </c>
    </row>
    <row r="719" spans="1:18" x14ac:dyDescent="0.35">
      <c r="A719">
        <v>5.0694548471338896</v>
      </c>
      <c r="B719">
        <v>8.9350020076998806</v>
      </c>
      <c r="C719">
        <v>10.861420537941999</v>
      </c>
      <c r="I719" s="1">
        <f t="shared" si="58"/>
        <v>438000.89879236807</v>
      </c>
      <c r="J719">
        <f t="shared" si="59"/>
        <v>600.00015296385391</v>
      </c>
      <c r="K719" s="1">
        <f t="shared" si="55"/>
        <v>25.196712085355671</v>
      </c>
      <c r="L719" s="1">
        <f t="shared" si="55"/>
        <v>30.629213725598738</v>
      </c>
      <c r="N719">
        <f>I719</f>
        <v>438000.89879236807</v>
      </c>
      <c r="O719" s="1">
        <f>SUM(K$2:K719)/$G$3</f>
        <v>0.10744000876160338</v>
      </c>
      <c r="P719" s="1">
        <f>SUM(L$2:L719)/$G$3</f>
        <v>0.11439373385878852</v>
      </c>
      <c r="Q719" s="1">
        <f t="shared" si="56"/>
        <v>107.44000876160338</v>
      </c>
      <c r="R719" s="1">
        <f t="shared" si="57"/>
        <v>114.39373385878852</v>
      </c>
    </row>
    <row r="720" spans="1:18" x14ac:dyDescent="0.35">
      <c r="A720">
        <v>5.0763992933487598</v>
      </c>
      <c r="B720">
        <v>8.8678480282199796</v>
      </c>
      <c r="C720">
        <v>10.819665139148899</v>
      </c>
      <c r="I720" s="1">
        <f t="shared" si="58"/>
        <v>438600.89894533285</v>
      </c>
      <c r="J720">
        <f t="shared" si="59"/>
        <v>600.00015296478523</v>
      </c>
      <c r="K720" s="1">
        <f t="shared" si="55"/>
        <v>25.007337814982151</v>
      </c>
      <c r="L720" s="1">
        <f t="shared" si="55"/>
        <v>30.511463471030343</v>
      </c>
      <c r="N720">
        <f>I720</f>
        <v>438600.89894533285</v>
      </c>
      <c r="O720" s="1">
        <f>SUM(K$2:K720)/$G$3</f>
        <v>0.10769919244626922</v>
      </c>
      <c r="P720" s="1">
        <f>SUM(L$2:L720)/$G$3</f>
        <v>0.11470996398234172</v>
      </c>
      <c r="Q720" s="1">
        <f t="shared" si="56"/>
        <v>107.69919244626921</v>
      </c>
      <c r="R720" s="1">
        <f t="shared" si="57"/>
        <v>114.70996398234172</v>
      </c>
    </row>
    <row r="721" spans="1:18" x14ac:dyDescent="0.35">
      <c r="A721">
        <v>5.0833437395636203</v>
      </c>
      <c r="B721">
        <v>8.8016986179301</v>
      </c>
      <c r="C721">
        <v>10.782748070698</v>
      </c>
      <c r="I721" s="1">
        <f t="shared" si="58"/>
        <v>439200.89909829677</v>
      </c>
      <c r="J721">
        <f t="shared" si="59"/>
        <v>600.00015296391211</v>
      </c>
      <c r="K721" s="1">
        <f t="shared" si="55"/>
        <v>24.820796430371473</v>
      </c>
      <c r="L721" s="1">
        <f t="shared" si="55"/>
        <v>30.407357311413605</v>
      </c>
      <c r="N721">
        <f>I721</f>
        <v>439200.89909829677</v>
      </c>
      <c r="O721" s="1">
        <f>SUM(K$2:K721)/$G$3</f>
        <v>0.10795644275906779</v>
      </c>
      <c r="P721" s="1">
        <f>SUM(L$2:L721)/$G$3</f>
        <v>0.11502511511786966</v>
      </c>
      <c r="Q721" s="1">
        <f t="shared" si="56"/>
        <v>107.9564427590678</v>
      </c>
      <c r="R721" s="1">
        <f t="shared" si="57"/>
        <v>115.02511511786966</v>
      </c>
    </row>
    <row r="722" spans="1:18" x14ac:dyDescent="0.35">
      <c r="A722">
        <v>5.0902881857784896</v>
      </c>
      <c r="B722">
        <v>8.7392018745998392</v>
      </c>
      <c r="C722">
        <v>10.752690948234401</v>
      </c>
      <c r="I722" s="1">
        <f t="shared" si="58"/>
        <v>439800.89925126149</v>
      </c>
      <c r="J722">
        <f t="shared" si="59"/>
        <v>600.00015296472702</v>
      </c>
      <c r="K722" s="1">
        <f t="shared" si="55"/>
        <v>24.644555569282804</v>
      </c>
      <c r="L722" s="1">
        <f t="shared" si="55"/>
        <v>30.322596204498456</v>
      </c>
      <c r="N722">
        <f>I722</f>
        <v>439800.89925126149</v>
      </c>
      <c r="O722" s="1">
        <f>SUM(K$2:K722)/$G$3</f>
        <v>0.10821186645777001</v>
      </c>
      <c r="P722" s="1">
        <f>SUM(L$2:L722)/$G$3</f>
        <v>0.1153393877634052</v>
      </c>
      <c r="Q722" s="1">
        <f t="shared" si="56"/>
        <v>108.21186645777</v>
      </c>
      <c r="R722" s="1">
        <f t="shared" si="57"/>
        <v>115.3393877634052</v>
      </c>
    </row>
    <row r="723" spans="1:18" x14ac:dyDescent="0.35">
      <c r="A723">
        <v>5.0972326319933599</v>
      </c>
      <c r="B723">
        <v>8.6650627337309896</v>
      </c>
      <c r="C723">
        <v>10.700534917209101</v>
      </c>
      <c r="I723" s="1">
        <f t="shared" si="58"/>
        <v>440400.89940422628</v>
      </c>
      <c r="J723">
        <f t="shared" si="59"/>
        <v>600.00015296478523</v>
      </c>
      <c r="K723" s="1">
        <f t="shared" ref="K723:L786" si="60">B723*$J723*$G$2</f>
        <v>24.435483138733851</v>
      </c>
      <c r="L723" s="1">
        <f t="shared" si="60"/>
        <v>30.175516159513283</v>
      </c>
      <c r="N723">
        <f>I723</f>
        <v>440400.89940422628</v>
      </c>
      <c r="O723" s="1">
        <f>SUM(K$2:K723)/$G$3</f>
        <v>0.10846512326596541</v>
      </c>
      <c r="P723" s="1">
        <f>SUM(L$2:L723)/$G$3</f>
        <v>0.11565213602644624</v>
      </c>
      <c r="Q723" s="1">
        <f t="shared" si="56"/>
        <v>108.46512326596542</v>
      </c>
      <c r="R723" s="1">
        <f t="shared" si="57"/>
        <v>115.65213602644624</v>
      </c>
    </row>
    <row r="724" spans="1:18" x14ac:dyDescent="0.35">
      <c r="A724">
        <v>5.1041770782082203</v>
      </c>
      <c r="B724">
        <v>8.5981048278889602</v>
      </c>
      <c r="C724">
        <v>10.667156695005501</v>
      </c>
      <c r="I724" s="1">
        <f t="shared" si="58"/>
        <v>441000.89955719025</v>
      </c>
      <c r="J724">
        <f t="shared" si="59"/>
        <v>600.00015296397032</v>
      </c>
      <c r="K724" s="1">
        <f t="shared" si="60"/>
        <v>24.246661796088052</v>
      </c>
      <c r="L724" s="1">
        <f t="shared" si="60"/>
        <v>30.08138954886152</v>
      </c>
      <c r="N724">
        <f>I724</f>
        <v>441000.89955719025</v>
      </c>
      <c r="O724" s="1">
        <f>SUM(K$2:K724)/$G$3</f>
        <v>0.10871642307211235</v>
      </c>
      <c r="P724" s="1">
        <f>SUM(L$2:L724)/$G$3</f>
        <v>0.11596390873255455</v>
      </c>
      <c r="Q724" s="1">
        <f t="shared" si="56"/>
        <v>108.71642307211235</v>
      </c>
      <c r="R724" s="1">
        <f t="shared" si="57"/>
        <v>115.96390873255454</v>
      </c>
    </row>
    <row r="725" spans="1:18" x14ac:dyDescent="0.35">
      <c r="A725">
        <v>5.1111215244230896</v>
      </c>
      <c r="B725">
        <v>8.5422974328503294</v>
      </c>
      <c r="C725">
        <v>10.6311824822871</v>
      </c>
      <c r="I725" s="1">
        <f t="shared" si="58"/>
        <v>441600.89971015492</v>
      </c>
      <c r="J725">
        <f t="shared" si="59"/>
        <v>600.00015296466881</v>
      </c>
      <c r="K725" s="1">
        <f t="shared" si="60"/>
        <v>24.089284901985508</v>
      </c>
      <c r="L725" s="1">
        <f t="shared" si="60"/>
        <v>29.979942243167567</v>
      </c>
      <c r="N725">
        <f>I725</f>
        <v>441600.89971015492</v>
      </c>
      <c r="O725" s="1">
        <f>SUM(K$2:K725)/$G$3</f>
        <v>0.10896609177607654</v>
      </c>
      <c r="P725" s="1">
        <f>SUM(L$2:L725)/$G$3</f>
        <v>0.11627463000781152</v>
      </c>
      <c r="Q725" s="1">
        <f t="shared" si="56"/>
        <v>108.96609177607654</v>
      </c>
      <c r="R725" s="1">
        <f t="shared" si="57"/>
        <v>116.27463000781152</v>
      </c>
    </row>
    <row r="726" spans="1:18" x14ac:dyDescent="0.35">
      <c r="A726">
        <v>5.1180659706379599</v>
      </c>
      <c r="B726">
        <v>8.4849732563186997</v>
      </c>
      <c r="C726">
        <v>10.6017484169759</v>
      </c>
      <c r="I726" s="1">
        <f t="shared" si="58"/>
        <v>442200.89986311976</v>
      </c>
      <c r="J726">
        <f t="shared" si="59"/>
        <v>600.00015296484344</v>
      </c>
      <c r="K726" s="1">
        <f t="shared" si="60"/>
        <v>23.927630682960981</v>
      </c>
      <c r="L726" s="1">
        <f t="shared" si="60"/>
        <v>29.896938157837535</v>
      </c>
      <c r="N726">
        <f>I726</f>
        <v>442200.89986311976</v>
      </c>
      <c r="O726" s="1">
        <f>SUM(K$2:K726)/$G$3</f>
        <v>0.1092140850463565</v>
      </c>
      <c r="P726" s="1">
        <f>SUM(L$2:L726)/$G$3</f>
        <v>0.11658449100338426</v>
      </c>
      <c r="Q726" s="1">
        <f t="shared" si="56"/>
        <v>109.2140850463565</v>
      </c>
      <c r="R726" s="1">
        <f t="shared" si="57"/>
        <v>116.58449100338426</v>
      </c>
    </row>
    <row r="727" spans="1:18" x14ac:dyDescent="0.35">
      <c r="A727">
        <v>5.1250104168528203</v>
      </c>
      <c r="B727">
        <v>8.4187291535225093</v>
      </c>
      <c r="C727">
        <v>10.5545332051044</v>
      </c>
      <c r="I727" s="1">
        <f t="shared" si="58"/>
        <v>442800.90001608367</v>
      </c>
      <c r="J727">
        <f t="shared" si="59"/>
        <v>600.00015296391211</v>
      </c>
      <c r="K727" s="1">
        <f t="shared" si="60"/>
        <v>23.740822265413684</v>
      </c>
      <c r="L727" s="1">
        <f t="shared" si="60"/>
        <v>29.763791226369051</v>
      </c>
      <c r="N727">
        <f>I727</f>
        <v>442800.90001608367</v>
      </c>
      <c r="O727" s="1">
        <f>SUM(K$2:K727)/$G$3</f>
        <v>0.10946014217715833</v>
      </c>
      <c r="P727" s="1">
        <f>SUM(L$2:L727)/$G$3</f>
        <v>0.11689297202350521</v>
      </c>
      <c r="Q727" s="1">
        <f t="shared" si="56"/>
        <v>109.46014217715833</v>
      </c>
      <c r="R727" s="1">
        <f t="shared" si="57"/>
        <v>116.89297202350521</v>
      </c>
    </row>
    <row r="728" spans="1:18" x14ac:dyDescent="0.35">
      <c r="A728">
        <v>5.1319548630676897</v>
      </c>
      <c r="B728">
        <v>8.3499997408992801</v>
      </c>
      <c r="C728">
        <v>10.513954219925999</v>
      </c>
      <c r="I728" s="1">
        <f t="shared" si="58"/>
        <v>443400.9001690484</v>
      </c>
      <c r="J728">
        <f t="shared" si="59"/>
        <v>600.00015296472702</v>
      </c>
      <c r="K728" s="1">
        <f t="shared" si="60"/>
        <v>23.547005272436493</v>
      </c>
      <c r="L728" s="1">
        <f t="shared" si="60"/>
        <v>29.649358459032761</v>
      </c>
      <c r="N728">
        <f>I728</f>
        <v>443400.9001690484</v>
      </c>
      <c r="O728" s="1">
        <f>SUM(K$2:K728)/$G$3</f>
        <v>0.10970419052946631</v>
      </c>
      <c r="P728" s="1">
        <f>SUM(L$2:L728)/$G$3</f>
        <v>0.11720026702748546</v>
      </c>
      <c r="Q728" s="1">
        <f t="shared" si="56"/>
        <v>109.70419052946632</v>
      </c>
      <c r="R728" s="1">
        <f t="shared" si="57"/>
        <v>117.20026702748545</v>
      </c>
    </row>
    <row r="729" spans="1:18" x14ac:dyDescent="0.35">
      <c r="A729">
        <v>5.1388993092825599</v>
      </c>
      <c r="B729">
        <v>8.2936185627478505</v>
      </c>
      <c r="C729">
        <v>10.455693621903</v>
      </c>
      <c r="I729" s="1">
        <f t="shared" si="58"/>
        <v>444000.90032201319</v>
      </c>
      <c r="J729">
        <f t="shared" si="59"/>
        <v>600.00015296478523</v>
      </c>
      <c r="K729" s="1">
        <f t="shared" si="60"/>
        <v>23.388010309517373</v>
      </c>
      <c r="L729" s="1">
        <f t="shared" si="60"/>
        <v>29.485063530725231</v>
      </c>
      <c r="N729">
        <f>I729</f>
        <v>444000.90032201319</v>
      </c>
      <c r="O729" s="1">
        <f>SUM(K$2:K729)/$G$3</f>
        <v>0.1099465910094323</v>
      </c>
      <c r="P729" s="1">
        <f>SUM(L$2:L729)/$G$3</f>
        <v>0.11750585922866413</v>
      </c>
      <c r="Q729" s="1">
        <f t="shared" si="56"/>
        <v>109.9465910094323</v>
      </c>
      <c r="R729" s="1">
        <f t="shared" si="57"/>
        <v>117.50585922866414</v>
      </c>
    </row>
    <row r="730" spans="1:18" x14ac:dyDescent="0.35">
      <c r="A730">
        <v>5.1458437554974301</v>
      </c>
      <c r="B730">
        <v>8.2395421149333199</v>
      </c>
      <c r="C730">
        <v>10.409120938269499</v>
      </c>
      <c r="I730" s="1">
        <f t="shared" si="58"/>
        <v>444600.90047497797</v>
      </c>
      <c r="J730">
        <f t="shared" si="59"/>
        <v>600.00015296478523</v>
      </c>
      <c r="K730" s="1">
        <f t="shared" si="60"/>
        <v>23.235514687802976</v>
      </c>
      <c r="L730" s="1">
        <f t="shared" si="60"/>
        <v>29.353728529396047</v>
      </c>
      <c r="N730">
        <f>I730</f>
        <v>444600.90047497797</v>
      </c>
      <c r="O730" s="1">
        <f>SUM(K$2:K730)/$G$3</f>
        <v>0.11018741097821297</v>
      </c>
      <c r="P730" s="1">
        <f>SUM(L$2:L730)/$G$3</f>
        <v>0.11781009023378822</v>
      </c>
      <c r="Q730" s="1">
        <f t="shared" si="56"/>
        <v>110.18741097821297</v>
      </c>
      <c r="R730" s="1">
        <f t="shared" si="57"/>
        <v>117.81009023378822</v>
      </c>
    </row>
    <row r="731" spans="1:18" x14ac:dyDescent="0.35">
      <c r="A731">
        <v>5.1527882017122897</v>
      </c>
      <c r="B731">
        <v>8.1708896256356507</v>
      </c>
      <c r="C731">
        <v>10.3634243874082</v>
      </c>
      <c r="I731" s="1">
        <f t="shared" si="58"/>
        <v>445200.90062794182</v>
      </c>
      <c r="J731">
        <f t="shared" si="59"/>
        <v>600.00015296385391</v>
      </c>
      <c r="K731" s="1">
        <f t="shared" si="60"/>
        <v>23.041914618591143</v>
      </c>
      <c r="L731" s="1">
        <f t="shared" si="60"/>
        <v>29.224864223068995</v>
      </c>
      <c r="N731">
        <f>I731</f>
        <v>445200.90062794182</v>
      </c>
      <c r="O731" s="1">
        <f>SUM(K$2:K731)/$G$3</f>
        <v>0.11042622441676393</v>
      </c>
      <c r="P731" s="1">
        <f>SUM(L$2:L731)/$G$3</f>
        <v>0.11811298564989506</v>
      </c>
      <c r="Q731" s="1">
        <f t="shared" si="56"/>
        <v>110.42622441676393</v>
      </c>
      <c r="R731" s="1">
        <f t="shared" si="57"/>
        <v>118.11298564989505</v>
      </c>
    </row>
    <row r="732" spans="1:18" x14ac:dyDescent="0.35">
      <c r="A732">
        <v>5.1597326479271599</v>
      </c>
      <c r="B732">
        <v>8.09932205769916</v>
      </c>
      <c r="C732">
        <v>10.313648850810001</v>
      </c>
      <c r="I732" s="1">
        <f t="shared" si="58"/>
        <v>445800.90078090661</v>
      </c>
      <c r="J732">
        <f t="shared" si="59"/>
        <v>600.00015296478523</v>
      </c>
      <c r="K732" s="1">
        <f t="shared" si="60"/>
        <v>22.840094025593608</v>
      </c>
      <c r="L732" s="1">
        <f t="shared" si="60"/>
        <v>29.084497174122088</v>
      </c>
      <c r="N732">
        <f>I732</f>
        <v>445800.90078090661</v>
      </c>
      <c r="O732" s="1">
        <f>SUM(K$2:K732)/$G$3</f>
        <v>0.11066294612506672</v>
      </c>
      <c r="P732" s="1">
        <f>SUM(L$2:L732)/$G$3</f>
        <v>0.11841442625904802</v>
      </c>
      <c r="Q732" s="1">
        <f t="shared" si="56"/>
        <v>110.66294612506672</v>
      </c>
      <c r="R732" s="1">
        <f t="shared" si="57"/>
        <v>118.41442625904803</v>
      </c>
    </row>
    <row r="733" spans="1:18" x14ac:dyDescent="0.35">
      <c r="A733">
        <v>5.1666770941420301</v>
      </c>
      <c r="B733">
        <v>8.0348988326121393</v>
      </c>
      <c r="C733">
        <v>10.2561775886416</v>
      </c>
      <c r="I733" s="1">
        <f t="shared" si="58"/>
        <v>446400.90093387139</v>
      </c>
      <c r="J733">
        <f t="shared" si="59"/>
        <v>600.00015296478523</v>
      </c>
      <c r="K733" s="1">
        <f t="shared" si="60"/>
        <v>22.658420484532133</v>
      </c>
      <c r="L733" s="1">
        <f t="shared" si="60"/>
        <v>28.922428173489124</v>
      </c>
      <c r="N733">
        <f>I733</f>
        <v>446400.90093387139</v>
      </c>
      <c r="O733" s="1">
        <f>SUM(K$2:K733)/$G$3</f>
        <v>0.11089778491331911</v>
      </c>
      <c r="P733" s="1">
        <f>SUM(L$2:L733)/$G$3</f>
        <v>0.11871418713559348</v>
      </c>
      <c r="Q733" s="1">
        <f t="shared" si="56"/>
        <v>110.89778491331911</v>
      </c>
      <c r="R733" s="1">
        <f t="shared" si="57"/>
        <v>118.71418713559348</v>
      </c>
    </row>
    <row r="734" spans="1:18" x14ac:dyDescent="0.35">
      <c r="A734">
        <v>5.1736215403568897</v>
      </c>
      <c r="B734">
        <v>7.9690905471828399</v>
      </c>
      <c r="C734">
        <v>10.1883402401648</v>
      </c>
      <c r="I734" s="1">
        <f t="shared" si="58"/>
        <v>447000.90108683525</v>
      </c>
      <c r="J734">
        <f t="shared" si="59"/>
        <v>600.00015296385391</v>
      </c>
      <c r="K734" s="1">
        <f t="shared" si="60"/>
        <v>22.472841072274779</v>
      </c>
      <c r="L734" s="1">
        <f t="shared" si="60"/>
        <v>28.731126801969342</v>
      </c>
      <c r="N734">
        <f>I734</f>
        <v>447000.90108683525</v>
      </c>
      <c r="O734" s="1">
        <f>SUM(K$2:K734)/$G$3</f>
        <v>0.11113070029987945</v>
      </c>
      <c r="P734" s="1">
        <f>SUM(L$2:L734)/$G$3</f>
        <v>0.119011965306314</v>
      </c>
      <c r="Q734" s="1">
        <f t="shared" si="56"/>
        <v>111.13070029987945</v>
      </c>
      <c r="R734" s="1">
        <f t="shared" si="57"/>
        <v>119.011965306314</v>
      </c>
    </row>
    <row r="735" spans="1:18" x14ac:dyDescent="0.35">
      <c r="A735">
        <v>5.1805659865717599</v>
      </c>
      <c r="B735">
        <v>7.9028950851581596</v>
      </c>
      <c r="C735">
        <v>10.124328268543399</v>
      </c>
      <c r="I735" s="1">
        <f t="shared" si="58"/>
        <v>447600.90123980003</v>
      </c>
      <c r="J735">
        <f t="shared" si="59"/>
        <v>600.00015296478523</v>
      </c>
      <c r="K735" s="1">
        <f t="shared" si="60"/>
        <v>22.28616982180986</v>
      </c>
      <c r="L735" s="1">
        <f t="shared" si="60"/>
        <v>28.550612996021176</v>
      </c>
      <c r="N735">
        <f>I735</f>
        <v>447600.90123980003</v>
      </c>
      <c r="O735" s="1">
        <f>SUM(K$2:K735)/$G$3</f>
        <v>0.11136168096860319</v>
      </c>
      <c r="P735" s="1">
        <f>SUM(L$2:L735)/$G$3</f>
        <v>0.11930787257683297</v>
      </c>
      <c r="Q735" s="1">
        <f t="shared" si="56"/>
        <v>111.36168096860318</v>
      </c>
      <c r="R735" s="1">
        <f t="shared" si="57"/>
        <v>119.30787257683296</v>
      </c>
    </row>
    <row r="736" spans="1:18" x14ac:dyDescent="0.35">
      <c r="A736">
        <v>5.1875104327866302</v>
      </c>
      <c r="B736">
        <v>7.8428096379358996</v>
      </c>
      <c r="C736">
        <v>10.068045884883301</v>
      </c>
      <c r="I736" s="1">
        <f t="shared" si="58"/>
        <v>448200.90139276482</v>
      </c>
      <c r="J736">
        <f t="shared" si="59"/>
        <v>600.00015296478523</v>
      </c>
      <c r="K736" s="1">
        <f t="shared" si="60"/>
        <v>22.11672881744559</v>
      </c>
      <c r="L736" s="1">
        <f t="shared" si="60"/>
        <v>28.39189663363635</v>
      </c>
      <c r="N736">
        <f>I736</f>
        <v>448200.90139276482</v>
      </c>
      <c r="O736" s="1">
        <f>SUM(K$2:K736)/$G$3</f>
        <v>0.11159090549902186</v>
      </c>
      <c r="P736" s="1">
        <f>SUM(L$2:L736)/$G$3</f>
        <v>0.11960213486251091</v>
      </c>
      <c r="Q736" s="1">
        <f t="shared" si="56"/>
        <v>111.59090549902186</v>
      </c>
      <c r="R736" s="1">
        <f t="shared" si="57"/>
        <v>119.60213486251091</v>
      </c>
    </row>
    <row r="737" spans="1:18" x14ac:dyDescent="0.35">
      <c r="A737">
        <v>5.1944548790014897</v>
      </c>
      <c r="B737">
        <v>7.7723350202057002</v>
      </c>
      <c r="C737">
        <v>10.0076090201635</v>
      </c>
      <c r="I737" s="1">
        <f t="shared" si="58"/>
        <v>448800.90154572873</v>
      </c>
      <c r="J737">
        <f t="shared" si="59"/>
        <v>600.00015296391211</v>
      </c>
      <c r="K737" s="1">
        <f t="shared" si="60"/>
        <v>21.917990344747899</v>
      </c>
      <c r="L737" s="1">
        <f t="shared" si="60"/>
        <v>28.221464631635296</v>
      </c>
      <c r="N737">
        <f>I737</f>
        <v>448800.90154572873</v>
      </c>
      <c r="O737" s="1">
        <f>SUM(K$2:K737)/$G$3</f>
        <v>0.11181807024322818</v>
      </c>
      <c r="P737" s="1">
        <f>SUM(L$2:L737)/$G$3</f>
        <v>0.11989463073888169</v>
      </c>
      <c r="Q737" s="1">
        <f t="shared" si="56"/>
        <v>111.81807024322818</v>
      </c>
      <c r="R737" s="1">
        <f t="shared" si="57"/>
        <v>119.89463073888169</v>
      </c>
    </row>
    <row r="738" spans="1:18" x14ac:dyDescent="0.35">
      <c r="A738">
        <v>5.2013993252163599</v>
      </c>
      <c r="B738">
        <v>7.6995196505027401</v>
      </c>
      <c r="C738">
        <v>9.9508426496102196</v>
      </c>
      <c r="I738" s="1">
        <f t="shared" si="58"/>
        <v>449400.90169869352</v>
      </c>
      <c r="J738">
        <f t="shared" si="59"/>
        <v>600.00015296478523</v>
      </c>
      <c r="K738" s="1">
        <f t="shared" si="60"/>
        <v>21.712650949867967</v>
      </c>
      <c r="L738" s="1">
        <f t="shared" si="60"/>
        <v>28.061383425904811</v>
      </c>
      <c r="N738">
        <f>I738</f>
        <v>449400.90169869352</v>
      </c>
      <c r="O738" s="1">
        <f>SUM(K$2:K738)/$G$3</f>
        <v>0.11204310678724921</v>
      </c>
      <c r="P738" s="1">
        <f>SUM(L$2:L738)/$G$3</f>
        <v>0.12018546748475831</v>
      </c>
      <c r="Q738" s="1">
        <f t="shared" si="56"/>
        <v>112.04310678724922</v>
      </c>
      <c r="R738" s="1">
        <f t="shared" si="57"/>
        <v>120.18546748475831</v>
      </c>
    </row>
    <row r="739" spans="1:18" x14ac:dyDescent="0.35">
      <c r="A739">
        <v>5.2083437714312302</v>
      </c>
      <c r="B739">
        <v>7.6327480744553702</v>
      </c>
      <c r="C739">
        <v>9.8842907594052303</v>
      </c>
      <c r="I739" s="1">
        <f t="shared" si="58"/>
        <v>450000.9018516583</v>
      </c>
      <c r="J739">
        <f t="shared" si="59"/>
        <v>600.00015296478523</v>
      </c>
      <c r="K739" s="1">
        <f t="shared" si="60"/>
        <v>21.524355057409991</v>
      </c>
      <c r="L739" s="1">
        <f t="shared" si="60"/>
        <v>27.873707047680295</v>
      </c>
      <c r="N739">
        <f>I739</f>
        <v>450000.9018516583</v>
      </c>
      <c r="O739" s="1">
        <f>SUM(K$2:K739)/$G$3</f>
        <v>0.11226619177514795</v>
      </c>
      <c r="P739" s="1">
        <f>SUM(L$2:L739)/$G$3</f>
        <v>0.12047435909534732</v>
      </c>
      <c r="Q739" s="1">
        <f t="shared" si="56"/>
        <v>112.26619177514795</v>
      </c>
      <c r="R739" s="1">
        <f t="shared" si="57"/>
        <v>120.47435909534731</v>
      </c>
    </row>
    <row r="740" spans="1:18" x14ac:dyDescent="0.35">
      <c r="A740">
        <v>5.2152882176460897</v>
      </c>
      <c r="B740">
        <v>7.5756546510635001</v>
      </c>
      <c r="C740">
        <v>9.8279259078888792</v>
      </c>
      <c r="I740" s="1">
        <f t="shared" si="58"/>
        <v>450600.90200462216</v>
      </c>
      <c r="J740">
        <f t="shared" si="59"/>
        <v>600.00015296385391</v>
      </c>
      <c r="K740" s="1">
        <f t="shared" si="60"/>
        <v>21.363351562365331</v>
      </c>
      <c r="L740" s="1">
        <f t="shared" si="60"/>
        <v>27.714758125838529</v>
      </c>
      <c r="N740">
        <f>I740</f>
        <v>450600.90200462216</v>
      </c>
      <c r="O740" s="1">
        <f>SUM(K$2:K740)/$G$3</f>
        <v>0.11248760807366447</v>
      </c>
      <c r="P740" s="1">
        <f>SUM(L$2:L740)/$G$3</f>
        <v>0.12076160331077808</v>
      </c>
      <c r="Q740" s="1">
        <f t="shared" si="56"/>
        <v>112.48760807366446</v>
      </c>
      <c r="R740" s="1">
        <f t="shared" si="57"/>
        <v>120.76160331077809</v>
      </c>
    </row>
    <row r="741" spans="1:18" x14ac:dyDescent="0.35">
      <c r="A741">
        <v>5.22223266386096</v>
      </c>
      <c r="B741">
        <v>7.5107927332325399</v>
      </c>
      <c r="C741">
        <v>9.7706517216735396</v>
      </c>
      <c r="I741" s="1">
        <f t="shared" si="58"/>
        <v>451200.90215758694</v>
      </c>
      <c r="J741">
        <f t="shared" si="59"/>
        <v>600.00015296478523</v>
      </c>
      <c r="K741" s="1">
        <f t="shared" si="60"/>
        <v>21.18044090748371</v>
      </c>
      <c r="L741" s="1">
        <f t="shared" si="60"/>
        <v>27.5532448795779</v>
      </c>
      <c r="N741">
        <f>I741</f>
        <v>451200.90215758694</v>
      </c>
      <c r="O741" s="1">
        <f>SUM(K$2:K741)/$G$3</f>
        <v>0.11270712863030521</v>
      </c>
      <c r="P741" s="1">
        <f>SUM(L$2:L741)/$G$3</f>
        <v>0.12104717355360939</v>
      </c>
      <c r="Q741" s="1">
        <f t="shared" si="56"/>
        <v>112.70712863030522</v>
      </c>
      <c r="R741" s="1">
        <f t="shared" si="57"/>
        <v>121.04717355360938</v>
      </c>
    </row>
    <row r="742" spans="1:18" x14ac:dyDescent="0.35">
      <c r="A742">
        <v>5.2291771100758302</v>
      </c>
      <c r="B742">
        <v>7.4454189996519604</v>
      </c>
      <c r="C742">
        <v>9.7000845569793199</v>
      </c>
      <c r="I742" s="1">
        <f t="shared" si="58"/>
        <v>451800.90231055173</v>
      </c>
      <c r="J742">
        <f t="shared" si="59"/>
        <v>600.00015296478523</v>
      </c>
      <c r="K742" s="1">
        <f t="shared" si="60"/>
        <v>20.996086931787044</v>
      </c>
      <c r="L742" s="1">
        <f t="shared" si="60"/>
        <v>27.354245424407029</v>
      </c>
      <c r="N742">
        <f>I742</f>
        <v>451800.90231055173</v>
      </c>
      <c r="O742" s="1">
        <f>SUM(K$2:K742)/$G$3</f>
        <v>0.11292473848605261</v>
      </c>
      <c r="P742" s="1">
        <f>SUM(L$2:L742)/$G$3</f>
        <v>0.12133068130532632</v>
      </c>
      <c r="Q742" s="1">
        <f t="shared" si="56"/>
        <v>112.92473848605262</v>
      </c>
      <c r="R742" s="1">
        <f t="shared" si="57"/>
        <v>121.33068130532632</v>
      </c>
    </row>
    <row r="743" spans="1:18" x14ac:dyDescent="0.35">
      <c r="A743">
        <v>5.2361215562907004</v>
      </c>
      <c r="B743">
        <v>7.3831134194334096</v>
      </c>
      <c r="C743">
        <v>9.6353962411186398</v>
      </c>
      <c r="I743" s="1">
        <f t="shared" si="58"/>
        <v>452400.90246351651</v>
      </c>
      <c r="J743">
        <f t="shared" si="59"/>
        <v>600.00015296478523</v>
      </c>
      <c r="K743" s="1">
        <f t="shared" si="60"/>
        <v>20.820385150777103</v>
      </c>
      <c r="L743" s="1">
        <f t="shared" si="60"/>
        <v>27.171824327173251</v>
      </c>
      <c r="N743">
        <f>I743</f>
        <v>452400.90246351651</v>
      </c>
      <c r="O743" s="1">
        <f>SUM(K$2:K743)/$G$3</f>
        <v>0.11314052731489417</v>
      </c>
      <c r="P743" s="1">
        <f>SUM(L$2:L743)/$G$3</f>
        <v>0.12161229838909242</v>
      </c>
      <c r="Q743" s="1">
        <f t="shared" si="56"/>
        <v>113.14052731489417</v>
      </c>
      <c r="R743" s="1">
        <f t="shared" si="57"/>
        <v>121.61229838909242</v>
      </c>
    </row>
    <row r="744" spans="1:18" x14ac:dyDescent="0.35">
      <c r="A744">
        <v>5.2430660025055502</v>
      </c>
      <c r="B744">
        <v>7.3245217589819704</v>
      </c>
      <c r="C744">
        <v>9.5666396180696704</v>
      </c>
      <c r="I744" s="1">
        <f t="shared" si="58"/>
        <v>453000.90261647955</v>
      </c>
      <c r="J744">
        <f t="shared" si="59"/>
        <v>600.000152963039</v>
      </c>
      <c r="K744" s="1">
        <f t="shared" si="60"/>
        <v>20.655156626120359</v>
      </c>
      <c r="L744" s="1">
        <f t="shared" si="60"/>
        <v>26.977930600665136</v>
      </c>
      <c r="N744">
        <f>I744</f>
        <v>453000.90261647955</v>
      </c>
      <c r="O744" s="1">
        <f>SUM(K$2:K744)/$G$3</f>
        <v>0.11335460366485654</v>
      </c>
      <c r="P744" s="1">
        <f>SUM(L$2:L744)/$G$3</f>
        <v>0.12189190589907496</v>
      </c>
      <c r="Q744" s="1">
        <f t="shared" si="56"/>
        <v>113.35460366485654</v>
      </c>
      <c r="R744" s="1">
        <f t="shared" si="57"/>
        <v>121.89190589907496</v>
      </c>
    </row>
    <row r="745" spans="1:18" x14ac:dyDescent="0.35">
      <c r="A745">
        <v>5.2500104487204204</v>
      </c>
      <c r="B745">
        <v>7.2692111244162101</v>
      </c>
      <c r="C745">
        <v>9.4967599280455506</v>
      </c>
      <c r="I745" s="1">
        <f t="shared" si="58"/>
        <v>453600.90276944434</v>
      </c>
      <c r="J745">
        <f t="shared" si="59"/>
        <v>600.00015296478523</v>
      </c>
      <c r="K745" s="1">
        <f t="shared" si="60"/>
        <v>20.499180596940313</v>
      </c>
      <c r="L745" s="1">
        <f t="shared" si="60"/>
        <v>26.780869824636717</v>
      </c>
      <c r="N745">
        <f>I745</f>
        <v>453600.90276944434</v>
      </c>
      <c r="O745" s="1">
        <f>SUM(K$2:K745)/$G$3</f>
        <v>0.11356706343162797</v>
      </c>
      <c r="P745" s="1">
        <f>SUM(L$2:L745)/$G$3</f>
        <v>0.1221694710110057</v>
      </c>
      <c r="Q745" s="1">
        <f t="shared" si="56"/>
        <v>113.56706343162797</v>
      </c>
      <c r="R745" s="1">
        <f t="shared" si="57"/>
        <v>122.1694710110057</v>
      </c>
    </row>
    <row r="746" spans="1:18" x14ac:dyDescent="0.35">
      <c r="A746">
        <v>5.2569548949352898</v>
      </c>
      <c r="B746">
        <v>7.20839672037037</v>
      </c>
      <c r="C746">
        <v>9.4260795006816593</v>
      </c>
      <c r="I746" s="1">
        <f t="shared" si="58"/>
        <v>454200.90292240906</v>
      </c>
      <c r="J746">
        <f t="shared" si="59"/>
        <v>600.00015296472702</v>
      </c>
      <c r="K746" s="1">
        <f t="shared" si="60"/>
        <v>20.327683933807496</v>
      </c>
      <c r="L746" s="1">
        <f t="shared" si="60"/>
        <v>26.581550968653364</v>
      </c>
      <c r="N746">
        <f>I746</f>
        <v>454200.90292240906</v>
      </c>
      <c r="O746" s="1">
        <f>SUM(K$2:K746)/$G$3</f>
        <v>0.11377774575461917</v>
      </c>
      <c r="P746" s="1">
        <f>SUM(L$2:L746)/$G$3</f>
        <v>0.1224449703214545</v>
      </c>
      <c r="Q746" s="1">
        <f t="shared" si="56"/>
        <v>113.77774575461918</v>
      </c>
      <c r="R746" s="1">
        <f t="shared" si="57"/>
        <v>122.44497032145451</v>
      </c>
    </row>
    <row r="747" spans="1:18" x14ac:dyDescent="0.35">
      <c r="A747">
        <v>5.2638993411501502</v>
      </c>
      <c r="B747">
        <v>7.1539182974594304</v>
      </c>
      <c r="C747">
        <v>9.3537099681562097</v>
      </c>
      <c r="I747" s="1">
        <f t="shared" si="58"/>
        <v>454800.90307537297</v>
      </c>
      <c r="J747">
        <f t="shared" si="59"/>
        <v>600.00015296391211</v>
      </c>
      <c r="K747" s="1">
        <f t="shared" si="60"/>
        <v>20.174054742004845</v>
      </c>
      <c r="L747" s="1">
        <f t="shared" si="60"/>
        <v>26.377468834866839</v>
      </c>
      <c r="N747">
        <f>I747</f>
        <v>454800.90307537297</v>
      </c>
      <c r="O747" s="1">
        <f>SUM(K$2:K747)/$G$3</f>
        <v>0.11398683581775858</v>
      </c>
      <c r="P747" s="1">
        <f>SUM(L$2:L747)/$G$3</f>
        <v>0.12271835446235586</v>
      </c>
      <c r="Q747" s="1">
        <f t="shared" si="56"/>
        <v>113.98683581775857</v>
      </c>
      <c r="R747" s="1">
        <f t="shared" si="57"/>
        <v>122.71835446235586</v>
      </c>
    </row>
    <row r="748" spans="1:18" x14ac:dyDescent="0.35">
      <c r="A748">
        <v>5.2708437873650098</v>
      </c>
      <c r="B748">
        <v>7.0891838390395696</v>
      </c>
      <c r="C748">
        <v>9.2633735854048496</v>
      </c>
      <c r="I748" s="1">
        <f t="shared" si="58"/>
        <v>455400.90322833683</v>
      </c>
      <c r="J748">
        <f t="shared" si="59"/>
        <v>600.00015296385391</v>
      </c>
      <c r="K748" s="1">
        <f t="shared" si="60"/>
        <v>19.991503522719331</v>
      </c>
      <c r="L748" s="1">
        <f t="shared" si="60"/>
        <v>26.122720170559898</v>
      </c>
      <c r="N748">
        <f>I748</f>
        <v>455400.90322833683</v>
      </c>
      <c r="O748" s="1">
        <f>SUM(K$2:K748)/$G$3</f>
        <v>0.11419403386432249</v>
      </c>
      <c r="P748" s="1">
        <f>SUM(L$2:L748)/$G$3</f>
        <v>0.12298909831031732</v>
      </c>
      <c r="Q748" s="1">
        <f t="shared" si="56"/>
        <v>114.19403386432249</v>
      </c>
      <c r="R748" s="1">
        <f t="shared" si="57"/>
        <v>122.98909831031732</v>
      </c>
    </row>
    <row r="749" spans="1:18" x14ac:dyDescent="0.35">
      <c r="A749">
        <v>5.27778823357988</v>
      </c>
      <c r="B749">
        <v>7.02012696405047</v>
      </c>
      <c r="C749">
        <v>9.1848451167480096</v>
      </c>
      <c r="I749" s="1">
        <f t="shared" si="58"/>
        <v>456000.90338130161</v>
      </c>
      <c r="J749">
        <f t="shared" si="59"/>
        <v>600.00015296478523</v>
      </c>
      <c r="K749" s="1">
        <f t="shared" si="60"/>
        <v>19.796763085633732</v>
      </c>
      <c r="L749" s="1">
        <f t="shared" si="60"/>
        <v>25.901269832531334</v>
      </c>
      <c r="N749">
        <f>I749</f>
        <v>456000.90338130161</v>
      </c>
      <c r="O749" s="1">
        <f>SUM(K$2:K749)/$G$3</f>
        <v>0.11439921356153586</v>
      </c>
      <c r="P749" s="1">
        <f>SUM(L$2:L749)/$G$3</f>
        <v>0.12325754697935946</v>
      </c>
      <c r="Q749" s="1">
        <f t="shared" si="56"/>
        <v>114.39921356153586</v>
      </c>
      <c r="R749" s="1">
        <f t="shared" si="57"/>
        <v>123.25754697935946</v>
      </c>
    </row>
    <row r="750" spans="1:18" x14ac:dyDescent="0.35">
      <c r="A750">
        <v>5.2847326797947503</v>
      </c>
      <c r="B750">
        <v>6.9570524071573203</v>
      </c>
      <c r="C750">
        <v>9.1168169354556792</v>
      </c>
      <c r="I750" s="1">
        <f t="shared" si="58"/>
        <v>456600.9035342664</v>
      </c>
      <c r="J750">
        <f t="shared" si="59"/>
        <v>600.00015296478523</v>
      </c>
      <c r="K750" s="1">
        <f t="shared" si="60"/>
        <v>19.618892789848573</v>
      </c>
      <c r="L750" s="1">
        <f t="shared" si="60"/>
        <v>25.709430312379155</v>
      </c>
      <c r="N750">
        <f>I750</f>
        <v>456600.9035342664</v>
      </c>
      <c r="O750" s="1">
        <f>SUM(K$2:K750)/$G$3</f>
        <v>0.11460254975669416</v>
      </c>
      <c r="P750" s="1">
        <f>SUM(L$2:L750)/$G$3</f>
        <v>0.12352400736503992</v>
      </c>
      <c r="Q750" s="1">
        <f t="shared" si="56"/>
        <v>114.60254975669416</v>
      </c>
      <c r="R750" s="1">
        <f t="shared" si="57"/>
        <v>123.52400736503992</v>
      </c>
    </row>
    <row r="751" spans="1:18" x14ac:dyDescent="0.35">
      <c r="A751">
        <v>5.2916771260096098</v>
      </c>
      <c r="B751">
        <v>6.90207517278448</v>
      </c>
      <c r="C751">
        <v>9.01275999808934</v>
      </c>
      <c r="I751" s="1">
        <f t="shared" si="58"/>
        <v>457200.90368723031</v>
      </c>
      <c r="J751">
        <f t="shared" si="59"/>
        <v>600.00015296391211</v>
      </c>
      <c r="K751" s="1">
        <f t="shared" si="60"/>
        <v>19.463856949363809</v>
      </c>
      <c r="L751" s="1">
        <f t="shared" si="60"/>
        <v>25.415989674158972</v>
      </c>
      <c r="N751">
        <f>I751</f>
        <v>457200.90368723031</v>
      </c>
      <c r="O751" s="1">
        <f>SUM(K$2:K751)/$G$3</f>
        <v>0.11480427911306421</v>
      </c>
      <c r="P751" s="1">
        <f>SUM(L$2:L751)/$G$3</f>
        <v>0.12378742644234893</v>
      </c>
      <c r="Q751" s="1">
        <f t="shared" si="56"/>
        <v>114.80427911306421</v>
      </c>
      <c r="R751" s="1">
        <f t="shared" si="57"/>
        <v>123.78742644234893</v>
      </c>
    </row>
    <row r="752" spans="1:18" x14ac:dyDescent="0.35">
      <c r="A752">
        <v>5.29862157222448</v>
      </c>
      <c r="B752">
        <v>6.8476353082025598</v>
      </c>
      <c r="C752">
        <v>8.9229068924902109</v>
      </c>
      <c r="I752" s="1">
        <f t="shared" si="58"/>
        <v>457800.9038401951</v>
      </c>
      <c r="J752">
        <f t="shared" si="59"/>
        <v>600.00015296478523</v>
      </c>
      <c r="K752" s="1">
        <f t="shared" si="60"/>
        <v>19.310336492132418</v>
      </c>
      <c r="L752" s="1">
        <f t="shared" si="60"/>
        <v>25.162603851807916</v>
      </c>
      <c r="N752">
        <f>I752</f>
        <v>457800.9038401951</v>
      </c>
      <c r="O752" s="1">
        <f>SUM(K$2:K752)/$G$3</f>
        <v>0.11500441733654072</v>
      </c>
      <c r="P752" s="1">
        <f>SUM(L$2:L752)/$G$3</f>
        <v>0.12404821935162817</v>
      </c>
      <c r="Q752" s="1">
        <f t="shared" si="56"/>
        <v>115.00441733654073</v>
      </c>
      <c r="R752" s="1">
        <f t="shared" si="57"/>
        <v>124.04821935162818</v>
      </c>
    </row>
    <row r="753" spans="1:18" x14ac:dyDescent="0.35">
      <c r="A753">
        <v>5.3055660184393396</v>
      </c>
      <c r="B753">
        <v>6.7874538143732304</v>
      </c>
      <c r="C753">
        <v>8.8283567679950092</v>
      </c>
      <c r="I753" s="1">
        <f t="shared" si="58"/>
        <v>458400.90399315895</v>
      </c>
      <c r="J753">
        <f t="shared" si="59"/>
        <v>600.00015296385391</v>
      </c>
      <c r="K753" s="1">
        <f t="shared" si="60"/>
        <v>19.140624636237451</v>
      </c>
      <c r="L753" s="1">
        <f t="shared" si="60"/>
        <v>24.895972432717457</v>
      </c>
      <c r="N753">
        <f>I753</f>
        <v>458400.90399315895</v>
      </c>
      <c r="O753" s="1">
        <f>SUM(K$2:K753)/$G$3</f>
        <v>0.11520279661452422</v>
      </c>
      <c r="P753" s="1">
        <f>SUM(L$2:L753)/$G$3</f>
        <v>0.12430624881146873</v>
      </c>
      <c r="Q753" s="1">
        <f t="shared" si="56"/>
        <v>115.20279661452422</v>
      </c>
      <c r="R753" s="1">
        <f t="shared" si="57"/>
        <v>124.30624881146873</v>
      </c>
    </row>
    <row r="754" spans="1:18" x14ac:dyDescent="0.35">
      <c r="A754">
        <v>5.3125104646542001</v>
      </c>
      <c r="B754">
        <v>6.7278469473177598</v>
      </c>
      <c r="C754">
        <v>8.7173458083503501</v>
      </c>
      <c r="I754" s="1">
        <f t="shared" si="58"/>
        <v>459000.90414612286</v>
      </c>
      <c r="J754">
        <f t="shared" si="59"/>
        <v>600.00015296391211</v>
      </c>
      <c r="K754" s="1">
        <f t="shared" si="60"/>
        <v>18.972533228289691</v>
      </c>
      <c r="L754" s="1">
        <f t="shared" si="60"/>
        <v>24.582921446712785</v>
      </c>
      <c r="N754">
        <f>I754</f>
        <v>459000.90414612286</v>
      </c>
      <c r="O754" s="1">
        <f>SUM(K$2:K754)/$G$3</f>
        <v>0.11539943374183199</v>
      </c>
      <c r="P754" s="1">
        <f>SUM(L$2:L754)/$G$3</f>
        <v>0.12456103371530573</v>
      </c>
      <c r="Q754" s="1">
        <f t="shared" si="56"/>
        <v>115.399433741832</v>
      </c>
      <c r="R754" s="1">
        <f t="shared" si="57"/>
        <v>124.56103371530573</v>
      </c>
    </row>
    <row r="755" spans="1:18" x14ac:dyDescent="0.35">
      <c r="A755">
        <v>5.3194549108690703</v>
      </c>
      <c r="B755">
        <v>6.6708811197227398</v>
      </c>
      <c r="C755">
        <v>8.6169445731006604</v>
      </c>
      <c r="I755" s="1">
        <f t="shared" si="58"/>
        <v>459600.90429908765</v>
      </c>
      <c r="J755">
        <f t="shared" si="59"/>
        <v>600.00015296478523</v>
      </c>
      <c r="K755" s="1">
        <f t="shared" si="60"/>
        <v>18.811889553544649</v>
      </c>
      <c r="L755" s="1">
        <f t="shared" si="60"/>
        <v>24.299789891162519</v>
      </c>
      <c r="N755">
        <f>I755</f>
        <v>459600.90429908765</v>
      </c>
      <c r="O755" s="1">
        <f>SUM(K$2:K755)/$G$3</f>
        <v>0.11559440590904498</v>
      </c>
      <c r="P755" s="1">
        <f>SUM(L$2:L755)/$G$3</f>
        <v>0.12481288415725175</v>
      </c>
      <c r="Q755" s="1">
        <f t="shared" si="56"/>
        <v>115.59440590904498</v>
      </c>
      <c r="R755" s="1">
        <f t="shared" si="57"/>
        <v>124.81288415725176</v>
      </c>
    </row>
    <row r="756" spans="1:18" x14ac:dyDescent="0.35">
      <c r="A756">
        <v>5.3263993570839396</v>
      </c>
      <c r="B756">
        <v>6.6175813139451103</v>
      </c>
      <c r="C756">
        <v>8.4937437720024196</v>
      </c>
      <c r="I756" s="1">
        <f t="shared" si="58"/>
        <v>460200.90445205237</v>
      </c>
      <c r="J756">
        <f t="shared" si="59"/>
        <v>600.00015296472702</v>
      </c>
      <c r="K756" s="1">
        <f t="shared" si="60"/>
        <v>18.661584062930853</v>
      </c>
      <c r="L756" s="1">
        <f t="shared" si="60"/>
        <v>23.952363543489849</v>
      </c>
      <c r="N756">
        <f>I756</f>
        <v>460200.90445205237</v>
      </c>
      <c r="O756" s="1">
        <f>SUM(K$2:K756)/$G$3</f>
        <v>0.11578782026426009</v>
      </c>
      <c r="P756" s="1">
        <f>SUM(L$2:L756)/$G$3</f>
        <v>0.12506113376644998</v>
      </c>
      <c r="Q756" s="1">
        <f t="shared" si="56"/>
        <v>115.78782026426009</v>
      </c>
      <c r="R756" s="1">
        <f t="shared" si="57"/>
        <v>125.06113376644998</v>
      </c>
    </row>
    <row r="757" spans="1:18" x14ac:dyDescent="0.35">
      <c r="A757">
        <v>5.3333438032988001</v>
      </c>
      <c r="B757">
        <v>6.5605299473719603</v>
      </c>
      <c r="C757">
        <v>8.3692233227171595</v>
      </c>
      <c r="I757" s="1">
        <f t="shared" si="58"/>
        <v>460800.90460501635</v>
      </c>
      <c r="J757">
        <f t="shared" si="59"/>
        <v>600.00015296397032</v>
      </c>
      <c r="K757" s="1">
        <f t="shared" si="60"/>
        <v>18.500699168155055</v>
      </c>
      <c r="L757" s="1">
        <f t="shared" si="60"/>
        <v>23.601215786953642</v>
      </c>
      <c r="N757">
        <f>I757</f>
        <v>460800.90460501635</v>
      </c>
      <c r="O757" s="1">
        <f>SUM(K$2:K757)/$G$3</f>
        <v>0.11597956715930238</v>
      </c>
      <c r="P757" s="1">
        <f>SUM(L$2:L757)/$G$3</f>
        <v>0.12530574397308264</v>
      </c>
      <c r="Q757" s="1">
        <f t="shared" si="56"/>
        <v>115.97956715930238</v>
      </c>
      <c r="R757" s="1">
        <f t="shared" si="57"/>
        <v>125.30574397308264</v>
      </c>
    </row>
    <row r="758" spans="1:18" x14ac:dyDescent="0.35">
      <c r="A758">
        <v>5.3402882495136703</v>
      </c>
      <c r="B758">
        <v>6.5042084145151096</v>
      </c>
      <c r="C758">
        <v>8.2168140552175899</v>
      </c>
      <c r="I758" s="1">
        <f t="shared" si="58"/>
        <v>461400.90475798113</v>
      </c>
      <c r="J758">
        <f t="shared" si="59"/>
        <v>600.00015296478523</v>
      </c>
      <c r="K758" s="1">
        <f t="shared" si="60"/>
        <v>18.341872405032372</v>
      </c>
      <c r="L758" s="1">
        <f t="shared" si="60"/>
        <v>23.171421543064632</v>
      </c>
      <c r="N758">
        <f>I758</f>
        <v>461400.90475798113</v>
      </c>
      <c r="O758" s="1">
        <f>SUM(K$2:K758)/$G$3</f>
        <v>0.11616966792527669</v>
      </c>
      <c r="P758" s="1">
        <f>SUM(L$2:L758)/$G$3</f>
        <v>0.12554589966094154</v>
      </c>
      <c r="Q758" s="1">
        <f t="shared" si="56"/>
        <v>116.1696679252767</v>
      </c>
      <c r="R758" s="1">
        <f t="shared" si="57"/>
        <v>125.54589966094154</v>
      </c>
    </row>
    <row r="759" spans="1:18" x14ac:dyDescent="0.35">
      <c r="A759">
        <v>5.3472326957285397</v>
      </c>
      <c r="B759">
        <v>6.4483284519145698</v>
      </c>
      <c r="C759">
        <v>8.0657662522571201</v>
      </c>
      <c r="I759" s="1">
        <f t="shared" si="58"/>
        <v>462000.9049109458</v>
      </c>
      <c r="J759">
        <f t="shared" si="59"/>
        <v>600.00015296466881</v>
      </c>
      <c r="K759" s="1">
        <f t="shared" si="60"/>
        <v>18.184290870321291</v>
      </c>
      <c r="L759" s="1">
        <f t="shared" si="60"/>
        <v>22.745466630118216</v>
      </c>
      <c r="N759">
        <f>I759</f>
        <v>462000.9049109458</v>
      </c>
      <c r="O759" s="1">
        <f>SUM(K$2:K759)/$G$3</f>
        <v>0.11635813546811052</v>
      </c>
      <c r="P759" s="1">
        <f>SUM(L$2:L759)/$G$3</f>
        <v>0.12578164062202479</v>
      </c>
      <c r="Q759" s="1">
        <f t="shared" si="56"/>
        <v>116.35813546811052</v>
      </c>
      <c r="R759" s="1">
        <f t="shared" si="57"/>
        <v>125.7816406220248</v>
      </c>
    </row>
    <row r="760" spans="1:18" x14ac:dyDescent="0.35">
      <c r="A760">
        <v>5.3541771419434001</v>
      </c>
      <c r="B760">
        <v>6.3940585350128902</v>
      </c>
      <c r="C760">
        <v>7.9704823952366599</v>
      </c>
      <c r="I760" s="1">
        <f t="shared" si="58"/>
        <v>462600.90506390977</v>
      </c>
      <c r="J760">
        <f t="shared" si="59"/>
        <v>600.00015296397032</v>
      </c>
      <c r="K760" s="1">
        <f t="shared" si="60"/>
        <v>18.031249665621075</v>
      </c>
      <c r="L760" s="1">
        <f t="shared" si="60"/>
        <v>22.476766084791556</v>
      </c>
      <c r="N760">
        <f>I760</f>
        <v>462600.90506390977</v>
      </c>
      <c r="O760" s="1">
        <f>SUM(K$2:K760)/$G$3</f>
        <v>0.11654501684517038</v>
      </c>
      <c r="P760" s="1">
        <f>SUM(L$2:L760)/$G$3</f>
        <v>0.12601459668861328</v>
      </c>
      <c r="Q760" s="1">
        <f t="shared" si="56"/>
        <v>116.54501684517038</v>
      </c>
      <c r="R760" s="1">
        <f t="shared" si="57"/>
        <v>126.01459668861328</v>
      </c>
    </row>
    <row r="761" spans="1:18" x14ac:dyDescent="0.35">
      <c r="A761">
        <v>5.3611215881582597</v>
      </c>
      <c r="B761">
        <v>6.3369222690036802</v>
      </c>
      <c r="C761">
        <v>7.87888756534712</v>
      </c>
      <c r="I761" s="1">
        <f t="shared" si="58"/>
        <v>463200.90521687362</v>
      </c>
      <c r="J761">
        <f t="shared" si="59"/>
        <v>600.00015296385391</v>
      </c>
      <c r="K761" s="1">
        <f t="shared" si="60"/>
        <v>17.870125354394624</v>
      </c>
      <c r="L761" s="1">
        <f t="shared" si="60"/>
        <v>22.218468598648411</v>
      </c>
      <c r="N761">
        <f>I761</f>
        <v>463200.90521687362</v>
      </c>
      <c r="O761" s="1">
        <f>SUM(K$2:K761)/$G$3</f>
        <v>0.11673022828067221</v>
      </c>
      <c r="P761" s="1">
        <f>SUM(L$2:L761)/$G$3</f>
        <v>0.12624487568118881</v>
      </c>
      <c r="Q761" s="1">
        <f t="shared" si="56"/>
        <v>116.73022828067221</v>
      </c>
      <c r="R761" s="1">
        <f t="shared" si="57"/>
        <v>126.2448756811888</v>
      </c>
    </row>
    <row r="762" spans="1:18" x14ac:dyDescent="0.35">
      <c r="A762">
        <v>5.3680660343731299</v>
      </c>
      <c r="B762">
        <v>6.2794589328695896</v>
      </c>
      <c r="C762">
        <v>7.7860573981243899</v>
      </c>
      <c r="I762" s="1">
        <f t="shared" si="58"/>
        <v>463800.90536983841</v>
      </c>
      <c r="J762">
        <f t="shared" si="59"/>
        <v>600.00015296478523</v>
      </c>
      <c r="K762" s="1">
        <f t="shared" si="60"/>
        <v>17.708078705211854</v>
      </c>
      <c r="L762" s="1">
        <f t="shared" si="60"/>
        <v>21.956687460375989</v>
      </c>
      <c r="N762">
        <f>I762</f>
        <v>463800.90536983841</v>
      </c>
      <c r="O762" s="1">
        <f>SUM(K$2:K762)/$G$3</f>
        <v>0.11691376021522383</v>
      </c>
      <c r="P762" s="1">
        <f>SUM(L$2:L762)/$G$3</f>
        <v>0.12647244149411699</v>
      </c>
      <c r="Q762" s="1">
        <f t="shared" si="56"/>
        <v>116.91376021522383</v>
      </c>
      <c r="R762" s="1">
        <f t="shared" si="57"/>
        <v>126.47244149411699</v>
      </c>
    </row>
    <row r="763" spans="1:18" x14ac:dyDescent="0.35">
      <c r="A763">
        <v>5.3750104805880001</v>
      </c>
      <c r="B763">
        <v>6.2327406592414798</v>
      </c>
      <c r="C763">
        <v>7.6961151554499301</v>
      </c>
      <c r="I763" s="1">
        <f t="shared" si="58"/>
        <v>464400.90552280319</v>
      </c>
      <c r="J763">
        <f t="shared" si="59"/>
        <v>600.00015296478523</v>
      </c>
      <c r="K763" s="1">
        <f t="shared" si="60"/>
        <v>17.576333139993203</v>
      </c>
      <c r="L763" s="1">
        <f t="shared" si="60"/>
        <v>21.703050271371431</v>
      </c>
      <c r="N763">
        <f>I763</f>
        <v>464400.90552280319</v>
      </c>
      <c r="O763" s="1">
        <f>SUM(K$2:K763)/$G$3</f>
        <v>0.11709592669851134</v>
      </c>
      <c r="P763" s="1">
        <f>SUM(L$2:L763)/$G$3</f>
        <v>0.12669737853377466</v>
      </c>
      <c r="Q763" s="1">
        <f t="shared" si="56"/>
        <v>117.09592669851133</v>
      </c>
      <c r="R763" s="1">
        <f t="shared" si="57"/>
        <v>126.69737853377467</v>
      </c>
    </row>
    <row r="764" spans="1:18" x14ac:dyDescent="0.35">
      <c r="A764">
        <v>5.3819549268028704</v>
      </c>
      <c r="B764">
        <v>6.1827629817230996</v>
      </c>
      <c r="C764">
        <v>7.60728498200326</v>
      </c>
      <c r="I764" s="1">
        <f t="shared" si="58"/>
        <v>465000.90567576798</v>
      </c>
      <c r="J764">
        <f t="shared" si="59"/>
        <v>600.00015296478523</v>
      </c>
      <c r="K764" s="1">
        <f t="shared" si="60"/>
        <v>17.435396053460696</v>
      </c>
      <c r="L764" s="1">
        <f t="shared" si="60"/>
        <v>21.452549118388749</v>
      </c>
      <c r="N764">
        <f>I764</f>
        <v>465000.90567576798</v>
      </c>
      <c r="O764" s="1">
        <f>SUM(K$2:K764)/$G$3</f>
        <v>0.11727663246680134</v>
      </c>
      <c r="P764" s="1">
        <f>SUM(L$2:L764)/$G$3</f>
        <v>0.1269197193029967</v>
      </c>
      <c r="Q764" s="1">
        <f t="shared" si="56"/>
        <v>117.27663246680135</v>
      </c>
      <c r="R764" s="1">
        <f t="shared" si="57"/>
        <v>126.9197193029967</v>
      </c>
    </row>
    <row r="765" spans="1:18" x14ac:dyDescent="0.35">
      <c r="A765">
        <v>5.3888993730177299</v>
      </c>
      <c r="B765">
        <v>6.1352068711527998</v>
      </c>
      <c r="C765">
        <v>7.5244497444868603</v>
      </c>
      <c r="I765" s="1">
        <f t="shared" si="58"/>
        <v>465600.90582873189</v>
      </c>
      <c r="J765">
        <f t="shared" si="59"/>
        <v>600.00015296391211</v>
      </c>
      <c r="K765" s="1">
        <f t="shared" si="60"/>
        <v>17.301287787437545</v>
      </c>
      <c r="L765" s="1">
        <f t="shared" si="60"/>
        <v>21.218953689008512</v>
      </c>
      <c r="N765">
        <f>I765</f>
        <v>465600.90582873189</v>
      </c>
      <c r="O765" s="1">
        <f>SUM(K$2:K765)/$G$3</f>
        <v>0.11745594829607466</v>
      </c>
      <c r="P765" s="1">
        <f>SUM(L$2:L765)/$G$3</f>
        <v>0.1271396390178644</v>
      </c>
      <c r="Q765" s="1">
        <f t="shared" si="56"/>
        <v>117.45594829607465</v>
      </c>
      <c r="R765" s="1">
        <f t="shared" si="57"/>
        <v>127.1396390178644</v>
      </c>
    </row>
    <row r="766" spans="1:18" x14ac:dyDescent="0.35">
      <c r="A766">
        <v>5.3958438192325904</v>
      </c>
      <c r="B766">
        <v>6.0840545820318201</v>
      </c>
      <c r="C766">
        <v>7.4337994415290902</v>
      </c>
      <c r="I766" s="1">
        <f t="shared" si="58"/>
        <v>466200.9059816958</v>
      </c>
      <c r="J766">
        <f t="shared" si="59"/>
        <v>600.00015296391211</v>
      </c>
      <c r="K766" s="1">
        <f t="shared" si="60"/>
        <v>17.157038295341447</v>
      </c>
      <c r="L766" s="1">
        <f t="shared" si="60"/>
        <v>20.963319769496344</v>
      </c>
      <c r="N766">
        <f>I766</f>
        <v>466200.9059816958</v>
      </c>
      <c r="O766" s="1">
        <f>SUM(K$2:K766)/$G$3</f>
        <v>0.11763376907956787</v>
      </c>
      <c r="P766" s="1">
        <f>SUM(L$2:L766)/$G$3</f>
        <v>0.12735690926473694</v>
      </c>
      <c r="Q766" s="1">
        <f t="shared" si="56"/>
        <v>117.63376907956787</v>
      </c>
      <c r="R766" s="1">
        <f t="shared" si="57"/>
        <v>127.35690926473694</v>
      </c>
    </row>
    <row r="767" spans="1:18" x14ac:dyDescent="0.35">
      <c r="A767">
        <v>5.4027882654474597</v>
      </c>
      <c r="B767">
        <v>6.0338492708820599</v>
      </c>
      <c r="C767">
        <v>7.3502106341599402</v>
      </c>
      <c r="I767" s="1">
        <f t="shared" si="58"/>
        <v>466800.90613466053</v>
      </c>
      <c r="J767">
        <f t="shared" si="59"/>
        <v>600.00015296472702</v>
      </c>
      <c r="K767" s="1">
        <f t="shared" si="60"/>
        <v>17.015459281828111</v>
      </c>
      <c r="L767" s="1">
        <f t="shared" si="60"/>
        <v>20.727599272648959</v>
      </c>
      <c r="N767">
        <f>I767</f>
        <v>466800.90613466053</v>
      </c>
      <c r="O767" s="1">
        <f>SUM(K$2:K767)/$G$3</f>
        <v>0.11781012249493636</v>
      </c>
      <c r="P767" s="1">
        <f>SUM(L$2:L767)/$G$3</f>
        <v>0.12757173643240702</v>
      </c>
      <c r="Q767" s="1">
        <f t="shared" si="56"/>
        <v>117.81012249493637</v>
      </c>
      <c r="R767" s="1">
        <f t="shared" si="57"/>
        <v>127.57173643240702</v>
      </c>
    </row>
    <row r="768" spans="1:18" x14ac:dyDescent="0.35">
      <c r="A768">
        <v>5.4097327116623299</v>
      </c>
      <c r="B768">
        <v>5.9823442266147904</v>
      </c>
      <c r="C768">
        <v>7.2716226315130301</v>
      </c>
      <c r="I768" s="1">
        <f t="shared" si="58"/>
        <v>467400.90628762532</v>
      </c>
      <c r="J768">
        <f t="shared" si="59"/>
        <v>600.00015296478523</v>
      </c>
      <c r="K768" s="1">
        <f t="shared" si="60"/>
        <v>16.870215019967308</v>
      </c>
      <c r="L768" s="1">
        <f t="shared" si="60"/>
        <v>20.505981048687055</v>
      </c>
      <c r="N768">
        <f>I768</f>
        <v>467400.90628762532</v>
      </c>
      <c r="O768" s="1">
        <f>SUM(K$2:K768)/$G$3</f>
        <v>0.11798497055442714</v>
      </c>
      <c r="P768" s="1">
        <f>SUM(L$2:L768)/$G$3</f>
        <v>0.12778426668113674</v>
      </c>
      <c r="Q768" s="1">
        <f t="shared" si="56"/>
        <v>117.98497055442714</v>
      </c>
      <c r="R768" s="1">
        <f t="shared" si="57"/>
        <v>127.78426668113674</v>
      </c>
    </row>
    <row r="769" spans="1:18" x14ac:dyDescent="0.35">
      <c r="A769">
        <v>5.4166771578772002</v>
      </c>
      <c r="B769">
        <v>5.93343673000685</v>
      </c>
      <c r="C769">
        <v>7.1894920828430999</v>
      </c>
      <c r="I769" s="1">
        <f t="shared" si="58"/>
        <v>468000.9064405901</v>
      </c>
      <c r="J769">
        <f t="shared" si="59"/>
        <v>600.00015296478523</v>
      </c>
      <c r="K769" s="1">
        <f t="shared" si="60"/>
        <v>16.732295844371631</v>
      </c>
      <c r="L769" s="1">
        <f t="shared" si="60"/>
        <v>20.274372842391369</v>
      </c>
      <c r="N769">
        <f>I769</f>
        <v>468000.9064405901</v>
      </c>
      <c r="O769" s="1">
        <f>SUM(K$2:K769)/$G$3</f>
        <v>0.11815838917747083</v>
      </c>
      <c r="P769" s="1">
        <f>SUM(L$2:L769)/$G$3</f>
        <v>0.12799439647169891</v>
      </c>
      <c r="Q769" s="1">
        <f t="shared" si="56"/>
        <v>118.15838917747084</v>
      </c>
      <c r="R769" s="1">
        <f t="shared" si="57"/>
        <v>127.99439647169891</v>
      </c>
    </row>
    <row r="770" spans="1:18" x14ac:dyDescent="0.35">
      <c r="A770">
        <v>5.4236216040920597</v>
      </c>
      <c r="B770">
        <v>5.8865803750930796</v>
      </c>
      <c r="C770">
        <v>7.1003004445101601</v>
      </c>
      <c r="I770" s="1">
        <f t="shared" si="58"/>
        <v>468600.90659355395</v>
      </c>
      <c r="J770">
        <f t="shared" si="59"/>
        <v>600.00015296385391</v>
      </c>
      <c r="K770" s="1">
        <f t="shared" si="60"/>
        <v>16.600160889802382</v>
      </c>
      <c r="L770" s="1">
        <f t="shared" si="60"/>
        <v>20.022852358138454</v>
      </c>
      <c r="N770">
        <f>I770</f>
        <v>468600.90659355395</v>
      </c>
      <c r="O770" s="1">
        <f>SUM(K$2:K770)/$G$3</f>
        <v>0.11833043831350029</v>
      </c>
      <c r="P770" s="1">
        <f>SUM(L$2:L770)/$G$3</f>
        <v>0.12820191942716494</v>
      </c>
      <c r="Q770" s="1">
        <f t="shared" ref="Q770:Q833" si="61">O770*1000</f>
        <v>118.3304383135003</v>
      </c>
      <c r="R770" s="1">
        <f t="shared" ref="R770:R833" si="62">P770*1000</f>
        <v>128.20191942716494</v>
      </c>
    </row>
    <row r="771" spans="1:18" x14ac:dyDescent="0.35">
      <c r="A771">
        <v>5.4305660503069202</v>
      </c>
      <c r="B771">
        <v>5.8395986634280401</v>
      </c>
      <c r="C771">
        <v>7.0159259515006598</v>
      </c>
      <c r="I771" s="1">
        <f t="shared" ref="I771:I834" si="63">A771*86400</f>
        <v>469200.90674651793</v>
      </c>
      <c r="J771">
        <f t="shared" si="59"/>
        <v>600.00015296397032</v>
      </c>
      <c r="K771" s="1">
        <f t="shared" si="60"/>
        <v>16.467672429133597</v>
      </c>
      <c r="L771" s="1">
        <f t="shared" si="60"/>
        <v>19.784916227196138</v>
      </c>
      <c r="N771">
        <f>I771</f>
        <v>469200.90674651793</v>
      </c>
      <c r="O771" s="1">
        <f>SUM(K$2:K771)/$G$3</f>
        <v>0.11850111429867034</v>
      </c>
      <c r="P771" s="1">
        <f>SUM(L$2:L771)/$G$3</f>
        <v>0.12840697633992026</v>
      </c>
      <c r="Q771" s="1">
        <f t="shared" si="61"/>
        <v>118.50111429867034</v>
      </c>
      <c r="R771" s="1">
        <f t="shared" si="62"/>
        <v>128.40697633992028</v>
      </c>
    </row>
    <row r="772" spans="1:18" x14ac:dyDescent="0.35">
      <c r="A772">
        <v>5.4375104965217904</v>
      </c>
      <c r="B772">
        <v>5.79378341182084</v>
      </c>
      <c r="C772">
        <v>6.9441990646452396</v>
      </c>
      <c r="I772" s="1">
        <f t="shared" si="63"/>
        <v>469800.90689948271</v>
      </c>
      <c r="J772">
        <f t="shared" si="59"/>
        <v>600.00015296478523</v>
      </c>
      <c r="K772" s="1">
        <f t="shared" si="60"/>
        <v>16.338473386685493</v>
      </c>
      <c r="L772" s="1">
        <f t="shared" si="60"/>
        <v>19.582646354723792</v>
      </c>
      <c r="N772">
        <f>I772</f>
        <v>469800.90689948271</v>
      </c>
      <c r="O772" s="1">
        <f>SUM(K$2:K772)/$G$3</f>
        <v>0.11867045122551582</v>
      </c>
      <c r="P772" s="1">
        <f>SUM(L$2:L772)/$G$3</f>
        <v>0.1286099368659577</v>
      </c>
      <c r="Q772" s="1">
        <f t="shared" si="61"/>
        <v>118.67045122551582</v>
      </c>
      <c r="R772" s="1">
        <f t="shared" si="62"/>
        <v>128.60993686595771</v>
      </c>
    </row>
    <row r="773" spans="1:18" x14ac:dyDescent="0.35">
      <c r="A773">
        <v>5.4444549427366598</v>
      </c>
      <c r="B773">
        <v>5.7472204323125897</v>
      </c>
      <c r="C773">
        <v>6.8728669500699597</v>
      </c>
      <c r="I773" s="1">
        <f t="shared" si="63"/>
        <v>470400.90705244738</v>
      </c>
      <c r="J773">
        <f t="shared" si="59"/>
        <v>600.00015296466881</v>
      </c>
      <c r="K773" s="1">
        <f t="shared" si="60"/>
        <v>16.207165750993351</v>
      </c>
      <c r="L773" s="1">
        <f t="shared" si="60"/>
        <v>19.381489740334626</v>
      </c>
      <c r="N773">
        <f>I773</f>
        <v>470400.90705244738</v>
      </c>
      <c r="O773" s="1">
        <f>SUM(K$2:K773)/$G$3</f>
        <v>0.1188384272399325</v>
      </c>
      <c r="P773" s="1">
        <f>SUM(L$2:L773)/$G$3</f>
        <v>0.128810812543424</v>
      </c>
      <c r="Q773" s="1">
        <f t="shared" si="61"/>
        <v>118.8384272399325</v>
      </c>
      <c r="R773" s="1">
        <f t="shared" si="62"/>
        <v>128.81081254342399</v>
      </c>
    </row>
    <row r="774" spans="1:18" x14ac:dyDescent="0.35">
      <c r="A774">
        <v>5.4513993889515202</v>
      </c>
      <c r="B774">
        <v>5.7017567168032803</v>
      </c>
      <c r="C774">
        <v>6.7977428363795402</v>
      </c>
      <c r="I774" s="1">
        <f t="shared" si="63"/>
        <v>471000.90720541135</v>
      </c>
      <c r="J774">
        <f t="shared" ref="J774:J837" si="64">I774-I773</f>
        <v>600.00015296397032</v>
      </c>
      <c r="K774" s="1">
        <f t="shared" si="60"/>
        <v>16.078958040552973</v>
      </c>
      <c r="L774" s="1">
        <f t="shared" si="60"/>
        <v>19.169639685696051</v>
      </c>
      <c r="N774">
        <f>I774</f>
        <v>471000.90720541135</v>
      </c>
      <c r="O774" s="1">
        <f>SUM(K$2:K774)/$G$3</f>
        <v>0.1190050744704922</v>
      </c>
      <c r="P774" s="1">
        <f>SUM(L$2:L774)/$G$3</f>
        <v>0.12900949254223934</v>
      </c>
      <c r="Q774" s="1">
        <f t="shared" si="61"/>
        <v>119.0050744704922</v>
      </c>
      <c r="R774" s="1">
        <f t="shared" si="62"/>
        <v>129.00949254223934</v>
      </c>
    </row>
    <row r="775" spans="1:18" x14ac:dyDescent="0.35">
      <c r="A775">
        <v>5.4583438351663904</v>
      </c>
      <c r="B775">
        <v>5.6594664175676597</v>
      </c>
      <c r="C775">
        <v>6.71709918574133</v>
      </c>
      <c r="I775" s="1">
        <f t="shared" si="63"/>
        <v>471600.90735837613</v>
      </c>
      <c r="J775">
        <f t="shared" si="64"/>
        <v>600.00015296478523</v>
      </c>
      <c r="K775" s="1">
        <f t="shared" si="60"/>
        <v>15.959699366326406</v>
      </c>
      <c r="L775" s="1">
        <f t="shared" si="60"/>
        <v>18.942224532944831</v>
      </c>
      <c r="N775">
        <f>I775</f>
        <v>471600.90735837613</v>
      </c>
      <c r="O775" s="1">
        <f>SUM(K$2:K775)/$G$3</f>
        <v>0.11917048566773869</v>
      </c>
      <c r="P775" s="1">
        <f>SUM(L$2:L775)/$G$3</f>
        <v>0.12920581554097429</v>
      </c>
      <c r="Q775" s="1">
        <f t="shared" si="61"/>
        <v>119.17048566773869</v>
      </c>
      <c r="R775" s="1">
        <f t="shared" si="62"/>
        <v>129.2058155409743</v>
      </c>
    </row>
    <row r="776" spans="1:18" x14ac:dyDescent="0.35">
      <c r="A776">
        <v>5.4652882813812598</v>
      </c>
      <c r="B776">
        <v>5.6139285331487896</v>
      </c>
      <c r="C776">
        <v>6.6424053292006997</v>
      </c>
      <c r="I776" s="1">
        <f t="shared" si="63"/>
        <v>472200.90751134086</v>
      </c>
      <c r="J776">
        <f t="shared" si="64"/>
        <v>600.00015296472702</v>
      </c>
      <c r="K776" s="1">
        <f t="shared" si="60"/>
        <v>15.831282499524901</v>
      </c>
      <c r="L776" s="1">
        <f t="shared" si="60"/>
        <v>18.731587803798448</v>
      </c>
      <c r="N776">
        <f>I776</f>
        <v>472200.90751134086</v>
      </c>
      <c r="O776" s="1">
        <f>SUM(K$2:K776)/$G$3</f>
        <v>0.1193345659133678</v>
      </c>
      <c r="P776" s="1">
        <f>SUM(L$2:L776)/$G$3</f>
        <v>0.1293999554363342</v>
      </c>
      <c r="Q776" s="1">
        <f t="shared" si="61"/>
        <v>119.3345659133678</v>
      </c>
      <c r="R776" s="1">
        <f t="shared" si="62"/>
        <v>129.39995543633421</v>
      </c>
    </row>
    <row r="777" spans="1:18" x14ac:dyDescent="0.35">
      <c r="A777">
        <v>5.4722327275961202</v>
      </c>
      <c r="B777">
        <v>5.5648621447216602</v>
      </c>
      <c r="C777">
        <v>6.5773428719330704</v>
      </c>
      <c r="I777" s="1">
        <f t="shared" si="63"/>
        <v>472800.90766430477</v>
      </c>
      <c r="J777">
        <f t="shared" si="64"/>
        <v>600.00015296391211</v>
      </c>
      <c r="K777" s="1">
        <f t="shared" si="60"/>
        <v>15.692915248863578</v>
      </c>
      <c r="L777" s="1">
        <f t="shared" si="60"/>
        <v>18.548111627502916</v>
      </c>
      <c r="N777">
        <f>I777</f>
        <v>472800.90766430477</v>
      </c>
      <c r="O777" s="1">
        <f>SUM(K$2:K777)/$G$3</f>
        <v>0.11949721207856304</v>
      </c>
      <c r="P777" s="1">
        <f>SUM(L$2:L777)/$G$3</f>
        <v>0.12959219372858172</v>
      </c>
      <c r="Q777" s="1">
        <f t="shared" si="61"/>
        <v>119.49721207856304</v>
      </c>
      <c r="R777" s="1">
        <f t="shared" si="62"/>
        <v>129.59219372858172</v>
      </c>
    </row>
    <row r="778" spans="1:18" x14ac:dyDescent="0.35">
      <c r="A778">
        <v>5.4791771738109798</v>
      </c>
      <c r="B778">
        <v>5.5194397665776496</v>
      </c>
      <c r="C778">
        <v>6.50917118223669</v>
      </c>
      <c r="I778" s="1">
        <f t="shared" si="63"/>
        <v>473400.90781726863</v>
      </c>
      <c r="J778">
        <f t="shared" si="64"/>
        <v>600.00015296385391</v>
      </c>
      <c r="K778" s="1">
        <f t="shared" si="60"/>
        <v>15.564824109840428</v>
      </c>
      <c r="L778" s="1">
        <f t="shared" si="60"/>
        <v>18.35586741354664</v>
      </c>
      <c r="N778">
        <f>I778</f>
        <v>473400.90781726863</v>
      </c>
      <c r="O778" s="1">
        <f>SUM(K$2:K778)/$G$3</f>
        <v>0.11965853066808307</v>
      </c>
      <c r="P778" s="1">
        <f>SUM(L$2:L778)/$G$3</f>
        <v>0.12978243954309743</v>
      </c>
      <c r="Q778" s="1">
        <f t="shared" si="61"/>
        <v>119.65853066808307</v>
      </c>
      <c r="R778" s="1">
        <f t="shared" si="62"/>
        <v>129.78243954309744</v>
      </c>
    </row>
    <row r="779" spans="1:18" x14ac:dyDescent="0.35">
      <c r="A779">
        <v>5.48612162002585</v>
      </c>
      <c r="B779">
        <v>5.4714890386059203</v>
      </c>
      <c r="C779">
        <v>6.4341827813213301</v>
      </c>
      <c r="I779" s="1">
        <f t="shared" si="63"/>
        <v>474000.90797023341</v>
      </c>
      <c r="J779">
        <f t="shared" si="64"/>
        <v>600.00015296478523</v>
      </c>
      <c r="K779" s="1">
        <f t="shared" si="60"/>
        <v>15.42960302251088</v>
      </c>
      <c r="L779" s="1">
        <f t="shared" si="60"/>
        <v>18.144400069082071</v>
      </c>
      <c r="N779">
        <f>I779</f>
        <v>474000.90797023341</v>
      </c>
      <c r="O779" s="1">
        <f>SUM(K$2:K779)/$G$3</f>
        <v>0.11981844778496664</v>
      </c>
      <c r="P779" s="1">
        <f>SUM(L$2:L779)/$G$3</f>
        <v>0.12997049364548724</v>
      </c>
      <c r="Q779" s="1">
        <f t="shared" si="61"/>
        <v>119.81844778496664</v>
      </c>
      <c r="R779" s="1">
        <f t="shared" si="62"/>
        <v>129.97049364548724</v>
      </c>
    </row>
    <row r="780" spans="1:18" x14ac:dyDescent="0.35">
      <c r="A780">
        <v>5.4930660662407202</v>
      </c>
      <c r="B780">
        <v>5.4268250150862496</v>
      </c>
      <c r="C780">
        <v>6.36509449828056</v>
      </c>
      <c r="I780" s="1">
        <f t="shared" si="63"/>
        <v>474600.90812319826</v>
      </c>
      <c r="J780">
        <f t="shared" si="64"/>
        <v>600.00015296484344</v>
      </c>
      <c r="K780" s="1">
        <f t="shared" si="60"/>
        <v>15.303650444076386</v>
      </c>
      <c r="L780" s="1">
        <f t="shared" si="60"/>
        <v>17.949571061238892</v>
      </c>
      <c r="N780">
        <f>I780</f>
        <v>474600.90812319826</v>
      </c>
      <c r="O780" s="1">
        <f>SUM(K$2:K780)/$G$3</f>
        <v>0.11997705949086991</v>
      </c>
      <c r="P780" s="1">
        <f>SUM(L$2:L780)/$G$3</f>
        <v>0.13015652848055217</v>
      </c>
      <c r="Q780" s="1">
        <f t="shared" si="61"/>
        <v>119.97705949086991</v>
      </c>
      <c r="R780" s="1">
        <f t="shared" si="62"/>
        <v>130.15652848055217</v>
      </c>
    </row>
    <row r="781" spans="1:18" x14ac:dyDescent="0.35">
      <c r="A781">
        <v>5.5000105124555798</v>
      </c>
      <c r="B781">
        <v>5.3826912011121602</v>
      </c>
      <c r="C781">
        <v>6.2960800124349197</v>
      </c>
      <c r="I781" s="1">
        <f t="shared" si="63"/>
        <v>475200.90827616211</v>
      </c>
      <c r="J781">
        <f t="shared" si="64"/>
        <v>600.00015296385391</v>
      </c>
      <c r="K781" s="1">
        <f t="shared" si="60"/>
        <v>15.179193056915087</v>
      </c>
      <c r="L781" s="1">
        <f t="shared" si="60"/>
        <v>17.754950161507992</v>
      </c>
      <c r="N781">
        <f>I781</f>
        <v>475200.90827616211</v>
      </c>
      <c r="O781" s="1">
        <f>SUM(K$2:K781)/$G$3</f>
        <v>0.12013438128241175</v>
      </c>
      <c r="P781" s="1">
        <f>SUM(L$2:L781)/$G$3</f>
        <v>0.1303405462051882</v>
      </c>
      <c r="Q781" s="1">
        <f t="shared" si="61"/>
        <v>120.13438128241175</v>
      </c>
      <c r="R781" s="1">
        <f t="shared" si="62"/>
        <v>130.34054620518819</v>
      </c>
    </row>
    <row r="782" spans="1:18" x14ac:dyDescent="0.35">
      <c r="A782">
        <v>5.5069549586704403</v>
      </c>
      <c r="B782">
        <v>5.3393885588864203</v>
      </c>
      <c r="C782">
        <v>6.2263317047654203</v>
      </c>
      <c r="I782" s="1">
        <f t="shared" si="63"/>
        <v>475800.90842912602</v>
      </c>
      <c r="J782">
        <f t="shared" si="64"/>
        <v>600.00015296391211</v>
      </c>
      <c r="K782" s="1">
        <f t="shared" si="60"/>
        <v>15.057079574708387</v>
      </c>
      <c r="L782" s="1">
        <f t="shared" si="60"/>
        <v>17.558259883737549</v>
      </c>
      <c r="N782">
        <f>I782</f>
        <v>475800.90842912602</v>
      </c>
      <c r="O782" s="1">
        <f>SUM(K$2:K782)/$G$3</f>
        <v>0.12029043745253878</v>
      </c>
      <c r="P782" s="1">
        <f>SUM(L$2:L782)/$G$3</f>
        <v>0.13052252537172951</v>
      </c>
      <c r="Q782" s="1">
        <f t="shared" si="61"/>
        <v>120.29043745253878</v>
      </c>
      <c r="R782" s="1">
        <f t="shared" si="62"/>
        <v>130.5225253717295</v>
      </c>
    </row>
    <row r="783" spans="1:18" x14ac:dyDescent="0.35">
      <c r="A783">
        <v>5.5138994048853096</v>
      </c>
      <c r="B783">
        <v>5.2902487626607897</v>
      </c>
      <c r="C783">
        <v>6.1682862464281296</v>
      </c>
      <c r="I783" s="1">
        <f t="shared" si="63"/>
        <v>476400.90858209075</v>
      </c>
      <c r="J783">
        <f t="shared" si="64"/>
        <v>600.00015296472702</v>
      </c>
      <c r="K783" s="1">
        <f t="shared" si="60"/>
        <v>14.918505314044278</v>
      </c>
      <c r="L783" s="1">
        <f t="shared" si="60"/>
        <v>17.394571649519367</v>
      </c>
      <c r="N783">
        <f>I783</f>
        <v>476400.90858209075</v>
      </c>
      <c r="O783" s="1">
        <f>SUM(K$2:K783)/$G$3</f>
        <v>0.1204450573967171</v>
      </c>
      <c r="P783" s="1">
        <f>SUM(L$2:L783)/$G$3</f>
        <v>0.13070280802343207</v>
      </c>
      <c r="Q783" s="1">
        <f t="shared" si="61"/>
        <v>120.4450573967171</v>
      </c>
      <c r="R783" s="1">
        <f t="shared" si="62"/>
        <v>130.70280802343206</v>
      </c>
    </row>
    <row r="784" spans="1:18" x14ac:dyDescent="0.35">
      <c r="A784">
        <v>5.5208438511001798</v>
      </c>
      <c r="B784">
        <v>5.2450643691921499</v>
      </c>
      <c r="C784">
        <v>6.0896876991654603</v>
      </c>
      <c r="I784" s="1">
        <f t="shared" si="63"/>
        <v>477000.90873505553</v>
      </c>
      <c r="J784">
        <f t="shared" si="64"/>
        <v>600.00015296478523</v>
      </c>
      <c r="K784" s="1">
        <f t="shared" si="60"/>
        <v>14.791085291979543</v>
      </c>
      <c r="L784" s="1">
        <f t="shared" si="60"/>
        <v>17.172923689733121</v>
      </c>
      <c r="N784">
        <f>I784</f>
        <v>477000.90873505553</v>
      </c>
      <c r="O784" s="1">
        <f>SUM(K$2:K784)/$G$3</f>
        <v>0.12059835672088128</v>
      </c>
      <c r="P784" s="1">
        <f>SUM(L$2:L784)/$G$3</f>
        <v>0.13088079344800307</v>
      </c>
      <c r="Q784" s="1">
        <f t="shared" si="61"/>
        <v>120.59835672088127</v>
      </c>
      <c r="R784" s="1">
        <f t="shared" si="62"/>
        <v>130.88079344800306</v>
      </c>
    </row>
    <row r="785" spans="1:18" x14ac:dyDescent="0.35">
      <c r="A785">
        <v>5.5277882973150403</v>
      </c>
      <c r="B785">
        <v>5.2011520610716699</v>
      </c>
      <c r="C785">
        <v>6.0204828846567997</v>
      </c>
      <c r="I785" s="1">
        <f t="shared" si="63"/>
        <v>477600.9088880195</v>
      </c>
      <c r="J785">
        <f t="shared" si="64"/>
        <v>600.00015296397032</v>
      </c>
      <c r="K785" s="1">
        <f t="shared" si="60"/>
        <v>14.667252551489797</v>
      </c>
      <c r="L785" s="1">
        <f t="shared" si="60"/>
        <v>16.977766063041912</v>
      </c>
      <c r="N785">
        <f>I785</f>
        <v>477600.9088880195</v>
      </c>
      <c r="O785" s="1">
        <f>SUM(K$2:K785)/$G$3</f>
        <v>0.12075037260471284</v>
      </c>
      <c r="P785" s="1">
        <f>SUM(L$2:L785)/$G$3</f>
        <v>0.13105675619934309</v>
      </c>
      <c r="Q785" s="1">
        <f t="shared" si="61"/>
        <v>120.75037260471285</v>
      </c>
      <c r="R785" s="1">
        <f t="shared" si="62"/>
        <v>131.05675619934308</v>
      </c>
    </row>
    <row r="786" spans="1:18" x14ac:dyDescent="0.35">
      <c r="A786">
        <v>5.5347327435299096</v>
      </c>
      <c r="B786">
        <v>5.1563864455607797</v>
      </c>
      <c r="C786">
        <v>5.9594061961241502</v>
      </c>
      <c r="I786" s="1">
        <f t="shared" si="63"/>
        <v>478200.90904098417</v>
      </c>
      <c r="J786">
        <f t="shared" si="64"/>
        <v>600.00015296466881</v>
      </c>
      <c r="K786" s="1">
        <f t="shared" si="60"/>
        <v>14.54101348358264</v>
      </c>
      <c r="L786" s="1">
        <f t="shared" si="60"/>
        <v>16.805529757489502</v>
      </c>
      <c r="N786">
        <f>I786</f>
        <v>478200.90904098417</v>
      </c>
      <c r="O786" s="1">
        <f>SUM(K$2:K786)/$G$3</f>
        <v>0.12090108010829974</v>
      </c>
      <c r="P786" s="1">
        <f>SUM(L$2:L786)/$G$3</f>
        <v>0.13123093384102305</v>
      </c>
      <c r="Q786" s="1">
        <f t="shared" si="61"/>
        <v>120.90108010829974</v>
      </c>
      <c r="R786" s="1">
        <f t="shared" si="62"/>
        <v>131.23093384102305</v>
      </c>
    </row>
    <row r="787" spans="1:18" x14ac:dyDescent="0.35">
      <c r="A787">
        <v>5.5416771897447701</v>
      </c>
      <c r="B787">
        <v>5.1129529397111098</v>
      </c>
      <c r="C787">
        <v>5.8933172395198197</v>
      </c>
      <c r="I787" s="1">
        <f t="shared" si="63"/>
        <v>478800.90919394814</v>
      </c>
      <c r="J787">
        <f t="shared" si="64"/>
        <v>600.00015296397032</v>
      </c>
      <c r="K787" s="1">
        <f t="shared" ref="K787:L850" si="65">B787*$J787*$G$2</f>
        <v>14.418530965843964</v>
      </c>
      <c r="L787" s="1">
        <f t="shared" si="65"/>
        <v>16.619158852332347</v>
      </c>
      <c r="N787">
        <f>I787</f>
        <v>478800.90919394814</v>
      </c>
      <c r="O787" s="1">
        <f>SUM(K$2:K787)/$G$3</f>
        <v>0.12105051816567493</v>
      </c>
      <c r="P787" s="1">
        <f>SUM(L$2:L787)/$G$3</f>
        <v>0.13140317987773686</v>
      </c>
      <c r="Q787" s="1">
        <f t="shared" si="61"/>
        <v>121.05051816567493</v>
      </c>
      <c r="R787" s="1">
        <f t="shared" si="62"/>
        <v>131.40317987773687</v>
      </c>
    </row>
    <row r="788" spans="1:18" x14ac:dyDescent="0.35">
      <c r="A788">
        <v>5.5486216359596403</v>
      </c>
      <c r="B788">
        <v>5.0709024536428897</v>
      </c>
      <c r="C788">
        <v>5.83568613312403</v>
      </c>
      <c r="I788" s="1">
        <f t="shared" si="63"/>
        <v>479400.90934691293</v>
      </c>
      <c r="J788">
        <f t="shared" si="64"/>
        <v>600.00015296478523</v>
      </c>
      <c r="K788" s="1">
        <f t="shared" si="65"/>
        <v>14.299948564919623</v>
      </c>
      <c r="L788" s="1">
        <f t="shared" si="65"/>
        <v>16.456639090885801</v>
      </c>
      <c r="N788">
        <f>I788</f>
        <v>479400.90934691293</v>
      </c>
      <c r="O788" s="1">
        <f>SUM(K$2:K788)/$G$3</f>
        <v>0.12119872719883987</v>
      </c>
      <c r="P788" s="1">
        <f>SUM(L$2:L788)/$G$3</f>
        <v>0.13157374151002049</v>
      </c>
      <c r="Q788" s="1">
        <f t="shared" si="61"/>
        <v>121.19872719883986</v>
      </c>
      <c r="R788" s="1">
        <f t="shared" si="62"/>
        <v>131.57374151002048</v>
      </c>
    </row>
    <row r="789" spans="1:18" x14ac:dyDescent="0.35">
      <c r="A789">
        <v>5.5555660821744999</v>
      </c>
      <c r="B789">
        <v>5.03233952163641</v>
      </c>
      <c r="C789">
        <v>5.7805494593179496</v>
      </c>
      <c r="I789" s="1">
        <f t="shared" si="63"/>
        <v>480000.90949987678</v>
      </c>
      <c r="J789">
        <f t="shared" si="64"/>
        <v>600.00015296385391</v>
      </c>
      <c r="K789" s="1">
        <f t="shared" si="65"/>
        <v>14.191201068915099</v>
      </c>
      <c r="L789" s="1">
        <f t="shared" si="65"/>
        <v>16.301153631087697</v>
      </c>
      <c r="N789">
        <f>I789</f>
        <v>480000.90949987678</v>
      </c>
      <c r="O789" s="1">
        <f>SUM(K$2:K789)/$G$3</f>
        <v>0.12134580913975208</v>
      </c>
      <c r="P789" s="1">
        <f>SUM(L$2:L789)/$G$3</f>
        <v>0.13174269164352401</v>
      </c>
      <c r="Q789" s="1">
        <f t="shared" si="61"/>
        <v>121.34580913975208</v>
      </c>
      <c r="R789" s="1">
        <f t="shared" si="62"/>
        <v>131.74269164352401</v>
      </c>
    </row>
    <row r="790" spans="1:18" x14ac:dyDescent="0.35">
      <c r="A790">
        <v>5.5625105283893701</v>
      </c>
      <c r="B790">
        <v>4.9919923148120704</v>
      </c>
      <c r="C790">
        <v>5.7233445999080397</v>
      </c>
      <c r="I790" s="1">
        <f t="shared" si="63"/>
        <v>480600.90965284157</v>
      </c>
      <c r="J790">
        <f t="shared" si="64"/>
        <v>600.00015296478523</v>
      </c>
      <c r="K790" s="1">
        <f t="shared" si="65"/>
        <v>14.077421916685491</v>
      </c>
      <c r="L790" s="1">
        <f t="shared" si="65"/>
        <v>16.139835886450509</v>
      </c>
      <c r="N790">
        <f>I790</f>
        <v>480600.90965284157</v>
      </c>
      <c r="O790" s="1">
        <f>SUM(K$2:K790)/$G$3</f>
        <v>0.12149171183879012</v>
      </c>
      <c r="P790" s="1">
        <f>SUM(L$2:L790)/$G$3</f>
        <v>0.13190996983066658</v>
      </c>
      <c r="Q790" s="1">
        <f t="shared" si="61"/>
        <v>121.49171183879012</v>
      </c>
      <c r="R790" s="1">
        <f t="shared" si="62"/>
        <v>131.90996983066657</v>
      </c>
    </row>
    <row r="791" spans="1:18" x14ac:dyDescent="0.35">
      <c r="A791">
        <v>5.5694549746042297</v>
      </c>
      <c r="B791">
        <v>4.9471995627001899</v>
      </c>
      <c r="C791">
        <v>5.6642560323085798</v>
      </c>
      <c r="I791" s="1">
        <f t="shared" si="63"/>
        <v>481200.90980580542</v>
      </c>
      <c r="J791">
        <f t="shared" si="64"/>
        <v>600.00015296385391</v>
      </c>
      <c r="K791" s="1">
        <f t="shared" si="65"/>
        <v>13.951106323505279</v>
      </c>
      <c r="L791" s="1">
        <f t="shared" si="65"/>
        <v>15.973206083314427</v>
      </c>
      <c r="N791">
        <f>I791</f>
        <v>481200.90980580542</v>
      </c>
      <c r="O791" s="1">
        <f>SUM(K$2:K791)/$G$3</f>
        <v>0.1216363053644522</v>
      </c>
      <c r="P791" s="1">
        <f>SUM(L$2:L791)/$G$3</f>
        <v>0.13207552101565195</v>
      </c>
      <c r="Q791" s="1">
        <f t="shared" si="61"/>
        <v>121.6363053644522</v>
      </c>
      <c r="R791" s="1">
        <f t="shared" si="62"/>
        <v>132.07552101565196</v>
      </c>
    </row>
    <row r="792" spans="1:18" x14ac:dyDescent="0.35">
      <c r="A792">
        <v>5.5763994208190999</v>
      </c>
      <c r="B792">
        <v>4.9095176291721803</v>
      </c>
      <c r="C792">
        <v>5.6048859734409398</v>
      </c>
      <c r="I792" s="1">
        <f t="shared" si="63"/>
        <v>481800.90995877021</v>
      </c>
      <c r="J792">
        <f t="shared" si="64"/>
        <v>600.00015296478523</v>
      </c>
      <c r="K792" s="1">
        <f t="shared" si="65"/>
        <v>13.844843243887103</v>
      </c>
      <c r="L792" s="1">
        <f t="shared" si="65"/>
        <v>15.805782474649293</v>
      </c>
      <c r="N792">
        <f>I792</f>
        <v>481800.90995877021</v>
      </c>
      <c r="O792" s="1">
        <f>SUM(K$2:K792)/$G$3</f>
        <v>0.12177979754711156</v>
      </c>
      <c r="P792" s="1">
        <f>SUM(L$2:L792)/$G$3</f>
        <v>0.13223933697123727</v>
      </c>
      <c r="Q792" s="1">
        <f t="shared" si="61"/>
        <v>121.77979754711156</v>
      </c>
      <c r="R792" s="1">
        <f t="shared" si="62"/>
        <v>132.23933697123726</v>
      </c>
    </row>
    <row r="793" spans="1:18" x14ac:dyDescent="0.35">
      <c r="A793">
        <v>5.5833438670339604</v>
      </c>
      <c r="B793">
        <v>4.8692419647228302</v>
      </c>
      <c r="C793">
        <v>5.5470753606608101</v>
      </c>
      <c r="I793" s="1">
        <f t="shared" si="63"/>
        <v>482400.91011173418</v>
      </c>
      <c r="J793">
        <f t="shared" si="64"/>
        <v>600.00015296397032</v>
      </c>
      <c r="K793" s="1">
        <f t="shared" si="65"/>
        <v>13.731265841165724</v>
      </c>
      <c r="L793" s="1">
        <f t="shared" si="65"/>
        <v>15.642756505026037</v>
      </c>
      <c r="N793">
        <f>I793</f>
        <v>482400.91011173418</v>
      </c>
      <c r="O793" s="1">
        <f>SUM(K$2:K793)/$G$3</f>
        <v>0.12192211257889024</v>
      </c>
      <c r="P793" s="1">
        <f>SUM(L$2:L793)/$G$3</f>
        <v>0.1324014632758963</v>
      </c>
      <c r="Q793" s="1">
        <f t="shared" si="61"/>
        <v>121.92211257889024</v>
      </c>
      <c r="R793" s="1">
        <f t="shared" si="62"/>
        <v>132.4014632758963</v>
      </c>
    </row>
    <row r="794" spans="1:18" x14ac:dyDescent="0.35">
      <c r="A794">
        <v>5.5902883132488297</v>
      </c>
      <c r="B794">
        <v>4.8311198942708602</v>
      </c>
      <c r="C794">
        <v>5.4938162212421</v>
      </c>
      <c r="I794" s="1">
        <f t="shared" si="63"/>
        <v>483000.9102646989</v>
      </c>
      <c r="J794">
        <f t="shared" si="64"/>
        <v>600.00015296472702</v>
      </c>
      <c r="K794" s="1">
        <f t="shared" si="65"/>
        <v>13.623761575101224</v>
      </c>
      <c r="L794" s="1">
        <f t="shared" si="65"/>
        <v>15.492565693595187</v>
      </c>
      <c r="N794">
        <f>I794</f>
        <v>483000.9102646989</v>
      </c>
      <c r="O794" s="1">
        <f>SUM(K$2:K794)/$G$3</f>
        <v>0.1220633134036309</v>
      </c>
      <c r="P794" s="1">
        <f>SUM(L$2:L794)/$G$3</f>
        <v>0.13256203295712751</v>
      </c>
      <c r="Q794" s="1">
        <f t="shared" si="61"/>
        <v>122.0633134036309</v>
      </c>
      <c r="R794" s="1">
        <f t="shared" si="62"/>
        <v>132.56203295712751</v>
      </c>
    </row>
    <row r="795" spans="1:18" x14ac:dyDescent="0.35">
      <c r="A795">
        <v>5.5972327594636901</v>
      </c>
      <c r="B795">
        <v>4.7878019807451704</v>
      </c>
      <c r="C795">
        <v>5.4320344083503596</v>
      </c>
      <c r="I795" s="1">
        <f t="shared" si="63"/>
        <v>483600.91041766282</v>
      </c>
      <c r="J795">
        <f t="shared" si="64"/>
        <v>600.00015296391211</v>
      </c>
      <c r="K795" s="1">
        <f t="shared" si="65"/>
        <v>13.501605027797712</v>
      </c>
      <c r="L795" s="1">
        <f t="shared" si="65"/>
        <v>15.318340936802613</v>
      </c>
      <c r="N795">
        <f>I795</f>
        <v>483600.91041766282</v>
      </c>
      <c r="O795" s="1">
        <f>SUM(K$2:K795)/$G$3</f>
        <v>0.12220324816061692</v>
      </c>
      <c r="P795" s="1">
        <f>SUM(L$2:L795)/$G$3</f>
        <v>0.13272079691978289</v>
      </c>
      <c r="Q795" s="1">
        <f t="shared" si="61"/>
        <v>122.20324816061692</v>
      </c>
      <c r="R795" s="1">
        <f t="shared" si="62"/>
        <v>132.72079691978288</v>
      </c>
    </row>
    <row r="796" spans="1:18" x14ac:dyDescent="0.35">
      <c r="A796">
        <v>5.6041772056785604</v>
      </c>
      <c r="B796">
        <v>4.7469990067775001</v>
      </c>
      <c r="C796">
        <v>5.3717599277817998</v>
      </c>
      <c r="I796" s="1">
        <f t="shared" si="63"/>
        <v>484200.9105706276</v>
      </c>
      <c r="J796">
        <f t="shared" si="64"/>
        <v>600.00015296478523</v>
      </c>
      <c r="K796" s="1">
        <f t="shared" si="65"/>
        <v>13.386540611893864</v>
      </c>
      <c r="L796" s="1">
        <f t="shared" si="65"/>
        <v>15.148366858288163</v>
      </c>
      <c r="N796">
        <f>I796</f>
        <v>484200.9105706276</v>
      </c>
      <c r="O796" s="1">
        <f>SUM(K$2:K796)/$G$3</f>
        <v>0.12234199035486362</v>
      </c>
      <c r="P796" s="1">
        <f>SUM(L$2:L796)/$G$3</f>
        <v>0.13287779921918993</v>
      </c>
      <c r="Q796" s="1">
        <f t="shared" si="61"/>
        <v>122.34199035486363</v>
      </c>
      <c r="R796" s="1">
        <f t="shared" si="62"/>
        <v>132.87779921918994</v>
      </c>
    </row>
    <row r="797" spans="1:18" x14ac:dyDescent="0.35">
      <c r="A797">
        <v>5.6111216518934297</v>
      </c>
      <c r="B797">
        <v>4.7076374277963096</v>
      </c>
      <c r="C797">
        <v>5.3180702690249602</v>
      </c>
      <c r="I797" s="1">
        <f t="shared" si="63"/>
        <v>484800.91072359233</v>
      </c>
      <c r="J797">
        <f t="shared" si="64"/>
        <v>600.00015296472702</v>
      </c>
      <c r="K797" s="1">
        <f t="shared" si="65"/>
        <v>13.275540930867221</v>
      </c>
      <c r="L797" s="1">
        <f t="shared" si="65"/>
        <v>14.996961981993072</v>
      </c>
      <c r="N797">
        <f>I797</f>
        <v>484800.91072359233</v>
      </c>
      <c r="O797" s="1">
        <f>SUM(K$2:K797)/$G$3</f>
        <v>0.12247958211452437</v>
      </c>
      <c r="P797" s="1">
        <f>SUM(L$2:L797)/$G$3</f>
        <v>0.13303323231223022</v>
      </c>
      <c r="Q797" s="1">
        <f t="shared" si="61"/>
        <v>122.47958211452436</v>
      </c>
      <c r="R797" s="1">
        <f t="shared" si="62"/>
        <v>133.03323231223021</v>
      </c>
    </row>
    <row r="798" spans="1:18" x14ac:dyDescent="0.35">
      <c r="A798">
        <v>5.6180660981082999</v>
      </c>
      <c r="B798">
        <v>4.66418647275606</v>
      </c>
      <c r="C798">
        <v>5.2645340951153603</v>
      </c>
      <c r="I798" s="1">
        <f t="shared" si="63"/>
        <v>485400.91087655711</v>
      </c>
      <c r="J798">
        <f t="shared" si="64"/>
        <v>600.00015296478523</v>
      </c>
      <c r="K798" s="1">
        <f t="shared" si="65"/>
        <v>13.153009206416616</v>
      </c>
      <c r="L798" s="1">
        <f t="shared" si="65"/>
        <v>14.845989933080455</v>
      </c>
      <c r="N798">
        <f>I798</f>
        <v>485400.91087655711</v>
      </c>
      <c r="O798" s="1">
        <f>SUM(K$2:K798)/$G$3</f>
        <v>0.12261590391798</v>
      </c>
      <c r="P798" s="1">
        <f>SUM(L$2:L798)/$G$3</f>
        <v>0.13318710068485892</v>
      </c>
      <c r="Q798" s="1">
        <f t="shared" si="61"/>
        <v>122.61590391797999</v>
      </c>
      <c r="R798" s="1">
        <f t="shared" si="62"/>
        <v>133.18710068485893</v>
      </c>
    </row>
    <row r="799" spans="1:18" x14ac:dyDescent="0.35">
      <c r="A799">
        <v>5.6250105443231604</v>
      </c>
      <c r="B799">
        <v>4.6235725882034897</v>
      </c>
      <c r="C799">
        <v>5.2103620034216798</v>
      </c>
      <c r="I799" s="1">
        <f t="shared" si="63"/>
        <v>486000.91102952108</v>
      </c>
      <c r="J799">
        <f t="shared" si="64"/>
        <v>600.00015296397032</v>
      </c>
      <c r="K799" s="1">
        <f t="shared" si="65"/>
        <v>13.038478022761936</v>
      </c>
      <c r="L799" s="1">
        <f t="shared" si="65"/>
        <v>14.693224595538133</v>
      </c>
      <c r="N799">
        <f>I799</f>
        <v>486000.91102952108</v>
      </c>
      <c r="O799" s="1">
        <f>SUM(K$2:K799)/$G$3</f>
        <v>0.12275103868527815</v>
      </c>
      <c r="P799" s="1">
        <f>SUM(L$2:L799)/$G$3</f>
        <v>0.13333938575088514</v>
      </c>
      <c r="Q799" s="1">
        <f t="shared" si="61"/>
        <v>122.75103868527815</v>
      </c>
      <c r="R799" s="1">
        <f t="shared" si="62"/>
        <v>133.33938575088513</v>
      </c>
    </row>
    <row r="800" spans="1:18" x14ac:dyDescent="0.35">
      <c r="A800">
        <v>5.6319549905380297</v>
      </c>
      <c r="B800">
        <v>4.5839263325224104</v>
      </c>
      <c r="C800">
        <v>5.1489522627249897</v>
      </c>
      <c r="I800" s="1">
        <f t="shared" si="63"/>
        <v>486600.91118248575</v>
      </c>
      <c r="J800">
        <f t="shared" si="64"/>
        <v>600.00015296466881</v>
      </c>
      <c r="K800" s="1">
        <f t="shared" si="65"/>
        <v>12.926675553253432</v>
      </c>
      <c r="L800" s="1">
        <f t="shared" si="65"/>
        <v>14.520049082641025</v>
      </c>
      <c r="N800">
        <f>I800</f>
        <v>486600.91118248575</v>
      </c>
      <c r="O800" s="1">
        <f>SUM(K$2:K800)/$G$3</f>
        <v>0.12288501469764539</v>
      </c>
      <c r="P800" s="1">
        <f>SUM(L$2:L800)/$G$3</f>
        <v>0.13348987597301956</v>
      </c>
      <c r="Q800" s="1">
        <f t="shared" si="61"/>
        <v>122.88501469764539</v>
      </c>
      <c r="R800" s="1">
        <f t="shared" si="62"/>
        <v>133.48987597301956</v>
      </c>
    </row>
    <row r="801" spans="1:18" x14ac:dyDescent="0.35">
      <c r="A801">
        <v>5.6388994367529</v>
      </c>
      <c r="B801">
        <v>4.5431810490754003</v>
      </c>
      <c r="C801">
        <v>5.0986507002485899</v>
      </c>
      <c r="I801" s="1">
        <f t="shared" si="63"/>
        <v>487200.91133545054</v>
      </c>
      <c r="J801">
        <f t="shared" si="64"/>
        <v>600.00015296478523</v>
      </c>
      <c r="K801" s="1">
        <f t="shared" si="65"/>
        <v>12.811773824642183</v>
      </c>
      <c r="L801" s="1">
        <f t="shared" si="65"/>
        <v>14.378198640296867</v>
      </c>
      <c r="N801">
        <f>I801</f>
        <v>487200.91133545054</v>
      </c>
      <c r="O801" s="1">
        <f>SUM(K$2:K801)/$G$3</f>
        <v>0.12301779983341407</v>
      </c>
      <c r="P801" s="1">
        <f>SUM(L$2:L801)/$G$3</f>
        <v>0.13363889601385801</v>
      </c>
      <c r="Q801" s="1">
        <f t="shared" si="61"/>
        <v>123.01779983341407</v>
      </c>
      <c r="R801" s="1">
        <f t="shared" si="62"/>
        <v>133.63889601385802</v>
      </c>
    </row>
    <row r="802" spans="1:18" x14ac:dyDescent="0.35">
      <c r="A802">
        <v>5.6458438829677604</v>
      </c>
      <c r="B802">
        <v>4.5008277613545298</v>
      </c>
      <c r="C802">
        <v>5.0531572164196099</v>
      </c>
      <c r="I802" s="1">
        <f t="shared" si="63"/>
        <v>487800.91148841451</v>
      </c>
      <c r="J802">
        <f t="shared" si="64"/>
        <v>600.00015296397032</v>
      </c>
      <c r="K802" s="1">
        <f t="shared" si="65"/>
        <v>12.69233752280285</v>
      </c>
      <c r="L802" s="1">
        <f t="shared" si="65"/>
        <v>14.249906983172956</v>
      </c>
      <c r="N802">
        <f>I802</f>
        <v>487800.91148841451</v>
      </c>
      <c r="O802" s="1">
        <f>SUM(K$2:K802)/$G$3</f>
        <v>0.12314934709488273</v>
      </c>
      <c r="P802" s="1">
        <f>SUM(L$2:L802)/$G$3</f>
        <v>0.13378658640079041</v>
      </c>
      <c r="Q802" s="1">
        <f t="shared" si="61"/>
        <v>123.14934709488273</v>
      </c>
      <c r="R802" s="1">
        <f t="shared" si="62"/>
        <v>133.78658640079041</v>
      </c>
    </row>
    <row r="803" spans="1:18" x14ac:dyDescent="0.35">
      <c r="A803">
        <v>5.6527883291826297</v>
      </c>
      <c r="B803">
        <v>4.4610904214387199</v>
      </c>
      <c r="C803">
        <v>5.0011308288184297</v>
      </c>
      <c r="I803" s="1">
        <f t="shared" si="63"/>
        <v>488400.91164137924</v>
      </c>
      <c r="J803">
        <f t="shared" si="64"/>
        <v>600.00015296472702</v>
      </c>
      <c r="K803" s="1">
        <f t="shared" si="65"/>
        <v>12.58027819568774</v>
      </c>
      <c r="L803" s="1">
        <f t="shared" si="65"/>
        <v>14.10319253275205</v>
      </c>
      <c r="N803">
        <f>I803</f>
        <v>488400.91164137924</v>
      </c>
      <c r="O803" s="1">
        <f>SUM(K$2:K803)/$G$3</f>
        <v>0.12327973293926982</v>
      </c>
      <c r="P803" s="1">
        <f>SUM(L$2:L803)/$G$3</f>
        <v>0.13393275619436198</v>
      </c>
      <c r="Q803" s="1">
        <f t="shared" si="61"/>
        <v>123.27973293926982</v>
      </c>
      <c r="R803" s="1">
        <f t="shared" si="62"/>
        <v>133.93275619436199</v>
      </c>
    </row>
    <row r="804" spans="1:18" x14ac:dyDescent="0.35">
      <c r="A804">
        <v>5.6597327753974902</v>
      </c>
      <c r="B804">
        <v>4.4188225551727003</v>
      </c>
      <c r="C804">
        <v>4.9443136143937698</v>
      </c>
      <c r="I804" s="1">
        <f t="shared" si="63"/>
        <v>489000.91179434315</v>
      </c>
      <c r="J804">
        <f t="shared" si="64"/>
        <v>600.00015296391211</v>
      </c>
      <c r="K804" s="1">
        <f t="shared" si="65"/>
        <v>12.461082782412825</v>
      </c>
      <c r="L804" s="1">
        <f t="shared" si="65"/>
        <v>13.942967947207732</v>
      </c>
      <c r="N804">
        <f>I804</f>
        <v>489000.91179434315</v>
      </c>
      <c r="O804" s="1">
        <f>SUM(K$2:K804)/$G$3</f>
        <v>0.12340888340599949</v>
      </c>
      <c r="P804" s="1">
        <f>SUM(L$2:L804)/$G$3</f>
        <v>0.13407726537140718</v>
      </c>
      <c r="Q804" s="1">
        <f t="shared" si="61"/>
        <v>123.40888340599949</v>
      </c>
      <c r="R804" s="1">
        <f t="shared" si="62"/>
        <v>134.07726537140718</v>
      </c>
    </row>
    <row r="805" spans="1:18" x14ac:dyDescent="0.35">
      <c r="A805">
        <v>5.6666772216123604</v>
      </c>
      <c r="B805">
        <v>4.3797127462770797</v>
      </c>
      <c r="C805">
        <v>4.8923436042821304</v>
      </c>
      <c r="I805" s="1">
        <f t="shared" si="63"/>
        <v>489600.91194730793</v>
      </c>
      <c r="J805">
        <f t="shared" si="64"/>
        <v>600.00015296478523</v>
      </c>
      <c r="K805" s="1">
        <f t="shared" si="65"/>
        <v>12.350793093227917</v>
      </c>
      <c r="L805" s="1">
        <f t="shared" si="65"/>
        <v>13.796412481350165</v>
      </c>
      <c r="N805">
        <f>I805</f>
        <v>489600.91194730793</v>
      </c>
      <c r="O805" s="1">
        <f>SUM(K$2:K805)/$G$3</f>
        <v>0.12353689079671544</v>
      </c>
      <c r="P805" s="1">
        <f>SUM(L$2:L805)/$G$3</f>
        <v>0.13422025560285611</v>
      </c>
      <c r="Q805" s="1">
        <f t="shared" si="61"/>
        <v>123.53689079671544</v>
      </c>
      <c r="R805" s="1">
        <f t="shared" si="62"/>
        <v>134.2202556028561</v>
      </c>
    </row>
    <row r="806" spans="1:18" x14ac:dyDescent="0.35">
      <c r="A806">
        <v>5.6736216678272298</v>
      </c>
      <c r="B806">
        <v>4.3424698686027803</v>
      </c>
      <c r="C806">
        <v>4.84067971341329</v>
      </c>
      <c r="I806" s="1">
        <f t="shared" si="63"/>
        <v>490200.91210027266</v>
      </c>
      <c r="J806">
        <f t="shared" si="64"/>
        <v>600.00015296472702</v>
      </c>
      <c r="K806" s="1">
        <f t="shared" si="65"/>
        <v>12.245768151410015</v>
      </c>
      <c r="L806" s="1">
        <f t="shared" si="65"/>
        <v>13.650720271955759</v>
      </c>
      <c r="N806">
        <f>I806</f>
        <v>490200.91210027266</v>
      </c>
      <c r="O806" s="1">
        <f>SUM(K$2:K806)/$G$3</f>
        <v>0.12366380967686687</v>
      </c>
      <c r="P806" s="1">
        <f>SUM(L$2:L806)/$G$3</f>
        <v>0.1343617358357623</v>
      </c>
      <c r="Q806" s="1">
        <f t="shared" si="61"/>
        <v>123.66380967686686</v>
      </c>
      <c r="R806" s="1">
        <f t="shared" si="62"/>
        <v>134.36173583576229</v>
      </c>
    </row>
    <row r="807" spans="1:18" x14ac:dyDescent="0.35">
      <c r="A807">
        <v>5.6805661140421</v>
      </c>
      <c r="B807">
        <v>4.3043408863299799</v>
      </c>
      <c r="C807">
        <v>4.7916627687631301</v>
      </c>
      <c r="I807" s="1">
        <f t="shared" si="63"/>
        <v>490800.91225323745</v>
      </c>
      <c r="J807">
        <f t="shared" si="64"/>
        <v>600.00015296478523</v>
      </c>
      <c r="K807" s="1">
        <f t="shared" si="65"/>
        <v>12.138244393989668</v>
      </c>
      <c r="L807" s="1">
        <f t="shared" si="65"/>
        <v>13.512492452803659</v>
      </c>
      <c r="N807">
        <f>I807</f>
        <v>490800.91225323745</v>
      </c>
      <c r="O807" s="1">
        <f>SUM(K$2:K807)/$G$3</f>
        <v>0.12378961414796588</v>
      </c>
      <c r="P807" s="1">
        <f>SUM(L$2:L807)/$G$3</f>
        <v>0.1345017834333454</v>
      </c>
      <c r="Q807" s="1">
        <f t="shared" si="61"/>
        <v>123.78961414796588</v>
      </c>
      <c r="R807" s="1">
        <f t="shared" si="62"/>
        <v>134.50178343334539</v>
      </c>
    </row>
    <row r="808" spans="1:18" x14ac:dyDescent="0.35">
      <c r="A808">
        <v>5.6875105602569596</v>
      </c>
      <c r="B808">
        <v>4.2669750575135996</v>
      </c>
      <c r="C808">
        <v>4.7431544458373702</v>
      </c>
      <c r="I808" s="1">
        <f t="shared" si="63"/>
        <v>491400.9124062013</v>
      </c>
      <c r="J808">
        <f t="shared" si="64"/>
        <v>600.00015296385391</v>
      </c>
      <c r="K808" s="1">
        <f t="shared" si="65"/>
        <v>12.032872729845213</v>
      </c>
      <c r="L808" s="1">
        <f t="shared" si="65"/>
        <v>13.375698947257947</v>
      </c>
      <c r="N808">
        <f>I808</f>
        <v>491400.9124062013</v>
      </c>
      <c r="O808" s="1">
        <f>SUM(K$2:K808)/$G$3</f>
        <v>0.12391432651496434</v>
      </c>
      <c r="P808" s="1">
        <f>SUM(L$2:L808)/$G$3</f>
        <v>0.13464041326126952</v>
      </c>
      <c r="Q808" s="1">
        <f t="shared" si="61"/>
        <v>123.91432651496434</v>
      </c>
      <c r="R808" s="1">
        <f t="shared" si="62"/>
        <v>134.64041326126952</v>
      </c>
    </row>
    <row r="809" spans="1:18" x14ac:dyDescent="0.35">
      <c r="A809">
        <v>5.6944550064718298</v>
      </c>
      <c r="B809">
        <v>4.2326361576590399</v>
      </c>
      <c r="C809">
        <v>4.6926279646079001</v>
      </c>
      <c r="I809" s="1">
        <f t="shared" si="63"/>
        <v>492000.91255916608</v>
      </c>
      <c r="J809">
        <f t="shared" si="64"/>
        <v>600.00015296478523</v>
      </c>
      <c r="K809" s="1">
        <f t="shared" si="65"/>
        <v>11.936037007586613</v>
      </c>
      <c r="L809" s="1">
        <f t="shared" si="65"/>
        <v>13.233214233886374</v>
      </c>
      <c r="N809">
        <f>I809</f>
        <v>492000.91255916608</v>
      </c>
      <c r="O809" s="1">
        <f>SUM(K$2:K809)/$G$3</f>
        <v>0.12403803524697021</v>
      </c>
      <c r="P809" s="1">
        <f>SUM(L$2:L809)/$G$3</f>
        <v>0.13477756633411905</v>
      </c>
      <c r="Q809" s="1">
        <f t="shared" si="61"/>
        <v>124.03803524697021</v>
      </c>
      <c r="R809" s="1">
        <f t="shared" si="62"/>
        <v>134.77756633411906</v>
      </c>
    </row>
    <row r="810" spans="1:18" x14ac:dyDescent="0.35">
      <c r="A810">
        <v>5.7013994526867</v>
      </c>
      <c r="B810">
        <v>4.1955897003367602</v>
      </c>
      <c r="C810">
        <v>4.6384043461639104</v>
      </c>
      <c r="I810" s="1">
        <f t="shared" si="63"/>
        <v>492600.91271213087</v>
      </c>
      <c r="J810">
        <f t="shared" si="64"/>
        <v>600.00015296478523</v>
      </c>
      <c r="K810" s="1">
        <f t="shared" si="65"/>
        <v>11.831565971303808</v>
      </c>
      <c r="L810" s="1">
        <f t="shared" si="65"/>
        <v>13.080303590891095</v>
      </c>
      <c r="N810">
        <f>I810</f>
        <v>492600.91271213087</v>
      </c>
      <c r="O810" s="1">
        <f>SUM(K$2:K810)/$G$3</f>
        <v>0.12416066120925766</v>
      </c>
      <c r="P810" s="1">
        <f>SUM(L$2:L810)/$G$3</f>
        <v>0.13491313459437598</v>
      </c>
      <c r="Q810" s="1">
        <f t="shared" si="61"/>
        <v>124.16066120925765</v>
      </c>
      <c r="R810" s="1">
        <f t="shared" si="62"/>
        <v>134.91313459437598</v>
      </c>
    </row>
    <row r="811" spans="1:18" x14ac:dyDescent="0.35">
      <c r="A811">
        <v>5.7083438989015702</v>
      </c>
      <c r="B811">
        <v>4.1613679121822997</v>
      </c>
      <c r="C811">
        <v>4.5952687448590899</v>
      </c>
      <c r="I811" s="1">
        <f t="shared" si="63"/>
        <v>493200.91286509566</v>
      </c>
      <c r="J811">
        <f t="shared" si="64"/>
        <v>600.00015296478523</v>
      </c>
      <c r="K811" s="1">
        <f t="shared" si="65"/>
        <v>11.735060504105006</v>
      </c>
      <c r="L811" s="1">
        <f t="shared" si="65"/>
        <v>12.958661164199828</v>
      </c>
      <c r="N811">
        <f>I811</f>
        <v>493200.91286509566</v>
      </c>
      <c r="O811" s="1">
        <f>SUM(K$2:K811)/$G$3</f>
        <v>0.1242822869594168</v>
      </c>
      <c r="P811" s="1">
        <f>SUM(L$2:L811)/$G$3</f>
        <v>0.13504744211538131</v>
      </c>
      <c r="Q811" s="1">
        <f t="shared" si="61"/>
        <v>124.28228695941681</v>
      </c>
      <c r="R811" s="1">
        <f t="shared" si="62"/>
        <v>135.0474421153813</v>
      </c>
    </row>
    <row r="812" spans="1:18" x14ac:dyDescent="0.35">
      <c r="A812">
        <v>5.7152883451164298</v>
      </c>
      <c r="B812">
        <v>4.1275664850790097</v>
      </c>
      <c r="C812">
        <v>4.5488433022591597</v>
      </c>
      <c r="I812" s="1">
        <f t="shared" si="63"/>
        <v>493800.91301805951</v>
      </c>
      <c r="J812">
        <f t="shared" si="64"/>
        <v>600.00015296385391</v>
      </c>
      <c r="K812" s="1">
        <f t="shared" si="65"/>
        <v>11.639740455354648</v>
      </c>
      <c r="L812" s="1">
        <f t="shared" si="65"/>
        <v>12.827741382671263</v>
      </c>
      <c r="N812">
        <f>I812</f>
        <v>493800.91301805951</v>
      </c>
      <c r="O812" s="1">
        <f>SUM(K$2:K812)/$G$3</f>
        <v>0.1244029247834864</v>
      </c>
      <c r="P812" s="1">
        <f>SUM(L$2:L812)/$G$3</f>
        <v>0.13518039274379681</v>
      </c>
      <c r="Q812" s="1">
        <f t="shared" si="61"/>
        <v>124.4029247834864</v>
      </c>
      <c r="R812" s="1">
        <f t="shared" si="62"/>
        <v>135.1803927437968</v>
      </c>
    </row>
    <row r="813" spans="1:18" x14ac:dyDescent="0.35">
      <c r="A813">
        <v>5.7222327913313</v>
      </c>
      <c r="B813">
        <v>4.0897563304284796</v>
      </c>
      <c r="C813">
        <v>4.5016502326918504</v>
      </c>
      <c r="I813" s="1">
        <f t="shared" si="63"/>
        <v>494400.91317102429</v>
      </c>
      <c r="J813">
        <f t="shared" si="64"/>
        <v>600.00015296478523</v>
      </c>
      <c r="K813" s="1">
        <f t="shared" si="65"/>
        <v>11.533115792075197</v>
      </c>
      <c r="L813" s="1">
        <f t="shared" si="65"/>
        <v>12.694656892582636</v>
      </c>
      <c r="N813">
        <f>I813</f>
        <v>494400.91317102429</v>
      </c>
      <c r="O813" s="1">
        <f>SUM(K$2:K813)/$G$3</f>
        <v>0.1245224575169898</v>
      </c>
      <c r="P813" s="1">
        <f>SUM(L$2:L813)/$G$3</f>
        <v>0.13531196404392204</v>
      </c>
      <c r="Q813" s="1">
        <f t="shared" si="61"/>
        <v>124.5224575169898</v>
      </c>
      <c r="R813" s="1">
        <f t="shared" si="62"/>
        <v>135.31196404392205</v>
      </c>
    </row>
    <row r="814" spans="1:18" x14ac:dyDescent="0.35">
      <c r="A814">
        <v>5.7291772375461703</v>
      </c>
      <c r="B814">
        <v>4.0541238471368501</v>
      </c>
      <c r="C814">
        <v>4.4508770557063499</v>
      </c>
      <c r="I814" s="1">
        <f t="shared" si="63"/>
        <v>495000.91332398914</v>
      </c>
      <c r="J814">
        <f t="shared" si="64"/>
        <v>600.00015296484344</v>
      </c>
      <c r="K814" s="1">
        <f t="shared" si="65"/>
        <v>11.432632163576489</v>
      </c>
      <c r="L814" s="1">
        <f t="shared" si="65"/>
        <v>12.551476496982154</v>
      </c>
      <c r="N814">
        <f>I814</f>
        <v>495000.91332398914</v>
      </c>
      <c r="O814" s="1">
        <f>SUM(K$2:K814)/$G$3</f>
        <v>0.12464094880748652</v>
      </c>
      <c r="P814" s="1">
        <f>SUM(L$2:L814)/$G$3</f>
        <v>0.13544205137870965</v>
      </c>
      <c r="Q814" s="1">
        <f t="shared" si="61"/>
        <v>124.64094880748652</v>
      </c>
      <c r="R814" s="1">
        <f t="shared" si="62"/>
        <v>135.44205137870966</v>
      </c>
    </row>
    <row r="815" spans="1:18" x14ac:dyDescent="0.35">
      <c r="A815">
        <v>5.7361216837610298</v>
      </c>
      <c r="B815">
        <v>4.0212444468721502</v>
      </c>
      <c r="C815">
        <v>4.4063798563005703</v>
      </c>
      <c r="I815" s="1">
        <f t="shared" si="63"/>
        <v>495600.91347695299</v>
      </c>
      <c r="J815">
        <f t="shared" si="64"/>
        <v>600.00015296385391</v>
      </c>
      <c r="K815" s="1">
        <f t="shared" si="65"/>
        <v>11.339912231173191</v>
      </c>
      <c r="L815" s="1">
        <f t="shared" si="65"/>
        <v>12.425994362646778</v>
      </c>
      <c r="N815">
        <f>I815</f>
        <v>495600.91347695299</v>
      </c>
      <c r="O815" s="1">
        <f>SUM(K$2:K815)/$G$3</f>
        <v>0.12475847912029342</v>
      </c>
      <c r="P815" s="1">
        <f>SUM(L$2:L815)/$G$3</f>
        <v>0.13557083817834326</v>
      </c>
      <c r="Q815" s="1">
        <f t="shared" si="61"/>
        <v>124.75847912029342</v>
      </c>
      <c r="R815" s="1">
        <f t="shared" si="62"/>
        <v>135.57083817834325</v>
      </c>
    </row>
    <row r="816" spans="1:18" x14ac:dyDescent="0.35">
      <c r="A816">
        <v>5.7430661299759</v>
      </c>
      <c r="B816">
        <v>3.9891481824705499</v>
      </c>
      <c r="C816">
        <v>4.3651798923958296</v>
      </c>
      <c r="I816" s="1">
        <f t="shared" si="63"/>
        <v>496200.91362991778</v>
      </c>
      <c r="J816">
        <f t="shared" si="64"/>
        <v>600.00015296478523</v>
      </c>
      <c r="K816" s="1">
        <f t="shared" si="65"/>
        <v>11.249400742503168</v>
      </c>
      <c r="L816" s="1">
        <f t="shared" si="65"/>
        <v>12.309810434834624</v>
      </c>
      <c r="N816">
        <f>I816</f>
        <v>496200.91362991778</v>
      </c>
      <c r="O816" s="1">
        <f>SUM(K$2:K816)/$G$3</f>
        <v>0.12487507134439564</v>
      </c>
      <c r="P816" s="1">
        <f>SUM(L$2:L816)/$G$3</f>
        <v>0.13569842081227429</v>
      </c>
      <c r="Q816" s="1">
        <f t="shared" si="61"/>
        <v>124.87507134439564</v>
      </c>
      <c r="R816" s="1">
        <f t="shared" si="62"/>
        <v>135.69842081227429</v>
      </c>
    </row>
    <row r="817" spans="1:18" x14ac:dyDescent="0.35">
      <c r="A817">
        <v>5.7500105761907596</v>
      </c>
      <c r="B817">
        <v>3.9564264903345201</v>
      </c>
      <c r="C817">
        <v>4.31821283763996</v>
      </c>
      <c r="I817" s="1">
        <f t="shared" si="63"/>
        <v>496800.91378288163</v>
      </c>
      <c r="J817">
        <f t="shared" si="64"/>
        <v>600.00015296385391</v>
      </c>
      <c r="K817" s="1">
        <f t="shared" si="65"/>
        <v>11.157125547137493</v>
      </c>
      <c r="L817" s="1">
        <f t="shared" si="65"/>
        <v>12.177363306637933</v>
      </c>
      <c r="N817">
        <f>I817</f>
        <v>496800.91378288163</v>
      </c>
      <c r="O817" s="1">
        <f>SUM(K$2:K817)/$G$3</f>
        <v>0.12499070720019848</v>
      </c>
      <c r="P817" s="1">
        <f>SUM(L$2:L817)/$G$3</f>
        <v>0.13582463072372827</v>
      </c>
      <c r="Q817" s="1">
        <f t="shared" si="61"/>
        <v>124.99070720019847</v>
      </c>
      <c r="R817" s="1">
        <f t="shared" si="62"/>
        <v>135.82463072372826</v>
      </c>
    </row>
    <row r="818" spans="1:18" x14ac:dyDescent="0.35">
      <c r="A818">
        <v>5.7569550224056298</v>
      </c>
      <c r="B818">
        <v>3.9212153510575698</v>
      </c>
      <c r="C818">
        <v>4.2739549794295204</v>
      </c>
      <c r="I818" s="1">
        <f t="shared" si="63"/>
        <v>497400.91393584642</v>
      </c>
      <c r="J818">
        <f t="shared" si="64"/>
        <v>600.00015296478523</v>
      </c>
      <c r="K818" s="1">
        <f t="shared" si="65"/>
        <v>11.057830109079308</v>
      </c>
      <c r="L818" s="1">
        <f t="shared" si="65"/>
        <v>12.052556114684894</v>
      </c>
      <c r="N818">
        <f>I818</f>
        <v>497400.91393584642</v>
      </c>
      <c r="O818" s="1">
        <f>SUM(K$2:K818)/$G$3</f>
        <v>0.12510531392776317</v>
      </c>
      <c r="P818" s="1">
        <f>SUM(L$2:L818)/$G$3</f>
        <v>0.13594954709533719</v>
      </c>
      <c r="Q818" s="1">
        <f t="shared" si="61"/>
        <v>125.10531392776316</v>
      </c>
      <c r="R818" s="1">
        <f t="shared" si="62"/>
        <v>135.94954709533718</v>
      </c>
    </row>
    <row r="819" spans="1:18" x14ac:dyDescent="0.35">
      <c r="A819">
        <v>5.7638994686205001</v>
      </c>
      <c r="B819">
        <v>3.88813262056577</v>
      </c>
      <c r="C819">
        <v>4.2319305431549603</v>
      </c>
      <c r="I819" s="1">
        <f t="shared" si="63"/>
        <v>498000.9140888112</v>
      </c>
      <c r="J819">
        <f t="shared" si="64"/>
        <v>600.00015296478523</v>
      </c>
      <c r="K819" s="1">
        <f t="shared" si="65"/>
        <v>10.964536785308118</v>
      </c>
      <c r="L819" s="1">
        <f t="shared" si="65"/>
        <v>11.934047174177817</v>
      </c>
      <c r="N819">
        <f>I819</f>
        <v>498000.9140888112</v>
      </c>
      <c r="O819" s="1">
        <f>SUM(K$2:K819)/$G$3</f>
        <v>0.12521895373483483</v>
      </c>
      <c r="P819" s="1">
        <f>SUM(L$2:L819)/$G$3</f>
        <v>0.13607323520410206</v>
      </c>
      <c r="Q819" s="1">
        <f t="shared" si="61"/>
        <v>125.21895373483483</v>
      </c>
      <c r="R819" s="1">
        <f t="shared" si="62"/>
        <v>136.07323520410205</v>
      </c>
    </row>
    <row r="820" spans="1:18" x14ac:dyDescent="0.35">
      <c r="A820">
        <v>5.7708439148353596</v>
      </c>
      <c r="B820">
        <v>3.8563792696583499</v>
      </c>
      <c r="C820">
        <v>4.1875327961193802</v>
      </c>
      <c r="I820" s="1">
        <f t="shared" si="63"/>
        <v>498600.91424177506</v>
      </c>
      <c r="J820">
        <f t="shared" si="64"/>
        <v>600.00015296385391</v>
      </c>
      <c r="K820" s="1">
        <f t="shared" si="65"/>
        <v>10.874992312903732</v>
      </c>
      <c r="L820" s="1">
        <f t="shared" si="65"/>
        <v>11.80884549560008</v>
      </c>
      <c r="N820">
        <f>I820</f>
        <v>498600.91424177506</v>
      </c>
      <c r="O820" s="1">
        <f>SUM(K$2:K820)/$G$3</f>
        <v>0.12533166547565364</v>
      </c>
      <c r="P820" s="1">
        <f>SUM(L$2:L820)/$G$3</f>
        <v>0.13619562568444199</v>
      </c>
      <c r="Q820" s="1">
        <f t="shared" si="61"/>
        <v>125.33166547565364</v>
      </c>
      <c r="R820" s="1">
        <f t="shared" si="62"/>
        <v>136.19562568444198</v>
      </c>
    </row>
    <row r="821" spans="1:18" x14ac:dyDescent="0.35">
      <c r="A821">
        <v>5.7777883610502299</v>
      </c>
      <c r="B821">
        <v>3.8253429133322401</v>
      </c>
      <c r="C821">
        <v>4.1448395888158496</v>
      </c>
      <c r="I821" s="1">
        <f t="shared" si="63"/>
        <v>499200.91439473984</v>
      </c>
      <c r="J821">
        <f t="shared" si="64"/>
        <v>600.00015296478523</v>
      </c>
      <c r="K821" s="1">
        <f t="shared" si="65"/>
        <v>10.787469765767877</v>
      </c>
      <c r="L821" s="1">
        <f t="shared" si="65"/>
        <v>11.688450620328835</v>
      </c>
      <c r="N821">
        <f>I821</f>
        <v>499200.91439473984</v>
      </c>
      <c r="O821" s="1">
        <f>SUM(K$2:K821)/$G$3</f>
        <v>0.12544347010607046</v>
      </c>
      <c r="P821" s="1">
        <f>SUM(L$2:L821)/$G$3</f>
        <v>0.13631676835553419</v>
      </c>
      <c r="Q821" s="1">
        <f t="shared" si="61"/>
        <v>125.44347010607046</v>
      </c>
      <c r="R821" s="1">
        <f t="shared" si="62"/>
        <v>136.31676835553418</v>
      </c>
    </row>
    <row r="822" spans="1:18" x14ac:dyDescent="0.35">
      <c r="A822">
        <v>5.7847328072650903</v>
      </c>
      <c r="B822">
        <v>3.7895338274295498</v>
      </c>
      <c r="C822">
        <v>4.0973029673077601</v>
      </c>
      <c r="I822" s="1">
        <f t="shared" si="63"/>
        <v>499800.91454770381</v>
      </c>
      <c r="J822">
        <f t="shared" si="64"/>
        <v>600.00015296397032</v>
      </c>
      <c r="K822" s="1">
        <f t="shared" si="65"/>
        <v>10.686488117763389</v>
      </c>
      <c r="L822" s="1">
        <f t="shared" si="65"/>
        <v>11.554397313484614</v>
      </c>
      <c r="N822">
        <f>I822</f>
        <v>499800.91454770381</v>
      </c>
      <c r="O822" s="1">
        <f>SUM(K$2:K822)/$G$3</f>
        <v>0.12555422813185441</v>
      </c>
      <c r="P822" s="1">
        <f>SUM(L$2:L822)/$G$3</f>
        <v>0.13643652165722339</v>
      </c>
      <c r="Q822" s="1">
        <f t="shared" si="61"/>
        <v>125.5542281318544</v>
      </c>
      <c r="R822" s="1">
        <f t="shared" si="62"/>
        <v>136.43652165722338</v>
      </c>
    </row>
    <row r="823" spans="1:18" x14ac:dyDescent="0.35">
      <c r="A823">
        <v>5.7916772534799499</v>
      </c>
      <c r="B823">
        <v>3.7720799806237602</v>
      </c>
      <c r="C823">
        <v>4.0637300055337597</v>
      </c>
      <c r="I823" s="1">
        <f t="shared" si="63"/>
        <v>500400.91470066766</v>
      </c>
      <c r="J823">
        <f t="shared" si="64"/>
        <v>600.00015296385391</v>
      </c>
      <c r="K823" s="1">
        <f t="shared" si="65"/>
        <v>10.637268257220891</v>
      </c>
      <c r="L823" s="1">
        <f t="shared" si="65"/>
        <v>11.459721537143075</v>
      </c>
      <c r="N823">
        <f>I823</f>
        <v>500400.91470066766</v>
      </c>
      <c r="O823" s="1">
        <f>SUM(K$2:K823)/$G$3</f>
        <v>0.12566447602797526</v>
      </c>
      <c r="P823" s="1">
        <f>SUM(L$2:L823)/$G$3</f>
        <v>0.13655529371025904</v>
      </c>
      <c r="Q823" s="1">
        <f t="shared" si="61"/>
        <v>125.66447602797525</v>
      </c>
      <c r="R823" s="1">
        <f t="shared" si="62"/>
        <v>136.55529371025904</v>
      </c>
    </row>
    <row r="824" spans="1:18" x14ac:dyDescent="0.35">
      <c r="A824">
        <v>5.7986216996948201</v>
      </c>
      <c r="B824">
        <v>3.74345348901555</v>
      </c>
      <c r="C824">
        <v>4.04495260977433</v>
      </c>
      <c r="I824" s="1">
        <f t="shared" si="63"/>
        <v>501000.91485363245</v>
      </c>
      <c r="J824">
        <f t="shared" si="64"/>
        <v>600.00015296478523</v>
      </c>
      <c r="K824" s="1">
        <f t="shared" si="65"/>
        <v>10.556541530321677</v>
      </c>
      <c r="L824" s="1">
        <f t="shared" si="65"/>
        <v>11.406769267619556</v>
      </c>
      <c r="N824">
        <f>I824</f>
        <v>501000.91485363245</v>
      </c>
      <c r="O824" s="1">
        <f>SUM(K$2:K824)/$G$3</f>
        <v>0.12577388724765001</v>
      </c>
      <c r="P824" s="1">
        <f>SUM(L$2:L824)/$G$3</f>
        <v>0.13667351694980528</v>
      </c>
      <c r="Q824" s="1">
        <f t="shared" si="61"/>
        <v>125.77388724765001</v>
      </c>
      <c r="R824" s="1">
        <f t="shared" si="62"/>
        <v>136.67351694980528</v>
      </c>
    </row>
    <row r="825" spans="1:18" x14ac:dyDescent="0.35">
      <c r="A825">
        <v>5.8055661459096797</v>
      </c>
      <c r="B825">
        <v>5.0433631455029904</v>
      </c>
      <c r="C825">
        <v>5.3375022910602201</v>
      </c>
      <c r="I825" s="1">
        <f t="shared" si="63"/>
        <v>501600.9150065963</v>
      </c>
      <c r="J825">
        <f t="shared" si="64"/>
        <v>600.00015296385391</v>
      </c>
      <c r="K825" s="1">
        <f t="shared" si="65"/>
        <v>14.22228769614407</v>
      </c>
      <c r="L825" s="1">
        <f t="shared" si="65"/>
        <v>15.051760298080948</v>
      </c>
      <c r="N825">
        <f>I825</f>
        <v>501600.9150065963</v>
      </c>
      <c r="O825" s="1">
        <f>SUM(K$2:K825)/$G$3</f>
        <v>0.12592129137985861</v>
      </c>
      <c r="P825" s="1">
        <f>SUM(L$2:L825)/$G$3</f>
        <v>0.13682951798932522</v>
      </c>
      <c r="Q825" s="1">
        <f t="shared" si="61"/>
        <v>125.9212913798586</v>
      </c>
      <c r="R825" s="1">
        <f t="shared" si="62"/>
        <v>136.82951798932521</v>
      </c>
    </row>
    <row r="826" spans="1:18" x14ac:dyDescent="0.35">
      <c r="A826">
        <v>5.8125105921245401</v>
      </c>
      <c r="B826">
        <v>7.7556850630756697</v>
      </c>
      <c r="C826">
        <v>9.7877420948851999</v>
      </c>
      <c r="I826" s="1">
        <f t="shared" si="63"/>
        <v>502200.91515956027</v>
      </c>
      <c r="J826">
        <f t="shared" si="64"/>
        <v>600.00015296397032</v>
      </c>
      <c r="K826" s="1">
        <f t="shared" si="65"/>
        <v>21.871037453673171</v>
      </c>
      <c r="L826" s="1">
        <f t="shared" si="65"/>
        <v>27.601439744284153</v>
      </c>
      <c r="N826">
        <f>I826</f>
        <v>502200.91515956027</v>
      </c>
      <c r="O826" s="1">
        <f>SUM(K$2:K826)/$G$3</f>
        <v>0.12614796948996559</v>
      </c>
      <c r="P826" s="1">
        <f>SUM(L$2:L826)/$G$3</f>
        <v>0.13711558773844981</v>
      </c>
      <c r="Q826" s="1">
        <f t="shared" si="61"/>
        <v>126.14796948996559</v>
      </c>
      <c r="R826" s="1">
        <f t="shared" si="62"/>
        <v>137.11558773844982</v>
      </c>
    </row>
    <row r="827" spans="1:18" x14ac:dyDescent="0.35">
      <c r="A827">
        <v>5.8194550383393997</v>
      </c>
      <c r="B827">
        <v>8.7126820768529605</v>
      </c>
      <c r="C827">
        <v>10.9595479152577</v>
      </c>
      <c r="I827" s="1">
        <f t="shared" si="63"/>
        <v>502800.91531252413</v>
      </c>
      <c r="J827">
        <f t="shared" si="64"/>
        <v>600.00015296385391</v>
      </c>
      <c r="K827" s="1">
        <f t="shared" si="65"/>
        <v>24.569769720534861</v>
      </c>
      <c r="L827" s="1">
        <f t="shared" si="65"/>
        <v>30.90593300017574</v>
      </c>
      <c r="N827">
        <f>I827</f>
        <v>502800.91531252413</v>
      </c>
      <c r="O827" s="1">
        <f>SUM(K$2:K827)/$G$3</f>
        <v>0.12640261808529682</v>
      </c>
      <c r="P827" s="1">
        <f>SUM(L$2:L827)/$G$3</f>
        <v>0.13743590626464741</v>
      </c>
      <c r="Q827" s="1">
        <f t="shared" si="61"/>
        <v>126.40261808529682</v>
      </c>
      <c r="R827" s="1">
        <f t="shared" si="62"/>
        <v>137.4359062646474</v>
      </c>
    </row>
    <row r="828" spans="1:18" x14ac:dyDescent="0.35">
      <c r="A828">
        <v>5.8263994845542699</v>
      </c>
      <c r="B828">
        <v>8.9823354774195199</v>
      </c>
      <c r="C828">
        <v>11.138792211537501</v>
      </c>
      <c r="I828" s="1">
        <f t="shared" si="63"/>
        <v>503400.91546548891</v>
      </c>
      <c r="J828">
        <f t="shared" si="64"/>
        <v>600.00015296478523</v>
      </c>
      <c r="K828" s="1">
        <f t="shared" si="65"/>
        <v>25.330192504033828</v>
      </c>
      <c r="L828" s="1">
        <f t="shared" si="65"/>
        <v>31.411402044597658</v>
      </c>
      <c r="N828">
        <f>I828</f>
        <v>503400.91546548891</v>
      </c>
      <c r="O828" s="1">
        <f>SUM(K$2:K828)/$G$3</f>
        <v>0.12666514793453798</v>
      </c>
      <c r="P828" s="1">
        <f>SUM(L$2:L828)/$G$3</f>
        <v>0.13776146362635749</v>
      </c>
      <c r="Q828" s="1">
        <f t="shared" si="61"/>
        <v>126.66514793453798</v>
      </c>
      <c r="R828" s="1">
        <f t="shared" si="62"/>
        <v>137.76146362635748</v>
      </c>
    </row>
    <row r="829" spans="1:18" x14ac:dyDescent="0.35">
      <c r="A829">
        <v>5.8333439307691304</v>
      </c>
      <c r="B829">
        <v>9.0363138202044908</v>
      </c>
      <c r="C829">
        <v>11.178204625980101</v>
      </c>
      <c r="I829" s="1">
        <f t="shared" si="63"/>
        <v>504000.91561845288</v>
      </c>
      <c r="J829">
        <f t="shared" si="64"/>
        <v>600.00015296397032</v>
      </c>
      <c r="K829" s="1">
        <f t="shared" si="65"/>
        <v>25.482411469459731</v>
      </c>
      <c r="L829" s="1">
        <f t="shared" si="65"/>
        <v>31.52254508161792</v>
      </c>
      <c r="N829">
        <f>I829</f>
        <v>504000.91561845288</v>
      </c>
      <c r="O829" s="1">
        <f>SUM(K$2:K829)/$G$3</f>
        <v>0.12692925542761421</v>
      </c>
      <c r="P829" s="1">
        <f>SUM(L$2:L829)/$G$3</f>
        <v>0.13808817290843883</v>
      </c>
      <c r="Q829" s="1">
        <f t="shared" si="61"/>
        <v>126.92925542761421</v>
      </c>
      <c r="R829" s="1">
        <f t="shared" si="62"/>
        <v>138.08817290843882</v>
      </c>
    </row>
    <row r="830" spans="1:18" x14ac:dyDescent="0.35">
      <c r="A830">
        <v>5.8402883769839899</v>
      </c>
      <c r="B830">
        <v>9.03318909664298</v>
      </c>
      <c r="C830">
        <v>11.195202038363799</v>
      </c>
      <c r="I830" s="1">
        <f t="shared" si="63"/>
        <v>504600.91577141674</v>
      </c>
      <c r="J830">
        <f t="shared" si="64"/>
        <v>600.00015296385391</v>
      </c>
      <c r="K830" s="1">
        <f t="shared" si="65"/>
        <v>25.473599746764865</v>
      </c>
      <c r="L830" s="1">
        <f t="shared" si="65"/>
        <v>31.570477796753785</v>
      </c>
      <c r="N830">
        <f>I830</f>
        <v>504600.91577141674</v>
      </c>
      <c r="O830" s="1">
        <f>SUM(K$2:K830)/$G$3</f>
        <v>0.12719327159330593</v>
      </c>
      <c r="P830" s="1">
        <f>SUM(L$2:L830)/$G$3</f>
        <v>0.13841537897981526</v>
      </c>
      <c r="Q830" s="1">
        <f t="shared" si="61"/>
        <v>127.19327159330592</v>
      </c>
      <c r="R830" s="1">
        <f t="shared" si="62"/>
        <v>138.41537897981527</v>
      </c>
    </row>
    <row r="831" spans="1:18" x14ac:dyDescent="0.35">
      <c r="A831">
        <v>5.8472328231988504</v>
      </c>
      <c r="B831">
        <v>8.9532320964860297</v>
      </c>
      <c r="C831">
        <v>11.123989128819399</v>
      </c>
      <c r="I831" s="1">
        <f t="shared" si="63"/>
        <v>505200.91592438065</v>
      </c>
      <c r="J831">
        <f t="shared" si="64"/>
        <v>600.00015296391211</v>
      </c>
      <c r="K831" s="1">
        <f t="shared" si="65"/>
        <v>25.248120948841219</v>
      </c>
      <c r="L831" s="1">
        <f t="shared" si="65"/>
        <v>31.369657340644519</v>
      </c>
      <c r="N831">
        <f>I831</f>
        <v>505200.91592438065</v>
      </c>
      <c r="O831" s="1">
        <f>SUM(K$2:K831)/$G$3</f>
        <v>0.12745495082788999</v>
      </c>
      <c r="P831" s="1">
        <f>SUM(L$2:L831)/$G$3</f>
        <v>0.13874050368666757</v>
      </c>
      <c r="Q831" s="1">
        <f t="shared" si="61"/>
        <v>127.45495082788999</v>
      </c>
      <c r="R831" s="1">
        <f t="shared" si="62"/>
        <v>138.74050368666758</v>
      </c>
    </row>
    <row r="832" spans="1:18" x14ac:dyDescent="0.35">
      <c r="A832">
        <v>5.8541772694137197</v>
      </c>
      <c r="B832">
        <v>9.11468317174063</v>
      </c>
      <c r="C832">
        <v>11.1748332399901</v>
      </c>
      <c r="I832" s="1">
        <f t="shared" si="63"/>
        <v>505800.91607734538</v>
      </c>
      <c r="J832">
        <f t="shared" si="64"/>
        <v>600.00015296472702</v>
      </c>
      <c r="K832" s="1">
        <f t="shared" si="65"/>
        <v>25.703413097166187</v>
      </c>
      <c r="L832" s="1">
        <f t="shared" si="65"/>
        <v>31.513037770742066</v>
      </c>
      <c r="N832">
        <f>I832</f>
        <v>505800.91607734538</v>
      </c>
      <c r="O832" s="1">
        <f>SUM(K$2:K832)/$G$3</f>
        <v>0.12772134884931471</v>
      </c>
      <c r="P832" s="1">
        <f>SUM(L$2:L832)/$G$3</f>
        <v>0.13906711443207609</v>
      </c>
      <c r="Q832" s="1">
        <f t="shared" si="61"/>
        <v>127.72134884931471</v>
      </c>
      <c r="R832" s="1">
        <f t="shared" si="62"/>
        <v>139.0671144320761</v>
      </c>
    </row>
    <row r="833" spans="1:18" x14ac:dyDescent="0.35">
      <c r="A833">
        <v>5.8611217156285802</v>
      </c>
      <c r="B833">
        <v>9.1038339100026704</v>
      </c>
      <c r="C833">
        <v>11.141525064973701</v>
      </c>
      <c r="I833" s="1">
        <f t="shared" si="63"/>
        <v>506400.91623030935</v>
      </c>
      <c r="J833">
        <f t="shared" si="64"/>
        <v>600.00015296397032</v>
      </c>
      <c r="K833" s="1">
        <f t="shared" si="65"/>
        <v>25.672818171232858</v>
      </c>
      <c r="L833" s="1">
        <f t="shared" si="65"/>
        <v>31.419108693209811</v>
      </c>
      <c r="N833">
        <f>I833</f>
        <v>506400.91623030935</v>
      </c>
      <c r="O833" s="1">
        <f>SUM(K$2:K833)/$G$3</f>
        <v>0.12798742977558547</v>
      </c>
      <c r="P833" s="1">
        <f>SUM(L$2:L833)/$G$3</f>
        <v>0.13939275166784548</v>
      </c>
      <c r="Q833" s="1">
        <f t="shared" si="61"/>
        <v>127.98742977558547</v>
      </c>
      <c r="R833" s="1">
        <f t="shared" si="62"/>
        <v>139.39275166784549</v>
      </c>
    </row>
    <row r="834" spans="1:18" x14ac:dyDescent="0.35">
      <c r="A834">
        <v>5.8680661618434398</v>
      </c>
      <c r="B834">
        <v>9.0777272155761697</v>
      </c>
      <c r="C834">
        <v>11.113557293918101</v>
      </c>
      <c r="I834" s="1">
        <f t="shared" si="63"/>
        <v>507000.9163832732</v>
      </c>
      <c r="J834">
        <f t="shared" si="64"/>
        <v>600.00015296385391</v>
      </c>
      <c r="K834" s="1">
        <f t="shared" si="65"/>
        <v>25.599197274176259</v>
      </c>
      <c r="L834" s="1">
        <f t="shared" si="65"/>
        <v>31.340239558720047</v>
      </c>
      <c r="N834">
        <f>I834</f>
        <v>507000.9163832732</v>
      </c>
      <c r="O834" s="1">
        <f>SUM(K$2:K834)/$G$3</f>
        <v>0.12825274767240027</v>
      </c>
      <c r="P834" s="1">
        <f>SUM(L$2:L834)/$G$3</f>
        <v>0.13971757147982372</v>
      </c>
      <c r="Q834" s="1">
        <f t="shared" ref="Q834:Q897" si="66">O834*1000</f>
        <v>128.25274767240026</v>
      </c>
      <c r="R834" s="1">
        <f t="shared" ref="R834:R897" si="67">P834*1000</f>
        <v>139.71757147982373</v>
      </c>
    </row>
    <row r="835" spans="1:18" x14ac:dyDescent="0.35">
      <c r="A835">
        <v>5.87501060805831</v>
      </c>
      <c r="B835">
        <v>9.0674584005426802</v>
      </c>
      <c r="C835">
        <v>11.078009404925499</v>
      </c>
      <c r="I835" s="1">
        <f t="shared" ref="I835:I898" si="68">A835*86400</f>
        <v>507600.91653623799</v>
      </c>
      <c r="J835">
        <f t="shared" si="64"/>
        <v>600.00015296478523</v>
      </c>
      <c r="K835" s="1">
        <f t="shared" si="65"/>
        <v>25.570239208438945</v>
      </c>
      <c r="L835" s="1">
        <f t="shared" si="65"/>
        <v>31.239994486252957</v>
      </c>
      <c r="N835">
        <f>I835</f>
        <v>507600.91653623799</v>
      </c>
      <c r="O835" s="1">
        <f>SUM(K$2:K835)/$G$3</f>
        <v>0.12851776543897994</v>
      </c>
      <c r="P835" s="1">
        <f>SUM(L$2:L835)/$G$3</f>
        <v>0.14004135232126286</v>
      </c>
      <c r="Q835" s="1">
        <f t="shared" si="66"/>
        <v>128.51776543897995</v>
      </c>
      <c r="R835" s="1">
        <f t="shared" si="67"/>
        <v>140.04135232126285</v>
      </c>
    </row>
    <row r="836" spans="1:18" x14ac:dyDescent="0.35">
      <c r="A836">
        <v>5.8819550542731696</v>
      </c>
      <c r="B836">
        <v>9.0643309221811794</v>
      </c>
      <c r="C836">
        <v>11.054051603466601</v>
      </c>
      <c r="I836" s="1">
        <f t="shared" si="68"/>
        <v>508200.91668920184</v>
      </c>
      <c r="J836">
        <f t="shared" si="64"/>
        <v>600.00015296385391</v>
      </c>
      <c r="K836" s="1">
        <f t="shared" si="65"/>
        <v>25.561419717171383</v>
      </c>
      <c r="L836" s="1">
        <f t="shared" si="65"/>
        <v>31.172433468866387</v>
      </c>
      <c r="N836">
        <f>I836</f>
        <v>508200.91668920184</v>
      </c>
      <c r="O836" s="1">
        <f>SUM(K$2:K836)/$G$3</f>
        <v>0.12878269179765922</v>
      </c>
      <c r="P836" s="1">
        <f>SUM(L$2:L836)/$G$3</f>
        <v>0.1403644329396892</v>
      </c>
      <c r="Q836" s="1">
        <f t="shared" si="66"/>
        <v>128.78269179765923</v>
      </c>
      <c r="R836" s="1">
        <f t="shared" si="67"/>
        <v>140.36443293968921</v>
      </c>
    </row>
    <row r="837" spans="1:18" x14ac:dyDescent="0.35">
      <c r="A837">
        <v>5.88889950048803</v>
      </c>
      <c r="B837">
        <v>9.0504405337039007</v>
      </c>
      <c r="C837">
        <v>11.0125599396662</v>
      </c>
      <c r="I837" s="1">
        <f t="shared" si="68"/>
        <v>508800.91684216581</v>
      </c>
      <c r="J837">
        <f t="shared" si="64"/>
        <v>600.00015296397032</v>
      </c>
      <c r="K837" s="1">
        <f t="shared" si="65"/>
        <v>25.522248811684189</v>
      </c>
      <c r="L837" s="1">
        <f t="shared" si="65"/>
        <v>31.055426947125678</v>
      </c>
      <c r="N837">
        <f>I837</f>
        <v>508800.91684216581</v>
      </c>
      <c r="O837" s="1">
        <f>SUM(K$2:K837)/$G$3</f>
        <v>0.12904721217711387</v>
      </c>
      <c r="P837" s="1">
        <f>SUM(L$2:L837)/$G$3</f>
        <v>0.14068630086679831</v>
      </c>
      <c r="Q837" s="1">
        <f t="shared" si="66"/>
        <v>129.04721217711386</v>
      </c>
      <c r="R837" s="1">
        <f t="shared" si="67"/>
        <v>140.68630086679832</v>
      </c>
    </row>
    <row r="838" spans="1:18" x14ac:dyDescent="0.35">
      <c r="A838">
        <v>5.8958439467028896</v>
      </c>
      <c r="B838">
        <v>9.0320846775413202</v>
      </c>
      <c r="C838">
        <v>10.9795485565473</v>
      </c>
      <c r="I838" s="1">
        <f t="shared" si="68"/>
        <v>509400.91699512966</v>
      </c>
      <c r="J838">
        <f t="shared" ref="J838:J901" si="69">I838-I837</f>
        <v>600.00015296385391</v>
      </c>
      <c r="K838" s="1">
        <f t="shared" si="65"/>
        <v>25.470485284104186</v>
      </c>
      <c r="L838" s="1">
        <f t="shared" si="65"/>
        <v>30.962334822991476</v>
      </c>
      <c r="N838">
        <f>I838</f>
        <v>509400.91699512966</v>
      </c>
      <c r="O838" s="1">
        <f>SUM(K$2:K838)/$G$3</f>
        <v>0.12931119606356362</v>
      </c>
      <c r="P838" s="1">
        <f>SUM(L$2:L838)/$G$3</f>
        <v>0.14100720395870889</v>
      </c>
      <c r="Q838" s="1">
        <f t="shared" si="66"/>
        <v>129.31119606356361</v>
      </c>
      <c r="R838" s="1">
        <f t="shared" si="67"/>
        <v>141.00720395870889</v>
      </c>
    </row>
    <row r="839" spans="1:18" x14ac:dyDescent="0.35">
      <c r="A839">
        <v>5.9027883929177598</v>
      </c>
      <c r="B839">
        <v>9.0159603664872296</v>
      </c>
      <c r="C839">
        <v>10.9445956894118</v>
      </c>
      <c r="I839" s="1">
        <f t="shared" si="68"/>
        <v>510000.91714809445</v>
      </c>
      <c r="J839">
        <f t="shared" si="69"/>
        <v>600.00015296478523</v>
      </c>
      <c r="K839" s="1">
        <f t="shared" si="65"/>
        <v>25.425014715378861</v>
      </c>
      <c r="L839" s="1">
        <f t="shared" si="65"/>
        <v>30.863767712588604</v>
      </c>
      <c r="N839">
        <f>I839</f>
        <v>510000.91714809445</v>
      </c>
      <c r="O839" s="1">
        <f>SUM(K$2:K839)/$G$3</f>
        <v>0.12957470867915546</v>
      </c>
      <c r="P839" s="1">
        <f>SUM(L$2:L839)/$G$3</f>
        <v>0.14132708547099151</v>
      </c>
      <c r="Q839" s="1">
        <f t="shared" si="66"/>
        <v>129.57470867915546</v>
      </c>
      <c r="R839" s="1">
        <f t="shared" si="67"/>
        <v>141.32708547099151</v>
      </c>
    </row>
    <row r="840" spans="1:18" x14ac:dyDescent="0.35">
      <c r="A840">
        <v>5.9097328391326203</v>
      </c>
      <c r="B840">
        <v>8.9913167173694806</v>
      </c>
      <c r="C840">
        <v>10.9127682156718</v>
      </c>
      <c r="I840" s="1">
        <f t="shared" si="68"/>
        <v>510600.91730105836</v>
      </c>
      <c r="J840">
        <f t="shared" si="69"/>
        <v>600.00015296391211</v>
      </c>
      <c r="K840" s="1">
        <f t="shared" si="65"/>
        <v>25.355519607112743</v>
      </c>
      <c r="L840" s="1">
        <f t="shared" si="65"/>
        <v>30.774014213715155</v>
      </c>
      <c r="N840">
        <f>I840</f>
        <v>510600.91730105836</v>
      </c>
      <c r="O840" s="1">
        <f>SUM(K$2:K840)/$G$3</f>
        <v>0.12983750102622613</v>
      </c>
      <c r="P840" s="1">
        <f>SUM(L$2:L840)/$G$3</f>
        <v>0.14164603675060713</v>
      </c>
      <c r="Q840" s="1">
        <f t="shared" si="66"/>
        <v>129.83750102622614</v>
      </c>
      <c r="R840" s="1">
        <f t="shared" si="67"/>
        <v>141.64603675060712</v>
      </c>
    </row>
    <row r="841" spans="1:18" x14ac:dyDescent="0.35">
      <c r="A841">
        <v>5.9166772853474798</v>
      </c>
      <c r="B841">
        <v>8.9649581347174294</v>
      </c>
      <c r="C841">
        <v>10.8629838194552</v>
      </c>
      <c r="I841" s="1">
        <f t="shared" si="68"/>
        <v>511200.91745402227</v>
      </c>
      <c r="J841">
        <f t="shared" si="69"/>
        <v>600.00015296391211</v>
      </c>
      <c r="K841" s="1">
        <f t="shared" si="65"/>
        <v>25.281188385083972</v>
      </c>
      <c r="L841" s="1">
        <f t="shared" si="65"/>
        <v>30.633622180592827</v>
      </c>
      <c r="N841">
        <f>I841</f>
        <v>511200.91745402227</v>
      </c>
      <c r="O841" s="1">
        <f>SUM(K$2:K841)/$G$3</f>
        <v>0.13009952298181593</v>
      </c>
      <c r="P841" s="1">
        <f>SUM(L$2:L841)/$G$3</f>
        <v>0.14196353296432526</v>
      </c>
      <c r="Q841" s="1">
        <f t="shared" si="66"/>
        <v>130.09952298181594</v>
      </c>
      <c r="R841" s="1">
        <f t="shared" si="67"/>
        <v>141.96353296432525</v>
      </c>
    </row>
    <row r="842" spans="1:18" x14ac:dyDescent="0.35">
      <c r="A842">
        <v>5.9236217315623501</v>
      </c>
      <c r="B842">
        <v>8.9410698501311092</v>
      </c>
      <c r="C842">
        <v>10.8218655838391</v>
      </c>
      <c r="I842" s="1">
        <f t="shared" si="68"/>
        <v>511800.91760698706</v>
      </c>
      <c r="J842">
        <f t="shared" si="69"/>
        <v>600.00015296478523</v>
      </c>
      <c r="K842" s="1">
        <f t="shared" si="65"/>
        <v>25.213823405413226</v>
      </c>
      <c r="L842" s="1">
        <f t="shared" si="65"/>
        <v>30.517668726638682</v>
      </c>
      <c r="N842">
        <f>I842</f>
        <v>511800.91760698706</v>
      </c>
      <c r="O842" s="1">
        <f>SUM(K$2:K842)/$G$3</f>
        <v>0.13036084674618773</v>
      </c>
      <c r="P842" s="1">
        <f>SUM(L$2:L842)/$G$3</f>
        <v>0.14227982740104225</v>
      </c>
      <c r="Q842" s="1">
        <f t="shared" si="66"/>
        <v>130.36084674618772</v>
      </c>
      <c r="R842" s="1">
        <f t="shared" si="67"/>
        <v>142.27982740104224</v>
      </c>
    </row>
    <row r="843" spans="1:18" x14ac:dyDescent="0.35">
      <c r="A843">
        <v>5.9305661777772096</v>
      </c>
      <c r="B843">
        <v>8.9103322930101108</v>
      </c>
      <c r="C843">
        <v>10.7948347895032</v>
      </c>
      <c r="I843" s="1">
        <f t="shared" si="68"/>
        <v>512400.91775995091</v>
      </c>
      <c r="J843">
        <f t="shared" si="69"/>
        <v>600.00015296385391</v>
      </c>
      <c r="K843" s="1">
        <f t="shared" si="65"/>
        <v>25.127143472194721</v>
      </c>
      <c r="L843" s="1">
        <f t="shared" si="65"/>
        <v>30.441441867130827</v>
      </c>
      <c r="N843">
        <f>I843</f>
        <v>512400.91775995091</v>
      </c>
      <c r="O843" s="1">
        <f>SUM(K$2:K843)/$G$3</f>
        <v>0.13062127213326546</v>
      </c>
      <c r="P843" s="1">
        <f>SUM(L$2:L843)/$G$3</f>
        <v>0.14259533179931277</v>
      </c>
      <c r="Q843" s="1">
        <f t="shared" si="66"/>
        <v>130.62127213326548</v>
      </c>
      <c r="R843" s="1">
        <f t="shared" si="67"/>
        <v>142.59533179931279</v>
      </c>
    </row>
    <row r="844" spans="1:18" x14ac:dyDescent="0.35">
      <c r="A844">
        <v>5.9375106239920701</v>
      </c>
      <c r="B844">
        <v>8.8788958446444894</v>
      </c>
      <c r="C844">
        <v>10.749591023903999</v>
      </c>
      <c r="I844" s="1">
        <f t="shared" si="68"/>
        <v>513000.91791291488</v>
      </c>
      <c r="J844">
        <f t="shared" si="69"/>
        <v>600.00015296397032</v>
      </c>
      <c r="K844" s="1">
        <f t="shared" si="65"/>
        <v>25.038492665207915</v>
      </c>
      <c r="L844" s="1">
        <f t="shared" si="65"/>
        <v>30.313854415619854</v>
      </c>
      <c r="N844">
        <f>I844</f>
        <v>513000.91791291488</v>
      </c>
      <c r="O844" s="1">
        <f>SUM(K$2:K844)/$G$3</f>
        <v>0.13088077871631162</v>
      </c>
      <c r="P844" s="1">
        <f>SUM(L$2:L844)/$G$3</f>
        <v>0.14290951384227923</v>
      </c>
      <c r="Q844" s="1">
        <f t="shared" si="66"/>
        <v>130.88077871631162</v>
      </c>
      <c r="R844" s="1">
        <f t="shared" si="67"/>
        <v>142.90951384227924</v>
      </c>
    </row>
    <row r="845" spans="1:18" x14ac:dyDescent="0.35">
      <c r="A845">
        <v>5.9444550702069296</v>
      </c>
      <c r="B845">
        <v>8.8520591531166097</v>
      </c>
      <c r="C845">
        <v>10.6887385665129</v>
      </c>
      <c r="I845" s="1">
        <f t="shared" si="68"/>
        <v>513600.91806587874</v>
      </c>
      <c r="J845">
        <f t="shared" si="69"/>
        <v>600.00015296385391</v>
      </c>
      <c r="K845" s="1">
        <f t="shared" si="65"/>
        <v>24.962813175800733</v>
      </c>
      <c r="L845" s="1">
        <f t="shared" si="65"/>
        <v>30.142250442022405</v>
      </c>
      <c r="N845">
        <f>I845</f>
        <v>513600.91806587874</v>
      </c>
      <c r="O845" s="1">
        <f>SUM(K$2:K845)/$G$3</f>
        <v>0.13113950093402213</v>
      </c>
      <c r="P845" s="1">
        <f>SUM(L$2:L845)/$G$3</f>
        <v>0.14322191732926709</v>
      </c>
      <c r="Q845" s="1">
        <f t="shared" si="66"/>
        <v>131.13950093402212</v>
      </c>
      <c r="R845" s="1">
        <f t="shared" si="67"/>
        <v>143.22191732926709</v>
      </c>
    </row>
    <row r="846" spans="1:18" x14ac:dyDescent="0.35">
      <c r="A846">
        <v>5.9513995164217999</v>
      </c>
      <c r="B846">
        <v>8.8183404460335595</v>
      </c>
      <c r="C846">
        <v>10.6208777627954</v>
      </c>
      <c r="I846" s="1">
        <f t="shared" si="68"/>
        <v>514200.91821884352</v>
      </c>
      <c r="J846">
        <f t="shared" si="69"/>
        <v>600.00015296478523</v>
      </c>
      <c r="K846" s="1">
        <f t="shared" si="65"/>
        <v>24.867726397623738</v>
      </c>
      <c r="L846" s="1">
        <f t="shared" si="65"/>
        <v>29.950882926798371</v>
      </c>
      <c r="N846">
        <f>I846</f>
        <v>514200.91821884352</v>
      </c>
      <c r="O846" s="1">
        <f>SUM(K$2:K846)/$G$3</f>
        <v>0.13139723764333058</v>
      </c>
      <c r="P846" s="1">
        <f>SUM(L$2:L846)/$G$3</f>
        <v>0.14353233742489643</v>
      </c>
      <c r="Q846" s="1">
        <f t="shared" si="66"/>
        <v>131.39723764333058</v>
      </c>
      <c r="R846" s="1">
        <f t="shared" si="67"/>
        <v>143.53233742489644</v>
      </c>
    </row>
    <row r="847" spans="1:18" x14ac:dyDescent="0.35">
      <c r="A847">
        <v>5.9583439626366603</v>
      </c>
      <c r="B847">
        <v>8.78054407559876</v>
      </c>
      <c r="C847">
        <v>10.5773911673803</v>
      </c>
      <c r="I847" s="1">
        <f t="shared" si="68"/>
        <v>514800.91837180743</v>
      </c>
      <c r="J847">
        <f t="shared" si="69"/>
        <v>600.00015296391211</v>
      </c>
      <c r="K847" s="1">
        <f t="shared" si="65"/>
        <v>24.761140605788452</v>
      </c>
      <c r="L847" s="1">
        <f t="shared" si="65"/>
        <v>29.828250696420373</v>
      </c>
      <c r="N847">
        <f>I847</f>
        <v>514800.91837180743</v>
      </c>
      <c r="O847" s="1">
        <f>SUM(K$2:K847)/$G$3</f>
        <v>0.13165386966494833</v>
      </c>
      <c r="P847" s="1">
        <f>SUM(L$2:L847)/$G$3</f>
        <v>0.14384148652264656</v>
      </c>
      <c r="Q847" s="1">
        <f t="shared" si="66"/>
        <v>131.65386966494833</v>
      </c>
      <c r="R847" s="1">
        <f t="shared" si="67"/>
        <v>143.84148652264656</v>
      </c>
    </row>
    <row r="848" spans="1:18" x14ac:dyDescent="0.35">
      <c r="A848">
        <v>5.9652884088515199</v>
      </c>
      <c r="B848">
        <v>8.7489275882585904</v>
      </c>
      <c r="C848">
        <v>10.530164969323801</v>
      </c>
      <c r="I848" s="1">
        <f t="shared" si="68"/>
        <v>515400.91852477135</v>
      </c>
      <c r="J848">
        <f t="shared" si="69"/>
        <v>600.00015296391211</v>
      </c>
      <c r="K848" s="1">
        <f t="shared" si="65"/>
        <v>24.671982088759123</v>
      </c>
      <c r="L848" s="1">
        <f t="shared" si="65"/>
        <v>29.695072783948696</v>
      </c>
      <c r="N848">
        <f>I848</f>
        <v>515400.91852477135</v>
      </c>
      <c r="O848" s="1">
        <f>SUM(K$2:K848)/$G$3</f>
        <v>0.13190957762047259</v>
      </c>
      <c r="P848" s="1">
        <f>SUM(L$2:L848)/$G$3</f>
        <v>0.14414925532384829</v>
      </c>
      <c r="Q848" s="1">
        <f t="shared" si="66"/>
        <v>131.90957762047259</v>
      </c>
      <c r="R848" s="1">
        <f t="shared" si="67"/>
        <v>144.14925532384828</v>
      </c>
    </row>
    <row r="849" spans="1:18" x14ac:dyDescent="0.35">
      <c r="A849">
        <v>5.9722328550663804</v>
      </c>
      <c r="B849">
        <v>8.7114721569028397</v>
      </c>
      <c r="C849">
        <v>10.463232457275399</v>
      </c>
      <c r="I849" s="1">
        <f t="shared" si="68"/>
        <v>516000.91867773526</v>
      </c>
      <c r="J849">
        <f t="shared" si="69"/>
        <v>600.00015296391211</v>
      </c>
      <c r="K849" s="1">
        <f t="shared" si="65"/>
        <v>24.566357745408055</v>
      </c>
      <c r="L849" s="1">
        <f t="shared" si="65"/>
        <v>29.506323051852387</v>
      </c>
      <c r="N849">
        <f>I849</f>
        <v>516000.91867773526</v>
      </c>
      <c r="O849" s="1">
        <f>SUM(K$2:K849)/$G$3</f>
        <v>0.13216419085305184</v>
      </c>
      <c r="P849" s="1">
        <f>SUM(L$2:L849)/$G$3</f>
        <v>0.14445506786519516</v>
      </c>
      <c r="Q849" s="1">
        <f t="shared" si="66"/>
        <v>132.16419085305185</v>
      </c>
      <c r="R849" s="1">
        <f t="shared" si="67"/>
        <v>144.45506786519516</v>
      </c>
    </row>
    <row r="850" spans="1:18" x14ac:dyDescent="0.35">
      <c r="A850">
        <v>5.9791773012812497</v>
      </c>
      <c r="B850">
        <v>8.6725549595941107</v>
      </c>
      <c r="C850">
        <v>10.3782039799201</v>
      </c>
      <c r="I850" s="1">
        <f t="shared" si="68"/>
        <v>516600.91883069999</v>
      </c>
      <c r="J850">
        <f t="shared" si="69"/>
        <v>600.00015296472702</v>
      </c>
      <c r="K850" s="1">
        <f t="shared" si="65"/>
        <v>24.456611221051904</v>
      </c>
      <c r="L850" s="1">
        <f t="shared" si="65"/>
        <v>29.266542684620632</v>
      </c>
      <c r="N850">
        <f>I850</f>
        <v>516600.91883069999</v>
      </c>
      <c r="O850" s="1">
        <f>SUM(K$2:K850)/$G$3</f>
        <v>0.13241766663914348</v>
      </c>
      <c r="P850" s="1">
        <f>SUM(L$2:L850)/$G$3</f>
        <v>0.14475839524960332</v>
      </c>
      <c r="Q850" s="1">
        <f t="shared" si="66"/>
        <v>132.41766663914348</v>
      </c>
      <c r="R850" s="1">
        <f t="shared" si="67"/>
        <v>144.75839524960332</v>
      </c>
    </row>
    <row r="851" spans="1:18" x14ac:dyDescent="0.35">
      <c r="A851">
        <v>5.9861217474961101</v>
      </c>
      <c r="B851">
        <v>8.6369274585570803</v>
      </c>
      <c r="C851">
        <v>10.3207516062169</v>
      </c>
      <c r="I851" s="1">
        <f t="shared" si="68"/>
        <v>517200.9189836639</v>
      </c>
      <c r="J851">
        <f t="shared" si="69"/>
        <v>600.00015296391211</v>
      </c>
      <c r="K851" s="1">
        <f t="shared" ref="K851:L914" si="70">B851*$J851*$G$2</f>
        <v>24.356141642480566</v>
      </c>
      <c r="L851" s="1">
        <f t="shared" si="70"/>
        <v>29.104526949433605</v>
      </c>
      <c r="N851">
        <f>I851</f>
        <v>517200.9189836639</v>
      </c>
      <c r="O851" s="1">
        <f>SUM(K$2:K851)/$G$3</f>
        <v>0.13267010112784619</v>
      </c>
      <c r="P851" s="1">
        <f>SUM(L$2:L851)/$G$3</f>
        <v>0.14506004345346332</v>
      </c>
      <c r="Q851" s="1">
        <f t="shared" si="66"/>
        <v>132.67010112784618</v>
      </c>
      <c r="R851" s="1">
        <f t="shared" si="67"/>
        <v>145.06004345346332</v>
      </c>
    </row>
    <row r="852" spans="1:18" x14ac:dyDescent="0.35">
      <c r="A852">
        <v>5.9930661937109697</v>
      </c>
      <c r="B852">
        <v>8.6023572101132704</v>
      </c>
      <c r="C852">
        <v>10.240168814401001</v>
      </c>
      <c r="I852" s="1">
        <f t="shared" si="68"/>
        <v>517800.91913662781</v>
      </c>
      <c r="J852">
        <f t="shared" si="69"/>
        <v>600.00015296391211</v>
      </c>
      <c r="K852" s="1">
        <f t="shared" si="70"/>
        <v>24.258653517015421</v>
      </c>
      <c r="L852" s="1">
        <f t="shared" si="70"/>
        <v>28.877283418579353</v>
      </c>
      <c r="N852">
        <f>I852</f>
        <v>517800.91913662781</v>
      </c>
      <c r="O852" s="1">
        <f>SUM(K$2:K852)/$G$3</f>
        <v>0.13292152521985029</v>
      </c>
      <c r="P852" s="1">
        <f>SUM(L$2:L852)/$G$3</f>
        <v>0.14535933643598475</v>
      </c>
      <c r="Q852" s="1">
        <f t="shared" si="66"/>
        <v>132.92152521985028</v>
      </c>
      <c r="R852" s="1">
        <f t="shared" si="67"/>
        <v>145.35933643598474</v>
      </c>
    </row>
    <row r="853" spans="1:18" x14ac:dyDescent="0.35">
      <c r="A853">
        <v>6.0000106399258399</v>
      </c>
      <c r="B853">
        <v>8.5615591995205698</v>
      </c>
      <c r="C853">
        <v>10.157741047107899</v>
      </c>
      <c r="I853" s="1">
        <f t="shared" si="68"/>
        <v>518400.9192895926</v>
      </c>
      <c r="J853">
        <f t="shared" si="69"/>
        <v>600.00015296478523</v>
      </c>
      <c r="K853" s="1">
        <f t="shared" si="70"/>
        <v>24.14360309784821</v>
      </c>
      <c r="L853" s="1">
        <f t="shared" si="70"/>
        <v>28.64483705559466</v>
      </c>
      <c r="N853">
        <f>I853</f>
        <v>518400.9192895926</v>
      </c>
      <c r="O853" s="1">
        <f>SUM(K$2:K853)/$G$3</f>
        <v>0.13317175689418151</v>
      </c>
      <c r="P853" s="1">
        <f>SUM(L$2:L853)/$G$3</f>
        <v>0.14565622027342678</v>
      </c>
      <c r="Q853" s="1">
        <f t="shared" si="66"/>
        <v>133.1717568941815</v>
      </c>
      <c r="R853" s="1">
        <f t="shared" si="67"/>
        <v>145.65622027342678</v>
      </c>
    </row>
    <row r="854" spans="1:18" x14ac:dyDescent="0.35">
      <c r="A854">
        <v>6.0069550861407004</v>
      </c>
      <c r="B854">
        <v>8.52173069234202</v>
      </c>
      <c r="C854">
        <v>10.087930721120999</v>
      </c>
      <c r="I854" s="1">
        <f t="shared" si="68"/>
        <v>519000.91944255651</v>
      </c>
      <c r="J854">
        <f t="shared" si="69"/>
        <v>600.00015296391211</v>
      </c>
      <c r="K854" s="1">
        <f t="shared" si="70"/>
        <v>24.031286678935643</v>
      </c>
      <c r="L854" s="1">
        <f t="shared" si="70"/>
        <v>28.447971886081159</v>
      </c>
      <c r="N854">
        <f>I854</f>
        <v>519000.91944255651</v>
      </c>
      <c r="O854" s="1">
        <f>SUM(K$2:K854)/$G$3</f>
        <v>0.13342082448685327</v>
      </c>
      <c r="P854" s="1">
        <f>SUM(L$2:L854)/$G$3</f>
        <v>0.14595106374014266</v>
      </c>
      <c r="Q854" s="1">
        <f t="shared" si="66"/>
        <v>133.42082448685326</v>
      </c>
      <c r="R854" s="1">
        <f t="shared" si="67"/>
        <v>145.95106374014267</v>
      </c>
    </row>
    <row r="855" spans="1:18" x14ac:dyDescent="0.35">
      <c r="A855">
        <v>6.01389953235556</v>
      </c>
      <c r="B855">
        <v>8.4798528590342404</v>
      </c>
      <c r="C855">
        <v>10.0017815475153</v>
      </c>
      <c r="I855" s="1">
        <f t="shared" si="68"/>
        <v>519600.91959552036</v>
      </c>
      <c r="J855">
        <f t="shared" si="69"/>
        <v>600.00015296385391</v>
      </c>
      <c r="K855" s="1">
        <f t="shared" si="70"/>
        <v>23.913191158898133</v>
      </c>
      <c r="L855" s="1">
        <f t="shared" si="70"/>
        <v>28.205031154575089</v>
      </c>
      <c r="N855">
        <f>I855</f>
        <v>519600.91959552036</v>
      </c>
      <c r="O855" s="1">
        <f>SUM(K$2:K855)/$G$3</f>
        <v>0.13366866810149697</v>
      </c>
      <c r="P855" s="1">
        <f>SUM(L$2:L855)/$G$3</f>
        <v>0.14624338929493952</v>
      </c>
      <c r="Q855" s="1">
        <f t="shared" si="66"/>
        <v>133.66866810149696</v>
      </c>
      <c r="R855" s="1">
        <f t="shared" si="67"/>
        <v>146.2433892949395</v>
      </c>
    </row>
    <row r="856" spans="1:18" x14ac:dyDescent="0.35">
      <c r="A856">
        <v>6.0208439785704204</v>
      </c>
      <c r="B856">
        <v>8.4394547767407495</v>
      </c>
      <c r="C856">
        <v>9.9221115173913006</v>
      </c>
      <c r="I856" s="1">
        <f t="shared" si="68"/>
        <v>520200.91974848433</v>
      </c>
      <c r="J856">
        <f t="shared" si="69"/>
        <v>600.00015296397032</v>
      </c>
      <c r="K856" s="1">
        <f t="shared" si="70"/>
        <v>23.799268537791715</v>
      </c>
      <c r="L856" s="1">
        <f t="shared" si="70"/>
        <v>27.980361612353658</v>
      </c>
      <c r="N856">
        <f>I856</f>
        <v>520200.91974848433</v>
      </c>
      <c r="O856" s="1">
        <f>SUM(K$2:K856)/$G$3</f>
        <v>0.13391533098731126</v>
      </c>
      <c r="P856" s="1">
        <f>SUM(L$2:L856)/$G$3</f>
        <v>0.14653338630600191</v>
      </c>
      <c r="Q856" s="1">
        <f t="shared" si="66"/>
        <v>133.91533098731125</v>
      </c>
      <c r="R856" s="1">
        <f t="shared" si="67"/>
        <v>146.53338630600192</v>
      </c>
    </row>
    <row r="857" spans="1:18" x14ac:dyDescent="0.35">
      <c r="A857">
        <v>6.0277884247852898</v>
      </c>
      <c r="B857">
        <v>8.3977755818523203</v>
      </c>
      <c r="C857">
        <v>9.8272294121940096</v>
      </c>
      <c r="I857" s="1">
        <f t="shared" si="68"/>
        <v>520800.91990144906</v>
      </c>
      <c r="J857">
        <f t="shared" si="69"/>
        <v>600.00015296472702</v>
      </c>
      <c r="K857" s="1">
        <f t="shared" si="70"/>
        <v>23.681733178271756</v>
      </c>
      <c r="L857" s="1">
        <f t="shared" si="70"/>
        <v>27.712794007518593</v>
      </c>
      <c r="N857">
        <f>I857</f>
        <v>520800.91990144906</v>
      </c>
      <c r="O857" s="1">
        <f>SUM(K$2:K857)/$G$3</f>
        <v>0.13416077570077212</v>
      </c>
      <c r="P857" s="1">
        <f>SUM(L$2:L857)/$G$3</f>
        <v>0.14682061016471071</v>
      </c>
      <c r="Q857" s="1">
        <f t="shared" si="66"/>
        <v>134.16077570077212</v>
      </c>
      <c r="R857" s="1">
        <f t="shared" si="67"/>
        <v>146.8206101647107</v>
      </c>
    </row>
    <row r="858" spans="1:18" x14ac:dyDescent="0.35">
      <c r="A858">
        <v>6.0347328710001502</v>
      </c>
      <c r="B858">
        <v>8.3581679129578497</v>
      </c>
      <c r="C858">
        <v>9.7404368990499197</v>
      </c>
      <c r="I858" s="1">
        <f t="shared" si="68"/>
        <v>521400.92005441297</v>
      </c>
      <c r="J858">
        <f t="shared" si="69"/>
        <v>600.00015296391211</v>
      </c>
      <c r="K858" s="1">
        <f t="shared" si="70"/>
        <v>23.570039523482027</v>
      </c>
      <c r="L858" s="1">
        <f t="shared" si="70"/>
        <v>27.468039058016846</v>
      </c>
      <c r="N858">
        <f>I858</f>
        <v>521400.92005441297</v>
      </c>
      <c r="O858" s="1">
        <f>SUM(K$2:K858)/$G$3</f>
        <v>0.13440506278709105</v>
      </c>
      <c r="P858" s="1">
        <f>SUM(L$2:L858)/$G$3</f>
        <v>0.14710529730839123</v>
      </c>
      <c r="Q858" s="1">
        <f t="shared" si="66"/>
        <v>134.40506278709105</v>
      </c>
      <c r="R858" s="1">
        <f t="shared" si="67"/>
        <v>147.10529730839121</v>
      </c>
    </row>
    <row r="859" spans="1:18" x14ac:dyDescent="0.35">
      <c r="A859">
        <v>6.0416773172150098</v>
      </c>
      <c r="B859">
        <v>8.3160552655821398</v>
      </c>
      <c r="C859">
        <v>9.6647331209529703</v>
      </c>
      <c r="I859" s="1">
        <f t="shared" si="68"/>
        <v>522000.92020737682</v>
      </c>
      <c r="J859">
        <f t="shared" si="69"/>
        <v>600.00015296385391</v>
      </c>
      <c r="K859" s="1">
        <f t="shared" si="70"/>
        <v>23.451281827604191</v>
      </c>
      <c r="L859" s="1">
        <f t="shared" si="70"/>
        <v>27.254554349355057</v>
      </c>
      <c r="N859">
        <f>I859</f>
        <v>522000.92020737682</v>
      </c>
      <c r="O859" s="1">
        <f>SUM(K$2:K859)/$G$3</f>
        <v>0.13464811903238932</v>
      </c>
      <c r="P859" s="1">
        <f>SUM(L$2:L859)/$G$3</f>
        <v>0.14738777183136739</v>
      </c>
      <c r="Q859" s="1">
        <f t="shared" si="66"/>
        <v>134.64811903238933</v>
      </c>
      <c r="R859" s="1">
        <f t="shared" si="67"/>
        <v>147.38777183136739</v>
      </c>
    </row>
    <row r="860" spans="1:18" x14ac:dyDescent="0.35">
      <c r="A860">
        <v>6.04862176342988</v>
      </c>
      <c r="B860">
        <v>8.2755471271920893</v>
      </c>
      <c r="C860">
        <v>9.57718082466684</v>
      </c>
      <c r="I860" s="1">
        <f t="shared" si="68"/>
        <v>522600.92036034161</v>
      </c>
      <c r="J860">
        <f t="shared" si="69"/>
        <v>600.00015296478523</v>
      </c>
      <c r="K860" s="1">
        <f t="shared" si="70"/>
        <v>23.33704884825795</v>
      </c>
      <c r="L860" s="1">
        <f t="shared" si="70"/>
        <v>27.007656810926107</v>
      </c>
      <c r="N860">
        <f>I860</f>
        <v>522600.92036034161</v>
      </c>
      <c r="O860" s="1">
        <f>SUM(K$2:K860)/$G$3</f>
        <v>0.13488999133221061</v>
      </c>
      <c r="P860" s="1">
        <f>SUM(L$2:L860)/$G$3</f>
        <v>0.14766768743286945</v>
      </c>
      <c r="Q860" s="1">
        <f t="shared" si="66"/>
        <v>134.8899913322106</v>
      </c>
      <c r="R860" s="1">
        <f t="shared" si="67"/>
        <v>147.66768743286946</v>
      </c>
    </row>
    <row r="861" spans="1:18" x14ac:dyDescent="0.35">
      <c r="A861">
        <v>6.0555662096447396</v>
      </c>
      <c r="B861">
        <v>8.2274235153300594</v>
      </c>
      <c r="C861">
        <v>9.4823638912447805</v>
      </c>
      <c r="I861" s="1">
        <f t="shared" si="68"/>
        <v>523200.92051330552</v>
      </c>
      <c r="J861">
        <f t="shared" si="69"/>
        <v>600.00015296391211</v>
      </c>
      <c r="K861" s="1">
        <f t="shared" si="70"/>
        <v>23.201340228175543</v>
      </c>
      <c r="L861" s="1">
        <f t="shared" si="70"/>
        <v>26.740272990469823</v>
      </c>
      <c r="N861">
        <f>I861</f>
        <v>523200.92051330552</v>
      </c>
      <c r="O861" s="1">
        <f>SUM(K$2:K861)/$G$3</f>
        <v>0.13513045710645713</v>
      </c>
      <c r="P861" s="1">
        <f>SUM(L$2:L861)/$G$3</f>
        <v>0.14794483178681533</v>
      </c>
      <c r="Q861" s="1">
        <f t="shared" si="66"/>
        <v>135.13045710645713</v>
      </c>
      <c r="R861" s="1">
        <f t="shared" si="67"/>
        <v>147.94483178681534</v>
      </c>
    </row>
    <row r="862" spans="1:18" x14ac:dyDescent="0.35">
      <c r="A862">
        <v>6.0625106558596</v>
      </c>
      <c r="B862">
        <v>8.1802348735826005</v>
      </c>
      <c r="C862">
        <v>9.3791132794618104</v>
      </c>
      <c r="I862" s="1">
        <f t="shared" si="68"/>
        <v>523800.92066626943</v>
      </c>
      <c r="J862">
        <f t="shared" si="69"/>
        <v>600.00015296391211</v>
      </c>
      <c r="K862" s="1">
        <f t="shared" si="70"/>
        <v>23.068268224522356</v>
      </c>
      <c r="L862" s="1">
        <f t="shared" si="70"/>
        <v>26.449106191011847</v>
      </c>
      <c r="N862">
        <f>I862</f>
        <v>523800.92066626943</v>
      </c>
      <c r="O862" s="1">
        <f>SUM(K$2:K862)/$G$3</f>
        <v>0.1353695436818266</v>
      </c>
      <c r="P862" s="1">
        <f>SUM(L$2:L862)/$G$3</f>
        <v>0.14821895839914898</v>
      </c>
      <c r="Q862" s="1">
        <f t="shared" si="66"/>
        <v>135.3695436818266</v>
      </c>
      <c r="R862" s="1">
        <f t="shared" si="67"/>
        <v>148.21895839914899</v>
      </c>
    </row>
    <row r="863" spans="1:18" x14ac:dyDescent="0.35">
      <c r="A863">
        <v>6.0694551014511697</v>
      </c>
      <c r="B863">
        <v>8.13696743896279</v>
      </c>
      <c r="C863">
        <v>9.3027724087386403</v>
      </c>
      <c r="I863" s="1">
        <f t="shared" si="68"/>
        <v>524400.92076538107</v>
      </c>
      <c r="J863">
        <f t="shared" si="69"/>
        <v>600.00009911163943</v>
      </c>
      <c r="K863" s="1">
        <f t="shared" si="70"/>
        <v>22.946251968275529</v>
      </c>
      <c r="L863" s="1">
        <f t="shared" si="70"/>
        <v>26.233822526104181</v>
      </c>
      <c r="N863">
        <f>I863</f>
        <v>524400.92076538107</v>
      </c>
      <c r="O863" s="1">
        <f>SUM(K$2:K863)/$G$3</f>
        <v>0.13560736564346079</v>
      </c>
      <c r="P863" s="1">
        <f>SUM(L$2:L863)/$G$3</f>
        <v>0.14849085374584645</v>
      </c>
      <c r="Q863" s="1">
        <f t="shared" si="66"/>
        <v>135.60736564346078</v>
      </c>
      <c r="R863" s="1">
        <f t="shared" si="67"/>
        <v>148.49085374584644</v>
      </c>
    </row>
    <row r="864" spans="1:18" x14ac:dyDescent="0.35">
      <c r="A864">
        <v>6.07639954666947</v>
      </c>
      <c r="B864">
        <v>8.0929003776193404</v>
      </c>
      <c r="C864">
        <v>9.1963439828694895</v>
      </c>
      <c r="I864" s="1">
        <f t="shared" si="68"/>
        <v>525000.92083224223</v>
      </c>
      <c r="J864">
        <f t="shared" si="69"/>
        <v>600.00006686116103</v>
      </c>
      <c r="K864" s="1">
        <f t="shared" si="70"/>
        <v>22.821981608059904</v>
      </c>
      <c r="L864" s="1">
        <f t="shared" si="70"/>
        <v>25.93369292161967</v>
      </c>
      <c r="N864">
        <f>I864</f>
        <v>525000.92083224223</v>
      </c>
      <c r="O864" s="1">
        <f>SUM(K$2:K864)/$G$3</f>
        <v>0.13584389962913793</v>
      </c>
      <c r="P864" s="1">
        <f>SUM(L$2:L864)/$G$3</f>
        <v>0.14875963845768372</v>
      </c>
      <c r="Q864" s="1">
        <f t="shared" si="66"/>
        <v>135.84389962913792</v>
      </c>
      <c r="R864" s="1">
        <f t="shared" si="67"/>
        <v>148.75963845768374</v>
      </c>
    </row>
    <row r="865" spans="1:18" x14ac:dyDescent="0.35">
      <c r="A865">
        <v>6.0833439918877801</v>
      </c>
      <c r="B865">
        <v>8.05111822179013</v>
      </c>
      <c r="C865">
        <v>9.1083457482368093</v>
      </c>
      <c r="I865" s="1">
        <f t="shared" si="68"/>
        <v>525600.92089910421</v>
      </c>
      <c r="J865">
        <f t="shared" si="69"/>
        <v>600.00006686197594</v>
      </c>
      <c r="K865" s="1">
        <f t="shared" si="70"/>
        <v>22.704155915522431</v>
      </c>
      <c r="L865" s="1">
        <f t="shared" si="70"/>
        <v>25.685537872337179</v>
      </c>
      <c r="N865">
        <f>I865</f>
        <v>525600.92089910421</v>
      </c>
      <c r="O865" s="1">
        <f>SUM(K$2:K865)/$G$3</f>
        <v>0.13607921243336163</v>
      </c>
      <c r="P865" s="1">
        <f>SUM(L$2:L865)/$G$3</f>
        <v>0.14902585121482045</v>
      </c>
      <c r="Q865" s="1">
        <f t="shared" si="66"/>
        <v>136.07921243336162</v>
      </c>
      <c r="R865" s="1">
        <f t="shared" si="67"/>
        <v>149.02585121482045</v>
      </c>
    </row>
    <row r="866" spans="1:18" x14ac:dyDescent="0.35">
      <c r="A866">
        <v>6.0902884371060804</v>
      </c>
      <c r="B866">
        <v>8.00164792450955</v>
      </c>
      <c r="C866">
        <v>9.0241963015774598</v>
      </c>
      <c r="I866" s="1">
        <f t="shared" si="68"/>
        <v>526200.92096596537</v>
      </c>
      <c r="J866">
        <f t="shared" si="69"/>
        <v>600.00006686116103</v>
      </c>
      <c r="K866" s="1">
        <f t="shared" si="70"/>
        <v>22.564649661614443</v>
      </c>
      <c r="L866" s="1">
        <f t="shared" si="70"/>
        <v>25.448236406279175</v>
      </c>
      <c r="N866">
        <f>I866</f>
        <v>526200.92096596537</v>
      </c>
      <c r="O866" s="1">
        <f>SUM(K$2:K866)/$G$3</f>
        <v>0.13631307935217402</v>
      </c>
      <c r="P866" s="1">
        <f>SUM(L$2:L866)/$G$3</f>
        <v>0.14928960450710713</v>
      </c>
      <c r="Q866" s="1">
        <f t="shared" si="66"/>
        <v>136.31307935217401</v>
      </c>
      <c r="R866" s="1">
        <f t="shared" si="67"/>
        <v>149.28960450710713</v>
      </c>
    </row>
    <row r="867" spans="1:18" x14ac:dyDescent="0.35">
      <c r="A867">
        <v>6.0972328823243904</v>
      </c>
      <c r="B867">
        <v>7.9508408026878801</v>
      </c>
      <c r="C867">
        <v>8.9325405095611696</v>
      </c>
      <c r="I867" s="1">
        <f t="shared" si="68"/>
        <v>526800.92103282735</v>
      </c>
      <c r="J867">
        <f t="shared" si="69"/>
        <v>600.00006686197594</v>
      </c>
      <c r="K867" s="1">
        <f t="shared" si="70"/>
        <v>22.421373562141778</v>
      </c>
      <c r="L867" s="1">
        <f t="shared" si="70"/>
        <v>25.189767044024851</v>
      </c>
      <c r="N867">
        <f>I867</f>
        <v>526800.92103282735</v>
      </c>
      <c r="O867" s="1">
        <f>SUM(K$2:K867)/$G$3</f>
        <v>0.13654546131374465</v>
      </c>
      <c r="P867" s="1">
        <f>SUM(L$2:L867)/$G$3</f>
        <v>0.14955067894400428</v>
      </c>
      <c r="Q867" s="1">
        <f t="shared" si="66"/>
        <v>136.54546131374465</v>
      </c>
      <c r="R867" s="1">
        <f t="shared" si="67"/>
        <v>149.55067894400429</v>
      </c>
    </row>
    <row r="868" spans="1:18" x14ac:dyDescent="0.35">
      <c r="A868">
        <v>6.1041773275426898</v>
      </c>
      <c r="B868">
        <v>7.9118692727823801</v>
      </c>
      <c r="C868">
        <v>8.8542164459113</v>
      </c>
      <c r="I868" s="1">
        <f t="shared" si="68"/>
        <v>527400.92109968839</v>
      </c>
      <c r="J868">
        <f t="shared" si="69"/>
        <v>600.00006686104462</v>
      </c>
      <c r="K868" s="1">
        <f t="shared" si="70"/>
        <v>22.31147383552678</v>
      </c>
      <c r="L868" s="1">
        <f t="shared" si="70"/>
        <v>24.968893159880022</v>
      </c>
      <c r="N868">
        <f>I868</f>
        <v>527400.92109968839</v>
      </c>
      <c r="O868" s="1">
        <f>SUM(K$2:K868)/$G$3</f>
        <v>0.13677670424099267</v>
      </c>
      <c r="P868" s="1">
        <f>SUM(L$2:L868)/$G$3</f>
        <v>0.14980946417652624</v>
      </c>
      <c r="Q868" s="1">
        <f t="shared" si="66"/>
        <v>136.77670424099267</v>
      </c>
      <c r="R868" s="1">
        <f t="shared" si="67"/>
        <v>149.80946417652623</v>
      </c>
    </row>
    <row r="869" spans="1:18" x14ac:dyDescent="0.35">
      <c r="A869">
        <v>6.1111217727609901</v>
      </c>
      <c r="B869">
        <v>7.8623700841614701</v>
      </c>
      <c r="C869">
        <v>8.7643658560590598</v>
      </c>
      <c r="I869" s="1">
        <f t="shared" si="68"/>
        <v>528000.92116654955</v>
      </c>
      <c r="J869">
        <f t="shared" si="69"/>
        <v>600.00006686116103</v>
      </c>
      <c r="K869" s="1">
        <f t="shared" si="70"/>
        <v>22.171886108065152</v>
      </c>
      <c r="L869" s="1">
        <f t="shared" si="70"/>
        <v>24.715514468266232</v>
      </c>
      <c r="N869">
        <f>I869</f>
        <v>528000.92116654955</v>
      </c>
      <c r="O869" s="1">
        <f>SUM(K$2:K869)/$G$3</f>
        <v>0.13700650043841264</v>
      </c>
      <c r="P869" s="1">
        <f>SUM(L$2:L869)/$G$3</f>
        <v>0.15006562331492357</v>
      </c>
      <c r="Q869" s="1">
        <f t="shared" si="66"/>
        <v>137.00650043841264</v>
      </c>
      <c r="R869" s="1">
        <f t="shared" si="67"/>
        <v>150.06562331492356</v>
      </c>
    </row>
    <row r="870" spans="1:18" x14ac:dyDescent="0.35">
      <c r="A870">
        <v>6.1180662179793002</v>
      </c>
      <c r="B870">
        <v>7.8134431335516803</v>
      </c>
      <c r="C870">
        <v>8.6598981680693399</v>
      </c>
      <c r="I870" s="1">
        <f t="shared" si="68"/>
        <v>528600.92123341153</v>
      </c>
      <c r="J870">
        <f t="shared" si="69"/>
        <v>600.00006686197594</v>
      </c>
      <c r="K870" s="1">
        <f t="shared" si="70"/>
        <v>22.0339120920003</v>
      </c>
      <c r="L870" s="1">
        <f t="shared" si="70"/>
        <v>24.420915555339683</v>
      </c>
      <c r="N870">
        <f>I870</f>
        <v>528600.92123341153</v>
      </c>
      <c r="O870" s="1">
        <f>SUM(K$2:K870)/$G$3</f>
        <v>0.13723486663100215</v>
      </c>
      <c r="P870" s="1">
        <f>SUM(L$2:L870)/$G$3</f>
        <v>0.15031872914023672</v>
      </c>
      <c r="Q870" s="1">
        <f t="shared" si="66"/>
        <v>137.23486663100215</v>
      </c>
      <c r="R870" s="1">
        <f t="shared" si="67"/>
        <v>150.31872914023671</v>
      </c>
    </row>
    <row r="871" spans="1:18" x14ac:dyDescent="0.35">
      <c r="A871">
        <v>6.1250106631975996</v>
      </c>
      <c r="B871">
        <v>7.7691321697801099</v>
      </c>
      <c r="C871">
        <v>8.5719921421694902</v>
      </c>
      <c r="I871" s="1">
        <f t="shared" si="68"/>
        <v>529200.92130027257</v>
      </c>
      <c r="J871">
        <f t="shared" si="69"/>
        <v>600.00006686104462</v>
      </c>
      <c r="K871" s="1">
        <f t="shared" si="70"/>
        <v>21.908955160205686</v>
      </c>
      <c r="L871" s="1">
        <f t="shared" si="70"/>
        <v>24.173020534640006</v>
      </c>
      <c r="N871">
        <f>I871</f>
        <v>529200.92130027257</v>
      </c>
      <c r="O871" s="1">
        <f>SUM(K$2:K871)/$G$3</f>
        <v>0.13746193773179716</v>
      </c>
      <c r="P871" s="1">
        <f>SUM(L$2:L871)/$G$3</f>
        <v>0.15056926570586493</v>
      </c>
      <c r="Q871" s="1">
        <f t="shared" si="66"/>
        <v>137.46193773179715</v>
      </c>
      <c r="R871" s="1">
        <f t="shared" si="67"/>
        <v>150.56926570586492</v>
      </c>
    </row>
    <row r="872" spans="1:18" x14ac:dyDescent="0.35">
      <c r="A872">
        <v>6.1319551084159096</v>
      </c>
      <c r="B872">
        <v>7.7255963339497802</v>
      </c>
      <c r="C872">
        <v>8.5053330080307106</v>
      </c>
      <c r="I872" s="1">
        <f t="shared" si="68"/>
        <v>529800.92136713455</v>
      </c>
      <c r="J872">
        <f t="shared" si="69"/>
        <v>600.00006686197594</v>
      </c>
      <c r="K872" s="1">
        <f t="shared" si="70"/>
        <v>21.786184089516968</v>
      </c>
      <c r="L872" s="1">
        <f t="shared" si="70"/>
        <v>23.985041755458447</v>
      </c>
      <c r="N872">
        <f>I872</f>
        <v>529800.92136713455</v>
      </c>
      <c r="O872" s="1">
        <f>SUM(K$2:K872)/$G$3</f>
        <v>0.13768773639572954</v>
      </c>
      <c r="P872" s="1">
        <f>SUM(L$2:L872)/$G$3</f>
        <v>0.15081785400202971</v>
      </c>
      <c r="Q872" s="1">
        <f t="shared" si="66"/>
        <v>137.68773639572953</v>
      </c>
      <c r="R872" s="1">
        <f t="shared" si="67"/>
        <v>150.81785400202972</v>
      </c>
    </row>
    <row r="873" spans="1:18" x14ac:dyDescent="0.35">
      <c r="A873">
        <v>6.1388995536342099</v>
      </c>
      <c r="B873">
        <v>7.6770671937339401</v>
      </c>
      <c r="C873">
        <v>8.3975791786057705</v>
      </c>
      <c r="I873" s="1">
        <f t="shared" si="68"/>
        <v>530400.92143399571</v>
      </c>
      <c r="J873">
        <f t="shared" si="69"/>
        <v>600.00006686116103</v>
      </c>
      <c r="K873" s="1">
        <f t="shared" si="70"/>
        <v>21.649331898828553</v>
      </c>
      <c r="L873" s="1">
        <f t="shared" si="70"/>
        <v>23.681175922586174</v>
      </c>
      <c r="N873">
        <f>I873</f>
        <v>530400.92143399571</v>
      </c>
      <c r="O873" s="1">
        <f>SUM(K$2:K873)/$G$3</f>
        <v>0.13791211668177225</v>
      </c>
      <c r="P873" s="1">
        <f>SUM(L$2:L873)/$G$3</f>
        <v>0.15106329293992252</v>
      </c>
      <c r="Q873" s="1">
        <f t="shared" si="66"/>
        <v>137.91211668177226</v>
      </c>
      <c r="R873" s="1">
        <f t="shared" si="67"/>
        <v>151.06329293992252</v>
      </c>
    </row>
    <row r="874" spans="1:18" x14ac:dyDescent="0.35">
      <c r="A874">
        <v>6.14584399885252</v>
      </c>
      <c r="B874">
        <v>7.6329157890614203</v>
      </c>
      <c r="C874">
        <v>8.3086347017601696</v>
      </c>
      <c r="I874" s="1">
        <f t="shared" si="68"/>
        <v>531000.92150085769</v>
      </c>
      <c r="J874">
        <f t="shared" si="69"/>
        <v>600.00006686197594</v>
      </c>
      <c r="K874" s="1">
        <f t="shared" si="70"/>
        <v>21.524824923806818</v>
      </c>
      <c r="L874" s="1">
        <f t="shared" si="70"/>
        <v>23.430352469962827</v>
      </c>
      <c r="N874">
        <f>I874</f>
        <v>531000.92150085769</v>
      </c>
      <c r="O874" s="1">
        <f>SUM(K$2:K874)/$G$3</f>
        <v>0.13813520653950978</v>
      </c>
      <c r="P874" s="1">
        <f>SUM(L$2:L874)/$G$3</f>
        <v>0.15130613226696779</v>
      </c>
      <c r="Q874" s="1">
        <f t="shared" si="66"/>
        <v>138.13520653950977</v>
      </c>
      <c r="R874" s="1">
        <f t="shared" si="67"/>
        <v>151.30613226696778</v>
      </c>
    </row>
    <row r="875" spans="1:18" x14ac:dyDescent="0.35">
      <c r="A875">
        <v>6.1527884440708203</v>
      </c>
      <c r="B875">
        <v>7.5970993905787498</v>
      </c>
      <c r="C875">
        <v>8.2216416315516607</v>
      </c>
      <c r="I875" s="1">
        <f t="shared" si="68"/>
        <v>531600.92156771885</v>
      </c>
      <c r="J875">
        <f t="shared" si="69"/>
        <v>600.00006686116103</v>
      </c>
      <c r="K875" s="1">
        <f t="shared" si="70"/>
        <v>21.423822668801236</v>
      </c>
      <c r="L875" s="1">
        <f t="shared" si="70"/>
        <v>23.185031984605658</v>
      </c>
      <c r="N875">
        <f>I875</f>
        <v>531600.92156771885</v>
      </c>
      <c r="O875" s="1">
        <f>SUM(K$2:K875)/$G$3</f>
        <v>0.13835724957903717</v>
      </c>
      <c r="P875" s="1">
        <f>SUM(L$2:L875)/$G$3</f>
        <v>0.15154642901759849</v>
      </c>
      <c r="Q875" s="1">
        <f t="shared" si="66"/>
        <v>138.35724957903716</v>
      </c>
      <c r="R875" s="1">
        <f t="shared" si="67"/>
        <v>151.54642901759848</v>
      </c>
    </row>
    <row r="876" spans="1:18" x14ac:dyDescent="0.35">
      <c r="A876">
        <v>6.1597328892891303</v>
      </c>
      <c r="B876">
        <v>7.55022203490417</v>
      </c>
      <c r="C876">
        <v>8.1204221255114604</v>
      </c>
      <c r="I876" s="1">
        <f t="shared" si="68"/>
        <v>532200.92163458082</v>
      </c>
      <c r="J876">
        <f t="shared" si="69"/>
        <v>600.00006686197594</v>
      </c>
      <c r="K876" s="1">
        <f t="shared" si="70"/>
        <v>21.29162851109675</v>
      </c>
      <c r="L876" s="1">
        <f t="shared" si="70"/>
        <v>22.899592945795423</v>
      </c>
      <c r="N876">
        <f>I876</f>
        <v>532200.92163458082</v>
      </c>
      <c r="O876" s="1">
        <f>SUM(K$2:K876)/$G$3</f>
        <v>0.13857792251795098</v>
      </c>
      <c r="P876" s="1">
        <f>SUM(L$2:L876)/$G$3</f>
        <v>0.15178376739087721</v>
      </c>
      <c r="Q876" s="1">
        <f t="shared" si="66"/>
        <v>138.57792251795098</v>
      </c>
      <c r="R876" s="1">
        <f t="shared" si="67"/>
        <v>151.78376739087722</v>
      </c>
    </row>
    <row r="877" spans="1:18" x14ac:dyDescent="0.35">
      <c r="A877">
        <v>6.1666773345074297</v>
      </c>
      <c r="B877">
        <v>7.49912723112128</v>
      </c>
      <c r="C877">
        <v>8.0305259765483097</v>
      </c>
      <c r="I877" s="1">
        <f t="shared" si="68"/>
        <v>532800.92170144198</v>
      </c>
      <c r="J877">
        <f t="shared" si="69"/>
        <v>600.00006686116103</v>
      </c>
      <c r="K877" s="1">
        <f t="shared" si="70"/>
        <v>21.147541148343674</v>
      </c>
      <c r="L877" s="1">
        <f t="shared" si="70"/>
        <v>22.6460857774386</v>
      </c>
      <c r="N877">
        <f>I877</f>
        <v>532800.92170144198</v>
      </c>
      <c r="O877" s="1">
        <f>SUM(K$2:K877)/$G$3</f>
        <v>0.13879710209144264</v>
      </c>
      <c r="P877" s="1">
        <f>SUM(L$2:L877)/$G$3</f>
        <v>0.15201847833845911</v>
      </c>
      <c r="Q877" s="1">
        <f t="shared" si="66"/>
        <v>138.79710209144264</v>
      </c>
      <c r="R877" s="1">
        <f t="shared" si="67"/>
        <v>152.01847833845912</v>
      </c>
    </row>
    <row r="878" spans="1:18" x14ac:dyDescent="0.35">
      <c r="A878">
        <v>6.1736217797257398</v>
      </c>
      <c r="B878">
        <v>7.45578501153385</v>
      </c>
      <c r="C878">
        <v>7.9451337705789102</v>
      </c>
      <c r="I878" s="1">
        <f t="shared" si="68"/>
        <v>533400.92176830396</v>
      </c>
      <c r="J878">
        <f t="shared" si="69"/>
        <v>600.00006686197594</v>
      </c>
      <c r="K878" s="1">
        <f t="shared" si="70"/>
        <v>21.025316075515494</v>
      </c>
      <c r="L878" s="1">
        <f t="shared" si="70"/>
        <v>22.405279729801038</v>
      </c>
      <c r="N878">
        <f>I878</f>
        <v>533400.92176830396</v>
      </c>
      <c r="O878" s="1">
        <f>SUM(K$2:K878)/$G$3</f>
        <v>0.13901501488696022</v>
      </c>
      <c r="P878" s="1">
        <f>SUM(L$2:L878)/$G$3</f>
        <v>0.15225069349863737</v>
      </c>
      <c r="Q878" s="1">
        <f t="shared" si="66"/>
        <v>139.01501488696022</v>
      </c>
      <c r="R878" s="1">
        <f t="shared" si="67"/>
        <v>152.25069349863736</v>
      </c>
    </row>
    <row r="879" spans="1:18" x14ac:dyDescent="0.35">
      <c r="A879">
        <v>6.1805662249440401</v>
      </c>
      <c r="B879">
        <v>7.4062861680341197</v>
      </c>
      <c r="C879">
        <v>7.8637983907169797</v>
      </c>
      <c r="I879" s="1">
        <f t="shared" si="68"/>
        <v>534000.92183516501</v>
      </c>
      <c r="J879">
        <f t="shared" si="69"/>
        <v>600.00006686104462</v>
      </c>
      <c r="K879" s="1">
        <f t="shared" si="70"/>
        <v>20.885729321258758</v>
      </c>
      <c r="L879" s="1">
        <f t="shared" si="70"/>
        <v>22.175913932996227</v>
      </c>
      <c r="N879">
        <f>I879</f>
        <v>534000.92183516501</v>
      </c>
      <c r="O879" s="1">
        <f>SUM(K$2:K879)/$G$3</f>
        <v>0.13923148096273635</v>
      </c>
      <c r="P879" s="1">
        <f>SUM(L$2:L879)/$G$3</f>
        <v>0.15248053144166476</v>
      </c>
      <c r="Q879" s="1">
        <f t="shared" si="66"/>
        <v>139.23148096273636</v>
      </c>
      <c r="R879" s="1">
        <f t="shared" si="67"/>
        <v>152.48053144166477</v>
      </c>
    </row>
    <row r="880" spans="1:18" x14ac:dyDescent="0.35">
      <c r="A880">
        <v>6.1875106701623404</v>
      </c>
      <c r="B880">
        <v>7.3660764650575103</v>
      </c>
      <c r="C880">
        <v>7.7876552544417299</v>
      </c>
      <c r="I880" s="1">
        <f t="shared" si="68"/>
        <v>534600.92190202617</v>
      </c>
      <c r="J880">
        <f t="shared" si="69"/>
        <v>600.00006686116103</v>
      </c>
      <c r="K880" s="1">
        <f t="shared" si="70"/>
        <v>20.772337946232977</v>
      </c>
      <c r="L880" s="1">
        <f t="shared" si="70"/>
        <v>21.961190264776537</v>
      </c>
      <c r="N880">
        <f>I880</f>
        <v>534600.92190202617</v>
      </c>
      <c r="O880" s="1">
        <f>SUM(K$2:K880)/$G$3</f>
        <v>0.13944677181567963</v>
      </c>
      <c r="P880" s="1">
        <f>SUM(L$2:L880)/$G$3</f>
        <v>0.15270814392303259</v>
      </c>
      <c r="Q880" s="1">
        <f t="shared" si="66"/>
        <v>139.44677181567963</v>
      </c>
      <c r="R880" s="1">
        <f t="shared" si="67"/>
        <v>152.70814392303259</v>
      </c>
    </row>
    <row r="881" spans="1:18" x14ac:dyDescent="0.35">
      <c r="A881">
        <v>6.1944551153806504</v>
      </c>
      <c r="B881">
        <v>7.32325119773484</v>
      </c>
      <c r="C881">
        <v>7.6898092115754704</v>
      </c>
      <c r="I881" s="1">
        <f t="shared" si="68"/>
        <v>535200.92196888814</v>
      </c>
      <c r="J881">
        <f t="shared" si="69"/>
        <v>600.00006686197594</v>
      </c>
      <c r="K881" s="1">
        <f t="shared" si="70"/>
        <v>20.651570678953362</v>
      </c>
      <c r="L881" s="1">
        <f t="shared" si="70"/>
        <v>21.68526439317527</v>
      </c>
      <c r="N881">
        <f>I881</f>
        <v>535200.92196888814</v>
      </c>
      <c r="O881" s="1">
        <f>SUM(K$2:K881)/$G$3</f>
        <v>0.13966081099979069</v>
      </c>
      <c r="P881" s="1">
        <f>SUM(L$2:L881)/$G$3</f>
        <v>0.15293289662441806</v>
      </c>
      <c r="Q881" s="1">
        <f t="shared" si="66"/>
        <v>139.6608109997907</v>
      </c>
      <c r="R881" s="1">
        <f t="shared" si="67"/>
        <v>152.93289662441805</v>
      </c>
    </row>
    <row r="882" spans="1:18" x14ac:dyDescent="0.35">
      <c r="A882">
        <v>6.2013995605989498</v>
      </c>
      <c r="B882">
        <v>7.2736786366796498</v>
      </c>
      <c r="C882">
        <v>7.60511171108877</v>
      </c>
      <c r="I882" s="1">
        <f t="shared" si="68"/>
        <v>535800.9220357493</v>
      </c>
      <c r="J882">
        <f t="shared" si="69"/>
        <v>600.00006686116103</v>
      </c>
      <c r="K882" s="1">
        <f t="shared" si="70"/>
        <v>20.511776041171625</v>
      </c>
      <c r="L882" s="1">
        <f t="shared" si="70"/>
        <v>21.446417415157345</v>
      </c>
      <c r="N882">
        <f>I882</f>
        <v>535800.9220357493</v>
      </c>
      <c r="O882" s="1">
        <f>SUM(K$2:K882)/$G$3</f>
        <v>0.13987340130959192</v>
      </c>
      <c r="P882" s="1">
        <f>SUM(L$2:L882)/$G$3</f>
        <v>0.15315517384279559</v>
      </c>
      <c r="Q882" s="1">
        <f t="shared" si="66"/>
        <v>139.87340130959191</v>
      </c>
      <c r="R882" s="1">
        <f t="shared" si="67"/>
        <v>153.15517384279559</v>
      </c>
    </row>
    <row r="883" spans="1:18" x14ac:dyDescent="0.35">
      <c r="A883">
        <v>6.2083440058172599</v>
      </c>
      <c r="B883">
        <v>7.2293191123865901</v>
      </c>
      <c r="C883">
        <v>7.5173182452921896</v>
      </c>
      <c r="I883" s="1">
        <f t="shared" si="68"/>
        <v>536400.92210261128</v>
      </c>
      <c r="J883">
        <f t="shared" si="69"/>
        <v>600.00006686197594</v>
      </c>
      <c r="K883" s="1">
        <f t="shared" si="70"/>
        <v>20.386682168753019</v>
      </c>
      <c r="L883" s="1">
        <f t="shared" si="70"/>
        <v>21.198839814050906</v>
      </c>
      <c r="N883">
        <f>I883</f>
        <v>536400.92210261128</v>
      </c>
      <c r="O883" s="1">
        <f>SUM(K$2:K883)/$G$3</f>
        <v>0.14008469510830418</v>
      </c>
      <c r="P883" s="1">
        <f>SUM(L$2:L883)/$G$3</f>
        <v>0.1533748850913218</v>
      </c>
      <c r="Q883" s="1">
        <f t="shared" si="66"/>
        <v>140.08469510830417</v>
      </c>
      <c r="R883" s="1">
        <f t="shared" si="67"/>
        <v>153.3748850913218</v>
      </c>
    </row>
    <row r="884" spans="1:18" x14ac:dyDescent="0.35">
      <c r="A884">
        <v>6.2152884510355602</v>
      </c>
      <c r="B884">
        <v>7.1810182549069204</v>
      </c>
      <c r="C884">
        <v>7.4347618436655099</v>
      </c>
      <c r="I884" s="1">
        <f t="shared" si="68"/>
        <v>537000.92216947244</v>
      </c>
      <c r="J884">
        <f t="shared" si="69"/>
        <v>600.00006686116103</v>
      </c>
      <c r="K884" s="1">
        <f t="shared" si="70"/>
        <v>20.250473735454239</v>
      </c>
      <c r="L884" s="1">
        <f t="shared" si="70"/>
        <v>20.966030735491739</v>
      </c>
      <c r="N884">
        <f>I884</f>
        <v>537000.92216947244</v>
      </c>
      <c r="O884" s="1">
        <f>SUM(K$2:K884)/$G$3</f>
        <v>0.1402945772012249</v>
      </c>
      <c r="P884" s="1">
        <f>SUM(L$2:L884)/$G$3</f>
        <v>0.15359218343547365</v>
      </c>
      <c r="Q884" s="1">
        <f t="shared" si="66"/>
        <v>140.29457720122491</v>
      </c>
      <c r="R884" s="1">
        <f t="shared" si="67"/>
        <v>153.59218343547366</v>
      </c>
    </row>
    <row r="885" spans="1:18" x14ac:dyDescent="0.35">
      <c r="A885">
        <v>6.2222328962538702</v>
      </c>
      <c r="B885">
        <v>7.1372739564795102</v>
      </c>
      <c r="C885">
        <v>7.3401096007279198</v>
      </c>
      <c r="I885" s="1">
        <f t="shared" si="68"/>
        <v>537600.92223633442</v>
      </c>
      <c r="J885">
        <f t="shared" si="69"/>
        <v>600.00006686197594</v>
      </c>
      <c r="K885" s="1">
        <f t="shared" si="70"/>
        <v>20.127114800169746</v>
      </c>
      <c r="L885" s="1">
        <f t="shared" si="70"/>
        <v>20.699111380691626</v>
      </c>
      <c r="N885">
        <f>I885</f>
        <v>537600.92223633442</v>
      </c>
      <c r="O885" s="1">
        <f>SUM(K$2:K885)/$G$3</f>
        <v>0.14050318076447482</v>
      </c>
      <c r="P885" s="1">
        <f>SUM(L$2:L885)/$G$3</f>
        <v>0.15380671534593321</v>
      </c>
      <c r="Q885" s="1">
        <f t="shared" si="66"/>
        <v>140.50318076447482</v>
      </c>
      <c r="R885" s="1">
        <f t="shared" si="67"/>
        <v>153.80671534593321</v>
      </c>
    </row>
    <row r="886" spans="1:18" x14ac:dyDescent="0.35">
      <c r="A886">
        <v>6.2291773414721696</v>
      </c>
      <c r="B886">
        <v>7.09362993350212</v>
      </c>
      <c r="C886">
        <v>7.2569376275673898</v>
      </c>
      <c r="I886" s="1">
        <f t="shared" si="68"/>
        <v>538200.92230319546</v>
      </c>
      <c r="J886">
        <f t="shared" si="69"/>
        <v>600.00006686104462</v>
      </c>
      <c r="K886" s="1">
        <f t="shared" si="70"/>
        <v>20.004038641627265</v>
      </c>
      <c r="L886" s="1">
        <f t="shared" si="70"/>
        <v>20.464566390210265</v>
      </c>
      <c r="N886">
        <f>I886</f>
        <v>538200.92230319546</v>
      </c>
      <c r="O886" s="1">
        <f>SUM(K$2:K886)/$G$3</f>
        <v>0.1407105087288385</v>
      </c>
      <c r="P886" s="1">
        <f>SUM(L$2:L886)/$G$3</f>
        <v>0.15401881636049725</v>
      </c>
      <c r="Q886" s="1">
        <f t="shared" si="66"/>
        <v>140.71050872883851</v>
      </c>
      <c r="R886" s="1">
        <f t="shared" si="67"/>
        <v>154.01881636049725</v>
      </c>
    </row>
    <row r="887" spans="1:18" x14ac:dyDescent="0.35">
      <c r="A887">
        <v>6.2361217866904797</v>
      </c>
      <c r="B887">
        <v>7.0460018976479999</v>
      </c>
      <c r="C887">
        <v>7.1877434777985103</v>
      </c>
      <c r="I887" s="1">
        <f t="shared" si="68"/>
        <v>538800.92237005744</v>
      </c>
      <c r="J887">
        <f t="shared" si="69"/>
        <v>600.00006686197594</v>
      </c>
      <c r="K887" s="1">
        <f t="shared" si="70"/>
        <v>19.869727565582526</v>
      </c>
      <c r="L887" s="1">
        <f t="shared" si="70"/>
        <v>20.269438866149439</v>
      </c>
      <c r="N887">
        <f>I887</f>
        <v>538800.92237005744</v>
      </c>
      <c r="O887" s="1">
        <f>SUM(K$2:K887)/$G$3</f>
        <v>0.14091644465220049</v>
      </c>
      <c r="P887" s="1">
        <f>SUM(L$2:L887)/$G$3</f>
        <v>0.15422889501382314</v>
      </c>
      <c r="Q887" s="1">
        <f t="shared" si="66"/>
        <v>140.91644465220048</v>
      </c>
      <c r="R887" s="1">
        <f t="shared" si="67"/>
        <v>154.22889501382315</v>
      </c>
    </row>
    <row r="888" spans="1:18" x14ac:dyDescent="0.35">
      <c r="A888">
        <v>6.24306623190878</v>
      </c>
      <c r="B888">
        <v>7.0049135597613201</v>
      </c>
      <c r="C888">
        <v>7.0946185354062798</v>
      </c>
      <c r="I888" s="1">
        <f t="shared" si="68"/>
        <v>539400.9224369186</v>
      </c>
      <c r="J888">
        <f t="shared" si="69"/>
        <v>600.00006686116103</v>
      </c>
      <c r="K888" s="1">
        <f t="shared" si="70"/>
        <v>19.753858439803196</v>
      </c>
      <c r="L888" s="1">
        <f t="shared" si="70"/>
        <v>20.006826499311543</v>
      </c>
      <c r="N888">
        <f>I888</f>
        <v>539400.9224369186</v>
      </c>
      <c r="O888" s="1">
        <f>SUM(K$2:K888)/$G$3</f>
        <v>0.14112117967256432</v>
      </c>
      <c r="P888" s="1">
        <f>SUM(L$2:L888)/$G$3</f>
        <v>0.15443625187239507</v>
      </c>
      <c r="Q888" s="1">
        <f t="shared" si="66"/>
        <v>141.12117967256432</v>
      </c>
      <c r="R888" s="1">
        <f t="shared" si="67"/>
        <v>154.43625187239508</v>
      </c>
    </row>
    <row r="889" spans="1:18" x14ac:dyDescent="0.35">
      <c r="A889">
        <v>6.25001067712709</v>
      </c>
      <c r="B889">
        <v>6.95815217823883</v>
      </c>
      <c r="C889">
        <v>7.0001461206508599</v>
      </c>
      <c r="I889" s="1">
        <f t="shared" si="68"/>
        <v>540000.92250378057</v>
      </c>
      <c r="J889">
        <f t="shared" si="69"/>
        <v>600.00006686197594</v>
      </c>
      <c r="K889" s="1">
        <f t="shared" si="70"/>
        <v>19.621991329241776</v>
      </c>
      <c r="L889" s="1">
        <f t="shared" si="70"/>
        <v>19.74041426004035</v>
      </c>
      <c r="N889">
        <f>I889</f>
        <v>540000.92250378057</v>
      </c>
      <c r="O889" s="1">
        <f>SUM(K$2:K889)/$G$3</f>
        <v>0.14132454798193098</v>
      </c>
      <c r="P889" s="1">
        <f>SUM(L$2:L889)/$G$3</f>
        <v>0.15464084755317489</v>
      </c>
      <c r="Q889" s="1">
        <f t="shared" si="66"/>
        <v>141.32454798193098</v>
      </c>
      <c r="R889" s="1">
        <f t="shared" si="67"/>
        <v>154.64084755317489</v>
      </c>
    </row>
    <row r="890" spans="1:18" x14ac:dyDescent="0.35">
      <c r="A890">
        <v>6.2569551223453903</v>
      </c>
      <c r="B890">
        <v>6.9094161612040601</v>
      </c>
      <c r="C890">
        <v>6.92820022217618</v>
      </c>
      <c r="I890" s="1">
        <f t="shared" si="68"/>
        <v>540600.92257064173</v>
      </c>
      <c r="J890">
        <f t="shared" si="69"/>
        <v>600.00006686116103</v>
      </c>
      <c r="K890" s="1">
        <f t="shared" si="70"/>
        <v>19.484555745861908</v>
      </c>
      <c r="L890" s="1">
        <f t="shared" si="70"/>
        <v>19.537526803706129</v>
      </c>
      <c r="N890">
        <f>I890</f>
        <v>540600.92257064173</v>
      </c>
      <c r="O890" s="1">
        <f>SUM(K$2:K890)/$G$3</f>
        <v>0.14152649186694793</v>
      </c>
      <c r="P890" s="1">
        <f>SUM(L$2:L890)/$G$3</f>
        <v>0.15484334044640913</v>
      </c>
      <c r="Q890" s="1">
        <f t="shared" si="66"/>
        <v>141.52649186694794</v>
      </c>
      <c r="R890" s="1">
        <f t="shared" si="67"/>
        <v>154.84334044640912</v>
      </c>
    </row>
    <row r="891" spans="1:18" x14ac:dyDescent="0.35">
      <c r="A891">
        <v>6.2638995675636897</v>
      </c>
      <c r="B891">
        <v>6.86370574838734</v>
      </c>
      <c r="C891">
        <v>6.8469712044339799</v>
      </c>
      <c r="I891" s="1">
        <f t="shared" si="68"/>
        <v>541200.92263750278</v>
      </c>
      <c r="J891">
        <f t="shared" si="69"/>
        <v>600.00006686104462</v>
      </c>
      <c r="K891" s="1">
        <f t="shared" si="70"/>
        <v>19.355652367350618</v>
      </c>
      <c r="L891" s="1">
        <f t="shared" si="70"/>
        <v>19.308460948143367</v>
      </c>
      <c r="N891">
        <f>I891</f>
        <v>541200.92263750278</v>
      </c>
      <c r="O891" s="1">
        <f>SUM(K$2:K891)/$G$3</f>
        <v>0.14172709975799161</v>
      </c>
      <c r="P891" s="1">
        <f>SUM(L$2:L891)/$G$3</f>
        <v>0.15504345923117507</v>
      </c>
      <c r="Q891" s="1">
        <f t="shared" si="66"/>
        <v>141.7270997579916</v>
      </c>
      <c r="R891" s="1">
        <f t="shared" si="67"/>
        <v>155.04345923117506</v>
      </c>
    </row>
    <row r="892" spans="1:18" x14ac:dyDescent="0.35">
      <c r="A892">
        <v>6.2708440127819998</v>
      </c>
      <c r="B892">
        <v>6.8238682265731603</v>
      </c>
      <c r="C892">
        <v>6.7646544110526499</v>
      </c>
      <c r="I892" s="1">
        <f t="shared" si="68"/>
        <v>541800.92270436476</v>
      </c>
      <c r="J892">
        <f t="shared" si="69"/>
        <v>600.00006686197594</v>
      </c>
      <c r="K892" s="1">
        <f t="shared" si="70"/>
        <v>19.243310543345682</v>
      </c>
      <c r="L892" s="1">
        <f t="shared" si="70"/>
        <v>19.076327564969827</v>
      </c>
      <c r="N892">
        <f>I892</f>
        <v>541800.92270436476</v>
      </c>
      <c r="O892" s="1">
        <f>SUM(K$2:K892)/$G$3</f>
        <v>0.14192654330406973</v>
      </c>
      <c r="P892" s="1">
        <f>SUM(L$2:L892)/$G$3</f>
        <v>0.15524117211467997</v>
      </c>
      <c r="Q892" s="1">
        <f t="shared" si="66"/>
        <v>141.92654330406972</v>
      </c>
      <c r="R892" s="1">
        <f t="shared" si="67"/>
        <v>155.24117211467998</v>
      </c>
    </row>
    <row r="893" spans="1:18" x14ac:dyDescent="0.35">
      <c r="A893">
        <v>6.2777884580003001</v>
      </c>
      <c r="B893">
        <v>6.7812983801253202</v>
      </c>
      <c r="C893">
        <v>6.6695057394000203</v>
      </c>
      <c r="I893" s="1">
        <f t="shared" si="68"/>
        <v>542400.92277122592</v>
      </c>
      <c r="J893">
        <f t="shared" si="69"/>
        <v>600.00006686116103</v>
      </c>
      <c r="K893" s="1">
        <f t="shared" si="70"/>
        <v>19.123263562959174</v>
      </c>
      <c r="L893" s="1">
        <f t="shared" si="70"/>
        <v>18.808008280983273</v>
      </c>
      <c r="N893">
        <f>I893</f>
        <v>542400.92277122592</v>
      </c>
      <c r="O893" s="1">
        <f>SUM(K$2:K893)/$G$3</f>
        <v>0.14212474264658886</v>
      </c>
      <c r="P893" s="1">
        <f>SUM(L$2:L893)/$G$3</f>
        <v>0.15543610405519906</v>
      </c>
      <c r="Q893" s="1">
        <f t="shared" si="66"/>
        <v>142.12474264658886</v>
      </c>
      <c r="R893" s="1">
        <f t="shared" si="67"/>
        <v>155.43610405519905</v>
      </c>
    </row>
    <row r="894" spans="1:18" x14ac:dyDescent="0.35">
      <c r="A894">
        <v>6.2847329032186101</v>
      </c>
      <c r="B894">
        <v>6.7342802386198501</v>
      </c>
      <c r="C894">
        <v>6.5944255929976903</v>
      </c>
      <c r="I894" s="1">
        <f t="shared" si="68"/>
        <v>543000.92283808789</v>
      </c>
      <c r="J894">
        <f t="shared" si="69"/>
        <v>600.00006686197594</v>
      </c>
      <c r="K894" s="1">
        <f t="shared" si="70"/>
        <v>18.99067238916421</v>
      </c>
      <c r="L894" s="1">
        <f t="shared" si="70"/>
        <v>18.596282244560218</v>
      </c>
      <c r="N894">
        <f>I894</f>
        <v>543000.92283808789</v>
      </c>
      <c r="O894" s="1">
        <f>SUM(K$2:K894)/$G$3</f>
        <v>0.14232156777369839</v>
      </c>
      <c r="P894" s="1">
        <f>SUM(L$2:L894)/$G$3</f>
        <v>0.15562884160242982</v>
      </c>
      <c r="Q894" s="1">
        <f t="shared" si="66"/>
        <v>142.3215677736984</v>
      </c>
      <c r="R894" s="1">
        <f t="shared" si="67"/>
        <v>155.62884160242982</v>
      </c>
    </row>
    <row r="895" spans="1:18" x14ac:dyDescent="0.35">
      <c r="A895">
        <v>6.2916773484369104</v>
      </c>
      <c r="B895">
        <v>6.6898133867418101</v>
      </c>
      <c r="C895">
        <v>6.5140268860104102</v>
      </c>
      <c r="I895" s="1">
        <f t="shared" si="68"/>
        <v>543600.92290494905</v>
      </c>
      <c r="J895">
        <f t="shared" si="69"/>
        <v>600.00006686116103</v>
      </c>
      <c r="K895" s="1">
        <f t="shared" si="70"/>
        <v>18.865275852868749</v>
      </c>
      <c r="L895" s="1">
        <f t="shared" si="70"/>
        <v>18.369557865565742</v>
      </c>
      <c r="N895">
        <f>I895</f>
        <v>543600.92290494905</v>
      </c>
      <c r="O895" s="1">
        <f>SUM(K$2:K895)/$G$3</f>
        <v>0.14251709325281814</v>
      </c>
      <c r="P895" s="1">
        <f>SUM(L$2:L895)/$G$3</f>
        <v>0.15581922930897038</v>
      </c>
      <c r="Q895" s="1">
        <f t="shared" si="66"/>
        <v>142.51709325281814</v>
      </c>
      <c r="R895" s="1">
        <f t="shared" si="67"/>
        <v>155.81922930897039</v>
      </c>
    </row>
    <row r="896" spans="1:18" x14ac:dyDescent="0.35">
      <c r="A896">
        <v>6.2986217936552196</v>
      </c>
      <c r="B896">
        <v>6.6424421766037698</v>
      </c>
      <c r="C896">
        <v>6.4471627718828497</v>
      </c>
      <c r="I896" s="1">
        <f t="shared" si="68"/>
        <v>544200.92297181091</v>
      </c>
      <c r="J896">
        <f t="shared" si="69"/>
        <v>600.00006686185952</v>
      </c>
      <c r="K896" s="1">
        <f t="shared" si="70"/>
        <v>18.731689025415001</v>
      </c>
      <c r="L896" s="1">
        <f t="shared" si="70"/>
        <v>18.181001042735307</v>
      </c>
      <c r="N896">
        <f>I896</f>
        <v>544200.92297181091</v>
      </c>
      <c r="O896" s="1">
        <f>SUM(K$2:K896)/$G$3</f>
        <v>0.14271123419726978</v>
      </c>
      <c r="P896" s="1">
        <f>SUM(L$2:L896)/$G$3</f>
        <v>0.15600766275502662</v>
      </c>
      <c r="Q896" s="1">
        <f t="shared" si="66"/>
        <v>142.71123419726979</v>
      </c>
      <c r="R896" s="1">
        <f t="shared" si="67"/>
        <v>156.00766275502662</v>
      </c>
    </row>
    <row r="897" spans="1:18" x14ac:dyDescent="0.35">
      <c r="A897">
        <v>6.3055662388735199</v>
      </c>
      <c r="B897">
        <v>6.59575090093775</v>
      </c>
      <c r="C897">
        <v>6.3573880068973896</v>
      </c>
      <c r="I897" s="1">
        <f t="shared" si="68"/>
        <v>544800.92303867207</v>
      </c>
      <c r="J897">
        <f t="shared" si="69"/>
        <v>600.00006686116103</v>
      </c>
      <c r="K897" s="1">
        <f t="shared" si="70"/>
        <v>18.600019613342404</v>
      </c>
      <c r="L897" s="1">
        <f t="shared" si="70"/>
        <v>17.927836177243652</v>
      </c>
      <c r="N897">
        <f>I897</f>
        <v>544800.92303867207</v>
      </c>
      <c r="O897" s="1">
        <f>SUM(K$2:K897)/$G$3</f>
        <v>0.14290401047973172</v>
      </c>
      <c r="P897" s="1">
        <f>SUM(L$2:L897)/$G$3</f>
        <v>0.15619347232311742</v>
      </c>
      <c r="Q897" s="1">
        <f t="shared" si="66"/>
        <v>142.90401047973174</v>
      </c>
      <c r="R897" s="1">
        <f t="shared" si="67"/>
        <v>156.19347232311742</v>
      </c>
    </row>
    <row r="898" spans="1:18" x14ac:dyDescent="0.35">
      <c r="A898">
        <v>6.3125106840918299</v>
      </c>
      <c r="B898">
        <v>6.5463169712913398</v>
      </c>
      <c r="C898">
        <v>6.2871388194077698</v>
      </c>
      <c r="I898" s="1">
        <f t="shared" si="68"/>
        <v>545400.92310553405</v>
      </c>
      <c r="J898">
        <f t="shared" si="69"/>
        <v>600.00006686197594</v>
      </c>
      <c r="K898" s="1">
        <f t="shared" si="70"/>
        <v>18.460615916230111</v>
      </c>
      <c r="L898" s="1">
        <f t="shared" si="70"/>
        <v>17.729733446471375</v>
      </c>
      <c r="N898">
        <f>I898</f>
        <v>545400.92310553405</v>
      </c>
      <c r="O898" s="1">
        <f>SUM(K$2:K898)/$G$3</f>
        <v>0.14309534193971235</v>
      </c>
      <c r="P898" s="1">
        <f>SUM(L$2:L898)/$G$3</f>
        <v>0.15637722869401935</v>
      </c>
      <c r="Q898" s="1">
        <f t="shared" ref="Q898:Q961" si="71">O898*1000</f>
        <v>143.09534193971234</v>
      </c>
      <c r="R898" s="1">
        <f t="shared" ref="R898:R961" si="72">P898*1000</f>
        <v>156.37722869401935</v>
      </c>
    </row>
    <row r="899" spans="1:18" x14ac:dyDescent="0.35">
      <c r="A899">
        <v>6.3194551293101302</v>
      </c>
      <c r="B899">
        <v>6.4965592008701396</v>
      </c>
      <c r="C899">
        <v>6.2125164270743101</v>
      </c>
      <c r="I899" s="1">
        <f t="shared" ref="I899:I962" si="73">A899*86400</f>
        <v>546000.92317239521</v>
      </c>
      <c r="J899">
        <f t="shared" si="69"/>
        <v>600.00006686116103</v>
      </c>
      <c r="K899" s="1">
        <f t="shared" si="70"/>
        <v>18.320298987981001</v>
      </c>
      <c r="L899" s="1">
        <f t="shared" si="70"/>
        <v>17.519298276617043</v>
      </c>
      <c r="N899">
        <f>I899</f>
        <v>546000.92317239521</v>
      </c>
      <c r="O899" s="1">
        <f>SUM(K$2:K899)/$G$3</f>
        <v>0.14328521911220529</v>
      </c>
      <c r="P899" s="1">
        <f>SUM(L$2:L899)/$G$3</f>
        <v>0.15655880405056821</v>
      </c>
      <c r="Q899" s="1">
        <f t="shared" si="71"/>
        <v>143.28521911220528</v>
      </c>
      <c r="R899" s="1">
        <f t="shared" si="72"/>
        <v>156.5588040505682</v>
      </c>
    </row>
    <row r="900" spans="1:18" x14ac:dyDescent="0.35">
      <c r="A900">
        <v>6.3263995745284296</v>
      </c>
      <c r="B900">
        <v>6.4507078927787198</v>
      </c>
      <c r="C900">
        <v>6.1556292489494</v>
      </c>
      <c r="I900" s="1">
        <f t="shared" si="73"/>
        <v>546600.92323925637</v>
      </c>
      <c r="J900">
        <f t="shared" si="69"/>
        <v>600.00006686116103</v>
      </c>
      <c r="K900" s="1">
        <f t="shared" si="70"/>
        <v>18.190998284754542</v>
      </c>
      <c r="L900" s="1">
        <f t="shared" si="70"/>
        <v>17.358876416428146</v>
      </c>
      <c r="N900">
        <f>I900</f>
        <v>546600.92323925637</v>
      </c>
      <c r="O900" s="1">
        <f>SUM(K$2:K900)/$G$3</f>
        <v>0.14347375617273028</v>
      </c>
      <c r="P900" s="1">
        <f>SUM(L$2:L900)/$G$3</f>
        <v>0.15673871674597609</v>
      </c>
      <c r="Q900" s="1">
        <f t="shared" si="71"/>
        <v>143.47375617273028</v>
      </c>
      <c r="R900" s="1">
        <f t="shared" si="72"/>
        <v>156.73871674597609</v>
      </c>
    </row>
    <row r="901" spans="1:18" x14ac:dyDescent="0.35">
      <c r="A901">
        <v>6.3333440197467397</v>
      </c>
      <c r="B901">
        <v>6.40119609187159</v>
      </c>
      <c r="C901">
        <v>6.0743209302865804</v>
      </c>
      <c r="I901" s="1">
        <f t="shared" si="73"/>
        <v>547200.92330611835</v>
      </c>
      <c r="J901">
        <f t="shared" si="69"/>
        <v>600.00006686197594</v>
      </c>
      <c r="K901" s="1">
        <f t="shared" si="70"/>
        <v>18.051374990661994</v>
      </c>
      <c r="L901" s="1">
        <f t="shared" si="70"/>
        <v>17.129586932271327</v>
      </c>
      <c r="N901">
        <f>I901</f>
        <v>547200.92330611835</v>
      </c>
      <c r="O901" s="1">
        <f>SUM(K$2:K901)/$G$3</f>
        <v>0.14366084613480379</v>
      </c>
      <c r="P901" s="1">
        <f>SUM(L$2:L901)/$G$3</f>
        <v>0.15691625301516063</v>
      </c>
      <c r="Q901" s="1">
        <f t="shared" si="71"/>
        <v>143.66084613480379</v>
      </c>
      <c r="R901" s="1">
        <f t="shared" si="72"/>
        <v>156.91625301516063</v>
      </c>
    </row>
    <row r="902" spans="1:18" x14ac:dyDescent="0.35">
      <c r="A902">
        <v>6.3402884649650399</v>
      </c>
      <c r="B902">
        <v>6.3501852312485498</v>
      </c>
      <c r="C902">
        <v>6.0028057822227696</v>
      </c>
      <c r="I902" s="1">
        <f t="shared" si="73"/>
        <v>547800.92337297951</v>
      </c>
      <c r="J902">
        <f t="shared" ref="J902:J965" si="74">I902-I901</f>
        <v>600.00006686116103</v>
      </c>
      <c r="K902" s="1">
        <f t="shared" si="70"/>
        <v>17.907524347650472</v>
      </c>
      <c r="L902" s="1">
        <f t="shared" si="70"/>
        <v>16.927914192234663</v>
      </c>
      <c r="N902">
        <f>I902</f>
        <v>547800.92337297951</v>
      </c>
      <c r="O902" s="1">
        <f>SUM(K$2:K902)/$G$3</f>
        <v>0.14384644518489084</v>
      </c>
      <c r="P902" s="1">
        <f>SUM(L$2:L902)/$G$3</f>
        <v>0.15709169908649021</v>
      </c>
      <c r="Q902" s="1">
        <f t="shared" si="71"/>
        <v>143.84644518489085</v>
      </c>
      <c r="R902" s="1">
        <f t="shared" si="72"/>
        <v>157.09169908649019</v>
      </c>
    </row>
    <row r="903" spans="1:18" x14ac:dyDescent="0.35">
      <c r="A903">
        <v>6.34723291018335</v>
      </c>
      <c r="B903">
        <v>6.2958076989512302</v>
      </c>
      <c r="C903">
        <v>5.9426439960863</v>
      </c>
      <c r="I903" s="1">
        <f t="shared" si="73"/>
        <v>548400.92343984148</v>
      </c>
      <c r="J903">
        <f t="shared" si="74"/>
        <v>600.00006686197594</v>
      </c>
      <c r="K903" s="1">
        <f t="shared" si="70"/>
        <v>17.754179689508142</v>
      </c>
      <c r="L903" s="1">
        <f t="shared" si="70"/>
        <v>16.758257936446888</v>
      </c>
      <c r="N903">
        <f>I903</f>
        <v>548400.92343984148</v>
      </c>
      <c r="O903" s="1">
        <f>SUM(K$2:K903)/$G$3</f>
        <v>0.14403045492411984</v>
      </c>
      <c r="P903" s="1">
        <f>SUM(L$2:L903)/$G$3</f>
        <v>0.15726538678858323</v>
      </c>
      <c r="Q903" s="1">
        <f t="shared" si="71"/>
        <v>144.03045492411985</v>
      </c>
      <c r="R903" s="1">
        <f t="shared" si="72"/>
        <v>157.26538678858324</v>
      </c>
    </row>
    <row r="904" spans="1:18" x14ac:dyDescent="0.35">
      <c r="A904">
        <v>6.3541773554016503</v>
      </c>
      <c r="B904">
        <v>6.2442599911469197</v>
      </c>
      <c r="C904">
        <v>5.8671054113226999</v>
      </c>
      <c r="I904" s="1">
        <f t="shared" si="73"/>
        <v>549000.92350670253</v>
      </c>
      <c r="J904">
        <f t="shared" si="74"/>
        <v>600.00006686104462</v>
      </c>
      <c r="K904" s="1">
        <f t="shared" si="70"/>
        <v>17.608815137273719</v>
      </c>
      <c r="L904" s="1">
        <f t="shared" si="70"/>
        <v>16.545239103649759</v>
      </c>
      <c r="N904">
        <f>I904</f>
        <v>549000.92350670253</v>
      </c>
      <c r="O904" s="1">
        <f>SUM(K$2:K904)/$G$3</f>
        <v>0.14421295806074494</v>
      </c>
      <c r="P904" s="1">
        <f>SUM(L$2:L904)/$G$3</f>
        <v>0.15743686669845161</v>
      </c>
      <c r="Q904" s="1">
        <f t="shared" si="71"/>
        <v>144.21295806074494</v>
      </c>
      <c r="R904" s="1">
        <f t="shared" si="72"/>
        <v>157.43686669845161</v>
      </c>
    </row>
    <row r="905" spans="1:18" x14ac:dyDescent="0.35">
      <c r="A905">
        <v>6.3611218006199604</v>
      </c>
      <c r="B905">
        <v>6.2038959881871101</v>
      </c>
      <c r="C905">
        <v>5.8060136942135498</v>
      </c>
      <c r="I905" s="1">
        <f t="shared" si="73"/>
        <v>549600.92357356462</v>
      </c>
      <c r="J905">
        <f t="shared" si="74"/>
        <v>600.00006686209235</v>
      </c>
      <c r="K905" s="1">
        <f t="shared" si="70"/>
        <v>17.494988636273344</v>
      </c>
      <c r="L905" s="1">
        <f t="shared" si="70"/>
        <v>16.372960442232664</v>
      </c>
      <c r="N905">
        <f>I905</f>
        <v>549600.92357356462</v>
      </c>
      <c r="O905" s="1">
        <f>SUM(K$2:K905)/$G$3</f>
        <v>0.14439428146475874</v>
      </c>
      <c r="P905" s="1">
        <f>SUM(L$2:L905)/$G$3</f>
        <v>0.1576065610596708</v>
      </c>
      <c r="Q905" s="1">
        <f t="shared" si="71"/>
        <v>144.39428146475873</v>
      </c>
      <c r="R905" s="1">
        <f t="shared" si="72"/>
        <v>157.60656105967081</v>
      </c>
    </row>
    <row r="906" spans="1:18" x14ac:dyDescent="0.35">
      <c r="A906">
        <v>6.3680662458382598</v>
      </c>
      <c r="B906">
        <v>6.1609015723269396</v>
      </c>
      <c r="C906">
        <v>5.7336798543458203</v>
      </c>
      <c r="I906" s="1">
        <f t="shared" si="73"/>
        <v>550200.92364042567</v>
      </c>
      <c r="J906">
        <f t="shared" si="74"/>
        <v>600.00006686104462</v>
      </c>
      <c r="K906" s="1">
        <f t="shared" si="70"/>
        <v>17.37374437000625</v>
      </c>
      <c r="L906" s="1">
        <f t="shared" si="70"/>
        <v>16.168978991046387</v>
      </c>
      <c r="N906">
        <f>I906</f>
        <v>550200.92364042567</v>
      </c>
      <c r="O906" s="1">
        <f>SUM(K$2:K906)/$G$3</f>
        <v>0.14457434825617718</v>
      </c>
      <c r="P906" s="1">
        <f>SUM(L$2:L906)/$G$3</f>
        <v>0.15777414129484774</v>
      </c>
      <c r="Q906" s="1">
        <f t="shared" si="71"/>
        <v>144.57434825617719</v>
      </c>
      <c r="R906" s="1">
        <f t="shared" si="72"/>
        <v>157.77414129484774</v>
      </c>
    </row>
    <row r="907" spans="1:18" x14ac:dyDescent="0.35">
      <c r="A907">
        <v>6.3750106910565698</v>
      </c>
      <c r="B907">
        <v>6.1105227577072299</v>
      </c>
      <c r="C907">
        <v>5.6760692482146702</v>
      </c>
      <c r="I907" s="1">
        <f t="shared" si="73"/>
        <v>550800.92370728764</v>
      </c>
      <c r="J907">
        <f t="shared" si="74"/>
        <v>600.00006686197594</v>
      </c>
      <c r="K907" s="1">
        <f t="shared" si="70"/>
        <v>17.231676096974031</v>
      </c>
      <c r="L907" s="1">
        <f t="shared" si="70"/>
        <v>16.006517063677435</v>
      </c>
      <c r="N907">
        <f>I907</f>
        <v>550800.92370728764</v>
      </c>
      <c r="O907" s="1">
        <f>SUM(K$2:K907)/$G$3</f>
        <v>0.14475294260863583</v>
      </c>
      <c r="P907" s="1">
        <f>SUM(L$2:L907)/$G$3</f>
        <v>0.15794003772500453</v>
      </c>
      <c r="Q907" s="1">
        <f t="shared" si="71"/>
        <v>144.75294260863583</v>
      </c>
      <c r="R907" s="1">
        <f t="shared" si="72"/>
        <v>157.94003772500454</v>
      </c>
    </row>
    <row r="908" spans="1:18" x14ac:dyDescent="0.35">
      <c r="A908">
        <v>6.3819551362748701</v>
      </c>
      <c r="B908">
        <v>6.0532466806516396</v>
      </c>
      <c r="C908">
        <v>5.5979451409284202</v>
      </c>
      <c r="I908" s="1">
        <f t="shared" si="73"/>
        <v>551400.9237741488</v>
      </c>
      <c r="J908">
        <f t="shared" si="74"/>
        <v>600.00006686116103</v>
      </c>
      <c r="K908" s="1">
        <f t="shared" si="70"/>
        <v>17.070157541655</v>
      </c>
      <c r="L908" s="1">
        <f t="shared" si="70"/>
        <v>15.786207056558171</v>
      </c>
      <c r="N908">
        <f>I908</f>
        <v>551400.9237741488</v>
      </c>
      <c r="O908" s="1">
        <f>SUM(K$2:K908)/$G$3</f>
        <v>0.14492986293347032</v>
      </c>
      <c r="P908" s="1">
        <f>SUM(L$2:L908)/$G$3</f>
        <v>0.15810365079497973</v>
      </c>
      <c r="Q908" s="1">
        <f t="shared" si="71"/>
        <v>144.92986293347033</v>
      </c>
      <c r="R908" s="1">
        <f t="shared" si="72"/>
        <v>158.10365079497973</v>
      </c>
    </row>
    <row r="909" spans="1:18" x14ac:dyDescent="0.35">
      <c r="A909">
        <v>6.3888995814931802</v>
      </c>
      <c r="B909">
        <v>5.9990882892056199</v>
      </c>
      <c r="C909">
        <v>5.5469568852733397</v>
      </c>
      <c r="I909" s="1">
        <f t="shared" si="73"/>
        <v>552000.92384101078</v>
      </c>
      <c r="J909">
        <f t="shared" si="74"/>
        <v>600.00006686197594</v>
      </c>
      <c r="K909" s="1">
        <f t="shared" si="70"/>
        <v>16.917430860781064</v>
      </c>
      <c r="L909" s="1">
        <f t="shared" si="70"/>
        <v>15.642420159609157</v>
      </c>
      <c r="N909">
        <f>I909</f>
        <v>552000.92384101078</v>
      </c>
      <c r="O909" s="1">
        <f>SUM(K$2:K909)/$G$3</f>
        <v>0.14510520035235183</v>
      </c>
      <c r="P909" s="1">
        <f>SUM(L$2:L909)/$G$3</f>
        <v>0.15826577361365218</v>
      </c>
      <c r="Q909" s="1">
        <f t="shared" si="71"/>
        <v>145.10520035235183</v>
      </c>
      <c r="R909" s="1">
        <f t="shared" si="72"/>
        <v>158.26577361365219</v>
      </c>
    </row>
    <row r="910" spans="1:18" x14ac:dyDescent="0.35">
      <c r="A910">
        <v>6.3958440267114796</v>
      </c>
      <c r="B910">
        <v>5.94316910875252</v>
      </c>
      <c r="C910">
        <v>5.4814580259516799</v>
      </c>
      <c r="I910" s="1">
        <f t="shared" si="73"/>
        <v>552600.92390787182</v>
      </c>
      <c r="J910">
        <f t="shared" si="74"/>
        <v>600.00006686104462</v>
      </c>
      <c r="K910" s="1">
        <f t="shared" si="70"/>
        <v>16.759738754304632</v>
      </c>
      <c r="L910" s="1">
        <f t="shared" si="70"/>
        <v>15.457713355714985</v>
      </c>
      <c r="N910">
        <f>I910</f>
        <v>552600.92390787182</v>
      </c>
      <c r="O910" s="1">
        <f>SUM(K$2:K910)/$G$3</f>
        <v>0.14527890340209329</v>
      </c>
      <c r="P910" s="1">
        <f>SUM(L$2:L910)/$G$3</f>
        <v>0.15842598207461206</v>
      </c>
      <c r="Q910" s="1">
        <f t="shared" si="71"/>
        <v>145.27890340209328</v>
      </c>
      <c r="R910" s="1">
        <f t="shared" si="72"/>
        <v>158.42598207461205</v>
      </c>
    </row>
    <row r="911" spans="1:18" x14ac:dyDescent="0.35">
      <c r="A911">
        <v>6.4027884719297798</v>
      </c>
      <c r="B911">
        <v>5.8889259093310704</v>
      </c>
      <c r="C911">
        <v>5.4180504147678699</v>
      </c>
      <c r="I911" s="1">
        <f t="shared" si="73"/>
        <v>553200.92397473298</v>
      </c>
      <c r="J911">
        <f t="shared" si="74"/>
        <v>600.00006686116103</v>
      </c>
      <c r="K911" s="1">
        <f t="shared" si="70"/>
        <v>16.606772914893607</v>
      </c>
      <c r="L911" s="1">
        <f t="shared" si="70"/>
        <v>15.278903872253958</v>
      </c>
      <c r="N911">
        <f>I911</f>
        <v>553200.92397473298</v>
      </c>
      <c r="O911" s="1">
        <f>SUM(K$2:K911)/$G$3</f>
        <v>0.14545102106716967</v>
      </c>
      <c r="P911" s="1">
        <f>SUM(L$2:L911)/$G$3</f>
        <v>0.15858433729948901</v>
      </c>
      <c r="Q911" s="1">
        <f t="shared" si="71"/>
        <v>145.45102106716968</v>
      </c>
      <c r="R911" s="1">
        <f t="shared" si="72"/>
        <v>158.58433729948902</v>
      </c>
    </row>
    <row r="912" spans="1:18" x14ac:dyDescent="0.35">
      <c r="A912">
        <v>6.4097329171480899</v>
      </c>
      <c r="B912">
        <v>5.8307283420902802</v>
      </c>
      <c r="C912">
        <v>5.3591195604698596</v>
      </c>
      <c r="I912" s="1">
        <f t="shared" si="73"/>
        <v>553800.92404159496</v>
      </c>
      <c r="J912">
        <f t="shared" si="74"/>
        <v>600.00006686197594</v>
      </c>
      <c r="K912" s="1">
        <f t="shared" si="70"/>
        <v>16.442655757008474</v>
      </c>
      <c r="L912" s="1">
        <f t="shared" si="70"/>
        <v>15.112718844635223</v>
      </c>
      <c r="N912">
        <f>I912</f>
        <v>553800.92404159496</v>
      </c>
      <c r="O912" s="1">
        <f>SUM(K$2:K912)/$G$3</f>
        <v>0.14562143777191142</v>
      </c>
      <c r="P912" s="1">
        <f>SUM(L$2:L912)/$G$3</f>
        <v>0.15874097013199806</v>
      </c>
      <c r="Q912" s="1">
        <f t="shared" si="71"/>
        <v>145.62143777191142</v>
      </c>
      <c r="R912" s="1">
        <f t="shared" si="72"/>
        <v>158.74097013199807</v>
      </c>
    </row>
    <row r="913" spans="1:18" x14ac:dyDescent="0.35">
      <c r="A913">
        <v>6.4166773623663902</v>
      </c>
      <c r="B913">
        <v>5.7741990929219096</v>
      </c>
      <c r="C913">
        <v>5.2933755727671796</v>
      </c>
      <c r="I913" s="1">
        <f t="shared" si="73"/>
        <v>554400.92410845612</v>
      </c>
      <c r="J913">
        <f t="shared" si="74"/>
        <v>600.00006686116103</v>
      </c>
      <c r="K913" s="1">
        <f t="shared" si="70"/>
        <v>16.283243256567165</v>
      </c>
      <c r="L913" s="1">
        <f t="shared" si="70"/>
        <v>14.927320778633257</v>
      </c>
      <c r="N913">
        <f>I913</f>
        <v>554400.92410845612</v>
      </c>
      <c r="O913" s="1">
        <f>SUM(K$2:K913)/$G$3</f>
        <v>0.14579020227682479</v>
      </c>
      <c r="P913" s="1">
        <f>SUM(L$2:L913)/$G$3</f>
        <v>0.15889568144234301</v>
      </c>
      <c r="Q913" s="1">
        <f t="shared" si="71"/>
        <v>145.7902022768248</v>
      </c>
      <c r="R913" s="1">
        <f t="shared" si="72"/>
        <v>158.895681442343</v>
      </c>
    </row>
    <row r="914" spans="1:18" x14ac:dyDescent="0.35">
      <c r="A914">
        <v>6.4236218075847002</v>
      </c>
      <c r="B914">
        <v>5.71577138565151</v>
      </c>
      <c r="C914">
        <v>5.2421908031545401</v>
      </c>
      <c r="I914" s="1">
        <f t="shared" si="73"/>
        <v>555000.9241753181</v>
      </c>
      <c r="J914">
        <f t="shared" si="74"/>
        <v>600.00006686197594</v>
      </c>
      <c r="K914" s="1">
        <f t="shared" si="70"/>
        <v>16.118477103725773</v>
      </c>
      <c r="L914" s="1">
        <f t="shared" si="70"/>
        <v>14.78297971226101</v>
      </c>
      <c r="N914">
        <f>I914</f>
        <v>555000.9241753181</v>
      </c>
      <c r="O914" s="1">
        <f>SUM(K$2:K914)/$G$3</f>
        <v>0.14595725909502166</v>
      </c>
      <c r="P914" s="1">
        <f>SUM(L$2:L914)/$G$3</f>
        <v>0.15904889675780409</v>
      </c>
      <c r="Q914" s="1">
        <f t="shared" si="71"/>
        <v>145.95725909502167</v>
      </c>
      <c r="R914" s="1">
        <f t="shared" si="72"/>
        <v>159.0488967578041</v>
      </c>
    </row>
    <row r="915" spans="1:18" x14ac:dyDescent="0.35">
      <c r="A915">
        <v>6.4305662528029996</v>
      </c>
      <c r="B915">
        <v>5.6519174387585203</v>
      </c>
      <c r="C915">
        <v>5.1796915949459601</v>
      </c>
      <c r="I915" s="1">
        <f t="shared" si="73"/>
        <v>555600.92424217914</v>
      </c>
      <c r="J915">
        <f t="shared" si="74"/>
        <v>600.00006686104462</v>
      </c>
      <c r="K915" s="1">
        <f t="shared" ref="K915:L978" si="75">B915*$J915*$G$2</f>
        <v>15.938408953396618</v>
      </c>
      <c r="L915" s="1">
        <f t="shared" si="75"/>
        <v>14.606731925449685</v>
      </c>
      <c r="N915">
        <f>I915</f>
        <v>555600.92424217914</v>
      </c>
      <c r="O915" s="1">
        <f>SUM(K$2:K915)/$G$3</f>
        <v>0.14612244963192789</v>
      </c>
      <c r="P915" s="1">
        <f>SUM(L$2:L915)/$G$3</f>
        <v>0.15920028538738845</v>
      </c>
      <c r="Q915" s="1">
        <f t="shared" si="71"/>
        <v>146.12244963192788</v>
      </c>
      <c r="R915" s="1">
        <f t="shared" si="72"/>
        <v>159.20028538738845</v>
      </c>
    </row>
    <row r="916" spans="1:18" x14ac:dyDescent="0.35">
      <c r="A916">
        <v>6.4375106980213097</v>
      </c>
      <c r="B916">
        <v>5.5938012969070199</v>
      </c>
      <c r="C916">
        <v>5.1154696161201798</v>
      </c>
      <c r="I916" s="1">
        <f t="shared" si="73"/>
        <v>556200.92430904112</v>
      </c>
      <c r="J916">
        <f t="shared" si="74"/>
        <v>600.00006686197594</v>
      </c>
      <c r="K916" s="1">
        <f t="shared" si="75"/>
        <v>15.774521415137054</v>
      </c>
      <c r="L916" s="1">
        <f t="shared" si="75"/>
        <v>14.425625925001818</v>
      </c>
      <c r="N916">
        <f>I916</f>
        <v>556200.92430904112</v>
      </c>
      <c r="O916" s="1">
        <f>SUM(K$2:K916)/$G$3</f>
        <v>0.14628594158834737</v>
      </c>
      <c r="P916" s="1">
        <f>SUM(L$2:L916)/$G$3</f>
        <v>0.15934979697908666</v>
      </c>
      <c r="Q916" s="1">
        <f t="shared" si="71"/>
        <v>146.28594158834738</v>
      </c>
      <c r="R916" s="1">
        <f t="shared" si="72"/>
        <v>159.34979697908665</v>
      </c>
    </row>
    <row r="917" spans="1:18" x14ac:dyDescent="0.35">
      <c r="A917">
        <v>6.44445514323961</v>
      </c>
      <c r="B917">
        <v>5.5324276633904299</v>
      </c>
      <c r="C917">
        <v>5.0615126282866099</v>
      </c>
      <c r="I917" s="1">
        <f t="shared" si="73"/>
        <v>556800.92437590228</v>
      </c>
      <c r="J917">
        <f t="shared" si="74"/>
        <v>600.00006686116103</v>
      </c>
      <c r="K917" s="1">
        <f t="shared" si="75"/>
        <v>15.601447749312337</v>
      </c>
      <c r="L917" s="1">
        <f t="shared" si="75"/>
        <v>14.273467202335711</v>
      </c>
      <c r="N917">
        <f>I917</f>
        <v>556800.92437590228</v>
      </c>
      <c r="O917" s="1">
        <f>SUM(K$2:K917)/$G$3</f>
        <v>0.14644763975644928</v>
      </c>
      <c r="P917" s="1">
        <f>SUM(L$2:L917)/$G$3</f>
        <v>0.15949773155132418</v>
      </c>
      <c r="Q917" s="1">
        <f t="shared" si="71"/>
        <v>146.44763975644929</v>
      </c>
      <c r="R917" s="1">
        <f t="shared" si="72"/>
        <v>159.49773155132419</v>
      </c>
    </row>
    <row r="918" spans="1:18" x14ac:dyDescent="0.35">
      <c r="A918">
        <v>6.4513995884579201</v>
      </c>
      <c r="B918">
        <v>5.4711828874645496</v>
      </c>
      <c r="C918">
        <v>5.0052694151787298</v>
      </c>
      <c r="I918" s="1">
        <f t="shared" si="73"/>
        <v>557400.92444276426</v>
      </c>
      <c r="J918">
        <f t="shared" si="74"/>
        <v>600.00006686197594</v>
      </c>
      <c r="K918" s="1">
        <f t="shared" si="75"/>
        <v>15.428737461976294</v>
      </c>
      <c r="L918" s="1">
        <f t="shared" si="75"/>
        <v>14.114861323716374</v>
      </c>
      <c r="N918">
        <f>I918</f>
        <v>557400.92444276426</v>
      </c>
      <c r="O918" s="1">
        <f>SUM(K$2:K918)/$G$3</f>
        <v>0.14660754790239919</v>
      </c>
      <c r="P918" s="1">
        <f>SUM(L$2:L918)/$G$3</f>
        <v>0.15964402228380817</v>
      </c>
      <c r="Q918" s="1">
        <f t="shared" si="71"/>
        <v>146.60754790239918</v>
      </c>
      <c r="R918" s="1">
        <f t="shared" si="72"/>
        <v>159.64402228380817</v>
      </c>
    </row>
    <row r="919" spans="1:18" x14ac:dyDescent="0.35">
      <c r="A919">
        <v>6.4583440336762203</v>
      </c>
      <c r="B919">
        <v>5.4139178185174597</v>
      </c>
      <c r="C919">
        <v>4.9427525167115496</v>
      </c>
      <c r="I919" s="1">
        <f t="shared" si="73"/>
        <v>558000.92450962542</v>
      </c>
      <c r="J919">
        <f t="shared" si="74"/>
        <v>600.00006686116103</v>
      </c>
      <c r="K919" s="1">
        <f t="shared" si="75"/>
        <v>15.267249949529143</v>
      </c>
      <c r="L919" s="1">
        <f t="shared" si="75"/>
        <v>13.938563650373977</v>
      </c>
      <c r="N919">
        <f>I919</f>
        <v>558000.92450962542</v>
      </c>
      <c r="O919" s="1">
        <f>SUM(K$2:K919)/$G$3</f>
        <v>0.14676578234246271</v>
      </c>
      <c r="P919" s="1">
        <f>SUM(L$2:L919)/$G$3</f>
        <v>0.15978848581337621</v>
      </c>
      <c r="Q919" s="1">
        <f t="shared" si="71"/>
        <v>146.7657823424627</v>
      </c>
      <c r="R919" s="1">
        <f t="shared" si="72"/>
        <v>159.78848581337621</v>
      </c>
    </row>
    <row r="920" spans="1:18" x14ac:dyDescent="0.35">
      <c r="A920">
        <v>6.4652884788945304</v>
      </c>
      <c r="B920">
        <v>5.3536765435056104</v>
      </c>
      <c r="C920">
        <v>4.8842122511411903</v>
      </c>
      <c r="I920" s="1">
        <f t="shared" si="73"/>
        <v>558600.92457648739</v>
      </c>
      <c r="J920">
        <f t="shared" si="74"/>
        <v>600.00006686197594</v>
      </c>
      <c r="K920" s="1">
        <f t="shared" si="75"/>
        <v>15.097369535085566</v>
      </c>
      <c r="L920" s="1">
        <f t="shared" si="75"/>
        <v>13.773480083088144</v>
      </c>
      <c r="N920">
        <f>I920</f>
        <v>558600.92457648739</v>
      </c>
      <c r="O920" s="1">
        <f>SUM(K$2:K920)/$G$3</f>
        <v>0.14692225609004095</v>
      </c>
      <c r="P920" s="1">
        <f>SUM(L$2:L920)/$G$3</f>
        <v>0.15993123836644754</v>
      </c>
      <c r="Q920" s="1">
        <f t="shared" si="71"/>
        <v>146.92225609004095</v>
      </c>
      <c r="R920" s="1">
        <f t="shared" si="72"/>
        <v>159.93123836644753</v>
      </c>
    </row>
    <row r="921" spans="1:18" x14ac:dyDescent="0.35">
      <c r="A921">
        <v>6.4722329241128298</v>
      </c>
      <c r="B921">
        <v>5.2975920272266901</v>
      </c>
      <c r="C921">
        <v>4.84998676059283</v>
      </c>
      <c r="I921" s="1">
        <f t="shared" si="73"/>
        <v>559200.92464334844</v>
      </c>
      <c r="J921">
        <f t="shared" si="74"/>
        <v>600.00006686104462</v>
      </c>
      <c r="K921" s="1">
        <f t="shared" si="75"/>
        <v>14.93921118153119</v>
      </c>
      <c r="L921" s="1">
        <f t="shared" si="75"/>
        <v>13.676964188965133</v>
      </c>
      <c r="N921">
        <f>I921</f>
        <v>559200.92464334844</v>
      </c>
      <c r="O921" s="1">
        <f>SUM(K$2:K921)/$G$3</f>
        <v>0.14707709063615204</v>
      </c>
      <c r="P921" s="1">
        <f>SUM(L$2:L921)/$G$3</f>
        <v>0.16007299059932278</v>
      </c>
      <c r="Q921" s="1">
        <f t="shared" si="71"/>
        <v>147.07709063615204</v>
      </c>
      <c r="R921" s="1">
        <f t="shared" si="72"/>
        <v>160.07299059932279</v>
      </c>
    </row>
    <row r="922" spans="1:18" x14ac:dyDescent="0.35">
      <c r="A922">
        <v>6.4791773693311301</v>
      </c>
      <c r="B922">
        <v>5.2404785103718003</v>
      </c>
      <c r="C922">
        <v>4.7964964253870903</v>
      </c>
      <c r="I922" s="1">
        <f t="shared" si="73"/>
        <v>559800.9247102096</v>
      </c>
      <c r="J922">
        <f t="shared" si="74"/>
        <v>600.00006686116103</v>
      </c>
      <c r="K922" s="1">
        <f t="shared" si="75"/>
        <v>14.778151046055523</v>
      </c>
      <c r="L922" s="1">
        <f t="shared" si="75"/>
        <v>13.526121426878397</v>
      </c>
      <c r="N922">
        <f>I922</f>
        <v>559800.9247102096</v>
      </c>
      <c r="O922" s="1">
        <f>SUM(K$2:K922)/$G$3</f>
        <v>0.14723025590584221</v>
      </c>
      <c r="P922" s="1">
        <f>SUM(L$2:L922)/$G$3</f>
        <v>0.16021317945175453</v>
      </c>
      <c r="Q922" s="1">
        <f t="shared" si="71"/>
        <v>147.2302559058422</v>
      </c>
      <c r="R922" s="1">
        <f t="shared" si="72"/>
        <v>160.21317945175454</v>
      </c>
    </row>
    <row r="923" spans="1:18" x14ac:dyDescent="0.35">
      <c r="A923">
        <v>6.4861218145494401</v>
      </c>
      <c r="B923">
        <v>5.1837828510265602</v>
      </c>
      <c r="C923">
        <v>4.7360910306149302</v>
      </c>
      <c r="I923" s="1">
        <f t="shared" si="73"/>
        <v>560400.92477707157</v>
      </c>
      <c r="J923">
        <f t="shared" si="74"/>
        <v>600.00006686197594</v>
      </c>
      <c r="K923" s="1">
        <f t="shared" si="75"/>
        <v>14.618269268905333</v>
      </c>
      <c r="L923" s="1">
        <f t="shared" si="75"/>
        <v>13.355778194656805</v>
      </c>
      <c r="N923">
        <f>I923</f>
        <v>560400.92477707157</v>
      </c>
      <c r="O923" s="1">
        <f>SUM(K$2:K923)/$G$3</f>
        <v>0.1473817641119769</v>
      </c>
      <c r="P923" s="1">
        <f>SUM(L$2:L923)/$G$3</f>
        <v>0.16035160281491623</v>
      </c>
      <c r="Q923" s="1">
        <f t="shared" si="71"/>
        <v>147.38176411197691</v>
      </c>
      <c r="R923" s="1">
        <f t="shared" si="72"/>
        <v>160.35160281491622</v>
      </c>
    </row>
    <row r="924" spans="1:18" x14ac:dyDescent="0.35">
      <c r="A924">
        <v>6.4930662597677404</v>
      </c>
      <c r="B924">
        <v>5.1316817222627797</v>
      </c>
      <c r="C924">
        <v>4.6879491587619997</v>
      </c>
      <c r="I924" s="1">
        <f t="shared" si="73"/>
        <v>561000.92484393273</v>
      </c>
      <c r="J924">
        <f t="shared" si="74"/>
        <v>600.00006686116103</v>
      </c>
      <c r="K924" s="1">
        <f t="shared" si="75"/>
        <v>14.47134406939897</v>
      </c>
      <c r="L924" s="1">
        <f t="shared" si="75"/>
        <v>13.220018100884941</v>
      </c>
      <c r="N924">
        <f>I924</f>
        <v>561000.92484393273</v>
      </c>
      <c r="O924" s="1">
        <f>SUM(K$2:K924)/$G$3</f>
        <v>0.1475317495404829</v>
      </c>
      <c r="P924" s="1">
        <f>SUM(L$2:L924)/$G$3</f>
        <v>0.1604886191190141</v>
      </c>
      <c r="Q924" s="1">
        <f t="shared" si="71"/>
        <v>147.53174954048291</v>
      </c>
      <c r="R924" s="1">
        <f t="shared" si="72"/>
        <v>160.48861911901409</v>
      </c>
    </row>
    <row r="925" spans="1:18" x14ac:dyDescent="0.35">
      <c r="A925">
        <v>6.5000107049860496</v>
      </c>
      <c r="B925">
        <v>5.0786933642468401</v>
      </c>
      <c r="C925">
        <v>4.6407086105354196</v>
      </c>
      <c r="I925" s="1">
        <f t="shared" si="73"/>
        <v>561600.92491079471</v>
      </c>
      <c r="J925">
        <f t="shared" si="74"/>
        <v>600.00006686197594</v>
      </c>
      <c r="K925" s="1">
        <f t="shared" si="75"/>
        <v>14.321916883162016</v>
      </c>
      <c r="L925" s="1">
        <f t="shared" si="75"/>
        <v>13.086799740058536</v>
      </c>
      <c r="N925">
        <f>I925</f>
        <v>561600.92491079471</v>
      </c>
      <c r="O925" s="1">
        <f>SUM(K$2:K925)/$G$3</f>
        <v>0.14768018626000573</v>
      </c>
      <c r="P925" s="1">
        <f>SUM(L$2:L925)/$G$3</f>
        <v>0.16062425470734451</v>
      </c>
      <c r="Q925" s="1">
        <f t="shared" si="71"/>
        <v>147.68018626000574</v>
      </c>
      <c r="R925" s="1">
        <f t="shared" si="72"/>
        <v>160.62425470734451</v>
      </c>
    </row>
    <row r="926" spans="1:18" x14ac:dyDescent="0.35">
      <c r="A926">
        <v>6.5069551502043499</v>
      </c>
      <c r="B926">
        <v>5.0276898272104003</v>
      </c>
      <c r="C926">
        <v>4.5939420169957899</v>
      </c>
      <c r="I926" s="1">
        <f t="shared" si="73"/>
        <v>562200.92497765587</v>
      </c>
      <c r="J926">
        <f t="shared" si="74"/>
        <v>600.00006686116103</v>
      </c>
      <c r="K926" s="1">
        <f t="shared" si="75"/>
        <v>14.178086892672072</v>
      </c>
      <c r="L926" s="1">
        <f t="shared" si="75"/>
        <v>12.954917931562724</v>
      </c>
      <c r="N926">
        <f>I926</f>
        <v>562200.92497765587</v>
      </c>
      <c r="O926" s="1">
        <f>SUM(K$2:K926)/$G$3</f>
        <v>0.14782713228159119</v>
      </c>
      <c r="P926" s="1">
        <f>SUM(L$2:L926)/$G$3</f>
        <v>0.16075852343234387</v>
      </c>
      <c r="Q926" s="1">
        <f t="shared" si="71"/>
        <v>147.82713228159119</v>
      </c>
      <c r="R926" s="1">
        <f t="shared" si="72"/>
        <v>160.75852343234388</v>
      </c>
    </row>
    <row r="927" spans="1:18" x14ac:dyDescent="0.35">
      <c r="A927">
        <v>6.5138995954226599</v>
      </c>
      <c r="B927">
        <v>4.9788443800388897</v>
      </c>
      <c r="C927">
        <v>4.5455842356643901</v>
      </c>
      <c r="I927" s="1">
        <f t="shared" si="73"/>
        <v>562800.92504451785</v>
      </c>
      <c r="J927">
        <f t="shared" si="74"/>
        <v>600.00006686197594</v>
      </c>
      <c r="K927" s="1">
        <f t="shared" si="75"/>
        <v>14.040342716317923</v>
      </c>
      <c r="L927" s="1">
        <f t="shared" si="75"/>
        <v>12.818548973029277</v>
      </c>
      <c r="N927">
        <f>I927</f>
        <v>562800.92504451785</v>
      </c>
      <c r="O927" s="1">
        <f>SUM(K$2:K927)/$G$3</f>
        <v>0.14797265068047513</v>
      </c>
      <c r="P927" s="1">
        <f>SUM(L$2:L927)/$G$3</f>
        <v>0.16089137878781912</v>
      </c>
      <c r="Q927" s="1">
        <f t="shared" si="71"/>
        <v>147.97265068047514</v>
      </c>
      <c r="R927" s="1">
        <f t="shared" si="72"/>
        <v>160.89137878781912</v>
      </c>
    </row>
    <row r="928" spans="1:18" x14ac:dyDescent="0.35">
      <c r="A928">
        <v>6.5208440406409602</v>
      </c>
      <c r="B928">
        <v>4.9307056352069099</v>
      </c>
      <c r="C928">
        <v>4.4959758645546701</v>
      </c>
      <c r="I928" s="1">
        <f t="shared" si="73"/>
        <v>563400.92511137901</v>
      </c>
      <c r="J928">
        <f t="shared" si="74"/>
        <v>600.00006686116103</v>
      </c>
      <c r="K928" s="1">
        <f t="shared" si="75"/>
        <v>13.904591440745191</v>
      </c>
      <c r="L928" s="1">
        <f t="shared" si="75"/>
        <v>12.678653350893153</v>
      </c>
      <c r="N928">
        <f>I928</f>
        <v>563400.92511137901</v>
      </c>
      <c r="O928" s="1">
        <f>SUM(K$2:K928)/$G$3</f>
        <v>0.14811676211168978</v>
      </c>
      <c r="P928" s="1">
        <f>SUM(L$2:L928)/$G$3</f>
        <v>0.16102278422235189</v>
      </c>
      <c r="Q928" s="1">
        <f t="shared" si="71"/>
        <v>148.11676211168978</v>
      </c>
      <c r="R928" s="1">
        <f t="shared" si="72"/>
        <v>161.0227842223519</v>
      </c>
    </row>
    <row r="929" spans="1:18" x14ac:dyDescent="0.35">
      <c r="A929">
        <v>6.5277884858592703</v>
      </c>
      <c r="B929">
        <v>4.8811134912661798</v>
      </c>
      <c r="C929">
        <v>4.4483565501971496</v>
      </c>
      <c r="I929" s="1">
        <f t="shared" si="73"/>
        <v>564000.92517824098</v>
      </c>
      <c r="J929">
        <f t="shared" si="74"/>
        <v>600.00006686197594</v>
      </c>
      <c r="K929" s="1">
        <f t="shared" si="75"/>
        <v>13.764741579266824</v>
      </c>
      <c r="L929" s="1">
        <f t="shared" si="75"/>
        <v>12.544366869457734</v>
      </c>
      <c r="N929">
        <f>I929</f>
        <v>564000.92517824098</v>
      </c>
      <c r="O929" s="1">
        <f>SUM(K$2:K929)/$G$3</f>
        <v>0.14825942409623938</v>
      </c>
      <c r="P929" s="1">
        <f>SUM(L$2:L929)/$G$3</f>
        <v>0.16115279787078901</v>
      </c>
      <c r="Q929" s="1">
        <f t="shared" si="71"/>
        <v>148.25942409623937</v>
      </c>
      <c r="R929" s="1">
        <f t="shared" si="72"/>
        <v>161.15279787078902</v>
      </c>
    </row>
    <row r="930" spans="1:18" x14ac:dyDescent="0.35">
      <c r="A930">
        <v>6.5347329310775697</v>
      </c>
      <c r="B930">
        <v>4.8329618878172198</v>
      </c>
      <c r="C930">
        <v>4.4063380923953996</v>
      </c>
      <c r="I930" s="1">
        <f t="shared" si="73"/>
        <v>564600.92524510203</v>
      </c>
      <c r="J930">
        <f t="shared" si="74"/>
        <v>600.00006686104462</v>
      </c>
      <c r="K930" s="1">
        <f t="shared" si="75"/>
        <v>13.628954042387898</v>
      </c>
      <c r="L930" s="1">
        <f t="shared" si="75"/>
        <v>12.425874805233157</v>
      </c>
      <c r="N930">
        <f>I930</f>
        <v>564600.92524510203</v>
      </c>
      <c r="O930" s="1">
        <f>SUM(K$2:K930)/$G$3</f>
        <v>0.1484006787372964</v>
      </c>
      <c r="P930" s="1">
        <f>SUM(L$2:L930)/$G$3</f>
        <v>0.16128158343129306</v>
      </c>
      <c r="Q930" s="1">
        <f t="shared" si="71"/>
        <v>148.4006787372964</v>
      </c>
      <c r="R930" s="1">
        <f t="shared" si="72"/>
        <v>161.28158343129306</v>
      </c>
    </row>
    <row r="931" spans="1:18" x14ac:dyDescent="0.35">
      <c r="A931">
        <v>6.5416773762958798</v>
      </c>
      <c r="B931">
        <v>4.7884321519872</v>
      </c>
      <c r="C931">
        <v>4.3567534416744298</v>
      </c>
      <c r="I931" s="1">
        <f t="shared" si="73"/>
        <v>565200.92531196401</v>
      </c>
      <c r="J931">
        <f t="shared" si="74"/>
        <v>600.00006686197594</v>
      </c>
      <c r="K931" s="1">
        <f t="shared" si="75"/>
        <v>13.50338017337487</v>
      </c>
      <c r="L931" s="1">
        <f t="shared" si="75"/>
        <v>12.286046074637269</v>
      </c>
      <c r="N931">
        <f>I931</f>
        <v>565200.92531196401</v>
      </c>
      <c r="O931" s="1">
        <f>SUM(K$2:K931)/$G$3</f>
        <v>0.14854063189243322</v>
      </c>
      <c r="P931" s="1">
        <f>SUM(L$2:L931)/$G$3</f>
        <v>0.16140891976413896</v>
      </c>
      <c r="Q931" s="1">
        <f t="shared" si="71"/>
        <v>148.54063189243323</v>
      </c>
      <c r="R931" s="1">
        <f t="shared" si="72"/>
        <v>161.40891976413897</v>
      </c>
    </row>
    <row r="932" spans="1:18" x14ac:dyDescent="0.35">
      <c r="A932">
        <v>6.54862182151418</v>
      </c>
      <c r="B932">
        <v>4.7397979453159396</v>
      </c>
      <c r="C932">
        <v>4.3136116348473097</v>
      </c>
      <c r="I932" s="1">
        <f t="shared" si="73"/>
        <v>565800.92537882517</v>
      </c>
      <c r="J932">
        <f t="shared" si="74"/>
        <v>600.00006686116103</v>
      </c>
      <c r="K932" s="1">
        <f t="shared" si="75"/>
        <v>13.366231695260399</v>
      </c>
      <c r="L932" s="1">
        <f t="shared" si="75"/>
        <v>12.1643861658109</v>
      </c>
      <c r="N932">
        <f>I932</f>
        <v>565800.92537882517</v>
      </c>
      <c r="O932" s="1">
        <f>SUM(K$2:K932)/$G$3</f>
        <v>0.14867916359886696</v>
      </c>
      <c r="P932" s="1">
        <f>SUM(L$2:L932)/$G$3</f>
        <v>0.16153499517654307</v>
      </c>
      <c r="Q932" s="1">
        <f t="shared" si="71"/>
        <v>148.67916359886695</v>
      </c>
      <c r="R932" s="1">
        <f t="shared" si="72"/>
        <v>161.53499517654308</v>
      </c>
    </row>
    <row r="933" spans="1:18" x14ac:dyDescent="0.35">
      <c r="A933">
        <v>6.5555662667324803</v>
      </c>
      <c r="B933">
        <v>4.7009990925790399</v>
      </c>
      <c r="C933">
        <v>4.2715086499379904</v>
      </c>
      <c r="I933" s="1">
        <f t="shared" si="73"/>
        <v>566400.92544568633</v>
      </c>
      <c r="J933">
        <f t="shared" si="74"/>
        <v>600.00006686116103</v>
      </c>
      <c r="K933" s="1">
        <f t="shared" si="75"/>
        <v>13.256818918349902</v>
      </c>
      <c r="L933" s="1">
        <f t="shared" si="75"/>
        <v>12.045655735135863</v>
      </c>
      <c r="N933">
        <f>I933</f>
        <v>566400.92544568633</v>
      </c>
      <c r="O933" s="1">
        <f>SUM(K$2:K933)/$G$3</f>
        <v>0.14881656131787355</v>
      </c>
      <c r="P933" s="1">
        <f>SUM(L$2:L933)/$G$3</f>
        <v>0.16165984003051143</v>
      </c>
      <c r="Q933" s="1">
        <f t="shared" si="71"/>
        <v>148.81656131787355</v>
      </c>
      <c r="R933" s="1">
        <f t="shared" si="72"/>
        <v>161.65984003051142</v>
      </c>
    </row>
    <row r="934" spans="1:18" x14ac:dyDescent="0.35">
      <c r="A934">
        <v>6.5625107119507904</v>
      </c>
      <c r="B934">
        <v>4.6589834744583003</v>
      </c>
      <c r="C934">
        <v>4.2247490774105803</v>
      </c>
      <c r="I934" s="1">
        <f t="shared" si="73"/>
        <v>567000.9255125483</v>
      </c>
      <c r="J934">
        <f t="shared" si="74"/>
        <v>600.00006686197594</v>
      </c>
      <c r="K934" s="1">
        <f t="shared" si="75"/>
        <v>13.138334862063958</v>
      </c>
      <c r="L934" s="1">
        <f t="shared" si="75"/>
        <v>11.91379372593067</v>
      </c>
      <c r="N934">
        <f>I934</f>
        <v>567000.9255125483</v>
      </c>
      <c r="O934" s="1">
        <f>SUM(K$2:K934)/$G$3</f>
        <v>0.14895273103194373</v>
      </c>
      <c r="P934" s="1">
        <f>SUM(L$2:L934)/$G$3</f>
        <v>0.16178331822635461</v>
      </c>
      <c r="Q934" s="1">
        <f t="shared" si="71"/>
        <v>148.95273103194373</v>
      </c>
      <c r="R934" s="1">
        <f t="shared" si="72"/>
        <v>161.78331822635462</v>
      </c>
    </row>
    <row r="935" spans="1:18" x14ac:dyDescent="0.35">
      <c r="A935">
        <v>6.5694551571690898</v>
      </c>
      <c r="B935">
        <v>4.6169121832159403</v>
      </c>
      <c r="C935">
        <v>4.1789990698525301</v>
      </c>
      <c r="I935" s="1">
        <f t="shared" si="73"/>
        <v>567600.92557940935</v>
      </c>
      <c r="J935">
        <f t="shared" si="74"/>
        <v>600.00006686104462</v>
      </c>
      <c r="K935" s="1">
        <f t="shared" si="75"/>
        <v>13.019693807519339</v>
      </c>
      <c r="L935" s="1">
        <f t="shared" si="75"/>
        <v>11.784778690221678</v>
      </c>
      <c r="N935">
        <f>I935</f>
        <v>567600.92557940935</v>
      </c>
      <c r="O935" s="1">
        <f>SUM(K$2:K935)/$G$3</f>
        <v>0.14908767111389967</v>
      </c>
      <c r="P935" s="1">
        <f>SUM(L$2:L935)/$G$3</f>
        <v>0.16190545927097524</v>
      </c>
      <c r="Q935" s="1">
        <f t="shared" si="71"/>
        <v>149.08767111389966</v>
      </c>
      <c r="R935" s="1">
        <f t="shared" si="72"/>
        <v>161.90545927097526</v>
      </c>
    </row>
    <row r="936" spans="1:18" x14ac:dyDescent="0.35">
      <c r="A936">
        <v>6.5763996023873998</v>
      </c>
      <c r="B936">
        <v>4.5762715366471696</v>
      </c>
      <c r="C936">
        <v>4.1375563905214001</v>
      </c>
      <c r="I936" s="1">
        <f t="shared" si="73"/>
        <v>568200.92564627132</v>
      </c>
      <c r="J936">
        <f t="shared" si="74"/>
        <v>600.00006686197594</v>
      </c>
      <c r="K936" s="1">
        <f t="shared" si="75"/>
        <v>12.905087171444238</v>
      </c>
      <c r="L936" s="1">
        <f t="shared" si="75"/>
        <v>11.667910321502768</v>
      </c>
      <c r="N936">
        <f>I936</f>
        <v>568200.92564627132</v>
      </c>
      <c r="O936" s="1">
        <f>SUM(K$2:K936)/$G$3</f>
        <v>0.14922142337768624</v>
      </c>
      <c r="P936" s="1">
        <f>SUM(L$2:L936)/$G$3</f>
        <v>0.16202638905613878</v>
      </c>
      <c r="Q936" s="1">
        <f t="shared" si="71"/>
        <v>149.22142337768622</v>
      </c>
      <c r="R936" s="1">
        <f t="shared" si="72"/>
        <v>162.02638905613878</v>
      </c>
    </row>
    <row r="937" spans="1:18" x14ac:dyDescent="0.35">
      <c r="A937">
        <v>6.5833440476057001</v>
      </c>
      <c r="B937">
        <v>4.5354648541392102</v>
      </c>
      <c r="C937">
        <v>4.0934132516934501</v>
      </c>
      <c r="I937" s="1">
        <f t="shared" si="73"/>
        <v>568800.92571313248</v>
      </c>
      <c r="J937">
        <f t="shared" si="74"/>
        <v>600.00006686116103</v>
      </c>
      <c r="K937" s="1">
        <f t="shared" si="75"/>
        <v>12.79001231393087</v>
      </c>
      <c r="L937" s="1">
        <f t="shared" si="75"/>
        <v>11.543426656120232</v>
      </c>
      <c r="N937">
        <f>I937</f>
        <v>568800.92571313248</v>
      </c>
      <c r="O937" s="1">
        <f>SUM(K$2:K937)/$G$3</f>
        <v>0.14935398297051342</v>
      </c>
      <c r="P937" s="1">
        <f>SUM(L$2:L937)/$G$3</f>
        <v>0.16214602865458538</v>
      </c>
      <c r="Q937" s="1">
        <f t="shared" si="71"/>
        <v>149.35398297051341</v>
      </c>
      <c r="R937" s="1">
        <f t="shared" si="72"/>
        <v>162.14602865458539</v>
      </c>
    </row>
    <row r="938" spans="1:18" x14ac:dyDescent="0.35">
      <c r="A938">
        <v>6.5902884928240102</v>
      </c>
      <c r="B938">
        <v>4.4962452146479501</v>
      </c>
      <c r="C938">
        <v>4.0533991016869297</v>
      </c>
      <c r="I938" s="1">
        <f t="shared" si="73"/>
        <v>569400.92577999446</v>
      </c>
      <c r="J938">
        <f t="shared" si="74"/>
        <v>600.00006686197594</v>
      </c>
      <c r="K938" s="1">
        <f t="shared" si="75"/>
        <v>12.679412918258064</v>
      </c>
      <c r="L938" s="1">
        <f t="shared" si="75"/>
        <v>11.430586740543026</v>
      </c>
      <c r="N938">
        <f>I938</f>
        <v>569400.92577999446</v>
      </c>
      <c r="O938" s="1">
        <f>SUM(K$2:K938)/$G$3</f>
        <v>0.14948539627743426</v>
      </c>
      <c r="P938" s="1">
        <f>SUM(L$2:L938)/$G$3</f>
        <v>0.16226449874569326</v>
      </c>
      <c r="Q938" s="1">
        <f t="shared" si="71"/>
        <v>149.48539627743426</v>
      </c>
      <c r="R938" s="1">
        <f t="shared" si="72"/>
        <v>162.26449874569326</v>
      </c>
    </row>
    <row r="939" spans="1:18" x14ac:dyDescent="0.35">
      <c r="A939">
        <v>6.5972329380423096</v>
      </c>
      <c r="B939">
        <v>4.4561104452390303</v>
      </c>
      <c r="C939">
        <v>4.0137536956144899</v>
      </c>
      <c r="I939" s="1">
        <f t="shared" si="73"/>
        <v>570000.92584685551</v>
      </c>
      <c r="J939">
        <f t="shared" si="74"/>
        <v>600.00006686104462</v>
      </c>
      <c r="K939" s="1">
        <f t="shared" si="75"/>
        <v>12.566232855893004</v>
      </c>
      <c r="L939" s="1">
        <f t="shared" si="75"/>
        <v>11.318786682942557</v>
      </c>
      <c r="N939">
        <f>I939</f>
        <v>570000.92584685551</v>
      </c>
      <c r="O939" s="1">
        <f>SUM(K$2:K939)/$G$3</f>
        <v>0.14961563655163124</v>
      </c>
      <c r="P939" s="1">
        <f>SUM(L$2:L939)/$G$3</f>
        <v>0.16238181010686797</v>
      </c>
      <c r="Q939" s="1">
        <f t="shared" si="71"/>
        <v>149.61563655163124</v>
      </c>
      <c r="R939" s="1">
        <f t="shared" si="72"/>
        <v>162.38181010686799</v>
      </c>
    </row>
    <row r="940" spans="1:18" x14ac:dyDescent="0.35">
      <c r="A940">
        <v>6.6041773832606196</v>
      </c>
      <c r="B940">
        <v>4.4172366146397799</v>
      </c>
      <c r="C940">
        <v>3.9748317389109298</v>
      </c>
      <c r="I940" s="1">
        <f t="shared" si="73"/>
        <v>570600.92591371748</v>
      </c>
      <c r="J940">
        <f t="shared" si="74"/>
        <v>600.00006686197594</v>
      </c>
      <c r="K940" s="1">
        <f t="shared" si="75"/>
        <v>12.45660864140647</v>
      </c>
      <c r="L940" s="1">
        <f t="shared" si="75"/>
        <v>11.20902675282481</v>
      </c>
      <c r="N940">
        <f>I940</f>
        <v>570600.92591371748</v>
      </c>
      <c r="O940" s="1">
        <f>SUM(K$2:K940)/$G$3</f>
        <v>0.14974474064699742</v>
      </c>
      <c r="P940" s="1">
        <f>SUM(L$2:L940)/$G$3</f>
        <v>0.16249798388261369</v>
      </c>
      <c r="Q940" s="1">
        <f t="shared" si="71"/>
        <v>149.74474064699743</v>
      </c>
      <c r="R940" s="1">
        <f t="shared" si="72"/>
        <v>162.49798388261368</v>
      </c>
    </row>
    <row r="941" spans="1:18" x14ac:dyDescent="0.35">
      <c r="A941">
        <v>6.6111218284789199</v>
      </c>
      <c r="B941">
        <v>4.37997691361823</v>
      </c>
      <c r="C941">
        <v>3.9366971536077999</v>
      </c>
      <c r="I941" s="1">
        <f t="shared" si="73"/>
        <v>571200.92598057864</v>
      </c>
      <c r="J941">
        <f t="shared" si="74"/>
        <v>600.00006686116103</v>
      </c>
      <c r="K941" s="1">
        <f t="shared" si="75"/>
        <v>12.351536272800017</v>
      </c>
      <c r="L941" s="1">
        <f t="shared" si="75"/>
        <v>11.101487210271065</v>
      </c>
      <c r="N941">
        <f>I941</f>
        <v>571200.92598057864</v>
      </c>
      <c r="O941" s="1">
        <f>SUM(K$2:K941)/$G$3</f>
        <v>0.14987275574025336</v>
      </c>
      <c r="P941" s="1">
        <f>SUM(L$2:L941)/$G$3</f>
        <v>0.16261304308570507</v>
      </c>
      <c r="Q941" s="1">
        <f t="shared" si="71"/>
        <v>149.87275574025335</v>
      </c>
      <c r="R941" s="1">
        <f t="shared" si="72"/>
        <v>162.61304308570507</v>
      </c>
    </row>
    <row r="942" spans="1:18" x14ac:dyDescent="0.35">
      <c r="A942">
        <v>6.6180662736972202</v>
      </c>
      <c r="B942">
        <v>4.3449269958955901</v>
      </c>
      <c r="C942">
        <v>3.89764299246779</v>
      </c>
      <c r="I942" s="1">
        <f t="shared" si="73"/>
        <v>571800.9260474398</v>
      </c>
      <c r="J942">
        <f t="shared" si="74"/>
        <v>600.00006686116103</v>
      </c>
      <c r="K942" s="1">
        <f t="shared" si="75"/>
        <v>12.252695493807824</v>
      </c>
      <c r="L942" s="1">
        <f t="shared" si="75"/>
        <v>10.991354463583567</v>
      </c>
      <c r="N942">
        <f>I942</f>
        <v>571800.9260474398</v>
      </c>
      <c r="O942" s="1">
        <f>SUM(K$2:K942)/$G$3</f>
        <v>0.14999974641749653</v>
      </c>
      <c r="P942" s="1">
        <f>SUM(L$2:L942)/$G$3</f>
        <v>0.16272696083938268</v>
      </c>
      <c r="Q942" s="1">
        <f t="shared" si="71"/>
        <v>149.99974641749654</v>
      </c>
      <c r="R942" s="1">
        <f t="shared" si="72"/>
        <v>162.72696083938268</v>
      </c>
    </row>
    <row r="943" spans="1:18" x14ac:dyDescent="0.35">
      <c r="A943">
        <v>6.6250107189155303</v>
      </c>
      <c r="B943">
        <v>4.3075484575244198</v>
      </c>
      <c r="C943">
        <v>3.8581411367526601</v>
      </c>
      <c r="I943" s="1">
        <f t="shared" si="73"/>
        <v>572400.92611430178</v>
      </c>
      <c r="J943">
        <f t="shared" si="74"/>
        <v>600.00006686197594</v>
      </c>
      <c r="K943" s="1">
        <f t="shared" si="75"/>
        <v>12.147288003871511</v>
      </c>
      <c r="L943" s="1">
        <f t="shared" si="75"/>
        <v>10.879959218068318</v>
      </c>
      <c r="N943">
        <f>I943</f>
        <v>572400.92611430178</v>
      </c>
      <c r="O943" s="1">
        <f>SUM(K$2:K943)/$G$3</f>
        <v>0.15012564461932967</v>
      </c>
      <c r="P943" s="1">
        <f>SUM(L$2:L943)/$G$3</f>
        <v>0.16283972405872318</v>
      </c>
      <c r="Q943" s="1">
        <f t="shared" si="71"/>
        <v>150.12564461932968</v>
      </c>
      <c r="R943" s="1">
        <f t="shared" si="72"/>
        <v>162.83972405872319</v>
      </c>
    </row>
    <row r="944" spans="1:18" x14ac:dyDescent="0.35">
      <c r="A944">
        <v>6.6319551641338297</v>
      </c>
      <c r="B944">
        <v>4.2698441948549899</v>
      </c>
      <c r="C944">
        <v>3.8155265714686699</v>
      </c>
      <c r="I944" s="1">
        <f t="shared" si="73"/>
        <v>573000.92618116294</v>
      </c>
      <c r="J944">
        <f t="shared" si="74"/>
        <v>600.00006686116103</v>
      </c>
      <c r="K944" s="1">
        <f t="shared" si="75"/>
        <v>12.040961971278751</v>
      </c>
      <c r="L944" s="1">
        <f t="shared" si="75"/>
        <v>10.759786130561173</v>
      </c>
      <c r="N944">
        <f>I944</f>
        <v>573000.92618116294</v>
      </c>
      <c r="O944" s="1">
        <f>SUM(K$2:K944)/$G$3</f>
        <v>0.15025044082569625</v>
      </c>
      <c r="P944" s="1">
        <f>SUM(L$2:L944)/$G$3</f>
        <v>0.16295124176749201</v>
      </c>
      <c r="Q944" s="1">
        <f t="shared" si="71"/>
        <v>150.25044082569624</v>
      </c>
      <c r="R944" s="1">
        <f t="shared" si="72"/>
        <v>162.95124176749201</v>
      </c>
    </row>
    <row r="945" spans="1:18" x14ac:dyDescent="0.35">
      <c r="A945">
        <v>6.6388996093521397</v>
      </c>
      <c r="B945">
        <v>4.2346183524516698</v>
      </c>
      <c r="C945">
        <v>3.77997028971697</v>
      </c>
      <c r="I945" s="1">
        <f t="shared" si="73"/>
        <v>573600.92624802492</v>
      </c>
      <c r="J945">
        <f t="shared" si="74"/>
        <v>600.00006686197594</v>
      </c>
      <c r="K945" s="1">
        <f t="shared" si="75"/>
        <v>11.941625084647976</v>
      </c>
      <c r="L945" s="1">
        <f t="shared" si="75"/>
        <v>10.659517404862385</v>
      </c>
      <c r="N945">
        <f>I945</f>
        <v>573600.92624802492</v>
      </c>
      <c r="O945" s="1">
        <f>SUM(K$2:K945)/$G$3</f>
        <v>0.15037420747423902</v>
      </c>
      <c r="P945" s="1">
        <f>SUM(L$2:L945)/$G$3</f>
        <v>0.16306172026057239</v>
      </c>
      <c r="Q945" s="1">
        <f t="shared" si="71"/>
        <v>150.37420747423903</v>
      </c>
      <c r="R945" s="1">
        <f t="shared" si="72"/>
        <v>163.0617202605724</v>
      </c>
    </row>
    <row r="946" spans="1:18" x14ac:dyDescent="0.35">
      <c r="A946">
        <v>6.64584405457044</v>
      </c>
      <c r="B946">
        <v>4.1958301456838099</v>
      </c>
      <c r="C946">
        <v>3.7479353529356101</v>
      </c>
      <c r="I946" s="1">
        <f t="shared" si="73"/>
        <v>574200.92631488596</v>
      </c>
      <c r="J946">
        <f t="shared" si="74"/>
        <v>600.00006686104462</v>
      </c>
      <c r="K946" s="1">
        <f t="shared" si="75"/>
        <v>11.832242329355001</v>
      </c>
      <c r="L946" s="1">
        <f t="shared" si="75"/>
        <v>10.569178873055524</v>
      </c>
      <c r="N946">
        <f>I946</f>
        <v>574200.92631488596</v>
      </c>
      <c r="O946" s="1">
        <f>SUM(K$2:K946)/$G$3</f>
        <v>0.15049684044650782</v>
      </c>
      <c r="P946" s="1">
        <f>SUM(L$2:L946)/$G$3</f>
        <v>0.16317126245752586</v>
      </c>
      <c r="Q946" s="1">
        <f t="shared" si="71"/>
        <v>150.49684044650783</v>
      </c>
      <c r="R946" s="1">
        <f t="shared" si="72"/>
        <v>163.17126245752587</v>
      </c>
    </row>
    <row r="947" spans="1:18" x14ac:dyDescent="0.35">
      <c r="A947">
        <v>6.6527884997887501</v>
      </c>
      <c r="B947">
        <v>4.1588489780306803</v>
      </c>
      <c r="C947">
        <v>3.71214700786319</v>
      </c>
      <c r="I947" s="1">
        <f t="shared" si="73"/>
        <v>574800.92638174805</v>
      </c>
      <c r="J947">
        <f t="shared" si="74"/>
        <v>600.00006686209235</v>
      </c>
      <c r="K947" s="1">
        <f t="shared" si="75"/>
        <v>11.727955424972437</v>
      </c>
      <c r="L947" s="1">
        <f t="shared" si="75"/>
        <v>10.468255728723202</v>
      </c>
      <c r="N947">
        <f>I947</f>
        <v>574800.92638174805</v>
      </c>
      <c r="O947" s="1">
        <f>SUM(K$2:K947)/$G$3</f>
        <v>0.1506183925574574</v>
      </c>
      <c r="P947" s="1">
        <f>SUM(L$2:L947)/$G$3</f>
        <v>0.16327975865619634</v>
      </c>
      <c r="Q947" s="1">
        <f t="shared" si="71"/>
        <v>150.61839255745741</v>
      </c>
      <c r="R947" s="1">
        <f t="shared" si="72"/>
        <v>163.27975865619635</v>
      </c>
    </row>
    <row r="948" spans="1:18" x14ac:dyDescent="0.35">
      <c r="A948">
        <v>6.6597329450070504</v>
      </c>
      <c r="B948">
        <v>4.1255807537126001</v>
      </c>
      <c r="C948">
        <v>3.6748530879122701</v>
      </c>
      <c r="I948" s="1">
        <f t="shared" si="73"/>
        <v>575400.9264486091</v>
      </c>
      <c r="J948">
        <f t="shared" si="74"/>
        <v>600.00006686104462</v>
      </c>
      <c r="K948" s="1">
        <f t="shared" si="75"/>
        <v>11.634139021920536</v>
      </c>
      <c r="L948" s="1">
        <f t="shared" si="75"/>
        <v>10.363086862723828</v>
      </c>
      <c r="N948">
        <f>I948</f>
        <v>575400.9264486091</v>
      </c>
      <c r="O948" s="1">
        <f>SUM(K$2:K948)/$G$3</f>
        <v>0.15073897232656061</v>
      </c>
      <c r="P948" s="1">
        <f>SUM(L$2:L948)/$G$3</f>
        <v>0.16338716485262819</v>
      </c>
      <c r="Q948" s="1">
        <f t="shared" si="71"/>
        <v>150.7389723265606</v>
      </c>
      <c r="R948" s="1">
        <f t="shared" si="72"/>
        <v>163.38716485262819</v>
      </c>
    </row>
    <row r="949" spans="1:18" x14ac:dyDescent="0.35">
      <c r="A949">
        <v>6.6666773902253604</v>
      </c>
      <c r="B949">
        <v>4.09212630497617</v>
      </c>
      <c r="C949">
        <v>3.6358378039366399</v>
      </c>
      <c r="I949" s="1">
        <f t="shared" si="73"/>
        <v>576000.92651547119</v>
      </c>
      <c r="J949">
        <f t="shared" si="74"/>
        <v>600.00006686209235</v>
      </c>
      <c r="K949" s="1">
        <f t="shared" si="75"/>
        <v>11.539797465990995</v>
      </c>
      <c r="L949" s="1">
        <f t="shared" si="75"/>
        <v>10.253063749670023</v>
      </c>
      <c r="N949">
        <f>I949</f>
        <v>576000.92651547119</v>
      </c>
      <c r="O949" s="1">
        <f>SUM(K$2:K949)/$G$3</f>
        <v>0.1508585743109726</v>
      </c>
      <c r="P949" s="1">
        <f>SUM(L$2:L949)/$G$3</f>
        <v>0.16349343073592268</v>
      </c>
      <c r="Q949" s="1">
        <f t="shared" si="71"/>
        <v>150.85857431097261</v>
      </c>
      <c r="R949" s="1">
        <f t="shared" si="72"/>
        <v>163.49343073592269</v>
      </c>
    </row>
    <row r="950" spans="1:18" x14ac:dyDescent="0.35">
      <c r="A950">
        <v>6.6736218354436598</v>
      </c>
      <c r="B950">
        <v>4.0580473583896497</v>
      </c>
      <c r="C950">
        <v>3.60157840009381</v>
      </c>
      <c r="I950" s="1">
        <f t="shared" si="73"/>
        <v>576600.92658233223</v>
      </c>
      <c r="J950">
        <f t="shared" si="74"/>
        <v>600.00006686104462</v>
      </c>
      <c r="K950" s="1">
        <f t="shared" si="75"/>
        <v>11.443694825887654</v>
      </c>
      <c r="L950" s="1">
        <f t="shared" si="75"/>
        <v>10.156452220049427</v>
      </c>
      <c r="N950">
        <f>I950</f>
        <v>576600.92658233223</v>
      </c>
      <c r="O950" s="1">
        <f>SUM(K$2:K950)/$G$3</f>
        <v>0.1509771802582793</v>
      </c>
      <c r="P950" s="1">
        <f>SUM(L$2:L950)/$G$3</f>
        <v>0.16359869530782556</v>
      </c>
      <c r="Q950" s="1">
        <f t="shared" si="71"/>
        <v>150.9771802582793</v>
      </c>
      <c r="R950" s="1">
        <f t="shared" si="72"/>
        <v>163.59869530782555</v>
      </c>
    </row>
    <row r="951" spans="1:18" x14ac:dyDescent="0.35">
      <c r="A951">
        <v>6.6805662806619699</v>
      </c>
      <c r="B951">
        <v>4.02150070889964</v>
      </c>
      <c r="C951">
        <v>3.5689169481008101</v>
      </c>
      <c r="I951" s="1">
        <f t="shared" si="73"/>
        <v>577200.92664919421</v>
      </c>
      <c r="J951">
        <f t="shared" si="74"/>
        <v>600.00006686197594</v>
      </c>
      <c r="K951" s="1">
        <f t="shared" si="75"/>
        <v>11.340633262858759</v>
      </c>
      <c r="L951" s="1">
        <f t="shared" si="75"/>
        <v>10.064346915181028</v>
      </c>
      <c r="N951">
        <f>I951</f>
        <v>577200.92664919421</v>
      </c>
      <c r="O951" s="1">
        <f>SUM(K$2:K951)/$G$3</f>
        <v>0.15109471804407873</v>
      </c>
      <c r="P951" s="1">
        <f>SUM(L$2:L951)/$G$3</f>
        <v>0.16370300527222606</v>
      </c>
      <c r="Q951" s="1">
        <f t="shared" si="71"/>
        <v>151.09471804407872</v>
      </c>
      <c r="R951" s="1">
        <f t="shared" si="72"/>
        <v>163.70300527222605</v>
      </c>
    </row>
    <row r="952" spans="1:18" x14ac:dyDescent="0.35">
      <c r="A952">
        <v>6.6875107258802702</v>
      </c>
      <c r="B952">
        <v>3.9876026887010001</v>
      </c>
      <c r="C952">
        <v>3.5322143323986999</v>
      </c>
      <c r="I952" s="1">
        <f t="shared" si="73"/>
        <v>577800.92671605537</v>
      </c>
      <c r="J952">
        <f t="shared" si="74"/>
        <v>600.00006686116103</v>
      </c>
      <c r="K952" s="1">
        <f t="shared" si="75"/>
        <v>11.245040835230826</v>
      </c>
      <c r="L952" s="1">
        <f t="shared" si="75"/>
        <v>9.9608455273537047</v>
      </c>
      <c r="N952">
        <f>I952</f>
        <v>577800.92671605537</v>
      </c>
      <c r="O952" s="1">
        <f>SUM(K$2:K952)/$G$3</f>
        <v>0.15121126508077076</v>
      </c>
      <c r="P952" s="1">
        <f>SUM(L$2:L952)/$G$3</f>
        <v>0.16380624251664078</v>
      </c>
      <c r="Q952" s="1">
        <f t="shared" si="71"/>
        <v>151.21126508077077</v>
      </c>
      <c r="R952" s="1">
        <f t="shared" si="72"/>
        <v>163.80624251664076</v>
      </c>
    </row>
    <row r="953" spans="1:18" x14ac:dyDescent="0.35">
      <c r="A953">
        <v>6.6944551710985696</v>
      </c>
      <c r="B953">
        <v>3.9560856547713898</v>
      </c>
      <c r="C953">
        <v>3.4961981754517102</v>
      </c>
      <c r="I953" s="1">
        <f t="shared" si="73"/>
        <v>578400.92678291642</v>
      </c>
      <c r="J953">
        <f t="shared" si="74"/>
        <v>600.00006686104462</v>
      </c>
      <c r="K953" s="1">
        <f t="shared" si="75"/>
        <v>11.156162789643011</v>
      </c>
      <c r="L953" s="1">
        <f t="shared" si="75"/>
        <v>9.8592799534432949</v>
      </c>
      <c r="N953">
        <f>I953</f>
        <v>578400.92678291642</v>
      </c>
      <c r="O953" s="1">
        <f>SUM(K$2:K953)/$G$3</f>
        <v>0.15132689095826099</v>
      </c>
      <c r="P953" s="1">
        <f>SUM(L$2:L953)/$G$3</f>
        <v>0.16390842710443621</v>
      </c>
      <c r="Q953" s="1">
        <f t="shared" si="71"/>
        <v>151.326890958261</v>
      </c>
      <c r="R953" s="1">
        <f t="shared" si="72"/>
        <v>163.90842710443621</v>
      </c>
    </row>
    <row r="954" spans="1:18" x14ac:dyDescent="0.35">
      <c r="A954">
        <v>6.7013996163168796</v>
      </c>
      <c r="B954">
        <v>3.9226824071012998</v>
      </c>
      <c r="C954">
        <v>3.46388132576126</v>
      </c>
      <c r="I954" s="1">
        <f t="shared" si="73"/>
        <v>579000.92684977839</v>
      </c>
      <c r="J954">
        <f t="shared" si="74"/>
        <v>600.00006686197594</v>
      </c>
      <c r="K954" s="1">
        <f t="shared" si="75"/>
        <v>11.061965620733661</v>
      </c>
      <c r="L954" s="1">
        <f t="shared" si="75"/>
        <v>9.7681464271759175</v>
      </c>
      <c r="N954">
        <f>I954</f>
        <v>579000.92684977839</v>
      </c>
      <c r="O954" s="1">
        <f>SUM(K$2:K954)/$G$3</f>
        <v>0.15144154054753117</v>
      </c>
      <c r="P954" s="1">
        <f>SUM(L$2:L954)/$G$3</f>
        <v>0.16400966715653939</v>
      </c>
      <c r="Q954" s="1">
        <f t="shared" si="71"/>
        <v>151.44154054753116</v>
      </c>
      <c r="R954" s="1">
        <f t="shared" si="72"/>
        <v>164.00966715653939</v>
      </c>
    </row>
    <row r="955" spans="1:18" x14ac:dyDescent="0.35">
      <c r="A955">
        <v>6.7083440615351799</v>
      </c>
      <c r="B955">
        <v>3.89061720436926</v>
      </c>
      <c r="C955">
        <v>3.4287447832587001</v>
      </c>
      <c r="I955" s="1">
        <f t="shared" si="73"/>
        <v>579600.92691663955</v>
      </c>
      <c r="J955">
        <f t="shared" si="74"/>
        <v>600.00006686116103</v>
      </c>
      <c r="K955" s="1">
        <f t="shared" si="75"/>
        <v>10.971541738937875</v>
      </c>
      <c r="L955" s="1">
        <f t="shared" si="75"/>
        <v>9.6690613662638629</v>
      </c>
      <c r="N955">
        <f>I955</f>
        <v>579600.92691663955</v>
      </c>
      <c r="O955" s="1">
        <f>SUM(K$2:K955)/$G$3</f>
        <v>0.15155525295608108</v>
      </c>
      <c r="P955" s="1">
        <f>SUM(L$2:L955)/$G$3</f>
        <v>0.16410988026081741</v>
      </c>
      <c r="Q955" s="1">
        <f t="shared" si="71"/>
        <v>151.55525295608106</v>
      </c>
      <c r="R955" s="1">
        <f t="shared" si="72"/>
        <v>164.10988026081742</v>
      </c>
    </row>
    <row r="956" spans="1:18" x14ac:dyDescent="0.35">
      <c r="A956">
        <v>6.71528850675349</v>
      </c>
      <c r="B956">
        <v>3.8559095815797502</v>
      </c>
      <c r="C956">
        <v>3.39893021323654</v>
      </c>
      <c r="I956" s="1">
        <f t="shared" si="73"/>
        <v>580200.92698350153</v>
      </c>
      <c r="J956">
        <f t="shared" si="74"/>
        <v>600.00006686197594</v>
      </c>
      <c r="K956" s="1">
        <f t="shared" si="75"/>
        <v>10.873666231779444</v>
      </c>
      <c r="L956" s="1">
        <f t="shared" si="75"/>
        <v>9.5849842694452363</v>
      </c>
      <c r="N956">
        <f>I956</f>
        <v>580200.92698350153</v>
      </c>
      <c r="O956" s="1">
        <f>SUM(K$2:K956)/$G$3</f>
        <v>0.15166795095299024</v>
      </c>
      <c r="P956" s="1">
        <f>SUM(L$2:L956)/$G$3</f>
        <v>0.16420922196439253</v>
      </c>
      <c r="Q956" s="1">
        <f t="shared" si="71"/>
        <v>151.66795095299022</v>
      </c>
      <c r="R956" s="1">
        <f t="shared" si="72"/>
        <v>164.20922196439253</v>
      </c>
    </row>
    <row r="957" spans="1:18" x14ac:dyDescent="0.35">
      <c r="A957">
        <v>6.7222329519717903</v>
      </c>
      <c r="B957">
        <v>3.8214654537752302</v>
      </c>
      <c r="C957">
        <v>3.36703916400432</v>
      </c>
      <c r="I957" s="1">
        <f t="shared" si="73"/>
        <v>580800.92705036269</v>
      </c>
      <c r="J957">
        <f t="shared" si="74"/>
        <v>600.00006686116103</v>
      </c>
      <c r="K957" s="1">
        <f t="shared" si="75"/>
        <v>10.776533780531949</v>
      </c>
      <c r="L957" s="1">
        <f t="shared" si="75"/>
        <v>9.495051500575677</v>
      </c>
      <c r="N957">
        <f>I957</f>
        <v>580800.92705036269</v>
      </c>
      <c r="O957" s="1">
        <f>SUM(K$2:K957)/$G$3</f>
        <v>0.15177964223951695</v>
      </c>
      <c r="P957" s="1">
        <f>SUM(L$2:L957)/$G$3</f>
        <v>0.16430763157729167</v>
      </c>
      <c r="Q957" s="1">
        <f t="shared" si="71"/>
        <v>151.77964223951696</v>
      </c>
      <c r="R957" s="1">
        <f t="shared" si="72"/>
        <v>164.30763157729166</v>
      </c>
    </row>
    <row r="958" spans="1:18" x14ac:dyDescent="0.35">
      <c r="A958">
        <v>6.7291773971901003</v>
      </c>
      <c r="B958">
        <v>3.78940294856617</v>
      </c>
      <c r="C958">
        <v>3.3352770462181098</v>
      </c>
      <c r="I958" s="1">
        <f t="shared" si="73"/>
        <v>581400.92711722467</v>
      </c>
      <c r="J958">
        <f t="shared" si="74"/>
        <v>600.00006686197594</v>
      </c>
      <c r="K958" s="1">
        <f t="shared" si="75"/>
        <v>10.686117505781354</v>
      </c>
      <c r="L958" s="1">
        <f t="shared" si="75"/>
        <v>9.4054823184501739</v>
      </c>
      <c r="N958">
        <f>I958</f>
        <v>581400.92711722467</v>
      </c>
      <c r="O958" s="1">
        <f>SUM(K$2:K958)/$G$3</f>
        <v>0.15189039642416516</v>
      </c>
      <c r="P958" s="1">
        <f>SUM(L$2:L958)/$G$3</f>
        <v>0.16440511286783893</v>
      </c>
      <c r="Q958" s="1">
        <f t="shared" si="71"/>
        <v>151.89039642416515</v>
      </c>
      <c r="R958" s="1">
        <f t="shared" si="72"/>
        <v>164.40511286783894</v>
      </c>
    </row>
    <row r="959" spans="1:18" x14ac:dyDescent="0.35">
      <c r="A959">
        <v>6.7361218424083997</v>
      </c>
      <c r="B959">
        <v>3.75691905219611</v>
      </c>
      <c r="C959">
        <v>3.3037998616804898</v>
      </c>
      <c r="I959" s="1">
        <f t="shared" si="73"/>
        <v>582000.92718408571</v>
      </c>
      <c r="J959">
        <f t="shared" si="74"/>
        <v>600.00006686104462</v>
      </c>
      <c r="K959" s="1">
        <f t="shared" si="75"/>
        <v>10.594512907793234</v>
      </c>
      <c r="L959" s="1">
        <f t="shared" si="75"/>
        <v>9.316716648147878</v>
      </c>
      <c r="N959">
        <f>I959</f>
        <v>582000.92718408571</v>
      </c>
      <c r="O959" s="1">
        <f>SUM(K$2:K959)/$G$3</f>
        <v>0.15200020119078997</v>
      </c>
      <c r="P959" s="1">
        <f>SUM(L$2:L959)/$G$3</f>
        <v>0.16450167416387609</v>
      </c>
      <c r="Q959" s="1">
        <f t="shared" si="71"/>
        <v>152.00020119078997</v>
      </c>
      <c r="R959" s="1">
        <f t="shared" si="72"/>
        <v>164.50167416387609</v>
      </c>
    </row>
    <row r="960" spans="1:18" x14ac:dyDescent="0.35">
      <c r="A960">
        <v>6.7430662876267098</v>
      </c>
      <c r="B960">
        <v>3.7261978782803298</v>
      </c>
      <c r="C960">
        <v>3.2707144378891302</v>
      </c>
      <c r="I960" s="1">
        <f t="shared" si="73"/>
        <v>582600.92725094769</v>
      </c>
      <c r="J960">
        <f t="shared" si="74"/>
        <v>600.00006686197594</v>
      </c>
      <c r="K960" s="1">
        <f t="shared" si="75"/>
        <v>10.507879187713009</v>
      </c>
      <c r="L960" s="1">
        <f t="shared" si="75"/>
        <v>9.2234157426735681</v>
      </c>
      <c r="N960">
        <f>I960</f>
        <v>582600.92725094769</v>
      </c>
      <c r="O960" s="1">
        <f>SUM(K$2:K960)/$G$3</f>
        <v>0.15210910805908776</v>
      </c>
      <c r="P960" s="1">
        <f>SUM(L$2:L960)/$G$3</f>
        <v>0.16459726846084116</v>
      </c>
      <c r="Q960" s="1">
        <f t="shared" si="71"/>
        <v>152.10910805908776</v>
      </c>
      <c r="R960" s="1">
        <f t="shared" si="72"/>
        <v>164.59726846084115</v>
      </c>
    </row>
    <row r="961" spans="1:18" x14ac:dyDescent="0.35">
      <c r="A961">
        <v>6.7500107328450101</v>
      </c>
      <c r="B961">
        <v>3.69826802430872</v>
      </c>
      <c r="C961">
        <v>3.2422106730415998</v>
      </c>
      <c r="I961" s="1">
        <f t="shared" si="73"/>
        <v>583200.92731780885</v>
      </c>
      <c r="J961">
        <f t="shared" si="74"/>
        <v>600.00006686116103</v>
      </c>
      <c r="K961" s="1">
        <f t="shared" si="75"/>
        <v>10.429116990721912</v>
      </c>
      <c r="L961" s="1">
        <f t="shared" si="75"/>
        <v>9.1430351168337705</v>
      </c>
      <c r="N961">
        <f>I961</f>
        <v>583200.92731780885</v>
      </c>
      <c r="O961" s="1">
        <f>SUM(K$2:K961)/$G$3</f>
        <v>0.15221719861192728</v>
      </c>
      <c r="P961" s="1">
        <f>SUM(L$2:L961)/$G$3</f>
        <v>0.1646920296684572</v>
      </c>
      <c r="Q961" s="1">
        <f t="shared" si="71"/>
        <v>152.21719861192727</v>
      </c>
      <c r="R961" s="1">
        <f t="shared" si="72"/>
        <v>164.6920296684572</v>
      </c>
    </row>
    <row r="962" spans="1:18" x14ac:dyDescent="0.35">
      <c r="A962">
        <v>6.7569551780633104</v>
      </c>
      <c r="B962">
        <v>3.6703168439427398</v>
      </c>
      <c r="C962">
        <v>3.21311845966494</v>
      </c>
      <c r="I962" s="1">
        <f t="shared" si="73"/>
        <v>583800.92738467001</v>
      </c>
      <c r="J962">
        <f t="shared" si="74"/>
        <v>600.00006686116103</v>
      </c>
      <c r="K962" s="1">
        <f t="shared" si="75"/>
        <v>10.350294653306261</v>
      </c>
      <c r="L962" s="1">
        <f t="shared" si="75"/>
        <v>9.0609950659694363</v>
      </c>
      <c r="N962">
        <f>I962</f>
        <v>583800.92738467001</v>
      </c>
      <c r="O962" s="1">
        <f>SUM(K$2:K962)/$G$3</f>
        <v>0.15232447222599482</v>
      </c>
      <c r="P962" s="1">
        <f>SUM(L$2:L962)/$G$3</f>
        <v>0.16478594058793661</v>
      </c>
      <c r="Q962" s="1">
        <f t="shared" ref="Q962:Q1025" si="76">O962*1000</f>
        <v>152.32447222599481</v>
      </c>
      <c r="R962" s="1">
        <f t="shared" ref="R962:R1025" si="77">P962*1000</f>
        <v>164.78594058793661</v>
      </c>
    </row>
    <row r="963" spans="1:18" x14ac:dyDescent="0.35">
      <c r="A963">
        <v>6.7638996232816204</v>
      </c>
      <c r="B963">
        <v>3.6402113665542299</v>
      </c>
      <c r="C963">
        <v>3.18334618124788</v>
      </c>
      <c r="I963" s="1">
        <f t="shared" ref="I963:I1026" si="78">A963*86400</f>
        <v>584400.92745153198</v>
      </c>
      <c r="J963">
        <f t="shared" si="74"/>
        <v>600.00006686197594</v>
      </c>
      <c r="K963" s="1">
        <f t="shared" si="75"/>
        <v>10.265397197624036</v>
      </c>
      <c r="L963" s="1">
        <f t="shared" si="75"/>
        <v>8.9770372314896569</v>
      </c>
      <c r="N963">
        <f>I963</f>
        <v>584400.92745153198</v>
      </c>
      <c r="O963" s="1">
        <f>SUM(K$2:K963)/$G$3</f>
        <v>0.15243086593690972</v>
      </c>
      <c r="P963" s="1">
        <f>SUM(L$2:L963)/$G$3</f>
        <v>0.16487898134278439</v>
      </c>
      <c r="Q963" s="1">
        <f t="shared" si="76"/>
        <v>152.43086593690973</v>
      </c>
      <c r="R963" s="1">
        <f t="shared" si="77"/>
        <v>164.87898134278439</v>
      </c>
    </row>
    <row r="964" spans="1:18" x14ac:dyDescent="0.35">
      <c r="A964">
        <v>6.7708440684999198</v>
      </c>
      <c r="B964">
        <v>3.6102329987961199</v>
      </c>
      <c r="C964">
        <v>3.1543332159950701</v>
      </c>
      <c r="I964" s="1">
        <f t="shared" si="78"/>
        <v>585000.92751839303</v>
      </c>
      <c r="J964">
        <f t="shared" si="74"/>
        <v>600.00006686104462</v>
      </c>
      <c r="K964" s="1">
        <f t="shared" si="75"/>
        <v>10.180858191109623</v>
      </c>
      <c r="L964" s="1">
        <f t="shared" si="75"/>
        <v>8.8952206603455632</v>
      </c>
      <c r="N964">
        <f>I964</f>
        <v>585000.92751839303</v>
      </c>
      <c r="O964" s="1">
        <f>SUM(K$2:K964)/$G$3</f>
        <v>0.1525363834597486</v>
      </c>
      <c r="P964" s="1">
        <f>SUM(L$2:L964)/$G$3</f>
        <v>0.16497117412570761</v>
      </c>
      <c r="Q964" s="1">
        <f t="shared" si="76"/>
        <v>152.53638345974861</v>
      </c>
      <c r="R964" s="1">
        <f t="shared" si="77"/>
        <v>164.97117412570762</v>
      </c>
    </row>
    <row r="965" spans="1:18" x14ac:dyDescent="0.35">
      <c r="A965">
        <v>6.7777885137182299</v>
      </c>
      <c r="B965">
        <v>3.5804353789308601</v>
      </c>
      <c r="C965">
        <v>3.12694224838281</v>
      </c>
      <c r="I965" s="1">
        <f t="shared" si="78"/>
        <v>585600.92758525501</v>
      </c>
      <c r="J965">
        <f t="shared" si="74"/>
        <v>600.00006686197594</v>
      </c>
      <c r="K965" s="1">
        <f t="shared" si="75"/>
        <v>10.096828893741453</v>
      </c>
      <c r="L965" s="1">
        <f t="shared" si="75"/>
        <v>8.8179781230851511</v>
      </c>
      <c r="N965">
        <f>I965</f>
        <v>585600.92758525501</v>
      </c>
      <c r="O965" s="1">
        <f>SUM(K$2:K965)/$G$3</f>
        <v>0.15264103007729268</v>
      </c>
      <c r="P965" s="1">
        <f>SUM(L$2:L965)/$G$3</f>
        <v>0.16506256634338998</v>
      </c>
      <c r="Q965" s="1">
        <f t="shared" si="76"/>
        <v>152.64103007729267</v>
      </c>
      <c r="R965" s="1">
        <f t="shared" si="77"/>
        <v>165.06256634338999</v>
      </c>
    </row>
    <row r="966" spans="1:18" x14ac:dyDescent="0.35">
      <c r="A966">
        <v>6.7847329589365302</v>
      </c>
      <c r="B966">
        <v>3.5544861659606699</v>
      </c>
      <c r="C966">
        <v>3.10126803942513</v>
      </c>
      <c r="I966" s="1">
        <f t="shared" si="78"/>
        <v>586200.92765211617</v>
      </c>
      <c r="J966">
        <f t="shared" ref="J966:J1029" si="79">I966-I965</f>
        <v>600.00006686116103</v>
      </c>
      <c r="K966" s="1">
        <f t="shared" si="75"/>
        <v>10.023652104997327</v>
      </c>
      <c r="L966" s="1">
        <f t="shared" si="75"/>
        <v>8.7455768457444609</v>
      </c>
      <c r="N966">
        <f>I966</f>
        <v>586200.92765211617</v>
      </c>
      <c r="O966" s="1">
        <f>SUM(K$2:K966)/$G$3</f>
        <v>0.15274491826825498</v>
      </c>
      <c r="P966" s="1">
        <f>SUM(L$2:L966)/$G$3</f>
        <v>0.16515320817212756</v>
      </c>
      <c r="Q966" s="1">
        <f t="shared" si="76"/>
        <v>152.74491826825499</v>
      </c>
      <c r="R966" s="1">
        <f t="shared" si="77"/>
        <v>165.15320817212756</v>
      </c>
    </row>
    <row r="967" spans="1:18" x14ac:dyDescent="0.35">
      <c r="A967">
        <v>6.7916774041548402</v>
      </c>
      <c r="B967">
        <v>3.5258399918860399</v>
      </c>
      <c r="C967">
        <v>3.0718687242116598</v>
      </c>
      <c r="I967" s="1">
        <f t="shared" si="78"/>
        <v>586800.92771897814</v>
      </c>
      <c r="J967">
        <f t="shared" si="79"/>
        <v>600.00006686197594</v>
      </c>
      <c r="K967" s="1">
        <f t="shared" si="75"/>
        <v>9.9428698851183874</v>
      </c>
      <c r="L967" s="1">
        <f t="shared" si="75"/>
        <v>8.6626707676155803</v>
      </c>
      <c r="N967">
        <f>I967</f>
        <v>586800.92771897814</v>
      </c>
      <c r="O967" s="1">
        <f>SUM(K$2:K967)/$G$3</f>
        <v>0.15284796920762503</v>
      </c>
      <c r="P967" s="1">
        <f>SUM(L$2:L967)/$G$3</f>
        <v>0.16524299073695747</v>
      </c>
      <c r="Q967" s="1">
        <f t="shared" si="76"/>
        <v>152.84796920762503</v>
      </c>
      <c r="R967" s="1">
        <f t="shared" si="77"/>
        <v>165.24299073695747</v>
      </c>
    </row>
    <row r="968" spans="1:18" x14ac:dyDescent="0.35">
      <c r="A968">
        <v>6.7986218493731396</v>
      </c>
      <c r="B968">
        <v>3.4976940086671799</v>
      </c>
      <c r="C968">
        <v>3.0458385966968198</v>
      </c>
      <c r="I968" s="1">
        <f t="shared" si="78"/>
        <v>587400.9277858393</v>
      </c>
      <c r="J968">
        <f t="shared" si="79"/>
        <v>600.00006686116103</v>
      </c>
      <c r="K968" s="1">
        <f t="shared" si="75"/>
        <v>9.8634982035828944</v>
      </c>
      <c r="L968" s="1">
        <f t="shared" si="75"/>
        <v>8.5892657998320647</v>
      </c>
      <c r="N968">
        <f>I968</f>
        <v>587400.9277858393</v>
      </c>
      <c r="O968" s="1">
        <f>SUM(K$2:K968)/$G$3</f>
        <v>0.15295019751465291</v>
      </c>
      <c r="P968" s="1">
        <f>SUM(L$2:L968)/$G$3</f>
        <v>0.16533201251028837</v>
      </c>
      <c r="Q968" s="1">
        <f t="shared" si="76"/>
        <v>152.95019751465293</v>
      </c>
      <c r="R968" s="1">
        <f t="shared" si="77"/>
        <v>165.33201251028837</v>
      </c>
    </row>
    <row r="969" spans="1:18" x14ac:dyDescent="0.35">
      <c r="A969">
        <v>6.8055662945914497</v>
      </c>
      <c r="B969">
        <v>3.56642214741135</v>
      </c>
      <c r="C969">
        <v>3.01661363990006</v>
      </c>
      <c r="I969" s="1">
        <f t="shared" si="78"/>
        <v>588000.92785270128</v>
      </c>
      <c r="J969">
        <f t="shared" si="79"/>
        <v>600.00006686197594</v>
      </c>
      <c r="K969" s="1">
        <f t="shared" si="75"/>
        <v>10.057311576452756</v>
      </c>
      <c r="L969" s="1">
        <f t="shared" si="75"/>
        <v>8.5068514124928889</v>
      </c>
      <c r="N969">
        <f>I969</f>
        <v>588000.92785270128</v>
      </c>
      <c r="O969" s="1">
        <f>SUM(K$2:K969)/$G$3</f>
        <v>0.15305443456265469</v>
      </c>
      <c r="P969" s="1">
        <f>SUM(L$2:L969)/$G$3</f>
        <v>0.16542018011574511</v>
      </c>
      <c r="Q969" s="1">
        <f t="shared" si="76"/>
        <v>153.05443456265468</v>
      </c>
      <c r="R969" s="1">
        <f t="shared" si="77"/>
        <v>165.4201801157451</v>
      </c>
    </row>
    <row r="970" spans="1:18" x14ac:dyDescent="0.35">
      <c r="A970">
        <v>6.81251073980975</v>
      </c>
      <c r="B970">
        <v>4.6976136750635202</v>
      </c>
      <c r="C970">
        <v>3.3844129876550002</v>
      </c>
      <c r="I970" s="1">
        <f t="shared" si="78"/>
        <v>588600.92791956244</v>
      </c>
      <c r="J970">
        <f t="shared" si="79"/>
        <v>600.00006686116103</v>
      </c>
      <c r="K970" s="1">
        <f t="shared" si="75"/>
        <v>13.247272039892277</v>
      </c>
      <c r="L970" s="1">
        <f t="shared" si="75"/>
        <v>9.5440456887302751</v>
      </c>
      <c r="N970">
        <f>I970</f>
        <v>588600.92791956244</v>
      </c>
      <c r="O970" s="1">
        <f>SUM(K$2:K970)/$G$3</f>
        <v>0.15319173333489797</v>
      </c>
      <c r="P970" s="1">
        <f>SUM(L$2:L970)/$G$3</f>
        <v>0.1655190975193698</v>
      </c>
      <c r="Q970" s="1">
        <f t="shared" si="76"/>
        <v>153.19173333489798</v>
      </c>
      <c r="R970" s="1">
        <f t="shared" si="77"/>
        <v>165.51909751936981</v>
      </c>
    </row>
    <row r="971" spans="1:18" x14ac:dyDescent="0.35">
      <c r="A971">
        <v>6.81945518502806</v>
      </c>
      <c r="B971">
        <v>5.1594625016104496</v>
      </c>
      <c r="C971">
        <v>3.9990774167943601</v>
      </c>
      <c r="I971" s="1">
        <f t="shared" si="78"/>
        <v>589200.92798642442</v>
      </c>
      <c r="J971">
        <f t="shared" si="79"/>
        <v>600.00006686197594</v>
      </c>
      <c r="K971" s="1">
        <f t="shared" si="75"/>
        <v>14.5496858759092</v>
      </c>
      <c r="L971" s="1">
        <f t="shared" si="75"/>
        <v>11.27739957207532</v>
      </c>
      <c r="N971">
        <f>I971</f>
        <v>589200.92798642442</v>
      </c>
      <c r="O971" s="1">
        <f>SUM(K$2:K971)/$G$3</f>
        <v>0.15334253072180692</v>
      </c>
      <c r="P971" s="1">
        <f>SUM(L$2:L971)/$G$3</f>
        <v>0.16563597993189066</v>
      </c>
      <c r="Q971" s="1">
        <f t="shared" si="76"/>
        <v>153.34253072180692</v>
      </c>
      <c r="R971" s="1">
        <f t="shared" si="77"/>
        <v>165.63597993189066</v>
      </c>
    </row>
    <row r="972" spans="1:18" x14ac:dyDescent="0.35">
      <c r="A972">
        <v>6.8263996302463603</v>
      </c>
      <c r="B972">
        <v>5.3203295184723904</v>
      </c>
      <c r="C972">
        <v>4.2827223775537204</v>
      </c>
      <c r="I972" s="1">
        <f t="shared" si="78"/>
        <v>589800.92805328558</v>
      </c>
      <c r="J972">
        <f t="shared" si="79"/>
        <v>600.00006686116103</v>
      </c>
      <c r="K972" s="1">
        <f t="shared" si="75"/>
        <v>15.003330913992164</v>
      </c>
      <c r="L972" s="1">
        <f t="shared" si="75"/>
        <v>12.077278450536108</v>
      </c>
      <c r="N972">
        <f>I972</f>
        <v>589800.92805328558</v>
      </c>
      <c r="O972" s="1">
        <f>SUM(K$2:K972)/$G$3</f>
        <v>0.15349802982440308</v>
      </c>
      <c r="P972" s="1">
        <f>SUM(L$2:L972)/$G$3</f>
        <v>0.16576115253333684</v>
      </c>
      <c r="Q972" s="1">
        <f t="shared" si="76"/>
        <v>153.49802982440309</v>
      </c>
      <c r="R972" s="1">
        <f t="shared" si="77"/>
        <v>165.76115253333685</v>
      </c>
    </row>
    <row r="973" spans="1:18" x14ac:dyDescent="0.35">
      <c r="A973">
        <v>6.8333440754646597</v>
      </c>
      <c r="B973">
        <v>5.3934183295382896</v>
      </c>
      <c r="C973">
        <v>4.4240314768487696</v>
      </c>
      <c r="I973" s="1">
        <f t="shared" si="78"/>
        <v>590400.92812014662</v>
      </c>
      <c r="J973">
        <f t="shared" si="79"/>
        <v>600.00006686104462</v>
      </c>
      <c r="K973" s="1">
        <f t="shared" si="75"/>
        <v>15.20944138416302</v>
      </c>
      <c r="L973" s="1">
        <f t="shared" si="75"/>
        <v>12.475770154951752</v>
      </c>
      <c r="N973">
        <f>I973</f>
        <v>590400.92812014662</v>
      </c>
      <c r="O973" s="1">
        <f>SUM(K$2:K973)/$G$3</f>
        <v>0.15365566511884432</v>
      </c>
      <c r="P973" s="1">
        <f>SUM(L$2:L973)/$G$3</f>
        <v>0.16589045522448004</v>
      </c>
      <c r="Q973" s="1">
        <f t="shared" si="76"/>
        <v>153.65566511884433</v>
      </c>
      <c r="R973" s="1">
        <f t="shared" si="77"/>
        <v>165.89045522448004</v>
      </c>
    </row>
    <row r="974" spans="1:18" x14ac:dyDescent="0.35">
      <c r="A974">
        <v>6.8402885206829698</v>
      </c>
      <c r="B974">
        <v>5.4166459561982299</v>
      </c>
      <c r="C974">
        <v>4.4812814044467304</v>
      </c>
      <c r="I974" s="1">
        <f t="shared" si="78"/>
        <v>591000.9281870086</v>
      </c>
      <c r="J974">
        <f t="shared" si="79"/>
        <v>600.00006686197594</v>
      </c>
      <c r="K974" s="1">
        <f t="shared" si="75"/>
        <v>15.274943298666972</v>
      </c>
      <c r="L974" s="1">
        <f t="shared" si="75"/>
        <v>12.637214968788228</v>
      </c>
      <c r="N974">
        <f>I974</f>
        <v>591000.9281870086</v>
      </c>
      <c r="O974" s="1">
        <f>SUM(K$2:K974)/$G$3</f>
        <v>0.15381397929512736</v>
      </c>
      <c r="P974" s="1">
        <f>SUM(L$2:L974)/$G$3</f>
        <v>0.1660214311789682</v>
      </c>
      <c r="Q974" s="1">
        <f t="shared" si="76"/>
        <v>153.81397929512735</v>
      </c>
      <c r="R974" s="1">
        <f t="shared" si="77"/>
        <v>166.02143117896819</v>
      </c>
    </row>
    <row r="975" spans="1:18" x14ac:dyDescent="0.35">
      <c r="A975">
        <v>6.8472329659012701</v>
      </c>
      <c r="B975">
        <v>5.4213014207494998</v>
      </c>
      <c r="C975">
        <v>4.4852790254079702</v>
      </c>
      <c r="I975" s="1">
        <f t="shared" si="78"/>
        <v>591600.92825386976</v>
      </c>
      <c r="J975">
        <f t="shared" si="79"/>
        <v>600.00006686116103</v>
      </c>
      <c r="K975" s="1">
        <f t="shared" si="75"/>
        <v>15.288071710143775</v>
      </c>
      <c r="L975" s="1">
        <f t="shared" si="75"/>
        <v>12.648488261138004</v>
      </c>
      <c r="N975">
        <f>I975</f>
        <v>591600.92825386976</v>
      </c>
      <c r="O975" s="1">
        <f>SUM(K$2:K975)/$G$3</f>
        <v>0.15397242953827545</v>
      </c>
      <c r="P975" s="1">
        <f>SUM(L$2:L975)/$G$3</f>
        <v>0.16615252397330035</v>
      </c>
      <c r="Q975" s="1">
        <f t="shared" si="76"/>
        <v>153.97242953827543</v>
      </c>
      <c r="R975" s="1">
        <f t="shared" si="77"/>
        <v>166.15252397330036</v>
      </c>
    </row>
    <row r="976" spans="1:18" x14ac:dyDescent="0.35">
      <c r="A976">
        <v>6.8541774111195801</v>
      </c>
      <c r="B976">
        <v>5.4023941689827799</v>
      </c>
      <c r="C976">
        <v>4.4644166901238496</v>
      </c>
      <c r="I976" s="1">
        <f t="shared" si="78"/>
        <v>592200.92832073173</v>
      </c>
      <c r="J976">
        <f t="shared" si="79"/>
        <v>600.00006686197594</v>
      </c>
      <c r="K976" s="1">
        <f t="shared" si="75"/>
        <v>15.234753254240761</v>
      </c>
      <c r="L976" s="1">
        <f t="shared" si="75"/>
        <v>12.589656469097946</v>
      </c>
      <c r="N976">
        <f>I976</f>
        <v>592200.92832073173</v>
      </c>
      <c r="O976" s="1">
        <f>SUM(K$2:K976)/$G$3</f>
        <v>0.1541303271726667</v>
      </c>
      <c r="P976" s="1">
        <f>SUM(L$2:L976)/$G$3</f>
        <v>0.16628300701697654</v>
      </c>
      <c r="Q976" s="1">
        <f t="shared" si="76"/>
        <v>154.13032717266671</v>
      </c>
      <c r="R976" s="1">
        <f t="shared" si="77"/>
        <v>166.28300701697654</v>
      </c>
    </row>
    <row r="977" spans="1:18" x14ac:dyDescent="0.35">
      <c r="A977">
        <v>6.8611218563378804</v>
      </c>
      <c r="B977">
        <v>5.3903269054961296</v>
      </c>
      <c r="C977">
        <v>4.4410555646078702</v>
      </c>
      <c r="I977" s="1">
        <f t="shared" si="78"/>
        <v>592800.9283875929</v>
      </c>
      <c r="J977">
        <f t="shared" si="79"/>
        <v>600.00006686116103</v>
      </c>
      <c r="K977" s="1">
        <f t="shared" si="75"/>
        <v>15.200723567395606</v>
      </c>
      <c r="L977" s="1">
        <f t="shared" si="75"/>
        <v>12.523778087784612</v>
      </c>
      <c r="N977">
        <f>I977</f>
        <v>592800.9283875929</v>
      </c>
      <c r="O977" s="1">
        <f>SUM(K$2:K977)/$G$3</f>
        <v>0.15428787211299314</v>
      </c>
      <c r="P977" s="1">
        <f>SUM(L$2:L977)/$G$3</f>
        <v>0.16641280727699401</v>
      </c>
      <c r="Q977" s="1">
        <f t="shared" si="76"/>
        <v>154.28787211299314</v>
      </c>
      <c r="R977" s="1">
        <f t="shared" si="77"/>
        <v>166.41280727699402</v>
      </c>
    </row>
    <row r="978" spans="1:18" x14ac:dyDescent="0.35">
      <c r="A978">
        <v>6.8680663015561896</v>
      </c>
      <c r="B978">
        <v>5.3751062256296303</v>
      </c>
      <c r="C978">
        <v>4.40139602501303</v>
      </c>
      <c r="I978" s="1">
        <f t="shared" si="78"/>
        <v>593400.92845445476</v>
      </c>
      <c r="J978">
        <f t="shared" si="79"/>
        <v>600.00006686185952</v>
      </c>
      <c r="K978" s="1">
        <f t="shared" si="75"/>
        <v>15.157801245406665</v>
      </c>
      <c r="L978" s="1">
        <f t="shared" si="75"/>
        <v>12.411938173678701</v>
      </c>
      <c r="N978">
        <f>I978</f>
        <v>593400.92845445476</v>
      </c>
      <c r="O978" s="1">
        <f>SUM(K$2:K978)/$G$3</f>
        <v>0.15444497219326889</v>
      </c>
      <c r="P978" s="1">
        <f>SUM(L$2:L978)/$G$3</f>
        <v>0.16654144839399332</v>
      </c>
      <c r="Q978" s="1">
        <f t="shared" si="76"/>
        <v>154.44497219326888</v>
      </c>
      <c r="R978" s="1">
        <f t="shared" si="77"/>
        <v>166.54144839399331</v>
      </c>
    </row>
    <row r="979" spans="1:18" x14ac:dyDescent="0.35">
      <c r="A979">
        <v>6.8750107467744899</v>
      </c>
      <c r="B979">
        <v>5.3518234308911596</v>
      </c>
      <c r="C979">
        <v>4.3665337350439897</v>
      </c>
      <c r="I979" s="1">
        <f t="shared" si="78"/>
        <v>594000.92852131592</v>
      </c>
      <c r="J979">
        <f t="shared" si="79"/>
        <v>600.00006686116103</v>
      </c>
      <c r="K979" s="1">
        <f t="shared" ref="K979:L1042" si="80">B979*$J979*$G$2</f>
        <v>15.092143756909975</v>
      </c>
      <c r="L979" s="1">
        <f t="shared" si="80"/>
        <v>12.313626504996172</v>
      </c>
      <c r="N979">
        <f>I979</f>
        <v>594000.92852131592</v>
      </c>
      <c r="O979" s="1">
        <f>SUM(K$2:K979)/$G$3</f>
        <v>0.1546013917792865</v>
      </c>
      <c r="P979" s="1">
        <f>SUM(L$2:L979)/$G$3</f>
        <v>0.16666907057884064</v>
      </c>
      <c r="Q979" s="1">
        <f t="shared" si="76"/>
        <v>154.6013917792865</v>
      </c>
      <c r="R979" s="1">
        <f t="shared" si="77"/>
        <v>166.66907057884063</v>
      </c>
    </row>
    <row r="980" spans="1:18" x14ac:dyDescent="0.35">
      <c r="A980">
        <v>6.8819551919927999</v>
      </c>
      <c r="B980">
        <v>5.3240632822641496</v>
      </c>
      <c r="C980">
        <v>4.3254567562571404</v>
      </c>
      <c r="I980" s="1">
        <f t="shared" si="78"/>
        <v>594600.92858817789</v>
      </c>
      <c r="J980">
        <f t="shared" si="79"/>
        <v>600.00006686197594</v>
      </c>
      <c r="K980" s="1">
        <f t="shared" si="80"/>
        <v>15.013860129078642</v>
      </c>
      <c r="L980" s="1">
        <f t="shared" si="80"/>
        <v>12.197789411925489</v>
      </c>
      <c r="N980">
        <f>I980</f>
        <v>594600.92858817789</v>
      </c>
      <c r="O980" s="1">
        <f>SUM(K$2:K980)/$G$3</f>
        <v>0.15475700000988274</v>
      </c>
      <c r="P980" s="1">
        <f>SUM(L$2:L980)/$G$3</f>
        <v>0.16679549219268661</v>
      </c>
      <c r="Q980" s="1">
        <f t="shared" si="76"/>
        <v>154.75700000988274</v>
      </c>
      <c r="R980" s="1">
        <f t="shared" si="77"/>
        <v>166.79549219268659</v>
      </c>
    </row>
    <row r="981" spans="1:18" x14ac:dyDescent="0.35">
      <c r="A981">
        <v>6.8888996372111002</v>
      </c>
      <c r="B981">
        <v>5.2942986425794798</v>
      </c>
      <c r="C981">
        <v>4.2977095546802202</v>
      </c>
      <c r="I981" s="1">
        <f t="shared" si="78"/>
        <v>595200.92865503905</v>
      </c>
      <c r="J981">
        <f t="shared" si="79"/>
        <v>600.00006686116103</v>
      </c>
      <c r="K981" s="1">
        <f t="shared" si="80"/>
        <v>14.929923835794018</v>
      </c>
      <c r="L981" s="1">
        <f t="shared" si="80"/>
        <v>12.119542294742519</v>
      </c>
      <c r="N981">
        <f>I981</f>
        <v>595200.92865503905</v>
      </c>
      <c r="O981" s="1">
        <f>SUM(K$2:K981)/$G$3</f>
        <v>0.15491173829910693</v>
      </c>
      <c r="P981" s="1">
        <f>SUM(L$2:L981)/$G$3</f>
        <v>0.16692110282951866</v>
      </c>
      <c r="Q981" s="1">
        <f t="shared" si="76"/>
        <v>154.91173829910693</v>
      </c>
      <c r="R981" s="1">
        <f t="shared" si="77"/>
        <v>166.92110282951867</v>
      </c>
    </row>
    <row r="982" spans="1:18" x14ac:dyDescent="0.35">
      <c r="A982">
        <v>6.8958440824293996</v>
      </c>
      <c r="B982">
        <v>5.2694495121828302</v>
      </c>
      <c r="C982">
        <v>4.2595083800579401</v>
      </c>
      <c r="I982" s="1">
        <f t="shared" si="78"/>
        <v>595800.9287219001</v>
      </c>
      <c r="J982">
        <f t="shared" si="79"/>
        <v>600.00006686104462</v>
      </c>
      <c r="K982" s="1">
        <f t="shared" si="80"/>
        <v>14.859849280263806</v>
      </c>
      <c r="L982" s="1">
        <f t="shared" si="80"/>
        <v>12.011814970300737</v>
      </c>
      <c r="N982">
        <f>I982</f>
        <v>595800.9287219001</v>
      </c>
      <c r="O982" s="1">
        <f>SUM(K$2:K982)/$G$3</f>
        <v>0.15506575031424152</v>
      </c>
      <c r="P982" s="1">
        <f>SUM(L$2:L982)/$G$3</f>
        <v>0.1670455969474676</v>
      </c>
      <c r="Q982" s="1">
        <f t="shared" si="76"/>
        <v>155.06575031424151</v>
      </c>
      <c r="R982" s="1">
        <f t="shared" si="77"/>
        <v>167.0455969474676</v>
      </c>
    </row>
    <row r="983" spans="1:18" x14ac:dyDescent="0.35">
      <c r="A983">
        <v>6.9027885276477097</v>
      </c>
      <c r="B983">
        <v>5.2508736240581104</v>
      </c>
      <c r="C983">
        <v>4.2259752028347304</v>
      </c>
      <c r="I983" s="1">
        <f t="shared" si="78"/>
        <v>596400.92878876207</v>
      </c>
      <c r="J983">
        <f t="shared" si="79"/>
        <v>600.00006686197594</v>
      </c>
      <c r="K983" s="1">
        <f t="shared" si="80"/>
        <v>14.807465269937667</v>
      </c>
      <c r="L983" s="1">
        <f t="shared" si="80"/>
        <v>11.917251400012084</v>
      </c>
      <c r="N983">
        <f>I983</f>
        <v>596400.92878876207</v>
      </c>
      <c r="O983" s="1">
        <f>SUM(K$2:K983)/$G$3</f>
        <v>0.1552192194054986</v>
      </c>
      <c r="P983" s="1">
        <f>SUM(L$2:L983)/$G$3</f>
        <v>0.16716911097970072</v>
      </c>
      <c r="Q983" s="1">
        <f t="shared" si="76"/>
        <v>155.21921940549859</v>
      </c>
      <c r="R983" s="1">
        <f t="shared" si="77"/>
        <v>167.16911097970072</v>
      </c>
    </row>
    <row r="984" spans="1:18" x14ac:dyDescent="0.35">
      <c r="A984">
        <v>6.90973297286601</v>
      </c>
      <c r="B984">
        <v>5.2268355429057101</v>
      </c>
      <c r="C984">
        <v>4.1894473555629101</v>
      </c>
      <c r="I984" s="1">
        <f t="shared" si="78"/>
        <v>597000.92885562323</v>
      </c>
      <c r="J984">
        <f t="shared" si="79"/>
        <v>600.00006686116103</v>
      </c>
      <c r="K984" s="1">
        <f t="shared" si="80"/>
        <v>14.739677873513878</v>
      </c>
      <c r="L984" s="1">
        <f t="shared" si="80"/>
        <v>11.814242859210584</v>
      </c>
      <c r="N984">
        <f>I984</f>
        <v>597000.92885562323</v>
      </c>
      <c r="O984" s="1">
        <f>SUM(K$2:K984)/$G$3</f>
        <v>0.15537198592748144</v>
      </c>
      <c r="P984" s="1">
        <f>SUM(L$2:L984)/$G$3</f>
        <v>0.16729155739996512</v>
      </c>
      <c r="Q984" s="1">
        <f t="shared" si="76"/>
        <v>155.37198592748143</v>
      </c>
      <c r="R984" s="1">
        <f t="shared" si="77"/>
        <v>167.29155739996511</v>
      </c>
    </row>
    <row r="985" spans="1:18" x14ac:dyDescent="0.35">
      <c r="A985">
        <v>6.91667741808432</v>
      </c>
      <c r="B985">
        <v>5.1899270611746502</v>
      </c>
      <c r="C985">
        <v>4.1555651327636598</v>
      </c>
      <c r="I985" s="1">
        <f t="shared" si="78"/>
        <v>597600.92892248521</v>
      </c>
      <c r="J985">
        <f t="shared" si="79"/>
        <v>600.00006686197594</v>
      </c>
      <c r="K985" s="1">
        <f t="shared" si="80"/>
        <v>14.635595943453772</v>
      </c>
      <c r="L985" s="1">
        <f t="shared" si="80"/>
        <v>11.718694980285212</v>
      </c>
      <c r="N985">
        <f>I985</f>
        <v>597600.92892248521</v>
      </c>
      <c r="O985" s="1">
        <f>SUM(K$2:K985)/$G$3</f>
        <v>0.15552367371256154</v>
      </c>
      <c r="P985" s="1">
        <f>SUM(L$2:L985)/$G$3</f>
        <v>0.16741301353283847</v>
      </c>
      <c r="Q985" s="1">
        <f t="shared" si="76"/>
        <v>155.52367371256153</v>
      </c>
      <c r="R985" s="1">
        <f t="shared" si="77"/>
        <v>167.41301353283848</v>
      </c>
    </row>
    <row r="986" spans="1:18" x14ac:dyDescent="0.35">
      <c r="A986">
        <v>6.9236218633026203</v>
      </c>
      <c r="B986">
        <v>5.1558119644694802</v>
      </c>
      <c r="C986">
        <v>4.1078918378573199</v>
      </c>
      <c r="I986" s="1">
        <f t="shared" si="78"/>
        <v>598200.92898934637</v>
      </c>
      <c r="J986">
        <f t="shared" si="79"/>
        <v>600.00006686116103</v>
      </c>
      <c r="K986" s="1">
        <f t="shared" si="80"/>
        <v>14.539391360004732</v>
      </c>
      <c r="L986" s="1">
        <f t="shared" si="80"/>
        <v>11.584256273652205</v>
      </c>
      <c r="N986">
        <f>I986</f>
        <v>598200.92898934637</v>
      </c>
      <c r="O986" s="1">
        <f>SUM(K$2:K986)/$G$3</f>
        <v>0.1556743644039644</v>
      </c>
      <c r="P986" s="1">
        <f>SUM(L$2:L986)/$G$3</f>
        <v>0.16753307630190778</v>
      </c>
      <c r="Q986" s="1">
        <f t="shared" si="76"/>
        <v>155.6743644039644</v>
      </c>
      <c r="R986" s="1">
        <f t="shared" si="77"/>
        <v>167.53307630190778</v>
      </c>
    </row>
    <row r="987" spans="1:18" x14ac:dyDescent="0.35">
      <c r="A987">
        <v>6.9305663085209304</v>
      </c>
      <c r="B987">
        <v>5.1443226690920403</v>
      </c>
      <c r="C987">
        <v>4.08307396292932</v>
      </c>
      <c r="I987" s="1">
        <f t="shared" si="78"/>
        <v>598800.92905620835</v>
      </c>
      <c r="J987">
        <f t="shared" si="79"/>
        <v>600.00006686197594</v>
      </c>
      <c r="K987" s="1">
        <f t="shared" si="80"/>
        <v>14.506991543449574</v>
      </c>
      <c r="L987" s="1">
        <f t="shared" si="80"/>
        <v>11.514269858571931</v>
      </c>
      <c r="N987">
        <f>I987</f>
        <v>598800.92905620835</v>
      </c>
      <c r="O987" s="1">
        <f>SUM(K$2:K987)/$G$3</f>
        <v>0.15582471929377575</v>
      </c>
      <c r="P987" s="1">
        <f>SUM(L$2:L987)/$G$3</f>
        <v>0.16765241371040207</v>
      </c>
      <c r="Q987" s="1">
        <f t="shared" si="76"/>
        <v>155.82471929377576</v>
      </c>
      <c r="R987" s="1">
        <f t="shared" si="77"/>
        <v>167.65241371040207</v>
      </c>
    </row>
    <row r="988" spans="1:18" x14ac:dyDescent="0.35">
      <c r="A988">
        <v>6.9375107537392298</v>
      </c>
      <c r="B988">
        <v>5.1232521729098401</v>
      </c>
      <c r="C988">
        <v>4.0462593485328302</v>
      </c>
      <c r="I988" s="1">
        <f t="shared" si="78"/>
        <v>599400.92912306951</v>
      </c>
      <c r="J988">
        <f t="shared" si="79"/>
        <v>600.00006686116103</v>
      </c>
      <c r="K988" s="1">
        <f t="shared" si="80"/>
        <v>14.447572737574715</v>
      </c>
      <c r="L988" s="1">
        <f t="shared" si="80"/>
        <v>11.410452634389292</v>
      </c>
      <c r="N988">
        <f>I988</f>
        <v>599400.92912306951</v>
      </c>
      <c r="O988" s="1">
        <f>SUM(K$2:K988)/$G$3</f>
        <v>0.15597445834894055</v>
      </c>
      <c r="P988" s="1">
        <f>SUM(L$2:L988)/$G$3</f>
        <v>0.16777067512548616</v>
      </c>
      <c r="Q988" s="1">
        <f t="shared" si="76"/>
        <v>155.97445834894054</v>
      </c>
      <c r="R988" s="1">
        <f t="shared" si="77"/>
        <v>167.77067512548615</v>
      </c>
    </row>
    <row r="989" spans="1:18" x14ac:dyDescent="0.35">
      <c r="A989">
        <v>6.9444551989575398</v>
      </c>
      <c r="B989">
        <v>5.1127823394822096</v>
      </c>
      <c r="C989">
        <v>4.0084402916350204</v>
      </c>
      <c r="I989" s="1">
        <f t="shared" si="78"/>
        <v>600000.92918993148</v>
      </c>
      <c r="J989">
        <f t="shared" si="79"/>
        <v>600.00006686197594</v>
      </c>
      <c r="K989" s="1">
        <f t="shared" si="80"/>
        <v>14.418047804038261</v>
      </c>
      <c r="L989" s="1">
        <f t="shared" si="80"/>
        <v>11.303802882068277</v>
      </c>
      <c r="N989">
        <f>I989</f>
        <v>600000.92918993148</v>
      </c>
      <c r="O989" s="1">
        <f>SUM(K$2:K989)/$G$3</f>
        <v>0.15612389139867924</v>
      </c>
      <c r="P989" s="1">
        <f>SUM(L$2:L989)/$G$3</f>
        <v>0.16788783118997358</v>
      </c>
      <c r="Q989" s="1">
        <f t="shared" si="76"/>
        <v>156.12389139867923</v>
      </c>
      <c r="R989" s="1">
        <f t="shared" si="77"/>
        <v>167.88783118997358</v>
      </c>
    </row>
    <row r="990" spans="1:18" x14ac:dyDescent="0.35">
      <c r="A990">
        <v>6.9513996441758401</v>
      </c>
      <c r="B990">
        <v>5.08122830490578</v>
      </c>
      <c r="C990">
        <v>3.97535631572257</v>
      </c>
      <c r="I990" s="1">
        <f t="shared" si="78"/>
        <v>600600.92925679253</v>
      </c>
      <c r="J990">
        <f t="shared" si="79"/>
        <v>600.00006686104462</v>
      </c>
      <c r="K990" s="1">
        <f t="shared" si="80"/>
        <v>14.329065416594592</v>
      </c>
      <c r="L990" s="1">
        <f t="shared" si="80"/>
        <v>11.210506059581085</v>
      </c>
      <c r="N990">
        <f>I990</f>
        <v>600600.92925679253</v>
      </c>
      <c r="O990" s="1">
        <f>SUM(K$2:K990)/$G$3</f>
        <v>0.15627240220778527</v>
      </c>
      <c r="P990" s="1">
        <f>SUM(L$2:L990)/$G$3</f>
        <v>0.1680040202977062</v>
      </c>
      <c r="Q990" s="1">
        <f t="shared" si="76"/>
        <v>156.27240220778526</v>
      </c>
      <c r="R990" s="1">
        <f t="shared" si="77"/>
        <v>168.00402029770621</v>
      </c>
    </row>
    <row r="991" spans="1:18" x14ac:dyDescent="0.35">
      <c r="A991">
        <v>6.9583440893941502</v>
      </c>
      <c r="B991">
        <v>5.0525763591025799</v>
      </c>
      <c r="C991">
        <v>3.94890212966272</v>
      </c>
      <c r="I991" s="1">
        <f t="shared" si="78"/>
        <v>601200.92932365462</v>
      </c>
      <c r="J991">
        <f t="shared" si="79"/>
        <v>600.00006686209235</v>
      </c>
      <c r="K991" s="1">
        <f t="shared" si="80"/>
        <v>14.248266920450664</v>
      </c>
      <c r="L991" s="1">
        <f t="shared" si="80"/>
        <v>11.135905246598607</v>
      </c>
      <c r="N991">
        <f>I991</f>
        <v>601200.92932365462</v>
      </c>
      <c r="O991" s="1">
        <f>SUM(K$2:K991)/$G$3</f>
        <v>0.15642007559660684</v>
      </c>
      <c r="P991" s="1">
        <f>SUM(L$2:L991)/$G$3</f>
        <v>0.16811943621983499</v>
      </c>
      <c r="Q991" s="1">
        <f t="shared" si="76"/>
        <v>156.42007559660684</v>
      </c>
      <c r="R991" s="1">
        <f t="shared" si="77"/>
        <v>168.11943621983499</v>
      </c>
    </row>
    <row r="992" spans="1:18" x14ac:dyDescent="0.35">
      <c r="A992">
        <v>6.9652885346124496</v>
      </c>
      <c r="B992">
        <v>5.0276217775551499</v>
      </c>
      <c r="C992">
        <v>3.9100304030669801</v>
      </c>
      <c r="I992" s="1">
        <f t="shared" si="78"/>
        <v>601800.92939051567</v>
      </c>
      <c r="J992">
        <f t="shared" si="79"/>
        <v>600.00006686104462</v>
      </c>
      <c r="K992" s="1">
        <f t="shared" si="80"/>
        <v>14.17789499262013</v>
      </c>
      <c r="L992" s="1">
        <f t="shared" si="80"/>
        <v>11.026286965363857</v>
      </c>
      <c r="N992">
        <f>I992</f>
        <v>601800.92939051567</v>
      </c>
      <c r="O992" s="1">
        <f>SUM(K$2:K992)/$G$3</f>
        <v>0.15656701962928155</v>
      </c>
      <c r="P992" s="1">
        <f>SUM(L$2:L992)/$G$3</f>
        <v>0.16823371602462706</v>
      </c>
      <c r="Q992" s="1">
        <f t="shared" si="76"/>
        <v>156.56701962928153</v>
      </c>
      <c r="R992" s="1">
        <f t="shared" si="77"/>
        <v>168.23371602462706</v>
      </c>
    </row>
    <row r="993" spans="1:18" x14ac:dyDescent="0.35">
      <c r="A993">
        <v>6.9722329798307596</v>
      </c>
      <c r="B993">
        <v>5.0035442499501599</v>
      </c>
      <c r="C993">
        <v>3.8789156622004599</v>
      </c>
      <c r="I993" s="1">
        <f t="shared" si="78"/>
        <v>602400.92945737764</v>
      </c>
      <c r="J993">
        <f t="shared" si="79"/>
        <v>600.00006686197594</v>
      </c>
      <c r="K993" s="1">
        <f t="shared" si="80"/>
        <v>14.10999635722967</v>
      </c>
      <c r="L993" s="1">
        <f t="shared" si="80"/>
        <v>10.938543386359536</v>
      </c>
      <c r="N993">
        <f>I993</f>
        <v>602400.92945737764</v>
      </c>
      <c r="O993" s="1">
        <f>SUM(K$2:K993)/$G$3</f>
        <v>0.15671325993976742</v>
      </c>
      <c r="P993" s="1">
        <f>SUM(L$2:L993)/$G$3</f>
        <v>0.16834708642817539</v>
      </c>
      <c r="Q993" s="1">
        <f t="shared" si="76"/>
        <v>156.71325993976743</v>
      </c>
      <c r="R993" s="1">
        <f t="shared" si="77"/>
        <v>168.3470864281754</v>
      </c>
    </row>
    <row r="994" spans="1:18" x14ac:dyDescent="0.35">
      <c r="A994">
        <v>6.9791774250490599</v>
      </c>
      <c r="B994">
        <v>4.9839954056087397</v>
      </c>
      <c r="C994">
        <v>3.8419009225325498</v>
      </c>
      <c r="I994" s="1">
        <f t="shared" si="78"/>
        <v>603000.9295242388</v>
      </c>
      <c r="J994">
        <f t="shared" si="79"/>
        <v>600.00006686116103</v>
      </c>
      <c r="K994" s="1">
        <f t="shared" si="80"/>
        <v>14.054868610024526</v>
      </c>
      <c r="L994" s="1">
        <f t="shared" si="80"/>
        <v>10.834161808849384</v>
      </c>
      <c r="N994">
        <f>I994</f>
        <v>603000.9295242388</v>
      </c>
      <c r="O994" s="1">
        <f>SUM(K$2:K994)/$G$3</f>
        <v>0.156858928889449</v>
      </c>
      <c r="P994" s="1">
        <f>SUM(L$2:L994)/$G$3</f>
        <v>0.16845937498918329</v>
      </c>
      <c r="Q994" s="1">
        <f t="shared" si="76"/>
        <v>156.858928889449</v>
      </c>
      <c r="R994" s="1">
        <f t="shared" si="77"/>
        <v>168.45937498918329</v>
      </c>
    </row>
    <row r="995" spans="1:18" x14ac:dyDescent="0.35">
      <c r="A995">
        <v>6.9861218702673602</v>
      </c>
      <c r="B995">
        <v>4.9660614916660899</v>
      </c>
      <c r="C995">
        <v>3.8090924800061301</v>
      </c>
      <c r="I995" s="1">
        <f t="shared" si="78"/>
        <v>603600.92959109996</v>
      </c>
      <c r="J995">
        <f t="shared" si="79"/>
        <v>600.00006686116103</v>
      </c>
      <c r="K995" s="1">
        <f t="shared" si="80"/>
        <v>14.004294967070567</v>
      </c>
      <c r="L995" s="1">
        <f t="shared" si="80"/>
        <v>10.741641990614912</v>
      </c>
      <c r="N995">
        <f>I995</f>
        <v>603600.92959109996</v>
      </c>
      <c r="O995" s="1">
        <f>SUM(K$2:K995)/$G$3</f>
        <v>0.1570040736784532</v>
      </c>
      <c r="P995" s="1">
        <f>SUM(L$2:L995)/$G$3</f>
        <v>0.16857070464654575</v>
      </c>
      <c r="Q995" s="1">
        <f t="shared" si="76"/>
        <v>157.00407367845321</v>
      </c>
      <c r="R995" s="1">
        <f t="shared" si="77"/>
        <v>168.57070464654575</v>
      </c>
    </row>
    <row r="996" spans="1:18" x14ac:dyDescent="0.35">
      <c r="A996">
        <v>6.9930663154856703</v>
      </c>
      <c r="B996">
        <v>4.9432240324993604</v>
      </c>
      <c r="C996">
        <v>3.7789870128979599</v>
      </c>
      <c r="I996" s="1">
        <f t="shared" si="78"/>
        <v>604200.92965796194</v>
      </c>
      <c r="J996">
        <f t="shared" si="79"/>
        <v>600.00006686197594</v>
      </c>
      <c r="K996" s="1">
        <f t="shared" si="80"/>
        <v>13.939893325062711</v>
      </c>
      <c r="L996" s="1">
        <f t="shared" si="80"/>
        <v>10.656744563923779</v>
      </c>
      <c r="N996">
        <f>I996</f>
        <v>604200.92965796194</v>
      </c>
      <c r="O996" s="1">
        <f>SUM(K$2:K996)/$G$3</f>
        <v>0.15714855098917574</v>
      </c>
      <c r="P996" s="1">
        <f>SUM(L$2:L996)/$G$3</f>
        <v>0.16868115440105599</v>
      </c>
      <c r="Q996" s="1">
        <f t="shared" si="76"/>
        <v>157.14855098917573</v>
      </c>
      <c r="R996" s="1">
        <f t="shared" si="77"/>
        <v>168.68115440105601</v>
      </c>
    </row>
    <row r="997" spans="1:18" x14ac:dyDescent="0.35">
      <c r="A997">
        <v>7.0000107607039803</v>
      </c>
      <c r="B997">
        <v>4.9251502984118698</v>
      </c>
      <c r="C997">
        <v>3.7521228461386502</v>
      </c>
      <c r="I997" s="1">
        <f t="shared" si="78"/>
        <v>604800.92972482392</v>
      </c>
      <c r="J997">
        <f t="shared" si="79"/>
        <v>600.00006686197594</v>
      </c>
      <c r="K997" s="1">
        <f t="shared" si="80"/>
        <v>13.888925389256293</v>
      </c>
      <c r="L997" s="1">
        <f t="shared" si="80"/>
        <v>10.580987605220427</v>
      </c>
      <c r="N997">
        <f>I997</f>
        <v>604800.92972482392</v>
      </c>
      <c r="O997" s="1">
        <f>SUM(K$2:K997)/$G$3</f>
        <v>0.15729250005264939</v>
      </c>
      <c r="P997" s="1">
        <f>SUM(L$2:L997)/$G$3</f>
        <v>0.16879081898731521</v>
      </c>
      <c r="Q997" s="1">
        <f t="shared" si="76"/>
        <v>157.29250005264939</v>
      </c>
      <c r="R997" s="1">
        <f t="shared" si="77"/>
        <v>168.79081898731522</v>
      </c>
    </row>
    <row r="998" spans="1:18" x14ac:dyDescent="0.35">
      <c r="A998">
        <v>7.0069552059222797</v>
      </c>
      <c r="B998">
        <v>4.8987691299260403</v>
      </c>
      <c r="C998">
        <v>3.7241106801316599</v>
      </c>
      <c r="I998" s="1">
        <f t="shared" si="78"/>
        <v>605400.92979168496</v>
      </c>
      <c r="J998">
        <f t="shared" si="79"/>
        <v>600.00006686104462</v>
      </c>
      <c r="K998" s="1">
        <f t="shared" si="80"/>
        <v>13.814530485814494</v>
      </c>
      <c r="L998" s="1">
        <f t="shared" si="80"/>
        <v>10.501993288261554</v>
      </c>
      <c r="N998">
        <f>I998</f>
        <v>605400.92979168496</v>
      </c>
      <c r="O998" s="1">
        <f>SUM(K$2:K998)/$G$3</f>
        <v>0.1574356780646286</v>
      </c>
      <c r="P998" s="1">
        <f>SUM(L$2:L998)/$G$3</f>
        <v>0.16889966485235397</v>
      </c>
      <c r="Q998" s="1">
        <f t="shared" si="76"/>
        <v>157.4356780646286</v>
      </c>
      <c r="R998" s="1">
        <f t="shared" si="77"/>
        <v>168.89966485235396</v>
      </c>
    </row>
    <row r="999" spans="1:18" x14ac:dyDescent="0.35">
      <c r="A999">
        <v>7.0138996511405898</v>
      </c>
      <c r="B999">
        <v>4.8743520250243302</v>
      </c>
      <c r="C999">
        <v>3.69079735437013</v>
      </c>
      <c r="I999" s="1">
        <f t="shared" si="78"/>
        <v>606000.92985854694</v>
      </c>
      <c r="J999">
        <f t="shared" si="79"/>
        <v>600.00006686197594</v>
      </c>
      <c r="K999" s="1">
        <f t="shared" si="80"/>
        <v>13.745674242340007</v>
      </c>
      <c r="L999" s="1">
        <f t="shared" si="80"/>
        <v>10.408049699161586</v>
      </c>
      <c r="N999">
        <f>I999</f>
        <v>606000.92985854694</v>
      </c>
      <c r="O999" s="1">
        <f>SUM(K$2:K999)/$G$3</f>
        <v>0.1575781424294764</v>
      </c>
      <c r="P999" s="1">
        <f>SUM(L$2:L999)/$G$3</f>
        <v>0.16900753705735122</v>
      </c>
      <c r="Q999" s="1">
        <f t="shared" si="76"/>
        <v>157.5781424294764</v>
      </c>
      <c r="R999" s="1">
        <f t="shared" si="77"/>
        <v>169.00753705735121</v>
      </c>
    </row>
    <row r="1000" spans="1:18" x14ac:dyDescent="0.35">
      <c r="A1000">
        <v>7.0208440963588998</v>
      </c>
      <c r="B1000">
        <v>4.8557254070607296</v>
      </c>
      <c r="C1000">
        <v>3.6597026158841</v>
      </c>
      <c r="I1000" s="1">
        <f t="shared" si="78"/>
        <v>606600.92992540891</v>
      </c>
      <c r="J1000">
        <f t="shared" si="79"/>
        <v>600.00006686197594</v>
      </c>
      <c r="K1000" s="1">
        <f t="shared" si="80"/>
        <v>13.693147173829216</v>
      </c>
      <c r="L1000" s="1">
        <f t="shared" si="80"/>
        <v>10.320362526859419</v>
      </c>
      <c r="N1000">
        <f>I1000</f>
        <v>606600.92992540891</v>
      </c>
      <c r="O1000" s="1">
        <f>SUM(K$2:K1000)/$G$3</f>
        <v>0.15772006238774797</v>
      </c>
      <c r="P1000" s="1">
        <f>SUM(L$2:L1000)/$G$3</f>
        <v>0.16911450044572102</v>
      </c>
      <c r="Q1000" s="1">
        <f t="shared" si="76"/>
        <v>157.72006238774796</v>
      </c>
      <c r="R1000" s="1">
        <f t="shared" si="77"/>
        <v>169.11450044572101</v>
      </c>
    </row>
    <row r="1001" spans="1:18" x14ac:dyDescent="0.35">
      <c r="A1001">
        <v>7.0277885415772001</v>
      </c>
      <c r="B1001">
        <v>4.8297237965250899</v>
      </c>
      <c r="C1001">
        <v>3.62916438059619</v>
      </c>
      <c r="I1001" s="1">
        <f t="shared" si="78"/>
        <v>607200.92999227007</v>
      </c>
      <c r="J1001">
        <f t="shared" si="79"/>
        <v>600.00006686116103</v>
      </c>
      <c r="K1001" s="1">
        <f t="shared" si="80"/>
        <v>13.619822623929174</v>
      </c>
      <c r="L1001" s="1">
        <f t="shared" si="80"/>
        <v>10.234244693736931</v>
      </c>
      <c r="N1001">
        <f>I1001</f>
        <v>607200.92999227007</v>
      </c>
      <c r="O1001" s="1">
        <f>SUM(K$2:K1001)/$G$3</f>
        <v>0.15786122238799596</v>
      </c>
      <c r="P1001" s="1">
        <f>SUM(L$2:L1001)/$G$3</f>
        <v>0.16922057128257376</v>
      </c>
      <c r="Q1001" s="1">
        <f t="shared" si="76"/>
        <v>157.86122238799595</v>
      </c>
      <c r="R1001" s="1">
        <f t="shared" si="77"/>
        <v>169.22057128257376</v>
      </c>
    </row>
    <row r="1002" spans="1:18" x14ac:dyDescent="0.35">
      <c r="A1002">
        <v>7.0347329867955102</v>
      </c>
      <c r="B1002">
        <v>4.80225186107916</v>
      </c>
      <c r="C1002">
        <v>3.5996841124286498</v>
      </c>
      <c r="I1002" s="1">
        <f t="shared" si="78"/>
        <v>607800.93005913205</v>
      </c>
      <c r="J1002">
        <f t="shared" si="79"/>
        <v>600.00006686197594</v>
      </c>
      <c r="K1002" s="1">
        <f t="shared" si="80"/>
        <v>13.542351757357061</v>
      </c>
      <c r="L1002" s="1">
        <f t="shared" si="80"/>
        <v>10.151110328254157</v>
      </c>
      <c r="N1002">
        <f>I1002</f>
        <v>607800.93005913205</v>
      </c>
      <c r="O1002" s="1">
        <f>SUM(K$2:K1002)/$G$3</f>
        <v>0.15800157945652843</v>
      </c>
      <c r="P1002" s="1">
        <f>SUM(L$2:L1002)/$G$3</f>
        <v>0.16932578048947902</v>
      </c>
      <c r="Q1002" s="1">
        <f t="shared" si="76"/>
        <v>158.00157945652842</v>
      </c>
      <c r="R1002" s="1">
        <f t="shared" si="77"/>
        <v>169.32578048947903</v>
      </c>
    </row>
    <row r="1003" spans="1:18" x14ac:dyDescent="0.35">
      <c r="A1003">
        <v>7.0416774320138202</v>
      </c>
      <c r="B1003">
        <v>4.7760002677722104</v>
      </c>
      <c r="C1003">
        <v>3.5688109376261798</v>
      </c>
      <c r="I1003" s="1">
        <f t="shared" si="78"/>
        <v>608400.93012599403</v>
      </c>
      <c r="J1003">
        <f t="shared" si="79"/>
        <v>600.00006686197594</v>
      </c>
      <c r="K1003" s="1">
        <f t="shared" si="80"/>
        <v>13.468322255981864</v>
      </c>
      <c r="L1003" s="1">
        <f t="shared" si="80"/>
        <v>10.064047965609257</v>
      </c>
      <c r="N1003">
        <f>I1003</f>
        <v>608400.93012599403</v>
      </c>
      <c r="O1003" s="1">
        <f>SUM(K$2:K1003)/$G$3</f>
        <v>0.15814116926070507</v>
      </c>
      <c r="P1003" s="1">
        <f>SUM(L$2:L1003)/$G$3</f>
        <v>0.16943008735547485</v>
      </c>
      <c r="Q1003" s="1">
        <f t="shared" si="76"/>
        <v>158.14116926070506</v>
      </c>
      <c r="R1003" s="1">
        <f t="shared" si="77"/>
        <v>169.43008735547485</v>
      </c>
    </row>
    <row r="1004" spans="1:18" x14ac:dyDescent="0.35">
      <c r="A1004">
        <v>7.0486218772321196</v>
      </c>
      <c r="B1004">
        <v>4.7487705685960497</v>
      </c>
      <c r="C1004">
        <v>3.5492103353799598</v>
      </c>
      <c r="I1004" s="1">
        <f t="shared" si="78"/>
        <v>609000.93019285519</v>
      </c>
      <c r="J1004">
        <f t="shared" si="79"/>
        <v>600.00006686116103</v>
      </c>
      <c r="K1004" s="1">
        <f t="shared" si="80"/>
        <v>13.391534495729935</v>
      </c>
      <c r="L1004" s="1">
        <f t="shared" si="80"/>
        <v>10.008774261101809</v>
      </c>
      <c r="N1004">
        <f>I1004</f>
        <v>609000.93019285519</v>
      </c>
      <c r="O1004" s="1">
        <f>SUM(K$2:K1004)/$G$3</f>
        <v>0.15827996321308865</v>
      </c>
      <c r="P1004" s="1">
        <f>SUM(L$2:L1004)/$G$3</f>
        <v>0.16953382134792033</v>
      </c>
      <c r="Q1004" s="1">
        <f t="shared" si="76"/>
        <v>158.27996321308865</v>
      </c>
      <c r="R1004" s="1">
        <f t="shared" si="77"/>
        <v>169.53382134792034</v>
      </c>
    </row>
    <row r="1005" spans="1:18" x14ac:dyDescent="0.35">
      <c r="A1005">
        <v>7.0555663224504297</v>
      </c>
      <c r="B1005">
        <v>4.7203671026539196</v>
      </c>
      <c r="C1005">
        <v>3.5184841447019299</v>
      </c>
      <c r="I1005" s="1">
        <f t="shared" si="78"/>
        <v>609600.93025971716</v>
      </c>
      <c r="J1005">
        <f t="shared" si="79"/>
        <v>600.00006686197594</v>
      </c>
      <c r="K1005" s="1">
        <f t="shared" si="80"/>
        <v>13.311436712865492</v>
      </c>
      <c r="L1005" s="1">
        <f t="shared" si="80"/>
        <v>9.9221263937476127</v>
      </c>
      <c r="N1005">
        <f>I1005</f>
        <v>609600.93025971716</v>
      </c>
      <c r="O1005" s="1">
        <f>SUM(K$2:K1005)/$G$3</f>
        <v>0.15841792700759416</v>
      </c>
      <c r="P1005" s="1">
        <f>SUM(L$2:L1005)/$G$3</f>
        <v>0.16963665729541214</v>
      </c>
      <c r="Q1005" s="1">
        <f t="shared" si="76"/>
        <v>158.41792700759416</v>
      </c>
      <c r="R1005" s="1">
        <f t="shared" si="77"/>
        <v>169.63665729541214</v>
      </c>
    </row>
    <row r="1006" spans="1:18" x14ac:dyDescent="0.35">
      <c r="A1006">
        <v>7.0625107676687398</v>
      </c>
      <c r="B1006">
        <v>4.6914448933985904</v>
      </c>
      <c r="C1006">
        <v>3.4913261225854799</v>
      </c>
      <c r="I1006" s="1">
        <f t="shared" si="78"/>
        <v>610200.93032657914</v>
      </c>
      <c r="J1006">
        <f t="shared" si="79"/>
        <v>600.00006686197594</v>
      </c>
      <c r="K1006" s="1">
        <f t="shared" si="80"/>
        <v>13.229876073676621</v>
      </c>
      <c r="L1006" s="1">
        <f t="shared" si="80"/>
        <v>9.8455407628447809</v>
      </c>
      <c r="N1006">
        <f>I1006</f>
        <v>610200.93032657914</v>
      </c>
      <c r="O1006" s="1">
        <f>SUM(K$2:K1006)/$G$3</f>
        <v>0.15855504548273203</v>
      </c>
      <c r="P1006" s="1">
        <f>SUM(L$2:L1006)/$G$3</f>
        <v>0.16973869948604117</v>
      </c>
      <c r="Q1006" s="1">
        <f t="shared" si="76"/>
        <v>158.55504548273203</v>
      </c>
      <c r="R1006" s="1">
        <f t="shared" si="77"/>
        <v>169.73869948604118</v>
      </c>
    </row>
    <row r="1007" spans="1:18" x14ac:dyDescent="0.35">
      <c r="A1007">
        <v>7.06945521288704</v>
      </c>
      <c r="B1007">
        <v>4.6650512412824501</v>
      </c>
      <c r="C1007">
        <v>3.4703262129943102</v>
      </c>
      <c r="I1007" s="1">
        <f t="shared" si="78"/>
        <v>610800.9303934403</v>
      </c>
      <c r="J1007">
        <f t="shared" si="79"/>
        <v>600.00006686116103</v>
      </c>
      <c r="K1007" s="1">
        <f t="shared" si="80"/>
        <v>13.155445966396998</v>
      </c>
      <c r="L1007" s="1">
        <f t="shared" si="80"/>
        <v>9.7863210111851409</v>
      </c>
      <c r="N1007">
        <f>I1007</f>
        <v>610800.9303934403</v>
      </c>
      <c r="O1007" s="1">
        <f>SUM(K$2:K1007)/$G$3</f>
        <v>0.1586913925415121</v>
      </c>
      <c r="P1007" s="1">
        <f>SUM(L$2:L1007)/$G$3</f>
        <v>0.16984012790508232</v>
      </c>
      <c r="Q1007" s="1">
        <f t="shared" si="76"/>
        <v>158.6913925415121</v>
      </c>
      <c r="R1007" s="1">
        <f t="shared" si="77"/>
        <v>169.84012790508231</v>
      </c>
    </row>
    <row r="1008" spans="1:18" x14ac:dyDescent="0.35">
      <c r="A1008">
        <v>7.0763996581053403</v>
      </c>
      <c r="B1008">
        <v>4.6376126731078102</v>
      </c>
      <c r="C1008">
        <v>3.4378975221036701</v>
      </c>
      <c r="I1008" s="1">
        <f t="shared" si="78"/>
        <v>611400.93046030146</v>
      </c>
      <c r="J1008">
        <f t="shared" si="79"/>
        <v>600.00006686116103</v>
      </c>
      <c r="K1008" s="1">
        <f t="shared" si="80"/>
        <v>13.078069195522014</v>
      </c>
      <c r="L1008" s="1">
        <f t="shared" si="80"/>
        <v>9.6948720926829033</v>
      </c>
      <c r="N1008">
        <f>I1008</f>
        <v>611400.93046030146</v>
      </c>
      <c r="O1008" s="1">
        <f>SUM(K$2:K1008)/$G$3</f>
        <v>0.1588269376438132</v>
      </c>
      <c r="P1008" s="1">
        <f>SUM(L$2:L1008)/$G$3</f>
        <v>0.16994060851960976</v>
      </c>
      <c r="Q1008" s="1">
        <f t="shared" si="76"/>
        <v>158.82693764381321</v>
      </c>
      <c r="R1008" s="1">
        <f t="shared" si="77"/>
        <v>169.94060851960975</v>
      </c>
    </row>
    <row r="1009" spans="1:18" x14ac:dyDescent="0.35">
      <c r="A1009">
        <v>7.0833441033236504</v>
      </c>
      <c r="B1009">
        <v>4.6095462656063502</v>
      </c>
      <c r="C1009">
        <v>3.4191450536735899</v>
      </c>
      <c r="I1009" s="1">
        <f t="shared" si="78"/>
        <v>612000.93052716344</v>
      </c>
      <c r="J1009">
        <f t="shared" si="79"/>
        <v>600.00006686197594</v>
      </c>
      <c r="K1009" s="1">
        <f t="shared" si="80"/>
        <v>12.998921917565754</v>
      </c>
      <c r="L1009" s="1">
        <f t="shared" si="80"/>
        <v>9.6419901258302563</v>
      </c>
      <c r="N1009">
        <f>I1009</f>
        <v>612000.93052716344</v>
      </c>
      <c r="O1009" s="1">
        <f>SUM(K$2:K1009)/$G$3</f>
        <v>0.15896166243955934</v>
      </c>
      <c r="P1009" s="1">
        <f>SUM(L$2:L1009)/$G$3</f>
        <v>0.1700405410492862</v>
      </c>
      <c r="Q1009" s="1">
        <f t="shared" si="76"/>
        <v>158.96166243955935</v>
      </c>
      <c r="R1009" s="1">
        <f t="shared" si="77"/>
        <v>170.04054104928619</v>
      </c>
    </row>
    <row r="1010" spans="1:18" x14ac:dyDescent="0.35">
      <c r="A1010">
        <v>7.0902885485419596</v>
      </c>
      <c r="B1010">
        <v>4.5830412950823298</v>
      </c>
      <c r="C1010">
        <v>3.3923066606821202</v>
      </c>
      <c r="I1010" s="1">
        <f t="shared" si="78"/>
        <v>612600.9305940253</v>
      </c>
      <c r="J1010">
        <f t="shared" si="79"/>
        <v>600.00006686185952</v>
      </c>
      <c r="K1010" s="1">
        <f t="shared" si="80"/>
        <v>12.924177892356287</v>
      </c>
      <c r="L1010" s="1">
        <f t="shared" si="80"/>
        <v>9.5663058491584572</v>
      </c>
      <c r="N1010">
        <f>I1010</f>
        <v>612600.9305940253</v>
      </c>
      <c r="O1010" s="1">
        <f>SUM(K$2:K1010)/$G$3</f>
        <v>0.15909561256540644</v>
      </c>
      <c r="P1010" s="1">
        <f>SUM(L$2:L1010)/$G$3</f>
        <v>0.17013968916401034</v>
      </c>
      <c r="Q1010" s="1">
        <f t="shared" si="76"/>
        <v>159.09561256540644</v>
      </c>
      <c r="R1010" s="1">
        <f t="shared" si="77"/>
        <v>170.13968916401035</v>
      </c>
    </row>
    <row r="1011" spans="1:18" x14ac:dyDescent="0.35">
      <c r="A1011">
        <v>7.0972329937602598</v>
      </c>
      <c r="B1011">
        <v>4.5539113876060497</v>
      </c>
      <c r="C1011">
        <v>3.3672333185900598</v>
      </c>
      <c r="I1011" s="1">
        <f t="shared" si="78"/>
        <v>613200.93066088646</v>
      </c>
      <c r="J1011">
        <f t="shared" si="79"/>
        <v>600.00006686116103</v>
      </c>
      <c r="K1011" s="1">
        <f t="shared" si="80"/>
        <v>12.842031544104135</v>
      </c>
      <c r="L1011" s="1">
        <f t="shared" si="80"/>
        <v>9.4955990165684767</v>
      </c>
      <c r="N1011">
        <f>I1011</f>
        <v>613200.93066088646</v>
      </c>
      <c r="O1011" s="1">
        <f>SUM(K$2:K1011)/$G$3</f>
        <v>0.1592287113014183</v>
      </c>
      <c r="P1011" s="1">
        <f>SUM(L$2:L1011)/$G$3</f>
        <v>0.17023810445153245</v>
      </c>
      <c r="Q1011" s="1">
        <f t="shared" si="76"/>
        <v>159.22871130141831</v>
      </c>
      <c r="R1011" s="1">
        <f t="shared" si="77"/>
        <v>170.23810445153245</v>
      </c>
    </row>
    <row r="1012" spans="1:18" x14ac:dyDescent="0.35">
      <c r="A1012">
        <v>7.1041774389785699</v>
      </c>
      <c r="B1012">
        <v>4.5222174915543096</v>
      </c>
      <c r="C1012">
        <v>3.3424705741482699</v>
      </c>
      <c r="I1012" s="1">
        <f t="shared" si="78"/>
        <v>613800.93072774843</v>
      </c>
      <c r="J1012">
        <f t="shared" si="79"/>
        <v>600.00006686197594</v>
      </c>
      <c r="K1012" s="1">
        <f t="shared" si="80"/>
        <v>12.75265474729582</v>
      </c>
      <c r="L1012" s="1">
        <f t="shared" si="80"/>
        <v>9.4257680694738006</v>
      </c>
      <c r="N1012">
        <f>I1012</f>
        <v>613800.93072774843</v>
      </c>
      <c r="O1012" s="1">
        <f>SUM(K$2:K1012)/$G$3</f>
        <v>0.15936088370901838</v>
      </c>
      <c r="P1012" s="1">
        <f>SUM(L$2:L1012)/$G$3</f>
        <v>0.1703357959897972</v>
      </c>
      <c r="Q1012" s="1">
        <f t="shared" si="76"/>
        <v>159.36088370901837</v>
      </c>
      <c r="R1012" s="1">
        <f t="shared" si="77"/>
        <v>170.33579598979719</v>
      </c>
    </row>
    <row r="1013" spans="1:18" x14ac:dyDescent="0.35">
      <c r="A1013">
        <v>7.11112188419688</v>
      </c>
      <c r="B1013">
        <v>4.4962880828517999</v>
      </c>
      <c r="C1013">
        <v>3.3179859166563701</v>
      </c>
      <c r="I1013" s="1">
        <f t="shared" si="78"/>
        <v>614400.93079461041</v>
      </c>
      <c r="J1013">
        <f t="shared" si="79"/>
        <v>600.00006686197594</v>
      </c>
      <c r="K1013" s="1">
        <f t="shared" si="80"/>
        <v>12.679533806606392</v>
      </c>
      <c r="L1013" s="1">
        <f t="shared" si="80"/>
        <v>9.3567213276523091</v>
      </c>
      <c r="N1013">
        <f>I1013</f>
        <v>614400.93079461041</v>
      </c>
      <c r="O1013" s="1">
        <f>SUM(K$2:K1013)/$G$3</f>
        <v>0.15949229826886299</v>
      </c>
      <c r="P1013" s="1">
        <f>SUM(L$2:L1013)/$G$3</f>
        <v>0.17043277190654749</v>
      </c>
      <c r="Q1013" s="1">
        <f t="shared" si="76"/>
        <v>159.49229826886298</v>
      </c>
      <c r="R1013" s="1">
        <f t="shared" si="77"/>
        <v>170.43277190654749</v>
      </c>
    </row>
    <row r="1014" spans="1:18" x14ac:dyDescent="0.35">
      <c r="A1014">
        <v>7.1180663294151802</v>
      </c>
      <c r="B1014">
        <v>4.4681129782170199</v>
      </c>
      <c r="C1014">
        <v>3.2969455683068798</v>
      </c>
      <c r="I1014" s="1">
        <f t="shared" si="78"/>
        <v>615000.93086147157</v>
      </c>
      <c r="J1014">
        <f t="shared" si="79"/>
        <v>600.00006686116103</v>
      </c>
      <c r="K1014" s="1">
        <f t="shared" si="80"/>
        <v>12.600080002665136</v>
      </c>
      <c r="L1014" s="1">
        <f t="shared" si="80"/>
        <v>9.2973875386821625</v>
      </c>
      <c r="N1014">
        <f>I1014</f>
        <v>615000.93086147157</v>
      </c>
      <c r="O1014" s="1">
        <f>SUM(K$2:K1014)/$G$3</f>
        <v>0.15962288934522373</v>
      </c>
      <c r="P1014" s="1">
        <f>SUM(L$2:L1014)/$G$3</f>
        <v>0.17052913286979235</v>
      </c>
      <c r="Q1014" s="1">
        <f t="shared" si="76"/>
        <v>159.62288934522374</v>
      </c>
      <c r="R1014" s="1">
        <f t="shared" si="77"/>
        <v>170.52913286979236</v>
      </c>
    </row>
    <row r="1015" spans="1:18" x14ac:dyDescent="0.35">
      <c r="A1015">
        <v>7.1250107746334903</v>
      </c>
      <c r="B1015">
        <v>4.4390815072108802</v>
      </c>
      <c r="C1015">
        <v>3.2756424225025098</v>
      </c>
      <c r="I1015" s="1">
        <f t="shared" si="78"/>
        <v>615600.93092833355</v>
      </c>
      <c r="J1015">
        <f t="shared" si="79"/>
        <v>600.00006686197594</v>
      </c>
      <c r="K1015" s="1">
        <f t="shared" si="80"/>
        <v>12.518211245321758</v>
      </c>
      <c r="L1015" s="1">
        <f t="shared" si="80"/>
        <v>9.2373126608319254</v>
      </c>
      <c r="N1015">
        <f>I1015</f>
        <v>615600.93092833355</v>
      </c>
      <c r="O1015" s="1">
        <f>SUM(K$2:K1015)/$G$3</f>
        <v>0.15975263190878616</v>
      </c>
      <c r="P1015" s="1">
        <f>SUM(L$2:L1015)/$G$3</f>
        <v>0.1706248711986604</v>
      </c>
      <c r="Q1015" s="1">
        <f t="shared" si="76"/>
        <v>159.75263190878616</v>
      </c>
      <c r="R1015" s="1">
        <f t="shared" si="77"/>
        <v>170.6248711986604</v>
      </c>
    </row>
    <row r="1016" spans="1:18" x14ac:dyDescent="0.35">
      <c r="A1016">
        <v>7.1319552198518004</v>
      </c>
      <c r="B1016">
        <v>4.4131930938261901</v>
      </c>
      <c r="C1016">
        <v>3.2500012168510399</v>
      </c>
      <c r="I1016" s="1">
        <f t="shared" si="78"/>
        <v>616200.93099519552</v>
      </c>
      <c r="J1016">
        <f t="shared" si="79"/>
        <v>600.00006686197594</v>
      </c>
      <c r="K1016" s="1">
        <f t="shared" si="80"/>
        <v>12.445205911441466</v>
      </c>
      <c r="L1016" s="1">
        <f t="shared" si="80"/>
        <v>9.1650044528369978</v>
      </c>
      <c r="N1016">
        <f>I1016</f>
        <v>616200.93099519552</v>
      </c>
      <c r="O1016" s="1">
        <f>SUM(K$2:K1016)/$G$3</f>
        <v>0.15988161782277735</v>
      </c>
      <c r="P1016" s="1">
        <f>SUM(L$2:L1016)/$G$3</f>
        <v>0.17071986010318271</v>
      </c>
      <c r="Q1016" s="1">
        <f t="shared" si="76"/>
        <v>159.88161782277734</v>
      </c>
      <c r="R1016" s="1">
        <f t="shared" si="77"/>
        <v>170.71986010318273</v>
      </c>
    </row>
    <row r="1017" spans="1:18" x14ac:dyDescent="0.35">
      <c r="A1017">
        <v>7.1388996650700998</v>
      </c>
      <c r="B1017">
        <v>4.3799135762420303</v>
      </c>
      <c r="C1017">
        <v>3.2301683860699799</v>
      </c>
      <c r="I1017" s="1">
        <f t="shared" si="78"/>
        <v>616800.93106205657</v>
      </c>
      <c r="J1017">
        <f t="shared" si="79"/>
        <v>600.00006686104462</v>
      </c>
      <c r="K1017" s="1">
        <f t="shared" si="80"/>
        <v>12.351357661376833</v>
      </c>
      <c r="L1017" s="1">
        <f t="shared" si="80"/>
        <v>9.1090758637877762</v>
      </c>
      <c r="N1017">
        <f>I1017</f>
        <v>616800.93106205657</v>
      </c>
      <c r="O1017" s="1">
        <f>SUM(K$2:K1017)/$G$3</f>
        <v>0.16000963106484997</v>
      </c>
      <c r="P1017" s="1">
        <f>SUM(L$2:L1017)/$G$3</f>
        <v>0.17081426934673133</v>
      </c>
      <c r="Q1017" s="1">
        <f t="shared" si="76"/>
        <v>160.00963106484997</v>
      </c>
      <c r="R1017" s="1">
        <f t="shared" si="77"/>
        <v>170.81426934673132</v>
      </c>
    </row>
    <row r="1018" spans="1:18" x14ac:dyDescent="0.35">
      <c r="A1018">
        <v>7.1458441102884098</v>
      </c>
      <c r="B1018">
        <v>4.3545921478744702</v>
      </c>
      <c r="C1018">
        <v>3.2098691355848099</v>
      </c>
      <c r="I1018" s="1">
        <f t="shared" si="78"/>
        <v>617400.93112891866</v>
      </c>
      <c r="J1018">
        <f t="shared" si="79"/>
        <v>600.00006686209235</v>
      </c>
      <c r="K1018" s="1">
        <f t="shared" si="80"/>
        <v>12.279951225444576</v>
      </c>
      <c r="L1018" s="1">
        <f t="shared" si="80"/>
        <v>9.0518319710564263</v>
      </c>
      <c r="N1018">
        <f>I1018</f>
        <v>617400.93112891866</v>
      </c>
      <c r="O1018" s="1">
        <f>SUM(K$2:K1018)/$G$3</f>
        <v>0.16013690422881791</v>
      </c>
      <c r="P1018" s="1">
        <f>SUM(L$2:L1018)/$G$3</f>
        <v>0.17090808529709725</v>
      </c>
      <c r="Q1018" s="1">
        <f t="shared" si="76"/>
        <v>160.13690422881791</v>
      </c>
      <c r="R1018" s="1">
        <f t="shared" si="77"/>
        <v>170.90808529709724</v>
      </c>
    </row>
    <row r="1019" spans="1:18" x14ac:dyDescent="0.35">
      <c r="A1019">
        <v>7.1527885555067199</v>
      </c>
      <c r="B1019">
        <v>4.3270281210170101</v>
      </c>
      <c r="C1019">
        <v>3.19064520523726</v>
      </c>
      <c r="I1019" s="1">
        <f t="shared" si="78"/>
        <v>618000.93119578063</v>
      </c>
      <c r="J1019">
        <f t="shared" si="79"/>
        <v>600.00006686197594</v>
      </c>
      <c r="K1019" s="1">
        <f t="shared" si="80"/>
        <v>12.202220661042125</v>
      </c>
      <c r="L1019" s="1">
        <f t="shared" si="80"/>
        <v>8.9976204814334348</v>
      </c>
      <c r="N1019">
        <f>I1019</f>
        <v>618000.93119578063</v>
      </c>
      <c r="O1019" s="1">
        <f>SUM(K$2:K1019)/$G$3</f>
        <v>0.16026337176948269</v>
      </c>
      <c r="P1019" s="1">
        <f>SUM(L$2:L1019)/$G$3</f>
        <v>0.17100133938303222</v>
      </c>
      <c r="Q1019" s="1">
        <f t="shared" si="76"/>
        <v>160.26337176948269</v>
      </c>
      <c r="R1019" s="1">
        <f t="shared" si="77"/>
        <v>171.00133938303222</v>
      </c>
    </row>
    <row r="1020" spans="1:18" x14ac:dyDescent="0.35">
      <c r="A1020">
        <v>7.1597330007250202</v>
      </c>
      <c r="B1020">
        <v>4.2949537978242898</v>
      </c>
      <c r="C1020">
        <v>3.1669630025014399</v>
      </c>
      <c r="I1020" s="1">
        <f t="shared" si="78"/>
        <v>618600.9312626418</v>
      </c>
      <c r="J1020">
        <f t="shared" si="79"/>
        <v>600.00006686116103</v>
      </c>
      <c r="K1020" s="1">
        <f t="shared" si="80"/>
        <v>12.111771059542807</v>
      </c>
      <c r="L1020" s="1">
        <f t="shared" si="80"/>
        <v>8.9308366622641309</v>
      </c>
      <c r="N1020">
        <f>I1020</f>
        <v>618600.9312626418</v>
      </c>
      <c r="O1020" s="1">
        <f>SUM(K$2:K1020)/$G$3</f>
        <v>0.16038890186286034</v>
      </c>
      <c r="P1020" s="1">
        <f>SUM(L$2:L1020)/$G$3</f>
        <v>0.17109390130107402</v>
      </c>
      <c r="Q1020" s="1">
        <f t="shared" si="76"/>
        <v>160.38890186286034</v>
      </c>
      <c r="R1020" s="1">
        <f t="shared" si="77"/>
        <v>171.09390130107403</v>
      </c>
    </row>
    <row r="1021" spans="1:18" x14ac:dyDescent="0.35">
      <c r="A1021">
        <v>7.1666774459433302</v>
      </c>
      <c r="B1021">
        <v>4.2638335403558498</v>
      </c>
      <c r="C1021">
        <v>3.1464799155089</v>
      </c>
      <c r="I1021" s="1">
        <f t="shared" si="78"/>
        <v>619200.93132950377</v>
      </c>
      <c r="J1021">
        <f t="shared" si="79"/>
        <v>600.00006686197594</v>
      </c>
      <c r="K1021" s="1">
        <f t="shared" si="80"/>
        <v>12.024011923718673</v>
      </c>
      <c r="L1021" s="1">
        <f t="shared" si="80"/>
        <v>8.8730743505204615</v>
      </c>
      <c r="N1021">
        <f>I1021</f>
        <v>619200.93132950377</v>
      </c>
      <c r="O1021" s="1">
        <f>SUM(K$2:K1021)/$G$3</f>
        <v>0.1605135223937586</v>
      </c>
      <c r="P1021" s="1">
        <f>SUM(L$2:L1021)/$G$3</f>
        <v>0.17118586455288023</v>
      </c>
      <c r="Q1021" s="1">
        <f t="shared" si="76"/>
        <v>160.51352239375859</v>
      </c>
      <c r="R1021" s="1">
        <f t="shared" si="77"/>
        <v>171.18586455288025</v>
      </c>
    </row>
    <row r="1022" spans="1:18" x14ac:dyDescent="0.35">
      <c r="A1022">
        <v>7.1736218911616296</v>
      </c>
      <c r="B1022">
        <v>4.2442734434973701</v>
      </c>
      <c r="C1022">
        <v>3.12540551011995</v>
      </c>
      <c r="I1022" s="1">
        <f t="shared" si="78"/>
        <v>619800.93139636482</v>
      </c>
      <c r="J1022">
        <f t="shared" si="79"/>
        <v>600.00006686104462</v>
      </c>
      <c r="K1022" s="1">
        <f t="shared" si="80"/>
        <v>11.968852444412398</v>
      </c>
      <c r="L1022" s="1">
        <f t="shared" si="80"/>
        <v>8.8136445206872835</v>
      </c>
      <c r="N1022">
        <f>I1022</f>
        <v>619800.93139636482</v>
      </c>
      <c r="O1022" s="1">
        <f>SUM(K$2:K1022)/$G$3</f>
        <v>0.16063757123497133</v>
      </c>
      <c r="P1022" s="1">
        <f>SUM(L$2:L1022)/$G$3</f>
        <v>0.17127721185578418</v>
      </c>
      <c r="Q1022" s="1">
        <f t="shared" si="76"/>
        <v>160.63757123497132</v>
      </c>
      <c r="R1022" s="1">
        <f t="shared" si="77"/>
        <v>171.27721185578417</v>
      </c>
    </row>
    <row r="1023" spans="1:18" x14ac:dyDescent="0.35">
      <c r="A1023">
        <v>7.1805663363799397</v>
      </c>
      <c r="B1023">
        <v>4.2100970687739201</v>
      </c>
      <c r="C1023">
        <v>3.1081097405737501</v>
      </c>
      <c r="I1023" s="1">
        <f t="shared" si="78"/>
        <v>620400.93146322679</v>
      </c>
      <c r="J1023">
        <f t="shared" si="79"/>
        <v>600.00006686197594</v>
      </c>
      <c r="K1023" s="1">
        <f t="shared" si="80"/>
        <v>11.872475056970876</v>
      </c>
      <c r="L1023" s="1">
        <f t="shared" si="80"/>
        <v>8.764870445145462</v>
      </c>
      <c r="N1023">
        <f>I1023</f>
        <v>620400.93146322679</v>
      </c>
      <c r="O1023" s="1">
        <f>SUM(K$2:K1023)/$G$3</f>
        <v>0.16076062119151349</v>
      </c>
      <c r="P1023" s="1">
        <f>SUM(L$2:L1023)/$G$3</f>
        <v>0.1713680536492769</v>
      </c>
      <c r="Q1023" s="1">
        <f t="shared" si="76"/>
        <v>160.76062119151348</v>
      </c>
      <c r="R1023" s="1">
        <f t="shared" si="77"/>
        <v>171.3680536492769</v>
      </c>
    </row>
    <row r="1024" spans="1:18" x14ac:dyDescent="0.35">
      <c r="A1024">
        <v>7.1875107815982497</v>
      </c>
      <c r="B1024">
        <v>4.18254975966925</v>
      </c>
      <c r="C1024">
        <v>3.09325027865194</v>
      </c>
      <c r="I1024" s="1">
        <f t="shared" si="78"/>
        <v>621000.93153008877</v>
      </c>
      <c r="J1024">
        <f t="shared" si="79"/>
        <v>600.00006686197594</v>
      </c>
      <c r="K1024" s="1">
        <f t="shared" si="80"/>
        <v>11.79479163663893</v>
      </c>
      <c r="L1024" s="1">
        <f t="shared" si="80"/>
        <v>8.7229667578563514</v>
      </c>
      <c r="N1024">
        <f>I1024</f>
        <v>621000.93153008877</v>
      </c>
      <c r="O1024" s="1">
        <f>SUM(K$2:K1024)/$G$3</f>
        <v>0.1608828660133681</v>
      </c>
      <c r="P1024" s="1">
        <f>SUM(L$2:L1024)/$G$3</f>
        <v>0.17145846114016003</v>
      </c>
      <c r="Q1024" s="1">
        <f t="shared" si="76"/>
        <v>160.8828660133681</v>
      </c>
      <c r="R1024" s="1">
        <f t="shared" si="77"/>
        <v>171.45846114016004</v>
      </c>
    </row>
    <row r="1025" spans="1:18" x14ac:dyDescent="0.35">
      <c r="A1025">
        <v>7.19445522681655</v>
      </c>
      <c r="B1025">
        <v>4.1534730302462899</v>
      </c>
      <c r="C1025">
        <v>3.0702426727800098</v>
      </c>
      <c r="I1025" s="1">
        <f t="shared" si="78"/>
        <v>621600.93159694993</v>
      </c>
      <c r="J1025">
        <f t="shared" si="79"/>
        <v>600.00006686116103</v>
      </c>
      <c r="K1025" s="1">
        <f t="shared" si="80"/>
        <v>11.712795250512874</v>
      </c>
      <c r="L1025" s="1">
        <f t="shared" si="80"/>
        <v>8.6580853020555804</v>
      </c>
      <c r="N1025">
        <f>I1025</f>
        <v>621600.93159694993</v>
      </c>
      <c r="O1025" s="1">
        <f>SUM(K$2:K1025)/$G$3</f>
        <v>0.16100426099964069</v>
      </c>
      <c r="P1025" s="1">
        <f>SUM(L$2:L1025)/$G$3</f>
        <v>0.17154819617982481</v>
      </c>
      <c r="Q1025" s="1">
        <f t="shared" si="76"/>
        <v>161.00426099964068</v>
      </c>
      <c r="R1025" s="1">
        <f t="shared" si="77"/>
        <v>171.5481961798248</v>
      </c>
    </row>
    <row r="1026" spans="1:18" x14ac:dyDescent="0.35">
      <c r="A1026">
        <v>7.2013996720348601</v>
      </c>
      <c r="B1026">
        <v>4.1255200154532803</v>
      </c>
      <c r="C1026">
        <v>3.0532919084584398</v>
      </c>
      <c r="I1026" s="1">
        <f t="shared" si="78"/>
        <v>622200.93166381191</v>
      </c>
      <c r="J1026">
        <f t="shared" si="79"/>
        <v>600.00006686197594</v>
      </c>
      <c r="K1026" s="1">
        <f t="shared" si="80"/>
        <v>11.633967740028224</v>
      </c>
      <c r="L1026" s="1">
        <f t="shared" si="80"/>
        <v>8.610284141353711</v>
      </c>
      <c r="N1026">
        <f>I1026</f>
        <v>622200.93166381191</v>
      </c>
      <c r="O1026" s="1">
        <f>SUM(K$2:K1026)/$G$3</f>
        <v>0.16112483899352603</v>
      </c>
      <c r="P1026" s="1">
        <f>SUM(L$2:L1026)/$G$3</f>
        <v>0.17163743579366481</v>
      </c>
      <c r="Q1026" s="1">
        <f t="shared" ref="Q1026:Q1089" si="81">O1026*1000</f>
        <v>161.12483899352603</v>
      </c>
      <c r="R1026" s="1">
        <f t="shared" ref="R1026:R1089" si="82">P1026*1000</f>
        <v>171.63743579366479</v>
      </c>
    </row>
    <row r="1027" spans="1:18" x14ac:dyDescent="0.35">
      <c r="A1027">
        <v>7.2083441172531701</v>
      </c>
      <c r="B1027">
        <v>4.0942549379819502</v>
      </c>
      <c r="C1027">
        <v>3.0344739372777001</v>
      </c>
      <c r="I1027" s="1">
        <f t="shared" ref="I1027:I1090" si="83">A1027*86400</f>
        <v>622800.93173067388</v>
      </c>
      <c r="J1027">
        <f t="shared" si="79"/>
        <v>600.00006686197594</v>
      </c>
      <c r="K1027" s="1">
        <f t="shared" si="80"/>
        <v>11.545800211733985</v>
      </c>
      <c r="L1027" s="1">
        <f t="shared" si="80"/>
        <v>8.557217456710454</v>
      </c>
      <c r="N1027">
        <f>I1027</f>
        <v>622800.93173067388</v>
      </c>
      <c r="O1027" s="1">
        <f>SUM(K$2:K1027)/$G$3</f>
        <v>0.16124450319222774</v>
      </c>
      <c r="P1027" s="1">
        <f>SUM(L$2:L1027)/$G$3</f>
        <v>0.17172612540818219</v>
      </c>
      <c r="Q1027" s="1">
        <f t="shared" si="81"/>
        <v>161.24450319222774</v>
      </c>
      <c r="R1027" s="1">
        <f t="shared" si="82"/>
        <v>171.72612540818218</v>
      </c>
    </row>
    <row r="1028" spans="1:18" x14ac:dyDescent="0.35">
      <c r="A1028">
        <v>7.2152885624714704</v>
      </c>
      <c r="B1028">
        <v>4.06784211445156</v>
      </c>
      <c r="C1028">
        <v>3.0200598022252798</v>
      </c>
      <c r="I1028" s="1">
        <f t="shared" si="83"/>
        <v>623400.93179753504</v>
      </c>
      <c r="J1028">
        <f t="shared" si="79"/>
        <v>600.00006686116103</v>
      </c>
      <c r="K1028" s="1">
        <f t="shared" si="80"/>
        <v>11.47131604106244</v>
      </c>
      <c r="L1028" s="1">
        <f t="shared" si="80"/>
        <v>8.5165695913214012</v>
      </c>
      <c r="N1028">
        <f>I1028</f>
        <v>623400.93179753504</v>
      </c>
      <c r="O1028" s="1">
        <f>SUM(K$2:K1028)/$G$3</f>
        <v>0.16136339541424219</v>
      </c>
      <c r="P1028" s="1">
        <f>SUM(L$2:L1028)/$G$3</f>
        <v>0.17181439373581156</v>
      </c>
      <c r="Q1028" s="1">
        <f t="shared" si="81"/>
        <v>161.36339541424218</v>
      </c>
      <c r="R1028" s="1">
        <f t="shared" si="82"/>
        <v>171.81439373581156</v>
      </c>
    </row>
    <row r="1029" spans="1:18" x14ac:dyDescent="0.35">
      <c r="A1029">
        <v>7.2222330076897796</v>
      </c>
      <c r="B1029">
        <v>4.0362822761906596</v>
      </c>
      <c r="C1029">
        <v>3.00041202371039</v>
      </c>
      <c r="I1029" s="1">
        <f t="shared" si="83"/>
        <v>624000.9318643969</v>
      </c>
      <c r="J1029">
        <f t="shared" si="79"/>
        <v>600.00006686185952</v>
      </c>
      <c r="K1029" s="1">
        <f t="shared" si="80"/>
        <v>11.382317287262351</v>
      </c>
      <c r="L1029" s="1">
        <f t="shared" si="80"/>
        <v>8.4611628497449978</v>
      </c>
      <c r="N1029">
        <f>I1029</f>
        <v>624000.9318643969</v>
      </c>
      <c r="O1029" s="1">
        <f>SUM(K$2:K1029)/$G$3</f>
        <v>0.16148136522599801</v>
      </c>
      <c r="P1029" s="1">
        <f>SUM(L$2:L1029)/$G$3</f>
        <v>0.17190208781105379</v>
      </c>
      <c r="Q1029" s="1">
        <f t="shared" si="81"/>
        <v>161.48136522599802</v>
      </c>
      <c r="R1029" s="1">
        <f t="shared" si="82"/>
        <v>171.90208781105378</v>
      </c>
    </row>
    <row r="1030" spans="1:18" x14ac:dyDescent="0.35">
      <c r="A1030">
        <v>7.2291774529080897</v>
      </c>
      <c r="B1030">
        <v>4.0142764249203804</v>
      </c>
      <c r="C1030">
        <v>2.98589157687391</v>
      </c>
      <c r="I1030" s="1">
        <f t="shared" si="83"/>
        <v>624600.93193125899</v>
      </c>
      <c r="J1030">
        <f t="shared" ref="J1030:J1093" si="84">I1030-I1029</f>
        <v>600.00006686209235</v>
      </c>
      <c r="K1030" s="1">
        <f t="shared" si="80"/>
        <v>11.320260779769201</v>
      </c>
      <c r="L1030" s="1">
        <f t="shared" si="80"/>
        <v>8.4202151851063309</v>
      </c>
      <c r="N1030">
        <f>I1030</f>
        <v>624600.93193125899</v>
      </c>
      <c r="O1030" s="1">
        <f>SUM(K$2:K1030)/$G$3</f>
        <v>0.16159869186516232</v>
      </c>
      <c r="P1030" s="1">
        <f>SUM(L$2:L1030)/$G$3</f>
        <v>0.17198935749219701</v>
      </c>
      <c r="Q1030" s="1">
        <f t="shared" si="81"/>
        <v>161.59869186516232</v>
      </c>
      <c r="R1030" s="1">
        <f t="shared" si="82"/>
        <v>171.989357492197</v>
      </c>
    </row>
    <row r="1031" spans="1:18" x14ac:dyDescent="0.35">
      <c r="A1031">
        <v>7.23612189812639</v>
      </c>
      <c r="B1031">
        <v>3.98752521767145</v>
      </c>
      <c r="C1031">
        <v>2.9636566651223002</v>
      </c>
      <c r="I1031" s="1">
        <f t="shared" si="83"/>
        <v>625200.93199812004</v>
      </c>
      <c r="J1031">
        <f t="shared" si="84"/>
        <v>600.00006686104462</v>
      </c>
      <c r="K1031" s="1">
        <f t="shared" si="80"/>
        <v>11.244822366900966</v>
      </c>
      <c r="L1031" s="1">
        <f t="shared" si="80"/>
        <v>8.3575127269648348</v>
      </c>
      <c r="N1031">
        <f>I1031</f>
        <v>625200.93199812004</v>
      </c>
      <c r="O1031" s="1">
        <f>SUM(K$2:K1031)/$G$3</f>
        <v>0.16171523663758189</v>
      </c>
      <c r="P1031" s="1">
        <f>SUM(L$2:L1031)/$G$3</f>
        <v>0.172075977305919</v>
      </c>
      <c r="Q1031" s="1">
        <f t="shared" si="81"/>
        <v>161.71523663758188</v>
      </c>
      <c r="R1031" s="1">
        <f t="shared" si="82"/>
        <v>172.075977305919</v>
      </c>
    </row>
    <row r="1032" spans="1:18" x14ac:dyDescent="0.35">
      <c r="A1032">
        <v>7.2430663433447</v>
      </c>
      <c r="B1032">
        <v>3.9580782915862001</v>
      </c>
      <c r="C1032">
        <v>2.9432934756367199</v>
      </c>
      <c r="I1032" s="1">
        <f t="shared" si="83"/>
        <v>625800.93206498213</v>
      </c>
      <c r="J1032">
        <f t="shared" si="84"/>
        <v>600.00006686209235</v>
      </c>
      <c r="K1032" s="1">
        <f t="shared" si="80"/>
        <v>11.161782026106447</v>
      </c>
      <c r="L1032" s="1">
        <f t="shared" si="80"/>
        <v>8.3000885262309243</v>
      </c>
      <c r="N1032">
        <f>I1032</f>
        <v>625800.93206498213</v>
      </c>
      <c r="O1032" s="1">
        <f>SUM(K$2:K1032)/$G$3</f>
        <v>0.16183092075455455</v>
      </c>
      <c r="P1032" s="1">
        <f>SUM(L$2:L1032)/$G$3</f>
        <v>0.17216200195769107</v>
      </c>
      <c r="Q1032" s="1">
        <f t="shared" si="81"/>
        <v>161.83092075455454</v>
      </c>
      <c r="R1032" s="1">
        <f t="shared" si="82"/>
        <v>172.16200195769107</v>
      </c>
    </row>
    <row r="1033" spans="1:18" x14ac:dyDescent="0.35">
      <c r="A1033">
        <v>7.2500107885630101</v>
      </c>
      <c r="B1033">
        <v>3.9264589053938299</v>
      </c>
      <c r="C1033">
        <v>2.9287944706892701</v>
      </c>
      <c r="I1033" s="1">
        <f t="shared" si="83"/>
        <v>626400.93213184411</v>
      </c>
      <c r="J1033">
        <f t="shared" si="84"/>
        <v>600.00006686197594</v>
      </c>
      <c r="K1033" s="1">
        <f t="shared" si="80"/>
        <v>11.072615347105366</v>
      </c>
      <c r="L1033" s="1">
        <f t="shared" si="80"/>
        <v>8.2592013277211738</v>
      </c>
      <c r="N1033">
        <f>I1033</f>
        <v>626400.93213184411</v>
      </c>
      <c r="O1033" s="1">
        <f>SUM(K$2:K1033)/$G$3</f>
        <v>0.16194568072084056</v>
      </c>
      <c r="P1033" s="1">
        <f>SUM(L$2:L1033)/$G$3</f>
        <v>0.17224760284205365</v>
      </c>
      <c r="Q1033" s="1">
        <f t="shared" si="81"/>
        <v>161.94568072084056</v>
      </c>
      <c r="R1033" s="1">
        <f t="shared" si="82"/>
        <v>172.24760284205365</v>
      </c>
    </row>
    <row r="1034" spans="1:18" x14ac:dyDescent="0.35">
      <c r="A1034">
        <v>7.2569552337813104</v>
      </c>
      <c r="B1034">
        <v>3.90073077670288</v>
      </c>
      <c r="C1034">
        <v>2.91694362473747</v>
      </c>
      <c r="I1034" s="1">
        <f t="shared" si="83"/>
        <v>627000.93219870527</v>
      </c>
      <c r="J1034">
        <f t="shared" si="84"/>
        <v>600.00006686116103</v>
      </c>
      <c r="K1034" s="1">
        <f t="shared" si="80"/>
        <v>11.000062016096848</v>
      </c>
      <c r="L1034" s="1">
        <f t="shared" si="80"/>
        <v>8.2257819384017825</v>
      </c>
      <c r="N1034">
        <f>I1034</f>
        <v>627000.93219870527</v>
      </c>
      <c r="O1034" s="1">
        <f>SUM(K$2:K1034)/$G$3</f>
        <v>0.16205968872225113</v>
      </c>
      <c r="P1034" s="1">
        <f>SUM(L$2:L1034)/$G$3</f>
        <v>0.17233285735766127</v>
      </c>
      <c r="Q1034" s="1">
        <f t="shared" si="81"/>
        <v>162.05968872225114</v>
      </c>
      <c r="R1034" s="1">
        <f t="shared" si="82"/>
        <v>172.33285735766125</v>
      </c>
    </row>
    <row r="1035" spans="1:18" x14ac:dyDescent="0.35">
      <c r="A1035">
        <v>7.2638996789996204</v>
      </c>
      <c r="B1035">
        <v>3.8720007556282501</v>
      </c>
      <c r="C1035">
        <v>2.8925739040740401</v>
      </c>
      <c r="I1035" s="1">
        <f t="shared" si="83"/>
        <v>627600.93226556724</v>
      </c>
      <c r="J1035">
        <f t="shared" si="84"/>
        <v>600.00006686197594</v>
      </c>
      <c r="K1035" s="1">
        <f t="shared" si="80"/>
        <v>10.919043347652886</v>
      </c>
      <c r="L1035" s="1">
        <f t="shared" si="80"/>
        <v>8.1570593184838653</v>
      </c>
      <c r="N1035">
        <f>I1035</f>
        <v>627600.93226556724</v>
      </c>
      <c r="O1035" s="1">
        <f>SUM(K$2:K1035)/$G$3</f>
        <v>0.16217285702144429</v>
      </c>
      <c r="P1035" s="1">
        <f>SUM(L$2:L1035)/$G$3</f>
        <v>0.17241739961105285</v>
      </c>
      <c r="Q1035" s="1">
        <f t="shared" si="81"/>
        <v>162.17285702144429</v>
      </c>
      <c r="R1035" s="1">
        <f t="shared" si="82"/>
        <v>172.41739961105284</v>
      </c>
    </row>
    <row r="1036" spans="1:18" x14ac:dyDescent="0.35">
      <c r="A1036">
        <v>7.2708441242179198</v>
      </c>
      <c r="B1036">
        <v>3.8467179021856399</v>
      </c>
      <c r="C1036">
        <v>2.8807255886514298</v>
      </c>
      <c r="I1036" s="1">
        <f t="shared" si="83"/>
        <v>628200.93233242829</v>
      </c>
      <c r="J1036">
        <f t="shared" si="84"/>
        <v>600.00006686104462</v>
      </c>
      <c r="K1036" s="1">
        <f t="shared" si="80"/>
        <v>10.847745692982718</v>
      </c>
      <c r="L1036" s="1">
        <f t="shared" si="80"/>
        <v>8.1236470652561472</v>
      </c>
      <c r="N1036">
        <f>I1036</f>
        <v>628200.93233242829</v>
      </c>
      <c r="O1036" s="1">
        <f>SUM(K$2:K1036)/$G$3</f>
        <v>0.16228528636997497</v>
      </c>
      <c r="P1036" s="1">
        <f>SUM(L$2:L1036)/$G$3</f>
        <v>0.17250159556965008</v>
      </c>
      <c r="Q1036" s="1">
        <f t="shared" si="81"/>
        <v>162.28528636997495</v>
      </c>
      <c r="R1036" s="1">
        <f t="shared" si="82"/>
        <v>172.50159556965008</v>
      </c>
    </row>
    <row r="1037" spans="1:18" x14ac:dyDescent="0.35">
      <c r="A1037">
        <v>7.2777885694362299</v>
      </c>
      <c r="B1037">
        <v>3.8166997773455602</v>
      </c>
      <c r="C1037">
        <v>2.8677131488278098</v>
      </c>
      <c r="I1037" s="1">
        <f t="shared" si="83"/>
        <v>628800.93239929026</v>
      </c>
      <c r="J1037">
        <f t="shared" si="84"/>
        <v>600.00006686197594</v>
      </c>
      <c r="K1037" s="1">
        <f t="shared" si="80"/>
        <v>10.763094571517296</v>
      </c>
      <c r="L1037" s="1">
        <f t="shared" si="80"/>
        <v>8.0869519808769716</v>
      </c>
      <c r="N1037">
        <f>I1037</f>
        <v>628800.93239929026</v>
      </c>
      <c r="O1037" s="1">
        <f>SUM(K$2:K1037)/$G$3</f>
        <v>0.16239683836843605</v>
      </c>
      <c r="P1037" s="1">
        <f>SUM(L$2:L1037)/$G$3</f>
        <v>0.17258541120918863</v>
      </c>
      <c r="Q1037" s="1">
        <f t="shared" si="81"/>
        <v>162.39683836843605</v>
      </c>
      <c r="R1037" s="1">
        <f t="shared" si="82"/>
        <v>172.58541120918863</v>
      </c>
    </row>
    <row r="1038" spans="1:18" x14ac:dyDescent="0.35">
      <c r="A1038">
        <v>7.2847330146545302</v>
      </c>
      <c r="B1038">
        <v>3.7964055612655199</v>
      </c>
      <c r="C1038">
        <v>2.8518674592902999</v>
      </c>
      <c r="I1038" s="1">
        <f t="shared" si="83"/>
        <v>629400.93246615143</v>
      </c>
      <c r="J1038">
        <f t="shared" si="84"/>
        <v>600.00006686116103</v>
      </c>
      <c r="K1038" s="1">
        <f t="shared" si="80"/>
        <v>10.705864875779561</v>
      </c>
      <c r="L1038" s="1">
        <f t="shared" si="80"/>
        <v>8.0422671313907426</v>
      </c>
      <c r="N1038">
        <f>I1038</f>
        <v>629400.93246615143</v>
      </c>
      <c r="O1038" s="1">
        <f>SUM(K$2:K1038)/$G$3</f>
        <v>0.16250779722085643</v>
      </c>
      <c r="P1038" s="1">
        <f>SUM(L$2:L1038)/$G$3</f>
        <v>0.17266876372130335</v>
      </c>
      <c r="Q1038" s="1">
        <f t="shared" si="81"/>
        <v>162.50779722085642</v>
      </c>
      <c r="R1038" s="1">
        <f t="shared" si="82"/>
        <v>172.66876372130335</v>
      </c>
    </row>
    <row r="1039" spans="1:18" x14ac:dyDescent="0.35">
      <c r="A1039">
        <v>7.2916774598728402</v>
      </c>
      <c r="B1039">
        <v>3.7636138748359098</v>
      </c>
      <c r="C1039">
        <v>2.8351507853545201</v>
      </c>
      <c r="I1039" s="1">
        <f t="shared" si="83"/>
        <v>630000.9325330134</v>
      </c>
      <c r="J1039">
        <f t="shared" si="84"/>
        <v>600.00006686197594</v>
      </c>
      <c r="K1039" s="1">
        <f t="shared" si="80"/>
        <v>10.613392309757769</v>
      </c>
      <c r="L1039" s="1">
        <f t="shared" si="80"/>
        <v>7.99512610564953</v>
      </c>
      <c r="N1039">
        <f>I1039</f>
        <v>630000.9325330134</v>
      </c>
      <c r="O1039" s="1">
        <f>SUM(K$2:K1039)/$G$3</f>
        <v>0.16261779765936768</v>
      </c>
      <c r="P1039" s="1">
        <f>SUM(L$2:L1039)/$G$3</f>
        <v>0.17275162764943361</v>
      </c>
      <c r="Q1039" s="1">
        <f t="shared" si="81"/>
        <v>162.61779765936768</v>
      </c>
      <c r="R1039" s="1">
        <f t="shared" si="82"/>
        <v>172.7516276494336</v>
      </c>
    </row>
    <row r="1040" spans="1:18" x14ac:dyDescent="0.35">
      <c r="A1040">
        <v>7.2986219050911503</v>
      </c>
      <c r="B1040">
        <v>3.7359094627215002</v>
      </c>
      <c r="C1040">
        <v>2.8219662581308</v>
      </c>
      <c r="I1040" s="1">
        <f t="shared" si="83"/>
        <v>630600.93259987538</v>
      </c>
      <c r="J1040">
        <f t="shared" si="84"/>
        <v>600.00006686197594</v>
      </c>
      <c r="K1040" s="1">
        <f t="shared" si="80"/>
        <v>10.535265858888989</v>
      </c>
      <c r="L1040" s="1">
        <f t="shared" si="80"/>
        <v>7.957945734735385</v>
      </c>
      <c r="N1040">
        <f>I1040</f>
        <v>630600.93259987538</v>
      </c>
      <c r="O1040" s="1">
        <f>SUM(K$2:K1040)/$G$3</f>
        <v>0.16272698837148758</v>
      </c>
      <c r="P1040" s="1">
        <f>SUM(L$2:L1040)/$G$3</f>
        <v>0.17283410622884737</v>
      </c>
      <c r="Q1040" s="1">
        <f t="shared" si="81"/>
        <v>162.72698837148758</v>
      </c>
      <c r="R1040" s="1">
        <f t="shared" si="82"/>
        <v>172.83410622884736</v>
      </c>
    </row>
    <row r="1041" spans="1:18" x14ac:dyDescent="0.35">
      <c r="A1041">
        <v>7.3055663503094497</v>
      </c>
      <c r="B1041">
        <v>3.7119680225760399</v>
      </c>
      <c r="C1041">
        <v>2.8112932638971899</v>
      </c>
      <c r="I1041" s="1">
        <f t="shared" si="83"/>
        <v>631200.93266673642</v>
      </c>
      <c r="J1041">
        <f t="shared" si="84"/>
        <v>600.00006686104462</v>
      </c>
      <c r="K1041" s="1">
        <f t="shared" si="80"/>
        <v>10.467750990138914</v>
      </c>
      <c r="L1041" s="1">
        <f t="shared" si="80"/>
        <v>7.9278478876302962</v>
      </c>
      <c r="N1041">
        <f>I1041</f>
        <v>631200.93266673642</v>
      </c>
      <c r="O1041" s="1">
        <f>SUM(K$2:K1041)/$G$3</f>
        <v>0.16283547933889328</v>
      </c>
      <c r="P1041" s="1">
        <f>SUM(L$2:L1041)/$G$3</f>
        <v>0.17291627286498384</v>
      </c>
      <c r="Q1041" s="1">
        <f t="shared" si="81"/>
        <v>162.83547933889329</v>
      </c>
      <c r="R1041" s="1">
        <f t="shared" si="82"/>
        <v>172.91627286498385</v>
      </c>
    </row>
    <row r="1042" spans="1:18" x14ac:dyDescent="0.35">
      <c r="A1042">
        <v>7.3125107955277597</v>
      </c>
      <c r="B1042">
        <v>3.6845254439190498</v>
      </c>
      <c r="C1042">
        <v>2.79184630013307</v>
      </c>
      <c r="I1042" s="1">
        <f t="shared" si="83"/>
        <v>631800.9327335984</v>
      </c>
      <c r="J1042">
        <f t="shared" si="84"/>
        <v>600.00006686197594</v>
      </c>
      <c r="K1042" s="1">
        <f t="shared" si="80"/>
        <v>10.390362909718583</v>
      </c>
      <c r="L1042" s="1">
        <f t="shared" si="80"/>
        <v>7.8730074437165509</v>
      </c>
      <c r="N1042">
        <f>I1042</f>
        <v>631800.9327335984</v>
      </c>
      <c r="O1042" s="1">
        <f>SUM(K$2:K1042)/$G$3</f>
        <v>0.16294316823260441</v>
      </c>
      <c r="P1042" s="1">
        <f>SUM(L$2:L1042)/$G$3</f>
        <v>0.17299787111801507</v>
      </c>
      <c r="Q1042" s="1">
        <f t="shared" si="81"/>
        <v>162.94316823260442</v>
      </c>
      <c r="R1042" s="1">
        <f t="shared" si="82"/>
        <v>172.99787111801507</v>
      </c>
    </row>
    <row r="1043" spans="1:18" x14ac:dyDescent="0.35">
      <c r="A1043">
        <v>7.3194552407460698</v>
      </c>
      <c r="B1043">
        <v>3.6591629729741002</v>
      </c>
      <c r="C1043">
        <v>2.7832280047442901</v>
      </c>
      <c r="I1043" s="1">
        <f t="shared" si="83"/>
        <v>632400.93280046037</v>
      </c>
      <c r="J1043">
        <f t="shared" si="84"/>
        <v>600.00006686197594</v>
      </c>
      <c r="K1043" s="1">
        <f t="shared" ref="K1043:L1106" si="85">B1043*$J1043*$G$2</f>
        <v>10.318840733683636</v>
      </c>
      <c r="L1043" s="1">
        <f t="shared" si="85"/>
        <v>7.8487038480118807</v>
      </c>
      <c r="N1043">
        <f>I1043</f>
        <v>632400.93280046037</v>
      </c>
      <c r="O1043" s="1">
        <f>SUM(K$2:K1043)/$G$3</f>
        <v>0.16305011584864509</v>
      </c>
      <c r="P1043" s="1">
        <f>SUM(L$2:L1043)/$G$3</f>
        <v>0.1730792174811597</v>
      </c>
      <c r="Q1043" s="1">
        <f t="shared" si="81"/>
        <v>163.05011584864511</v>
      </c>
      <c r="R1043" s="1">
        <f t="shared" si="82"/>
        <v>173.0792174811597</v>
      </c>
    </row>
    <row r="1044" spans="1:18" x14ac:dyDescent="0.35">
      <c r="A1044">
        <v>7.3263996859643701</v>
      </c>
      <c r="B1044">
        <v>3.6300756164715802</v>
      </c>
      <c r="C1044">
        <v>2.7711030809946799</v>
      </c>
      <c r="I1044" s="1">
        <f t="shared" si="83"/>
        <v>633000.93286732154</v>
      </c>
      <c r="J1044">
        <f t="shared" si="84"/>
        <v>600.00006686116103</v>
      </c>
      <c r="K1044" s="1">
        <f t="shared" si="85"/>
        <v>10.236814379191888</v>
      </c>
      <c r="L1044" s="1">
        <f t="shared" si="85"/>
        <v>7.8145115592170944</v>
      </c>
      <c r="N1044">
        <f>I1044</f>
        <v>633000.93286732154</v>
      </c>
      <c r="O1044" s="1">
        <f>SUM(K$2:K1044)/$G$3</f>
        <v>0.1631562133185025</v>
      </c>
      <c r="P1044" s="1">
        <f>SUM(L$2:L1044)/$G$3</f>
        <v>0.17316020946498328</v>
      </c>
      <c r="Q1044" s="1">
        <f t="shared" si="81"/>
        <v>163.15621331850249</v>
      </c>
      <c r="R1044" s="1">
        <f t="shared" si="82"/>
        <v>173.1602094649833</v>
      </c>
    </row>
    <row r="1045" spans="1:18" x14ac:dyDescent="0.35">
      <c r="A1045">
        <v>7.3333441311826801</v>
      </c>
      <c r="B1045">
        <v>3.60806092258917</v>
      </c>
      <c r="C1045">
        <v>2.757996942174</v>
      </c>
      <c r="I1045" s="1">
        <f t="shared" si="83"/>
        <v>633600.93293418351</v>
      </c>
      <c r="J1045">
        <f t="shared" si="84"/>
        <v>600.00006686197594</v>
      </c>
      <c r="K1045" s="1">
        <f t="shared" si="85"/>
        <v>10.174732935539247</v>
      </c>
      <c r="L1045" s="1">
        <f t="shared" si="85"/>
        <v>7.7775522436347684</v>
      </c>
      <c r="N1045">
        <f>I1045</f>
        <v>633600.93293418351</v>
      </c>
      <c r="O1045" s="1">
        <f>SUM(K$2:K1045)/$G$3</f>
        <v>0.16326166735732239</v>
      </c>
      <c r="P1045" s="1">
        <f>SUM(L$2:L1045)/$G$3</f>
        <v>0.17324081839117528</v>
      </c>
      <c r="Q1045" s="1">
        <f t="shared" si="81"/>
        <v>163.26166735732238</v>
      </c>
      <c r="R1045" s="1">
        <f t="shared" si="82"/>
        <v>173.24081839117528</v>
      </c>
    </row>
    <row r="1046" spans="1:18" x14ac:dyDescent="0.35">
      <c r="A1046">
        <v>7.3402885764009902</v>
      </c>
      <c r="B1046">
        <v>3.5847529877293098</v>
      </c>
      <c r="C1046">
        <v>2.7433759285471102</v>
      </c>
      <c r="I1046" s="1">
        <f t="shared" si="83"/>
        <v>634200.9330010456</v>
      </c>
      <c r="J1046">
        <f t="shared" si="84"/>
        <v>600.00006686209235</v>
      </c>
      <c r="K1046" s="1">
        <f t="shared" si="85"/>
        <v>10.109004551911855</v>
      </c>
      <c r="L1046" s="1">
        <f t="shared" si="85"/>
        <v>7.7363209806137681</v>
      </c>
      <c r="N1046">
        <f>I1046</f>
        <v>634200.9330010456</v>
      </c>
      <c r="O1046" s="1">
        <f>SUM(K$2:K1046)/$G$3</f>
        <v>0.16336644016710539</v>
      </c>
      <c r="P1046" s="1">
        <f>SUM(L$2:L1046)/$G$3</f>
        <v>0.17332099998396808</v>
      </c>
      <c r="Q1046" s="1">
        <f t="shared" si="81"/>
        <v>163.3664401671054</v>
      </c>
      <c r="R1046" s="1">
        <f t="shared" si="82"/>
        <v>173.32099998396808</v>
      </c>
    </row>
    <row r="1047" spans="1:18" x14ac:dyDescent="0.35">
      <c r="A1047">
        <v>7.3472330216192896</v>
      </c>
      <c r="B1047">
        <v>3.5575383048284102</v>
      </c>
      <c r="C1047">
        <v>2.73269369614738</v>
      </c>
      <c r="I1047" s="1">
        <f t="shared" si="83"/>
        <v>634800.93306790665</v>
      </c>
      <c r="J1047">
        <f t="shared" si="84"/>
        <v>600.00006686104462</v>
      </c>
      <c r="K1047" s="1">
        <f t="shared" si="85"/>
        <v>10.032259137561535</v>
      </c>
      <c r="L1047" s="1">
        <f t="shared" si="85"/>
        <v>7.7061970818761614</v>
      </c>
      <c r="N1047">
        <f>I1047</f>
        <v>634800.93306790665</v>
      </c>
      <c r="O1047" s="1">
        <f>SUM(K$2:K1047)/$G$3</f>
        <v>0.16347041756398117</v>
      </c>
      <c r="P1047" s="1">
        <f>SUM(L$2:L1047)/$G$3</f>
        <v>0.17340086936347657</v>
      </c>
      <c r="Q1047" s="1">
        <f t="shared" si="81"/>
        <v>163.47041756398119</v>
      </c>
      <c r="R1047" s="1">
        <f t="shared" si="82"/>
        <v>173.40086936347657</v>
      </c>
    </row>
    <row r="1048" spans="1:18" x14ac:dyDescent="0.35">
      <c r="A1048">
        <v>7.3541774668375997</v>
      </c>
      <c r="B1048">
        <v>3.5324363880005598</v>
      </c>
      <c r="C1048">
        <v>2.7175389128735201</v>
      </c>
      <c r="I1048" s="1">
        <f t="shared" si="83"/>
        <v>635400.93313476862</v>
      </c>
      <c r="J1048">
        <f t="shared" si="84"/>
        <v>600.00006686197594</v>
      </c>
      <c r="K1048" s="1">
        <f t="shared" si="85"/>
        <v>9.9614717242342596</v>
      </c>
      <c r="L1048" s="1">
        <f t="shared" si="85"/>
        <v>7.6634605882934279</v>
      </c>
      <c r="N1048">
        <f>I1048</f>
        <v>635400.93313476862</v>
      </c>
      <c r="O1048" s="1">
        <f>SUM(K$2:K1048)/$G$3</f>
        <v>0.16357366129849157</v>
      </c>
      <c r="P1048" s="1">
        <f>SUM(L$2:L1048)/$G$3</f>
        <v>0.17348029580891672</v>
      </c>
      <c r="Q1048" s="1">
        <f t="shared" si="81"/>
        <v>163.57366129849157</v>
      </c>
      <c r="R1048" s="1">
        <f t="shared" si="82"/>
        <v>173.48029580891671</v>
      </c>
    </row>
    <row r="1049" spans="1:18" x14ac:dyDescent="0.35">
      <c r="A1049">
        <v>7.3611219120559097</v>
      </c>
      <c r="B1049">
        <v>3.5088128011339399</v>
      </c>
      <c r="C1049">
        <v>2.7089759463227301</v>
      </c>
      <c r="I1049" s="1">
        <f t="shared" si="83"/>
        <v>636000.9332016306</v>
      </c>
      <c r="J1049">
        <f t="shared" si="84"/>
        <v>600.00006686197594</v>
      </c>
      <c r="K1049" s="1">
        <f t="shared" si="85"/>
        <v>9.8948532018466491</v>
      </c>
      <c r="L1049" s="1">
        <f t="shared" si="85"/>
        <v>7.6393130199292765</v>
      </c>
      <c r="N1049">
        <f>I1049</f>
        <v>636000.9332016306</v>
      </c>
      <c r="O1049" s="1">
        <f>SUM(K$2:K1049)/$G$3</f>
        <v>0.16367621457829512</v>
      </c>
      <c r="P1049" s="1">
        <f>SUM(L$2:L1049)/$G$3</f>
        <v>0.17355947198158531</v>
      </c>
      <c r="Q1049" s="1">
        <f t="shared" si="81"/>
        <v>163.67621457829512</v>
      </c>
      <c r="R1049" s="1">
        <f t="shared" si="82"/>
        <v>173.55947198158532</v>
      </c>
    </row>
    <row r="1050" spans="1:18" x14ac:dyDescent="0.35">
      <c r="A1050">
        <v>7.36806635727421</v>
      </c>
      <c r="B1050">
        <v>3.4860015830103199</v>
      </c>
      <c r="C1050">
        <v>2.69634438263554</v>
      </c>
      <c r="I1050" s="1">
        <f t="shared" si="83"/>
        <v>636600.93326849176</v>
      </c>
      <c r="J1050">
        <f t="shared" si="84"/>
        <v>600.00006686116103</v>
      </c>
      <c r="K1050" s="1">
        <f t="shared" si="85"/>
        <v>9.8305255595562357</v>
      </c>
      <c r="L1050" s="1">
        <f t="shared" si="85"/>
        <v>7.6036920063515883</v>
      </c>
      <c r="N1050">
        <f>I1050</f>
        <v>636600.93326849176</v>
      </c>
      <c r="O1050" s="1">
        <f>SUM(K$2:K1050)/$G$3</f>
        <v>0.16377810114677269</v>
      </c>
      <c r="P1050" s="1">
        <f>SUM(L$2:L1050)/$G$3</f>
        <v>0.17363827896719294</v>
      </c>
      <c r="Q1050" s="1">
        <f t="shared" si="81"/>
        <v>163.77810114677268</v>
      </c>
      <c r="R1050" s="1">
        <f t="shared" si="82"/>
        <v>173.63827896719295</v>
      </c>
    </row>
    <row r="1051" spans="1:18" x14ac:dyDescent="0.35">
      <c r="A1051">
        <v>7.3750108024925201</v>
      </c>
      <c r="B1051">
        <v>3.4608234389871</v>
      </c>
      <c r="C1051">
        <v>2.68521547054912</v>
      </c>
      <c r="I1051" s="1">
        <f t="shared" si="83"/>
        <v>637200.93333535374</v>
      </c>
      <c r="J1051">
        <f t="shared" si="84"/>
        <v>600.00006686197594</v>
      </c>
      <c r="K1051" s="1">
        <f t="shared" si="85"/>
        <v>9.7595231855118421</v>
      </c>
      <c r="L1051" s="1">
        <f t="shared" si="85"/>
        <v>7.5723084707809356</v>
      </c>
      <c r="N1051">
        <f>I1051</f>
        <v>637200.93333535374</v>
      </c>
      <c r="O1051" s="1">
        <f>SUM(K$2:K1051)/$G$3</f>
        <v>0.16387925182496629</v>
      </c>
      <c r="P1051" s="1">
        <f>SUM(L$2:L1051)/$G$3</f>
        <v>0.17371676068425551</v>
      </c>
      <c r="Q1051" s="1">
        <f t="shared" si="81"/>
        <v>163.8792518249663</v>
      </c>
      <c r="R1051" s="1">
        <f t="shared" si="82"/>
        <v>173.71676068425552</v>
      </c>
    </row>
    <row r="1052" spans="1:18" x14ac:dyDescent="0.35">
      <c r="A1052">
        <v>7.3819552477108203</v>
      </c>
      <c r="B1052">
        <v>3.43623128983899</v>
      </c>
      <c r="C1052">
        <v>2.6723779058431201</v>
      </c>
      <c r="I1052" s="1">
        <f t="shared" si="83"/>
        <v>637800.9334022149</v>
      </c>
      <c r="J1052">
        <f t="shared" si="84"/>
        <v>600.00006686116103</v>
      </c>
      <c r="K1052" s="1">
        <f t="shared" si="85"/>
        <v>9.6901733171728957</v>
      </c>
      <c r="L1052" s="1">
        <f t="shared" si="85"/>
        <v>7.53610653426556</v>
      </c>
      <c r="N1052">
        <f>I1052</f>
        <v>637800.9334022149</v>
      </c>
      <c r="O1052" s="1">
        <f>SUM(K$2:K1052)/$G$3</f>
        <v>0.1639796837399497</v>
      </c>
      <c r="P1052" s="1">
        <f>SUM(L$2:L1052)/$G$3</f>
        <v>0.1737948671933944</v>
      </c>
      <c r="Q1052" s="1">
        <f t="shared" si="81"/>
        <v>163.97968373994971</v>
      </c>
      <c r="R1052" s="1">
        <f t="shared" si="82"/>
        <v>173.7948671933944</v>
      </c>
    </row>
    <row r="1053" spans="1:18" x14ac:dyDescent="0.35">
      <c r="A1053">
        <v>7.3888996929291304</v>
      </c>
      <c r="B1053">
        <v>3.41341287076059</v>
      </c>
      <c r="C1053">
        <v>2.6639358576220098</v>
      </c>
      <c r="I1053" s="1">
        <f t="shared" si="83"/>
        <v>638400.93346907687</v>
      </c>
      <c r="J1053">
        <f t="shared" si="84"/>
        <v>600.00006686197594</v>
      </c>
      <c r="K1053" s="1">
        <f t="shared" si="85"/>
        <v>9.6258253682142527</v>
      </c>
      <c r="L1053" s="1">
        <f t="shared" si="85"/>
        <v>7.5122999556393397</v>
      </c>
      <c r="N1053">
        <f>I1053</f>
        <v>638400.93346907687</v>
      </c>
      <c r="O1053" s="1">
        <f>SUM(K$2:K1053)/$G$3</f>
        <v>0.16407944873314256</v>
      </c>
      <c r="P1053" s="1">
        <f>SUM(L$2:L1053)/$G$3</f>
        <v>0.17387272696388351</v>
      </c>
      <c r="Q1053" s="1">
        <f t="shared" si="81"/>
        <v>164.07944873314256</v>
      </c>
      <c r="R1053" s="1">
        <f t="shared" si="82"/>
        <v>173.87272696388351</v>
      </c>
    </row>
    <row r="1054" spans="1:18" x14ac:dyDescent="0.35">
      <c r="A1054">
        <v>7.3958441381474396</v>
      </c>
      <c r="B1054">
        <v>3.3918070413861101</v>
      </c>
      <c r="C1054">
        <v>2.6532421978601399</v>
      </c>
      <c r="I1054" s="1">
        <f t="shared" si="83"/>
        <v>639000.93353593873</v>
      </c>
      <c r="J1054">
        <f t="shared" si="84"/>
        <v>600.00006686185952</v>
      </c>
      <c r="K1054" s="1">
        <f t="shared" si="85"/>
        <v>9.5648969225867031</v>
      </c>
      <c r="L1054" s="1">
        <f t="shared" si="85"/>
        <v>7.4821438317489184</v>
      </c>
      <c r="N1054">
        <f>I1054</f>
        <v>639000.93353593873</v>
      </c>
      <c r="O1054" s="1">
        <f>SUM(K$2:K1054)/$G$3</f>
        <v>0.1641785822453215</v>
      </c>
      <c r="P1054" s="1">
        <f>SUM(L$2:L1054)/$G$3</f>
        <v>0.17395027418709694</v>
      </c>
      <c r="Q1054" s="1">
        <f t="shared" si="81"/>
        <v>164.17858224532151</v>
      </c>
      <c r="R1054" s="1">
        <f t="shared" si="82"/>
        <v>173.95027418709694</v>
      </c>
    </row>
    <row r="1055" spans="1:18" x14ac:dyDescent="0.35">
      <c r="A1055">
        <v>7.4027885833657399</v>
      </c>
      <c r="B1055">
        <v>3.36671682216488</v>
      </c>
      <c r="C1055">
        <v>2.6410739641431999</v>
      </c>
      <c r="I1055" s="1">
        <f t="shared" si="83"/>
        <v>639600.93360279989</v>
      </c>
      <c r="J1055">
        <f t="shared" si="84"/>
        <v>600.00006686116103</v>
      </c>
      <c r="K1055" s="1">
        <f t="shared" si="85"/>
        <v>9.4941424964871608</v>
      </c>
      <c r="L1055" s="1">
        <f t="shared" si="85"/>
        <v>7.4478294088346013</v>
      </c>
      <c r="N1055">
        <f>I1055</f>
        <v>639600.93360279989</v>
      </c>
      <c r="O1055" s="1">
        <f>SUM(K$2:K1055)/$G$3</f>
        <v>0.16427698243702474</v>
      </c>
      <c r="P1055" s="1">
        <f>SUM(L$2:L1055)/$G$3</f>
        <v>0.17402746576515396</v>
      </c>
      <c r="Q1055" s="1">
        <f t="shared" si="81"/>
        <v>164.27698243702474</v>
      </c>
      <c r="R1055" s="1">
        <f t="shared" si="82"/>
        <v>174.02746576515395</v>
      </c>
    </row>
    <row r="1056" spans="1:18" x14ac:dyDescent="0.35">
      <c r="A1056">
        <v>7.4097330285840401</v>
      </c>
      <c r="B1056">
        <v>3.3437216130660401</v>
      </c>
      <c r="C1056">
        <v>2.6314206512978902</v>
      </c>
      <c r="I1056" s="1">
        <f t="shared" si="83"/>
        <v>640200.93366966106</v>
      </c>
      <c r="J1056">
        <f t="shared" si="84"/>
        <v>600.00006686116103</v>
      </c>
      <c r="K1056" s="1">
        <f t="shared" si="85"/>
        <v>9.4292959996022478</v>
      </c>
      <c r="L1056" s="1">
        <f t="shared" si="85"/>
        <v>7.4206070635772985</v>
      </c>
      <c r="N1056">
        <f>I1056</f>
        <v>640200.93366966106</v>
      </c>
      <c r="O1056" s="1">
        <f>SUM(K$2:K1056)/$G$3</f>
        <v>0.16437471053983455</v>
      </c>
      <c r="P1056" s="1">
        <f>SUM(L$2:L1056)/$G$3</f>
        <v>0.1741043752025129</v>
      </c>
      <c r="Q1056" s="1">
        <f t="shared" si="81"/>
        <v>164.37471053983455</v>
      </c>
      <c r="R1056" s="1">
        <f t="shared" si="82"/>
        <v>174.1043752025129</v>
      </c>
    </row>
    <row r="1057" spans="1:18" x14ac:dyDescent="0.35">
      <c r="A1057">
        <v>7.4166774738023502</v>
      </c>
      <c r="B1057">
        <v>3.31709512853072</v>
      </c>
      <c r="C1057">
        <v>2.6208083773200301</v>
      </c>
      <c r="I1057" s="1">
        <f t="shared" si="83"/>
        <v>640800.93373652303</v>
      </c>
      <c r="J1057">
        <f t="shared" si="84"/>
        <v>600.00006686197594</v>
      </c>
      <c r="K1057" s="1">
        <f t="shared" si="85"/>
        <v>9.3542093048580437</v>
      </c>
      <c r="L1057" s="1">
        <f t="shared" si="85"/>
        <v>7.3906804476348906</v>
      </c>
      <c r="N1057">
        <f>I1057</f>
        <v>640800.93373652303</v>
      </c>
      <c r="O1057" s="1">
        <f>SUM(K$2:K1057)/$G$3</f>
        <v>0.16447166042121358</v>
      </c>
      <c r="P1057" s="1">
        <f>SUM(L$2:L1057)/$G$3</f>
        <v>0.17418097447128666</v>
      </c>
      <c r="Q1057" s="1">
        <f t="shared" si="81"/>
        <v>164.47166042121358</v>
      </c>
      <c r="R1057" s="1">
        <f t="shared" si="82"/>
        <v>174.18097447128667</v>
      </c>
    </row>
    <row r="1058" spans="1:18" x14ac:dyDescent="0.35">
      <c r="A1058">
        <v>7.4236219190206603</v>
      </c>
      <c r="B1058">
        <v>3.2925155967485198</v>
      </c>
      <c r="C1058">
        <v>2.6099469516291798</v>
      </c>
      <c r="I1058" s="1">
        <f t="shared" si="83"/>
        <v>641400.93380338501</v>
      </c>
      <c r="J1058">
        <f t="shared" si="84"/>
        <v>600.00006686197594</v>
      </c>
      <c r="K1058" s="1">
        <f t="shared" si="85"/>
        <v>9.2848950175080898</v>
      </c>
      <c r="L1058" s="1">
        <f t="shared" si="85"/>
        <v>7.3600512237734756</v>
      </c>
      <c r="N1058">
        <f>I1058</f>
        <v>641400.93380338501</v>
      </c>
      <c r="O1058" s="1">
        <f>SUM(K$2:K1058)/$G$3</f>
        <v>0.16456789190815466</v>
      </c>
      <c r="P1058" s="1">
        <f>SUM(L$2:L1058)/$G$3</f>
        <v>0.1742572562894322</v>
      </c>
      <c r="Q1058" s="1">
        <f t="shared" si="81"/>
        <v>164.56789190815465</v>
      </c>
      <c r="R1058" s="1">
        <f t="shared" si="82"/>
        <v>174.25725628943221</v>
      </c>
    </row>
    <row r="1059" spans="1:18" x14ac:dyDescent="0.35">
      <c r="A1059">
        <v>7.4305663642389597</v>
      </c>
      <c r="B1059">
        <v>3.2716066843326201</v>
      </c>
      <c r="C1059">
        <v>2.60167698465481</v>
      </c>
      <c r="I1059" s="1">
        <f t="shared" si="83"/>
        <v>642000.93387024617</v>
      </c>
      <c r="J1059">
        <f t="shared" si="84"/>
        <v>600.00006686116103</v>
      </c>
      <c r="K1059" s="1">
        <f t="shared" si="85"/>
        <v>9.2259318779120694</v>
      </c>
      <c r="L1059" s="1">
        <f t="shared" si="85"/>
        <v>7.3367299142969404</v>
      </c>
      <c r="N1059">
        <f>I1059</f>
        <v>642000.93387024617</v>
      </c>
      <c r="O1059" s="1">
        <f>SUM(K$2:K1059)/$G$3</f>
        <v>0.16466351228311357</v>
      </c>
      <c r="P1059" s="1">
        <f>SUM(L$2:L1059)/$G$3</f>
        <v>0.17433329639840556</v>
      </c>
      <c r="Q1059" s="1">
        <f t="shared" si="81"/>
        <v>164.66351228311356</v>
      </c>
      <c r="R1059" s="1">
        <f t="shared" si="82"/>
        <v>174.33329639840557</v>
      </c>
    </row>
    <row r="1060" spans="1:18" x14ac:dyDescent="0.35">
      <c r="A1060">
        <v>7.4375108094572697</v>
      </c>
      <c r="B1060">
        <v>3.2455049811701802</v>
      </c>
      <c r="C1060">
        <v>2.59072485787439</v>
      </c>
      <c r="I1060" s="1">
        <f t="shared" si="83"/>
        <v>642600.93393710814</v>
      </c>
      <c r="J1060">
        <f t="shared" si="84"/>
        <v>600.00006686197594</v>
      </c>
      <c r="K1060" s="1">
        <f t="shared" si="85"/>
        <v>9.1523250668040248</v>
      </c>
      <c r="L1060" s="1">
        <f t="shared" si="85"/>
        <v>7.3058449133444006</v>
      </c>
      <c r="N1060">
        <f>I1060</f>
        <v>642600.93393710814</v>
      </c>
      <c r="O1060" s="1">
        <f>SUM(K$2:K1060)/$G$3</f>
        <v>0.16475836977460762</v>
      </c>
      <c r="P1060" s="1">
        <f>SUM(L$2:L1060)/$G$3</f>
        <v>0.17440901640579889</v>
      </c>
      <c r="Q1060" s="1">
        <f t="shared" si="81"/>
        <v>164.75836977460762</v>
      </c>
      <c r="R1060" s="1">
        <f t="shared" si="82"/>
        <v>174.40901640579889</v>
      </c>
    </row>
    <row r="1061" spans="1:18" x14ac:dyDescent="0.35">
      <c r="A1061">
        <v>7.44445525467557</v>
      </c>
      <c r="B1061">
        <v>3.22342627358627</v>
      </c>
      <c r="C1061">
        <v>2.5822220899172201</v>
      </c>
      <c r="I1061" s="1">
        <f t="shared" si="83"/>
        <v>643200.93400396931</v>
      </c>
      <c r="J1061">
        <f t="shared" si="84"/>
        <v>600.00006686116103</v>
      </c>
      <c r="K1061" s="1">
        <f t="shared" si="85"/>
        <v>9.0900631044667897</v>
      </c>
      <c r="L1061" s="1">
        <f t="shared" si="85"/>
        <v>7.2818671050232862</v>
      </c>
      <c r="N1061">
        <f>I1061</f>
        <v>643200.93400396931</v>
      </c>
      <c r="O1061" s="1">
        <f>SUM(K$2:K1061)/$G$3</f>
        <v>0.16485258196411343</v>
      </c>
      <c r="P1061" s="1">
        <f>SUM(L$2:L1061)/$G$3</f>
        <v>0.17448448789986556</v>
      </c>
      <c r="Q1061" s="1">
        <f t="shared" si="81"/>
        <v>164.85258196411343</v>
      </c>
      <c r="R1061" s="1">
        <f t="shared" si="82"/>
        <v>174.48448789986557</v>
      </c>
    </row>
    <row r="1062" spans="1:18" x14ac:dyDescent="0.35">
      <c r="A1062">
        <v>7.4513996998938801</v>
      </c>
      <c r="B1062">
        <v>3.2042080341288899</v>
      </c>
      <c r="C1062">
        <v>2.5710920442402698</v>
      </c>
      <c r="I1062" s="1">
        <f t="shared" si="83"/>
        <v>643800.93407083128</v>
      </c>
      <c r="J1062">
        <f t="shared" si="84"/>
        <v>600.00006686197594</v>
      </c>
      <c r="K1062" s="1">
        <f t="shared" si="85"/>
        <v>9.0358676631699684</v>
      </c>
      <c r="L1062" s="1">
        <f t="shared" si="85"/>
        <v>7.2504803727265443</v>
      </c>
      <c r="N1062">
        <f>I1062</f>
        <v>643800.93407083128</v>
      </c>
      <c r="O1062" s="1">
        <f>SUM(K$2:K1062)/$G$3</f>
        <v>0.16494623245551798</v>
      </c>
      <c r="P1062" s="1">
        <f>SUM(L$2:L1062)/$G$3</f>
        <v>0.17455963409225536</v>
      </c>
      <c r="Q1062" s="1">
        <f t="shared" si="81"/>
        <v>164.94623245551799</v>
      </c>
      <c r="R1062" s="1">
        <f t="shared" si="82"/>
        <v>174.55963409225535</v>
      </c>
    </row>
    <row r="1063" spans="1:18" x14ac:dyDescent="0.35">
      <c r="A1063">
        <v>7.4583441451121901</v>
      </c>
      <c r="B1063">
        <v>3.1787007798674298</v>
      </c>
      <c r="C1063">
        <v>2.5629684801177399</v>
      </c>
      <c r="I1063" s="1">
        <f t="shared" si="83"/>
        <v>644400.93413769326</v>
      </c>
      <c r="J1063">
        <f t="shared" si="84"/>
        <v>600.00006686197594</v>
      </c>
      <c r="K1063" s="1">
        <f t="shared" si="85"/>
        <v>8.9639371981369624</v>
      </c>
      <c r="L1063" s="1">
        <f t="shared" si="85"/>
        <v>7.2275719193481702</v>
      </c>
      <c r="N1063">
        <f>I1063</f>
        <v>644400.93413769326</v>
      </c>
      <c r="O1063" s="1">
        <f>SUM(K$2:K1063)/$G$3</f>
        <v>0.16503913743762025</v>
      </c>
      <c r="P1063" s="1">
        <f>SUM(L$2:L1063)/$G$3</f>
        <v>0.17463454285443963</v>
      </c>
      <c r="Q1063" s="1">
        <f t="shared" si="81"/>
        <v>165.03913743762024</v>
      </c>
      <c r="R1063" s="1">
        <f t="shared" si="82"/>
        <v>174.63454285443964</v>
      </c>
    </row>
    <row r="1064" spans="1:18" x14ac:dyDescent="0.35">
      <c r="A1064">
        <v>7.4652885903304904</v>
      </c>
      <c r="B1064">
        <v>3.1575421878483101</v>
      </c>
      <c r="C1064">
        <v>2.5530373196053202</v>
      </c>
      <c r="I1064" s="1">
        <f t="shared" si="83"/>
        <v>645000.93420455442</v>
      </c>
      <c r="J1064">
        <f t="shared" si="84"/>
        <v>600.00006686116103</v>
      </c>
      <c r="K1064" s="1">
        <f t="shared" si="85"/>
        <v>8.9042699619818375</v>
      </c>
      <c r="L1064" s="1">
        <f t="shared" si="85"/>
        <v>7.1995660435724878</v>
      </c>
      <c r="N1064">
        <f>I1064</f>
        <v>645000.93420455442</v>
      </c>
      <c r="O1064" s="1">
        <f>SUM(K$2:K1064)/$G$3</f>
        <v>0.16513142401026867</v>
      </c>
      <c r="P1064" s="1">
        <f>SUM(L$2:L1064)/$G$3</f>
        <v>0.17470916135517622</v>
      </c>
      <c r="Q1064" s="1">
        <f t="shared" si="81"/>
        <v>165.13142401026866</v>
      </c>
      <c r="R1064" s="1">
        <f t="shared" si="82"/>
        <v>174.70916135517624</v>
      </c>
    </row>
    <row r="1065" spans="1:18" x14ac:dyDescent="0.35">
      <c r="A1065">
        <v>7.4722330355487898</v>
      </c>
      <c r="B1065">
        <v>3.1370640902128302</v>
      </c>
      <c r="C1065">
        <v>2.5457601950026598</v>
      </c>
      <c r="I1065" s="1">
        <f t="shared" si="83"/>
        <v>645600.93427141546</v>
      </c>
      <c r="J1065">
        <f t="shared" si="84"/>
        <v>600.00006686104462</v>
      </c>
      <c r="K1065" s="1">
        <f t="shared" si="85"/>
        <v>8.846521720212877</v>
      </c>
      <c r="L1065" s="1">
        <f t="shared" si="85"/>
        <v>7.1790445499047753</v>
      </c>
      <c r="N1065">
        <f>I1065</f>
        <v>645600.93427141546</v>
      </c>
      <c r="O1065" s="1">
        <f>SUM(K$2:K1065)/$G$3</f>
        <v>0.16522311206250695</v>
      </c>
      <c r="P1065" s="1">
        <f>SUM(L$2:L1065)/$G$3</f>
        <v>0.17478356716488661</v>
      </c>
      <c r="Q1065" s="1">
        <f t="shared" si="81"/>
        <v>165.22311206250694</v>
      </c>
      <c r="R1065" s="1">
        <f t="shared" si="82"/>
        <v>174.78356716488659</v>
      </c>
    </row>
    <row r="1066" spans="1:18" x14ac:dyDescent="0.35">
      <c r="A1066">
        <v>7.4791774807670999</v>
      </c>
      <c r="B1066">
        <v>3.1158405614167801</v>
      </c>
      <c r="C1066">
        <v>2.5368993369989301</v>
      </c>
      <c r="I1066" s="1">
        <f t="shared" si="83"/>
        <v>646200.93433827744</v>
      </c>
      <c r="J1066">
        <f t="shared" si="84"/>
        <v>600.00006686197594</v>
      </c>
      <c r="K1066" s="1">
        <f t="shared" si="85"/>
        <v>8.7866713623522266</v>
      </c>
      <c r="L1066" s="1">
        <f t="shared" si="85"/>
        <v>7.1540569275608643</v>
      </c>
      <c r="N1066">
        <f>I1066</f>
        <v>646200.93433827744</v>
      </c>
      <c r="O1066" s="1">
        <f>SUM(K$2:K1066)/$G$3</f>
        <v>0.16531417980736213</v>
      </c>
      <c r="P1066" s="1">
        <f>SUM(L$2:L1066)/$G$3</f>
        <v>0.17485771399524946</v>
      </c>
      <c r="Q1066" s="1">
        <f t="shared" si="81"/>
        <v>165.31417980736214</v>
      </c>
      <c r="R1066" s="1">
        <f t="shared" si="82"/>
        <v>174.85771399524947</v>
      </c>
    </row>
    <row r="1067" spans="1:18" x14ac:dyDescent="0.35">
      <c r="A1067">
        <v>7.4861219259854099</v>
      </c>
      <c r="B1067">
        <v>3.0944886112051302</v>
      </c>
      <c r="C1067">
        <v>2.5270745690077301</v>
      </c>
      <c r="I1067" s="1">
        <f t="shared" si="83"/>
        <v>646800.93440513941</v>
      </c>
      <c r="J1067">
        <f t="shared" si="84"/>
        <v>600.00006686197594</v>
      </c>
      <c r="K1067" s="1">
        <f t="shared" si="85"/>
        <v>8.7264588560454968</v>
      </c>
      <c r="L1067" s="1">
        <f t="shared" si="85"/>
        <v>7.1263510787382343</v>
      </c>
      <c r="N1067">
        <f>I1067</f>
        <v>646800.93440513941</v>
      </c>
      <c r="O1067" s="1">
        <f>SUM(K$2:K1067)/$G$3</f>
        <v>0.16540462349141713</v>
      </c>
      <c r="P1067" s="1">
        <f>SUM(L$2:L1067)/$G$3</f>
        <v>0.17493157367373566</v>
      </c>
      <c r="Q1067" s="1">
        <f t="shared" si="81"/>
        <v>165.40462349141714</v>
      </c>
      <c r="R1067" s="1">
        <f t="shared" si="82"/>
        <v>174.93157367373567</v>
      </c>
    </row>
    <row r="1068" spans="1:18" x14ac:dyDescent="0.35">
      <c r="A1068">
        <v>7.4930663712037102</v>
      </c>
      <c r="B1068">
        <v>3.07236444096299</v>
      </c>
      <c r="C1068">
        <v>2.5195400745013101</v>
      </c>
      <c r="I1068" s="1">
        <f t="shared" si="83"/>
        <v>647400.93447200058</v>
      </c>
      <c r="J1068">
        <f t="shared" si="84"/>
        <v>600.00006686116103</v>
      </c>
      <c r="K1068" s="1">
        <f t="shared" si="85"/>
        <v>8.6640686889983431</v>
      </c>
      <c r="L1068" s="1">
        <f t="shared" si="85"/>
        <v>7.1051038018527555</v>
      </c>
      <c r="N1068">
        <f>I1068</f>
        <v>647400.93447200058</v>
      </c>
      <c r="O1068" s="1">
        <f>SUM(K$2:K1068)/$G$3</f>
        <v>0.1654944205447311</v>
      </c>
      <c r="P1068" s="1">
        <f>SUM(L$2:L1068)/$G$3</f>
        <v>0.1750052131389567</v>
      </c>
      <c r="Q1068" s="1">
        <f t="shared" si="81"/>
        <v>165.4944205447311</v>
      </c>
      <c r="R1068" s="1">
        <f t="shared" si="82"/>
        <v>175.00521313895669</v>
      </c>
    </row>
    <row r="1069" spans="1:18" x14ac:dyDescent="0.35">
      <c r="A1069">
        <v>7.5000108164220203</v>
      </c>
      <c r="B1069">
        <v>3.0498199461784101</v>
      </c>
      <c r="C1069">
        <v>2.5099454072803198</v>
      </c>
      <c r="I1069" s="1">
        <f t="shared" si="83"/>
        <v>648000.93453886255</v>
      </c>
      <c r="J1069">
        <f t="shared" si="84"/>
        <v>600.00006686197594</v>
      </c>
      <c r="K1069" s="1">
        <f t="shared" si="85"/>
        <v>8.6004932066329598</v>
      </c>
      <c r="L1069" s="1">
        <f t="shared" si="85"/>
        <v>7.0780468372840764</v>
      </c>
      <c r="N1069">
        <f>I1069</f>
        <v>648000.93453886255</v>
      </c>
      <c r="O1069" s="1">
        <f>SUM(K$2:K1069)/$G$3</f>
        <v>0.16558355868233418</v>
      </c>
      <c r="P1069" s="1">
        <f>SUM(L$2:L1069)/$G$3</f>
        <v>0.17507857217753559</v>
      </c>
      <c r="Q1069" s="1">
        <f t="shared" si="81"/>
        <v>165.58355868233417</v>
      </c>
      <c r="R1069" s="1">
        <f t="shared" si="82"/>
        <v>175.07857217753559</v>
      </c>
    </row>
    <row r="1070" spans="1:18" x14ac:dyDescent="0.35">
      <c r="A1070">
        <v>7.5069552616403197</v>
      </c>
      <c r="B1070">
        <v>3.02924489743965</v>
      </c>
      <c r="C1070">
        <v>2.5041956486164501</v>
      </c>
      <c r="I1070" s="1">
        <f t="shared" si="83"/>
        <v>648600.9346057236</v>
      </c>
      <c r="J1070">
        <f t="shared" si="84"/>
        <v>600.00006686104462</v>
      </c>
      <c r="K1070" s="1">
        <f t="shared" si="85"/>
        <v>8.5424715627106611</v>
      </c>
      <c r="L1070" s="1">
        <f t="shared" si="85"/>
        <v>7.0618325160341335</v>
      </c>
      <c r="N1070">
        <f>I1070</f>
        <v>648600.9346057236</v>
      </c>
      <c r="O1070" s="1">
        <f>SUM(K$2:K1070)/$G$3</f>
        <v>0.16567209546590375</v>
      </c>
      <c r="P1070" s="1">
        <f>SUM(L$2:L1070)/$G$3</f>
        <v>0.17515176316593828</v>
      </c>
      <c r="Q1070" s="1">
        <f t="shared" si="81"/>
        <v>165.67209546590374</v>
      </c>
      <c r="R1070" s="1">
        <f t="shared" si="82"/>
        <v>175.15176316593829</v>
      </c>
    </row>
    <row r="1071" spans="1:18" x14ac:dyDescent="0.35">
      <c r="A1071">
        <v>7.5138997068586297</v>
      </c>
      <c r="B1071">
        <v>3.0079623484565801</v>
      </c>
      <c r="C1071">
        <v>2.4936093399393302</v>
      </c>
      <c r="I1071" s="1">
        <f t="shared" si="83"/>
        <v>649200.93467258557</v>
      </c>
      <c r="J1071">
        <f t="shared" si="84"/>
        <v>600.00006686197594</v>
      </c>
      <c r="K1071" s="1">
        <f t="shared" si="85"/>
        <v>8.4824547679035938</v>
      </c>
      <c r="L1071" s="1">
        <f t="shared" si="85"/>
        <v>7.0319791222488552</v>
      </c>
      <c r="N1071">
        <f>I1071</f>
        <v>649200.93467258557</v>
      </c>
      <c r="O1071" s="1">
        <f>SUM(K$2:K1071)/$G$3</f>
        <v>0.16576001021708686</v>
      </c>
      <c r="P1071" s="1">
        <f>SUM(L$2:L1071)/$G$3</f>
        <v>0.1752246447446526</v>
      </c>
      <c r="Q1071" s="1">
        <f t="shared" si="81"/>
        <v>165.76001021708686</v>
      </c>
      <c r="R1071" s="1">
        <f t="shared" si="82"/>
        <v>175.22464474465261</v>
      </c>
    </row>
    <row r="1072" spans="1:18" x14ac:dyDescent="0.35">
      <c r="A1072">
        <v>7.5208441520769398</v>
      </c>
      <c r="B1072">
        <v>2.9891553243075699</v>
      </c>
      <c r="C1072">
        <v>2.4870033609375102</v>
      </c>
      <c r="I1072" s="1">
        <f t="shared" si="83"/>
        <v>649800.93473944755</v>
      </c>
      <c r="J1072">
        <f t="shared" si="84"/>
        <v>600.00006686197594</v>
      </c>
      <c r="K1072" s="1">
        <f t="shared" si="85"/>
        <v>8.4294189538932542</v>
      </c>
      <c r="L1072" s="1">
        <f t="shared" si="85"/>
        <v>7.013350259387785</v>
      </c>
      <c r="N1072">
        <f>I1072</f>
        <v>649800.93473944755</v>
      </c>
      <c r="O1072" s="1">
        <f>SUM(K$2:K1072)/$G$3</f>
        <v>0.16584737528890003</v>
      </c>
      <c r="P1072" s="1">
        <f>SUM(L$2:L1072)/$G$3</f>
        <v>0.17529733324814423</v>
      </c>
      <c r="Q1072" s="1">
        <f t="shared" si="81"/>
        <v>165.84737528890003</v>
      </c>
      <c r="R1072" s="1">
        <f t="shared" si="82"/>
        <v>175.29733324814424</v>
      </c>
    </row>
    <row r="1073" spans="1:18" x14ac:dyDescent="0.35">
      <c r="A1073">
        <v>7.5277885972952401</v>
      </c>
      <c r="B1073">
        <v>2.9686539506026102</v>
      </c>
      <c r="C1073">
        <v>2.4784321875967601</v>
      </c>
      <c r="I1073" s="1">
        <f t="shared" si="83"/>
        <v>650400.93480630871</v>
      </c>
      <c r="J1073">
        <f t="shared" si="84"/>
        <v>600.00006686116103</v>
      </c>
      <c r="K1073" s="1">
        <f t="shared" si="85"/>
        <v>8.371605073591315</v>
      </c>
      <c r="L1073" s="1">
        <f t="shared" si="85"/>
        <v>6.9891795478638761</v>
      </c>
      <c r="N1073">
        <f>I1073</f>
        <v>650400.93480630871</v>
      </c>
      <c r="O1073" s="1">
        <f>SUM(K$2:K1073)/$G$3</f>
        <v>0.16593414116000532</v>
      </c>
      <c r="P1073" s="1">
        <f>SUM(L$2:L1073)/$G$3</f>
        <v>0.17536977123900149</v>
      </c>
      <c r="Q1073" s="1">
        <f t="shared" si="81"/>
        <v>165.93414116000531</v>
      </c>
      <c r="R1073" s="1">
        <f t="shared" si="82"/>
        <v>175.36977123900149</v>
      </c>
    </row>
    <row r="1074" spans="1:18" x14ac:dyDescent="0.35">
      <c r="A1074">
        <v>7.5347330425135404</v>
      </c>
      <c r="B1074">
        <v>2.9506804077216402</v>
      </c>
      <c r="C1074">
        <v>2.4688085640204398</v>
      </c>
      <c r="I1074" s="1">
        <f t="shared" si="83"/>
        <v>651000.93487316987</v>
      </c>
      <c r="J1074">
        <f t="shared" si="84"/>
        <v>600.00006686116103</v>
      </c>
      <c r="K1074" s="1">
        <f t="shared" si="85"/>
        <v>8.3209196770188409</v>
      </c>
      <c r="L1074" s="1">
        <f t="shared" si="85"/>
        <v>6.9620409263544527</v>
      </c>
      <c r="N1074">
        <f>I1074</f>
        <v>651000.93487316987</v>
      </c>
      <c r="O1074" s="1">
        <f>SUM(K$2:K1074)/$G$3</f>
        <v>0.16602038171218458</v>
      </c>
      <c r="P1074" s="1">
        <f>SUM(L$2:L1074)/$G$3</f>
        <v>0.17544192795689917</v>
      </c>
      <c r="Q1074" s="1">
        <f t="shared" si="81"/>
        <v>166.02038171218459</v>
      </c>
      <c r="R1074" s="1">
        <f t="shared" si="82"/>
        <v>175.44192795689918</v>
      </c>
    </row>
    <row r="1075" spans="1:18" x14ac:dyDescent="0.35">
      <c r="A1075">
        <v>7.5416774877318504</v>
      </c>
      <c r="B1075">
        <v>2.9307240818089402</v>
      </c>
      <c r="C1075">
        <v>2.4585776894218698</v>
      </c>
      <c r="I1075" s="1">
        <f t="shared" si="83"/>
        <v>651600.93494003185</v>
      </c>
      <c r="J1075">
        <f t="shared" si="84"/>
        <v>600.00006686197594</v>
      </c>
      <c r="K1075" s="1">
        <f t="shared" si="85"/>
        <v>8.2646428316850251</v>
      </c>
      <c r="L1075" s="1">
        <f t="shared" si="85"/>
        <v>6.9331898567808761</v>
      </c>
      <c r="N1075">
        <f>I1075</f>
        <v>651600.93494003185</v>
      </c>
      <c r="O1075" s="1">
        <f>SUM(K$2:K1075)/$G$3</f>
        <v>0.16610603899395571</v>
      </c>
      <c r="P1075" s="1">
        <f>SUM(L$2:L1075)/$G$3</f>
        <v>0.17551378565350256</v>
      </c>
      <c r="Q1075" s="1">
        <f t="shared" si="81"/>
        <v>166.10603899395571</v>
      </c>
      <c r="R1075" s="1">
        <f t="shared" si="82"/>
        <v>175.51378565350257</v>
      </c>
    </row>
    <row r="1076" spans="1:18" x14ac:dyDescent="0.35">
      <c r="A1076">
        <v>7.5486219329501498</v>
      </c>
      <c r="B1076">
        <v>2.9094742029310798</v>
      </c>
      <c r="C1076">
        <v>2.4507432664208002</v>
      </c>
      <c r="I1076" s="1">
        <f t="shared" si="83"/>
        <v>652200.93500689289</v>
      </c>
      <c r="J1076">
        <f t="shared" si="84"/>
        <v>600.00006686104462</v>
      </c>
      <c r="K1076" s="1">
        <f t="shared" si="85"/>
        <v>8.2047181665589228</v>
      </c>
      <c r="L1076" s="1">
        <f t="shared" si="85"/>
        <v>6.9110967814451545</v>
      </c>
      <c r="N1076">
        <f>I1076</f>
        <v>652200.93500689289</v>
      </c>
      <c r="O1076" s="1">
        <f>SUM(K$2:K1076)/$G$3</f>
        <v>0.16619107519820051</v>
      </c>
      <c r="P1076" s="1">
        <f>SUM(L$2:L1076)/$G$3</f>
        <v>0.17558541437072747</v>
      </c>
      <c r="Q1076" s="1">
        <f t="shared" si="81"/>
        <v>166.19107519820051</v>
      </c>
      <c r="R1076" s="1">
        <f t="shared" si="82"/>
        <v>175.58541437072748</v>
      </c>
    </row>
    <row r="1077" spans="1:18" x14ac:dyDescent="0.35">
      <c r="A1077">
        <v>7.5555663781684599</v>
      </c>
      <c r="B1077">
        <v>2.89175519941683</v>
      </c>
      <c r="C1077">
        <v>2.4437450422511402</v>
      </c>
      <c r="I1077" s="1">
        <f t="shared" si="83"/>
        <v>652800.93507375498</v>
      </c>
      <c r="J1077">
        <f t="shared" si="84"/>
        <v>600.00006686209235</v>
      </c>
      <c r="K1077" s="1">
        <f t="shared" si="85"/>
        <v>8.1547505710948354</v>
      </c>
      <c r="L1077" s="1">
        <f t="shared" si="85"/>
        <v>6.8913617870995774</v>
      </c>
      <c r="N1077">
        <f>I1077</f>
        <v>652800.93507375498</v>
      </c>
      <c r="O1077" s="1">
        <f>SUM(K$2:K1077)/$G$3</f>
        <v>0.16627559352302917</v>
      </c>
      <c r="P1077" s="1">
        <f>SUM(L$2:L1077)/$G$3</f>
        <v>0.17565683854844524</v>
      </c>
      <c r="Q1077" s="1">
        <f t="shared" si="81"/>
        <v>166.27559352302919</v>
      </c>
      <c r="R1077" s="1">
        <f t="shared" si="82"/>
        <v>175.65683854844525</v>
      </c>
    </row>
    <row r="1078" spans="1:18" x14ac:dyDescent="0.35">
      <c r="A1078">
        <v>7.5625108233867699</v>
      </c>
      <c r="B1078">
        <v>2.8727809949427501</v>
      </c>
      <c r="C1078">
        <v>2.4376344289664198</v>
      </c>
      <c r="I1078" s="1">
        <f t="shared" si="83"/>
        <v>653400.93514061696</v>
      </c>
      <c r="J1078">
        <f t="shared" si="84"/>
        <v>600.00006686197594</v>
      </c>
      <c r="K1078" s="1">
        <f t="shared" si="85"/>
        <v>8.1012433085136806</v>
      </c>
      <c r="L1078" s="1">
        <f t="shared" si="85"/>
        <v>6.8741298557150605</v>
      </c>
      <c r="N1078">
        <f>I1078</f>
        <v>653400.93514061696</v>
      </c>
      <c r="O1078" s="1">
        <f>SUM(K$2:K1078)/$G$3</f>
        <v>0.16635955728225096</v>
      </c>
      <c r="P1078" s="1">
        <f>SUM(L$2:L1078)/$G$3</f>
        <v>0.17572808412916469</v>
      </c>
      <c r="Q1078" s="1">
        <f t="shared" si="81"/>
        <v>166.35955728225096</v>
      </c>
      <c r="R1078" s="1">
        <f t="shared" si="82"/>
        <v>175.7280841291647</v>
      </c>
    </row>
    <row r="1079" spans="1:18" x14ac:dyDescent="0.35">
      <c r="A1079">
        <v>7.5694552686050702</v>
      </c>
      <c r="B1079">
        <v>2.8533629407949799</v>
      </c>
      <c r="C1079">
        <v>2.4296234297541401</v>
      </c>
      <c r="I1079" s="1">
        <f t="shared" si="83"/>
        <v>654000.93520747812</v>
      </c>
      <c r="J1079">
        <f t="shared" si="84"/>
        <v>600.00006686116103</v>
      </c>
      <c r="K1079" s="1">
        <f t="shared" si="85"/>
        <v>8.04648438970389</v>
      </c>
      <c r="L1079" s="1">
        <f t="shared" si="85"/>
        <v>6.8515388354096594</v>
      </c>
      <c r="N1079">
        <f>I1079</f>
        <v>654000.93520747812</v>
      </c>
      <c r="O1079" s="1">
        <f>SUM(K$2:K1079)/$G$3</f>
        <v>0.16644295350331853</v>
      </c>
      <c r="P1079" s="1">
        <f>SUM(L$2:L1079)/$G$3</f>
        <v>0.1757990955696519</v>
      </c>
      <c r="Q1079" s="1">
        <f t="shared" si="81"/>
        <v>166.44295350331853</v>
      </c>
      <c r="R1079" s="1">
        <f t="shared" si="82"/>
        <v>175.79909556965191</v>
      </c>
    </row>
    <row r="1080" spans="1:18" x14ac:dyDescent="0.35">
      <c r="A1080">
        <v>7.5763997138233696</v>
      </c>
      <c r="B1080">
        <v>2.83058175098475</v>
      </c>
      <c r="C1080">
        <v>2.42394758877378</v>
      </c>
      <c r="I1080" s="1">
        <f t="shared" si="83"/>
        <v>654600.93527433916</v>
      </c>
      <c r="J1080">
        <f t="shared" si="84"/>
        <v>600.00006686104462</v>
      </c>
      <c r="K1080" s="1">
        <f t="shared" si="85"/>
        <v>7.9822414272785629</v>
      </c>
      <c r="L1080" s="1">
        <f t="shared" si="85"/>
        <v>6.8355329620600989</v>
      </c>
      <c r="N1080">
        <f>I1080</f>
        <v>654600.93527433916</v>
      </c>
      <c r="O1080" s="1">
        <f>SUM(K$2:K1080)/$G$3</f>
        <v>0.16652568389070807</v>
      </c>
      <c r="P1080" s="1">
        <f>SUM(L$2:L1080)/$G$3</f>
        <v>0.17586994112038062</v>
      </c>
      <c r="Q1080" s="1">
        <f t="shared" si="81"/>
        <v>166.52568389070808</v>
      </c>
      <c r="R1080" s="1">
        <f t="shared" si="82"/>
        <v>175.86994112038062</v>
      </c>
    </row>
    <row r="1081" spans="1:18" x14ac:dyDescent="0.35">
      <c r="A1081">
        <v>7.5833441590416797</v>
      </c>
      <c r="B1081">
        <v>2.8129067703237198</v>
      </c>
      <c r="C1081">
        <v>2.4174311916345501</v>
      </c>
      <c r="I1081" s="1">
        <f t="shared" si="83"/>
        <v>655200.93534120114</v>
      </c>
      <c r="J1081">
        <f t="shared" si="84"/>
        <v>600.00006686197594</v>
      </c>
      <c r="K1081" s="1">
        <f t="shared" si="85"/>
        <v>7.9323979762724628</v>
      </c>
      <c r="L1081" s="1">
        <f t="shared" si="85"/>
        <v>6.8171567200902938</v>
      </c>
      <c r="N1081">
        <f>I1081</f>
        <v>655200.93534120114</v>
      </c>
      <c r="O1081" s="1">
        <f>SUM(K$2:K1081)/$G$3</f>
        <v>0.16660789768535253</v>
      </c>
      <c r="P1081" s="1">
        <f>SUM(L$2:L1081)/$G$3</f>
        <v>0.17594059621412672</v>
      </c>
      <c r="Q1081" s="1">
        <f t="shared" si="81"/>
        <v>166.60789768535253</v>
      </c>
      <c r="R1081" s="1">
        <f t="shared" si="82"/>
        <v>175.94059621412671</v>
      </c>
    </row>
    <row r="1082" spans="1:18" x14ac:dyDescent="0.35">
      <c r="A1082">
        <v>7.5902886042599897</v>
      </c>
      <c r="B1082">
        <v>2.7939223093752799</v>
      </c>
      <c r="C1082">
        <v>2.40926089600302</v>
      </c>
      <c r="I1082" s="1">
        <f t="shared" si="83"/>
        <v>655800.93540806312</v>
      </c>
      <c r="J1082">
        <f t="shared" si="84"/>
        <v>600.00006686197594</v>
      </c>
      <c r="K1082" s="1">
        <f t="shared" si="85"/>
        <v>7.8788617904319711</v>
      </c>
      <c r="L1082" s="1">
        <f t="shared" si="85"/>
        <v>6.7941164838418535</v>
      </c>
      <c r="N1082">
        <f>I1082</f>
        <v>655800.93540806312</v>
      </c>
      <c r="O1082" s="1">
        <f>SUM(K$2:K1082)/$G$3</f>
        <v>0.16668955661462062</v>
      </c>
      <c r="P1082" s="1">
        <f>SUM(L$2:L1082)/$G$3</f>
        <v>0.17601101251182938</v>
      </c>
      <c r="Q1082" s="1">
        <f t="shared" si="81"/>
        <v>166.68955661462061</v>
      </c>
      <c r="R1082" s="1">
        <f t="shared" si="82"/>
        <v>176.01101251182939</v>
      </c>
    </row>
    <row r="1083" spans="1:18" x14ac:dyDescent="0.35">
      <c r="A1083">
        <v>7.59723304947829</v>
      </c>
      <c r="B1083">
        <v>2.7782114095742401</v>
      </c>
      <c r="C1083">
        <v>2.4014113168379501</v>
      </c>
      <c r="I1083" s="1">
        <f t="shared" si="83"/>
        <v>656400.93547492428</v>
      </c>
      <c r="J1083">
        <f t="shared" si="84"/>
        <v>600.00006686116103</v>
      </c>
      <c r="K1083" s="1">
        <f t="shared" si="85"/>
        <v>7.8345570480452276</v>
      </c>
      <c r="L1083" s="1">
        <f t="shared" si="85"/>
        <v>6.7719806681204187</v>
      </c>
      <c r="N1083">
        <f>I1083</f>
        <v>656400.93547492428</v>
      </c>
      <c r="O1083" s="1">
        <f>SUM(K$2:K1083)/$G$3</f>
        <v>0.16677075635601094</v>
      </c>
      <c r="P1083" s="1">
        <f>SUM(L$2:L1083)/$G$3</f>
        <v>0.17608119938717912</v>
      </c>
      <c r="Q1083" s="1">
        <f t="shared" si="81"/>
        <v>166.77075635601093</v>
      </c>
      <c r="R1083" s="1">
        <f t="shared" si="82"/>
        <v>176.08119938717911</v>
      </c>
    </row>
    <row r="1084" spans="1:18" x14ac:dyDescent="0.35">
      <c r="A1084">
        <v>7.6041774946966001</v>
      </c>
      <c r="B1084">
        <v>2.7612200095344699</v>
      </c>
      <c r="C1084">
        <v>2.3976569688012002</v>
      </c>
      <c r="I1084" s="1">
        <f t="shared" si="83"/>
        <v>657000.93554178625</v>
      </c>
      <c r="J1084">
        <f t="shared" si="84"/>
        <v>600.00006686197594</v>
      </c>
      <c r="K1084" s="1">
        <f t="shared" si="85"/>
        <v>7.7866412946041468</v>
      </c>
      <c r="L1084" s="1">
        <f t="shared" si="85"/>
        <v>6.7613934054861726</v>
      </c>
      <c r="N1084">
        <f>I1084</f>
        <v>657000.93554178625</v>
      </c>
      <c r="O1084" s="1">
        <f>SUM(K$2:K1084)/$G$3</f>
        <v>0.16685145948390237</v>
      </c>
      <c r="P1084" s="1">
        <f>SUM(L$2:L1084)/$G$3</f>
        <v>0.1761512765329063</v>
      </c>
      <c r="Q1084" s="1">
        <f t="shared" si="81"/>
        <v>166.85145948390237</v>
      </c>
      <c r="R1084" s="1">
        <f t="shared" si="82"/>
        <v>176.15127653290631</v>
      </c>
    </row>
    <row r="1085" spans="1:18" x14ac:dyDescent="0.35">
      <c r="A1085">
        <v>7.6111219399149004</v>
      </c>
      <c r="B1085">
        <v>2.7445473776739</v>
      </c>
      <c r="C1085">
        <v>2.3867922072266698</v>
      </c>
      <c r="I1085" s="1">
        <f t="shared" si="83"/>
        <v>657600.93560864741</v>
      </c>
      <c r="J1085">
        <f t="shared" si="84"/>
        <v>600.00006686116103</v>
      </c>
      <c r="K1085" s="1">
        <f t="shared" si="85"/>
        <v>7.7396244675074319</v>
      </c>
      <c r="L1085" s="1">
        <f t="shared" si="85"/>
        <v>6.7307547744225902</v>
      </c>
      <c r="N1085">
        <f>I1085</f>
        <v>657600.93560864741</v>
      </c>
      <c r="O1085" s="1">
        <f>SUM(K$2:K1085)/$G$3</f>
        <v>0.16693167531504199</v>
      </c>
      <c r="P1085" s="1">
        <f>SUM(L$2:L1085)/$G$3</f>
        <v>0.17622103613050616</v>
      </c>
      <c r="Q1085" s="1">
        <f t="shared" si="81"/>
        <v>166.93167531504199</v>
      </c>
      <c r="R1085" s="1">
        <f t="shared" si="82"/>
        <v>176.22103613050615</v>
      </c>
    </row>
    <row r="1086" spans="1:18" x14ac:dyDescent="0.35">
      <c r="A1086">
        <v>7.6180663851332104</v>
      </c>
      <c r="B1086">
        <v>2.7262141148200798</v>
      </c>
      <c r="C1086">
        <v>2.3809776899396802</v>
      </c>
      <c r="I1086" s="1">
        <f t="shared" si="83"/>
        <v>658200.93567550939</v>
      </c>
      <c r="J1086">
        <f t="shared" si="84"/>
        <v>600.00006686197594</v>
      </c>
      <c r="K1086" s="1">
        <f t="shared" si="85"/>
        <v>7.6879246605089193</v>
      </c>
      <c r="L1086" s="1">
        <f t="shared" si="85"/>
        <v>6.7143578338552015</v>
      </c>
      <c r="N1086">
        <f>I1086</f>
        <v>658200.93567550939</v>
      </c>
      <c r="O1086" s="1">
        <f>SUM(K$2:K1086)/$G$3</f>
        <v>0.16701135531359629</v>
      </c>
      <c r="P1086" s="1">
        <f>SUM(L$2:L1086)/$G$3</f>
        <v>0.17629062578520746</v>
      </c>
      <c r="Q1086" s="1">
        <f t="shared" si="81"/>
        <v>167.01135531359628</v>
      </c>
      <c r="R1086" s="1">
        <f t="shared" si="82"/>
        <v>176.29062578520745</v>
      </c>
    </row>
    <row r="1087" spans="1:18" x14ac:dyDescent="0.35">
      <c r="A1087">
        <v>7.6250108303515196</v>
      </c>
      <c r="B1087">
        <v>2.7066842660429402</v>
      </c>
      <c r="C1087">
        <v>2.3771924928439798</v>
      </c>
      <c r="I1087" s="1">
        <f t="shared" si="83"/>
        <v>658800.93574237125</v>
      </c>
      <c r="J1087">
        <f t="shared" si="84"/>
        <v>600.00006686185952</v>
      </c>
      <c r="K1087" s="1">
        <f t="shared" si="85"/>
        <v>7.6328504808186244</v>
      </c>
      <c r="L1087" s="1">
        <f t="shared" si="85"/>
        <v>6.7036835768545222</v>
      </c>
      <c r="N1087">
        <f>I1087</f>
        <v>658800.93574237125</v>
      </c>
      <c r="O1087" s="1">
        <f>SUM(K$2:K1087)/$G$3</f>
        <v>0.16709046450653631</v>
      </c>
      <c r="P1087" s="1">
        <f>SUM(L$2:L1087)/$G$3</f>
        <v>0.17636010480865003</v>
      </c>
      <c r="Q1087" s="1">
        <f t="shared" si="81"/>
        <v>167.09046450653631</v>
      </c>
      <c r="R1087" s="1">
        <f t="shared" si="82"/>
        <v>176.36010480865002</v>
      </c>
    </row>
    <row r="1088" spans="1:18" x14ac:dyDescent="0.35">
      <c r="A1088">
        <v>7.6319552755698199</v>
      </c>
      <c r="B1088">
        <v>2.6902761735884302</v>
      </c>
      <c r="C1088">
        <v>2.3702955629283302</v>
      </c>
      <c r="I1088" s="1">
        <f t="shared" si="83"/>
        <v>659400.93580923241</v>
      </c>
      <c r="J1088">
        <f t="shared" si="84"/>
        <v>600.00006686116103</v>
      </c>
      <c r="K1088" s="1">
        <f t="shared" si="85"/>
        <v>7.5865796549318194</v>
      </c>
      <c r="L1088" s="1">
        <f t="shared" si="85"/>
        <v>6.6842342323172446</v>
      </c>
      <c r="N1088">
        <f>I1088</f>
        <v>659400.93580923241</v>
      </c>
      <c r="O1088" s="1">
        <f>SUM(K$2:K1088)/$G$3</f>
        <v>0.16716909413450887</v>
      </c>
      <c r="P1088" s="1">
        <f>SUM(L$2:L1088)/$G$3</f>
        <v>0.1764293822531473</v>
      </c>
      <c r="Q1088" s="1">
        <f t="shared" si="81"/>
        <v>167.16909413450887</v>
      </c>
      <c r="R1088" s="1">
        <f t="shared" si="82"/>
        <v>176.42938225314731</v>
      </c>
    </row>
    <row r="1089" spans="1:18" x14ac:dyDescent="0.35">
      <c r="A1089">
        <v>7.63889972078813</v>
      </c>
      <c r="B1089">
        <v>2.67287415647864</v>
      </c>
      <c r="C1089">
        <v>2.3650841014548001</v>
      </c>
      <c r="I1089" s="1">
        <f t="shared" si="83"/>
        <v>660000.93587609439</v>
      </c>
      <c r="J1089">
        <f t="shared" si="84"/>
        <v>600.00006686197594</v>
      </c>
      <c r="K1089" s="1">
        <f t="shared" si="85"/>
        <v>7.5375059612239088</v>
      </c>
      <c r="L1089" s="1">
        <f t="shared" si="85"/>
        <v>6.6695379093332594</v>
      </c>
      <c r="N1089">
        <f>I1089</f>
        <v>660000.93587609439</v>
      </c>
      <c r="O1089" s="1">
        <f>SUM(K$2:K1089)/$G$3</f>
        <v>0.16724721514773602</v>
      </c>
      <c r="P1089" s="1">
        <f>SUM(L$2:L1089)/$G$3</f>
        <v>0.17649850738046585</v>
      </c>
      <c r="Q1089" s="1">
        <f t="shared" si="81"/>
        <v>167.24721514773603</v>
      </c>
      <c r="R1089" s="1">
        <f t="shared" si="82"/>
        <v>176.49850738046584</v>
      </c>
    </row>
    <row r="1090" spans="1:18" x14ac:dyDescent="0.35">
      <c r="A1090">
        <v>7.64584416600644</v>
      </c>
      <c r="B1090">
        <v>2.6563195516301601</v>
      </c>
      <c r="C1090">
        <v>2.3569709918575801</v>
      </c>
      <c r="I1090" s="1">
        <f t="shared" si="83"/>
        <v>660600.93594295636</v>
      </c>
      <c r="J1090">
        <f t="shared" si="84"/>
        <v>600.00006686197594</v>
      </c>
      <c r="K1090" s="1">
        <f t="shared" si="85"/>
        <v>7.4908219703488896</v>
      </c>
      <c r="L1090" s="1">
        <f t="shared" si="85"/>
        <v>6.6466589377195433</v>
      </c>
      <c r="N1090">
        <f>I1090</f>
        <v>660600.93594295636</v>
      </c>
      <c r="O1090" s="1">
        <f>SUM(K$2:K1090)/$G$3</f>
        <v>0.16732485231382763</v>
      </c>
      <c r="P1090" s="1">
        <f>SUM(L$2:L1090)/$G$3</f>
        <v>0.17656739538313695</v>
      </c>
      <c r="Q1090" s="1">
        <f t="shared" ref="Q1090:Q1153" si="86">O1090*1000</f>
        <v>167.32485231382762</v>
      </c>
      <c r="R1090" s="1">
        <f t="shared" ref="R1090:R1153" si="87">P1090*1000</f>
        <v>176.56739538313695</v>
      </c>
    </row>
    <row r="1091" spans="1:18" x14ac:dyDescent="0.35">
      <c r="A1091">
        <v>7.6527886112247403</v>
      </c>
      <c r="B1091">
        <v>2.6373201080106301</v>
      </c>
      <c r="C1091">
        <v>2.3508033356511802</v>
      </c>
      <c r="I1091" s="1">
        <f t="shared" ref="I1091:I1154" si="88">A1091*86400</f>
        <v>661200.93600981752</v>
      </c>
      <c r="J1091">
        <f t="shared" si="84"/>
        <v>600.00006686116103</v>
      </c>
      <c r="K1091" s="1">
        <f t="shared" si="85"/>
        <v>7.437243533361114</v>
      </c>
      <c r="L1091" s="1">
        <f t="shared" si="85"/>
        <v>6.6292661452702975</v>
      </c>
      <c r="N1091">
        <f>I1091</f>
        <v>661200.93600981752</v>
      </c>
      <c r="O1091" s="1">
        <f>SUM(K$2:K1091)/$G$3</f>
        <v>0.16740193417663907</v>
      </c>
      <c r="P1091" s="1">
        <f>SUM(L$2:L1091)/$G$3</f>
        <v>0.17663610312159653</v>
      </c>
      <c r="Q1091" s="1">
        <f t="shared" si="86"/>
        <v>167.40193417663906</v>
      </c>
      <c r="R1091" s="1">
        <f t="shared" si="87"/>
        <v>176.63610312159653</v>
      </c>
    </row>
    <row r="1092" spans="1:18" x14ac:dyDescent="0.35">
      <c r="A1092">
        <v>7.6597330564430397</v>
      </c>
      <c r="B1092">
        <v>2.6211739172750201</v>
      </c>
      <c r="C1092">
        <v>2.3419083720221399</v>
      </c>
      <c r="I1092" s="1">
        <f t="shared" si="88"/>
        <v>661800.93607667868</v>
      </c>
      <c r="J1092">
        <f t="shared" si="84"/>
        <v>600.00006686116103</v>
      </c>
      <c r="K1092" s="1">
        <f t="shared" si="85"/>
        <v>7.3917112704127943</v>
      </c>
      <c r="L1092" s="1">
        <f t="shared" si="85"/>
        <v>6.6041823450411847</v>
      </c>
      <c r="N1092">
        <f>I1092</f>
        <v>661800.93607667868</v>
      </c>
      <c r="O1092" s="1">
        <f>SUM(K$2:K1092)/$G$3</f>
        <v>0.16747854412917482</v>
      </c>
      <c r="P1092" s="1">
        <f>SUM(L$2:L1092)/$G$3</f>
        <v>0.17670455088389159</v>
      </c>
      <c r="Q1092" s="1">
        <f t="shared" si="86"/>
        <v>167.47854412917482</v>
      </c>
      <c r="R1092" s="1">
        <f t="shared" si="87"/>
        <v>176.70455088389159</v>
      </c>
    </row>
    <row r="1093" spans="1:18" x14ac:dyDescent="0.35">
      <c r="A1093">
        <v>7.6666775016613498</v>
      </c>
      <c r="B1093">
        <v>2.6046108954193699</v>
      </c>
      <c r="C1093">
        <v>2.3366466775210801</v>
      </c>
      <c r="I1093" s="1">
        <f t="shared" si="88"/>
        <v>662400.93614354066</v>
      </c>
      <c r="J1093">
        <f t="shared" si="84"/>
        <v>600.00006686197594</v>
      </c>
      <c r="K1093" s="1">
        <f t="shared" si="85"/>
        <v>7.3450035435849488</v>
      </c>
      <c r="L1093" s="1">
        <f t="shared" si="85"/>
        <v>6.5893443649036714</v>
      </c>
      <c r="N1093">
        <f>I1093</f>
        <v>662400.93614354066</v>
      </c>
      <c r="O1093" s="1">
        <f>SUM(K$2:K1093)/$G$3</f>
        <v>0.16755466998856836</v>
      </c>
      <c r="P1093" s="1">
        <f>SUM(L$2:L1093)/$G$3</f>
        <v>0.17677284486083</v>
      </c>
      <c r="Q1093" s="1">
        <f t="shared" si="86"/>
        <v>167.55466998856835</v>
      </c>
      <c r="R1093" s="1">
        <f t="shared" si="87"/>
        <v>176.77284486082999</v>
      </c>
    </row>
    <row r="1094" spans="1:18" x14ac:dyDescent="0.35">
      <c r="A1094">
        <v>7.6736219468796598</v>
      </c>
      <c r="B1094">
        <v>2.5886636290609699</v>
      </c>
      <c r="C1094">
        <v>2.3304216231922399</v>
      </c>
      <c r="I1094" s="1">
        <f t="shared" si="88"/>
        <v>663000.93621040264</v>
      </c>
      <c r="J1094">
        <f t="shared" ref="J1094:J1157" si="89">I1094-I1093</f>
        <v>600.00006686197594</v>
      </c>
      <c r="K1094" s="1">
        <f t="shared" si="85"/>
        <v>7.3000322474428119</v>
      </c>
      <c r="L1094" s="1">
        <f t="shared" si="85"/>
        <v>6.5717897097401101</v>
      </c>
      <c r="N1094">
        <f>I1094</f>
        <v>663000.93621040264</v>
      </c>
      <c r="O1094" s="1">
        <f>SUM(K$2:K1094)/$G$3</f>
        <v>0.16763032975171749</v>
      </c>
      <c r="P1094" s="1">
        <f>SUM(L$2:L1094)/$G$3</f>
        <v>0.1768409568959623</v>
      </c>
      <c r="Q1094" s="1">
        <f t="shared" si="86"/>
        <v>167.63032975171748</v>
      </c>
      <c r="R1094" s="1">
        <f t="shared" si="87"/>
        <v>176.84095689596231</v>
      </c>
    </row>
    <row r="1095" spans="1:18" x14ac:dyDescent="0.35">
      <c r="A1095">
        <v>7.6805663920979601</v>
      </c>
      <c r="B1095">
        <v>2.5734715393362899</v>
      </c>
      <c r="C1095">
        <v>2.3232140629911</v>
      </c>
      <c r="I1095" s="1">
        <f t="shared" si="88"/>
        <v>663600.9362772638</v>
      </c>
      <c r="J1095">
        <f t="shared" si="89"/>
        <v>600.00006686116103</v>
      </c>
      <c r="K1095" s="1">
        <f t="shared" si="85"/>
        <v>7.257190549635224</v>
      </c>
      <c r="L1095" s="1">
        <f t="shared" si="85"/>
        <v>6.5514643876990135</v>
      </c>
      <c r="N1095">
        <f>I1095</f>
        <v>663600.9362772638</v>
      </c>
      <c r="O1095" s="1">
        <f>SUM(K$2:K1095)/$G$3</f>
        <v>0.16770554549042957</v>
      </c>
      <c r="P1095" s="1">
        <f>SUM(L$2:L1095)/$G$3</f>
        <v>0.17690885827325098</v>
      </c>
      <c r="Q1095" s="1">
        <f t="shared" si="86"/>
        <v>167.70554549042956</v>
      </c>
      <c r="R1095" s="1">
        <f t="shared" si="87"/>
        <v>176.90885827325098</v>
      </c>
    </row>
    <row r="1096" spans="1:18" x14ac:dyDescent="0.35">
      <c r="A1096">
        <v>7.6875108373162702</v>
      </c>
      <c r="B1096">
        <v>2.5564618357421298</v>
      </c>
      <c r="C1096">
        <v>2.3156245367511699</v>
      </c>
      <c r="I1096" s="1">
        <f t="shared" si="88"/>
        <v>664200.93634412577</v>
      </c>
      <c r="J1096">
        <f t="shared" si="89"/>
        <v>600.00006686197594</v>
      </c>
      <c r="K1096" s="1">
        <f t="shared" si="85"/>
        <v>7.209223180164229</v>
      </c>
      <c r="L1096" s="1">
        <f t="shared" si="85"/>
        <v>6.5300619213262898</v>
      </c>
      <c r="N1096">
        <f>I1096</f>
        <v>664200.93634412577</v>
      </c>
      <c r="O1096" s="1">
        <f>SUM(K$2:K1096)/$G$3</f>
        <v>0.16778026408067845</v>
      </c>
      <c r="P1096" s="1">
        <f>SUM(L$2:L1096)/$G$3</f>
        <v>0.17697653782884332</v>
      </c>
      <c r="Q1096" s="1">
        <f t="shared" si="86"/>
        <v>167.78026408067845</v>
      </c>
      <c r="R1096" s="1">
        <f t="shared" si="87"/>
        <v>176.97653782884331</v>
      </c>
    </row>
    <row r="1097" spans="1:18" x14ac:dyDescent="0.35">
      <c r="A1097">
        <v>7.6944552825345696</v>
      </c>
      <c r="B1097">
        <v>2.53901590451833</v>
      </c>
      <c r="C1097">
        <v>2.3103354687921001</v>
      </c>
      <c r="I1097" s="1">
        <f t="shared" si="88"/>
        <v>664800.93641098682</v>
      </c>
      <c r="J1097">
        <f t="shared" si="89"/>
        <v>600.00006686104462</v>
      </c>
      <c r="K1097" s="1">
        <f t="shared" si="85"/>
        <v>7.1600256486195928</v>
      </c>
      <c r="L1097" s="1">
        <f t="shared" si="85"/>
        <v>6.5151467480095038</v>
      </c>
      <c r="N1097">
        <f>I1097</f>
        <v>664800.93641098682</v>
      </c>
      <c r="O1097" s="1">
        <f>SUM(K$2:K1097)/$G$3</f>
        <v>0.16785447277268881</v>
      </c>
      <c r="P1097" s="1">
        <f>SUM(L$2:L1097)/$G$3</f>
        <v>0.17704406279902532</v>
      </c>
      <c r="Q1097" s="1">
        <f t="shared" si="86"/>
        <v>167.85447277268881</v>
      </c>
      <c r="R1097" s="1">
        <f t="shared" si="87"/>
        <v>177.04406279902531</v>
      </c>
    </row>
    <row r="1098" spans="1:18" x14ac:dyDescent="0.35">
      <c r="A1098">
        <v>7.7013997277528796</v>
      </c>
      <c r="B1098">
        <v>2.5238840670204201</v>
      </c>
      <c r="C1098">
        <v>2.3026384152127699</v>
      </c>
      <c r="I1098" s="1">
        <f t="shared" si="88"/>
        <v>665400.93647784879</v>
      </c>
      <c r="J1098">
        <f t="shared" si="89"/>
        <v>600.00006686197594</v>
      </c>
      <c r="K1098" s="1">
        <f t="shared" si="85"/>
        <v>7.1173538621314005</v>
      </c>
      <c r="L1098" s="1">
        <f t="shared" si="85"/>
        <v>6.4934410545070973</v>
      </c>
      <c r="N1098">
        <f>I1098</f>
        <v>665400.93647784879</v>
      </c>
      <c r="O1098" s="1">
        <f>SUM(K$2:K1098)/$G$3</f>
        <v>0.16792823920127495</v>
      </c>
      <c r="P1098" s="1">
        <f>SUM(L$2:L1098)/$G$3</f>
        <v>0.17711136280477241</v>
      </c>
      <c r="Q1098" s="1">
        <f t="shared" si="86"/>
        <v>167.92823920127495</v>
      </c>
      <c r="R1098" s="1">
        <f t="shared" si="87"/>
        <v>177.1113628047724</v>
      </c>
    </row>
    <row r="1099" spans="1:18" x14ac:dyDescent="0.35">
      <c r="A1099">
        <v>7.7083441729711897</v>
      </c>
      <c r="B1099">
        <v>2.5068918952263002</v>
      </c>
      <c r="C1099">
        <v>2.29712195278689</v>
      </c>
      <c r="I1099" s="1">
        <f t="shared" si="88"/>
        <v>666000.93654471077</v>
      </c>
      <c r="J1099">
        <f t="shared" si="89"/>
        <v>600.00006686197594</v>
      </c>
      <c r="K1099" s="1">
        <f t="shared" si="85"/>
        <v>7.0694359323321709</v>
      </c>
      <c r="L1099" s="1">
        <f t="shared" si="85"/>
        <v>6.4778846287325598</v>
      </c>
      <c r="N1099">
        <f>I1099</f>
        <v>666000.93654471077</v>
      </c>
      <c r="O1099" s="1">
        <f>SUM(K$2:K1099)/$G$3</f>
        <v>0.1680015089938057</v>
      </c>
      <c r="P1099" s="1">
        <f>SUM(L$2:L1099)/$G$3</f>
        <v>0.17717850157897289</v>
      </c>
      <c r="Q1099" s="1">
        <f t="shared" si="86"/>
        <v>168.00150899380569</v>
      </c>
      <c r="R1099" s="1">
        <f t="shared" si="87"/>
        <v>177.17850157897288</v>
      </c>
    </row>
    <row r="1100" spans="1:18" x14ac:dyDescent="0.35">
      <c r="A1100">
        <v>7.71528861818949</v>
      </c>
      <c r="B1100">
        <v>2.4907081318452202</v>
      </c>
      <c r="C1100">
        <v>2.2898691398859499</v>
      </c>
      <c r="I1100" s="1">
        <f t="shared" si="88"/>
        <v>666600.93661157193</v>
      </c>
      <c r="J1100">
        <f t="shared" si="89"/>
        <v>600.00006686116103</v>
      </c>
      <c r="K1100" s="1">
        <f t="shared" si="85"/>
        <v>7.0237977145022175</v>
      </c>
      <c r="L1100" s="1">
        <f t="shared" si="85"/>
        <v>6.4574316940639331</v>
      </c>
      <c r="N1100">
        <f>I1100</f>
        <v>666600.93661157193</v>
      </c>
      <c r="O1100" s="1">
        <f>SUM(K$2:K1100)/$G$3</f>
        <v>0.16807430577791208</v>
      </c>
      <c r="P1100" s="1">
        <f>SUM(L$2:L1100)/$G$3</f>
        <v>0.17724542837271351</v>
      </c>
      <c r="Q1100" s="1">
        <f t="shared" si="86"/>
        <v>168.07430577791209</v>
      </c>
      <c r="R1100" s="1">
        <f t="shared" si="87"/>
        <v>177.24542837271352</v>
      </c>
    </row>
    <row r="1101" spans="1:18" x14ac:dyDescent="0.35">
      <c r="A1101">
        <v>7.7222330634078</v>
      </c>
      <c r="B1101">
        <v>2.4751898995606201</v>
      </c>
      <c r="C1101">
        <v>2.2831548498810901</v>
      </c>
      <c r="I1101" s="1">
        <f t="shared" si="88"/>
        <v>667200.93667843391</v>
      </c>
      <c r="J1101">
        <f t="shared" si="89"/>
        <v>600.00006686197594</v>
      </c>
      <c r="K1101" s="1">
        <f t="shared" si="85"/>
        <v>6.9800362945925594</v>
      </c>
      <c r="L1101" s="1">
        <f t="shared" si="85"/>
        <v>6.4384973941490236</v>
      </c>
      <c r="N1101">
        <f>I1101</f>
        <v>667200.93667843391</v>
      </c>
      <c r="O1101" s="1">
        <f>SUM(K$2:K1101)/$G$3</f>
        <v>0.16814664900530071</v>
      </c>
      <c r="P1101" s="1">
        <f>SUM(L$2:L1101)/$G$3</f>
        <v>0.17731215892558855</v>
      </c>
      <c r="Q1101" s="1">
        <f t="shared" si="86"/>
        <v>168.1466490053007</v>
      </c>
      <c r="R1101" s="1">
        <f t="shared" si="87"/>
        <v>177.31215892558853</v>
      </c>
    </row>
    <row r="1102" spans="1:18" x14ac:dyDescent="0.35">
      <c r="A1102">
        <v>7.7291775086261101</v>
      </c>
      <c r="B1102">
        <v>2.4589150044819901</v>
      </c>
      <c r="C1102">
        <v>2.2752461052997299</v>
      </c>
      <c r="I1102" s="1">
        <f t="shared" si="88"/>
        <v>667800.93674529588</v>
      </c>
      <c r="J1102">
        <f t="shared" si="89"/>
        <v>600.00006686197594</v>
      </c>
      <c r="K1102" s="1">
        <f t="shared" si="85"/>
        <v>6.9341410853564174</v>
      </c>
      <c r="L1102" s="1">
        <f t="shared" si="85"/>
        <v>6.4161947319442554</v>
      </c>
      <c r="N1102">
        <f>I1102</f>
        <v>667800.93674529588</v>
      </c>
      <c r="O1102" s="1">
        <f>SUM(K$2:K1102)/$G$3</f>
        <v>0.16821851656072753</v>
      </c>
      <c r="P1102" s="1">
        <f>SUM(L$2:L1102)/$G$3</f>
        <v>0.17737865832686278</v>
      </c>
      <c r="Q1102" s="1">
        <f t="shared" si="86"/>
        <v>168.21851656072752</v>
      </c>
      <c r="R1102" s="1">
        <f t="shared" si="87"/>
        <v>177.37865832686279</v>
      </c>
    </row>
    <row r="1103" spans="1:18" x14ac:dyDescent="0.35">
      <c r="A1103">
        <v>7.7361219538444104</v>
      </c>
      <c r="B1103">
        <v>2.4435999946789799</v>
      </c>
      <c r="C1103">
        <v>2.2698816064373699</v>
      </c>
      <c r="I1103" s="1">
        <f t="shared" si="88"/>
        <v>668400.93681215704</v>
      </c>
      <c r="J1103">
        <f t="shared" si="89"/>
        <v>600.00006686116103</v>
      </c>
      <c r="K1103" s="1">
        <f t="shared" si="85"/>
        <v>6.8909527528898078</v>
      </c>
      <c r="L1103" s="1">
        <f t="shared" si="85"/>
        <v>6.4010668434579054</v>
      </c>
      <c r="N1103">
        <f>I1103</f>
        <v>668400.93681215704</v>
      </c>
      <c r="O1103" s="1">
        <f>SUM(K$2:K1103)/$G$3</f>
        <v>0.16828993649908985</v>
      </c>
      <c r="P1103" s="1">
        <f>SUM(L$2:L1103)/$G$3</f>
        <v>0.17744500093808169</v>
      </c>
      <c r="Q1103" s="1">
        <f t="shared" si="86"/>
        <v>168.28993649908986</v>
      </c>
      <c r="R1103" s="1">
        <f t="shared" si="87"/>
        <v>177.44500093808168</v>
      </c>
    </row>
    <row r="1104" spans="1:18" x14ac:dyDescent="0.35">
      <c r="A1104">
        <v>7.7430663990627098</v>
      </c>
      <c r="B1104">
        <v>2.4298597081565498</v>
      </c>
      <c r="C1104">
        <v>2.2627670025875499</v>
      </c>
      <c r="I1104" s="1">
        <f t="shared" si="88"/>
        <v>669000.93687901809</v>
      </c>
      <c r="J1104">
        <f t="shared" si="89"/>
        <v>600.00006686104462</v>
      </c>
      <c r="K1104" s="1">
        <f t="shared" si="85"/>
        <v>6.8522051405773752</v>
      </c>
      <c r="L1104" s="1">
        <f t="shared" si="85"/>
        <v>6.3810036583644294</v>
      </c>
      <c r="N1104">
        <f>I1104</f>
        <v>669000.93687901809</v>
      </c>
      <c r="O1104" s="1">
        <f>SUM(K$2:K1104)/$G$3</f>
        <v>0.16836095484536731</v>
      </c>
      <c r="P1104" s="1">
        <f>SUM(L$2:L1104)/$G$3</f>
        <v>0.17751113560832435</v>
      </c>
      <c r="Q1104" s="1">
        <f t="shared" si="86"/>
        <v>168.3609548453673</v>
      </c>
      <c r="R1104" s="1">
        <f t="shared" si="87"/>
        <v>177.51113560832434</v>
      </c>
    </row>
    <row r="1105" spans="1:18" x14ac:dyDescent="0.35">
      <c r="A1105">
        <v>7.7500108442810198</v>
      </c>
      <c r="B1105">
        <v>2.4129890938780001</v>
      </c>
      <c r="C1105">
        <v>2.2565948354768102</v>
      </c>
      <c r="I1105" s="1">
        <f t="shared" si="88"/>
        <v>669600.93694588006</v>
      </c>
      <c r="J1105">
        <f t="shared" si="89"/>
        <v>600.00006686197594</v>
      </c>
      <c r="K1105" s="1">
        <f t="shared" si="85"/>
        <v>6.8046300030208879</v>
      </c>
      <c r="L1105" s="1">
        <f t="shared" si="85"/>
        <v>6.3635981451824364</v>
      </c>
      <c r="N1105">
        <f>I1105</f>
        <v>669600.93694588006</v>
      </c>
      <c r="O1105" s="1">
        <f>SUM(K$2:K1105)/$G$3</f>
        <v>0.16843148010839284</v>
      </c>
      <c r="P1105" s="1">
        <f>SUM(L$2:L1105)/$G$3</f>
        <v>0.17757708988251392</v>
      </c>
      <c r="Q1105" s="1">
        <f t="shared" si="86"/>
        <v>168.43148010839283</v>
      </c>
      <c r="R1105" s="1">
        <f t="shared" si="87"/>
        <v>177.57708988251392</v>
      </c>
    </row>
    <row r="1106" spans="1:18" x14ac:dyDescent="0.35">
      <c r="A1106">
        <v>7.7569552894993299</v>
      </c>
      <c r="B1106">
        <v>2.3984078854012498</v>
      </c>
      <c r="C1106">
        <v>2.25118023026373</v>
      </c>
      <c r="I1106" s="1">
        <f t="shared" si="88"/>
        <v>670200.93701274216</v>
      </c>
      <c r="J1106">
        <f t="shared" si="89"/>
        <v>600.00006686209235</v>
      </c>
      <c r="K1106" s="1">
        <f t="shared" si="85"/>
        <v>6.7635109905356021</v>
      </c>
      <c r="L1106" s="1">
        <f t="shared" si="85"/>
        <v>6.3483289567812351</v>
      </c>
      <c r="N1106">
        <f>I1106</f>
        <v>670200.93701274216</v>
      </c>
      <c r="O1106" s="1">
        <f>SUM(K$2:K1106)/$G$3</f>
        <v>0.16850157920141803</v>
      </c>
      <c r="P1106" s="1">
        <f>SUM(L$2:L1106)/$G$3</f>
        <v>0.17764288590217275</v>
      </c>
      <c r="Q1106" s="1">
        <f t="shared" si="86"/>
        <v>168.50157920141802</v>
      </c>
      <c r="R1106" s="1">
        <f t="shared" si="87"/>
        <v>177.64288590217276</v>
      </c>
    </row>
    <row r="1107" spans="1:18" x14ac:dyDescent="0.35">
      <c r="A1107">
        <v>7.7638997347176302</v>
      </c>
      <c r="B1107">
        <v>2.38336763919428</v>
      </c>
      <c r="C1107">
        <v>2.24449474848441</v>
      </c>
      <c r="I1107" s="1">
        <f t="shared" si="88"/>
        <v>670800.9370796032</v>
      </c>
      <c r="J1107">
        <f t="shared" si="89"/>
        <v>600.00006686104462</v>
      </c>
      <c r="K1107" s="1">
        <f t="shared" ref="K1107:L1170" si="90">B1107*$J1107*$G$2</f>
        <v>6.7210974914937847</v>
      </c>
      <c r="L1107" s="1">
        <f t="shared" si="90"/>
        <v>6.3294758960515747</v>
      </c>
      <c r="N1107">
        <f>I1107</f>
        <v>670800.9370796032</v>
      </c>
      <c r="O1107" s="1">
        <f>SUM(K$2:K1107)/$G$3</f>
        <v>0.16857123870798893</v>
      </c>
      <c r="P1107" s="1">
        <f>SUM(L$2:L1107)/$G$3</f>
        <v>0.17770848652295371</v>
      </c>
      <c r="Q1107" s="1">
        <f t="shared" si="86"/>
        <v>168.57123870798893</v>
      </c>
      <c r="R1107" s="1">
        <f t="shared" si="87"/>
        <v>177.70848652295371</v>
      </c>
    </row>
    <row r="1108" spans="1:18" x14ac:dyDescent="0.35">
      <c r="A1108">
        <v>7.7708441799359402</v>
      </c>
      <c r="B1108">
        <v>2.36755731681487</v>
      </c>
      <c r="C1108">
        <v>2.2380538518797302</v>
      </c>
      <c r="I1108" s="1">
        <f t="shared" si="88"/>
        <v>671400.93714646529</v>
      </c>
      <c r="J1108">
        <f t="shared" si="89"/>
        <v>600.00006686209235</v>
      </c>
      <c r="K1108" s="1">
        <f t="shared" si="90"/>
        <v>6.6765123774271622</v>
      </c>
      <c r="L1108" s="1">
        <f t="shared" si="90"/>
        <v>6.3113125656133668</v>
      </c>
      <c r="N1108">
        <f>I1108</f>
        <v>671400.93714646529</v>
      </c>
      <c r="O1108" s="1">
        <f>SUM(K$2:K1108)/$G$3</f>
        <v>0.16864043612082438</v>
      </c>
      <c r="P1108" s="1">
        <f>SUM(L$2:L1108)/$G$3</f>
        <v>0.17777389889343215</v>
      </c>
      <c r="Q1108" s="1">
        <f t="shared" si="86"/>
        <v>168.64043612082438</v>
      </c>
      <c r="R1108" s="1">
        <f t="shared" si="87"/>
        <v>177.77389889343215</v>
      </c>
    </row>
    <row r="1109" spans="1:18" x14ac:dyDescent="0.35">
      <c r="A1109">
        <v>7.7777886251542396</v>
      </c>
      <c r="B1109">
        <v>2.3513051196324399</v>
      </c>
      <c r="C1109">
        <v>2.2313378742321999</v>
      </c>
      <c r="I1109" s="1">
        <f t="shared" si="88"/>
        <v>672000.93721332634</v>
      </c>
      <c r="J1109">
        <f t="shared" si="89"/>
        <v>600.00006686104462</v>
      </c>
      <c r="K1109" s="1">
        <f t="shared" si="90"/>
        <v>6.6306811762538489</v>
      </c>
      <c r="L1109" s="1">
        <f t="shared" si="90"/>
        <v>6.292373506525835</v>
      </c>
      <c r="N1109">
        <f>I1109</f>
        <v>672000.93721332634</v>
      </c>
      <c r="O1109" s="1">
        <f>SUM(K$2:K1109)/$G$3</f>
        <v>0.1687091585250971</v>
      </c>
      <c r="P1109" s="1">
        <f>SUM(L$2:L1109)/$G$3</f>
        <v>0.17783911497371951</v>
      </c>
      <c r="Q1109" s="1">
        <f t="shared" si="86"/>
        <v>168.70915852509711</v>
      </c>
      <c r="R1109" s="1">
        <f t="shared" si="87"/>
        <v>177.83911497371952</v>
      </c>
    </row>
    <row r="1110" spans="1:18" x14ac:dyDescent="0.35">
      <c r="A1110">
        <v>7.7847330703725497</v>
      </c>
      <c r="B1110">
        <v>2.3358715702288699</v>
      </c>
      <c r="C1110">
        <v>2.2235626443221301</v>
      </c>
      <c r="I1110" s="1">
        <f t="shared" si="88"/>
        <v>672600.93728018831</v>
      </c>
      <c r="J1110">
        <f t="shared" si="89"/>
        <v>600.00006686197594</v>
      </c>
      <c r="K1110" s="1">
        <f t="shared" si="90"/>
        <v>6.5871585620960609</v>
      </c>
      <c r="L1110" s="1">
        <f t="shared" si="90"/>
        <v>6.27044735574583</v>
      </c>
      <c r="N1110">
        <f>I1110</f>
        <v>672600.93728018831</v>
      </c>
      <c r="O1110" s="1">
        <f>SUM(K$2:K1110)/$G$3</f>
        <v>0.16877742984770783</v>
      </c>
      <c r="P1110" s="1">
        <f>SUM(L$2:L1110)/$G$3</f>
        <v>0.17790410380468544</v>
      </c>
      <c r="Q1110" s="1">
        <f t="shared" si="86"/>
        <v>168.77742984770782</v>
      </c>
      <c r="R1110" s="1">
        <f t="shared" si="87"/>
        <v>177.90410380468543</v>
      </c>
    </row>
    <row r="1111" spans="1:18" x14ac:dyDescent="0.35">
      <c r="A1111">
        <v>7.7916775155908597</v>
      </c>
      <c r="B1111">
        <v>2.3210326123770999</v>
      </c>
      <c r="C1111">
        <v>2.2189389370979602</v>
      </c>
      <c r="I1111" s="1">
        <f t="shared" si="88"/>
        <v>673200.93734705029</v>
      </c>
      <c r="J1111">
        <f t="shared" si="89"/>
        <v>600.00006686197594</v>
      </c>
      <c r="K1111" s="1">
        <f t="shared" si="90"/>
        <v>6.5453126962909076</v>
      </c>
      <c r="L1111" s="1">
        <f t="shared" si="90"/>
        <v>6.2574084999206638</v>
      </c>
      <c r="N1111">
        <f>I1111</f>
        <v>673200.93734705029</v>
      </c>
      <c r="O1111" s="1">
        <f>SUM(K$2:K1111)/$G$3</f>
        <v>0.16884526746698844</v>
      </c>
      <c r="P1111" s="1">
        <f>SUM(L$2:L1111)/$G$3</f>
        <v>0.17796895749696839</v>
      </c>
      <c r="Q1111" s="1">
        <f t="shared" si="86"/>
        <v>168.84526746698845</v>
      </c>
      <c r="R1111" s="1">
        <f t="shared" si="87"/>
        <v>177.96895749696839</v>
      </c>
    </row>
    <row r="1112" spans="1:18" x14ac:dyDescent="0.35">
      <c r="A1112">
        <v>7.79862196080916</v>
      </c>
      <c r="B1112">
        <v>2.3060213310849802</v>
      </c>
      <c r="C1112">
        <v>2.21334897301421</v>
      </c>
      <c r="I1112" s="1">
        <f t="shared" si="88"/>
        <v>673800.93741391145</v>
      </c>
      <c r="J1112">
        <f t="shared" si="89"/>
        <v>600.00006686116103</v>
      </c>
      <c r="K1112" s="1">
        <f t="shared" si="90"/>
        <v>6.502980878320983</v>
      </c>
      <c r="L1112" s="1">
        <f t="shared" si="90"/>
        <v>6.2416447994393582</v>
      </c>
      <c r="N1112">
        <f>I1112</f>
        <v>673800.93741391145</v>
      </c>
      <c r="O1112" s="1">
        <f>SUM(K$2:K1112)/$G$3</f>
        <v>0.16891266634638236</v>
      </c>
      <c r="P1112" s="1">
        <f>SUM(L$2:L1112)/$G$3</f>
        <v>0.17803364780944639</v>
      </c>
      <c r="Q1112" s="1">
        <f t="shared" si="86"/>
        <v>168.91266634638237</v>
      </c>
      <c r="R1112" s="1">
        <f t="shared" si="87"/>
        <v>178.03364780944639</v>
      </c>
    </row>
    <row r="1113" spans="1:18" x14ac:dyDescent="0.35">
      <c r="A1113">
        <v>7.8055664060274701</v>
      </c>
      <c r="B1113">
        <v>2.2920847481026798</v>
      </c>
      <c r="C1113">
        <v>2.2074038115218899</v>
      </c>
      <c r="I1113" s="1">
        <f t="shared" si="88"/>
        <v>674400.93748077343</v>
      </c>
      <c r="J1113">
        <f t="shared" si="89"/>
        <v>600.00006686197594</v>
      </c>
      <c r="K1113" s="1">
        <f t="shared" si="90"/>
        <v>6.4636797099401395</v>
      </c>
      <c r="L1113" s="1">
        <f t="shared" si="90"/>
        <v>6.2248794421712184</v>
      </c>
      <c r="N1113">
        <f>I1113</f>
        <v>674400.93748077343</v>
      </c>
      <c r="O1113" s="1">
        <f>SUM(K$2:K1113)/$G$3</f>
        <v>0.16897965789646721</v>
      </c>
      <c r="P1113" s="1">
        <f>SUM(L$2:L1113)/$G$3</f>
        <v>0.17809816436064266</v>
      </c>
      <c r="Q1113" s="1">
        <f t="shared" si="86"/>
        <v>168.97965789646722</v>
      </c>
      <c r="R1113" s="1">
        <f t="shared" si="87"/>
        <v>178.09816436064267</v>
      </c>
    </row>
    <row r="1114" spans="1:18" x14ac:dyDescent="0.35">
      <c r="A1114">
        <v>7.8125108512457802</v>
      </c>
      <c r="B1114">
        <v>2.2765222793958602</v>
      </c>
      <c r="C1114">
        <v>2.2006440112147101</v>
      </c>
      <c r="I1114" s="1">
        <f t="shared" si="88"/>
        <v>675000.9375476354</v>
      </c>
      <c r="J1114">
        <f t="shared" si="89"/>
        <v>600.00006686197594</v>
      </c>
      <c r="K1114" s="1">
        <f t="shared" si="90"/>
        <v>6.4197935432963824</v>
      </c>
      <c r="L1114" s="1">
        <f t="shared" si="90"/>
        <v>6.2058168031806957</v>
      </c>
      <c r="N1114">
        <f>I1114</f>
        <v>675000.9375476354</v>
      </c>
      <c r="O1114" s="1">
        <f>SUM(K$2:K1114)/$G$3</f>
        <v>0.16904619459692113</v>
      </c>
      <c r="P1114" s="1">
        <f>SUM(L$2:L1114)/$G$3</f>
        <v>0.17816248334082799</v>
      </c>
      <c r="Q1114" s="1">
        <f t="shared" si="86"/>
        <v>169.04619459692114</v>
      </c>
      <c r="R1114" s="1">
        <f t="shared" si="87"/>
        <v>178.16248334082798</v>
      </c>
    </row>
    <row r="1115" spans="1:18" x14ac:dyDescent="0.35">
      <c r="A1115">
        <v>7.8194552964640804</v>
      </c>
      <c r="B1115">
        <v>2.26191521737403</v>
      </c>
      <c r="C1115">
        <v>2.1939717436100801</v>
      </c>
      <c r="I1115" s="1">
        <f t="shared" si="88"/>
        <v>675600.93761449656</v>
      </c>
      <c r="J1115">
        <f t="shared" si="89"/>
        <v>600.00006686116103</v>
      </c>
      <c r="K1115" s="1">
        <f t="shared" si="90"/>
        <v>6.3786016237958698</v>
      </c>
      <c r="L1115" s="1">
        <f t="shared" si="90"/>
        <v>6.1870010064304672</v>
      </c>
      <c r="N1115">
        <f>I1115</f>
        <v>675600.93761449656</v>
      </c>
      <c r="O1115" s="1">
        <f>SUM(K$2:K1115)/$G$3</f>
        <v>0.16911230437174413</v>
      </c>
      <c r="P1115" s="1">
        <f>SUM(L$2:L1115)/$G$3</f>
        <v>0.17822660730835072</v>
      </c>
      <c r="Q1115" s="1">
        <f t="shared" si="86"/>
        <v>169.11230437174413</v>
      </c>
      <c r="R1115" s="1">
        <f t="shared" si="87"/>
        <v>178.22660730835071</v>
      </c>
    </row>
    <row r="1116" spans="1:18" x14ac:dyDescent="0.35">
      <c r="A1116">
        <v>7.8263997416823798</v>
      </c>
      <c r="B1116">
        <v>2.2480154568824702</v>
      </c>
      <c r="C1116">
        <v>2.1881917280299401</v>
      </c>
      <c r="I1116" s="1">
        <f t="shared" si="88"/>
        <v>676200.93768135761</v>
      </c>
      <c r="J1116">
        <f t="shared" si="89"/>
        <v>600.00006686104462</v>
      </c>
      <c r="K1116" s="1">
        <f t="shared" si="90"/>
        <v>6.3394042948404765</v>
      </c>
      <c r="L1116" s="1">
        <f t="shared" si="90"/>
        <v>6.1707013606769197</v>
      </c>
      <c r="N1116">
        <f>I1116</f>
        <v>676200.93768135761</v>
      </c>
      <c r="O1116" s="1">
        <f>SUM(K$2:K1116)/$G$3</f>
        <v>0.16917800789348161</v>
      </c>
      <c r="P1116" s="1">
        <f>SUM(L$2:L1116)/$G$3</f>
        <v>0.17829056234136803</v>
      </c>
      <c r="Q1116" s="1">
        <f t="shared" si="86"/>
        <v>169.17800789348161</v>
      </c>
      <c r="R1116" s="1">
        <f t="shared" si="87"/>
        <v>178.29056234136803</v>
      </c>
    </row>
    <row r="1117" spans="1:18" x14ac:dyDescent="0.35">
      <c r="A1117">
        <v>7.8333441869006997</v>
      </c>
      <c r="B1117">
        <v>2.23426628559407</v>
      </c>
      <c r="C1117">
        <v>2.1826176112713802</v>
      </c>
      <c r="I1117" s="1">
        <f t="shared" si="88"/>
        <v>676800.9377482204</v>
      </c>
      <c r="J1117">
        <f t="shared" si="89"/>
        <v>600.00006686279085</v>
      </c>
      <c r="K1117" s="1">
        <f t="shared" si="90"/>
        <v>6.3006316275048908</v>
      </c>
      <c r="L1117" s="1">
        <f t="shared" si="90"/>
        <v>6.1549823496840448</v>
      </c>
      <c r="N1117">
        <f>I1117</f>
        <v>676800.9377482204</v>
      </c>
      <c r="O1117" s="1">
        <f>SUM(K$2:K1117)/$G$3</f>
        <v>0.16924330956345626</v>
      </c>
      <c r="P1117" s="1">
        <f>SUM(L$2:L1117)/$G$3</f>
        <v>0.17835435445775588</v>
      </c>
      <c r="Q1117" s="1">
        <f t="shared" si="86"/>
        <v>169.24330956345625</v>
      </c>
      <c r="R1117" s="1">
        <f t="shared" si="87"/>
        <v>178.35435445775587</v>
      </c>
    </row>
    <row r="1118" spans="1:18" x14ac:dyDescent="0.35">
      <c r="A1118">
        <v>7.840288632119</v>
      </c>
      <c r="B1118">
        <v>2.2200776064708898</v>
      </c>
      <c r="C1118">
        <v>2.17656633485025</v>
      </c>
      <c r="I1118" s="1">
        <f t="shared" si="88"/>
        <v>677400.93781508156</v>
      </c>
      <c r="J1118">
        <f t="shared" si="89"/>
        <v>600.00006686116103</v>
      </c>
      <c r="K1118" s="1">
        <f t="shared" si="90"/>
        <v>6.2606195479016522</v>
      </c>
      <c r="L1118" s="1">
        <f t="shared" si="90"/>
        <v>6.1379177482581397</v>
      </c>
      <c r="N1118">
        <f>I1118</f>
        <v>677400.93781508156</v>
      </c>
      <c r="O1118" s="1">
        <f>SUM(K$2:K1118)/$G$3</f>
        <v>0.16930819653602092</v>
      </c>
      <c r="P1118" s="1">
        <f>SUM(L$2:L1118)/$G$3</f>
        <v>0.17841796971140422</v>
      </c>
      <c r="Q1118" s="1">
        <f t="shared" si="86"/>
        <v>169.30819653602092</v>
      </c>
      <c r="R1118" s="1">
        <f t="shared" si="87"/>
        <v>178.41796971140423</v>
      </c>
    </row>
    <row r="1119" spans="1:18" x14ac:dyDescent="0.35">
      <c r="A1119">
        <v>7.8472330773373002</v>
      </c>
      <c r="B1119">
        <v>2.2060747582906002</v>
      </c>
      <c r="C1119">
        <v>2.1700826042188002</v>
      </c>
      <c r="I1119" s="1">
        <f t="shared" si="88"/>
        <v>678000.93788194272</v>
      </c>
      <c r="J1119">
        <f t="shared" si="89"/>
        <v>600.00006686116103</v>
      </c>
      <c r="K1119" s="1">
        <f t="shared" si="90"/>
        <v>6.2211315116328754</v>
      </c>
      <c r="L1119" s="1">
        <f t="shared" si="90"/>
        <v>6.1196336258399562</v>
      </c>
      <c r="N1119">
        <f>I1119</f>
        <v>678000.93788194272</v>
      </c>
      <c r="O1119" s="1">
        <f>SUM(K$2:K1119)/$G$3</f>
        <v>0.16937267424252073</v>
      </c>
      <c r="P1119" s="1">
        <f>SUM(L$2:L1119)/$G$3</f>
        <v>0.17848139546282504</v>
      </c>
      <c r="Q1119" s="1">
        <f t="shared" si="86"/>
        <v>169.37267424252073</v>
      </c>
      <c r="R1119" s="1">
        <f t="shared" si="87"/>
        <v>178.48139546282505</v>
      </c>
    </row>
    <row r="1120" spans="1:18" x14ac:dyDescent="0.35">
      <c r="A1120">
        <v>7.8541775225556103</v>
      </c>
      <c r="B1120">
        <v>2.1938524530967101</v>
      </c>
      <c r="C1120">
        <v>2.16346206841461</v>
      </c>
      <c r="I1120" s="1">
        <f t="shared" si="88"/>
        <v>678600.9379488047</v>
      </c>
      <c r="J1120">
        <f t="shared" si="89"/>
        <v>600.00006686197594</v>
      </c>
      <c r="K1120" s="1">
        <f t="shared" si="90"/>
        <v>6.1866646071536788</v>
      </c>
      <c r="L1120" s="1">
        <f t="shared" si="90"/>
        <v>6.1009637127999392</v>
      </c>
      <c r="N1120">
        <f>I1120</f>
        <v>678600.9379488047</v>
      </c>
      <c r="O1120" s="1">
        <f>SUM(K$2:K1120)/$G$3</f>
        <v>0.16943679472349862</v>
      </c>
      <c r="P1120" s="1">
        <f>SUM(L$2:L1120)/$G$3</f>
        <v>0.17854462771356663</v>
      </c>
      <c r="Q1120" s="1">
        <f t="shared" si="86"/>
        <v>169.43679472349862</v>
      </c>
      <c r="R1120" s="1">
        <f t="shared" si="87"/>
        <v>178.54462771356663</v>
      </c>
    </row>
    <row r="1121" spans="1:18" x14ac:dyDescent="0.35">
      <c r="A1121">
        <v>7.8611219677739097</v>
      </c>
      <c r="B1121">
        <v>2.1806515681604499</v>
      </c>
      <c r="C1121">
        <v>2.1566331921684898</v>
      </c>
      <c r="I1121" s="1">
        <f t="shared" si="88"/>
        <v>679200.93801566574</v>
      </c>
      <c r="J1121">
        <f t="shared" si="89"/>
        <v>600.00006686104462</v>
      </c>
      <c r="K1121" s="1">
        <f t="shared" si="90"/>
        <v>6.1494381074754854</v>
      </c>
      <c r="L1121" s="1">
        <f t="shared" si="90"/>
        <v>6.0817062796304571</v>
      </c>
      <c r="N1121">
        <f>I1121</f>
        <v>679200.93801566574</v>
      </c>
      <c r="O1121" s="1">
        <f>SUM(K$2:K1121)/$G$3</f>
        <v>0.16950052937766741</v>
      </c>
      <c r="P1121" s="1">
        <f>SUM(L$2:L1121)/$G$3</f>
        <v>0.17860766037439091</v>
      </c>
      <c r="Q1121" s="1">
        <f t="shared" si="86"/>
        <v>169.50052937766742</v>
      </c>
      <c r="R1121" s="1">
        <f t="shared" si="87"/>
        <v>178.60766037439092</v>
      </c>
    </row>
    <row r="1122" spans="1:18" x14ac:dyDescent="0.35">
      <c r="A1122">
        <v>7.8680664129922198</v>
      </c>
      <c r="B1122">
        <v>2.16649944064363</v>
      </c>
      <c r="C1122">
        <v>2.1525791811681598</v>
      </c>
      <c r="I1122" s="1">
        <f t="shared" si="88"/>
        <v>679800.93808252783</v>
      </c>
      <c r="J1122">
        <f t="shared" si="89"/>
        <v>600.00006686209235</v>
      </c>
      <c r="K1122" s="1">
        <f t="shared" si="90"/>
        <v>6.1095291034414601</v>
      </c>
      <c r="L1122" s="1">
        <f t="shared" si="90"/>
        <v>6.070273967346167</v>
      </c>
      <c r="N1122">
        <f>I1122</f>
        <v>679800.93808252783</v>
      </c>
      <c r="O1122" s="1">
        <f>SUM(K$2:K1122)/$G$3</f>
        <v>0.16956385040273289</v>
      </c>
      <c r="P1122" s="1">
        <f>SUM(L$2:L1122)/$G$3</f>
        <v>0.17867057454724003</v>
      </c>
      <c r="Q1122" s="1">
        <f t="shared" si="86"/>
        <v>169.5638504027329</v>
      </c>
      <c r="R1122" s="1">
        <f t="shared" si="87"/>
        <v>178.67057454724002</v>
      </c>
    </row>
    <row r="1123" spans="1:18" x14ac:dyDescent="0.35">
      <c r="A1123">
        <v>7.8750108582105298</v>
      </c>
      <c r="B1123">
        <v>2.1537569975861302</v>
      </c>
      <c r="C1123">
        <v>2.1463501744059301</v>
      </c>
      <c r="I1123" s="1">
        <f t="shared" si="88"/>
        <v>680400.93814938981</v>
      </c>
      <c r="J1123">
        <f t="shared" si="89"/>
        <v>600.00006686197594</v>
      </c>
      <c r="K1123" s="1">
        <f t="shared" si="90"/>
        <v>6.0735954100137954</v>
      </c>
      <c r="L1123" s="1">
        <f t="shared" si="90"/>
        <v>6.0527081663180269</v>
      </c>
      <c r="N1123">
        <f>I1123</f>
        <v>680400.93814938981</v>
      </c>
      <c r="O1123" s="1">
        <f>SUM(K$2:K1123)/$G$3</f>
        <v>0.16962679900002794</v>
      </c>
      <c r="P1123" s="1">
        <f>SUM(L$2:L1123)/$G$3</f>
        <v>0.17873330666276385</v>
      </c>
      <c r="Q1123" s="1">
        <f t="shared" si="86"/>
        <v>169.62679900002794</v>
      </c>
      <c r="R1123" s="1">
        <f t="shared" si="87"/>
        <v>178.73330666276385</v>
      </c>
    </row>
    <row r="1124" spans="1:18" x14ac:dyDescent="0.35">
      <c r="A1124">
        <v>7.8819553034288301</v>
      </c>
      <c r="B1124">
        <v>2.1402097189870202</v>
      </c>
      <c r="C1124">
        <v>2.1409752253479</v>
      </c>
      <c r="I1124" s="1">
        <f t="shared" si="88"/>
        <v>681000.93821625097</v>
      </c>
      <c r="J1124">
        <f t="shared" si="89"/>
        <v>600.00006686116103</v>
      </c>
      <c r="K1124" s="1">
        <f t="shared" si="90"/>
        <v>6.035392080098859</v>
      </c>
      <c r="L1124" s="1">
        <f t="shared" si="90"/>
        <v>6.0375508082770981</v>
      </c>
      <c r="N1124">
        <f>I1124</f>
        <v>681000.93821625097</v>
      </c>
      <c r="O1124" s="1">
        <f>SUM(K$2:K1124)/$G$3</f>
        <v>0.16968935164634705</v>
      </c>
      <c r="P1124" s="1">
        <f>SUM(L$2:L1124)/$G$3</f>
        <v>0.17879588168280092</v>
      </c>
      <c r="Q1124" s="1">
        <f t="shared" si="86"/>
        <v>169.68935164634703</v>
      </c>
      <c r="R1124" s="1">
        <f t="shared" si="87"/>
        <v>178.79588168280091</v>
      </c>
    </row>
    <row r="1125" spans="1:18" x14ac:dyDescent="0.35">
      <c r="A1125">
        <v>7.8888997486471402</v>
      </c>
      <c r="B1125">
        <v>2.1286473229684901</v>
      </c>
      <c r="C1125">
        <v>2.1356943231667702</v>
      </c>
      <c r="I1125" s="1">
        <f t="shared" si="88"/>
        <v>681600.93828311295</v>
      </c>
      <c r="J1125">
        <f t="shared" si="89"/>
        <v>600.00006686197594</v>
      </c>
      <c r="K1125" s="1">
        <f t="shared" si="90"/>
        <v>6.0027861197013035</v>
      </c>
      <c r="L1125" s="1">
        <f t="shared" si="90"/>
        <v>6.0226586624749814</v>
      </c>
      <c r="N1125">
        <f>I1125</f>
        <v>681600.93828311295</v>
      </c>
      <c r="O1125" s="1">
        <f>SUM(K$2:K1125)/$G$3</f>
        <v>0.16975156635453695</v>
      </c>
      <c r="P1125" s="1">
        <f>SUM(L$2:L1125)/$G$3</f>
        <v>0.17885830235609182</v>
      </c>
      <c r="Q1125" s="1">
        <f t="shared" si="86"/>
        <v>169.75156635453695</v>
      </c>
      <c r="R1125" s="1">
        <f t="shared" si="87"/>
        <v>178.85830235609183</v>
      </c>
    </row>
    <row r="1126" spans="1:18" x14ac:dyDescent="0.35">
      <c r="A1126">
        <v>7.8958441938654502</v>
      </c>
      <c r="B1126">
        <v>2.1157237470384702</v>
      </c>
      <c r="C1126">
        <v>2.1314611743309499</v>
      </c>
      <c r="I1126" s="1">
        <f t="shared" si="88"/>
        <v>682200.93834997492</v>
      </c>
      <c r="J1126">
        <f t="shared" si="89"/>
        <v>600.00006686197594</v>
      </c>
      <c r="K1126" s="1">
        <f t="shared" si="90"/>
        <v>5.9663416315173965</v>
      </c>
      <c r="L1126" s="1">
        <f t="shared" si="90"/>
        <v>6.0107211814276962</v>
      </c>
      <c r="N1126">
        <f>I1126</f>
        <v>682200.93834997492</v>
      </c>
      <c r="O1126" s="1">
        <f>SUM(K$2:K1126)/$G$3</f>
        <v>0.16981340334092362</v>
      </c>
      <c r="P1126" s="1">
        <f>SUM(L$2:L1126)/$G$3</f>
        <v>0.1789205993056843</v>
      </c>
      <c r="Q1126" s="1">
        <f t="shared" si="86"/>
        <v>169.81340334092363</v>
      </c>
      <c r="R1126" s="1">
        <f t="shared" si="87"/>
        <v>178.92059930568431</v>
      </c>
    </row>
    <row r="1127" spans="1:18" x14ac:dyDescent="0.35">
      <c r="A1127">
        <v>7.9027886390837496</v>
      </c>
      <c r="B1127">
        <v>2.10359999754907</v>
      </c>
      <c r="C1127">
        <v>2.1271715429424298</v>
      </c>
      <c r="I1127" s="1">
        <f t="shared" si="88"/>
        <v>682800.93841683597</v>
      </c>
      <c r="J1127">
        <f t="shared" si="89"/>
        <v>600.00006686104462</v>
      </c>
      <c r="K1127" s="1">
        <f t="shared" si="90"/>
        <v>5.9321526541381768</v>
      </c>
      <c r="L1127" s="1">
        <f t="shared" si="90"/>
        <v>5.9986244195547362</v>
      </c>
      <c r="N1127">
        <f>I1127</f>
        <v>682800.93841683597</v>
      </c>
      <c r="O1127" s="1">
        <f>SUM(K$2:K1127)/$G$3</f>
        <v>0.16987488598230974</v>
      </c>
      <c r="P1127" s="1">
        <f>SUM(L$2:L1127)/$G$3</f>
        <v>0.17898277088074313</v>
      </c>
      <c r="Q1127" s="1">
        <f t="shared" si="86"/>
        <v>169.87488598230973</v>
      </c>
      <c r="R1127" s="1">
        <f t="shared" si="87"/>
        <v>178.98277088074312</v>
      </c>
    </row>
    <row r="1128" spans="1:18" x14ac:dyDescent="0.35">
      <c r="A1128">
        <v>7.9097330843020499</v>
      </c>
      <c r="B1128">
        <v>2.0913136232319398</v>
      </c>
      <c r="C1128">
        <v>2.1203852735612601</v>
      </c>
      <c r="I1128" s="1">
        <f t="shared" si="88"/>
        <v>683400.93848369713</v>
      </c>
      <c r="J1128">
        <f t="shared" si="89"/>
        <v>600.00006686116103</v>
      </c>
      <c r="K1128" s="1">
        <f t="shared" si="90"/>
        <v>5.8975050747040587</v>
      </c>
      <c r="L1128" s="1">
        <f t="shared" si="90"/>
        <v>5.9794871377684338</v>
      </c>
      <c r="N1128">
        <f>I1128</f>
        <v>683400.93848369713</v>
      </c>
      <c r="O1128" s="1">
        <f>SUM(K$2:K1128)/$G$3</f>
        <v>0.16993600952560353</v>
      </c>
      <c r="P1128" s="1">
        <f>SUM(L$2:L1128)/$G$3</f>
        <v>0.17904474411117033</v>
      </c>
      <c r="Q1128" s="1">
        <f t="shared" si="86"/>
        <v>169.93600952560354</v>
      </c>
      <c r="R1128" s="1">
        <f t="shared" si="87"/>
        <v>179.04474411117033</v>
      </c>
    </row>
    <row r="1129" spans="1:18" x14ac:dyDescent="0.35">
      <c r="A1129">
        <v>7.91667752952036</v>
      </c>
      <c r="B1129">
        <v>2.07862784300502</v>
      </c>
      <c r="C1129">
        <v>2.1158220402022998</v>
      </c>
      <c r="I1129" s="1">
        <f t="shared" si="88"/>
        <v>684000.93855055911</v>
      </c>
      <c r="J1129">
        <f t="shared" si="89"/>
        <v>600.00006686197594</v>
      </c>
      <c r="K1129" s="1">
        <f t="shared" si="90"/>
        <v>5.8617311704856316</v>
      </c>
      <c r="L1129" s="1">
        <f t="shared" si="90"/>
        <v>5.9666188182702848</v>
      </c>
      <c r="N1129">
        <f>I1129</f>
        <v>684000.93855055911</v>
      </c>
      <c r="O1129" s="1">
        <f>SUM(K$2:K1129)/$G$3</f>
        <v>0.16999676229723107</v>
      </c>
      <c r="P1129" s="1">
        <f>SUM(L$2:L1129)/$G$3</f>
        <v>0.17910658397040513</v>
      </c>
      <c r="Q1129" s="1">
        <f t="shared" si="86"/>
        <v>169.99676229723107</v>
      </c>
      <c r="R1129" s="1">
        <f t="shared" si="87"/>
        <v>179.10658397040513</v>
      </c>
    </row>
    <row r="1130" spans="1:18" x14ac:dyDescent="0.35">
      <c r="A1130">
        <v>7.92362197473867</v>
      </c>
      <c r="B1130">
        <v>2.06744213089488</v>
      </c>
      <c r="C1130">
        <v>2.1123682693394001</v>
      </c>
      <c r="I1130" s="1">
        <f t="shared" si="88"/>
        <v>684600.93861742108</v>
      </c>
      <c r="J1130">
        <f t="shared" si="89"/>
        <v>600.00006686197594</v>
      </c>
      <c r="K1130" s="1">
        <f t="shared" si="90"/>
        <v>5.8301874588199123</v>
      </c>
      <c r="L1130" s="1">
        <f t="shared" si="90"/>
        <v>5.956879183351556</v>
      </c>
      <c r="N1130">
        <f>I1130</f>
        <v>684600.93861742108</v>
      </c>
      <c r="O1130" s="1">
        <f>SUM(K$2:K1130)/$G$3</f>
        <v>0.17005718814019963</v>
      </c>
      <c r="P1130" s="1">
        <f>SUM(L$2:L1130)/$G$3</f>
        <v>0.17916832288508983</v>
      </c>
      <c r="Q1130" s="1">
        <f t="shared" si="86"/>
        <v>170.05718814019963</v>
      </c>
      <c r="R1130" s="1">
        <f t="shared" si="87"/>
        <v>179.16832288508982</v>
      </c>
    </row>
    <row r="1131" spans="1:18" x14ac:dyDescent="0.35">
      <c r="A1131">
        <v>7.9305664199569703</v>
      </c>
      <c r="B1131">
        <v>2.0543573333601901</v>
      </c>
      <c r="C1131">
        <v>2.1036545158081301</v>
      </c>
      <c r="I1131" s="1">
        <f t="shared" si="88"/>
        <v>685200.93868428224</v>
      </c>
      <c r="J1131">
        <f t="shared" si="89"/>
        <v>600.00006686116103</v>
      </c>
      <c r="K1131" s="1">
        <f t="shared" si="90"/>
        <v>5.7932883256523038</v>
      </c>
      <c r="L1131" s="1">
        <f t="shared" si="90"/>
        <v>5.932306395647009</v>
      </c>
      <c r="N1131">
        <f>I1131</f>
        <v>685200.93868428224</v>
      </c>
      <c r="O1131" s="1">
        <f>SUM(K$2:K1131)/$G$3</f>
        <v>0.17011723154928551</v>
      </c>
      <c r="P1131" s="1">
        <f>SUM(L$2:L1131)/$G$3</f>
        <v>0.17922980711989989</v>
      </c>
      <c r="Q1131" s="1">
        <f t="shared" si="86"/>
        <v>170.11723154928552</v>
      </c>
      <c r="R1131" s="1">
        <f t="shared" si="87"/>
        <v>179.22980711989987</v>
      </c>
    </row>
    <row r="1132" spans="1:18" x14ac:dyDescent="0.35">
      <c r="A1132">
        <v>7.9375108651752804</v>
      </c>
      <c r="B1132">
        <v>2.0418581071825601</v>
      </c>
      <c r="C1132">
        <v>2.10031889828903</v>
      </c>
      <c r="I1132" s="1">
        <f t="shared" si="88"/>
        <v>685800.93875114422</v>
      </c>
      <c r="J1132">
        <f t="shared" si="89"/>
        <v>600.00006686197594</v>
      </c>
      <c r="K1132" s="1">
        <f t="shared" si="90"/>
        <v>5.7580405039113582</v>
      </c>
      <c r="L1132" s="1">
        <f t="shared" si="90"/>
        <v>5.9228999532029816</v>
      </c>
      <c r="N1132">
        <f>I1132</f>
        <v>685800.93875114422</v>
      </c>
      <c r="O1132" s="1">
        <f>SUM(K$2:K1132)/$G$3</f>
        <v>0.17017690963918458</v>
      </c>
      <c r="P1132" s="1">
        <f>SUM(L$2:L1132)/$G$3</f>
        <v>0.17929119386346834</v>
      </c>
      <c r="Q1132" s="1">
        <f t="shared" si="86"/>
        <v>170.17690963918457</v>
      </c>
      <c r="R1132" s="1">
        <f t="shared" si="87"/>
        <v>179.29119386346835</v>
      </c>
    </row>
    <row r="1133" spans="1:18" x14ac:dyDescent="0.35">
      <c r="A1133">
        <v>7.9444553103935798</v>
      </c>
      <c r="B1133">
        <v>2.0311703835711801</v>
      </c>
      <c r="C1133">
        <v>2.0949428519084998</v>
      </c>
      <c r="I1133" s="1">
        <f t="shared" si="88"/>
        <v>686400.93881800526</v>
      </c>
      <c r="J1133">
        <f t="shared" si="89"/>
        <v>600.00006686104462</v>
      </c>
      <c r="K1133" s="1">
        <f t="shared" si="90"/>
        <v>5.7279011199597436</v>
      </c>
      <c r="L1133" s="1">
        <f t="shared" si="90"/>
        <v>5.9077395007112861</v>
      </c>
      <c r="N1133">
        <f>I1133</f>
        <v>686400.93881800526</v>
      </c>
      <c r="O1133" s="1">
        <f>SUM(K$2:K1133)/$G$3</f>
        <v>0.17023627535530586</v>
      </c>
      <c r="P1133" s="1">
        <f>SUM(L$2:L1133)/$G$3</f>
        <v>0.17935242347947819</v>
      </c>
      <c r="Q1133" s="1">
        <f t="shared" si="86"/>
        <v>170.23627535530585</v>
      </c>
      <c r="R1133" s="1">
        <f t="shared" si="87"/>
        <v>179.35242347947818</v>
      </c>
    </row>
    <row r="1134" spans="1:18" x14ac:dyDescent="0.35">
      <c r="A1134">
        <v>7.9513997556118898</v>
      </c>
      <c r="B1134">
        <v>2.01866940571065</v>
      </c>
      <c r="C1134">
        <v>2.09030285984637</v>
      </c>
      <c r="I1134" s="1">
        <f t="shared" si="88"/>
        <v>687000.93888486724</v>
      </c>
      <c r="J1134">
        <f t="shared" si="89"/>
        <v>600.00006686197594</v>
      </c>
      <c r="K1134" s="1">
        <f t="shared" si="90"/>
        <v>5.6926483584734919</v>
      </c>
      <c r="L1134" s="1">
        <f t="shared" si="90"/>
        <v>5.894654721647127</v>
      </c>
      <c r="N1134">
        <f>I1134</f>
        <v>687000.93888486724</v>
      </c>
      <c r="O1134" s="1">
        <f>SUM(K$2:K1134)/$G$3</f>
        <v>0.17029527570104325</v>
      </c>
      <c r="P1134" s="1">
        <f>SUM(L$2:L1134)/$G$3</f>
        <v>0.17941351748084264</v>
      </c>
      <c r="Q1134" s="1">
        <f t="shared" si="86"/>
        <v>170.29527570104324</v>
      </c>
      <c r="R1134" s="1">
        <f t="shared" si="87"/>
        <v>179.41351748084264</v>
      </c>
    </row>
    <row r="1135" spans="1:18" x14ac:dyDescent="0.35">
      <c r="A1135">
        <v>7.9583442008301999</v>
      </c>
      <c r="B1135">
        <v>2.0060946802939301</v>
      </c>
      <c r="C1135">
        <v>2.0866314500182499</v>
      </c>
      <c r="I1135" s="1">
        <f t="shared" si="88"/>
        <v>687600.93895172921</v>
      </c>
      <c r="J1135">
        <f t="shared" si="89"/>
        <v>600.00006686197594</v>
      </c>
      <c r="K1135" s="1">
        <f t="shared" si="90"/>
        <v>5.6571876288467182</v>
      </c>
      <c r="L1135" s="1">
        <f t="shared" si="90"/>
        <v>5.8843013447780832</v>
      </c>
      <c r="N1135">
        <f>I1135</f>
        <v>687600.93895172921</v>
      </c>
      <c r="O1135" s="1">
        <f>SUM(K$2:K1135)/$G$3</f>
        <v>0.1703539085209515</v>
      </c>
      <c r="P1135" s="1">
        <f>SUM(L$2:L1135)/$G$3</f>
        <v>0.17947450417664795</v>
      </c>
      <c r="Q1135" s="1">
        <f t="shared" si="86"/>
        <v>170.35390852095151</v>
      </c>
      <c r="R1135" s="1">
        <f t="shared" si="87"/>
        <v>179.47450417664794</v>
      </c>
    </row>
    <row r="1136" spans="1:18" x14ac:dyDescent="0.35">
      <c r="A1136">
        <v>7.9652886460485002</v>
      </c>
      <c r="B1136">
        <v>1.9948867339955201</v>
      </c>
      <c r="C1136">
        <v>2.0803789760321498</v>
      </c>
      <c r="I1136" s="1">
        <f t="shared" si="88"/>
        <v>688200.93901859038</v>
      </c>
      <c r="J1136">
        <f t="shared" si="89"/>
        <v>600.00006686116103</v>
      </c>
      <c r="K1136" s="1">
        <f t="shared" si="90"/>
        <v>5.6255812167554495</v>
      </c>
      <c r="L1136" s="1">
        <f t="shared" si="90"/>
        <v>5.8666693661644649</v>
      </c>
      <c r="N1136">
        <f>I1136</f>
        <v>688200.93901859038</v>
      </c>
      <c r="O1136" s="1">
        <f>SUM(K$2:K1136)/$G$3</f>
        <v>0.17041221376235435</v>
      </c>
      <c r="P1136" s="1">
        <f>SUM(L$2:L1136)/$G$3</f>
        <v>0.17953530812924334</v>
      </c>
      <c r="Q1136" s="1">
        <f t="shared" si="86"/>
        <v>170.41221376235436</v>
      </c>
      <c r="R1136" s="1">
        <f t="shared" si="87"/>
        <v>179.53530812924333</v>
      </c>
    </row>
    <row r="1137" spans="1:18" x14ac:dyDescent="0.35">
      <c r="A1137">
        <v>7.9722330912668102</v>
      </c>
      <c r="B1137">
        <v>1.98389081287547</v>
      </c>
      <c r="C1137">
        <v>2.0758557576730698</v>
      </c>
      <c r="I1137" s="1">
        <f t="shared" si="88"/>
        <v>688800.93908545235</v>
      </c>
      <c r="J1137">
        <f t="shared" si="89"/>
        <v>600.00006686197594</v>
      </c>
      <c r="K1137" s="1">
        <f t="shared" si="90"/>
        <v>5.5945727157490657</v>
      </c>
      <c r="L1137" s="1">
        <f t="shared" si="90"/>
        <v>5.8539138889784006</v>
      </c>
      <c r="N1137">
        <f>I1137</f>
        <v>688800.93908545235</v>
      </c>
      <c r="O1137" s="1">
        <f>SUM(K$2:K1137)/$G$3</f>
        <v>0.17047019762218488</v>
      </c>
      <c r="P1137" s="1">
        <f>SUM(L$2:L1137)/$G$3</f>
        <v>0.1795959798801785</v>
      </c>
      <c r="Q1137" s="1">
        <f t="shared" si="86"/>
        <v>170.47019762218488</v>
      </c>
      <c r="R1137" s="1">
        <f t="shared" si="87"/>
        <v>179.5959798801785</v>
      </c>
    </row>
    <row r="1138" spans="1:18" x14ac:dyDescent="0.35">
      <c r="A1138">
        <v>7.9791775364851203</v>
      </c>
      <c r="B1138">
        <v>1.97035342559265</v>
      </c>
      <c r="C1138">
        <v>2.0704209969505198</v>
      </c>
      <c r="I1138" s="1">
        <f t="shared" si="88"/>
        <v>689400.93915231444</v>
      </c>
      <c r="J1138">
        <f t="shared" si="89"/>
        <v>600.00006686209235</v>
      </c>
      <c r="K1138" s="1">
        <f t="shared" si="90"/>
        <v>5.5563972793584506</v>
      </c>
      <c r="L1138" s="1">
        <f t="shared" si="90"/>
        <v>5.8385878620340614</v>
      </c>
      <c r="N1138">
        <f>I1138</f>
        <v>689400.93915231444</v>
      </c>
      <c r="O1138" s="1">
        <f>SUM(K$2:K1138)/$G$3</f>
        <v>0.17052778582013645</v>
      </c>
      <c r="P1138" s="1">
        <f>SUM(L$2:L1138)/$G$3</f>
        <v>0.17965649278749088</v>
      </c>
      <c r="Q1138" s="1">
        <f t="shared" si="86"/>
        <v>170.52778582013644</v>
      </c>
      <c r="R1138" s="1">
        <f t="shared" si="87"/>
        <v>179.65649278749089</v>
      </c>
    </row>
    <row r="1139" spans="1:18" x14ac:dyDescent="0.35">
      <c r="A1139">
        <v>7.9861219817034197</v>
      </c>
      <c r="B1139">
        <v>1.95953120451189</v>
      </c>
      <c r="C1139">
        <v>2.06655645493518</v>
      </c>
      <c r="I1139" s="1">
        <f t="shared" si="88"/>
        <v>690000.93921917549</v>
      </c>
      <c r="J1139">
        <f t="shared" si="89"/>
        <v>600.00006686104462</v>
      </c>
      <c r="K1139" s="1">
        <f t="shared" si="90"/>
        <v>5.5258786125001551</v>
      </c>
      <c r="L1139" s="1">
        <f t="shared" si="90"/>
        <v>5.8276898523261869</v>
      </c>
      <c r="N1139">
        <f>I1139</f>
        <v>690000.93921917549</v>
      </c>
      <c r="O1139" s="1">
        <f>SUM(K$2:K1139)/$G$3</f>
        <v>0.1705850577133064</v>
      </c>
      <c r="P1139" s="1">
        <f>SUM(L$2:L1139)/$G$3</f>
        <v>0.17971689274450312</v>
      </c>
      <c r="Q1139" s="1">
        <f t="shared" si="86"/>
        <v>170.58505771330641</v>
      </c>
      <c r="R1139" s="1">
        <f t="shared" si="87"/>
        <v>179.71689274450313</v>
      </c>
    </row>
    <row r="1140" spans="1:18" x14ac:dyDescent="0.35">
      <c r="A1140">
        <v>7.99306642692172</v>
      </c>
      <c r="B1140">
        <v>1.94913084127402</v>
      </c>
      <c r="C1140">
        <v>2.0623096786609101</v>
      </c>
      <c r="I1140" s="1">
        <f t="shared" si="88"/>
        <v>690600.93928603665</v>
      </c>
      <c r="J1140">
        <f t="shared" si="89"/>
        <v>600.00006686116103</v>
      </c>
      <c r="K1140" s="1">
        <f t="shared" si="90"/>
        <v>5.4965495849021471</v>
      </c>
      <c r="L1140" s="1">
        <f t="shared" si="90"/>
        <v>5.8157139418993387</v>
      </c>
      <c r="N1140">
        <f>I1140</f>
        <v>690600.93928603665</v>
      </c>
      <c r="O1140" s="1">
        <f>SUM(K$2:K1140)/$G$3</f>
        <v>0.17064202563147918</v>
      </c>
      <c r="P1140" s="1">
        <f>SUM(L$2:L1140)/$G$3</f>
        <v>0.17977716857952306</v>
      </c>
      <c r="Q1140" s="1">
        <f t="shared" si="86"/>
        <v>170.64202563147919</v>
      </c>
      <c r="R1140" s="1">
        <f t="shared" si="87"/>
        <v>179.77716857952305</v>
      </c>
    </row>
    <row r="1141" spans="1:18" x14ac:dyDescent="0.35">
      <c r="A1141">
        <v>8.0000108721400398</v>
      </c>
      <c r="B1141">
        <v>1.9375977452701001</v>
      </c>
      <c r="C1141">
        <v>2.05923742999562</v>
      </c>
      <c r="I1141" s="1">
        <f t="shared" si="88"/>
        <v>691200.93935289944</v>
      </c>
      <c r="J1141">
        <f t="shared" si="89"/>
        <v>600.00006686279085</v>
      </c>
      <c r="K1141" s="1">
        <f t="shared" si="90"/>
        <v>5.4640262505616883</v>
      </c>
      <c r="L1141" s="1">
        <f t="shared" si="90"/>
        <v>5.8070501997135482</v>
      </c>
      <c r="N1141">
        <f>I1141</f>
        <v>691200.93935289944</v>
      </c>
      <c r="O1141" s="1">
        <f>SUM(K$2:K1141)/$G$3</f>
        <v>0.17069865646788443</v>
      </c>
      <c r="P1141" s="1">
        <f>SUM(L$2:L1141)/$G$3</f>
        <v>0.17983735462087366</v>
      </c>
      <c r="Q1141" s="1">
        <f t="shared" si="86"/>
        <v>170.69865646788443</v>
      </c>
      <c r="R1141" s="1">
        <f t="shared" si="87"/>
        <v>179.83735462087367</v>
      </c>
    </row>
    <row r="1142" spans="1:18" x14ac:dyDescent="0.35">
      <c r="A1142">
        <v>8.0069553173583401</v>
      </c>
      <c r="B1142">
        <v>1.92811023832907</v>
      </c>
      <c r="C1142">
        <v>2.05444654986522</v>
      </c>
      <c r="I1142" s="1">
        <f t="shared" si="88"/>
        <v>691800.9394197606</v>
      </c>
      <c r="J1142">
        <f t="shared" si="89"/>
        <v>600.00006686116103</v>
      </c>
      <c r="K1142" s="1">
        <f t="shared" si="90"/>
        <v>5.4372714779917164</v>
      </c>
      <c r="L1142" s="1">
        <f t="shared" si="90"/>
        <v>5.7935399162245238</v>
      </c>
      <c r="N1142">
        <f>I1142</f>
        <v>691800.9394197606</v>
      </c>
      <c r="O1142" s="1">
        <f>SUM(K$2:K1142)/$G$3</f>
        <v>0.1707550100096577</v>
      </c>
      <c r="P1142" s="1">
        <f>SUM(L$2:L1142)/$G$3</f>
        <v>0.17989740063752105</v>
      </c>
      <c r="Q1142" s="1">
        <f t="shared" si="86"/>
        <v>170.7550100096577</v>
      </c>
      <c r="R1142" s="1">
        <f t="shared" si="87"/>
        <v>179.89740063752106</v>
      </c>
    </row>
    <row r="1143" spans="1:18" x14ac:dyDescent="0.35">
      <c r="A1143">
        <v>8.0138997625766404</v>
      </c>
      <c r="B1143">
        <v>1.91765149829162</v>
      </c>
      <c r="C1143">
        <v>2.0486557093747702</v>
      </c>
      <c r="I1143" s="1">
        <f t="shared" si="88"/>
        <v>692400.93948662176</v>
      </c>
      <c r="J1143">
        <f t="shared" si="89"/>
        <v>600.00006686116103</v>
      </c>
      <c r="K1143" s="1">
        <f t="shared" si="90"/>
        <v>5.4077778277994755</v>
      </c>
      <c r="L1143" s="1">
        <f t="shared" si="90"/>
        <v>5.7772097442216994</v>
      </c>
      <c r="N1143">
        <f>I1143</f>
        <v>692400.93948662176</v>
      </c>
      <c r="O1143" s="1">
        <f>SUM(K$2:K1143)/$G$3</f>
        <v>0.17081105787023498</v>
      </c>
      <c r="P1143" s="1">
        <f>SUM(L$2:L1143)/$G$3</f>
        <v>0.17995727740327969</v>
      </c>
      <c r="Q1143" s="1">
        <f t="shared" si="86"/>
        <v>170.81105787023498</v>
      </c>
      <c r="R1143" s="1">
        <f t="shared" si="87"/>
        <v>179.95727740327968</v>
      </c>
    </row>
    <row r="1144" spans="1:18" x14ac:dyDescent="0.35">
      <c r="A1144">
        <v>8.0208442077949496</v>
      </c>
      <c r="B1144">
        <v>1.90614533448659</v>
      </c>
      <c r="C1144">
        <v>2.04472294608889</v>
      </c>
      <c r="I1144" s="1">
        <f t="shared" si="88"/>
        <v>693000.93955348362</v>
      </c>
      <c r="J1144">
        <f t="shared" si="89"/>
        <v>600.00006686185952</v>
      </c>
      <c r="K1144" s="1">
        <f t="shared" si="90"/>
        <v>5.3753304422597648</v>
      </c>
      <c r="L1144" s="1">
        <f t="shared" si="90"/>
        <v>5.7661193505263686</v>
      </c>
      <c r="N1144">
        <f>I1144</f>
        <v>693000.93955348362</v>
      </c>
      <c r="O1144" s="1">
        <f>SUM(K$2:K1144)/$G$3</f>
        <v>0.1708667694362013</v>
      </c>
      <c r="P1144" s="1">
        <f>SUM(L$2:L1144)/$G$3</f>
        <v>0.1800170392248118</v>
      </c>
      <c r="Q1144" s="1">
        <f t="shared" si="86"/>
        <v>170.86676943620131</v>
      </c>
      <c r="R1144" s="1">
        <f t="shared" si="87"/>
        <v>180.01703922481181</v>
      </c>
    </row>
    <row r="1145" spans="1:18" x14ac:dyDescent="0.35">
      <c r="A1145">
        <v>8.0277886530132498</v>
      </c>
      <c r="B1145">
        <v>1.89555471804013</v>
      </c>
      <c r="C1145">
        <v>2.03888620445416</v>
      </c>
      <c r="I1145" s="1">
        <f t="shared" si="88"/>
        <v>693600.93962034478</v>
      </c>
      <c r="J1145">
        <f t="shared" si="89"/>
        <v>600.00006686116103</v>
      </c>
      <c r="K1145" s="1">
        <f t="shared" si="90"/>
        <v>5.3454649005464168</v>
      </c>
      <c r="L1145" s="1">
        <f t="shared" si="90"/>
        <v>5.749659737275536</v>
      </c>
      <c r="N1145">
        <f>I1145</f>
        <v>693600.93962034478</v>
      </c>
      <c r="O1145" s="1">
        <f>SUM(K$2:K1145)/$G$3</f>
        <v>0.1709221714665744</v>
      </c>
      <c r="P1145" s="1">
        <f>SUM(L$2:L1145)/$G$3</f>
        <v>0.1800766304538865</v>
      </c>
      <c r="Q1145" s="1">
        <f t="shared" si="86"/>
        <v>170.92217146657441</v>
      </c>
      <c r="R1145" s="1">
        <f t="shared" si="87"/>
        <v>180.07663045388651</v>
      </c>
    </row>
    <row r="1146" spans="1:18" x14ac:dyDescent="0.35">
      <c r="A1146">
        <v>8.0347330982315608</v>
      </c>
      <c r="B1146">
        <v>1.885992538519</v>
      </c>
      <c r="C1146">
        <v>2.03551487489589</v>
      </c>
      <c r="I1146" s="1">
        <f t="shared" si="88"/>
        <v>694200.93968720688</v>
      </c>
      <c r="J1146">
        <f t="shared" si="89"/>
        <v>600.00006686209235</v>
      </c>
      <c r="K1146" s="1">
        <f t="shared" si="90"/>
        <v>5.3184995513001949</v>
      </c>
      <c r="L1146" s="1">
        <f t="shared" si="90"/>
        <v>5.7401525868706935</v>
      </c>
      <c r="N1146">
        <f>I1146</f>
        <v>694200.93968720688</v>
      </c>
      <c r="O1146" s="1">
        <f>SUM(K$2:K1146)/$G$3</f>
        <v>0.1709772940198345</v>
      </c>
      <c r="P1146" s="1">
        <f>SUM(L$2:L1146)/$G$3</f>
        <v>0.1801361231479516</v>
      </c>
      <c r="Q1146" s="1">
        <f t="shared" si="86"/>
        <v>170.97729401983449</v>
      </c>
      <c r="R1146" s="1">
        <f t="shared" si="87"/>
        <v>180.13612314795159</v>
      </c>
    </row>
    <row r="1147" spans="1:18" x14ac:dyDescent="0.35">
      <c r="A1147">
        <v>8.04167754344987</v>
      </c>
      <c r="B1147">
        <v>1.8752758467097099</v>
      </c>
      <c r="C1147">
        <v>2.03230168982107</v>
      </c>
      <c r="I1147" s="1">
        <f t="shared" si="88"/>
        <v>694800.93975406874</v>
      </c>
      <c r="J1147">
        <f t="shared" si="89"/>
        <v>600.00006686185952</v>
      </c>
      <c r="K1147" s="1">
        <f t="shared" si="90"/>
        <v>5.2882784770282036</v>
      </c>
      <c r="L1147" s="1">
        <f t="shared" si="90"/>
        <v>5.731091403947727</v>
      </c>
      <c r="N1147">
        <f>I1147</f>
        <v>694800.93975406874</v>
      </c>
      <c r="O1147" s="1">
        <f>SUM(K$2:K1147)/$G$3</f>
        <v>0.17103210335265337</v>
      </c>
      <c r="P1147" s="1">
        <f>SUM(L$2:L1147)/$G$3</f>
        <v>0.1801955219291502</v>
      </c>
      <c r="Q1147" s="1">
        <f t="shared" si="86"/>
        <v>171.03210335265337</v>
      </c>
      <c r="R1147" s="1">
        <f t="shared" si="87"/>
        <v>180.1955219291502</v>
      </c>
    </row>
    <row r="1148" spans="1:18" x14ac:dyDescent="0.35">
      <c r="A1148">
        <v>8.0486219886681702</v>
      </c>
      <c r="B1148">
        <v>1.86495485390534</v>
      </c>
      <c r="C1148">
        <v>2.0267785796047799</v>
      </c>
      <c r="I1148" s="1">
        <f t="shared" si="88"/>
        <v>695400.9398209299</v>
      </c>
      <c r="J1148">
        <f t="shared" si="89"/>
        <v>600.00006686116103</v>
      </c>
      <c r="K1148" s="1">
        <f t="shared" si="90"/>
        <v>5.2591732740703794</v>
      </c>
      <c r="L1148" s="1">
        <f t="shared" si="90"/>
        <v>5.7155162313954939</v>
      </c>
      <c r="N1148">
        <f>I1148</f>
        <v>695400.9398209299</v>
      </c>
      <c r="O1148" s="1">
        <f>SUM(K$2:K1148)/$G$3</f>
        <v>0.17108661103026201</v>
      </c>
      <c r="P1148" s="1">
        <f>SUM(L$2:L1148)/$G$3</f>
        <v>0.18025475928450485</v>
      </c>
      <c r="Q1148" s="1">
        <f t="shared" si="86"/>
        <v>171.08661103026202</v>
      </c>
      <c r="R1148" s="1">
        <f t="shared" si="87"/>
        <v>180.25475928450484</v>
      </c>
    </row>
    <row r="1149" spans="1:18" x14ac:dyDescent="0.35">
      <c r="A1149">
        <v>8.0555664338864794</v>
      </c>
      <c r="B1149">
        <v>1.8542824057521901</v>
      </c>
      <c r="C1149">
        <v>2.0221399826903199</v>
      </c>
      <c r="I1149" s="1">
        <f t="shared" si="88"/>
        <v>696000.93988779187</v>
      </c>
      <c r="J1149">
        <f t="shared" si="89"/>
        <v>600.00006686197594</v>
      </c>
      <c r="K1149" s="1">
        <f t="shared" si="90"/>
        <v>5.2290769669318085</v>
      </c>
      <c r="L1149" s="1">
        <f t="shared" si="90"/>
        <v>5.7024353866467941</v>
      </c>
      <c r="N1149">
        <f>I1149</f>
        <v>696000.93988779187</v>
      </c>
      <c r="O1149" s="1">
        <f>SUM(K$2:K1149)/$G$3</f>
        <v>0.17114080678055407</v>
      </c>
      <c r="P1149" s="1">
        <f>SUM(L$2:L1149)/$G$3</f>
        <v>0.18031386106599057</v>
      </c>
      <c r="Q1149" s="1">
        <f t="shared" si="86"/>
        <v>171.14080678055407</v>
      </c>
      <c r="R1149" s="1">
        <f t="shared" si="87"/>
        <v>180.31386106599058</v>
      </c>
    </row>
    <row r="1150" spans="1:18" x14ac:dyDescent="0.35">
      <c r="A1150">
        <v>8.0625108791047904</v>
      </c>
      <c r="B1150">
        <v>1.8440588514632901</v>
      </c>
      <c r="C1150">
        <v>2.01762423448799</v>
      </c>
      <c r="I1150" s="1">
        <f t="shared" si="88"/>
        <v>696600.93995465385</v>
      </c>
      <c r="J1150">
        <f t="shared" si="89"/>
        <v>600.00006686197594</v>
      </c>
      <c r="K1150" s="1">
        <f t="shared" si="90"/>
        <v>5.2002465406243452</v>
      </c>
      <c r="L1150" s="1">
        <f t="shared" si="90"/>
        <v>5.6897009752971446</v>
      </c>
      <c r="N1150">
        <f>I1150</f>
        <v>696600.93995465385</v>
      </c>
      <c r="O1150" s="1">
        <f>SUM(K$2:K1150)/$G$3</f>
        <v>0.17119470372350507</v>
      </c>
      <c r="P1150" s="1">
        <f>SUM(L$2:L1150)/$G$3</f>
        <v>0.18037283086414879</v>
      </c>
      <c r="Q1150" s="1">
        <f t="shared" si="86"/>
        <v>171.19470372350506</v>
      </c>
      <c r="R1150" s="1">
        <f t="shared" si="87"/>
        <v>180.3728308641488</v>
      </c>
    </row>
    <row r="1151" spans="1:18" x14ac:dyDescent="0.35">
      <c r="A1151">
        <v>8.0694553243230907</v>
      </c>
      <c r="B1151">
        <v>1.83415932287325</v>
      </c>
      <c r="C1151">
        <v>2.0154187590276802</v>
      </c>
      <c r="I1151" s="1">
        <f t="shared" si="88"/>
        <v>697200.94002151501</v>
      </c>
      <c r="J1151">
        <f t="shared" si="89"/>
        <v>600.00006686116103</v>
      </c>
      <c r="K1151" s="1">
        <f t="shared" si="90"/>
        <v>5.1723298668824675</v>
      </c>
      <c r="L1151" s="1">
        <f t="shared" si="90"/>
        <v>5.6834815337982771</v>
      </c>
      <c r="N1151">
        <f>I1151</f>
        <v>697200.94002151501</v>
      </c>
      <c r="O1151" s="1">
        <f>SUM(K$2:K1151)/$G$3</f>
        <v>0.17124831132952553</v>
      </c>
      <c r="P1151" s="1">
        <f>SUM(L$2:L1151)/$G$3</f>
        <v>0.18043173620211631</v>
      </c>
      <c r="Q1151" s="1">
        <f t="shared" si="86"/>
        <v>171.24831132952554</v>
      </c>
      <c r="R1151" s="1">
        <f t="shared" si="87"/>
        <v>180.4317362021163</v>
      </c>
    </row>
    <row r="1152" spans="1:18" x14ac:dyDescent="0.35">
      <c r="A1152">
        <v>8.0763997695413892</v>
      </c>
      <c r="B1152">
        <v>1.82357857594704</v>
      </c>
      <c r="C1152">
        <v>2.0091580302485799</v>
      </c>
      <c r="I1152" s="1">
        <f t="shared" si="88"/>
        <v>697800.94008837605</v>
      </c>
      <c r="J1152">
        <f t="shared" si="89"/>
        <v>600.00006686104462</v>
      </c>
      <c r="K1152" s="1">
        <f t="shared" si="90"/>
        <v>5.1424921572245852</v>
      </c>
      <c r="L1152" s="1">
        <f t="shared" si="90"/>
        <v>5.6658262766726981</v>
      </c>
      <c r="N1152">
        <f>I1152</f>
        <v>697800.94008837605</v>
      </c>
      <c r="O1152" s="1">
        <f>SUM(K$2:K1152)/$G$3</f>
        <v>0.17130160968841265</v>
      </c>
      <c r="P1152" s="1">
        <f>SUM(L$2:L1152)/$G$3</f>
        <v>0.18049045855560827</v>
      </c>
      <c r="Q1152" s="1">
        <f t="shared" si="86"/>
        <v>171.30160968841264</v>
      </c>
      <c r="R1152" s="1">
        <f t="shared" si="87"/>
        <v>180.49045855560828</v>
      </c>
    </row>
    <row r="1153" spans="1:18" x14ac:dyDescent="0.35">
      <c r="A1153">
        <v>8.0833442147597001</v>
      </c>
      <c r="B1153">
        <v>1.8125317593513901</v>
      </c>
      <c r="C1153">
        <v>2.00522887408995</v>
      </c>
      <c r="I1153" s="1">
        <f t="shared" si="88"/>
        <v>698400.94015523815</v>
      </c>
      <c r="J1153">
        <f t="shared" si="89"/>
        <v>600.00006686209235</v>
      </c>
      <c r="K1153" s="1">
        <f t="shared" si="90"/>
        <v>5.1113401309623496</v>
      </c>
      <c r="L1153" s="1">
        <f t="shared" si="90"/>
        <v>5.6547460550805102</v>
      </c>
      <c r="N1153">
        <f>I1153</f>
        <v>698400.94015523815</v>
      </c>
      <c r="O1153" s="1">
        <f>SUM(K$2:K1153)/$G$3</f>
        <v>0.17135458517818788</v>
      </c>
      <c r="P1153" s="1">
        <f>SUM(L$2:L1153)/$G$3</f>
        <v>0.1805490660703005</v>
      </c>
      <c r="Q1153" s="1">
        <f t="shared" si="86"/>
        <v>171.35458517818788</v>
      </c>
      <c r="R1153" s="1">
        <f t="shared" si="87"/>
        <v>180.54906607030048</v>
      </c>
    </row>
    <row r="1154" spans="1:18" x14ac:dyDescent="0.35">
      <c r="A1154">
        <v>8.0902886599780004</v>
      </c>
      <c r="B1154">
        <v>1.8032626980302999</v>
      </c>
      <c r="C1154">
        <v>2.0016209035385599</v>
      </c>
      <c r="I1154" s="1">
        <f t="shared" si="88"/>
        <v>699000.94022209919</v>
      </c>
      <c r="J1154">
        <f t="shared" si="89"/>
        <v>600.00006686104462</v>
      </c>
      <c r="K1154" s="1">
        <f t="shared" si="90"/>
        <v>5.0852013751151759</v>
      </c>
      <c r="L1154" s="1">
        <f t="shared" si="90"/>
        <v>5.6445715769819218</v>
      </c>
      <c r="N1154">
        <f>I1154</f>
        <v>699000.94022209919</v>
      </c>
      <c r="O1154" s="1">
        <f>SUM(K$2:K1154)/$G$3</f>
        <v>0.1714072897579165</v>
      </c>
      <c r="P1154" s="1">
        <f>SUM(L$2:L1154)/$G$3</f>
        <v>0.18060756813359513</v>
      </c>
      <c r="Q1154" s="1">
        <f t="shared" ref="Q1154:Q1217" si="91">O1154*1000</f>
        <v>171.40728975791649</v>
      </c>
      <c r="R1154" s="1">
        <f t="shared" ref="R1154:R1217" si="92">P1154*1000</f>
        <v>180.60756813359512</v>
      </c>
    </row>
    <row r="1155" spans="1:18" x14ac:dyDescent="0.35">
      <c r="A1155">
        <v>8.0972331051963096</v>
      </c>
      <c r="B1155">
        <v>1.7940317701085899</v>
      </c>
      <c r="C1155">
        <v>1.99702419721</v>
      </c>
      <c r="I1155" s="1">
        <f t="shared" ref="I1155:I1218" si="93">A1155*86400</f>
        <v>699600.94028896117</v>
      </c>
      <c r="J1155">
        <f t="shared" si="89"/>
        <v>600.00006686197594</v>
      </c>
      <c r="K1155" s="1">
        <f t="shared" si="90"/>
        <v>5.0591701554830157</v>
      </c>
      <c r="L1155" s="1">
        <f t="shared" si="90"/>
        <v>5.6316088636996238</v>
      </c>
      <c r="N1155">
        <f>I1155</f>
        <v>699600.94028896117</v>
      </c>
      <c r="O1155" s="1">
        <f>SUM(K$2:K1155)/$G$3</f>
        <v>0.17145972454213668</v>
      </c>
      <c r="P1155" s="1">
        <f>SUM(L$2:L1155)/$G$3</f>
        <v>0.18066593584737134</v>
      </c>
      <c r="Q1155" s="1">
        <f t="shared" si="91"/>
        <v>171.45972454213668</v>
      </c>
      <c r="R1155" s="1">
        <f t="shared" si="92"/>
        <v>180.66593584737134</v>
      </c>
    </row>
    <row r="1156" spans="1:18" x14ac:dyDescent="0.35">
      <c r="A1156">
        <v>8.1041775504146205</v>
      </c>
      <c r="B1156">
        <v>1.7838933375667301</v>
      </c>
      <c r="C1156">
        <v>1.99415671537693</v>
      </c>
      <c r="I1156" s="1">
        <f t="shared" si="93"/>
        <v>700200.94035582326</v>
      </c>
      <c r="J1156">
        <f t="shared" si="89"/>
        <v>600.00006686209235</v>
      </c>
      <c r="K1156" s="1">
        <f t="shared" si="90"/>
        <v>5.0305797725299319</v>
      </c>
      <c r="L1156" s="1">
        <f t="shared" si="90"/>
        <v>5.6235225640303481</v>
      </c>
      <c r="N1156">
        <f>I1156</f>
        <v>700200.94035582326</v>
      </c>
      <c r="O1156" s="1">
        <f>SUM(K$2:K1156)/$G$3</f>
        <v>0.17151186300689836</v>
      </c>
      <c r="P1156" s="1">
        <f>SUM(L$2:L1156)/$G$3</f>
        <v>0.18072421975226879</v>
      </c>
      <c r="Q1156" s="1">
        <f t="shared" si="91"/>
        <v>171.51186300689835</v>
      </c>
      <c r="R1156" s="1">
        <f t="shared" si="92"/>
        <v>180.72421975226879</v>
      </c>
    </row>
    <row r="1157" spans="1:18" x14ac:dyDescent="0.35">
      <c r="A1157">
        <v>8.1111219956329208</v>
      </c>
      <c r="B1157">
        <v>1.7748097531998901</v>
      </c>
      <c r="C1157">
        <v>1.9905107599268499</v>
      </c>
      <c r="I1157" s="1">
        <f t="shared" si="93"/>
        <v>700800.9404226843</v>
      </c>
      <c r="J1157">
        <f t="shared" si="89"/>
        <v>600.00006686104462</v>
      </c>
      <c r="K1157" s="1">
        <f t="shared" si="90"/>
        <v>5.0049640617521707</v>
      </c>
      <c r="L1157" s="1">
        <f t="shared" si="90"/>
        <v>5.6132409685055729</v>
      </c>
      <c r="N1157">
        <f>I1157</f>
        <v>700800.9404226843</v>
      </c>
      <c r="O1157" s="1">
        <f>SUM(K$2:K1157)/$G$3</f>
        <v>0.17156373598261221</v>
      </c>
      <c r="P1157" s="1">
        <f>SUM(L$2:L1157)/$G$3</f>
        <v>0.18078239709557092</v>
      </c>
      <c r="Q1157" s="1">
        <f t="shared" si="91"/>
        <v>171.5637359826122</v>
      </c>
      <c r="R1157" s="1">
        <f t="shared" si="92"/>
        <v>180.78239709557093</v>
      </c>
    </row>
    <row r="1158" spans="1:18" x14ac:dyDescent="0.35">
      <c r="A1158">
        <v>8.11806644085123</v>
      </c>
      <c r="B1158">
        <v>1.7655017442590599</v>
      </c>
      <c r="C1158">
        <v>1.98751685986909</v>
      </c>
      <c r="I1158" s="1">
        <f t="shared" si="93"/>
        <v>701400.94048954628</v>
      </c>
      <c r="J1158">
        <f t="shared" ref="J1158:J1221" si="94">I1158-I1157</f>
        <v>600.00006686197594</v>
      </c>
      <c r="K1158" s="1">
        <f t="shared" si="90"/>
        <v>4.9787154736217438</v>
      </c>
      <c r="L1158" s="1">
        <f t="shared" si="90"/>
        <v>5.6047981694105644</v>
      </c>
      <c r="N1158">
        <f>I1158</f>
        <v>701400.94048954628</v>
      </c>
      <c r="O1158" s="1">
        <f>SUM(K$2:K1158)/$G$3</f>
        <v>0.17161533690994413</v>
      </c>
      <c r="P1158" s="1">
        <f>SUM(L$2:L1158)/$G$3</f>
        <v>0.18084048693512536</v>
      </c>
      <c r="Q1158" s="1">
        <f t="shared" si="91"/>
        <v>171.61533690994412</v>
      </c>
      <c r="R1158" s="1">
        <f t="shared" si="92"/>
        <v>180.84048693512537</v>
      </c>
    </row>
    <row r="1159" spans="1:18" x14ac:dyDescent="0.35">
      <c r="A1159">
        <v>8.1250108860695303</v>
      </c>
      <c r="B1159">
        <v>1.75509968333426</v>
      </c>
      <c r="C1159">
        <v>1.98347922454435</v>
      </c>
      <c r="I1159" s="1">
        <f t="shared" si="93"/>
        <v>702000.94055640744</v>
      </c>
      <c r="J1159">
        <f t="shared" si="94"/>
        <v>600.00006686116103</v>
      </c>
      <c r="K1159" s="1">
        <f t="shared" si="90"/>
        <v>4.9493816585382255</v>
      </c>
      <c r="L1159" s="1">
        <f t="shared" si="90"/>
        <v>5.5934120365183695</v>
      </c>
      <c r="N1159">
        <f>I1159</f>
        <v>702000.94055640744</v>
      </c>
      <c r="O1159" s="1">
        <f>SUM(K$2:K1159)/$G$3</f>
        <v>0.17166663381265998</v>
      </c>
      <c r="P1159" s="1">
        <f>SUM(L$2:L1159)/$G$3</f>
        <v>0.18089845876532196</v>
      </c>
      <c r="Q1159" s="1">
        <f t="shared" si="91"/>
        <v>171.66663381265997</v>
      </c>
      <c r="R1159" s="1">
        <f t="shared" si="92"/>
        <v>180.89845876532195</v>
      </c>
    </row>
    <row r="1160" spans="1:18" x14ac:dyDescent="0.35">
      <c r="A1160">
        <v>8.1319553312878305</v>
      </c>
      <c r="B1160">
        <v>1.74489464388164</v>
      </c>
      <c r="C1160">
        <v>1.98124621747258</v>
      </c>
      <c r="I1160" s="1">
        <f t="shared" si="93"/>
        <v>702600.9406232686</v>
      </c>
      <c r="J1160">
        <f t="shared" si="94"/>
        <v>600.00006686116103</v>
      </c>
      <c r="K1160" s="1">
        <f t="shared" si="90"/>
        <v>4.9206034440749296</v>
      </c>
      <c r="L1160" s="1">
        <f t="shared" si="90"/>
        <v>5.5871149558742603</v>
      </c>
      <c r="N1160">
        <f>I1160</f>
        <v>702600.9406232686</v>
      </c>
      <c r="O1160" s="1">
        <f>SUM(K$2:K1160)/$G$3</f>
        <v>0.17171763244917421</v>
      </c>
      <c r="P1160" s="1">
        <f>SUM(L$2:L1160)/$G$3</f>
        <v>0.18095636533065204</v>
      </c>
      <c r="Q1160" s="1">
        <f t="shared" si="91"/>
        <v>171.7176324491742</v>
      </c>
      <c r="R1160" s="1">
        <f t="shared" si="92"/>
        <v>180.95636533065203</v>
      </c>
    </row>
    <row r="1161" spans="1:18" x14ac:dyDescent="0.35">
      <c r="A1161">
        <v>8.1388997765061397</v>
      </c>
      <c r="B1161">
        <v>1.73615017227957</v>
      </c>
      <c r="C1161">
        <v>1.9775347709347799</v>
      </c>
      <c r="I1161" s="1">
        <f t="shared" si="93"/>
        <v>703200.94069013046</v>
      </c>
      <c r="J1161">
        <f t="shared" si="94"/>
        <v>600.00006686185952</v>
      </c>
      <c r="K1161" s="1">
        <f t="shared" si="90"/>
        <v>4.8959440314148637</v>
      </c>
      <c r="L1161" s="1">
        <f t="shared" si="90"/>
        <v>5.5766486754778448</v>
      </c>
      <c r="N1161">
        <f>I1161</f>
        <v>703200.94069013046</v>
      </c>
      <c r="O1161" s="1">
        <f>SUM(K$2:K1161)/$G$3</f>
        <v>0.1717683755080063</v>
      </c>
      <c r="P1161" s="1">
        <f>SUM(L$2:L1161)/$G$3</f>
        <v>0.18101416342025642</v>
      </c>
      <c r="Q1161" s="1">
        <f t="shared" si="91"/>
        <v>171.7683755080063</v>
      </c>
      <c r="R1161" s="1">
        <f t="shared" si="92"/>
        <v>181.01416342025641</v>
      </c>
    </row>
    <row r="1162" spans="1:18" x14ac:dyDescent="0.35">
      <c r="A1162">
        <v>8.1458442217244507</v>
      </c>
      <c r="B1162">
        <v>1.7272826286829099</v>
      </c>
      <c r="C1162">
        <v>1.9732762460472499</v>
      </c>
      <c r="I1162" s="1">
        <f t="shared" si="93"/>
        <v>703800.94075699255</v>
      </c>
      <c r="J1162">
        <f t="shared" si="94"/>
        <v>600.00006686209235</v>
      </c>
      <c r="K1162" s="1">
        <f t="shared" si="90"/>
        <v>4.8709375556875409</v>
      </c>
      <c r="L1162" s="1">
        <f t="shared" si="90"/>
        <v>5.5646396339589241</v>
      </c>
      <c r="N1162">
        <f>I1162</f>
        <v>703800.94075699255</v>
      </c>
      <c r="O1162" s="1">
        <f>SUM(K$2:K1162)/$G$3</f>
        <v>0.17181885939208866</v>
      </c>
      <c r="P1162" s="1">
        <f>SUM(L$2:L1162)/$G$3</f>
        <v>0.18107183704448773</v>
      </c>
      <c r="Q1162" s="1">
        <f t="shared" si="91"/>
        <v>171.81885939208865</v>
      </c>
      <c r="R1162" s="1">
        <f t="shared" si="92"/>
        <v>181.07183704448772</v>
      </c>
    </row>
    <row r="1163" spans="1:18" x14ac:dyDescent="0.35">
      <c r="A1163">
        <v>8.1527886669427492</v>
      </c>
      <c r="B1163">
        <v>1.71741371719376</v>
      </c>
      <c r="C1163">
        <v>1.9697304457962499</v>
      </c>
      <c r="I1163" s="1">
        <f t="shared" si="93"/>
        <v>704400.94082385348</v>
      </c>
      <c r="J1163">
        <f t="shared" si="94"/>
        <v>600.0000668609282</v>
      </c>
      <c r="K1163" s="1">
        <f t="shared" si="90"/>
        <v>4.8431072221774176</v>
      </c>
      <c r="L1163" s="1">
        <f t="shared" si="90"/>
        <v>5.5546404761260524</v>
      </c>
      <c r="N1163">
        <f>I1163</f>
        <v>704400.94082385348</v>
      </c>
      <c r="O1163" s="1">
        <f>SUM(K$2:K1163)/$G$3</f>
        <v>0.17186905483409701</v>
      </c>
      <c r="P1163" s="1">
        <f>SUM(L$2:L1163)/$G$3</f>
        <v>0.1811294070343942</v>
      </c>
      <c r="Q1163" s="1">
        <f t="shared" si="91"/>
        <v>171.869054834097</v>
      </c>
      <c r="R1163" s="1">
        <f t="shared" si="92"/>
        <v>181.12940703439421</v>
      </c>
    </row>
    <row r="1164" spans="1:18" x14ac:dyDescent="0.35">
      <c r="A1164">
        <v>8.1597331121610601</v>
      </c>
      <c r="B1164">
        <v>1.7073459618201501</v>
      </c>
      <c r="C1164">
        <v>1.9672817636385</v>
      </c>
      <c r="I1164" s="1">
        <f t="shared" si="93"/>
        <v>705000.94089071557</v>
      </c>
      <c r="J1164">
        <f t="shared" si="94"/>
        <v>600.00006686209235</v>
      </c>
      <c r="K1164" s="1">
        <f t="shared" si="90"/>
        <v>4.8147161488694241</v>
      </c>
      <c r="L1164" s="1">
        <f t="shared" si="90"/>
        <v>5.5477351916824729</v>
      </c>
      <c r="N1164">
        <f>I1164</f>
        <v>705000.94089071557</v>
      </c>
      <c r="O1164" s="1">
        <f>SUM(K$2:K1164)/$G$3</f>
        <v>0.17191895602235291</v>
      </c>
      <c r="P1164" s="1">
        <f>SUM(L$2:L1164)/$G$3</f>
        <v>0.18118690545582428</v>
      </c>
      <c r="Q1164" s="1">
        <f t="shared" si="91"/>
        <v>171.91895602235292</v>
      </c>
      <c r="R1164" s="1">
        <f t="shared" si="92"/>
        <v>181.18690545582427</v>
      </c>
    </row>
    <row r="1165" spans="1:18" x14ac:dyDescent="0.35">
      <c r="A1165">
        <v>8.1666775573793693</v>
      </c>
      <c r="B1165">
        <v>1.69876796703168</v>
      </c>
      <c r="C1165">
        <v>1.9644136258120399</v>
      </c>
      <c r="I1165" s="1">
        <f t="shared" si="93"/>
        <v>705600.94095757755</v>
      </c>
      <c r="J1165">
        <f t="shared" si="94"/>
        <v>600.00006686197594</v>
      </c>
      <c r="K1165" s="1">
        <f t="shared" si="90"/>
        <v>4.7905262008693574</v>
      </c>
      <c r="L1165" s="1">
        <f t="shared" si="90"/>
        <v>5.5396470421094621</v>
      </c>
      <c r="N1165">
        <f>I1165</f>
        <v>705600.94095757755</v>
      </c>
      <c r="O1165" s="1">
        <f>SUM(K$2:K1165)/$G$3</f>
        <v>0.17196860649860174</v>
      </c>
      <c r="P1165" s="1">
        <f>SUM(L$2:L1165)/$G$3</f>
        <v>0.18124432004920263</v>
      </c>
      <c r="Q1165" s="1">
        <f t="shared" si="91"/>
        <v>171.96860649860173</v>
      </c>
      <c r="R1165" s="1">
        <f t="shared" si="92"/>
        <v>181.24432004920263</v>
      </c>
    </row>
    <row r="1166" spans="1:18" x14ac:dyDescent="0.35">
      <c r="A1166">
        <v>8.1736220025976696</v>
      </c>
      <c r="B1166">
        <v>1.68841991477617</v>
      </c>
      <c r="C1166">
        <v>1.9625565888447301</v>
      </c>
      <c r="I1166" s="1">
        <f t="shared" si="93"/>
        <v>706200.94102443859</v>
      </c>
      <c r="J1166">
        <f t="shared" si="94"/>
        <v>600.00006686104462</v>
      </c>
      <c r="K1166" s="1">
        <f t="shared" si="90"/>
        <v>4.7613446902495404</v>
      </c>
      <c r="L1166" s="1">
        <f t="shared" si="90"/>
        <v>5.5344101972694819</v>
      </c>
      <c r="N1166">
        <f>I1166</f>
        <v>706200.94102443859</v>
      </c>
      <c r="O1166" s="1">
        <f>SUM(K$2:K1166)/$G$3</f>
        <v>0.17201795452876445</v>
      </c>
      <c r="P1166" s="1">
        <f>SUM(L$2:L1166)/$G$3</f>
        <v>0.18130168036632208</v>
      </c>
      <c r="Q1166" s="1">
        <f t="shared" si="91"/>
        <v>172.01795452876445</v>
      </c>
      <c r="R1166" s="1">
        <f t="shared" si="92"/>
        <v>181.30168036632207</v>
      </c>
    </row>
    <row r="1167" spans="1:18" x14ac:dyDescent="0.35">
      <c r="A1167">
        <v>8.1805664478159805</v>
      </c>
      <c r="B1167">
        <v>1.6795469551436699</v>
      </c>
      <c r="C1167">
        <v>1.9603781344384099</v>
      </c>
      <c r="I1167" s="1">
        <f t="shared" si="93"/>
        <v>706800.94109130069</v>
      </c>
      <c r="J1167">
        <f t="shared" si="94"/>
        <v>600.00006686209235</v>
      </c>
      <c r="K1167" s="1">
        <f t="shared" si="90"/>
        <v>4.7363229413058603</v>
      </c>
      <c r="L1167" s="1">
        <f t="shared" si="90"/>
        <v>5.5282669551687409</v>
      </c>
      <c r="N1167">
        <f>I1167</f>
        <v>706800.94109130069</v>
      </c>
      <c r="O1167" s="1">
        <f>SUM(K$2:K1167)/$G$3</f>
        <v>0.17206704322588118</v>
      </c>
      <c r="P1167" s="1">
        <f>SUM(L$2:L1167)/$G$3</f>
        <v>0.18135897701300466</v>
      </c>
      <c r="Q1167" s="1">
        <f t="shared" si="91"/>
        <v>172.06704322588118</v>
      </c>
      <c r="R1167" s="1">
        <f t="shared" si="92"/>
        <v>181.35897701300465</v>
      </c>
    </row>
    <row r="1168" spans="1:18" x14ac:dyDescent="0.35">
      <c r="A1168">
        <v>8.1875108930342808</v>
      </c>
      <c r="B1168">
        <v>1.6712570630511601</v>
      </c>
      <c r="C1168">
        <v>1.9571898918763899</v>
      </c>
      <c r="I1168" s="1">
        <f t="shared" si="93"/>
        <v>707400.94115816185</v>
      </c>
      <c r="J1168">
        <f t="shared" si="94"/>
        <v>600.00006686116103</v>
      </c>
      <c r="K1168" s="1">
        <f t="shared" si="90"/>
        <v>4.7129454429925532</v>
      </c>
      <c r="L1168" s="1">
        <f t="shared" si="90"/>
        <v>5.5192761101333661</v>
      </c>
      <c r="N1168">
        <f>I1168</f>
        <v>707400.94115816185</v>
      </c>
      <c r="O1168" s="1">
        <f>SUM(K$2:K1168)/$G$3</f>
        <v>0.17211588963146746</v>
      </c>
      <c r="P1168" s="1">
        <f>SUM(L$2:L1168)/$G$3</f>
        <v>0.18141618047582406</v>
      </c>
      <c r="Q1168" s="1">
        <f t="shared" si="91"/>
        <v>172.11588963146747</v>
      </c>
      <c r="R1168" s="1">
        <f t="shared" si="92"/>
        <v>181.41618047582406</v>
      </c>
    </row>
    <row r="1169" spans="1:18" x14ac:dyDescent="0.35">
      <c r="A1169">
        <v>8.1944553382525793</v>
      </c>
      <c r="B1169">
        <v>1.66254579178433</v>
      </c>
      <c r="C1169">
        <v>1.9528964670076201</v>
      </c>
      <c r="I1169" s="1">
        <f t="shared" si="93"/>
        <v>708000.94122502289</v>
      </c>
      <c r="J1169">
        <f t="shared" si="94"/>
        <v>600.00006686104462</v>
      </c>
      <c r="K1169" s="1">
        <f t="shared" si="90"/>
        <v>4.6883796552816888</v>
      </c>
      <c r="L1169" s="1">
        <f t="shared" si="90"/>
        <v>5.5071686506531687</v>
      </c>
      <c r="N1169">
        <f>I1169</f>
        <v>708000.94122502289</v>
      </c>
      <c r="O1169" s="1">
        <f>SUM(K$2:K1169)/$G$3</f>
        <v>0.17216448142972918</v>
      </c>
      <c r="P1169" s="1">
        <f>SUM(L$2:L1169)/$G$3</f>
        <v>0.18147325845323664</v>
      </c>
      <c r="Q1169" s="1">
        <f t="shared" si="91"/>
        <v>172.16448142972916</v>
      </c>
      <c r="R1169" s="1">
        <f t="shared" si="92"/>
        <v>181.47325845323664</v>
      </c>
    </row>
    <row r="1170" spans="1:18" x14ac:dyDescent="0.35">
      <c r="A1170">
        <v>8.2013997834708903</v>
      </c>
      <c r="B1170">
        <v>1.65356501407136</v>
      </c>
      <c r="C1170">
        <v>1.95180864469</v>
      </c>
      <c r="I1170" s="1">
        <f t="shared" si="93"/>
        <v>708600.94129188487</v>
      </c>
      <c r="J1170">
        <f t="shared" si="94"/>
        <v>600.00006686197594</v>
      </c>
      <c r="K1170" s="1">
        <f t="shared" si="90"/>
        <v>4.663053859316169</v>
      </c>
      <c r="L1170" s="1">
        <f t="shared" si="90"/>
        <v>5.5041009913841794</v>
      </c>
      <c r="N1170">
        <f>I1170</f>
        <v>708600.94129188487</v>
      </c>
      <c r="O1170" s="1">
        <f>SUM(K$2:K1170)/$G$3</f>
        <v>0.17221281074370873</v>
      </c>
      <c r="P1170" s="1">
        <f>SUM(L$2:L1170)/$G$3</f>
        <v>0.18153030463649192</v>
      </c>
      <c r="Q1170" s="1">
        <f t="shared" si="91"/>
        <v>172.21281074370873</v>
      </c>
      <c r="R1170" s="1">
        <f t="shared" si="92"/>
        <v>181.53030463649191</v>
      </c>
    </row>
    <row r="1171" spans="1:18" x14ac:dyDescent="0.35">
      <c r="A1171">
        <v>8.2083442286891994</v>
      </c>
      <c r="B1171">
        <v>1.64531991464607</v>
      </c>
      <c r="C1171">
        <v>1.9477151872684</v>
      </c>
      <c r="I1171" s="1">
        <f t="shared" si="93"/>
        <v>709200.94135874684</v>
      </c>
      <c r="J1171">
        <f t="shared" si="94"/>
        <v>600.00006686197594</v>
      </c>
      <c r="K1171" s="1">
        <f t="shared" ref="K1171:L1234" si="95">B1171*$J1171*$G$2</f>
        <v>4.639802676345818</v>
      </c>
      <c r="L1171" s="1">
        <f t="shared" si="95"/>
        <v>5.492557440168893</v>
      </c>
      <c r="N1171">
        <f>I1171</f>
        <v>709200.94135874684</v>
      </c>
      <c r="O1171" s="1">
        <f>SUM(K$2:K1171)/$G$3</f>
        <v>0.17226089907532863</v>
      </c>
      <c r="P1171" s="1">
        <f>SUM(L$2:L1171)/$G$3</f>
        <v>0.18158723117885775</v>
      </c>
      <c r="Q1171" s="1">
        <f t="shared" si="91"/>
        <v>172.26089907532864</v>
      </c>
      <c r="R1171" s="1">
        <f t="shared" si="92"/>
        <v>181.58723117885776</v>
      </c>
    </row>
    <row r="1172" spans="1:18" x14ac:dyDescent="0.35">
      <c r="A1172">
        <v>8.2152886739074997</v>
      </c>
      <c r="B1172">
        <v>1.63584911243728</v>
      </c>
      <c r="C1172">
        <v>1.9449267285412299</v>
      </c>
      <c r="I1172" s="1">
        <f t="shared" si="93"/>
        <v>709800.94142560801</v>
      </c>
      <c r="J1172">
        <f t="shared" si="94"/>
        <v>600.00006686116103</v>
      </c>
      <c r="K1172" s="1">
        <f t="shared" si="95"/>
        <v>4.6130950111345532</v>
      </c>
      <c r="L1172" s="1">
        <f t="shared" si="95"/>
        <v>5.4846939856745465</v>
      </c>
      <c r="N1172">
        <f>I1172</f>
        <v>709800.94142560801</v>
      </c>
      <c r="O1172" s="1">
        <f>SUM(K$2:K1172)/$G$3</f>
        <v>0.17230871060055153</v>
      </c>
      <c r="P1172" s="1">
        <f>SUM(L$2:L1172)/$G$3</f>
        <v>0.18164407622198026</v>
      </c>
      <c r="Q1172" s="1">
        <f t="shared" si="91"/>
        <v>172.30871060055154</v>
      </c>
      <c r="R1172" s="1">
        <f t="shared" si="92"/>
        <v>181.64407622198024</v>
      </c>
    </row>
    <row r="1173" spans="1:18" x14ac:dyDescent="0.35">
      <c r="A1173">
        <v>8.2222331191258107</v>
      </c>
      <c r="B1173">
        <v>1.6282601699964001</v>
      </c>
      <c r="C1173">
        <v>1.94320811169686</v>
      </c>
      <c r="I1173" s="1">
        <f t="shared" si="93"/>
        <v>710400.9414924701</v>
      </c>
      <c r="J1173">
        <f t="shared" si="94"/>
        <v>600.00006686209235</v>
      </c>
      <c r="K1173" s="1">
        <f t="shared" si="95"/>
        <v>4.5916941910735929</v>
      </c>
      <c r="L1173" s="1">
        <f t="shared" si="95"/>
        <v>5.4798474856418578</v>
      </c>
      <c r="N1173">
        <f>I1173</f>
        <v>710400.9414924701</v>
      </c>
      <c r="O1173" s="1">
        <f>SUM(K$2:K1173)/$G$3</f>
        <v>0.17235630032114099</v>
      </c>
      <c r="P1173" s="1">
        <f>SUM(L$2:L1173)/$G$3</f>
        <v>0.18170087103449664</v>
      </c>
      <c r="Q1173" s="1">
        <f t="shared" si="91"/>
        <v>172.35630032114099</v>
      </c>
      <c r="R1173" s="1">
        <f t="shared" si="92"/>
        <v>181.70087103449663</v>
      </c>
    </row>
    <row r="1174" spans="1:18" x14ac:dyDescent="0.35">
      <c r="A1174">
        <v>8.2291775643441198</v>
      </c>
      <c r="B1174">
        <v>1.6187791647780301</v>
      </c>
      <c r="C1174">
        <v>1.9392762288574099</v>
      </c>
      <c r="I1174" s="1">
        <f t="shared" si="93"/>
        <v>711000.94155933196</v>
      </c>
      <c r="J1174">
        <f t="shared" si="94"/>
        <v>600.00006686185952</v>
      </c>
      <c r="K1174" s="1">
        <f t="shared" si="95"/>
        <v>4.5649577533765955</v>
      </c>
      <c r="L1174" s="1">
        <f t="shared" si="95"/>
        <v>5.468759574796886</v>
      </c>
      <c r="N1174">
        <f>I1174</f>
        <v>711000.94155933196</v>
      </c>
      <c r="O1174" s="1">
        <f>SUM(K$2:K1174)/$G$3</f>
        <v>0.17240361293712664</v>
      </c>
      <c r="P1174" s="1">
        <f>SUM(L$2:L1174)/$G$3</f>
        <v>0.1817575509285195</v>
      </c>
      <c r="Q1174" s="1">
        <f t="shared" si="91"/>
        <v>172.40361293712664</v>
      </c>
      <c r="R1174" s="1">
        <f t="shared" si="92"/>
        <v>181.75755092851949</v>
      </c>
    </row>
    <row r="1175" spans="1:18" x14ac:dyDescent="0.35">
      <c r="A1175">
        <v>8.2361220095624201</v>
      </c>
      <c r="B1175">
        <v>1.61063007383872</v>
      </c>
      <c r="C1175">
        <v>1.93606876895618</v>
      </c>
      <c r="I1175" s="1">
        <f t="shared" si="93"/>
        <v>711600.94162619312</v>
      </c>
      <c r="J1175">
        <f t="shared" si="94"/>
        <v>600.00006686116103</v>
      </c>
      <c r="K1175" s="1">
        <f t="shared" si="95"/>
        <v>4.5419773143615956</v>
      </c>
      <c r="L1175" s="1">
        <f t="shared" si="95"/>
        <v>5.4597145368611137</v>
      </c>
      <c r="N1175">
        <f>I1175</f>
        <v>711600.94162619312</v>
      </c>
      <c r="O1175" s="1">
        <f>SUM(K$2:K1175)/$G$3</f>
        <v>0.1724506873768257</v>
      </c>
      <c r="P1175" s="1">
        <f>SUM(L$2:L1175)/$G$3</f>
        <v>0.18181413707700747</v>
      </c>
      <c r="Q1175" s="1">
        <f t="shared" si="91"/>
        <v>172.4506873768257</v>
      </c>
      <c r="R1175" s="1">
        <f t="shared" si="92"/>
        <v>181.81413707700747</v>
      </c>
    </row>
    <row r="1176" spans="1:18" x14ac:dyDescent="0.35">
      <c r="A1176">
        <v>8.2430664547807293</v>
      </c>
      <c r="B1176">
        <v>1.60243079795286</v>
      </c>
      <c r="C1176">
        <v>1.9328313604253899</v>
      </c>
      <c r="I1176" s="1">
        <f t="shared" si="93"/>
        <v>712200.94169305498</v>
      </c>
      <c r="J1176">
        <f t="shared" si="94"/>
        <v>600.00006686185952</v>
      </c>
      <c r="K1176" s="1">
        <f t="shared" si="95"/>
        <v>4.5188553537921292</v>
      </c>
      <c r="L1176" s="1">
        <f t="shared" si="95"/>
        <v>5.4505850437932848</v>
      </c>
      <c r="N1176">
        <f>I1176</f>
        <v>712200.94169305498</v>
      </c>
      <c r="O1176" s="1">
        <f>SUM(K$2:K1176)/$G$3</f>
        <v>0.17249752217346551</v>
      </c>
      <c r="P1176" s="1">
        <f>SUM(L$2:L1176)/$G$3</f>
        <v>0.18187062860464173</v>
      </c>
      <c r="Q1176" s="1">
        <f t="shared" si="91"/>
        <v>172.49752217346551</v>
      </c>
      <c r="R1176" s="1">
        <f t="shared" si="92"/>
        <v>181.87062860464172</v>
      </c>
    </row>
    <row r="1177" spans="1:18" x14ac:dyDescent="0.35">
      <c r="A1177">
        <v>8.2500108999990296</v>
      </c>
      <c r="B1177">
        <v>1.5946854475933701</v>
      </c>
      <c r="C1177">
        <v>1.93065477510674</v>
      </c>
      <c r="I1177" s="1">
        <f t="shared" si="93"/>
        <v>712800.94175991614</v>
      </c>
      <c r="J1177">
        <f t="shared" si="94"/>
        <v>600.00006686116103</v>
      </c>
      <c r="K1177" s="1">
        <f t="shared" si="95"/>
        <v>4.4970134633391501</v>
      </c>
      <c r="L1177" s="1">
        <f t="shared" si="95"/>
        <v>5.4444470725043601</v>
      </c>
      <c r="N1177">
        <f>I1177</f>
        <v>712800.94175991614</v>
      </c>
      <c r="O1177" s="1">
        <f>SUM(K$2:K1177)/$G$3</f>
        <v>0.17254413059408363</v>
      </c>
      <c r="P1177" s="1">
        <f>SUM(L$2:L1177)/$G$3</f>
        <v>0.18192705651646746</v>
      </c>
      <c r="Q1177" s="1">
        <f t="shared" si="91"/>
        <v>172.54413059408364</v>
      </c>
      <c r="R1177" s="1">
        <f t="shared" si="92"/>
        <v>181.92705651646745</v>
      </c>
    </row>
    <row r="1178" spans="1:18" x14ac:dyDescent="0.35">
      <c r="A1178">
        <v>8.2569553452173405</v>
      </c>
      <c r="B1178">
        <v>1.5866493971745601</v>
      </c>
      <c r="C1178">
        <v>1.9285103868234099</v>
      </c>
      <c r="I1178" s="1">
        <f t="shared" si="93"/>
        <v>713400.94182677823</v>
      </c>
      <c r="J1178">
        <f t="shared" si="94"/>
        <v>600.00006686209235</v>
      </c>
      <c r="K1178" s="1">
        <f t="shared" si="95"/>
        <v>4.4743517986397423</v>
      </c>
      <c r="L1178" s="1">
        <f t="shared" si="95"/>
        <v>5.4383998968799423</v>
      </c>
      <c r="N1178">
        <f>I1178</f>
        <v>713400.94182677823</v>
      </c>
      <c r="O1178" s="1">
        <f>SUM(K$2:K1178)/$G$3</f>
        <v>0.17259050414228946</v>
      </c>
      <c r="P1178" s="1">
        <f>SUM(L$2:L1178)/$G$3</f>
        <v>0.18198342175351859</v>
      </c>
      <c r="Q1178" s="1">
        <f t="shared" si="91"/>
        <v>172.59050414228946</v>
      </c>
      <c r="R1178" s="1">
        <f t="shared" si="92"/>
        <v>181.9834217535186</v>
      </c>
    </row>
    <row r="1179" spans="1:18" x14ac:dyDescent="0.35">
      <c r="A1179">
        <v>8.2638997904356497</v>
      </c>
      <c r="B1179">
        <v>1.57844837121163</v>
      </c>
      <c r="C1179">
        <v>1.92682806609736</v>
      </c>
      <c r="I1179" s="1">
        <f t="shared" si="93"/>
        <v>714000.94189364009</v>
      </c>
      <c r="J1179">
        <f t="shared" si="94"/>
        <v>600.00006686185952</v>
      </c>
      <c r="K1179" s="1">
        <f t="shared" si="95"/>
        <v>4.4512249028453654</v>
      </c>
      <c r="L1179" s="1">
        <f t="shared" si="95"/>
        <v>5.4336557519016999</v>
      </c>
      <c r="N1179">
        <f>I1179</f>
        <v>714000.94189364009</v>
      </c>
      <c r="O1179" s="1">
        <f>SUM(K$2:K1179)/$G$3</f>
        <v>0.17263663799628587</v>
      </c>
      <c r="P1179" s="1">
        <f>SUM(L$2:L1179)/$G$3</f>
        <v>0.18203973782080266</v>
      </c>
      <c r="Q1179" s="1">
        <f t="shared" si="91"/>
        <v>172.63663799628586</v>
      </c>
      <c r="R1179" s="1">
        <f t="shared" si="92"/>
        <v>182.03973782080266</v>
      </c>
    </row>
    <row r="1180" spans="1:18" x14ac:dyDescent="0.35">
      <c r="A1180">
        <v>8.27084423565395</v>
      </c>
      <c r="B1180">
        <v>1.5707006063476501</v>
      </c>
      <c r="C1180">
        <v>1.9241029538179799</v>
      </c>
      <c r="I1180" s="1">
        <f t="shared" si="93"/>
        <v>714600.94196050125</v>
      </c>
      <c r="J1180">
        <f t="shared" si="94"/>
        <v>600.00006686116103</v>
      </c>
      <c r="K1180" s="1">
        <f t="shared" si="95"/>
        <v>4.4293762034890447</v>
      </c>
      <c r="L1180" s="1">
        <f t="shared" si="95"/>
        <v>5.4259709344111631</v>
      </c>
      <c r="N1180">
        <f>I1180</f>
        <v>714600.94196050125</v>
      </c>
      <c r="O1180" s="1">
        <f>SUM(K$2:K1180)/$G$3</f>
        <v>0.17268254540369107</v>
      </c>
      <c r="P1180" s="1">
        <f>SUM(L$2:L1180)/$G$3</f>
        <v>0.18209597424029181</v>
      </c>
      <c r="Q1180" s="1">
        <f t="shared" si="91"/>
        <v>172.68254540369108</v>
      </c>
      <c r="R1180" s="1">
        <f t="shared" si="92"/>
        <v>182.09597424029181</v>
      </c>
    </row>
    <row r="1181" spans="1:18" x14ac:dyDescent="0.35">
      <c r="A1181">
        <v>8.2777886808722592</v>
      </c>
      <c r="B1181">
        <v>1.5636775575550099</v>
      </c>
      <c r="C1181">
        <v>1.9221561075754099</v>
      </c>
      <c r="I1181" s="1">
        <f t="shared" si="93"/>
        <v>715200.94202736323</v>
      </c>
      <c r="J1181">
        <f t="shared" si="94"/>
        <v>600.00006686197594</v>
      </c>
      <c r="K1181" s="1">
        <f t="shared" si="95"/>
        <v>4.4095712036928134</v>
      </c>
      <c r="L1181" s="1">
        <f t="shared" si="95"/>
        <v>5.4204808274026863</v>
      </c>
      <c r="N1181">
        <f>I1181</f>
        <v>715200.94202736323</v>
      </c>
      <c r="O1181" s="1">
        <f>SUM(K$2:K1181)/$G$3</f>
        <v>0.17272824754603128</v>
      </c>
      <c r="P1181" s="1">
        <f>SUM(L$2:L1181)/$G$3</f>
        <v>0.18215215375863564</v>
      </c>
      <c r="Q1181" s="1">
        <f t="shared" si="91"/>
        <v>172.72824754603127</v>
      </c>
      <c r="R1181" s="1">
        <f t="shared" si="92"/>
        <v>182.15215375863565</v>
      </c>
    </row>
    <row r="1182" spans="1:18" x14ac:dyDescent="0.35">
      <c r="A1182">
        <v>8.2847331260905701</v>
      </c>
      <c r="B1182">
        <v>1.55551780421052</v>
      </c>
      <c r="C1182">
        <v>1.9202369777421999</v>
      </c>
      <c r="I1182" s="1">
        <f t="shared" si="93"/>
        <v>715800.9420942252</v>
      </c>
      <c r="J1182">
        <f t="shared" si="94"/>
        <v>600.00006686197594</v>
      </c>
      <c r="K1182" s="1">
        <f t="shared" si="95"/>
        <v>4.3865606966971384</v>
      </c>
      <c r="L1182" s="1">
        <f t="shared" si="95"/>
        <v>5.4150688806699456</v>
      </c>
      <c r="N1182">
        <f>I1182</f>
        <v>715800.9420942252</v>
      </c>
      <c r="O1182" s="1">
        <f>SUM(K$2:K1182)/$G$3</f>
        <v>0.1727737112004511</v>
      </c>
      <c r="P1182" s="1">
        <f>SUM(L$2:L1182)/$G$3</f>
        <v>0.18220827718591107</v>
      </c>
      <c r="Q1182" s="1">
        <f t="shared" si="91"/>
        <v>172.77371120045109</v>
      </c>
      <c r="R1182" s="1">
        <f t="shared" si="92"/>
        <v>182.20827718591107</v>
      </c>
    </row>
    <row r="1183" spans="1:18" x14ac:dyDescent="0.35">
      <c r="A1183">
        <v>8.2916775713088704</v>
      </c>
      <c r="B1183">
        <v>1.547910682346</v>
      </c>
      <c r="C1183">
        <v>1.9177296381768301</v>
      </c>
      <c r="I1183" s="1">
        <f t="shared" si="93"/>
        <v>716400.94216108636</v>
      </c>
      <c r="J1183">
        <f t="shared" si="94"/>
        <v>600.00006686116103</v>
      </c>
      <c r="K1183" s="1">
        <f t="shared" si="95"/>
        <v>4.3651086106427153</v>
      </c>
      <c r="L1183" s="1">
        <f t="shared" si="95"/>
        <v>5.4079981823003225</v>
      </c>
      <c r="N1183">
        <f>I1183</f>
        <v>716400.94216108636</v>
      </c>
      <c r="O1183" s="1">
        <f>SUM(K$2:K1183)/$G$3</f>
        <v>0.17281895251890106</v>
      </c>
      <c r="P1183" s="1">
        <f>SUM(L$2:L1183)/$G$3</f>
        <v>0.1822643273303097</v>
      </c>
      <c r="Q1183" s="1">
        <f t="shared" si="91"/>
        <v>172.81895251890106</v>
      </c>
      <c r="R1183" s="1">
        <f t="shared" si="92"/>
        <v>182.2643273303097</v>
      </c>
    </row>
    <row r="1184" spans="1:18" x14ac:dyDescent="0.35">
      <c r="A1184">
        <v>8.2986220165271796</v>
      </c>
      <c r="B1184">
        <v>1.5408744905723499</v>
      </c>
      <c r="C1184">
        <v>1.9150117825658799</v>
      </c>
      <c r="I1184" s="1">
        <f t="shared" si="93"/>
        <v>717000.94222794834</v>
      </c>
      <c r="J1184">
        <f t="shared" si="94"/>
        <v>600.00006686197594</v>
      </c>
      <c r="K1184" s="1">
        <f t="shared" si="95"/>
        <v>4.345266547635819</v>
      </c>
      <c r="L1184" s="1">
        <f t="shared" si="95"/>
        <v>5.400333828630699</v>
      </c>
      <c r="N1184">
        <f>I1184</f>
        <v>717000.94222794834</v>
      </c>
      <c r="O1184" s="1">
        <f>SUM(K$2:K1184)/$G$3</f>
        <v>0.17286398818815157</v>
      </c>
      <c r="P1184" s="1">
        <f>SUM(L$2:L1184)/$G$3</f>
        <v>0.18232029803900671</v>
      </c>
      <c r="Q1184" s="1">
        <f t="shared" si="91"/>
        <v>172.86398818815158</v>
      </c>
      <c r="R1184" s="1">
        <f t="shared" si="92"/>
        <v>182.3202980390067</v>
      </c>
    </row>
    <row r="1185" spans="1:18" x14ac:dyDescent="0.35">
      <c r="A1185">
        <v>8.3055664617454905</v>
      </c>
      <c r="B1185">
        <v>1.53384621259232</v>
      </c>
      <c r="C1185">
        <v>1.9121790497383999</v>
      </c>
      <c r="I1185" s="1">
        <f t="shared" si="93"/>
        <v>717600.94229481043</v>
      </c>
      <c r="J1185">
        <f t="shared" si="94"/>
        <v>600.00006686209235</v>
      </c>
      <c r="K1185" s="1">
        <f t="shared" si="95"/>
        <v>4.3254468015243281</v>
      </c>
      <c r="L1185" s="1">
        <f t="shared" si="95"/>
        <v>5.3923455211680613</v>
      </c>
      <c r="N1185">
        <f>I1185</f>
        <v>717600.94229481043</v>
      </c>
      <c r="O1185" s="1">
        <f>SUM(K$2:K1185)/$G$3</f>
        <v>0.17290881843950179</v>
      </c>
      <c r="P1185" s="1">
        <f>SUM(L$2:L1185)/$G$3</f>
        <v>0.1823761859544461</v>
      </c>
      <c r="Q1185" s="1">
        <f t="shared" si="91"/>
        <v>172.9088184395018</v>
      </c>
      <c r="R1185" s="1">
        <f t="shared" si="92"/>
        <v>182.3761859544461</v>
      </c>
    </row>
    <row r="1186" spans="1:18" x14ac:dyDescent="0.35">
      <c r="A1186">
        <v>8.3125109069637908</v>
      </c>
      <c r="B1186">
        <v>1.52556345503599</v>
      </c>
      <c r="C1186">
        <v>1.9092990713989599</v>
      </c>
      <c r="I1186" s="1">
        <f t="shared" si="93"/>
        <v>718200.94236167148</v>
      </c>
      <c r="J1186">
        <f t="shared" si="94"/>
        <v>600.00006686104462</v>
      </c>
      <c r="K1186" s="1">
        <f t="shared" si="95"/>
        <v>4.3020894226050936</v>
      </c>
      <c r="L1186" s="1">
        <f t="shared" si="95"/>
        <v>5.3842239813363992</v>
      </c>
      <c r="N1186">
        <f>I1186</f>
        <v>718200.94236167148</v>
      </c>
      <c r="O1186" s="1">
        <f>SUM(K$2:K1186)/$G$3</f>
        <v>0.17295340660784511</v>
      </c>
      <c r="P1186" s="1">
        <f>SUM(L$2:L1186)/$G$3</f>
        <v>0.18243198969576688</v>
      </c>
      <c r="Q1186" s="1">
        <f t="shared" si="91"/>
        <v>172.95340660784512</v>
      </c>
      <c r="R1186" s="1">
        <f t="shared" si="92"/>
        <v>182.43198969576687</v>
      </c>
    </row>
    <row r="1187" spans="1:18" x14ac:dyDescent="0.35">
      <c r="A1187">
        <v>8.3194553521821</v>
      </c>
      <c r="B1187">
        <v>1.5180813807956099</v>
      </c>
      <c r="C1187">
        <v>1.9071598244927099</v>
      </c>
      <c r="I1187" s="1">
        <f t="shared" si="93"/>
        <v>718800.94242853345</v>
      </c>
      <c r="J1187">
        <f t="shared" si="94"/>
        <v>600.00006686197594</v>
      </c>
      <c r="K1187" s="1">
        <f t="shared" si="95"/>
        <v>4.280989970902648</v>
      </c>
      <c r="L1187" s="1">
        <f t="shared" si="95"/>
        <v>5.3781913043968714</v>
      </c>
      <c r="N1187">
        <f>I1187</f>
        <v>718800.94242853345</v>
      </c>
      <c r="O1187" s="1">
        <f>SUM(K$2:K1187)/$G$3</f>
        <v>0.17299777609502864</v>
      </c>
      <c r="P1187" s="1">
        <f>SUM(L$2:L1187)/$G$3</f>
        <v>0.18248773091258189</v>
      </c>
      <c r="Q1187" s="1">
        <f t="shared" si="91"/>
        <v>172.99777609502866</v>
      </c>
      <c r="R1187" s="1">
        <f t="shared" si="92"/>
        <v>182.4877309125819</v>
      </c>
    </row>
    <row r="1188" spans="1:18" x14ac:dyDescent="0.35">
      <c r="A1188">
        <v>8.3263997974004003</v>
      </c>
      <c r="B1188">
        <v>1.5106200365620801</v>
      </c>
      <c r="C1188">
        <v>1.9054123477839799</v>
      </c>
      <c r="I1188" s="1">
        <f t="shared" si="93"/>
        <v>719400.94249539461</v>
      </c>
      <c r="J1188">
        <f t="shared" si="94"/>
        <v>600.00006686116103</v>
      </c>
      <c r="K1188" s="1">
        <f t="shared" si="95"/>
        <v>4.2599489778135711</v>
      </c>
      <c r="L1188" s="1">
        <f t="shared" si="95"/>
        <v>5.3732634195218081</v>
      </c>
      <c r="N1188">
        <f>I1188</f>
        <v>719400.94249539461</v>
      </c>
      <c r="O1188" s="1">
        <f>SUM(K$2:K1188)/$G$3</f>
        <v>0.17304192750693531</v>
      </c>
      <c r="P1188" s="1">
        <f>SUM(L$2:L1188)/$G$3</f>
        <v>0.18254342105529342</v>
      </c>
      <c r="Q1188" s="1">
        <f t="shared" si="91"/>
        <v>173.04192750693531</v>
      </c>
      <c r="R1188" s="1">
        <f t="shared" si="92"/>
        <v>182.54342105529341</v>
      </c>
    </row>
    <row r="1189" spans="1:18" x14ac:dyDescent="0.35">
      <c r="A1189">
        <v>8.3333442426187094</v>
      </c>
      <c r="B1189">
        <v>1.50338794783534</v>
      </c>
      <c r="C1189">
        <v>1.90364141427553</v>
      </c>
      <c r="I1189" s="1">
        <f t="shared" si="93"/>
        <v>720000.94256225647</v>
      </c>
      <c r="J1189">
        <f t="shared" si="94"/>
        <v>600.00006686185952</v>
      </c>
      <c r="K1189" s="1">
        <f t="shared" si="95"/>
        <v>4.2395544853364342</v>
      </c>
      <c r="L1189" s="1">
        <f t="shared" si="95"/>
        <v>5.368269386477718</v>
      </c>
      <c r="N1189">
        <f>I1189</f>
        <v>720000.94256225647</v>
      </c>
      <c r="O1189" s="1">
        <f>SUM(K$2:K1189)/$G$3</f>
        <v>0.17308586754409483</v>
      </c>
      <c r="P1189" s="1">
        <f>SUM(L$2:L1189)/$G$3</f>
        <v>0.18259905943832166</v>
      </c>
      <c r="Q1189" s="1">
        <f t="shared" si="91"/>
        <v>173.08586754409484</v>
      </c>
      <c r="R1189" s="1">
        <f t="shared" si="92"/>
        <v>182.59905943832166</v>
      </c>
    </row>
    <row r="1190" spans="1:18" x14ac:dyDescent="0.35">
      <c r="A1190">
        <v>8.3402886878370097</v>
      </c>
      <c r="B1190">
        <v>1.49709051176222</v>
      </c>
      <c r="C1190">
        <v>1.9006196513324001</v>
      </c>
      <c r="I1190" s="1">
        <f t="shared" si="93"/>
        <v>720600.94262911764</v>
      </c>
      <c r="J1190">
        <f t="shared" si="94"/>
        <v>600.00006686116103</v>
      </c>
      <c r="K1190" s="1">
        <f t="shared" si="95"/>
        <v>4.2217957136263466</v>
      </c>
      <c r="L1190" s="1">
        <f t="shared" si="95"/>
        <v>5.3597480140222604</v>
      </c>
      <c r="N1190">
        <f>I1190</f>
        <v>720600.94262911764</v>
      </c>
      <c r="O1190" s="1">
        <f>SUM(K$2:K1190)/$G$3</f>
        <v>0.17312962352392203</v>
      </c>
      <c r="P1190" s="1">
        <f>SUM(L$2:L1190)/$G$3</f>
        <v>0.18265460950324391</v>
      </c>
      <c r="Q1190" s="1">
        <f t="shared" si="91"/>
        <v>173.12962352392202</v>
      </c>
      <c r="R1190" s="1">
        <f t="shared" si="92"/>
        <v>182.6546095032439</v>
      </c>
    </row>
    <row r="1191" spans="1:18" x14ac:dyDescent="0.35">
      <c r="A1191">
        <v>8.3472331330553207</v>
      </c>
      <c r="B1191">
        <v>1.4889827079048401</v>
      </c>
      <c r="C1191">
        <v>1.8992248550145401</v>
      </c>
      <c r="I1191" s="1">
        <f t="shared" si="93"/>
        <v>721200.94269597973</v>
      </c>
      <c r="J1191">
        <f t="shared" si="94"/>
        <v>600.00006686209235</v>
      </c>
      <c r="K1191" s="1">
        <f t="shared" si="95"/>
        <v>4.1989317042071956</v>
      </c>
      <c r="L1191" s="1">
        <f t="shared" si="95"/>
        <v>5.3558146879758972</v>
      </c>
      <c r="N1191">
        <f>I1191</f>
        <v>721200.94269597973</v>
      </c>
      <c r="O1191" s="1">
        <f>SUM(K$2:K1191)/$G$3</f>
        <v>0.17317314253417446</v>
      </c>
      <c r="P1191" s="1">
        <f>SUM(L$2:L1191)/$G$3</f>
        <v>0.18271011880197405</v>
      </c>
      <c r="Q1191" s="1">
        <f t="shared" si="91"/>
        <v>173.17314253417445</v>
      </c>
      <c r="R1191" s="1">
        <f t="shared" si="92"/>
        <v>182.71011880197403</v>
      </c>
    </row>
    <row r="1192" spans="1:18" x14ac:dyDescent="0.35">
      <c r="A1192">
        <v>8.3541775782736298</v>
      </c>
      <c r="B1192">
        <v>1.4816922409272599</v>
      </c>
      <c r="C1192">
        <v>1.89574846517343</v>
      </c>
      <c r="I1192" s="1">
        <f t="shared" si="93"/>
        <v>721800.94276284159</v>
      </c>
      <c r="J1192">
        <f t="shared" si="94"/>
        <v>600.00006686185952</v>
      </c>
      <c r="K1192" s="1">
        <f t="shared" si="95"/>
        <v>4.1783725850377564</v>
      </c>
      <c r="L1192" s="1">
        <f t="shared" si="95"/>
        <v>5.3460112675294305</v>
      </c>
      <c r="N1192">
        <f>I1192</f>
        <v>721800.94276284159</v>
      </c>
      <c r="O1192" s="1">
        <f>SUM(K$2:K1192)/$G$3</f>
        <v>0.17321644846343845</v>
      </c>
      <c r="P1192" s="1">
        <f>SUM(L$2:L1192)/$G$3</f>
        <v>0.18276552649506136</v>
      </c>
      <c r="Q1192" s="1">
        <f t="shared" si="91"/>
        <v>173.21644846343844</v>
      </c>
      <c r="R1192" s="1">
        <f t="shared" si="92"/>
        <v>182.76552649506135</v>
      </c>
    </row>
    <row r="1193" spans="1:18" x14ac:dyDescent="0.35">
      <c r="A1193">
        <v>8.3611220234919301</v>
      </c>
      <c r="B1193">
        <v>1.4749297540692099</v>
      </c>
      <c r="C1193">
        <v>1.8935277425239301</v>
      </c>
      <c r="I1193" s="1">
        <f t="shared" si="93"/>
        <v>722400.94282970275</v>
      </c>
      <c r="J1193">
        <f t="shared" si="94"/>
        <v>600.00006686116103</v>
      </c>
      <c r="K1193" s="1">
        <f t="shared" si="95"/>
        <v>4.1593023699680964</v>
      </c>
      <c r="L1193" s="1">
        <f t="shared" si="95"/>
        <v>5.33974882895376</v>
      </c>
      <c r="N1193">
        <f>I1193</f>
        <v>722400.94282970275</v>
      </c>
      <c r="O1193" s="1">
        <f>SUM(K$2:K1193)/$G$3</f>
        <v>0.17325955674317073</v>
      </c>
      <c r="P1193" s="1">
        <f>SUM(L$2:L1193)/$G$3</f>
        <v>0.18282086928232313</v>
      </c>
      <c r="Q1193" s="1">
        <f t="shared" si="91"/>
        <v>173.25955674317072</v>
      </c>
      <c r="R1193" s="1">
        <f t="shared" si="92"/>
        <v>182.82086928232314</v>
      </c>
    </row>
    <row r="1194" spans="1:18" x14ac:dyDescent="0.35">
      <c r="A1194">
        <v>8.3680664687102393</v>
      </c>
      <c r="B1194">
        <v>1.46842966504109</v>
      </c>
      <c r="C1194">
        <v>1.8917235657548901</v>
      </c>
      <c r="I1194" s="1">
        <f t="shared" si="93"/>
        <v>723000.94289656472</v>
      </c>
      <c r="J1194">
        <f t="shared" si="94"/>
        <v>600.00006686197594</v>
      </c>
      <c r="K1194" s="1">
        <f t="shared" si="95"/>
        <v>4.1409721168717857</v>
      </c>
      <c r="L1194" s="1">
        <f t="shared" si="95"/>
        <v>5.3346610499053551</v>
      </c>
      <c r="N1194">
        <f>I1194</f>
        <v>723000.94289656472</v>
      </c>
      <c r="O1194" s="1">
        <f>SUM(K$2:K1194)/$G$3</f>
        <v>0.17330247504256308</v>
      </c>
      <c r="P1194" s="1">
        <f>SUM(L$2:L1194)/$G$3</f>
        <v>0.18287615933828941</v>
      </c>
      <c r="Q1194" s="1">
        <f t="shared" si="91"/>
        <v>173.30247504256309</v>
      </c>
      <c r="R1194" s="1">
        <f t="shared" si="92"/>
        <v>182.8761593382894</v>
      </c>
    </row>
    <row r="1195" spans="1:18" x14ac:dyDescent="0.35">
      <c r="A1195">
        <v>8.3750109139285502</v>
      </c>
      <c r="B1195">
        <v>1.4611431676015001</v>
      </c>
      <c r="C1195">
        <v>1.8906835531052599</v>
      </c>
      <c r="I1195" s="1">
        <f t="shared" si="93"/>
        <v>723600.9429634267</v>
      </c>
      <c r="J1195">
        <f t="shared" si="94"/>
        <v>600.00006686197594</v>
      </c>
      <c r="K1195" s="1">
        <f t="shared" si="95"/>
        <v>4.1204241918023516</v>
      </c>
      <c r="L1195" s="1">
        <f t="shared" si="95"/>
        <v>5.3317282139065734</v>
      </c>
      <c r="N1195">
        <f>I1195</f>
        <v>723600.9429634267</v>
      </c>
      <c r="O1195" s="1">
        <f>SUM(K$2:K1195)/$G$3</f>
        <v>0.17334518037698607</v>
      </c>
      <c r="P1195" s="1">
        <f>SUM(L$2:L1195)/$G$3</f>
        <v>0.18293141899744791</v>
      </c>
      <c r="Q1195" s="1">
        <f t="shared" si="91"/>
        <v>173.34518037698606</v>
      </c>
      <c r="R1195" s="1">
        <f t="shared" si="92"/>
        <v>182.93141899744791</v>
      </c>
    </row>
    <row r="1196" spans="1:18" x14ac:dyDescent="0.35">
      <c r="A1196">
        <v>8.3819553591468505</v>
      </c>
      <c r="B1196">
        <v>1.4535215349350099</v>
      </c>
      <c r="C1196">
        <v>1.8888959638548199</v>
      </c>
      <c r="I1196" s="1">
        <f t="shared" si="93"/>
        <v>724200.94303028786</v>
      </c>
      <c r="J1196">
        <f t="shared" si="94"/>
        <v>600.00006686116103</v>
      </c>
      <c r="K1196" s="1">
        <f t="shared" si="95"/>
        <v>4.0989311852821739</v>
      </c>
      <c r="L1196" s="1">
        <f t="shared" si="95"/>
        <v>5.3266872116513451</v>
      </c>
      <c r="N1196">
        <f>I1196</f>
        <v>724200.94303028786</v>
      </c>
      <c r="O1196" s="1">
        <f>SUM(K$2:K1196)/$G$3</f>
        <v>0.17338766295132699</v>
      </c>
      <c r="P1196" s="1">
        <f>SUM(L$2:L1196)/$G$3</f>
        <v>0.18298662641011984</v>
      </c>
      <c r="Q1196" s="1">
        <f t="shared" si="91"/>
        <v>173.38766295132697</v>
      </c>
      <c r="R1196" s="1">
        <f t="shared" si="92"/>
        <v>182.98662641011984</v>
      </c>
    </row>
    <row r="1197" spans="1:18" x14ac:dyDescent="0.35">
      <c r="A1197">
        <v>8.3888998043651597</v>
      </c>
      <c r="B1197">
        <v>1.4464526141066101</v>
      </c>
      <c r="C1197">
        <v>1.8884053881891401</v>
      </c>
      <c r="I1197" s="1">
        <f t="shared" si="93"/>
        <v>724800.94309714984</v>
      </c>
      <c r="J1197">
        <f t="shared" si="94"/>
        <v>600.00006686197594</v>
      </c>
      <c r="K1197" s="1">
        <f t="shared" si="95"/>
        <v>4.0789968263302363</v>
      </c>
      <c r="L1197" s="1">
        <f t="shared" si="95"/>
        <v>5.325303788127199</v>
      </c>
      <c r="N1197">
        <f>I1197</f>
        <v>724800.94309714984</v>
      </c>
      <c r="O1197" s="1">
        <f>SUM(K$2:K1197)/$G$3</f>
        <v>0.17342993891988509</v>
      </c>
      <c r="P1197" s="1">
        <f>SUM(L$2:L1197)/$G$3</f>
        <v>0.18304181948456794</v>
      </c>
      <c r="Q1197" s="1">
        <f t="shared" si="91"/>
        <v>173.4299389198851</v>
      </c>
      <c r="R1197" s="1">
        <f t="shared" si="92"/>
        <v>183.04181948456792</v>
      </c>
    </row>
    <row r="1198" spans="1:18" x14ac:dyDescent="0.35">
      <c r="A1198">
        <v>8.3958442495834706</v>
      </c>
      <c r="B1198">
        <v>1.43915801355471</v>
      </c>
      <c r="C1198">
        <v>1.88458287707579</v>
      </c>
      <c r="I1198" s="1">
        <f t="shared" si="93"/>
        <v>725400.94316401181</v>
      </c>
      <c r="J1198">
        <f t="shared" si="94"/>
        <v>600.00006686197594</v>
      </c>
      <c r="K1198" s="1">
        <f t="shared" si="95"/>
        <v>4.0584260504815397</v>
      </c>
      <c r="L1198" s="1">
        <f t="shared" si="95"/>
        <v>5.3145243055863229</v>
      </c>
      <c r="N1198">
        <f>I1198</f>
        <v>725400.94316401181</v>
      </c>
      <c r="O1198" s="1">
        <f>SUM(K$2:K1198)/$G$3</f>
        <v>0.1734720016866414</v>
      </c>
      <c r="P1198" s="1">
        <f>SUM(L$2:L1198)/$G$3</f>
        <v>0.1830969008371677</v>
      </c>
      <c r="Q1198" s="1">
        <f t="shared" si="91"/>
        <v>173.47200168664139</v>
      </c>
      <c r="R1198" s="1">
        <f t="shared" si="92"/>
        <v>183.09690083716771</v>
      </c>
    </row>
    <row r="1199" spans="1:18" x14ac:dyDescent="0.35">
      <c r="A1199">
        <v>8.4027886948017692</v>
      </c>
      <c r="B1199">
        <v>1.43189261828002</v>
      </c>
      <c r="C1199">
        <v>1.88227950700726</v>
      </c>
      <c r="I1199" s="1">
        <f t="shared" si="93"/>
        <v>726000.94323087286</v>
      </c>
      <c r="J1199">
        <f t="shared" si="94"/>
        <v>600.00006686104462</v>
      </c>
      <c r="K1199" s="1">
        <f t="shared" si="95"/>
        <v>4.0379376335174868</v>
      </c>
      <c r="L1199" s="1">
        <f t="shared" si="95"/>
        <v>5.3080288012609911</v>
      </c>
      <c r="N1199">
        <f>I1199</f>
        <v>726000.94323087286</v>
      </c>
      <c r="O1199" s="1">
        <f>SUM(K$2:K1199)/$G$3</f>
        <v>0.17351385210518849</v>
      </c>
      <c r="P1199" s="1">
        <f>SUM(L$2:L1199)/$G$3</f>
        <v>0.18315191486837734</v>
      </c>
      <c r="Q1199" s="1">
        <f t="shared" si="91"/>
        <v>173.5138521051885</v>
      </c>
      <c r="R1199" s="1">
        <f t="shared" si="92"/>
        <v>183.15191486837733</v>
      </c>
    </row>
    <row r="1200" spans="1:18" x14ac:dyDescent="0.35">
      <c r="A1200">
        <v>8.4097331400200801</v>
      </c>
      <c r="B1200">
        <v>1.4249346497531601</v>
      </c>
      <c r="C1200">
        <v>1.8798222435277701</v>
      </c>
      <c r="I1200" s="1">
        <f t="shared" si="93"/>
        <v>726600.94329773495</v>
      </c>
      <c r="J1200">
        <f t="shared" si="94"/>
        <v>600.00006686209235</v>
      </c>
      <c r="K1200" s="1">
        <f t="shared" si="95"/>
        <v>4.0183161600922386</v>
      </c>
      <c r="L1200" s="1">
        <f t="shared" si="95"/>
        <v>5.3010993174858996</v>
      </c>
      <c r="N1200">
        <f>I1200</f>
        <v>726600.94329773495</v>
      </c>
      <c r="O1200" s="1">
        <f>SUM(K$2:K1200)/$G$3</f>
        <v>0.17355549916079394</v>
      </c>
      <c r="P1200" s="1">
        <f>SUM(L$2:L1200)/$G$3</f>
        <v>0.18320685708030132</v>
      </c>
      <c r="Q1200" s="1">
        <f t="shared" si="91"/>
        <v>173.55549916079394</v>
      </c>
      <c r="R1200" s="1">
        <f t="shared" si="92"/>
        <v>183.20685708030132</v>
      </c>
    </row>
    <row r="1201" spans="1:18" x14ac:dyDescent="0.35">
      <c r="A1201">
        <v>8.4166775852383804</v>
      </c>
      <c r="B1201">
        <v>1.4184187013324601</v>
      </c>
      <c r="C1201">
        <v>1.87920742774773</v>
      </c>
      <c r="I1201" s="1">
        <f t="shared" si="93"/>
        <v>727200.94336459611</v>
      </c>
      <c r="J1201">
        <f t="shared" si="94"/>
        <v>600.00006686116103</v>
      </c>
      <c r="K1201" s="1">
        <f t="shared" si="95"/>
        <v>3.9999411834920071</v>
      </c>
      <c r="L1201" s="1">
        <f t="shared" si="95"/>
        <v>5.2993655367847534</v>
      </c>
      <c r="N1201">
        <f>I1201</f>
        <v>727200.94336459611</v>
      </c>
      <c r="O1201" s="1">
        <f>SUM(K$2:K1201)/$G$3</f>
        <v>0.17359695577253142</v>
      </c>
      <c r="P1201" s="1">
        <f>SUM(L$2:L1201)/$G$3</f>
        <v>0.18326178132279278</v>
      </c>
      <c r="Q1201" s="1">
        <f t="shared" si="91"/>
        <v>173.59695577253143</v>
      </c>
      <c r="R1201" s="1">
        <f t="shared" si="92"/>
        <v>183.26178132279279</v>
      </c>
    </row>
    <row r="1202" spans="1:18" x14ac:dyDescent="0.35">
      <c r="A1202">
        <v>8.4236220304566896</v>
      </c>
      <c r="B1202">
        <v>1.41233652861255</v>
      </c>
      <c r="C1202">
        <v>1.87814993097954</v>
      </c>
      <c r="I1202" s="1">
        <f t="shared" si="93"/>
        <v>727800.94343145797</v>
      </c>
      <c r="J1202">
        <f t="shared" si="94"/>
        <v>600.00006686185952</v>
      </c>
      <c r="K1202" s="1">
        <f t="shared" si="95"/>
        <v>3.9827894545151898</v>
      </c>
      <c r="L1202" s="1">
        <f t="shared" si="95"/>
        <v>5.2963833955723079</v>
      </c>
      <c r="N1202">
        <f>I1202</f>
        <v>727800.94343145797</v>
      </c>
      <c r="O1202" s="1">
        <f>SUM(K$2:K1202)/$G$3</f>
        <v>0.17363823461851283</v>
      </c>
      <c r="P1202" s="1">
        <f>SUM(L$2:L1202)/$G$3</f>
        <v>0.18331667465746213</v>
      </c>
      <c r="Q1202" s="1">
        <f t="shared" si="91"/>
        <v>173.63823461851283</v>
      </c>
      <c r="R1202" s="1">
        <f t="shared" si="92"/>
        <v>183.31667465746213</v>
      </c>
    </row>
    <row r="1203" spans="1:18" x14ac:dyDescent="0.35">
      <c r="A1203">
        <v>8.4305664756750005</v>
      </c>
      <c r="B1203">
        <v>1.4055883044603401</v>
      </c>
      <c r="C1203">
        <v>1.87553466533721</v>
      </c>
      <c r="I1203" s="1">
        <f t="shared" si="93"/>
        <v>728400.94349832006</v>
      </c>
      <c r="J1203">
        <f t="shared" si="94"/>
        <v>600.00006686209235</v>
      </c>
      <c r="K1203" s="1">
        <f t="shared" si="95"/>
        <v>3.963759460286862</v>
      </c>
      <c r="L1203" s="1">
        <f t="shared" si="95"/>
        <v>5.2890083456411405</v>
      </c>
      <c r="N1203">
        <f>I1203</f>
        <v>728400.94349832006</v>
      </c>
      <c r="O1203" s="1">
        <f>SUM(K$2:K1203)/$G$3</f>
        <v>0.17367931623182356</v>
      </c>
      <c r="P1203" s="1">
        <f>SUM(L$2:L1203)/$G$3</f>
        <v>0.18337149155486213</v>
      </c>
      <c r="Q1203" s="1">
        <f t="shared" si="91"/>
        <v>173.67931623182355</v>
      </c>
      <c r="R1203" s="1">
        <f t="shared" si="92"/>
        <v>183.37149155486213</v>
      </c>
    </row>
    <row r="1204" spans="1:18" x14ac:dyDescent="0.35">
      <c r="A1204">
        <v>8.4375109208933097</v>
      </c>
      <c r="B1204">
        <v>1.3989575679075199</v>
      </c>
      <c r="C1204">
        <v>1.8735597481108199</v>
      </c>
      <c r="I1204" s="1">
        <f t="shared" si="93"/>
        <v>729000.94356518192</v>
      </c>
      <c r="J1204">
        <f t="shared" si="94"/>
        <v>600.00006686185952</v>
      </c>
      <c r="K1204" s="1">
        <f t="shared" si="95"/>
        <v>3.945060781122657</v>
      </c>
      <c r="L1204" s="1">
        <f t="shared" si="95"/>
        <v>5.2834390784400496</v>
      </c>
      <c r="N1204">
        <f>I1204</f>
        <v>729000.94356518192</v>
      </c>
      <c r="O1204" s="1">
        <f>SUM(K$2:K1204)/$G$3</f>
        <v>0.17372020404631414</v>
      </c>
      <c r="P1204" s="1">
        <f>SUM(L$2:L1204)/$G$3</f>
        <v>0.18342625073067642</v>
      </c>
      <c r="Q1204" s="1">
        <f t="shared" si="91"/>
        <v>173.72020404631414</v>
      </c>
      <c r="R1204" s="1">
        <f t="shared" si="92"/>
        <v>183.42625073067643</v>
      </c>
    </row>
    <row r="1205" spans="1:18" x14ac:dyDescent="0.35">
      <c r="A1205">
        <v>8.44445536611161</v>
      </c>
      <c r="B1205">
        <v>1.39247553959989</v>
      </c>
      <c r="C1205">
        <v>1.8726993015673401</v>
      </c>
      <c r="I1205" s="1">
        <f t="shared" si="93"/>
        <v>729600.94363204308</v>
      </c>
      <c r="J1205">
        <f t="shared" si="94"/>
        <v>600.00006686116103</v>
      </c>
      <c r="K1205" s="1">
        <f t="shared" si="95"/>
        <v>3.9267814592535868</v>
      </c>
      <c r="L1205" s="1">
        <f t="shared" si="95"/>
        <v>5.2810126189108928</v>
      </c>
      <c r="N1205">
        <f>I1205</f>
        <v>729600.94363204308</v>
      </c>
      <c r="O1205" s="1">
        <f>SUM(K$2:K1205)/$G$3</f>
        <v>0.17376090240833159</v>
      </c>
      <c r="P1205" s="1">
        <f>SUM(L$2:L1205)/$G$3</f>
        <v>0.18348098475792324</v>
      </c>
      <c r="Q1205" s="1">
        <f t="shared" si="91"/>
        <v>173.76090240833159</v>
      </c>
      <c r="R1205" s="1">
        <f t="shared" si="92"/>
        <v>183.48098475792324</v>
      </c>
    </row>
    <row r="1206" spans="1:18" x14ac:dyDescent="0.35">
      <c r="A1206">
        <v>8.4513998113299191</v>
      </c>
      <c r="B1206">
        <v>1.3860025600108801</v>
      </c>
      <c r="C1206">
        <v>1.8708140811531</v>
      </c>
      <c r="I1206" s="1">
        <f t="shared" si="93"/>
        <v>730200.94369890506</v>
      </c>
      <c r="J1206">
        <f t="shared" si="94"/>
        <v>600.00006686197594</v>
      </c>
      <c r="K1206" s="1">
        <f t="shared" si="95"/>
        <v>3.9085276547837702</v>
      </c>
      <c r="L1206" s="1">
        <f t="shared" si="95"/>
        <v>5.2756962967574745</v>
      </c>
      <c r="N1206">
        <f>I1206</f>
        <v>730200.94369890506</v>
      </c>
      <c r="O1206" s="1">
        <f>SUM(K$2:K1206)/$G$3</f>
        <v>0.17380141158234605</v>
      </c>
      <c r="P1206" s="1">
        <f>SUM(L$2:L1206)/$G$3</f>
        <v>0.18353566368518404</v>
      </c>
      <c r="Q1206" s="1">
        <f t="shared" si="91"/>
        <v>173.80141158234605</v>
      </c>
      <c r="R1206" s="1">
        <f t="shared" si="92"/>
        <v>183.53566368518403</v>
      </c>
    </row>
    <row r="1207" spans="1:18" x14ac:dyDescent="0.35">
      <c r="A1207">
        <v>8.4583442565482194</v>
      </c>
      <c r="B1207">
        <v>1.3796622131696099</v>
      </c>
      <c r="C1207">
        <v>1.8685230076803101</v>
      </c>
      <c r="I1207" s="1">
        <f t="shared" si="93"/>
        <v>730800.9437657661</v>
      </c>
      <c r="J1207">
        <f t="shared" si="94"/>
        <v>600.00006686104462</v>
      </c>
      <c r="K1207" s="1">
        <f t="shared" si="95"/>
        <v>3.890647874692887</v>
      </c>
      <c r="L1207" s="1">
        <f t="shared" si="95"/>
        <v>5.2692354688360554</v>
      </c>
      <c r="N1207">
        <f>I1207</f>
        <v>730800.9437657661</v>
      </c>
      <c r="O1207" s="1">
        <f>SUM(K$2:K1207)/$G$3</f>
        <v>0.17384173544486037</v>
      </c>
      <c r="P1207" s="1">
        <f>SUM(L$2:L1207)/$G$3</f>
        <v>0.18359027565045158</v>
      </c>
      <c r="Q1207" s="1">
        <f t="shared" si="91"/>
        <v>173.84173544486038</v>
      </c>
      <c r="R1207" s="1">
        <f t="shared" si="92"/>
        <v>183.59027565045159</v>
      </c>
    </row>
    <row r="1208" spans="1:18" x14ac:dyDescent="0.35">
      <c r="A1208">
        <v>8.4652887017665304</v>
      </c>
      <c r="B1208">
        <v>1.3734049329275499</v>
      </c>
      <c r="C1208">
        <v>1.8665566843659001</v>
      </c>
      <c r="I1208" s="1">
        <f t="shared" si="93"/>
        <v>731400.9438326282</v>
      </c>
      <c r="J1208">
        <f t="shared" si="94"/>
        <v>600.00006686209235</v>
      </c>
      <c r="K1208" s="1">
        <f t="shared" si="95"/>
        <v>3.8730023424507101</v>
      </c>
      <c r="L1208" s="1">
        <f t="shared" si="95"/>
        <v>5.2636904364807</v>
      </c>
      <c r="N1208">
        <f>I1208</f>
        <v>731400.9438326282</v>
      </c>
      <c r="O1208" s="1">
        <f>SUM(K$2:K1208)/$G$3</f>
        <v>0.17388187642369074</v>
      </c>
      <c r="P1208" s="1">
        <f>SUM(L$2:L1208)/$G$3</f>
        <v>0.18364483014531066</v>
      </c>
      <c r="Q1208" s="1">
        <f t="shared" si="91"/>
        <v>173.88187642369073</v>
      </c>
      <c r="R1208" s="1">
        <f t="shared" si="92"/>
        <v>183.64483014531066</v>
      </c>
    </row>
    <row r="1209" spans="1:18" x14ac:dyDescent="0.35">
      <c r="A1209">
        <v>8.4722331469848395</v>
      </c>
      <c r="B1209">
        <v>1.36698185767438</v>
      </c>
      <c r="C1209">
        <v>1.86481462988883</v>
      </c>
      <c r="I1209" s="1">
        <f t="shared" si="93"/>
        <v>732000.94389949017</v>
      </c>
      <c r="J1209">
        <f t="shared" si="94"/>
        <v>600.00006686197594</v>
      </c>
      <c r="K1209" s="1">
        <f t="shared" si="95"/>
        <v>3.8548892682175597</v>
      </c>
      <c r="L1209" s="1">
        <f t="shared" si="95"/>
        <v>5.2587778423068974</v>
      </c>
      <c r="N1209">
        <f>I1209</f>
        <v>732000.94389949017</v>
      </c>
      <c r="O1209" s="1">
        <f>SUM(K$2:K1209)/$G$3</f>
        <v>0.17392182967308931</v>
      </c>
      <c r="P1209" s="1">
        <f>SUM(L$2:L1209)/$G$3</f>
        <v>0.18369933372454381</v>
      </c>
      <c r="Q1209" s="1">
        <f t="shared" si="91"/>
        <v>173.92182967308932</v>
      </c>
      <c r="R1209" s="1">
        <f t="shared" si="92"/>
        <v>183.69933372454381</v>
      </c>
    </row>
    <row r="1210" spans="1:18" x14ac:dyDescent="0.35">
      <c r="A1210">
        <v>8.4791775922031398</v>
      </c>
      <c r="B1210">
        <v>1.3604146423612</v>
      </c>
      <c r="C1210">
        <v>1.8643143548528001</v>
      </c>
      <c r="I1210" s="1">
        <f t="shared" si="93"/>
        <v>732600.94396635133</v>
      </c>
      <c r="J1210">
        <f t="shared" si="94"/>
        <v>600.00006686116103</v>
      </c>
      <c r="K1210" s="1">
        <f t="shared" si="95"/>
        <v>3.8363697189654258</v>
      </c>
      <c r="L1210" s="1">
        <f t="shared" si="95"/>
        <v>5.2573670665409411</v>
      </c>
      <c r="N1210">
        <f>I1210</f>
        <v>732600.94396635133</v>
      </c>
      <c r="O1210" s="1">
        <f>SUM(K$2:K1210)/$G$3</f>
        <v>0.17396159098022479</v>
      </c>
      <c r="P1210" s="1">
        <f>SUM(L$2:L1210)/$G$3</f>
        <v>0.18375382268206611</v>
      </c>
      <c r="Q1210" s="1">
        <f t="shared" si="91"/>
        <v>173.9615909802248</v>
      </c>
      <c r="R1210" s="1">
        <f t="shared" si="92"/>
        <v>183.7538226820661</v>
      </c>
    </row>
    <row r="1211" spans="1:18" x14ac:dyDescent="0.35">
      <c r="A1211">
        <v>8.4861220374214508</v>
      </c>
      <c r="B1211">
        <v>1.3544792128194401</v>
      </c>
      <c r="C1211">
        <v>1.86313320894409</v>
      </c>
      <c r="I1211" s="1">
        <f t="shared" si="93"/>
        <v>733200.94403321331</v>
      </c>
      <c r="J1211">
        <f t="shared" si="94"/>
        <v>600.00006686197594</v>
      </c>
      <c r="K1211" s="1">
        <f t="shared" si="95"/>
        <v>3.8196318057976568</v>
      </c>
      <c r="L1211" s="1">
        <f t="shared" si="95"/>
        <v>5.2540362347143432</v>
      </c>
      <c r="N1211">
        <f>I1211</f>
        <v>733200.94403321331</v>
      </c>
      <c r="O1211" s="1">
        <f>SUM(K$2:K1211)/$G$3</f>
        <v>0.17400117881051755</v>
      </c>
      <c r="P1211" s="1">
        <f>SUM(L$2:L1211)/$G$3</f>
        <v>0.18380827711783035</v>
      </c>
      <c r="Q1211" s="1">
        <f t="shared" si="91"/>
        <v>174.00117881051756</v>
      </c>
      <c r="R1211" s="1">
        <f t="shared" si="92"/>
        <v>183.80827711783036</v>
      </c>
    </row>
    <row r="1212" spans="1:18" x14ac:dyDescent="0.35">
      <c r="A1212">
        <v>8.4930664826397599</v>
      </c>
      <c r="B1212">
        <v>1.3484348382662299</v>
      </c>
      <c r="C1212">
        <v>1.8620835778631499</v>
      </c>
      <c r="I1212" s="1">
        <f t="shared" si="93"/>
        <v>733800.94410007528</v>
      </c>
      <c r="J1212">
        <f t="shared" si="94"/>
        <v>600.00006686197594</v>
      </c>
      <c r="K1212" s="1">
        <f t="shared" si="95"/>
        <v>3.8025866676581517</v>
      </c>
      <c r="L1212" s="1">
        <f t="shared" si="95"/>
        <v>5.2510762747362438</v>
      </c>
      <c r="N1212">
        <f>I1212</f>
        <v>733800.94410007528</v>
      </c>
      <c r="O1212" s="1">
        <f>SUM(K$2:K1212)/$G$3</f>
        <v>0.17404058997979419</v>
      </c>
      <c r="P1212" s="1">
        <f>SUM(L$2:L1212)/$G$3</f>
        <v>0.18386270087566564</v>
      </c>
      <c r="Q1212" s="1">
        <f t="shared" si="91"/>
        <v>174.04058997979419</v>
      </c>
      <c r="R1212" s="1">
        <f t="shared" si="92"/>
        <v>183.86270087566564</v>
      </c>
    </row>
    <row r="1213" spans="1:18" x14ac:dyDescent="0.35">
      <c r="A1213">
        <v>8.5000109278580602</v>
      </c>
      <c r="B1213">
        <v>1.3422027162830099</v>
      </c>
      <c r="C1213">
        <v>1.8605824032482801</v>
      </c>
      <c r="I1213" s="1">
        <f t="shared" si="93"/>
        <v>734400.94416693645</v>
      </c>
      <c r="J1213">
        <f t="shared" si="94"/>
        <v>600.00006686116103</v>
      </c>
      <c r="K1213" s="1">
        <f t="shared" si="95"/>
        <v>3.7850120817018786</v>
      </c>
      <c r="L1213" s="1">
        <f t="shared" si="95"/>
        <v>5.2468429618434378</v>
      </c>
      <c r="N1213">
        <f>I1213</f>
        <v>734400.94416693645</v>
      </c>
      <c r="O1213" s="1">
        <f>SUM(K$2:K1213)/$G$3</f>
        <v>0.17407981900069591</v>
      </c>
      <c r="P1213" s="1">
        <f>SUM(L$2:L1213)/$G$3</f>
        <v>0.18391708075815349</v>
      </c>
      <c r="Q1213" s="1">
        <f t="shared" si="91"/>
        <v>174.07981900069592</v>
      </c>
      <c r="R1213" s="1">
        <f t="shared" si="92"/>
        <v>183.9170807581535</v>
      </c>
    </row>
    <row r="1214" spans="1:18" x14ac:dyDescent="0.35">
      <c r="A1214">
        <v>8.5069553730763605</v>
      </c>
      <c r="B1214">
        <v>1.3356040888716101</v>
      </c>
      <c r="C1214">
        <v>1.85937800109677</v>
      </c>
      <c r="I1214" s="1">
        <f t="shared" si="93"/>
        <v>735000.94423379749</v>
      </c>
      <c r="J1214">
        <f t="shared" si="94"/>
        <v>600.00006686104462</v>
      </c>
      <c r="K1214" s="1">
        <f t="shared" si="95"/>
        <v>3.7664039503273981</v>
      </c>
      <c r="L1214" s="1">
        <f t="shared" si="95"/>
        <v>5.2434465473966823</v>
      </c>
      <c r="N1214">
        <f>I1214</f>
        <v>735000.94423379749</v>
      </c>
      <c r="O1214" s="1">
        <f>SUM(K$2:K1214)/$G$3</f>
        <v>0.1741188551612424</v>
      </c>
      <c r="P1214" s="1">
        <f>SUM(L$2:L1214)/$G$3</f>
        <v>0.18397142543916503</v>
      </c>
      <c r="Q1214" s="1">
        <f t="shared" si="91"/>
        <v>174.11885516124241</v>
      </c>
      <c r="R1214" s="1">
        <f t="shared" si="92"/>
        <v>183.97142543916505</v>
      </c>
    </row>
    <row r="1215" spans="1:18" x14ac:dyDescent="0.35">
      <c r="A1215">
        <v>8.5138998182946803</v>
      </c>
      <c r="B1215">
        <v>1.3297410241721499</v>
      </c>
      <c r="C1215">
        <v>1.85821269379871</v>
      </c>
      <c r="I1215" s="1">
        <f t="shared" si="93"/>
        <v>735600.9443006604</v>
      </c>
      <c r="J1215">
        <f t="shared" si="94"/>
        <v>600.00006686290726</v>
      </c>
      <c r="K1215" s="1">
        <f t="shared" si="95"/>
        <v>3.7498701060441113</v>
      </c>
      <c r="L1215" s="1">
        <f t="shared" si="95"/>
        <v>5.240160380466226</v>
      </c>
      <c r="N1215">
        <f>I1215</f>
        <v>735600.9443006604</v>
      </c>
      <c r="O1215" s="1">
        <f>SUM(K$2:K1215)/$G$3</f>
        <v>0.17415771995997842</v>
      </c>
      <c r="P1215" s="1">
        <f>SUM(L$2:L1215)/$G$3</f>
        <v>0.1840257360613391</v>
      </c>
      <c r="Q1215" s="1">
        <f t="shared" si="91"/>
        <v>174.15771995997841</v>
      </c>
      <c r="R1215" s="1">
        <f t="shared" si="92"/>
        <v>184.0257360613391</v>
      </c>
    </row>
    <row r="1216" spans="1:18" x14ac:dyDescent="0.35">
      <c r="A1216">
        <v>8.5208442635129806</v>
      </c>
      <c r="B1216">
        <v>1.32373990406468</v>
      </c>
      <c r="C1216">
        <v>1.8562990111183999</v>
      </c>
      <c r="I1216" s="1">
        <f t="shared" si="93"/>
        <v>736200.94436752156</v>
      </c>
      <c r="J1216">
        <f t="shared" si="94"/>
        <v>600.00006686116103</v>
      </c>
      <c r="K1216" s="1">
        <f t="shared" si="95"/>
        <v>3.7329469454442963</v>
      </c>
      <c r="L1216" s="1">
        <f t="shared" si="95"/>
        <v>5.2347637946911316</v>
      </c>
      <c r="N1216">
        <f>I1216</f>
        <v>736200.94436752156</v>
      </c>
      <c r="O1216" s="1">
        <f>SUM(K$2:K1216)/$G$3</f>
        <v>0.17419640936191078</v>
      </c>
      <c r="P1216" s="1">
        <f>SUM(L$2:L1216)/$G$3</f>
        <v>0.18407999075165044</v>
      </c>
      <c r="Q1216" s="1">
        <f t="shared" si="91"/>
        <v>174.19640936191078</v>
      </c>
      <c r="R1216" s="1">
        <f t="shared" si="92"/>
        <v>184.07999075165043</v>
      </c>
    </row>
    <row r="1217" spans="1:18" x14ac:dyDescent="0.35">
      <c r="A1217">
        <v>8.5277887087312898</v>
      </c>
      <c r="B1217">
        <v>1.31832298302113</v>
      </c>
      <c r="C1217">
        <v>1.8556363470396999</v>
      </c>
      <c r="I1217" s="1">
        <f t="shared" si="93"/>
        <v>736800.94443438342</v>
      </c>
      <c r="J1217">
        <f t="shared" si="94"/>
        <v>600.00006686185952</v>
      </c>
      <c r="K1217" s="1">
        <f t="shared" si="95"/>
        <v>3.7176712264035596</v>
      </c>
      <c r="L1217" s="1">
        <f t="shared" si="95"/>
        <v>5.2328950817870483</v>
      </c>
      <c r="N1217">
        <f>I1217</f>
        <v>736800.94443438342</v>
      </c>
      <c r="O1217" s="1">
        <f>SUM(K$2:K1217)/$G$3</f>
        <v>0.17423494044162685</v>
      </c>
      <c r="P1217" s="1">
        <f>SUM(L$2:L1217)/$G$3</f>
        <v>0.18413422607405067</v>
      </c>
      <c r="Q1217" s="1">
        <f t="shared" si="91"/>
        <v>174.23494044162686</v>
      </c>
      <c r="R1217" s="1">
        <f t="shared" si="92"/>
        <v>184.13422607405067</v>
      </c>
    </row>
    <row r="1218" spans="1:18" x14ac:dyDescent="0.35">
      <c r="A1218">
        <v>8.5347331539495901</v>
      </c>
      <c r="B1218">
        <v>1.3116750583963199</v>
      </c>
      <c r="C1218">
        <v>1.8550210579039501</v>
      </c>
      <c r="I1218" s="1">
        <f t="shared" si="93"/>
        <v>737400.94450124458</v>
      </c>
      <c r="J1218">
        <f t="shared" si="94"/>
        <v>600.00006686116103</v>
      </c>
      <c r="K1218" s="1">
        <f t="shared" si="95"/>
        <v>3.6989240768681735</v>
      </c>
      <c r="L1218" s="1">
        <f t="shared" si="95"/>
        <v>5.2311599662247898</v>
      </c>
      <c r="N1218">
        <f>I1218</f>
        <v>737400.94450124458</v>
      </c>
      <c r="O1218" s="1">
        <f>SUM(K$2:K1218)/$G$3</f>
        <v>0.174273277220161</v>
      </c>
      <c r="P1218" s="1">
        <f>SUM(L$2:L1218)/$G$3</f>
        <v>0.18418844341318344</v>
      </c>
      <c r="Q1218" s="1">
        <f t="shared" ref="Q1218:Q1281" si="96">O1218*1000</f>
        <v>174.27327722016099</v>
      </c>
      <c r="R1218" s="1">
        <f t="shared" ref="R1218:R1281" si="97">P1218*1000</f>
        <v>184.18844341318345</v>
      </c>
    </row>
    <row r="1219" spans="1:18" x14ac:dyDescent="0.35">
      <c r="A1219">
        <v>8.5416775991678993</v>
      </c>
      <c r="B1219">
        <v>1.30562147873274</v>
      </c>
      <c r="C1219">
        <v>1.8525756629788901</v>
      </c>
      <c r="I1219" s="1">
        <f t="shared" ref="I1219:I1282" si="98">A1219*86400</f>
        <v>738000.94456810644</v>
      </c>
      <c r="J1219">
        <f t="shared" si="94"/>
        <v>600.00006686185952</v>
      </c>
      <c r="K1219" s="1">
        <f t="shared" si="95"/>
        <v>3.6818529803188427</v>
      </c>
      <c r="L1219" s="1">
        <f t="shared" si="95"/>
        <v>5.224263951773743</v>
      </c>
      <c r="N1219">
        <f>I1219</f>
        <v>738000.94456810644</v>
      </c>
      <c r="O1219" s="1">
        <f>SUM(K$2:K1219)/$G$3</f>
        <v>0.17431143706863816</v>
      </c>
      <c r="P1219" s="1">
        <f>SUM(L$2:L1219)/$G$3</f>
        <v>0.18424258927991688</v>
      </c>
      <c r="Q1219" s="1">
        <f t="shared" si="96"/>
        <v>174.31143706863816</v>
      </c>
      <c r="R1219" s="1">
        <f t="shared" si="97"/>
        <v>184.24258927991687</v>
      </c>
    </row>
    <row r="1220" spans="1:18" x14ac:dyDescent="0.35">
      <c r="A1220">
        <v>8.5486220443861995</v>
      </c>
      <c r="B1220">
        <v>1.29963317967864</v>
      </c>
      <c r="C1220">
        <v>1.8519739690697401</v>
      </c>
      <c r="I1220" s="1">
        <f t="shared" si="98"/>
        <v>738600.9446349676</v>
      </c>
      <c r="J1220">
        <f t="shared" si="94"/>
        <v>600.00006686116103</v>
      </c>
      <c r="K1220" s="1">
        <f t="shared" si="95"/>
        <v>3.6649659751001864</v>
      </c>
      <c r="L1220" s="1">
        <f t="shared" si="95"/>
        <v>5.2225671747547775</v>
      </c>
      <c r="N1220">
        <f>I1220</f>
        <v>738600.9446349676</v>
      </c>
      <c r="O1220" s="1">
        <f>SUM(K$2:K1220)/$G$3</f>
        <v>0.1743494218950371</v>
      </c>
      <c r="P1220" s="1">
        <f>SUM(L$2:L1220)/$G$3</f>
        <v>0.18429671756073518</v>
      </c>
      <c r="Q1220" s="1">
        <f t="shared" si="96"/>
        <v>174.3494218950371</v>
      </c>
      <c r="R1220" s="1">
        <f t="shared" si="97"/>
        <v>184.29671756073517</v>
      </c>
    </row>
    <row r="1221" spans="1:18" x14ac:dyDescent="0.35">
      <c r="A1221">
        <v>8.5555664896045105</v>
      </c>
      <c r="B1221">
        <v>1.29390032438142</v>
      </c>
      <c r="C1221">
        <v>1.8510582618517499</v>
      </c>
      <c r="I1221" s="1">
        <f t="shared" si="98"/>
        <v>739200.94470182969</v>
      </c>
      <c r="J1221">
        <f t="shared" si="94"/>
        <v>600.00006686209235</v>
      </c>
      <c r="K1221" s="1">
        <f t="shared" si="95"/>
        <v>3.6487993213661545</v>
      </c>
      <c r="L1221" s="1">
        <f t="shared" si="95"/>
        <v>5.2199848801203883</v>
      </c>
      <c r="N1221">
        <f>I1221</f>
        <v>739200.94470182969</v>
      </c>
      <c r="O1221" s="1">
        <f>SUM(K$2:K1221)/$G$3</f>
        <v>0.17438723916530055</v>
      </c>
      <c r="P1221" s="1">
        <f>SUM(L$2:L1221)/$G$3</f>
        <v>0.18435081907786346</v>
      </c>
      <c r="Q1221" s="1">
        <f t="shared" si="96"/>
        <v>174.38723916530054</v>
      </c>
      <c r="R1221" s="1">
        <f t="shared" si="97"/>
        <v>184.35081907786346</v>
      </c>
    </row>
    <row r="1222" spans="1:18" x14ac:dyDescent="0.35">
      <c r="A1222">
        <v>8.5625109348228197</v>
      </c>
      <c r="B1222">
        <v>1.2881790589462301</v>
      </c>
      <c r="C1222">
        <v>1.85034649893949</v>
      </c>
      <c r="I1222" s="1">
        <f t="shared" si="98"/>
        <v>739800.94476869167</v>
      </c>
      <c r="J1222">
        <f t="shared" ref="J1222:J1285" si="99">I1222-I1221</f>
        <v>600.00006686197594</v>
      </c>
      <c r="K1222" s="1">
        <f t="shared" si="95"/>
        <v>3.6326653510402958</v>
      </c>
      <c r="L1222" s="1">
        <f t="shared" si="95"/>
        <v>5.2179777084831303</v>
      </c>
      <c r="N1222">
        <f>I1222</f>
        <v>739800.94476869167</v>
      </c>
      <c r="O1222" s="1">
        <f>SUM(K$2:K1222)/$G$3</f>
        <v>0.17442488921816929</v>
      </c>
      <c r="P1222" s="1">
        <f>SUM(L$2:L1222)/$G$3</f>
        <v>0.18440489979205199</v>
      </c>
      <c r="Q1222" s="1">
        <f t="shared" si="96"/>
        <v>174.42488921816928</v>
      </c>
      <c r="R1222" s="1">
        <f t="shared" si="97"/>
        <v>184.40489979205199</v>
      </c>
    </row>
    <row r="1223" spans="1:18" x14ac:dyDescent="0.35">
      <c r="A1223">
        <v>8.56945538004112</v>
      </c>
      <c r="B1223">
        <v>1.2828332033560601</v>
      </c>
      <c r="C1223">
        <v>1.8482163633922299</v>
      </c>
      <c r="I1223" s="1">
        <f t="shared" si="98"/>
        <v>740400.94483555271</v>
      </c>
      <c r="J1223">
        <f t="shared" si="99"/>
        <v>600.00006686104462</v>
      </c>
      <c r="K1223" s="1">
        <f t="shared" si="95"/>
        <v>3.6175900365904594</v>
      </c>
      <c r="L1223" s="1">
        <f t="shared" si="95"/>
        <v>5.2119707255623702</v>
      </c>
      <c r="N1223">
        <f>I1223</f>
        <v>740400.94483555271</v>
      </c>
      <c r="O1223" s="1">
        <f>SUM(K$2:K1223)/$G$3</f>
        <v>0.17446238302587608</v>
      </c>
      <c r="P1223" s="1">
        <f>SUM(L$2:L1223)/$G$3</f>
        <v>0.18445891824803545</v>
      </c>
      <c r="Q1223" s="1">
        <f t="shared" si="96"/>
        <v>174.46238302587608</v>
      </c>
      <c r="R1223" s="1">
        <f t="shared" si="97"/>
        <v>184.45891824803545</v>
      </c>
    </row>
    <row r="1224" spans="1:18" x14ac:dyDescent="0.35">
      <c r="A1224">
        <v>8.5763998252594291</v>
      </c>
      <c r="B1224">
        <v>1.27684441043571</v>
      </c>
      <c r="C1224">
        <v>1.84619241905845</v>
      </c>
      <c r="I1224" s="1">
        <f t="shared" si="98"/>
        <v>741000.94490241469</v>
      </c>
      <c r="J1224">
        <f t="shared" si="99"/>
        <v>600.00006686197594</v>
      </c>
      <c r="K1224" s="1">
        <f t="shared" si="95"/>
        <v>3.6007016386787014</v>
      </c>
      <c r="L1224" s="1">
        <f t="shared" si="95"/>
        <v>5.2062632019131732</v>
      </c>
      <c r="N1224">
        <f>I1224</f>
        <v>741000.94490241469</v>
      </c>
      <c r="O1224" s="1">
        <f>SUM(K$2:K1224)/$G$3</f>
        <v>0.17449970179707033</v>
      </c>
      <c r="P1224" s="1">
        <f>SUM(L$2:L1224)/$G$3</f>
        <v>0.18451287754950108</v>
      </c>
      <c r="Q1224" s="1">
        <f t="shared" si="96"/>
        <v>174.49970179707034</v>
      </c>
      <c r="R1224" s="1">
        <f t="shared" si="97"/>
        <v>184.51287754950107</v>
      </c>
    </row>
    <row r="1225" spans="1:18" x14ac:dyDescent="0.35">
      <c r="A1225">
        <v>8.5833442704777401</v>
      </c>
      <c r="B1225">
        <v>1.27136203665952</v>
      </c>
      <c r="C1225">
        <v>1.84604612502497</v>
      </c>
      <c r="I1225" s="1">
        <f t="shared" si="98"/>
        <v>741600.94496927678</v>
      </c>
      <c r="J1225">
        <f t="shared" si="99"/>
        <v>600.00006686209235</v>
      </c>
      <c r="K1225" s="1">
        <f t="shared" si="95"/>
        <v>3.5852413429076981</v>
      </c>
      <c r="L1225" s="1">
        <f t="shared" si="95"/>
        <v>5.2058506526937958</v>
      </c>
      <c r="N1225">
        <f>I1225</f>
        <v>741600.94496927678</v>
      </c>
      <c r="O1225" s="1">
        <f>SUM(K$2:K1225)/$G$3</f>
        <v>0.17453686033303872</v>
      </c>
      <c r="P1225" s="1">
        <f>SUM(L$2:L1225)/$G$3</f>
        <v>0.18456683257518067</v>
      </c>
      <c r="Q1225" s="1">
        <f t="shared" si="96"/>
        <v>174.53686033303873</v>
      </c>
      <c r="R1225" s="1">
        <f t="shared" si="97"/>
        <v>184.56683257518065</v>
      </c>
    </row>
    <row r="1226" spans="1:18" x14ac:dyDescent="0.35">
      <c r="A1226">
        <v>8.5902887156960404</v>
      </c>
      <c r="B1226">
        <v>1.26585314048664</v>
      </c>
      <c r="C1226">
        <v>1.8447759548939899</v>
      </c>
      <c r="I1226" s="1">
        <f t="shared" si="98"/>
        <v>742200.94503613794</v>
      </c>
      <c r="J1226">
        <f t="shared" si="99"/>
        <v>600.00006686116103</v>
      </c>
      <c r="K1226" s="1">
        <f t="shared" si="95"/>
        <v>3.5697062539634552</v>
      </c>
      <c r="L1226" s="1">
        <f t="shared" si="95"/>
        <v>5.2022687725172041</v>
      </c>
      <c r="N1226">
        <f>I1226</f>
        <v>742200.94503613794</v>
      </c>
      <c r="O1226" s="1">
        <f>SUM(K$2:K1226)/$G$3</f>
        <v>0.17457385785860188</v>
      </c>
      <c r="P1226" s="1">
        <f>SUM(L$2:L1226)/$G$3</f>
        <v>0.18462075047716045</v>
      </c>
      <c r="Q1226" s="1">
        <f t="shared" si="96"/>
        <v>174.57385785860188</v>
      </c>
      <c r="R1226" s="1">
        <f t="shared" si="97"/>
        <v>184.62075047716044</v>
      </c>
    </row>
    <row r="1227" spans="1:18" x14ac:dyDescent="0.35">
      <c r="A1227">
        <v>8.5972331609143495</v>
      </c>
      <c r="B1227">
        <v>1.2602616578924899</v>
      </c>
      <c r="C1227">
        <v>1.84347385443828</v>
      </c>
      <c r="I1227" s="1">
        <f t="shared" si="98"/>
        <v>742800.9451029998</v>
      </c>
      <c r="J1227">
        <f t="shared" si="99"/>
        <v>600.00006686185952</v>
      </c>
      <c r="K1227" s="1">
        <f t="shared" si="95"/>
        <v>3.5539382712949799</v>
      </c>
      <c r="L1227" s="1">
        <f t="shared" si="95"/>
        <v>5.1985968488289727</v>
      </c>
      <c r="N1227">
        <f>I1227</f>
        <v>742800.9451029998</v>
      </c>
      <c r="O1227" s="1">
        <f>SUM(K$2:K1227)/$G$3</f>
        <v>0.17461069195997822</v>
      </c>
      <c r="P1227" s="1">
        <f>SUM(L$2:L1227)/$G$3</f>
        <v>0.18467463032220194</v>
      </c>
      <c r="Q1227" s="1">
        <f t="shared" si="96"/>
        <v>174.61069195997823</v>
      </c>
      <c r="R1227" s="1">
        <f t="shared" si="97"/>
        <v>184.67463032220195</v>
      </c>
    </row>
    <row r="1228" spans="1:18" x14ac:dyDescent="0.35">
      <c r="A1228">
        <v>8.6041776061326605</v>
      </c>
      <c r="B1228">
        <v>1.2550082404829901</v>
      </c>
      <c r="C1228">
        <v>1.8427188920317501</v>
      </c>
      <c r="I1228" s="1">
        <f t="shared" si="98"/>
        <v>743400.94516986189</v>
      </c>
      <c r="J1228">
        <f t="shared" si="99"/>
        <v>600.00006686209235</v>
      </c>
      <c r="K1228" s="1">
        <f t="shared" si="95"/>
        <v>3.5391236325506736</v>
      </c>
      <c r="L1228" s="1">
        <f t="shared" si="95"/>
        <v>5.1964678546073273</v>
      </c>
      <c r="N1228">
        <f>I1228</f>
        <v>743400.94516986189</v>
      </c>
      <c r="O1228" s="1">
        <f>SUM(K$2:K1228)/$G$3</f>
        <v>0.17464737251791523</v>
      </c>
      <c r="P1228" s="1">
        <f>SUM(L$2:L1228)/$G$3</f>
        <v>0.18472848810169729</v>
      </c>
      <c r="Q1228" s="1">
        <f t="shared" si="96"/>
        <v>174.64737251791524</v>
      </c>
      <c r="R1228" s="1">
        <f t="shared" si="97"/>
        <v>184.72848810169728</v>
      </c>
    </row>
    <row r="1229" spans="1:18" x14ac:dyDescent="0.35">
      <c r="A1229">
        <v>8.6111220513509608</v>
      </c>
      <c r="B1229">
        <v>1.2500844652399501</v>
      </c>
      <c r="C1229">
        <v>1.8416808032994001</v>
      </c>
      <c r="I1229" s="1">
        <f t="shared" si="98"/>
        <v>744000.94523672306</v>
      </c>
      <c r="J1229">
        <f t="shared" si="99"/>
        <v>600.00006686116103</v>
      </c>
      <c r="K1229" s="1">
        <f t="shared" si="95"/>
        <v>3.5252385848125236</v>
      </c>
      <c r="L1229" s="1">
        <f t="shared" si="95"/>
        <v>5.1935404440478168</v>
      </c>
      <c r="N1229">
        <f>I1229</f>
        <v>744000.94523672306</v>
      </c>
      <c r="O1229" s="1">
        <f>SUM(K$2:K1229)/$G$3</f>
        <v>0.1746839091669779</v>
      </c>
      <c r="P1229" s="1">
        <f>SUM(L$2:L1229)/$G$3</f>
        <v>0.18478231554061575</v>
      </c>
      <c r="Q1229" s="1">
        <f t="shared" si="96"/>
        <v>174.68390916697791</v>
      </c>
      <c r="R1229" s="1">
        <f t="shared" si="97"/>
        <v>184.78231554061574</v>
      </c>
    </row>
    <row r="1230" spans="1:18" x14ac:dyDescent="0.35">
      <c r="A1230">
        <v>8.6180664965692699</v>
      </c>
      <c r="B1230">
        <v>1.24490295900449</v>
      </c>
      <c r="C1230">
        <v>1.83924853086046</v>
      </c>
      <c r="I1230" s="1">
        <f t="shared" si="98"/>
        <v>744600.94530358491</v>
      </c>
      <c r="J1230">
        <f t="shared" si="99"/>
        <v>600.00006686185952</v>
      </c>
      <c r="K1230" s="1">
        <f t="shared" si="95"/>
        <v>3.5106267356043377</v>
      </c>
      <c r="L1230" s="1">
        <f t="shared" si="95"/>
        <v>5.1866814350117085</v>
      </c>
      <c r="N1230">
        <f>I1230</f>
        <v>744600.94530358491</v>
      </c>
      <c r="O1230" s="1">
        <f>SUM(K$2:K1230)/$G$3</f>
        <v>0.17472029437437392</v>
      </c>
      <c r="P1230" s="1">
        <f>SUM(L$2:L1230)/$G$3</f>
        <v>0.18483607189067025</v>
      </c>
      <c r="Q1230" s="1">
        <f t="shared" si="96"/>
        <v>174.72029437437391</v>
      </c>
      <c r="R1230" s="1">
        <f t="shared" si="97"/>
        <v>184.83607189067024</v>
      </c>
    </row>
    <row r="1231" spans="1:18" x14ac:dyDescent="0.35">
      <c r="A1231">
        <v>8.6250109417875702</v>
      </c>
      <c r="B1231">
        <v>1.24001086174893</v>
      </c>
      <c r="C1231">
        <v>1.8393399840042199</v>
      </c>
      <c r="I1231" s="1">
        <f t="shared" si="98"/>
        <v>745200.94537044608</v>
      </c>
      <c r="J1231">
        <f t="shared" si="99"/>
        <v>600.00006686116103</v>
      </c>
      <c r="K1231" s="1">
        <f t="shared" si="95"/>
        <v>3.4968310198022428</v>
      </c>
      <c r="L1231" s="1">
        <f t="shared" si="95"/>
        <v>5.1869393328998123</v>
      </c>
      <c r="N1231">
        <f>I1231</f>
        <v>745200.94537044608</v>
      </c>
      <c r="O1231" s="1">
        <f>SUM(K$2:K1231)/$G$3</f>
        <v>0.17475653659875909</v>
      </c>
      <c r="P1231" s="1">
        <f>SUM(L$2:L1231)/$G$3</f>
        <v>0.18488983091365724</v>
      </c>
      <c r="Q1231" s="1">
        <f t="shared" si="96"/>
        <v>174.75653659875908</v>
      </c>
      <c r="R1231" s="1">
        <f t="shared" si="97"/>
        <v>184.88983091365725</v>
      </c>
    </row>
    <row r="1232" spans="1:18" x14ac:dyDescent="0.35">
      <c r="A1232">
        <v>8.6319553870058794</v>
      </c>
      <c r="B1232">
        <v>1.2349681069156699</v>
      </c>
      <c r="C1232">
        <v>1.8381748886606899</v>
      </c>
      <c r="I1232" s="1">
        <f t="shared" si="98"/>
        <v>745800.94543730794</v>
      </c>
      <c r="J1232">
        <f t="shared" si="99"/>
        <v>600.00006686185952</v>
      </c>
      <c r="K1232" s="1">
        <f t="shared" si="95"/>
        <v>3.4826104495918302</v>
      </c>
      <c r="L1232" s="1">
        <f t="shared" si="95"/>
        <v>5.1836537636709652</v>
      </c>
      <c r="N1232">
        <f>I1232</f>
        <v>745800.94543730794</v>
      </c>
      <c r="O1232" s="1">
        <f>SUM(K$2:K1232)/$G$3</f>
        <v>0.17479263143681256</v>
      </c>
      <c r="P1232" s="1">
        <f>SUM(L$2:L1232)/$G$3</f>
        <v>0.18494355588400155</v>
      </c>
      <c r="Q1232" s="1">
        <f t="shared" si="96"/>
        <v>174.79263143681257</v>
      </c>
      <c r="R1232" s="1">
        <f t="shared" si="97"/>
        <v>184.94355588400154</v>
      </c>
    </row>
    <row r="1233" spans="1:18" x14ac:dyDescent="0.35">
      <c r="A1233">
        <v>8.6388998322241797</v>
      </c>
      <c r="B1233">
        <v>1.22979694342218</v>
      </c>
      <c r="C1233">
        <v>1.83733612592484</v>
      </c>
      <c r="I1233" s="1">
        <f t="shared" si="98"/>
        <v>746400.9455041691</v>
      </c>
      <c r="J1233">
        <f t="shared" si="99"/>
        <v>600.00006686116103</v>
      </c>
      <c r="K1233" s="1">
        <f t="shared" si="95"/>
        <v>3.4680277669111099</v>
      </c>
      <c r="L1233" s="1">
        <f t="shared" si="95"/>
        <v>5.1812884524862541</v>
      </c>
      <c r="N1233">
        <f>I1233</f>
        <v>746400.9455041691</v>
      </c>
      <c r="O1233" s="1">
        <f>SUM(K$2:K1233)/$G$3</f>
        <v>0.17482857513549019</v>
      </c>
      <c r="P1233" s="1">
        <f>SUM(L$2:L1233)/$G$3</f>
        <v>0.18499725633953856</v>
      </c>
      <c r="Q1233" s="1">
        <f t="shared" si="96"/>
        <v>174.82857513549018</v>
      </c>
      <c r="R1233" s="1">
        <f t="shared" si="97"/>
        <v>184.99725633953855</v>
      </c>
    </row>
    <row r="1234" spans="1:18" x14ac:dyDescent="0.35">
      <c r="A1234">
        <v>8.6458442774424906</v>
      </c>
      <c r="B1234">
        <v>1.22491557320564</v>
      </c>
      <c r="C1234">
        <v>1.8359143289806901</v>
      </c>
      <c r="I1234" s="1">
        <f t="shared" si="98"/>
        <v>747000.94557103119</v>
      </c>
      <c r="J1234">
        <f t="shared" si="99"/>
        <v>600.00006686209235</v>
      </c>
      <c r="K1234" s="1">
        <f t="shared" si="95"/>
        <v>3.4542623013718705</v>
      </c>
      <c r="L1234" s="1">
        <f t="shared" si="95"/>
        <v>5.1772789846649907</v>
      </c>
      <c r="N1234">
        <f>I1234</f>
        <v>747000.94557103119</v>
      </c>
      <c r="O1234" s="1">
        <f>SUM(K$2:K1234)/$G$3</f>
        <v>0.17486437616467995</v>
      </c>
      <c r="P1234" s="1">
        <f>SUM(L$2:L1234)/$G$3</f>
        <v>0.18505091523972683</v>
      </c>
      <c r="Q1234" s="1">
        <f t="shared" si="96"/>
        <v>174.86437616467995</v>
      </c>
      <c r="R1234" s="1">
        <f t="shared" si="97"/>
        <v>185.05091523972683</v>
      </c>
    </row>
    <row r="1235" spans="1:18" x14ac:dyDescent="0.35">
      <c r="A1235">
        <v>8.6527887226607891</v>
      </c>
      <c r="B1235">
        <v>1.2194219795047301</v>
      </c>
      <c r="C1235">
        <v>1.8350310734737201</v>
      </c>
      <c r="I1235" s="1">
        <f t="shared" si="98"/>
        <v>747600.94563789223</v>
      </c>
      <c r="J1235">
        <f t="shared" si="99"/>
        <v>600.00006686104462</v>
      </c>
      <c r="K1235" s="1">
        <f t="shared" ref="K1235:L1298" si="100">B1235*$J1235*$G$2</f>
        <v>3.4387703654029278</v>
      </c>
      <c r="L1235" s="1">
        <f t="shared" si="100"/>
        <v>5.1747882038487356</v>
      </c>
      <c r="N1235">
        <f>I1235</f>
        <v>747600.94563789223</v>
      </c>
      <c r="O1235" s="1">
        <f>SUM(K$2:K1235)/$G$3</f>
        <v>0.17490001663071511</v>
      </c>
      <c r="P1235" s="1">
        <f>SUM(L$2:L1235)/$G$3</f>
        <v>0.18510454832470219</v>
      </c>
      <c r="Q1235" s="1">
        <f t="shared" si="96"/>
        <v>174.9000166307151</v>
      </c>
      <c r="R1235" s="1">
        <f t="shared" si="97"/>
        <v>185.10454832470219</v>
      </c>
    </row>
    <row r="1236" spans="1:18" x14ac:dyDescent="0.35">
      <c r="A1236">
        <v>8.6597331678791001</v>
      </c>
      <c r="B1236">
        <v>1.2142581390326199</v>
      </c>
      <c r="C1236">
        <v>1.8343924503487501</v>
      </c>
      <c r="I1236" s="1">
        <f t="shared" si="98"/>
        <v>748200.94570475421</v>
      </c>
      <c r="J1236">
        <f t="shared" si="99"/>
        <v>600.00006686197594</v>
      </c>
      <c r="K1236" s="1">
        <f t="shared" si="100"/>
        <v>3.4242083336541711</v>
      </c>
      <c r="L1236" s="1">
        <f t="shared" si="100"/>
        <v>5.1729872864436635</v>
      </c>
      <c r="N1236">
        <f>I1236</f>
        <v>748200.94570475421</v>
      </c>
      <c r="O1236" s="1">
        <f>SUM(K$2:K1236)/$G$3</f>
        <v>0.17493550617140696</v>
      </c>
      <c r="P1236" s="1">
        <f>SUM(L$2:L1236)/$G$3</f>
        <v>0.18515816274441971</v>
      </c>
      <c r="Q1236" s="1">
        <f t="shared" si="96"/>
        <v>174.93550617140696</v>
      </c>
      <c r="R1236" s="1">
        <f t="shared" si="97"/>
        <v>185.15816274441971</v>
      </c>
    </row>
    <row r="1237" spans="1:18" x14ac:dyDescent="0.35">
      <c r="A1237">
        <v>8.6666776130974004</v>
      </c>
      <c r="B1237">
        <v>1.20923384795195</v>
      </c>
      <c r="C1237">
        <v>1.8344767000498701</v>
      </c>
      <c r="I1237" s="1">
        <f t="shared" si="98"/>
        <v>748800.94577161537</v>
      </c>
      <c r="J1237">
        <f t="shared" si="99"/>
        <v>600.00006686116103</v>
      </c>
      <c r="K1237" s="1">
        <f t="shared" si="100"/>
        <v>3.4100398312231603</v>
      </c>
      <c r="L1237" s="1">
        <f t="shared" si="100"/>
        <v>5.1732248706202713</v>
      </c>
      <c r="N1237">
        <f>I1237</f>
        <v>748800.94577161537</v>
      </c>
      <c r="O1237" s="1">
        <f>SUM(K$2:K1237)/$G$3</f>
        <v>0.17497084886541353</v>
      </c>
      <c r="P1237" s="1">
        <f>SUM(L$2:L1237)/$G$3</f>
        <v>0.18521177962653218</v>
      </c>
      <c r="Q1237" s="1">
        <f t="shared" si="96"/>
        <v>174.97084886541353</v>
      </c>
      <c r="R1237" s="1">
        <f t="shared" si="97"/>
        <v>185.21177962653218</v>
      </c>
    </row>
    <row r="1238" spans="1:18" x14ac:dyDescent="0.35">
      <c r="A1238">
        <v>8.6736220583157095</v>
      </c>
      <c r="B1238">
        <v>1.20415833742697</v>
      </c>
      <c r="C1238">
        <v>1.8341222542479301</v>
      </c>
      <c r="I1238" s="1">
        <f t="shared" si="98"/>
        <v>749400.94583847735</v>
      </c>
      <c r="J1238">
        <f t="shared" si="99"/>
        <v>600.00006686197594</v>
      </c>
      <c r="K1238" s="1">
        <f t="shared" si="100"/>
        <v>3.3957268899523627</v>
      </c>
      <c r="L1238" s="1">
        <f t="shared" si="100"/>
        <v>5.1722253333544419</v>
      </c>
      <c r="N1238">
        <f>I1238</f>
        <v>749400.94583847735</v>
      </c>
      <c r="O1238" s="1">
        <f>SUM(K$2:K1238)/$G$3</f>
        <v>0.17500604321572655</v>
      </c>
      <c r="P1238" s="1">
        <f>SUM(L$2:L1238)/$G$3</f>
        <v>0.18526538614913521</v>
      </c>
      <c r="Q1238" s="1">
        <f t="shared" si="96"/>
        <v>175.00604321572655</v>
      </c>
      <c r="R1238" s="1">
        <f t="shared" si="97"/>
        <v>185.2653861491352</v>
      </c>
    </row>
    <row r="1239" spans="1:18" x14ac:dyDescent="0.35">
      <c r="A1239">
        <v>8.6805665035340098</v>
      </c>
      <c r="B1239">
        <v>1.1992276504642201</v>
      </c>
      <c r="C1239">
        <v>1.83260336249942</v>
      </c>
      <c r="I1239" s="1">
        <f t="shared" si="98"/>
        <v>750000.94590533851</v>
      </c>
      <c r="J1239">
        <f t="shared" si="99"/>
        <v>600.00006686116103</v>
      </c>
      <c r="K1239" s="1">
        <f t="shared" si="100"/>
        <v>3.3818223511633403</v>
      </c>
      <c r="L1239" s="1">
        <f t="shared" si="100"/>
        <v>5.1679420581393103</v>
      </c>
      <c r="N1239">
        <f>I1239</f>
        <v>750000.94590533851</v>
      </c>
      <c r="O1239" s="1">
        <f>SUM(K$2:K1239)/$G$3</f>
        <v>0.17504109345515406</v>
      </c>
      <c r="P1239" s="1">
        <f>SUM(L$2:L1239)/$G$3</f>
        <v>0.1853189482785661</v>
      </c>
      <c r="Q1239" s="1">
        <f t="shared" si="96"/>
        <v>175.04109345515405</v>
      </c>
      <c r="R1239" s="1">
        <f t="shared" si="97"/>
        <v>185.3189482785661</v>
      </c>
    </row>
    <row r="1240" spans="1:18" x14ac:dyDescent="0.35">
      <c r="A1240">
        <v>8.6875109487523208</v>
      </c>
      <c r="B1240">
        <v>1.1944423119466101</v>
      </c>
      <c r="C1240">
        <v>1.8318549075110799</v>
      </c>
      <c r="I1240" s="1">
        <f t="shared" si="98"/>
        <v>750600.94597220048</v>
      </c>
      <c r="J1240">
        <f t="shared" si="99"/>
        <v>600.00006686197594</v>
      </c>
      <c r="K1240" s="1">
        <f t="shared" si="100"/>
        <v>3.3683276950444743</v>
      </c>
      <c r="L1240" s="1">
        <f t="shared" si="100"/>
        <v>5.1658314148440079</v>
      </c>
      <c r="N1240">
        <f>I1240</f>
        <v>750600.94597220048</v>
      </c>
      <c r="O1240" s="1">
        <f>SUM(K$2:K1240)/$G$3</f>
        <v>0.17507600383184518</v>
      </c>
      <c r="P1240" s="1">
        <f>SUM(L$2:L1240)/$G$3</f>
        <v>0.18537248853264543</v>
      </c>
      <c r="Q1240" s="1">
        <f t="shared" si="96"/>
        <v>175.07600383184518</v>
      </c>
      <c r="R1240" s="1">
        <f t="shared" si="97"/>
        <v>185.37248853264543</v>
      </c>
    </row>
    <row r="1241" spans="1:18" x14ac:dyDescent="0.35">
      <c r="A1241">
        <v>8.6944553939706193</v>
      </c>
      <c r="B1241">
        <v>1.1900793216302901</v>
      </c>
      <c r="C1241">
        <v>1.83125219752201</v>
      </c>
      <c r="I1241" s="1">
        <f t="shared" si="98"/>
        <v>751200.94603906153</v>
      </c>
      <c r="J1241">
        <f t="shared" si="99"/>
        <v>600.00006686104462</v>
      </c>
      <c r="K1241" s="1">
        <f t="shared" si="100"/>
        <v>3.3560240609761673</v>
      </c>
      <c r="L1241" s="1">
        <f t="shared" si="100"/>
        <v>5.1641317724774121</v>
      </c>
      <c r="N1241">
        <f>I1241</f>
        <v>751200.94603906153</v>
      </c>
      <c r="O1241" s="1">
        <f>SUM(K$2:K1241)/$G$3</f>
        <v>0.17511078668991614</v>
      </c>
      <c r="P1241" s="1">
        <f>SUM(L$2:L1241)/$G$3</f>
        <v>0.18542601117111232</v>
      </c>
      <c r="Q1241" s="1">
        <f t="shared" si="96"/>
        <v>175.11078668991615</v>
      </c>
      <c r="R1241" s="1">
        <f t="shared" si="97"/>
        <v>185.42601117111232</v>
      </c>
    </row>
    <row r="1242" spans="1:18" x14ac:dyDescent="0.35">
      <c r="A1242">
        <v>8.7013998391889196</v>
      </c>
      <c r="B1242">
        <v>1.18511490099267</v>
      </c>
      <c r="C1242">
        <v>1.8299159175608</v>
      </c>
      <c r="I1242" s="1">
        <f t="shared" si="98"/>
        <v>751800.94610592269</v>
      </c>
      <c r="J1242">
        <f t="shared" si="99"/>
        <v>600.00006686116103</v>
      </c>
      <c r="K1242" s="1">
        <f t="shared" si="100"/>
        <v>3.3420243932186735</v>
      </c>
      <c r="L1242" s="1">
        <f t="shared" si="100"/>
        <v>5.1603634625678794</v>
      </c>
      <c r="N1242">
        <f>I1242</f>
        <v>751800.94610592269</v>
      </c>
      <c r="O1242" s="1">
        <f>SUM(K$2:K1242)/$G$3</f>
        <v>0.17514542445115591</v>
      </c>
      <c r="P1242" s="1">
        <f>SUM(L$2:L1242)/$G$3</f>
        <v>0.18547949475366471</v>
      </c>
      <c r="Q1242" s="1">
        <f t="shared" si="96"/>
        <v>175.14542445115592</v>
      </c>
      <c r="R1242" s="1">
        <f t="shared" si="97"/>
        <v>185.47949475366471</v>
      </c>
    </row>
    <row r="1243" spans="1:18" x14ac:dyDescent="0.35">
      <c r="A1243">
        <v>8.7083442844072305</v>
      </c>
      <c r="B1243">
        <v>1.1799223687589999</v>
      </c>
      <c r="C1243">
        <v>1.8295380982198799</v>
      </c>
      <c r="I1243" s="1">
        <f t="shared" si="98"/>
        <v>752400.94617278466</v>
      </c>
      <c r="J1243">
        <f t="shared" si="99"/>
        <v>600.00006686197594</v>
      </c>
      <c r="K1243" s="1">
        <f t="shared" si="100"/>
        <v>3.3273814506925028</v>
      </c>
      <c r="L1243" s="1">
        <f t="shared" si="100"/>
        <v>5.159298011914764</v>
      </c>
      <c r="N1243">
        <f>I1243</f>
        <v>752400.94617278466</v>
      </c>
      <c r="O1243" s="1">
        <f>SUM(K$2:K1243)/$G$3</f>
        <v>0.1751799104484684</v>
      </c>
      <c r="P1243" s="1">
        <f>SUM(L$2:L1243)/$G$3</f>
        <v>0.18553296729356122</v>
      </c>
      <c r="Q1243" s="1">
        <f t="shared" si="96"/>
        <v>175.17991044846841</v>
      </c>
      <c r="R1243" s="1">
        <f t="shared" si="97"/>
        <v>185.53296729356123</v>
      </c>
    </row>
    <row r="1244" spans="1:18" x14ac:dyDescent="0.35">
      <c r="A1244">
        <v>8.7152887296255308</v>
      </c>
      <c r="B1244">
        <v>1.1758137757690501</v>
      </c>
      <c r="C1244">
        <v>1.82844027858502</v>
      </c>
      <c r="I1244" s="1">
        <f t="shared" si="98"/>
        <v>753000.94623964583</v>
      </c>
      <c r="J1244">
        <f t="shared" si="99"/>
        <v>600.00006686116103</v>
      </c>
      <c r="K1244" s="1">
        <f t="shared" si="100"/>
        <v>3.3157952171652103</v>
      </c>
      <c r="L1244" s="1">
        <f t="shared" si="100"/>
        <v>5.1562021601924641</v>
      </c>
      <c r="N1244">
        <f>I1244</f>
        <v>753000.94623964583</v>
      </c>
      <c r="O1244" s="1">
        <f>SUM(K$2:K1244)/$G$3</f>
        <v>0.17521427636251891</v>
      </c>
      <c r="P1244" s="1">
        <f>SUM(L$2:L1244)/$G$3</f>
        <v>0.18558640774710522</v>
      </c>
      <c r="Q1244" s="1">
        <f t="shared" si="96"/>
        <v>175.21427636251892</v>
      </c>
      <c r="R1244" s="1">
        <f t="shared" si="97"/>
        <v>185.58640774710523</v>
      </c>
    </row>
    <row r="1245" spans="1:18" x14ac:dyDescent="0.35">
      <c r="A1245">
        <v>8.72223317484384</v>
      </c>
      <c r="B1245">
        <v>1.17112239162834</v>
      </c>
      <c r="C1245">
        <v>1.8289608402973001</v>
      </c>
      <c r="I1245" s="1">
        <f t="shared" si="98"/>
        <v>753600.9463065078</v>
      </c>
      <c r="J1245">
        <f t="shared" si="99"/>
        <v>600.00006686197594</v>
      </c>
      <c r="K1245" s="1">
        <f t="shared" si="100"/>
        <v>3.3025655124186373</v>
      </c>
      <c r="L1245" s="1">
        <f t="shared" si="100"/>
        <v>5.1576701443916839</v>
      </c>
      <c r="N1245">
        <f>I1245</f>
        <v>753600.9463065078</v>
      </c>
      <c r="O1245" s="1">
        <f>SUM(K$2:K1245)/$G$3</f>
        <v>0.17524850515986998</v>
      </c>
      <c r="P1245" s="1">
        <f>SUM(L$2:L1245)/$G$3</f>
        <v>0.18563986341528568</v>
      </c>
      <c r="Q1245" s="1">
        <f t="shared" si="96"/>
        <v>175.24850515986998</v>
      </c>
      <c r="R1245" s="1">
        <f t="shared" si="97"/>
        <v>185.63986341528567</v>
      </c>
    </row>
    <row r="1246" spans="1:18" x14ac:dyDescent="0.35">
      <c r="A1246">
        <v>8.7291776200621403</v>
      </c>
      <c r="B1246">
        <v>1.1665144434836601</v>
      </c>
      <c r="C1246">
        <v>1.8275702625542201</v>
      </c>
      <c r="I1246" s="1">
        <f t="shared" si="98"/>
        <v>754200.94637336896</v>
      </c>
      <c r="J1246">
        <f t="shared" si="99"/>
        <v>600.00006686116103</v>
      </c>
      <c r="K1246" s="1">
        <f t="shared" si="100"/>
        <v>3.2895710971981189</v>
      </c>
      <c r="L1246" s="1">
        <f t="shared" si="100"/>
        <v>5.1537487147122079</v>
      </c>
      <c r="N1246">
        <f>I1246</f>
        <v>754200.94637336896</v>
      </c>
      <c r="O1246" s="1">
        <f>SUM(K$2:K1246)/$G$3</f>
        <v>0.17528259927913409</v>
      </c>
      <c r="P1246" s="1">
        <f>SUM(L$2:L1246)/$G$3</f>
        <v>0.1856932784405716</v>
      </c>
      <c r="Q1246" s="1">
        <f t="shared" si="96"/>
        <v>175.28259927913408</v>
      </c>
      <c r="R1246" s="1">
        <f t="shared" si="97"/>
        <v>185.69327844057159</v>
      </c>
    </row>
    <row r="1247" spans="1:18" x14ac:dyDescent="0.35">
      <c r="A1247">
        <v>8.7361220652804494</v>
      </c>
      <c r="B1247">
        <v>1.1622351362138801</v>
      </c>
      <c r="C1247">
        <v>1.8277102647688901</v>
      </c>
      <c r="I1247" s="1">
        <f t="shared" si="98"/>
        <v>754800.94644023082</v>
      </c>
      <c r="J1247">
        <f t="shared" si="99"/>
        <v>600.00006686185952</v>
      </c>
      <c r="K1247" s="1">
        <f t="shared" si="100"/>
        <v>3.2775034493563933</v>
      </c>
      <c r="L1247" s="1">
        <f t="shared" si="100"/>
        <v>5.1541435210075726</v>
      </c>
      <c r="N1247">
        <f>I1247</f>
        <v>754800.94644023082</v>
      </c>
      <c r="O1247" s="1">
        <f>SUM(K$2:K1247)/$G$3</f>
        <v>0.17531656832561135</v>
      </c>
      <c r="P1247" s="1">
        <f>SUM(L$2:L1247)/$G$3</f>
        <v>0.18574669755775053</v>
      </c>
      <c r="Q1247" s="1">
        <f t="shared" si="96"/>
        <v>175.31656832561134</v>
      </c>
      <c r="R1247" s="1">
        <f t="shared" si="97"/>
        <v>185.74669755775054</v>
      </c>
    </row>
    <row r="1248" spans="1:18" x14ac:dyDescent="0.35">
      <c r="A1248">
        <v>8.7430665104987497</v>
      </c>
      <c r="B1248">
        <v>1.1572015808454399</v>
      </c>
      <c r="C1248">
        <v>1.8267480782860599</v>
      </c>
      <c r="I1248" s="1">
        <f t="shared" si="98"/>
        <v>755400.94650709198</v>
      </c>
      <c r="J1248">
        <f t="shared" si="99"/>
        <v>600.00006686116103</v>
      </c>
      <c r="K1248" s="1">
        <f t="shared" si="100"/>
        <v>3.2633088216317945</v>
      </c>
      <c r="L1248" s="1">
        <f t="shared" si="100"/>
        <v>5.1514301548176267</v>
      </c>
      <c r="N1248">
        <f>I1248</f>
        <v>755400.94650709198</v>
      </c>
      <c r="O1248" s="1">
        <f>SUM(K$2:K1248)/$G$3</f>
        <v>0.17535039025463275</v>
      </c>
      <c r="P1248" s="1">
        <f>SUM(L$2:L1248)/$G$3</f>
        <v>0.18580008855277375</v>
      </c>
      <c r="Q1248" s="1">
        <f t="shared" si="96"/>
        <v>175.35039025463274</v>
      </c>
      <c r="R1248" s="1">
        <f t="shared" si="97"/>
        <v>185.80008855277376</v>
      </c>
    </row>
    <row r="1249" spans="1:18" x14ac:dyDescent="0.35">
      <c r="A1249">
        <v>8.7500109557170607</v>
      </c>
      <c r="B1249">
        <v>1.1529319945935801</v>
      </c>
      <c r="C1249">
        <v>1.8265246462837701</v>
      </c>
      <c r="I1249" s="1">
        <f t="shared" si="98"/>
        <v>756000.94657395408</v>
      </c>
      <c r="J1249">
        <f t="shared" si="99"/>
        <v>600.00006686209235</v>
      </c>
      <c r="K1249" s="1">
        <f t="shared" si="100"/>
        <v>3.2512685870648896</v>
      </c>
      <c r="L1249" s="1">
        <f t="shared" si="100"/>
        <v>5.1508000765089514</v>
      </c>
      <c r="N1249">
        <f>I1249</f>
        <v>756000.94657395408</v>
      </c>
      <c r="O1249" s="1">
        <f>SUM(K$2:K1249)/$G$3</f>
        <v>0.17538408739498684</v>
      </c>
      <c r="P1249" s="1">
        <f>SUM(L$2:L1249)/$G$3</f>
        <v>0.18585347301747301</v>
      </c>
      <c r="Q1249" s="1">
        <f t="shared" si="96"/>
        <v>175.38408739498684</v>
      </c>
      <c r="R1249" s="1">
        <f t="shared" si="97"/>
        <v>185.85347301747302</v>
      </c>
    </row>
    <row r="1250" spans="1:18" x14ac:dyDescent="0.35">
      <c r="A1250">
        <v>8.7569554009353592</v>
      </c>
      <c r="B1250">
        <v>1.1485498507930401</v>
      </c>
      <c r="C1250">
        <v>1.8253790859939101</v>
      </c>
      <c r="I1250" s="1">
        <f t="shared" si="98"/>
        <v>756600.946640815</v>
      </c>
      <c r="J1250">
        <f t="shared" si="99"/>
        <v>600.0000668609282</v>
      </c>
      <c r="K1250" s="1">
        <f t="shared" si="100"/>
        <v>3.238910940163986</v>
      </c>
      <c r="L1250" s="1">
        <f t="shared" si="100"/>
        <v>5.1475695961215644</v>
      </c>
      <c r="N1250">
        <f>I1250</f>
        <v>756600.946640815</v>
      </c>
      <c r="O1250" s="1">
        <f>SUM(K$2:K1250)/$G$3</f>
        <v>0.17541765645691526</v>
      </c>
      <c r="P1250" s="1">
        <f>SUM(L$2:L1250)/$G$3</f>
        <v>0.18590682400048716</v>
      </c>
      <c r="Q1250" s="1">
        <f t="shared" si="96"/>
        <v>175.41765645691527</v>
      </c>
      <c r="R1250" s="1">
        <f t="shared" si="97"/>
        <v>185.90682400048718</v>
      </c>
    </row>
    <row r="1251" spans="1:18" x14ac:dyDescent="0.35">
      <c r="A1251">
        <v>8.7638998461536701</v>
      </c>
      <c r="B1251">
        <v>1.14420828549417</v>
      </c>
      <c r="C1251">
        <v>1.82574321345006</v>
      </c>
      <c r="I1251" s="1">
        <f t="shared" si="98"/>
        <v>757200.9467076771</v>
      </c>
      <c r="J1251">
        <f t="shared" si="99"/>
        <v>600.00006686209235</v>
      </c>
      <c r="K1251" s="1">
        <f t="shared" si="100"/>
        <v>3.2266677246631117</v>
      </c>
      <c r="L1251" s="1">
        <f t="shared" si="100"/>
        <v>5.1485964356723226</v>
      </c>
      <c r="N1251">
        <f>I1251</f>
        <v>757200.9467076771</v>
      </c>
      <c r="O1251" s="1">
        <f>SUM(K$2:K1251)/$G$3</f>
        <v>0.17545109862641997</v>
      </c>
      <c r="P1251" s="1">
        <f>SUM(L$2:L1251)/$G$3</f>
        <v>0.18596018562597996</v>
      </c>
      <c r="Q1251" s="1">
        <f t="shared" si="96"/>
        <v>175.45109862641996</v>
      </c>
      <c r="R1251" s="1">
        <f t="shared" si="97"/>
        <v>185.96018562597996</v>
      </c>
    </row>
    <row r="1252" spans="1:18" x14ac:dyDescent="0.35">
      <c r="A1252">
        <v>8.7708442913719704</v>
      </c>
      <c r="B1252">
        <v>1.13958810173784</v>
      </c>
      <c r="C1252">
        <v>1.82449226316646</v>
      </c>
      <c r="I1252" s="1">
        <f t="shared" si="98"/>
        <v>757800.94677453826</v>
      </c>
      <c r="J1252">
        <f t="shared" si="99"/>
        <v>600.00006686116103</v>
      </c>
      <c r="K1252" s="1">
        <f t="shared" si="100"/>
        <v>3.2136388050133715</v>
      </c>
      <c r="L1252" s="1">
        <f t="shared" si="100"/>
        <v>5.1450687554714714</v>
      </c>
      <c r="N1252">
        <f>I1252</f>
        <v>757800.94677453826</v>
      </c>
      <c r="O1252" s="1">
        <f>SUM(K$2:K1252)/$G$3</f>
        <v>0.17548440576022328</v>
      </c>
      <c r="P1252" s="1">
        <f>SUM(L$2:L1252)/$G$3</f>
        <v>0.18601351068951805</v>
      </c>
      <c r="Q1252" s="1">
        <f t="shared" si="96"/>
        <v>175.4844057602233</v>
      </c>
      <c r="R1252" s="1">
        <f t="shared" si="97"/>
        <v>186.01351068951806</v>
      </c>
    </row>
    <row r="1253" spans="1:18" x14ac:dyDescent="0.35">
      <c r="A1253">
        <v>8.7777887365902707</v>
      </c>
      <c r="B1253">
        <v>1.13512624159733</v>
      </c>
      <c r="C1253">
        <v>1.8244570612489299</v>
      </c>
      <c r="I1253" s="1">
        <f t="shared" si="98"/>
        <v>758400.94684139942</v>
      </c>
      <c r="J1253">
        <f t="shared" si="99"/>
        <v>600.00006686116103</v>
      </c>
      <c r="K1253" s="1">
        <f t="shared" si="100"/>
        <v>3.2010563580150055</v>
      </c>
      <c r="L1253" s="1">
        <f t="shared" si="100"/>
        <v>5.1449694860529736</v>
      </c>
      <c r="N1253">
        <f>I1253</f>
        <v>758400.94684139942</v>
      </c>
      <c r="O1253" s="1">
        <f>SUM(K$2:K1253)/$G$3</f>
        <v>0.17551758248570409</v>
      </c>
      <c r="P1253" s="1">
        <f>SUM(L$2:L1253)/$G$3</f>
        <v>0.18606683472419755</v>
      </c>
      <c r="Q1253" s="1">
        <f t="shared" si="96"/>
        <v>175.51758248570408</v>
      </c>
      <c r="R1253" s="1">
        <f t="shared" si="97"/>
        <v>186.06683472419755</v>
      </c>
    </row>
    <row r="1254" spans="1:18" x14ac:dyDescent="0.35">
      <c r="A1254">
        <v>8.7847331818085799</v>
      </c>
      <c r="B1254">
        <v>1.1308671130666299</v>
      </c>
      <c r="C1254">
        <v>1.8236946655119901</v>
      </c>
      <c r="I1254" s="1">
        <f t="shared" si="98"/>
        <v>759000.94690826128</v>
      </c>
      <c r="J1254">
        <f t="shared" si="99"/>
        <v>600.00006686185952</v>
      </c>
      <c r="K1254" s="1">
        <f t="shared" si="100"/>
        <v>3.1890456142237231</v>
      </c>
      <c r="L1254" s="1">
        <f t="shared" si="100"/>
        <v>5.1428195298412103</v>
      </c>
      <c r="N1254">
        <f>I1254</f>
        <v>759000.94690826128</v>
      </c>
      <c r="O1254" s="1">
        <f>SUM(K$2:K1254)/$G$3</f>
        <v>0.17555063472816898</v>
      </c>
      <c r="P1254" s="1">
        <f>SUM(L$2:L1254)/$G$3</f>
        <v>0.18612013647607442</v>
      </c>
      <c r="Q1254" s="1">
        <f t="shared" si="96"/>
        <v>175.55063472816897</v>
      </c>
      <c r="R1254" s="1">
        <f t="shared" si="97"/>
        <v>186.12013647607444</v>
      </c>
    </row>
    <row r="1255" spans="1:18" x14ac:dyDescent="0.35">
      <c r="A1255">
        <v>8.7916776270268802</v>
      </c>
      <c r="B1255">
        <v>1.1263797253622401</v>
      </c>
      <c r="C1255">
        <v>1.82386111911562</v>
      </c>
      <c r="I1255" s="1">
        <f t="shared" si="98"/>
        <v>759600.94697512244</v>
      </c>
      <c r="J1255">
        <f t="shared" si="99"/>
        <v>600.00006686116103</v>
      </c>
      <c r="K1255" s="1">
        <f t="shared" si="100"/>
        <v>3.1763911794834812</v>
      </c>
      <c r="L1255" s="1">
        <f t="shared" si="100"/>
        <v>5.143288929049767</v>
      </c>
      <c r="N1255">
        <f>I1255</f>
        <v>759600.94697512244</v>
      </c>
      <c r="O1255" s="1">
        <f>SUM(K$2:K1255)/$G$3</f>
        <v>0.17558355581620841</v>
      </c>
      <c r="P1255" s="1">
        <f>SUM(L$2:L1255)/$G$3</f>
        <v>0.186173443092948</v>
      </c>
      <c r="Q1255" s="1">
        <f t="shared" si="96"/>
        <v>175.58355581620842</v>
      </c>
      <c r="R1255" s="1">
        <f t="shared" si="97"/>
        <v>186.17344309294799</v>
      </c>
    </row>
    <row r="1256" spans="1:18" x14ac:dyDescent="0.35">
      <c r="A1256">
        <v>8.7986220722451893</v>
      </c>
      <c r="B1256">
        <v>1.12184541736094</v>
      </c>
      <c r="C1256">
        <v>1.82307474630902</v>
      </c>
      <c r="I1256" s="1">
        <f t="shared" si="98"/>
        <v>760200.94704198441</v>
      </c>
      <c r="J1256">
        <f t="shared" si="99"/>
        <v>600.00006686197594</v>
      </c>
      <c r="K1256" s="1">
        <f t="shared" si="100"/>
        <v>3.1636044294992169</v>
      </c>
      <c r="L1256" s="1">
        <f t="shared" si="100"/>
        <v>5.1410713574950213</v>
      </c>
      <c r="N1256">
        <f>I1256</f>
        <v>760200.94704198441</v>
      </c>
      <c r="O1256" s="1">
        <f>SUM(K$2:K1256)/$G$3</f>
        <v>0.17561634437846679</v>
      </c>
      <c r="P1256" s="1">
        <f>SUM(L$2:L1256)/$G$3</f>
        <v>0.18622672672623292</v>
      </c>
      <c r="Q1256" s="1">
        <f t="shared" si="96"/>
        <v>175.61634437846681</v>
      </c>
      <c r="R1256" s="1">
        <f t="shared" si="97"/>
        <v>186.22672672623293</v>
      </c>
    </row>
    <row r="1257" spans="1:18" x14ac:dyDescent="0.35">
      <c r="A1257">
        <v>8.8055665174634896</v>
      </c>
      <c r="B1257">
        <v>1.11775262682364</v>
      </c>
      <c r="C1257">
        <v>1.82238264818873</v>
      </c>
      <c r="I1257" s="1">
        <f t="shared" si="98"/>
        <v>760800.94710884546</v>
      </c>
      <c r="J1257">
        <f t="shared" si="99"/>
        <v>600.00006686104462</v>
      </c>
      <c r="K1257" s="1">
        <f t="shared" si="100"/>
        <v>3.1520627588929733</v>
      </c>
      <c r="L1257" s="1">
        <f t="shared" si="100"/>
        <v>5.1391196405703345</v>
      </c>
      <c r="N1257">
        <f>I1257</f>
        <v>760800.94710884546</v>
      </c>
      <c r="O1257" s="1">
        <f>SUM(K$2:K1257)/$G$3</f>
        <v>0.17564901331932697</v>
      </c>
      <c r="P1257" s="1">
        <f>SUM(L$2:L1257)/$G$3</f>
        <v>0.18627999013132773</v>
      </c>
      <c r="Q1257" s="1">
        <f t="shared" si="96"/>
        <v>175.64901331932697</v>
      </c>
      <c r="R1257" s="1">
        <f t="shared" si="97"/>
        <v>186.27999013132774</v>
      </c>
    </row>
    <row r="1258" spans="1:18" x14ac:dyDescent="0.35">
      <c r="A1258">
        <v>8.8125109626818006</v>
      </c>
      <c r="B1258">
        <v>1.1137149626765701</v>
      </c>
      <c r="C1258">
        <v>1.8215826290064401</v>
      </c>
      <c r="I1258" s="1">
        <f t="shared" si="98"/>
        <v>761400.94717570755</v>
      </c>
      <c r="J1258">
        <f t="shared" si="99"/>
        <v>600.00006686209235</v>
      </c>
      <c r="K1258" s="1">
        <f t="shared" si="100"/>
        <v>3.1406765447348972</v>
      </c>
      <c r="L1258" s="1">
        <f t="shared" si="100"/>
        <v>5.1368635862338436</v>
      </c>
      <c r="N1258">
        <f>I1258</f>
        <v>761400.94717570755</v>
      </c>
      <c r="O1258" s="1">
        <f>SUM(K$2:K1258)/$G$3</f>
        <v>0.17568156424998704</v>
      </c>
      <c r="P1258" s="1">
        <f>SUM(L$2:L1258)/$G$3</f>
        <v>0.18633323015398653</v>
      </c>
      <c r="Q1258" s="1">
        <f t="shared" si="96"/>
        <v>175.68156424998705</v>
      </c>
      <c r="R1258" s="1">
        <f t="shared" si="97"/>
        <v>186.33323015398653</v>
      </c>
    </row>
    <row r="1259" spans="1:18" x14ac:dyDescent="0.35">
      <c r="A1259">
        <v>8.8194554079001009</v>
      </c>
      <c r="B1259">
        <v>1.10972257411484</v>
      </c>
      <c r="C1259">
        <v>1.8217372121714901</v>
      </c>
      <c r="I1259" s="1">
        <f t="shared" si="98"/>
        <v>762000.94724256871</v>
      </c>
      <c r="J1259">
        <f t="shared" si="99"/>
        <v>600.00006686116103</v>
      </c>
      <c r="K1259" s="1">
        <f t="shared" si="100"/>
        <v>3.1294180077313456</v>
      </c>
      <c r="L1259" s="1">
        <f t="shared" si="100"/>
        <v>5.1372995107998882</v>
      </c>
      <c r="N1259">
        <f>I1259</f>
        <v>762000.94724256871</v>
      </c>
      <c r="O1259" s="1">
        <f>SUM(K$2:K1259)/$G$3</f>
        <v>0.17571399849373198</v>
      </c>
      <c r="P1259" s="1">
        <f>SUM(L$2:L1259)/$G$3</f>
        <v>0.18638647469470063</v>
      </c>
      <c r="Q1259" s="1">
        <f t="shared" si="96"/>
        <v>175.71399849373199</v>
      </c>
      <c r="R1259" s="1">
        <f t="shared" si="97"/>
        <v>186.38647469470064</v>
      </c>
    </row>
    <row r="1260" spans="1:18" x14ac:dyDescent="0.35">
      <c r="A1260">
        <v>8.82639985311841</v>
      </c>
      <c r="B1260">
        <v>1.1059627741757401</v>
      </c>
      <c r="C1260">
        <v>1.8210834407927901</v>
      </c>
      <c r="I1260" s="1">
        <f t="shared" si="98"/>
        <v>762600.94730943057</v>
      </c>
      <c r="J1260">
        <f t="shared" si="99"/>
        <v>600.00006686185952</v>
      </c>
      <c r="K1260" s="1">
        <f t="shared" si="100"/>
        <v>3.1188153707252071</v>
      </c>
      <c r="L1260" s="1">
        <f t="shared" si="100"/>
        <v>5.1354558753124868</v>
      </c>
      <c r="N1260">
        <f>I1260</f>
        <v>762600.94730943057</v>
      </c>
      <c r="O1260" s="1">
        <f>SUM(K$2:K1260)/$G$3</f>
        <v>0.17574632284850969</v>
      </c>
      <c r="P1260" s="1">
        <f>SUM(L$2:L1260)/$G$3</f>
        <v>0.18643970012741359</v>
      </c>
      <c r="Q1260" s="1">
        <f t="shared" si="96"/>
        <v>175.74632284850969</v>
      </c>
      <c r="R1260" s="1">
        <f t="shared" si="97"/>
        <v>186.4397001274136</v>
      </c>
    </row>
    <row r="1261" spans="1:18" x14ac:dyDescent="0.35">
      <c r="A1261">
        <v>8.8333442983367103</v>
      </c>
      <c r="B1261">
        <v>1.1020466256427</v>
      </c>
      <c r="C1261">
        <v>1.82107025487192</v>
      </c>
      <c r="I1261" s="1">
        <f t="shared" si="98"/>
        <v>763200.94737629173</v>
      </c>
      <c r="J1261">
        <f t="shared" si="99"/>
        <v>600.00006686116103</v>
      </c>
      <c r="K1261" s="1">
        <f t="shared" si="100"/>
        <v>3.1077718306277635</v>
      </c>
      <c r="L1261" s="1">
        <f t="shared" si="100"/>
        <v>5.1354186910055111</v>
      </c>
      <c r="N1261">
        <f>I1261</f>
        <v>763200.94737629173</v>
      </c>
      <c r="O1261" s="1">
        <f>SUM(K$2:K1261)/$G$3</f>
        <v>0.17577853274466582</v>
      </c>
      <c r="P1261" s="1">
        <f>SUM(L$2:L1261)/$G$3</f>
        <v>0.18649292517473709</v>
      </c>
      <c r="Q1261" s="1">
        <f t="shared" si="96"/>
        <v>175.77853274466582</v>
      </c>
      <c r="R1261" s="1">
        <f t="shared" si="97"/>
        <v>186.49292517473708</v>
      </c>
    </row>
    <row r="1262" spans="1:18" x14ac:dyDescent="0.35">
      <c r="A1262">
        <v>8.8402887435550106</v>
      </c>
      <c r="B1262">
        <v>1.09864386981316</v>
      </c>
      <c r="C1262">
        <v>1.82017800825766</v>
      </c>
      <c r="I1262" s="1">
        <f t="shared" si="98"/>
        <v>763800.94744315289</v>
      </c>
      <c r="J1262">
        <f t="shared" si="99"/>
        <v>600.00006686116103</v>
      </c>
      <c r="K1262" s="1">
        <f t="shared" si="100"/>
        <v>3.0981760581191535</v>
      </c>
      <c r="L1262" s="1">
        <f t="shared" si="100"/>
        <v>5.1329025552729117</v>
      </c>
      <c r="N1262">
        <f>I1262</f>
        <v>763800.94744315289</v>
      </c>
      <c r="O1262" s="1">
        <f>SUM(K$2:K1262)/$G$3</f>
        <v>0.17581064318730583</v>
      </c>
      <c r="P1262" s="1">
        <f>SUM(L$2:L1262)/$G$3</f>
        <v>0.18654612414406158</v>
      </c>
      <c r="Q1262" s="1">
        <f t="shared" si="96"/>
        <v>175.81064318730583</v>
      </c>
      <c r="R1262" s="1">
        <f t="shared" si="97"/>
        <v>186.54612414406157</v>
      </c>
    </row>
    <row r="1263" spans="1:18" x14ac:dyDescent="0.35">
      <c r="A1263">
        <v>8.8472331887733198</v>
      </c>
      <c r="B1263">
        <v>1.09497258202061</v>
      </c>
      <c r="C1263">
        <v>1.81980610276432</v>
      </c>
      <c r="I1263" s="1">
        <f t="shared" si="98"/>
        <v>764400.94751001487</v>
      </c>
      <c r="J1263">
        <f t="shared" si="99"/>
        <v>600.00006686197594</v>
      </c>
      <c r="K1263" s="1">
        <f t="shared" si="100"/>
        <v>3.0878230253946635</v>
      </c>
      <c r="L1263" s="1">
        <f t="shared" si="100"/>
        <v>5.1318537816717926</v>
      </c>
      <c r="N1263">
        <f>I1263</f>
        <v>764400.94751001487</v>
      </c>
      <c r="O1263" s="1">
        <f>SUM(K$2:K1263)/$G$3</f>
        <v>0.17584264632795354</v>
      </c>
      <c r="P1263" s="1">
        <f>SUM(L$2:L1263)/$G$3</f>
        <v>0.18659931224357623</v>
      </c>
      <c r="Q1263" s="1">
        <f t="shared" si="96"/>
        <v>175.84264632795353</v>
      </c>
      <c r="R1263" s="1">
        <f t="shared" si="97"/>
        <v>186.59931224357624</v>
      </c>
    </row>
    <row r="1264" spans="1:18" x14ac:dyDescent="0.35">
      <c r="A1264">
        <v>8.8541776339916201</v>
      </c>
      <c r="B1264">
        <v>1.0911220105970101</v>
      </c>
      <c r="C1264">
        <v>1.8195567356793201</v>
      </c>
      <c r="I1264" s="1">
        <f t="shared" si="98"/>
        <v>765000.94757687591</v>
      </c>
      <c r="J1264">
        <f t="shared" si="99"/>
        <v>600.00006686104462</v>
      </c>
      <c r="K1264" s="1">
        <f t="shared" si="100"/>
        <v>3.0769644127652884</v>
      </c>
      <c r="L1264" s="1">
        <f t="shared" si="100"/>
        <v>5.1311505664057648</v>
      </c>
      <c r="N1264">
        <f>I1264</f>
        <v>765000.94757687591</v>
      </c>
      <c r="O1264" s="1">
        <f>SUM(K$2:K1264)/$G$3</f>
        <v>0.17587453692662447</v>
      </c>
      <c r="P1264" s="1">
        <f>SUM(L$2:L1264)/$G$3</f>
        <v>0.18665249305475318</v>
      </c>
      <c r="Q1264" s="1">
        <f t="shared" si="96"/>
        <v>175.87453692662447</v>
      </c>
      <c r="R1264" s="1">
        <f t="shared" si="97"/>
        <v>186.65249305475317</v>
      </c>
    </row>
    <row r="1265" spans="1:18" x14ac:dyDescent="0.35">
      <c r="A1265">
        <v>8.8611220792099292</v>
      </c>
      <c r="B1265">
        <v>1.0874192144013199</v>
      </c>
      <c r="C1265">
        <v>1.8191753379836499</v>
      </c>
      <c r="I1265" s="1">
        <f t="shared" si="98"/>
        <v>765600.94764373789</v>
      </c>
      <c r="J1265">
        <f t="shared" si="99"/>
        <v>600.00006686197594</v>
      </c>
      <c r="K1265" s="1">
        <f t="shared" si="100"/>
        <v>3.0665225263346096</v>
      </c>
      <c r="L1265" s="1">
        <f t="shared" si="100"/>
        <v>5.1300750247920845</v>
      </c>
      <c r="N1265">
        <f>I1265</f>
        <v>765600.94764373789</v>
      </c>
      <c r="O1265" s="1">
        <f>SUM(K$2:K1265)/$G$3</f>
        <v>0.17590631930239617</v>
      </c>
      <c r="P1265" s="1">
        <f>SUM(L$2:L1265)/$G$3</f>
        <v>0.18670566271868844</v>
      </c>
      <c r="Q1265" s="1">
        <f t="shared" si="96"/>
        <v>175.90631930239616</v>
      </c>
      <c r="R1265" s="1">
        <f t="shared" si="97"/>
        <v>186.70566271868844</v>
      </c>
    </row>
    <row r="1266" spans="1:18" x14ac:dyDescent="0.35">
      <c r="A1266">
        <v>8.8680665244282295</v>
      </c>
      <c r="B1266">
        <v>1.0836028949918901</v>
      </c>
      <c r="C1266">
        <v>1.81878006372775</v>
      </c>
      <c r="I1266" s="1">
        <f t="shared" si="98"/>
        <v>766200.94771059905</v>
      </c>
      <c r="J1266">
        <f t="shared" si="99"/>
        <v>600.00006686116103</v>
      </c>
      <c r="K1266" s="1">
        <f t="shared" si="100"/>
        <v>3.0557605043965843</v>
      </c>
      <c r="L1266" s="1">
        <f t="shared" si="100"/>
        <v>5.1289603512592645</v>
      </c>
      <c r="N1266">
        <f>I1266</f>
        <v>766200.94771059905</v>
      </c>
      <c r="O1266" s="1">
        <f>SUM(K$2:K1266)/$G$3</f>
        <v>0.17593799013728656</v>
      </c>
      <c r="P1266" s="1">
        <f>SUM(L$2:L1266)/$G$3</f>
        <v>0.18675882082980683</v>
      </c>
      <c r="Q1266" s="1">
        <f t="shared" si="96"/>
        <v>175.93799013728656</v>
      </c>
      <c r="R1266" s="1">
        <f t="shared" si="97"/>
        <v>186.75882082980684</v>
      </c>
    </row>
    <row r="1267" spans="1:18" x14ac:dyDescent="0.35">
      <c r="A1267">
        <v>8.8750109696465405</v>
      </c>
      <c r="B1267">
        <v>1.07925798668559</v>
      </c>
      <c r="C1267">
        <v>1.81819767737247</v>
      </c>
      <c r="I1267" s="1">
        <f t="shared" si="98"/>
        <v>766800.94777746114</v>
      </c>
      <c r="J1267">
        <f t="shared" si="99"/>
        <v>600.00006686209235</v>
      </c>
      <c r="K1267" s="1">
        <f t="shared" si="100"/>
        <v>3.043507861612166</v>
      </c>
      <c r="L1267" s="1">
        <f t="shared" si="100"/>
        <v>5.1273180215623197</v>
      </c>
      <c r="N1267">
        <f>I1267</f>
        <v>766800.94777746114</v>
      </c>
      <c r="O1267" s="1">
        <f>SUM(K$2:K1267)/$G$3</f>
        <v>0.17596953398204598</v>
      </c>
      <c r="P1267" s="1">
        <f>SUM(L$2:L1267)/$G$3</f>
        <v>0.18681196191931879</v>
      </c>
      <c r="Q1267" s="1">
        <f t="shared" si="96"/>
        <v>175.96953398204599</v>
      </c>
      <c r="R1267" s="1">
        <f t="shared" si="97"/>
        <v>186.81196191931878</v>
      </c>
    </row>
    <row r="1268" spans="1:18" x14ac:dyDescent="0.35">
      <c r="A1268">
        <v>8.8819554148648407</v>
      </c>
      <c r="B1268">
        <v>1.0756309015860801</v>
      </c>
      <c r="C1268">
        <v>1.8177681734703801</v>
      </c>
      <c r="I1268" s="1">
        <f t="shared" si="98"/>
        <v>767400.94784432219</v>
      </c>
      <c r="J1268">
        <f t="shared" si="99"/>
        <v>600.00006686104462</v>
      </c>
      <c r="K1268" s="1">
        <f t="shared" si="100"/>
        <v>3.0332794804864327</v>
      </c>
      <c r="L1268" s="1">
        <f t="shared" si="100"/>
        <v>5.1261068204145035</v>
      </c>
      <c r="N1268">
        <f>I1268</f>
        <v>767400.94784432219</v>
      </c>
      <c r="O1268" s="1">
        <f>SUM(K$2:K1268)/$G$3</f>
        <v>0.17600097181674035</v>
      </c>
      <c r="P1268" s="1">
        <f>SUM(L$2:L1268)/$G$3</f>
        <v>0.18686509045557226</v>
      </c>
      <c r="Q1268" s="1">
        <f t="shared" si="96"/>
        <v>176.00097181674036</v>
      </c>
      <c r="R1268" s="1">
        <f t="shared" si="97"/>
        <v>186.86509045557227</v>
      </c>
    </row>
    <row r="1269" spans="1:18" x14ac:dyDescent="0.35">
      <c r="A1269">
        <v>8.8888998600831499</v>
      </c>
      <c r="B1269">
        <v>1.07201514482857</v>
      </c>
      <c r="C1269">
        <v>1.8170931815158899</v>
      </c>
      <c r="I1269" s="1">
        <f t="shared" si="98"/>
        <v>768000.94791118416</v>
      </c>
      <c r="J1269">
        <f t="shared" si="99"/>
        <v>600.00006686197594</v>
      </c>
      <c r="K1269" s="1">
        <f t="shared" si="100"/>
        <v>3.0230830452987063</v>
      </c>
      <c r="L1269" s="1">
        <f t="shared" si="100"/>
        <v>5.1242033428986806</v>
      </c>
      <c r="N1269">
        <f>I1269</f>
        <v>768000.94791118416</v>
      </c>
      <c r="O1269" s="1">
        <f>SUM(K$2:K1269)/$G$3</f>
        <v>0.17603230397246714</v>
      </c>
      <c r="P1269" s="1">
        <f>SUM(L$2:L1269)/$G$3</f>
        <v>0.18691819926360353</v>
      </c>
      <c r="Q1269" s="1">
        <f t="shared" si="96"/>
        <v>176.03230397246713</v>
      </c>
      <c r="R1269" s="1">
        <f t="shared" si="97"/>
        <v>186.91819926360353</v>
      </c>
    </row>
    <row r="1270" spans="1:18" x14ac:dyDescent="0.35">
      <c r="A1270">
        <v>8.8958443053014502</v>
      </c>
      <c r="B1270">
        <v>1.06853818517698</v>
      </c>
      <c r="C1270">
        <v>1.8163579020895</v>
      </c>
      <c r="I1270" s="1">
        <f t="shared" si="98"/>
        <v>768600.94797804533</v>
      </c>
      <c r="J1270">
        <f t="shared" si="99"/>
        <v>600.00006686116103</v>
      </c>
      <c r="K1270" s="1">
        <f t="shared" si="100"/>
        <v>3.0132780179844909</v>
      </c>
      <c r="L1270" s="1">
        <f t="shared" si="100"/>
        <v>5.1221298546782421</v>
      </c>
      <c r="N1270">
        <f>I1270</f>
        <v>768600.94797804533</v>
      </c>
      <c r="O1270" s="1">
        <f>SUM(K$2:K1270)/$G$3</f>
        <v>0.17606353450589704</v>
      </c>
      <c r="P1270" s="1">
        <f>SUM(L$2:L1270)/$G$3</f>
        <v>0.18697128658136977</v>
      </c>
      <c r="Q1270" s="1">
        <f t="shared" si="96"/>
        <v>176.06353450589705</v>
      </c>
      <c r="R1270" s="1">
        <f t="shared" si="97"/>
        <v>186.97128658136978</v>
      </c>
    </row>
    <row r="1271" spans="1:18" x14ac:dyDescent="0.35">
      <c r="A1271">
        <v>8.9027887505197505</v>
      </c>
      <c r="B1271">
        <v>1.0648059713220901</v>
      </c>
      <c r="C1271">
        <v>1.8167397149862301</v>
      </c>
      <c r="I1271" s="1">
        <f t="shared" si="98"/>
        <v>769200.94804490649</v>
      </c>
      <c r="J1271">
        <f t="shared" si="99"/>
        <v>600.00006686116103</v>
      </c>
      <c r="K1271" s="1">
        <f t="shared" si="100"/>
        <v>3.0027531737408628</v>
      </c>
      <c r="L1271" s="1">
        <f t="shared" si="100"/>
        <v>5.1232065671670046</v>
      </c>
      <c r="N1271">
        <f>I1271</f>
        <v>769200.94804490649</v>
      </c>
      <c r="O1271" s="1">
        <f>SUM(K$2:K1271)/$G$3</f>
        <v>0.17609465595662763</v>
      </c>
      <c r="P1271" s="1">
        <f>SUM(L$2:L1271)/$G$3</f>
        <v>0.18702438505851304</v>
      </c>
      <c r="Q1271" s="1">
        <f t="shared" si="96"/>
        <v>176.09465595662763</v>
      </c>
      <c r="R1271" s="1">
        <f t="shared" si="97"/>
        <v>187.02438505851305</v>
      </c>
    </row>
    <row r="1272" spans="1:18" x14ac:dyDescent="0.35">
      <c r="A1272">
        <v>8.9097331957380597</v>
      </c>
      <c r="B1272">
        <v>1.0610674593468199</v>
      </c>
      <c r="C1272">
        <v>1.8156145833027899</v>
      </c>
      <c r="I1272" s="1">
        <f t="shared" si="98"/>
        <v>769800.94811176835</v>
      </c>
      <c r="J1272">
        <f t="shared" si="99"/>
        <v>600.00006686185952</v>
      </c>
      <c r="K1272" s="1">
        <f t="shared" si="100"/>
        <v>2.9922105687992664</v>
      </c>
      <c r="L1272" s="1">
        <f t="shared" si="100"/>
        <v>5.1200336954720935</v>
      </c>
      <c r="N1272">
        <f>I1272</f>
        <v>769800.94811176835</v>
      </c>
      <c r="O1272" s="1">
        <f>SUM(K$2:K1272)/$G$3</f>
        <v>0.17612566814058159</v>
      </c>
      <c r="P1272" s="1">
        <f>SUM(L$2:L1272)/$G$3</f>
        <v>0.18707745065104528</v>
      </c>
      <c r="Q1272" s="1">
        <f t="shared" si="96"/>
        <v>176.12566814058158</v>
      </c>
      <c r="R1272" s="1">
        <f t="shared" si="97"/>
        <v>187.07745065104527</v>
      </c>
    </row>
    <row r="1273" spans="1:18" x14ac:dyDescent="0.35">
      <c r="A1273">
        <v>8.91667764095636</v>
      </c>
      <c r="B1273">
        <v>1.0576947276517601</v>
      </c>
      <c r="C1273">
        <v>1.8160152145125701</v>
      </c>
      <c r="I1273" s="1">
        <f t="shared" si="98"/>
        <v>770400.94817862951</v>
      </c>
      <c r="J1273">
        <f t="shared" si="99"/>
        <v>600.00006686116103</v>
      </c>
      <c r="K1273" s="1">
        <f t="shared" si="100"/>
        <v>2.9826994643558415</v>
      </c>
      <c r="L1273" s="1">
        <f t="shared" si="100"/>
        <v>5.12116347560361</v>
      </c>
      <c r="N1273">
        <f>I1273</f>
        <v>770400.94817862951</v>
      </c>
      <c r="O1273" s="1">
        <f>SUM(K$2:K1273)/$G$3</f>
        <v>0.17615658174854507</v>
      </c>
      <c r="P1273" s="1">
        <f>SUM(L$2:L1273)/$G$3</f>
        <v>0.18713052795296375</v>
      </c>
      <c r="Q1273" s="1">
        <f t="shared" si="96"/>
        <v>176.15658174854508</v>
      </c>
      <c r="R1273" s="1">
        <f t="shared" si="97"/>
        <v>187.13052795296375</v>
      </c>
    </row>
    <row r="1274" spans="1:18" x14ac:dyDescent="0.35">
      <c r="A1274">
        <v>8.9236220861746691</v>
      </c>
      <c r="B1274">
        <v>1.05376374210796</v>
      </c>
      <c r="C1274">
        <v>1.81490025415046</v>
      </c>
      <c r="I1274" s="1">
        <f t="shared" si="98"/>
        <v>771000.94824549137</v>
      </c>
      <c r="J1274">
        <f t="shared" si="99"/>
        <v>600.00006686185952</v>
      </c>
      <c r="K1274" s="1">
        <f t="shared" si="100"/>
        <v>2.9716140838904828</v>
      </c>
      <c r="L1274" s="1">
        <f t="shared" si="100"/>
        <v>5.1180192870380452</v>
      </c>
      <c r="N1274">
        <f>I1274</f>
        <v>771000.94824549137</v>
      </c>
      <c r="O1274" s="1">
        <f>SUM(K$2:K1274)/$G$3</f>
        <v>0.17618738046424065</v>
      </c>
      <c r="P1274" s="1">
        <f>SUM(L$2:L1274)/$G$3</f>
        <v>0.1871835726675519</v>
      </c>
      <c r="Q1274" s="1">
        <f t="shared" si="96"/>
        <v>176.18738046424065</v>
      </c>
      <c r="R1274" s="1">
        <f t="shared" si="97"/>
        <v>187.18357266755189</v>
      </c>
    </row>
    <row r="1275" spans="1:18" x14ac:dyDescent="0.35">
      <c r="A1275">
        <v>8.9305665313929694</v>
      </c>
      <c r="B1275">
        <v>1.0504699012779799</v>
      </c>
      <c r="C1275">
        <v>1.81508871008821</v>
      </c>
      <c r="I1275" s="1">
        <f t="shared" si="98"/>
        <v>771600.94831235253</v>
      </c>
      <c r="J1275">
        <f t="shared" si="99"/>
        <v>600.00006686116103</v>
      </c>
      <c r="K1275" s="1">
        <f t="shared" si="100"/>
        <v>2.9623254517113984</v>
      </c>
      <c r="L1275" s="1">
        <f t="shared" si="100"/>
        <v>5.1185507328357636</v>
      </c>
      <c r="N1275">
        <f>I1275</f>
        <v>771600.94831235253</v>
      </c>
      <c r="O1275" s="1">
        <f>SUM(K$2:K1275)/$G$3</f>
        <v>0.17621808290971622</v>
      </c>
      <c r="P1275" s="1">
        <f>SUM(L$2:L1275)/$G$3</f>
        <v>0.18723662289020657</v>
      </c>
      <c r="Q1275" s="1">
        <f t="shared" si="96"/>
        <v>176.21808290971623</v>
      </c>
      <c r="R1275" s="1">
        <f t="shared" si="97"/>
        <v>187.23662289020658</v>
      </c>
    </row>
    <row r="1276" spans="1:18" x14ac:dyDescent="0.35">
      <c r="A1276">
        <v>8.9375109766112804</v>
      </c>
      <c r="B1276">
        <v>1.04699436343951</v>
      </c>
      <c r="C1276">
        <v>1.8146672115348901</v>
      </c>
      <c r="I1276" s="1">
        <f t="shared" si="98"/>
        <v>772200.94837921462</v>
      </c>
      <c r="J1276">
        <f t="shared" si="99"/>
        <v>600.00006686209235</v>
      </c>
      <c r="K1276" s="1">
        <f t="shared" si="100"/>
        <v>2.9525244339193173</v>
      </c>
      <c r="L1276" s="1">
        <f t="shared" si="100"/>
        <v>5.117362106790889</v>
      </c>
      <c r="N1276">
        <f>I1276</f>
        <v>772200.94837921462</v>
      </c>
      <c r="O1276" s="1">
        <f>SUM(K$2:K1276)/$G$3</f>
        <v>0.17624868377445085</v>
      </c>
      <c r="P1276" s="1">
        <f>SUM(L$2:L1276)/$G$3</f>
        <v>0.18728966079357798</v>
      </c>
      <c r="Q1276" s="1">
        <f t="shared" si="96"/>
        <v>176.24868377445085</v>
      </c>
      <c r="R1276" s="1">
        <f t="shared" si="97"/>
        <v>187.28966079357798</v>
      </c>
    </row>
    <row r="1277" spans="1:18" x14ac:dyDescent="0.35">
      <c r="A1277">
        <v>8.9444554218295806</v>
      </c>
      <c r="B1277">
        <v>1.04421907321814</v>
      </c>
      <c r="C1277">
        <v>1.81500616974273</v>
      </c>
      <c r="I1277" s="1">
        <f t="shared" si="98"/>
        <v>772800.94844607578</v>
      </c>
      <c r="J1277">
        <f t="shared" si="99"/>
        <v>600.00006686116103</v>
      </c>
      <c r="K1277" s="1">
        <f t="shared" si="100"/>
        <v>2.9446981146183431</v>
      </c>
      <c r="L1277" s="1">
        <f t="shared" si="100"/>
        <v>5.1183179690355711</v>
      </c>
      <c r="N1277">
        <f>I1277</f>
        <v>772800.94844607578</v>
      </c>
      <c r="O1277" s="1">
        <f>SUM(K$2:K1277)/$G$3</f>
        <v>0.1762792035248226</v>
      </c>
      <c r="P1277" s="1">
        <f>SUM(L$2:L1277)/$G$3</f>
        <v>0.18734270860379754</v>
      </c>
      <c r="Q1277" s="1">
        <f t="shared" si="96"/>
        <v>176.27920352482261</v>
      </c>
      <c r="R1277" s="1">
        <f t="shared" si="97"/>
        <v>187.34270860379755</v>
      </c>
    </row>
    <row r="1278" spans="1:18" x14ac:dyDescent="0.35">
      <c r="A1278">
        <v>8.9513998670478898</v>
      </c>
      <c r="B1278">
        <v>1.0411928986772401</v>
      </c>
      <c r="C1278">
        <v>1.8137885898135799</v>
      </c>
      <c r="I1278" s="1">
        <f t="shared" si="98"/>
        <v>773400.94851293764</v>
      </c>
      <c r="J1278">
        <f t="shared" si="99"/>
        <v>600.00006686185952</v>
      </c>
      <c r="K1278" s="1">
        <f t="shared" si="100"/>
        <v>2.9361643014654555</v>
      </c>
      <c r="L1278" s="1">
        <f t="shared" si="100"/>
        <v>5.1148843932587011</v>
      </c>
      <c r="N1278">
        <f>I1278</f>
        <v>773400.94851293764</v>
      </c>
      <c r="O1278" s="1">
        <f>SUM(K$2:K1278)/$G$3</f>
        <v>0.17630963482814918</v>
      </c>
      <c r="P1278" s="1">
        <f>SUM(L$2:L1278)/$G$3</f>
        <v>0.18739572082738937</v>
      </c>
      <c r="Q1278" s="1">
        <f t="shared" si="96"/>
        <v>176.30963482814917</v>
      </c>
      <c r="R1278" s="1">
        <f t="shared" si="97"/>
        <v>187.39572082738937</v>
      </c>
    </row>
    <row r="1279" spans="1:18" x14ac:dyDescent="0.35">
      <c r="A1279">
        <v>8.9583443122661901</v>
      </c>
      <c r="B1279">
        <v>1.03573541471471</v>
      </c>
      <c r="C1279">
        <v>1.81293100520983</v>
      </c>
      <c r="I1279" s="1">
        <f t="shared" si="98"/>
        <v>774000.9485797988</v>
      </c>
      <c r="J1279">
        <f t="shared" si="99"/>
        <v>600.00006686116103</v>
      </c>
      <c r="K1279" s="1">
        <f t="shared" si="100"/>
        <v>2.9207741949727022</v>
      </c>
      <c r="L1279" s="1">
        <f t="shared" si="100"/>
        <v>5.1124660044006784</v>
      </c>
      <c r="N1279">
        <f>I1279</f>
        <v>774000.9485797988</v>
      </c>
      <c r="O1279" s="1">
        <f>SUM(K$2:K1279)/$G$3</f>
        <v>0.17633990662371299</v>
      </c>
      <c r="P1279" s="1">
        <f>SUM(L$2:L1279)/$G$3</f>
        <v>0.18744870798606067</v>
      </c>
      <c r="Q1279" s="1">
        <f t="shared" si="96"/>
        <v>176.33990662371298</v>
      </c>
      <c r="R1279" s="1">
        <f t="shared" si="97"/>
        <v>187.44870798606067</v>
      </c>
    </row>
    <row r="1280" spans="1:18" x14ac:dyDescent="0.35">
      <c r="A1280">
        <v>8.9652887574844993</v>
      </c>
      <c r="B1280">
        <v>1.03434814964417</v>
      </c>
      <c r="C1280">
        <v>1.81294839512456</v>
      </c>
      <c r="I1280" s="1">
        <f t="shared" si="98"/>
        <v>774600.94864666078</v>
      </c>
      <c r="J1280">
        <f t="shared" si="99"/>
        <v>600.00006686197594</v>
      </c>
      <c r="K1280" s="1">
        <f t="shared" si="100"/>
        <v>2.9168621070417968</v>
      </c>
      <c r="L1280" s="1">
        <f t="shared" si="100"/>
        <v>5.1125150439726257</v>
      </c>
      <c r="N1280">
        <f>I1280</f>
        <v>774600.94864666078</v>
      </c>
      <c r="O1280" s="1">
        <f>SUM(K$2:K1280)/$G$3</f>
        <v>0.17637013787320296</v>
      </c>
      <c r="P1280" s="1">
        <f>SUM(L$2:L1280)/$G$3</f>
        <v>0.18750169565299307</v>
      </c>
      <c r="Q1280" s="1">
        <f t="shared" si="96"/>
        <v>176.37013787320296</v>
      </c>
      <c r="R1280" s="1">
        <f t="shared" si="97"/>
        <v>187.50169565299308</v>
      </c>
    </row>
    <row r="1281" spans="1:18" x14ac:dyDescent="0.35">
      <c r="A1281">
        <v>8.9722332027027996</v>
      </c>
      <c r="B1281">
        <v>1.03095455919774</v>
      </c>
      <c r="C1281">
        <v>1.81247698429272</v>
      </c>
      <c r="I1281" s="1">
        <f t="shared" si="98"/>
        <v>775200.94871352194</v>
      </c>
      <c r="J1281">
        <f t="shared" si="99"/>
        <v>600.00006686116103</v>
      </c>
      <c r="K1281" s="1">
        <f t="shared" si="100"/>
        <v>2.9072921809124757</v>
      </c>
      <c r="L1281" s="1">
        <f t="shared" si="100"/>
        <v>5.1111856652717531</v>
      </c>
      <c r="N1281">
        <f>I1281</f>
        <v>775200.94871352194</v>
      </c>
      <c r="O1281" s="1">
        <f>SUM(K$2:K1281)/$G$3</f>
        <v>0.17640026993705657</v>
      </c>
      <c r="P1281" s="1">
        <f>SUM(L$2:L1281)/$G$3</f>
        <v>0.18755466954183872</v>
      </c>
      <c r="Q1281" s="1">
        <f t="shared" si="96"/>
        <v>176.40026993705658</v>
      </c>
      <c r="R1281" s="1">
        <f t="shared" si="97"/>
        <v>187.55466954183871</v>
      </c>
    </row>
    <row r="1282" spans="1:18" x14ac:dyDescent="0.35">
      <c r="A1282">
        <v>8.9791776479211105</v>
      </c>
      <c r="B1282">
        <v>1.02701324236666</v>
      </c>
      <c r="C1282">
        <v>1.8121054717693701</v>
      </c>
      <c r="I1282" s="1">
        <f t="shared" si="98"/>
        <v>775800.94878038391</v>
      </c>
      <c r="J1282">
        <f t="shared" si="99"/>
        <v>600.00006686197594</v>
      </c>
      <c r="K1282" s="1">
        <f t="shared" si="100"/>
        <v>2.8961776662142147</v>
      </c>
      <c r="L1282" s="1">
        <f t="shared" si="100"/>
        <v>5.110137999846101</v>
      </c>
      <c r="N1282">
        <f>I1282</f>
        <v>775800.94878038391</v>
      </c>
      <c r="O1282" s="1">
        <f>SUM(K$2:K1282)/$G$3</f>
        <v>0.17643028680668618</v>
      </c>
      <c r="P1282" s="1">
        <f>SUM(L$2:L1282)/$G$3</f>
        <v>0.18760763257236002</v>
      </c>
      <c r="Q1282" s="1">
        <f t="shared" ref="Q1282:Q1345" si="101">O1282*1000</f>
        <v>176.43028680668618</v>
      </c>
      <c r="R1282" s="1">
        <f t="shared" ref="R1282:R1345" si="102">P1282*1000</f>
        <v>187.60763257236002</v>
      </c>
    </row>
    <row r="1283" spans="1:18" x14ac:dyDescent="0.35">
      <c r="A1283">
        <v>8.9861220931394108</v>
      </c>
      <c r="B1283">
        <v>1.0240721777261499</v>
      </c>
      <c r="C1283">
        <v>1.8119472848500999</v>
      </c>
      <c r="I1283" s="1">
        <f t="shared" ref="I1283:I1346" si="103">A1283*86400</f>
        <v>776400.94884724508</v>
      </c>
      <c r="J1283">
        <f t="shared" si="99"/>
        <v>600.00006686116103</v>
      </c>
      <c r="K1283" s="1">
        <f t="shared" si="100"/>
        <v>2.88788386299982</v>
      </c>
      <c r="L1283" s="1">
        <f t="shared" si="100"/>
        <v>5.1096919126771079</v>
      </c>
      <c r="N1283">
        <f>I1283</f>
        <v>776400.94884724508</v>
      </c>
      <c r="O1283" s="1">
        <f>SUM(K$2:K1283)/$G$3</f>
        <v>0.17646021771680695</v>
      </c>
      <c r="P1283" s="1">
        <f>SUM(L$2:L1283)/$G$3</f>
        <v>0.18766059097949767</v>
      </c>
      <c r="Q1283" s="1">
        <f t="shared" si="101"/>
        <v>176.46021771680694</v>
      </c>
      <c r="R1283" s="1">
        <f t="shared" si="102"/>
        <v>187.66059097949767</v>
      </c>
    </row>
    <row r="1284" spans="1:18" x14ac:dyDescent="0.35">
      <c r="A1284">
        <v>8.9930665383577093</v>
      </c>
      <c r="B1284">
        <v>1.0209206172409799</v>
      </c>
      <c r="C1284">
        <v>1.8114927419699101</v>
      </c>
      <c r="I1284" s="1">
        <f t="shared" si="103"/>
        <v>777000.94891410612</v>
      </c>
      <c r="J1284">
        <f t="shared" si="99"/>
        <v>600.00006686104462</v>
      </c>
      <c r="K1284" s="1">
        <f t="shared" si="100"/>
        <v>2.8789964614407126</v>
      </c>
      <c r="L1284" s="1">
        <f t="shared" si="100"/>
        <v>5.1084101016111427</v>
      </c>
      <c r="N1284">
        <f>I1284</f>
        <v>777000.94891410612</v>
      </c>
      <c r="O1284" s="1">
        <f>SUM(K$2:K1284)/$G$3</f>
        <v>0.17649005651518432</v>
      </c>
      <c r="P1284" s="1">
        <f>SUM(L$2:L1284)/$G$3</f>
        <v>0.18771353610155403</v>
      </c>
      <c r="Q1284" s="1">
        <f t="shared" si="101"/>
        <v>176.49005651518431</v>
      </c>
      <c r="R1284" s="1">
        <f t="shared" si="102"/>
        <v>187.71353610155404</v>
      </c>
    </row>
    <row r="1285" spans="1:18" x14ac:dyDescent="0.35">
      <c r="A1285">
        <v>9.0000109835760203</v>
      </c>
      <c r="B1285">
        <v>1.0171035930701</v>
      </c>
      <c r="C1285">
        <v>1.81109952694958</v>
      </c>
      <c r="I1285" s="1">
        <f t="shared" si="103"/>
        <v>777600.9489809681</v>
      </c>
      <c r="J1285">
        <f t="shared" si="99"/>
        <v>600.00006686197594</v>
      </c>
      <c r="K1285" s="1">
        <f t="shared" si="100"/>
        <v>2.8682324520837952</v>
      </c>
      <c r="L1285" s="1">
        <f t="shared" si="100"/>
        <v>5.1073012351381726</v>
      </c>
      <c r="N1285">
        <f>I1285</f>
        <v>777600.9489809681</v>
      </c>
      <c r="O1285" s="1">
        <f>SUM(K$2:K1285)/$G$3</f>
        <v>0.1765197837520821</v>
      </c>
      <c r="P1285" s="1">
        <f>SUM(L$2:L1285)/$G$3</f>
        <v>0.18776646973097971</v>
      </c>
      <c r="Q1285" s="1">
        <f t="shared" si="101"/>
        <v>176.51978375208211</v>
      </c>
      <c r="R1285" s="1">
        <f t="shared" si="102"/>
        <v>187.76646973097971</v>
      </c>
    </row>
    <row r="1286" spans="1:18" x14ac:dyDescent="0.35">
      <c r="A1286">
        <v>9.0069554287943205</v>
      </c>
      <c r="B1286">
        <v>1.0142283594522601</v>
      </c>
      <c r="C1286">
        <v>1.8106381286840201</v>
      </c>
      <c r="I1286" s="1">
        <f t="shared" si="103"/>
        <v>778200.94904782926</v>
      </c>
      <c r="J1286">
        <f t="shared" ref="J1286:J1349" si="104">I1286-I1285</f>
        <v>600.00006686116103</v>
      </c>
      <c r="K1286" s="1">
        <f t="shared" si="100"/>
        <v>2.860124292374056</v>
      </c>
      <c r="L1286" s="1">
        <f t="shared" si="100"/>
        <v>5.1060000918773643</v>
      </c>
      <c r="N1286">
        <f>I1286</f>
        <v>778200.94904782926</v>
      </c>
      <c r="O1286" s="1">
        <f>SUM(K$2:K1286)/$G$3</f>
        <v>0.17654942695353698</v>
      </c>
      <c r="P1286" s="1">
        <f>SUM(L$2:L1286)/$G$3</f>
        <v>0.18781938987495936</v>
      </c>
      <c r="Q1286" s="1">
        <f t="shared" si="101"/>
        <v>176.54942695353699</v>
      </c>
      <c r="R1286" s="1">
        <f t="shared" si="102"/>
        <v>187.81938987495937</v>
      </c>
    </row>
    <row r="1287" spans="1:18" x14ac:dyDescent="0.35">
      <c r="A1287">
        <v>9.0138998740126297</v>
      </c>
      <c r="B1287">
        <v>1.01102064847608</v>
      </c>
      <c r="C1287">
        <v>1.8111092800920801</v>
      </c>
      <c r="I1287" s="1">
        <f t="shared" si="103"/>
        <v>778800.94911469123</v>
      </c>
      <c r="J1287">
        <f t="shared" si="104"/>
        <v>600.00006686197594</v>
      </c>
      <c r="K1287" s="1">
        <f t="shared" si="100"/>
        <v>2.8510785464170856</v>
      </c>
      <c r="L1287" s="1">
        <f t="shared" si="100"/>
        <v>5.1073287390030879</v>
      </c>
      <c r="N1287">
        <f>I1287</f>
        <v>778800.94911469123</v>
      </c>
      <c r="O1287" s="1">
        <f>SUM(K$2:K1287)/$G$3</f>
        <v>0.17657897640211881</v>
      </c>
      <c r="P1287" s="1">
        <f>SUM(L$2:L1287)/$G$3</f>
        <v>0.18787232378944352</v>
      </c>
      <c r="Q1287" s="1">
        <f t="shared" si="101"/>
        <v>176.5789764021188</v>
      </c>
      <c r="R1287" s="1">
        <f t="shared" si="102"/>
        <v>187.87232378944353</v>
      </c>
    </row>
    <row r="1288" spans="1:18" x14ac:dyDescent="0.35">
      <c r="A1288">
        <v>9.02084431923093</v>
      </c>
      <c r="B1288">
        <v>1.0082392840780201</v>
      </c>
      <c r="C1288">
        <v>1.8108272221595501</v>
      </c>
      <c r="I1288" s="1">
        <f t="shared" si="103"/>
        <v>779400.94918155239</v>
      </c>
      <c r="J1288">
        <f t="shared" si="104"/>
        <v>600.00006686116103</v>
      </c>
      <c r="K1288" s="1">
        <f t="shared" si="100"/>
        <v>2.8432350979366476</v>
      </c>
      <c r="L1288" s="1">
        <f t="shared" si="100"/>
        <v>5.1065333355377813</v>
      </c>
      <c r="N1288">
        <f>I1288</f>
        <v>779400.94918155239</v>
      </c>
      <c r="O1288" s="1">
        <f>SUM(K$2:K1288)/$G$3</f>
        <v>0.17660844455880573</v>
      </c>
      <c r="P1288" s="1">
        <f>SUM(L$2:L1288)/$G$3</f>
        <v>0.18792524946012326</v>
      </c>
      <c r="Q1288" s="1">
        <f t="shared" si="101"/>
        <v>176.60844455880573</v>
      </c>
      <c r="R1288" s="1">
        <f t="shared" si="102"/>
        <v>187.92524946012327</v>
      </c>
    </row>
    <row r="1289" spans="1:18" x14ac:dyDescent="0.35">
      <c r="A1289">
        <v>9.0277887644492392</v>
      </c>
      <c r="B1289">
        <v>1.00498396640497</v>
      </c>
      <c r="C1289">
        <v>1.8107265050349599</v>
      </c>
      <c r="I1289" s="1">
        <f t="shared" si="103"/>
        <v>780000.94924841425</v>
      </c>
      <c r="J1289">
        <f t="shared" si="104"/>
        <v>600.00006686185952</v>
      </c>
      <c r="K1289" s="1">
        <f t="shared" si="100"/>
        <v>2.8340551010789703</v>
      </c>
      <c r="L1289" s="1">
        <f t="shared" si="100"/>
        <v>5.1062493132207303</v>
      </c>
      <c r="N1289">
        <f>I1289</f>
        <v>780000.94924841425</v>
      </c>
      <c r="O1289" s="1">
        <f>SUM(K$2:K1289)/$G$3</f>
        <v>0.17663781757120228</v>
      </c>
      <c r="P1289" s="1">
        <f>SUM(L$2:L1289)/$G$3</f>
        <v>0.18797817218710902</v>
      </c>
      <c r="Q1289" s="1">
        <f t="shared" si="101"/>
        <v>176.63781757120228</v>
      </c>
      <c r="R1289" s="1">
        <f t="shared" si="102"/>
        <v>187.97817218710901</v>
      </c>
    </row>
    <row r="1290" spans="1:18" x14ac:dyDescent="0.35">
      <c r="A1290">
        <v>9.0347332096675395</v>
      </c>
      <c r="B1290">
        <v>1.00194545433219</v>
      </c>
      <c r="C1290">
        <v>1.80982278492068</v>
      </c>
      <c r="I1290" s="1">
        <f t="shared" si="103"/>
        <v>780600.94931527541</v>
      </c>
      <c r="J1290">
        <f t="shared" si="104"/>
        <v>600.00006686116103</v>
      </c>
      <c r="K1290" s="1">
        <f t="shared" si="100"/>
        <v>2.8254864960755866</v>
      </c>
      <c r="L1290" s="1">
        <f t="shared" si="100"/>
        <v>5.1037008222085252</v>
      </c>
      <c r="N1290">
        <f>I1290</f>
        <v>780600.94931527541</v>
      </c>
      <c r="O1290" s="1">
        <f>SUM(K$2:K1290)/$G$3</f>
        <v>0.17666710177596029</v>
      </c>
      <c r="P1290" s="1">
        <f>SUM(L$2:L1290)/$G$3</f>
        <v>0.18803106850075579</v>
      </c>
      <c r="Q1290" s="1">
        <f t="shared" si="101"/>
        <v>176.66710177596028</v>
      </c>
      <c r="R1290" s="1">
        <f t="shared" si="102"/>
        <v>188.03106850075579</v>
      </c>
    </row>
    <row r="1291" spans="1:18" x14ac:dyDescent="0.35">
      <c r="A1291">
        <v>9.0416776548858504</v>
      </c>
      <c r="B1291">
        <v>0.99850469241132001</v>
      </c>
      <c r="C1291">
        <v>1.80950404005615</v>
      </c>
      <c r="I1291" s="1">
        <f t="shared" si="103"/>
        <v>781200.94938213751</v>
      </c>
      <c r="J1291">
        <f t="shared" si="104"/>
        <v>600.00006686209235</v>
      </c>
      <c r="K1291" s="1">
        <f t="shared" si="100"/>
        <v>2.8157835463818532</v>
      </c>
      <c r="L1291" s="1">
        <f t="shared" si="100"/>
        <v>5.1028019615983062</v>
      </c>
      <c r="N1291">
        <f>I1291</f>
        <v>781200.94938213751</v>
      </c>
      <c r="O1291" s="1">
        <f>SUM(K$2:K1291)/$G$3</f>
        <v>0.17669628541638505</v>
      </c>
      <c r="P1291" s="1">
        <f>SUM(L$2:L1291)/$G$3</f>
        <v>0.18808395549833673</v>
      </c>
      <c r="Q1291" s="1">
        <f t="shared" si="101"/>
        <v>176.69628541638505</v>
      </c>
      <c r="R1291" s="1">
        <f t="shared" si="102"/>
        <v>188.08395549833673</v>
      </c>
    </row>
    <row r="1292" spans="1:18" x14ac:dyDescent="0.35">
      <c r="A1292">
        <v>9.0486221001041507</v>
      </c>
      <c r="B1292">
        <v>0.99553762283438096</v>
      </c>
      <c r="C1292">
        <v>1.8099702946445599</v>
      </c>
      <c r="I1292" s="1">
        <f t="shared" si="103"/>
        <v>781800.94944899867</v>
      </c>
      <c r="J1292">
        <f t="shared" si="104"/>
        <v>600.00006686116103</v>
      </c>
      <c r="K1292" s="1">
        <f t="shared" si="100"/>
        <v>2.8074164092381206</v>
      </c>
      <c r="L1292" s="1">
        <f t="shared" si="100"/>
        <v>5.1041167996762216</v>
      </c>
      <c r="N1292">
        <f>I1292</f>
        <v>781800.94944899867</v>
      </c>
      <c r="O1292" s="1">
        <f>SUM(K$2:K1292)/$G$3</f>
        <v>0.17672538233724569</v>
      </c>
      <c r="P1292" s="1">
        <f>SUM(L$2:L1292)/$G$3</f>
        <v>0.188136856123301</v>
      </c>
      <c r="Q1292" s="1">
        <f t="shared" si="101"/>
        <v>176.72538233724569</v>
      </c>
      <c r="R1292" s="1">
        <f t="shared" si="102"/>
        <v>188.13685612330099</v>
      </c>
    </row>
    <row r="1293" spans="1:18" x14ac:dyDescent="0.35">
      <c r="A1293">
        <v>9.0555665453224599</v>
      </c>
      <c r="B1293">
        <v>0.99257651561870597</v>
      </c>
      <c r="C1293">
        <v>1.8094206809284701</v>
      </c>
      <c r="I1293" s="1">
        <f t="shared" si="103"/>
        <v>782400.94951586053</v>
      </c>
      <c r="J1293">
        <f t="shared" si="104"/>
        <v>600.00006686185952</v>
      </c>
      <c r="K1293" s="1">
        <f t="shared" si="100"/>
        <v>2.7990660859626555</v>
      </c>
      <c r="L1293" s="1">
        <f t="shared" si="100"/>
        <v>5.1025668888300739</v>
      </c>
      <c r="N1293">
        <f>I1293</f>
        <v>782400.94951586053</v>
      </c>
      <c r="O1293" s="1">
        <f>SUM(K$2:K1293)/$G$3</f>
        <v>0.17675439271280624</v>
      </c>
      <c r="P1293" s="1">
        <f>SUM(L$2:L1293)/$G$3</f>
        <v>0.18818974068451599</v>
      </c>
      <c r="Q1293" s="1">
        <f t="shared" si="101"/>
        <v>176.75439271280624</v>
      </c>
      <c r="R1293" s="1">
        <f t="shared" si="102"/>
        <v>188.18974068451598</v>
      </c>
    </row>
    <row r="1294" spans="1:18" x14ac:dyDescent="0.35">
      <c r="A1294">
        <v>9.0625109905407601</v>
      </c>
      <c r="B1294">
        <v>0.98983704301990505</v>
      </c>
      <c r="C1294">
        <v>1.80917608312179</v>
      </c>
      <c r="I1294" s="1">
        <f t="shared" si="103"/>
        <v>783000.94958272169</v>
      </c>
      <c r="J1294">
        <f t="shared" si="104"/>
        <v>600.00006686116103</v>
      </c>
      <c r="K1294" s="1">
        <f t="shared" si="100"/>
        <v>2.7913407723699057</v>
      </c>
      <c r="L1294" s="1">
        <f t="shared" si="100"/>
        <v>5.1018771229324305</v>
      </c>
      <c r="N1294">
        <f>I1294</f>
        <v>783000.94958272169</v>
      </c>
      <c r="O1294" s="1">
        <f>SUM(K$2:K1294)/$G$3</f>
        <v>0.17678332302085795</v>
      </c>
      <c r="P1294" s="1">
        <f>SUM(L$2:L1294)/$G$3</f>
        <v>0.18824261809678663</v>
      </c>
      <c r="Q1294" s="1">
        <f t="shared" si="101"/>
        <v>176.78332302085795</v>
      </c>
      <c r="R1294" s="1">
        <f t="shared" si="102"/>
        <v>188.24261809678663</v>
      </c>
    </row>
    <row r="1295" spans="1:18" x14ac:dyDescent="0.35">
      <c r="A1295">
        <v>9.0694554357590604</v>
      </c>
      <c r="B1295">
        <v>0.98650647116732804</v>
      </c>
      <c r="C1295">
        <v>1.8094829500806799</v>
      </c>
      <c r="I1295" s="1">
        <f t="shared" si="103"/>
        <v>783600.94964958285</v>
      </c>
      <c r="J1295">
        <f t="shared" si="104"/>
        <v>600.00006686116103</v>
      </c>
      <c r="K1295" s="1">
        <f t="shared" si="100"/>
        <v>2.7819485586990145</v>
      </c>
      <c r="L1295" s="1">
        <f t="shared" si="100"/>
        <v>5.1027424878529333</v>
      </c>
      <c r="N1295">
        <f>I1295</f>
        <v>783600.94964958285</v>
      </c>
      <c r="O1295" s="1">
        <f>SUM(K$2:K1295)/$G$3</f>
        <v>0.17681215598513944</v>
      </c>
      <c r="P1295" s="1">
        <f>SUM(L$2:L1295)/$G$3</f>
        <v>0.18829550447796353</v>
      </c>
      <c r="Q1295" s="1">
        <f t="shared" si="101"/>
        <v>176.81215598513944</v>
      </c>
      <c r="R1295" s="1">
        <f t="shared" si="102"/>
        <v>188.29550447796353</v>
      </c>
    </row>
    <row r="1296" spans="1:18" x14ac:dyDescent="0.35">
      <c r="A1296">
        <v>9.0763998809773696</v>
      </c>
      <c r="B1296">
        <v>0.98350926229906799</v>
      </c>
      <c r="C1296">
        <v>1.8088225974043699</v>
      </c>
      <c r="I1296" s="1">
        <f t="shared" si="103"/>
        <v>784200.94971644471</v>
      </c>
      <c r="J1296">
        <f t="shared" si="104"/>
        <v>600.00006686185952</v>
      </c>
      <c r="K1296" s="1">
        <f t="shared" si="100"/>
        <v>2.7734964287518848</v>
      </c>
      <c r="L1296" s="1">
        <f t="shared" si="100"/>
        <v>5.1008802931041632</v>
      </c>
      <c r="N1296">
        <f>I1296</f>
        <v>784200.94971644471</v>
      </c>
      <c r="O1296" s="1">
        <f>SUM(K$2:K1296)/$G$3</f>
        <v>0.17684090134896543</v>
      </c>
      <c r="P1296" s="1">
        <f>SUM(L$2:L1296)/$G$3</f>
        <v>0.18834837155878545</v>
      </c>
      <c r="Q1296" s="1">
        <f t="shared" si="101"/>
        <v>176.84090134896545</v>
      </c>
      <c r="R1296" s="1">
        <f t="shared" si="102"/>
        <v>188.34837155878546</v>
      </c>
    </row>
    <row r="1297" spans="1:18" x14ac:dyDescent="0.35">
      <c r="A1297">
        <v>9.0833443261956699</v>
      </c>
      <c r="B1297">
        <v>0.98048199583199902</v>
      </c>
      <c r="C1297">
        <v>1.8087321199648601</v>
      </c>
      <c r="I1297" s="1">
        <f t="shared" si="103"/>
        <v>784800.94978330587</v>
      </c>
      <c r="J1297">
        <f t="shared" si="104"/>
        <v>600.00006686116103</v>
      </c>
      <c r="K1297" s="1">
        <f t="shared" si="100"/>
        <v>2.7649595363602111</v>
      </c>
      <c r="L1297" s="1">
        <f t="shared" si="100"/>
        <v>5.1006251466903736</v>
      </c>
      <c r="N1297">
        <f>I1297</f>
        <v>784800.94978330587</v>
      </c>
      <c r="O1297" s="1">
        <f>SUM(K$2:K1297)/$G$3</f>
        <v>0.1768695582338321</v>
      </c>
      <c r="P1297" s="1">
        <f>SUM(L$2:L1297)/$G$3</f>
        <v>0.18840123599519204</v>
      </c>
      <c r="Q1297" s="1">
        <f t="shared" si="101"/>
        <v>176.86955823383209</v>
      </c>
      <c r="R1297" s="1">
        <f t="shared" si="102"/>
        <v>188.40123599519205</v>
      </c>
    </row>
    <row r="1298" spans="1:18" x14ac:dyDescent="0.35">
      <c r="A1298">
        <v>9.0902887714139808</v>
      </c>
      <c r="B1298">
        <v>0.97754965380466396</v>
      </c>
      <c r="C1298">
        <v>1.80781907322911</v>
      </c>
      <c r="I1298" s="1">
        <f t="shared" si="103"/>
        <v>785400.94985016796</v>
      </c>
      <c r="J1298">
        <f t="shared" si="104"/>
        <v>600.00006686209235</v>
      </c>
      <c r="K1298" s="1">
        <f t="shared" si="100"/>
        <v>2.7566903309259239</v>
      </c>
      <c r="L1298" s="1">
        <f t="shared" si="100"/>
        <v>5.0980503546165501</v>
      </c>
      <c r="N1298">
        <f>I1298</f>
        <v>785400.94985016796</v>
      </c>
      <c r="O1298" s="1">
        <f>SUM(K$2:K1298)/$G$3</f>
        <v>0.1768981294141288</v>
      </c>
      <c r="P1298" s="1">
        <f>SUM(L$2:L1298)/$G$3</f>
        <v>0.18845407374566739</v>
      </c>
      <c r="Q1298" s="1">
        <f t="shared" si="101"/>
        <v>176.89812941412879</v>
      </c>
      <c r="R1298" s="1">
        <f t="shared" si="102"/>
        <v>188.45407374566739</v>
      </c>
    </row>
    <row r="1299" spans="1:18" x14ac:dyDescent="0.35">
      <c r="A1299">
        <v>9.0972332166322794</v>
      </c>
      <c r="B1299">
        <v>0.97454798340369497</v>
      </c>
      <c r="C1299">
        <v>1.8079863119569799</v>
      </c>
      <c r="I1299" s="1">
        <f t="shared" si="103"/>
        <v>786000.94991702889</v>
      </c>
      <c r="J1299">
        <f t="shared" si="104"/>
        <v>600.0000668609282</v>
      </c>
      <c r="K1299" s="1">
        <f t="shared" ref="K1299:L1362" si="105">B1299*$J1299*$G$2</f>
        <v>2.7482256194465786</v>
      </c>
      <c r="L1299" s="1">
        <f t="shared" si="105"/>
        <v>5.0985219678718048</v>
      </c>
      <c r="N1299">
        <f>I1299</f>
        <v>786000.94991702889</v>
      </c>
      <c r="O1299" s="1">
        <f>SUM(K$2:K1299)/$G$3</f>
        <v>0.17692661286357117</v>
      </c>
      <c r="P1299" s="1">
        <f>SUM(L$2:L1299)/$G$3</f>
        <v>0.18850691638408656</v>
      </c>
      <c r="Q1299" s="1">
        <f t="shared" si="101"/>
        <v>176.92661286357117</v>
      </c>
      <c r="R1299" s="1">
        <f t="shared" si="102"/>
        <v>188.50691638408657</v>
      </c>
    </row>
    <row r="1300" spans="1:18" x14ac:dyDescent="0.35">
      <c r="A1300">
        <v>9.1041776618505903</v>
      </c>
      <c r="B1300">
        <v>0.97124247932501795</v>
      </c>
      <c r="C1300">
        <v>1.80768796735219</v>
      </c>
      <c r="I1300" s="1">
        <f t="shared" si="103"/>
        <v>786600.94998389098</v>
      </c>
      <c r="J1300">
        <f t="shared" si="104"/>
        <v>600.00006686209235</v>
      </c>
      <c r="K1300" s="1">
        <f t="shared" si="105"/>
        <v>2.7389040969112814</v>
      </c>
      <c r="L1300" s="1">
        <f t="shared" si="105"/>
        <v>5.0976806360024343</v>
      </c>
      <c r="N1300">
        <f>I1300</f>
        <v>786600.94998389098</v>
      </c>
      <c r="O1300" s="1">
        <f>SUM(K$2:K1300)/$G$3</f>
        <v>0.17695499970190781</v>
      </c>
      <c r="P1300" s="1">
        <f>SUM(L$2:L1300)/$G$3</f>
        <v>0.18855975030268532</v>
      </c>
      <c r="Q1300" s="1">
        <f t="shared" si="101"/>
        <v>176.95499970190781</v>
      </c>
      <c r="R1300" s="1">
        <f t="shared" si="102"/>
        <v>188.55975030268533</v>
      </c>
    </row>
    <row r="1301" spans="1:18" x14ac:dyDescent="0.35">
      <c r="A1301">
        <v>9.1111221070688906</v>
      </c>
      <c r="B1301">
        <v>0.96840126163250295</v>
      </c>
      <c r="C1301">
        <v>1.80725076633662</v>
      </c>
      <c r="I1301" s="1">
        <f t="shared" si="103"/>
        <v>787200.95005075214</v>
      </c>
      <c r="J1301">
        <f t="shared" si="104"/>
        <v>600.00006686116103</v>
      </c>
      <c r="K1301" s="1">
        <f t="shared" si="105"/>
        <v>2.7308918621212923</v>
      </c>
      <c r="L1301" s="1">
        <f t="shared" si="105"/>
        <v>5.0964477289932253</v>
      </c>
      <c r="N1301">
        <f>I1301</f>
        <v>787200.95005075214</v>
      </c>
      <c r="O1301" s="1">
        <f>SUM(K$2:K1301)/$G$3</f>
        <v>0.17698330349899669</v>
      </c>
      <c r="P1301" s="1">
        <f>SUM(L$2:L1301)/$G$3</f>
        <v>0.1886125714430594</v>
      </c>
      <c r="Q1301" s="1">
        <f t="shared" si="101"/>
        <v>176.98330349899669</v>
      </c>
      <c r="R1301" s="1">
        <f t="shared" si="102"/>
        <v>188.61257144305941</v>
      </c>
    </row>
    <row r="1302" spans="1:18" x14ac:dyDescent="0.35">
      <c r="A1302">
        <v>9.1180665522871998</v>
      </c>
      <c r="B1302">
        <v>0.96574686265373699</v>
      </c>
      <c r="C1302">
        <v>1.80756170226488</v>
      </c>
      <c r="I1302" s="1">
        <f t="shared" si="103"/>
        <v>787800.950117614</v>
      </c>
      <c r="J1302">
        <f t="shared" si="104"/>
        <v>600.00006686185952</v>
      </c>
      <c r="K1302" s="1">
        <f t="shared" si="105"/>
        <v>2.7234064561702045</v>
      </c>
      <c r="L1302" s="1">
        <f t="shared" si="105"/>
        <v>5.0973245684145638</v>
      </c>
      <c r="N1302">
        <f>I1302</f>
        <v>787800.950117614</v>
      </c>
      <c r="O1302" s="1">
        <f>SUM(K$2:K1302)/$G$3</f>
        <v>0.17701152971505277</v>
      </c>
      <c r="P1302" s="1">
        <f>SUM(L$2:L1302)/$G$3</f>
        <v>0.18866540167126497</v>
      </c>
      <c r="Q1302" s="1">
        <f t="shared" si="101"/>
        <v>177.01152971505277</v>
      </c>
      <c r="R1302" s="1">
        <f t="shared" si="102"/>
        <v>188.66540167126496</v>
      </c>
    </row>
    <row r="1303" spans="1:18" x14ac:dyDescent="0.35">
      <c r="A1303">
        <v>9.1250109975055</v>
      </c>
      <c r="B1303">
        <v>0.963016009052169</v>
      </c>
      <c r="C1303">
        <v>1.80715956036708</v>
      </c>
      <c r="I1303" s="1">
        <f t="shared" si="103"/>
        <v>788400.95018447516</v>
      </c>
      <c r="J1303">
        <f t="shared" si="104"/>
        <v>600.00006686116103</v>
      </c>
      <c r="K1303" s="1">
        <f t="shared" si="105"/>
        <v>2.7157054481524483</v>
      </c>
      <c r="L1303" s="1">
        <f t="shared" si="105"/>
        <v>5.096190528130462</v>
      </c>
      <c r="N1303">
        <f>I1303</f>
        <v>788400.95018447516</v>
      </c>
      <c r="O1303" s="1">
        <f>SUM(K$2:K1303)/$G$3</f>
        <v>0.17703967611551039</v>
      </c>
      <c r="P1303" s="1">
        <f>SUM(L$2:L1303)/$G$3</f>
        <v>0.18871822014593076</v>
      </c>
      <c r="Q1303" s="1">
        <f t="shared" si="101"/>
        <v>177.03967611551039</v>
      </c>
      <c r="R1303" s="1">
        <f t="shared" si="102"/>
        <v>188.71822014593076</v>
      </c>
    </row>
    <row r="1304" spans="1:18" x14ac:dyDescent="0.35">
      <c r="A1304">
        <v>9.1319554427238003</v>
      </c>
      <c r="B1304">
        <v>0.96045990139562898</v>
      </c>
      <c r="C1304">
        <v>1.8072648992828899</v>
      </c>
      <c r="I1304" s="1">
        <f t="shared" si="103"/>
        <v>789000.95025133633</v>
      </c>
      <c r="J1304">
        <f t="shared" si="104"/>
        <v>600.00006686116103</v>
      </c>
      <c r="K1304" s="1">
        <f t="shared" si="105"/>
        <v>2.7084972237577554</v>
      </c>
      <c r="L1304" s="1">
        <f t="shared" si="105"/>
        <v>5.0964875839061481</v>
      </c>
      <c r="N1304">
        <f>I1304</f>
        <v>789000.95025133633</v>
      </c>
      <c r="O1304" s="1">
        <f>SUM(K$2:K1304)/$G$3</f>
        <v>0.17706774780772946</v>
      </c>
      <c r="P1304" s="1">
        <f>SUM(L$2:L1304)/$G$3</f>
        <v>0.18877104169937334</v>
      </c>
      <c r="Q1304" s="1">
        <f t="shared" si="101"/>
        <v>177.06774780772946</v>
      </c>
      <c r="R1304" s="1">
        <f t="shared" si="102"/>
        <v>188.77104169937334</v>
      </c>
    </row>
    <row r="1305" spans="1:18" x14ac:dyDescent="0.35">
      <c r="A1305">
        <v>9.1388998879421095</v>
      </c>
      <c r="B1305">
        <v>0.95614026374106198</v>
      </c>
      <c r="C1305">
        <v>1.80726922334315</v>
      </c>
      <c r="I1305" s="1">
        <f t="shared" si="103"/>
        <v>789600.9503181983</v>
      </c>
      <c r="J1305">
        <f t="shared" si="104"/>
        <v>600.00006686197594</v>
      </c>
      <c r="K1305" s="1">
        <f t="shared" si="105"/>
        <v>2.6963158442181032</v>
      </c>
      <c r="L1305" s="1">
        <f t="shared" si="105"/>
        <v>5.0964997777643628</v>
      </c>
      <c r="N1305">
        <f>I1305</f>
        <v>789600.9503181983</v>
      </c>
      <c r="O1305" s="1">
        <f>SUM(K$2:K1305)/$G$3</f>
        <v>0.17709569324841162</v>
      </c>
      <c r="P1305" s="1">
        <f>SUM(L$2:L1305)/$G$3</f>
        <v>0.18882386337919674</v>
      </c>
      <c r="Q1305" s="1">
        <f t="shared" si="101"/>
        <v>177.09569324841164</v>
      </c>
      <c r="R1305" s="1">
        <f t="shared" si="102"/>
        <v>188.82386337919675</v>
      </c>
    </row>
    <row r="1306" spans="1:18" x14ac:dyDescent="0.35">
      <c r="A1306">
        <v>9.1458443331604098</v>
      </c>
      <c r="B1306">
        <v>0.95469766593765204</v>
      </c>
      <c r="C1306">
        <v>1.80703907989226</v>
      </c>
      <c r="I1306" s="1">
        <f t="shared" si="103"/>
        <v>790200.95038505946</v>
      </c>
      <c r="J1306">
        <f t="shared" si="104"/>
        <v>600.00006686116103</v>
      </c>
      <c r="K1306" s="1">
        <f t="shared" si="105"/>
        <v>2.6922477179554924</v>
      </c>
      <c r="L1306" s="1">
        <f t="shared" si="105"/>
        <v>5.0958507731536091</v>
      </c>
      <c r="N1306">
        <f>I1306</f>
        <v>790200.95038505946</v>
      </c>
      <c r="O1306" s="1">
        <f>SUM(K$2:K1306)/$G$3</f>
        <v>0.17712359652579104</v>
      </c>
      <c r="P1306" s="1">
        <f>SUM(L$2:L1306)/$G$3</f>
        <v>0.18887667833253821</v>
      </c>
      <c r="Q1306" s="1">
        <f t="shared" si="101"/>
        <v>177.12359652579104</v>
      </c>
      <c r="R1306" s="1">
        <f t="shared" si="102"/>
        <v>188.87667833253821</v>
      </c>
    </row>
    <row r="1307" spans="1:18" x14ac:dyDescent="0.35">
      <c r="A1307">
        <v>9.1527887783787207</v>
      </c>
      <c r="B1307">
        <v>0.95191148984033203</v>
      </c>
      <c r="C1307">
        <v>1.80749095481246</v>
      </c>
      <c r="I1307" s="1">
        <f t="shared" si="103"/>
        <v>790800.95045192144</v>
      </c>
      <c r="J1307">
        <f t="shared" si="104"/>
        <v>600.00006686197594</v>
      </c>
      <c r="K1307" s="1">
        <f t="shared" si="105"/>
        <v>2.6843907004891472</v>
      </c>
      <c r="L1307" s="1">
        <f t="shared" si="105"/>
        <v>5.097125060577496</v>
      </c>
      <c r="N1307">
        <f>I1307</f>
        <v>790800.95045192144</v>
      </c>
      <c r="O1307" s="1">
        <f>SUM(K$2:K1307)/$G$3</f>
        <v>0.17715141837064247</v>
      </c>
      <c r="P1307" s="1">
        <f>SUM(L$2:L1307)/$G$3</f>
        <v>0.18892950649298365</v>
      </c>
      <c r="Q1307" s="1">
        <f t="shared" si="101"/>
        <v>177.15141837064246</v>
      </c>
      <c r="R1307" s="1">
        <f t="shared" si="102"/>
        <v>188.92950649298365</v>
      </c>
    </row>
    <row r="1308" spans="1:18" x14ac:dyDescent="0.35">
      <c r="A1308">
        <v>9.1597332235970192</v>
      </c>
      <c r="B1308">
        <v>0.94892754058420403</v>
      </c>
      <c r="C1308">
        <v>1.8074493440947901</v>
      </c>
      <c r="I1308" s="1">
        <f t="shared" si="103"/>
        <v>791400.95051878248</v>
      </c>
      <c r="J1308">
        <f t="shared" si="104"/>
        <v>600.00006686104462</v>
      </c>
      <c r="K1308" s="1">
        <f t="shared" si="105"/>
        <v>2.675975962645003</v>
      </c>
      <c r="L1308" s="1">
        <f t="shared" si="105"/>
        <v>5.0970077183326792</v>
      </c>
      <c r="N1308">
        <f>I1308</f>
        <v>791400.95051878248</v>
      </c>
      <c r="O1308" s="1">
        <f>SUM(K$2:K1308)/$G$3</f>
        <v>0.17717915300258155</v>
      </c>
      <c r="P1308" s="1">
        <f>SUM(L$2:L1308)/$G$3</f>
        <v>0.18898233343725823</v>
      </c>
      <c r="Q1308" s="1">
        <f t="shared" si="101"/>
        <v>177.17915300258156</v>
      </c>
      <c r="R1308" s="1">
        <f t="shared" si="102"/>
        <v>188.98233343725823</v>
      </c>
    </row>
    <row r="1309" spans="1:18" x14ac:dyDescent="0.35">
      <c r="A1309">
        <v>9.1666776688153302</v>
      </c>
      <c r="B1309">
        <v>0.94622702619945298</v>
      </c>
      <c r="C1309">
        <v>1.8066896476422101</v>
      </c>
      <c r="I1309" s="1">
        <f t="shared" si="103"/>
        <v>792000.95058564458</v>
      </c>
      <c r="J1309">
        <f t="shared" si="104"/>
        <v>600.00006686209235</v>
      </c>
      <c r="K1309" s="1">
        <f t="shared" si="105"/>
        <v>2.668360511236036</v>
      </c>
      <c r="L1309" s="1">
        <f t="shared" si="105"/>
        <v>5.0948653741065684</v>
      </c>
      <c r="N1309">
        <f>I1309</f>
        <v>792000.95058564458</v>
      </c>
      <c r="O1309" s="1">
        <f>SUM(K$2:K1309)/$G$3</f>
        <v>0.17720680870565703</v>
      </c>
      <c r="P1309" s="1">
        <f>SUM(L$2:L1309)/$G$3</f>
        <v>0.18903513817762313</v>
      </c>
      <c r="Q1309" s="1">
        <f t="shared" si="101"/>
        <v>177.20680870565704</v>
      </c>
      <c r="R1309" s="1">
        <f t="shared" si="102"/>
        <v>189.03513817762314</v>
      </c>
    </row>
    <row r="1310" spans="1:18" x14ac:dyDescent="0.35">
      <c r="A1310">
        <v>9.1736221140336305</v>
      </c>
      <c r="B1310">
        <v>0.94367168597273199</v>
      </c>
      <c r="C1310">
        <v>1.8069112586315299</v>
      </c>
      <c r="I1310" s="1">
        <f t="shared" si="103"/>
        <v>792600.95065250562</v>
      </c>
      <c r="J1310">
        <f t="shared" si="104"/>
        <v>600.00006686104462</v>
      </c>
      <c r="K1310" s="1">
        <f t="shared" si="105"/>
        <v>2.6611544509890153</v>
      </c>
      <c r="L1310" s="1">
        <f t="shared" si="105"/>
        <v>5.0954903171571928</v>
      </c>
      <c r="N1310">
        <f>I1310</f>
        <v>792600.95065250562</v>
      </c>
      <c r="O1310" s="1">
        <f>SUM(K$2:K1310)/$G$3</f>
        <v>0.17723438972292388</v>
      </c>
      <c r="P1310" s="1">
        <f>SUM(L$2:L1310)/$G$3</f>
        <v>0.18908794939508863</v>
      </c>
      <c r="Q1310" s="1">
        <f t="shared" si="101"/>
        <v>177.23438972292388</v>
      </c>
      <c r="R1310" s="1">
        <f t="shared" si="102"/>
        <v>189.08794939508863</v>
      </c>
    </row>
    <row r="1311" spans="1:18" x14ac:dyDescent="0.35">
      <c r="A1311">
        <v>9.1805665592519397</v>
      </c>
      <c r="B1311">
        <v>0.94090740203603795</v>
      </c>
      <c r="C1311">
        <v>1.8072086375267</v>
      </c>
      <c r="I1311" s="1">
        <f t="shared" si="103"/>
        <v>793200.9507193676</v>
      </c>
      <c r="J1311">
        <f t="shared" si="104"/>
        <v>600.00006686197594</v>
      </c>
      <c r="K1311" s="1">
        <f t="shared" si="105"/>
        <v>2.653359169422989</v>
      </c>
      <c r="L1311" s="1">
        <f t="shared" si="105"/>
        <v>5.0963289257429345</v>
      </c>
      <c r="N1311">
        <f>I1311</f>
        <v>793200.9507193676</v>
      </c>
      <c r="O1311" s="1">
        <f>SUM(K$2:K1311)/$G$3</f>
        <v>0.17726188994751241</v>
      </c>
      <c r="P1311" s="1">
        <f>SUM(L$2:L1311)/$G$3</f>
        <v>0.18914076930414953</v>
      </c>
      <c r="Q1311" s="1">
        <f t="shared" si="101"/>
        <v>177.2618899475124</v>
      </c>
      <c r="R1311" s="1">
        <f t="shared" si="102"/>
        <v>189.14076930414953</v>
      </c>
    </row>
    <row r="1312" spans="1:18" x14ac:dyDescent="0.35">
      <c r="A1312">
        <v>9.1875110044702399</v>
      </c>
      <c r="B1312">
        <v>0.93835038470652699</v>
      </c>
      <c r="C1312">
        <v>1.8064905986540001</v>
      </c>
      <c r="I1312" s="1">
        <f t="shared" si="103"/>
        <v>793800.95078622876</v>
      </c>
      <c r="J1312">
        <f t="shared" si="104"/>
        <v>600.00006686116103</v>
      </c>
      <c r="K1312" s="1">
        <f t="shared" si="105"/>
        <v>2.6461483797466281</v>
      </c>
      <c r="L1312" s="1">
        <f t="shared" si="105"/>
        <v>5.0943040558893564</v>
      </c>
      <c r="N1312">
        <f>I1312</f>
        <v>793800.95078622876</v>
      </c>
      <c r="O1312" s="1">
        <f>SUM(K$2:K1312)/$G$3</f>
        <v>0.17728931543727502</v>
      </c>
      <c r="P1312" s="1">
        <f>SUM(L$2:L1312)/$G$3</f>
        <v>0.18919356822684102</v>
      </c>
      <c r="Q1312" s="1">
        <f t="shared" si="101"/>
        <v>177.28931543727504</v>
      </c>
      <c r="R1312" s="1">
        <f t="shared" si="102"/>
        <v>189.19356822684102</v>
      </c>
    </row>
    <row r="1313" spans="1:18" x14ac:dyDescent="0.35">
      <c r="A1313">
        <v>9.1944554496885402</v>
      </c>
      <c r="B1313">
        <v>0.93569713424978496</v>
      </c>
      <c r="C1313">
        <v>1.80669205031652</v>
      </c>
      <c r="I1313" s="1">
        <f t="shared" si="103"/>
        <v>794400.95085308992</v>
      </c>
      <c r="J1313">
        <f t="shared" si="104"/>
        <v>600.00006686116103</v>
      </c>
      <c r="K1313" s="1">
        <f t="shared" si="105"/>
        <v>2.6386662126248384</v>
      </c>
      <c r="L1313" s="1">
        <f t="shared" si="105"/>
        <v>5.0948721496409686</v>
      </c>
      <c r="N1313">
        <f>I1313</f>
        <v>794400.95085308992</v>
      </c>
      <c r="O1313" s="1">
        <f>SUM(K$2:K1313)/$G$3</f>
        <v>0.17731666337957305</v>
      </c>
      <c r="P1313" s="1">
        <f>SUM(L$2:L1313)/$G$3</f>
        <v>0.18924637303742964</v>
      </c>
      <c r="Q1313" s="1">
        <f t="shared" si="101"/>
        <v>177.31666337957304</v>
      </c>
      <c r="R1313" s="1">
        <f t="shared" si="102"/>
        <v>189.24637303742963</v>
      </c>
    </row>
    <row r="1314" spans="1:18" x14ac:dyDescent="0.35">
      <c r="A1314">
        <v>9.2013998949068494</v>
      </c>
      <c r="B1314">
        <v>0.93294848253099405</v>
      </c>
      <c r="C1314">
        <v>1.8069575298599501</v>
      </c>
      <c r="I1314" s="1">
        <f t="shared" si="103"/>
        <v>795000.95091995178</v>
      </c>
      <c r="J1314">
        <f t="shared" si="104"/>
        <v>600.00006686185952</v>
      </c>
      <c r="K1314" s="1">
        <f t="shared" si="105"/>
        <v>2.6309150139171544</v>
      </c>
      <c r="L1314" s="1">
        <f t="shared" si="105"/>
        <v>5.0956208020428004</v>
      </c>
      <c r="N1314">
        <f>I1314</f>
        <v>795000.95091995178</v>
      </c>
      <c r="O1314" s="1">
        <f>SUM(K$2:K1314)/$G$3</f>
        <v>0.17734393098608095</v>
      </c>
      <c r="P1314" s="1">
        <f>SUM(L$2:L1314)/$G$3</f>
        <v>0.18929918560728032</v>
      </c>
      <c r="Q1314" s="1">
        <f t="shared" si="101"/>
        <v>177.34393098608095</v>
      </c>
      <c r="R1314" s="1">
        <f t="shared" si="102"/>
        <v>189.29918560728032</v>
      </c>
    </row>
    <row r="1315" spans="1:18" x14ac:dyDescent="0.35">
      <c r="A1315">
        <v>9.2083443401251497</v>
      </c>
      <c r="B1315">
        <v>0.93014822494418603</v>
      </c>
      <c r="C1315">
        <v>1.80647109243589</v>
      </c>
      <c r="I1315" s="1">
        <f t="shared" si="103"/>
        <v>795600.95098681294</v>
      </c>
      <c r="J1315">
        <f t="shared" si="104"/>
        <v>600.00006686116103</v>
      </c>
      <c r="K1315" s="1">
        <f t="shared" si="105"/>
        <v>2.6230182866393186</v>
      </c>
      <c r="L1315" s="1">
        <f t="shared" si="105"/>
        <v>5.0942490483481571</v>
      </c>
      <c r="N1315">
        <f>I1315</f>
        <v>795600.95098681294</v>
      </c>
      <c r="O1315" s="1">
        <f>SUM(K$2:K1315)/$G$3</f>
        <v>0.17737111674849623</v>
      </c>
      <c r="P1315" s="1">
        <f>SUM(L$2:L1315)/$G$3</f>
        <v>0.18935198395985686</v>
      </c>
      <c r="Q1315" s="1">
        <f t="shared" si="101"/>
        <v>177.37111674849623</v>
      </c>
      <c r="R1315" s="1">
        <f t="shared" si="102"/>
        <v>189.35198395985685</v>
      </c>
    </row>
    <row r="1316" spans="1:18" x14ac:dyDescent="0.35">
      <c r="A1316">
        <v>9.2152887853434606</v>
      </c>
      <c r="B1316">
        <v>0.92736200929469204</v>
      </c>
      <c r="C1316">
        <v>1.80664237975024</v>
      </c>
      <c r="I1316" s="1">
        <f t="shared" si="103"/>
        <v>796200.95105367503</v>
      </c>
      <c r="J1316">
        <f t="shared" si="104"/>
        <v>600.00006686209235</v>
      </c>
      <c r="K1316" s="1">
        <f t="shared" si="105"/>
        <v>2.6151611576362441</v>
      </c>
      <c r="L1316" s="1">
        <f t="shared" si="105"/>
        <v>5.0947320786363592</v>
      </c>
      <c r="N1316">
        <f>I1316</f>
        <v>796200.95105367503</v>
      </c>
      <c r="O1316" s="1">
        <f>SUM(K$2:K1316)/$G$3</f>
        <v>0.1773982210772275</v>
      </c>
      <c r="P1316" s="1">
        <f>SUM(L$2:L1316)/$G$3</f>
        <v>0.1894047873187068</v>
      </c>
      <c r="Q1316" s="1">
        <f t="shared" si="101"/>
        <v>177.3982210772275</v>
      </c>
      <c r="R1316" s="1">
        <f t="shared" si="102"/>
        <v>189.40478731870681</v>
      </c>
    </row>
    <row r="1317" spans="1:18" x14ac:dyDescent="0.35">
      <c r="A1317">
        <v>9.2222332305617591</v>
      </c>
      <c r="B1317">
        <v>0.92482276315876299</v>
      </c>
      <c r="C1317">
        <v>1.80671697985117</v>
      </c>
      <c r="I1317" s="1">
        <f t="shared" si="103"/>
        <v>796800.95112053596</v>
      </c>
      <c r="J1317">
        <f t="shared" si="104"/>
        <v>600.0000668609282</v>
      </c>
      <c r="K1317" s="1">
        <f t="shared" si="105"/>
        <v>2.608000482729901</v>
      </c>
      <c r="L1317" s="1">
        <f t="shared" si="105"/>
        <v>5.0949424509345382</v>
      </c>
      <c r="N1317">
        <f>I1317</f>
        <v>796800.95112053596</v>
      </c>
      <c r="O1317" s="1">
        <f>SUM(K$2:K1317)/$G$3</f>
        <v>0.17742525119053765</v>
      </c>
      <c r="P1317" s="1">
        <f>SUM(L$2:L1317)/$G$3</f>
        <v>0.18945759285791947</v>
      </c>
      <c r="Q1317" s="1">
        <f t="shared" si="101"/>
        <v>177.42525119053764</v>
      </c>
      <c r="R1317" s="1">
        <f t="shared" si="102"/>
        <v>189.45759285791948</v>
      </c>
    </row>
    <row r="1318" spans="1:18" x14ac:dyDescent="0.35">
      <c r="A1318">
        <v>9.2291776757800701</v>
      </c>
      <c r="B1318">
        <v>0.92251655266255095</v>
      </c>
      <c r="C1318">
        <v>1.80714929948887</v>
      </c>
      <c r="I1318" s="1">
        <f t="shared" si="103"/>
        <v>797400.95118739805</v>
      </c>
      <c r="J1318">
        <f t="shared" si="104"/>
        <v>600.00006686209235</v>
      </c>
      <c r="K1318" s="1">
        <f t="shared" si="105"/>
        <v>2.6014969684109124</v>
      </c>
      <c r="L1318" s="1">
        <f t="shared" si="105"/>
        <v>5.0961615924585955</v>
      </c>
      <c r="N1318">
        <f>I1318</f>
        <v>797400.95118739805</v>
      </c>
      <c r="O1318" s="1">
        <f>SUM(K$2:K1318)/$G$3</f>
        <v>0.17745221389943969</v>
      </c>
      <c r="P1318" s="1">
        <f>SUM(L$2:L1318)/$G$3</f>
        <v>0.18951041103268712</v>
      </c>
      <c r="Q1318" s="1">
        <f t="shared" si="101"/>
        <v>177.4522138994397</v>
      </c>
      <c r="R1318" s="1">
        <f t="shared" si="102"/>
        <v>189.51041103268713</v>
      </c>
    </row>
    <row r="1319" spans="1:18" x14ac:dyDescent="0.35">
      <c r="A1319">
        <v>9.2361221209983704</v>
      </c>
      <c r="B1319">
        <v>0.91977667369883298</v>
      </c>
      <c r="C1319">
        <v>1.80696821432431</v>
      </c>
      <c r="I1319" s="1">
        <f t="shared" si="103"/>
        <v>798000.95125425921</v>
      </c>
      <c r="J1319">
        <f t="shared" si="104"/>
        <v>600.00006686116103</v>
      </c>
      <c r="K1319" s="1">
        <f t="shared" si="105"/>
        <v>2.5937705088681895</v>
      </c>
      <c r="L1319" s="1">
        <f t="shared" si="105"/>
        <v>5.0956509322297201</v>
      </c>
      <c r="N1319">
        <f>I1319</f>
        <v>798000.95125425921</v>
      </c>
      <c r="O1319" s="1">
        <f>SUM(K$2:K1319)/$G$3</f>
        <v>0.17747909652895585</v>
      </c>
      <c r="P1319" s="1">
        <f>SUM(L$2:L1319)/$G$3</f>
        <v>0.18956322391481628</v>
      </c>
      <c r="Q1319" s="1">
        <f t="shared" si="101"/>
        <v>177.47909652895586</v>
      </c>
      <c r="R1319" s="1">
        <f t="shared" si="102"/>
        <v>189.56322391481629</v>
      </c>
    </row>
    <row r="1320" spans="1:18" x14ac:dyDescent="0.35">
      <c r="A1320">
        <v>9.2430665662166795</v>
      </c>
      <c r="B1320">
        <v>0.91759304716413603</v>
      </c>
      <c r="C1320">
        <v>1.8069846401625</v>
      </c>
      <c r="I1320" s="1">
        <f t="shared" si="103"/>
        <v>798600.95132112107</v>
      </c>
      <c r="J1320">
        <f t="shared" si="104"/>
        <v>600.00006686185952</v>
      </c>
      <c r="K1320" s="1">
        <f t="shared" si="105"/>
        <v>2.5876126813571574</v>
      </c>
      <c r="L1320" s="1">
        <f t="shared" si="105"/>
        <v>5.0956972531045102</v>
      </c>
      <c r="N1320">
        <f>I1320</f>
        <v>798600.95132112107</v>
      </c>
      <c r="O1320" s="1">
        <f>SUM(K$2:K1320)/$G$3</f>
        <v>0.17750591533686752</v>
      </c>
      <c r="P1320" s="1">
        <f>SUM(L$2:L1320)/$G$3</f>
        <v>0.18961603727702911</v>
      </c>
      <c r="Q1320" s="1">
        <f t="shared" si="101"/>
        <v>177.50591533686753</v>
      </c>
      <c r="R1320" s="1">
        <f t="shared" si="102"/>
        <v>189.61603727702911</v>
      </c>
    </row>
    <row r="1321" spans="1:18" x14ac:dyDescent="0.35">
      <c r="A1321">
        <v>9.2500110114349798</v>
      </c>
      <c r="B1321">
        <v>0.91462943970011001</v>
      </c>
      <c r="C1321">
        <v>1.80675330796473</v>
      </c>
      <c r="I1321" s="1">
        <f t="shared" si="103"/>
        <v>799200.95138798223</v>
      </c>
      <c r="J1321">
        <f t="shared" si="104"/>
        <v>600.00006686116103</v>
      </c>
      <c r="K1321" s="1">
        <f t="shared" si="105"/>
        <v>2.5792553073742859</v>
      </c>
      <c r="L1321" s="1">
        <f t="shared" si="105"/>
        <v>5.0950448962281705</v>
      </c>
      <c r="N1321">
        <f>I1321</f>
        <v>799200.95138798223</v>
      </c>
      <c r="O1321" s="1">
        <f>SUM(K$2:K1321)/$G$3</f>
        <v>0.17753264752640344</v>
      </c>
      <c r="P1321" s="1">
        <f>SUM(L$2:L1321)/$G$3</f>
        <v>0.18966884387801608</v>
      </c>
      <c r="Q1321" s="1">
        <f t="shared" si="101"/>
        <v>177.53264752640342</v>
      </c>
      <c r="R1321" s="1">
        <f t="shared" si="102"/>
        <v>189.66884387801608</v>
      </c>
    </row>
    <row r="1322" spans="1:18" x14ac:dyDescent="0.35">
      <c r="A1322">
        <v>9.2569554566532908</v>
      </c>
      <c r="B1322">
        <v>0.91226226693462298</v>
      </c>
      <c r="C1322">
        <v>1.8067180742567399</v>
      </c>
      <c r="I1322" s="1">
        <f t="shared" si="103"/>
        <v>799800.95145484433</v>
      </c>
      <c r="J1322">
        <f t="shared" si="104"/>
        <v>600.00006686209235</v>
      </c>
      <c r="K1322" s="1">
        <f t="shared" si="105"/>
        <v>2.5725798794357275</v>
      </c>
      <c r="L1322" s="1">
        <f t="shared" si="105"/>
        <v>5.0949455371684751</v>
      </c>
      <c r="N1322">
        <f>I1322</f>
        <v>799800.95145484433</v>
      </c>
      <c r="O1322" s="1">
        <f>SUM(K$2:K1322)/$G$3</f>
        <v>0.17755931052976601</v>
      </c>
      <c r="P1322" s="1">
        <f>SUM(L$2:L1322)/$G$3</f>
        <v>0.18972164944921543</v>
      </c>
      <c r="Q1322" s="1">
        <f t="shared" si="101"/>
        <v>177.55931052976601</v>
      </c>
      <c r="R1322" s="1">
        <f t="shared" si="102"/>
        <v>189.72164944921545</v>
      </c>
    </row>
    <row r="1323" spans="1:18" x14ac:dyDescent="0.35">
      <c r="A1323">
        <v>9.2638999018715893</v>
      </c>
      <c r="B1323">
        <v>0.90998676967980896</v>
      </c>
      <c r="C1323">
        <v>1.8074223522610999</v>
      </c>
      <c r="I1323" s="1">
        <f t="shared" si="103"/>
        <v>800400.95152170537</v>
      </c>
      <c r="J1323">
        <f t="shared" si="104"/>
        <v>600.00006686104462</v>
      </c>
      <c r="K1323" s="1">
        <f t="shared" si="105"/>
        <v>2.5661629764575919</v>
      </c>
      <c r="L1323" s="1">
        <f t="shared" si="105"/>
        <v>5.09693160135319</v>
      </c>
      <c r="N1323">
        <f>I1323</f>
        <v>800400.95152170537</v>
      </c>
      <c r="O1323" s="1">
        <f>SUM(K$2:K1323)/$G$3</f>
        <v>0.1775859070263868</v>
      </c>
      <c r="P1323" s="1">
        <f>SUM(L$2:L1323)/$G$3</f>
        <v>0.1897744756045904</v>
      </c>
      <c r="Q1323" s="1">
        <f t="shared" si="101"/>
        <v>177.58590702638679</v>
      </c>
      <c r="R1323" s="1">
        <f t="shared" si="102"/>
        <v>189.77447560459041</v>
      </c>
    </row>
    <row r="1324" spans="1:18" x14ac:dyDescent="0.35">
      <c r="A1324">
        <v>9.2708443470899002</v>
      </c>
      <c r="B1324">
        <v>0.90757102165061199</v>
      </c>
      <c r="C1324">
        <v>1.8078303707646699</v>
      </c>
      <c r="I1324" s="1">
        <f t="shared" si="103"/>
        <v>801000.95158856735</v>
      </c>
      <c r="J1324">
        <f t="shared" si="104"/>
        <v>600.00006686197594</v>
      </c>
      <c r="K1324" s="1">
        <f t="shared" si="105"/>
        <v>2.5593505662600875</v>
      </c>
      <c r="L1324" s="1">
        <f t="shared" si="105"/>
        <v>5.0980822136693895</v>
      </c>
      <c r="N1324">
        <f>I1324</f>
        <v>801000.95158856735</v>
      </c>
      <c r="O1324" s="1">
        <f>SUM(K$2:K1324)/$G$3</f>
        <v>0.17761243291710829</v>
      </c>
      <c r="P1324" s="1">
        <f>SUM(L$2:L1324)/$G$3</f>
        <v>0.18982731368526276</v>
      </c>
      <c r="Q1324" s="1">
        <f t="shared" si="101"/>
        <v>177.61243291710829</v>
      </c>
      <c r="R1324" s="1">
        <f t="shared" si="102"/>
        <v>189.82731368526277</v>
      </c>
    </row>
    <row r="1325" spans="1:18" x14ac:dyDescent="0.35">
      <c r="A1325">
        <v>9.2777887923082005</v>
      </c>
      <c r="B1325">
        <v>0.90531180462085203</v>
      </c>
      <c r="C1325">
        <v>1.80751734642587</v>
      </c>
      <c r="I1325" s="1">
        <f t="shared" si="103"/>
        <v>801600.95165542851</v>
      </c>
      <c r="J1325">
        <f t="shared" si="104"/>
        <v>600.00006686116103</v>
      </c>
      <c r="K1325" s="1">
        <f t="shared" si="105"/>
        <v>2.5529795735227352</v>
      </c>
      <c r="L1325" s="1">
        <f t="shared" si="105"/>
        <v>5.0971994849286828</v>
      </c>
      <c r="N1325">
        <f>I1325</f>
        <v>801600.95165542851</v>
      </c>
      <c r="O1325" s="1">
        <f>SUM(K$2:K1325)/$G$3</f>
        <v>0.17763889277691575</v>
      </c>
      <c r="P1325" s="1">
        <f>SUM(L$2:L1325)/$G$3</f>
        <v>0.18988014261706487</v>
      </c>
      <c r="Q1325" s="1">
        <f t="shared" si="101"/>
        <v>177.63889277691575</v>
      </c>
      <c r="R1325" s="1">
        <f t="shared" si="102"/>
        <v>189.88014261706488</v>
      </c>
    </row>
    <row r="1326" spans="1:18" x14ac:dyDescent="0.35">
      <c r="A1326">
        <v>9.2847332375265008</v>
      </c>
      <c r="B1326">
        <v>0.90281159272920797</v>
      </c>
      <c r="C1326">
        <v>1.80753674311164</v>
      </c>
      <c r="I1326" s="1">
        <f t="shared" si="103"/>
        <v>802200.95172228967</v>
      </c>
      <c r="J1326">
        <f t="shared" si="104"/>
        <v>600.00006686116103</v>
      </c>
      <c r="K1326" s="1">
        <f t="shared" si="105"/>
        <v>2.5459289752026133</v>
      </c>
      <c r="L1326" s="1">
        <f t="shared" si="105"/>
        <v>5.0972541835886496</v>
      </c>
      <c r="N1326">
        <f>I1326</f>
        <v>802200.95172228967</v>
      </c>
      <c r="O1326" s="1">
        <f>SUM(K$2:K1326)/$G$3</f>
        <v>0.17766527956216946</v>
      </c>
      <c r="P1326" s="1">
        <f>SUM(L$2:L1326)/$G$3</f>
        <v>0.18993297211578061</v>
      </c>
      <c r="Q1326" s="1">
        <f t="shared" si="101"/>
        <v>177.66527956216945</v>
      </c>
      <c r="R1326" s="1">
        <f t="shared" si="102"/>
        <v>189.93297211578061</v>
      </c>
    </row>
    <row r="1327" spans="1:18" x14ac:dyDescent="0.35">
      <c r="A1327">
        <v>9.29167768274481</v>
      </c>
      <c r="B1327">
        <v>0.90001649985347099</v>
      </c>
      <c r="C1327">
        <v>1.8072913409966</v>
      </c>
      <c r="I1327" s="1">
        <f t="shared" si="103"/>
        <v>802800.95178915153</v>
      </c>
      <c r="J1327">
        <f t="shared" si="104"/>
        <v>600.00006686185952</v>
      </c>
      <c r="K1327" s="1">
        <f t="shared" si="105"/>
        <v>2.5380468124176394</v>
      </c>
      <c r="L1327" s="1">
        <f t="shared" si="105"/>
        <v>5.0965621495530531</v>
      </c>
      <c r="N1327">
        <f>I1327</f>
        <v>802800.95178915153</v>
      </c>
      <c r="O1327" s="1">
        <f>SUM(K$2:K1327)/$G$3</f>
        <v>0.17769158465428136</v>
      </c>
      <c r="P1327" s="1">
        <f>SUM(L$2:L1327)/$G$3</f>
        <v>0.1899857944420443</v>
      </c>
      <c r="Q1327" s="1">
        <f t="shared" si="101"/>
        <v>177.69158465428137</v>
      </c>
      <c r="R1327" s="1">
        <f t="shared" si="102"/>
        <v>189.98579444204429</v>
      </c>
    </row>
    <row r="1328" spans="1:18" x14ac:dyDescent="0.35">
      <c r="A1328">
        <v>9.2986221279631103</v>
      </c>
      <c r="B1328">
        <v>0.89774532421017095</v>
      </c>
      <c r="C1328">
        <v>1.80796693062548</v>
      </c>
      <c r="I1328" s="1">
        <f t="shared" si="103"/>
        <v>803400.95185601269</v>
      </c>
      <c r="J1328">
        <f t="shared" si="104"/>
        <v>600.00006686116103</v>
      </c>
      <c r="K1328" s="1">
        <f t="shared" si="105"/>
        <v>2.5316420963868675</v>
      </c>
      <c r="L1328" s="1">
        <f t="shared" si="105"/>
        <v>5.098467312512863</v>
      </c>
      <c r="N1328">
        <f>I1328</f>
        <v>803400.95185601269</v>
      </c>
      <c r="O1328" s="1">
        <f>SUM(K$2:K1328)/$G$3</f>
        <v>0.17771782336596076</v>
      </c>
      <c r="P1328" s="1">
        <f>SUM(L$2:L1328)/$G$3</f>
        <v>0.19003863651399863</v>
      </c>
      <c r="Q1328" s="1">
        <f t="shared" si="101"/>
        <v>177.71782336596075</v>
      </c>
      <c r="R1328" s="1">
        <f t="shared" si="102"/>
        <v>190.03863651399863</v>
      </c>
    </row>
    <row r="1329" spans="1:18" x14ac:dyDescent="0.35">
      <c r="A1329">
        <v>9.3055665731814194</v>
      </c>
      <c r="B1329">
        <v>0.89552500001327195</v>
      </c>
      <c r="C1329">
        <v>1.80774860263943</v>
      </c>
      <c r="I1329" s="1">
        <f t="shared" si="103"/>
        <v>804000.95192287466</v>
      </c>
      <c r="J1329">
        <f t="shared" si="104"/>
        <v>600.00006686197594</v>
      </c>
      <c r="K1329" s="1">
        <f t="shared" si="105"/>
        <v>2.525380781457311</v>
      </c>
      <c r="L1329" s="1">
        <f t="shared" si="105"/>
        <v>5.0978516275305177</v>
      </c>
      <c r="N1329">
        <f>I1329</f>
        <v>804000.95192287466</v>
      </c>
      <c r="O1329" s="1">
        <f>SUM(K$2:K1329)/$G$3</f>
        <v>0.17774399718346046</v>
      </c>
      <c r="P1329" s="1">
        <f>SUM(L$2:L1329)/$G$3</f>
        <v>0.19009147220480582</v>
      </c>
      <c r="Q1329" s="1">
        <f t="shared" si="101"/>
        <v>177.74399718346046</v>
      </c>
      <c r="R1329" s="1">
        <f t="shared" si="102"/>
        <v>190.09147220480583</v>
      </c>
    </row>
    <row r="1330" spans="1:18" x14ac:dyDescent="0.35">
      <c r="A1330">
        <v>9.3125110183997197</v>
      </c>
      <c r="B1330">
        <v>0.89329451704287799</v>
      </c>
      <c r="C1330">
        <v>1.8076660441457599</v>
      </c>
      <c r="I1330" s="1">
        <f t="shared" si="103"/>
        <v>804600.95198973583</v>
      </c>
      <c r="J1330">
        <f t="shared" si="104"/>
        <v>600.00006686116103</v>
      </c>
      <c r="K1330" s="1">
        <f t="shared" si="105"/>
        <v>2.519090818776446</v>
      </c>
      <c r="L1330" s="1">
        <f t="shared" si="105"/>
        <v>5.0976188125455</v>
      </c>
      <c r="N1330">
        <f>I1330</f>
        <v>804600.95198973583</v>
      </c>
      <c r="O1330" s="1">
        <f>SUM(K$2:K1330)/$G$3</f>
        <v>0.17777010580986638</v>
      </c>
      <c r="P1330" s="1">
        <f>SUM(L$2:L1330)/$G$3</f>
        <v>0.19014430548264741</v>
      </c>
      <c r="Q1330" s="1">
        <f t="shared" si="101"/>
        <v>177.77010580986638</v>
      </c>
      <c r="R1330" s="1">
        <f t="shared" si="102"/>
        <v>190.14430548264741</v>
      </c>
    </row>
    <row r="1331" spans="1:18" x14ac:dyDescent="0.35">
      <c r="A1331">
        <v>9.3194554636180307</v>
      </c>
      <c r="B1331">
        <v>0.89099628825674604</v>
      </c>
      <c r="C1331">
        <v>1.8090707517714499</v>
      </c>
      <c r="I1331" s="1">
        <f t="shared" si="103"/>
        <v>805200.9520565978</v>
      </c>
      <c r="J1331">
        <f t="shared" si="104"/>
        <v>600.00006686197594</v>
      </c>
      <c r="K1331" s="1">
        <f t="shared" si="105"/>
        <v>2.5126098128807546</v>
      </c>
      <c r="L1331" s="1">
        <f t="shared" si="105"/>
        <v>5.1015800884983014</v>
      </c>
      <c r="N1331">
        <f>I1331</f>
        <v>805200.9520565978</v>
      </c>
      <c r="O1331" s="1">
        <f>SUM(K$2:K1331)/$G$3</f>
        <v>0.17779614726514836</v>
      </c>
      <c r="P1331" s="1">
        <f>SUM(L$2:L1331)/$G$3</f>
        <v>0.19019717981636247</v>
      </c>
      <c r="Q1331" s="1">
        <f t="shared" si="101"/>
        <v>177.79614726514836</v>
      </c>
      <c r="R1331" s="1">
        <f t="shared" si="102"/>
        <v>190.19717981636248</v>
      </c>
    </row>
    <row r="1332" spans="1:18" x14ac:dyDescent="0.35">
      <c r="A1332">
        <v>9.3263999088363292</v>
      </c>
      <c r="B1332">
        <v>0.88887646740170301</v>
      </c>
      <c r="C1332">
        <v>1.80894218693713</v>
      </c>
      <c r="I1332" s="1">
        <f t="shared" si="103"/>
        <v>805800.95212345885</v>
      </c>
      <c r="J1332">
        <f t="shared" si="104"/>
        <v>600.00006686104462</v>
      </c>
      <c r="K1332" s="1">
        <f t="shared" si="105"/>
        <v>2.5066319173994858</v>
      </c>
      <c r="L1332" s="1">
        <f t="shared" si="105"/>
        <v>5.1012175356171987</v>
      </c>
      <c r="N1332">
        <f>I1332</f>
        <v>805800.95212345885</v>
      </c>
      <c r="O1332" s="1">
        <f>SUM(K$2:K1332)/$G$3</f>
        <v>0.17782212676369633</v>
      </c>
      <c r="P1332" s="1">
        <f>SUM(L$2:L1332)/$G$3</f>
        <v>0.19025005039246878</v>
      </c>
      <c r="Q1332" s="1">
        <f t="shared" si="101"/>
        <v>177.82212676369633</v>
      </c>
      <c r="R1332" s="1">
        <f t="shared" si="102"/>
        <v>190.25005039246878</v>
      </c>
    </row>
    <row r="1333" spans="1:18" x14ac:dyDescent="0.35">
      <c r="A1333">
        <v>9.3333443540546401</v>
      </c>
      <c r="B1333">
        <v>0.88646194661324595</v>
      </c>
      <c r="C1333">
        <v>1.8087901960097501</v>
      </c>
      <c r="I1333" s="1">
        <f t="shared" si="103"/>
        <v>806400.95219032094</v>
      </c>
      <c r="J1333">
        <f t="shared" si="104"/>
        <v>600.00006686209235</v>
      </c>
      <c r="K1333" s="1">
        <f t="shared" si="105"/>
        <v>2.4998229680216459</v>
      </c>
      <c r="L1333" s="1">
        <f t="shared" si="105"/>
        <v>5.1007889211631312</v>
      </c>
      <c r="N1333">
        <f>I1333</f>
        <v>806400.95219032094</v>
      </c>
      <c r="O1333" s="1">
        <f>SUM(K$2:K1333)/$G$3</f>
        <v>0.17784803569221394</v>
      </c>
      <c r="P1333" s="1">
        <f>SUM(L$2:L1333)/$G$3</f>
        <v>0.19030291652628401</v>
      </c>
      <c r="Q1333" s="1">
        <f t="shared" si="101"/>
        <v>177.84803569221393</v>
      </c>
      <c r="R1333" s="1">
        <f t="shared" si="102"/>
        <v>190.30291652628401</v>
      </c>
    </row>
    <row r="1334" spans="1:18" x14ac:dyDescent="0.35">
      <c r="A1334">
        <v>9.3402887992729404</v>
      </c>
      <c r="B1334">
        <v>0.88402573304017995</v>
      </c>
      <c r="C1334">
        <v>1.8081216598133001</v>
      </c>
      <c r="I1334" s="1">
        <f t="shared" si="103"/>
        <v>807000.9522571821</v>
      </c>
      <c r="J1334">
        <f t="shared" si="104"/>
        <v>600.00006686116103</v>
      </c>
      <c r="K1334" s="1">
        <f t="shared" si="105"/>
        <v>2.4929528449761458</v>
      </c>
      <c r="L1334" s="1">
        <f t="shared" si="105"/>
        <v>5.0989036488711399</v>
      </c>
      <c r="N1334">
        <f>I1334</f>
        <v>807000.9522571821</v>
      </c>
      <c r="O1334" s="1">
        <f>SUM(K$2:K1334)/$G$3</f>
        <v>0.17787387341667862</v>
      </c>
      <c r="P1334" s="1">
        <f>SUM(L$2:L1334)/$G$3</f>
        <v>0.19035576312056157</v>
      </c>
      <c r="Q1334" s="1">
        <f t="shared" si="101"/>
        <v>177.87387341667863</v>
      </c>
      <c r="R1334" s="1">
        <f t="shared" si="102"/>
        <v>190.35576312056156</v>
      </c>
    </row>
    <row r="1335" spans="1:18" x14ac:dyDescent="0.35">
      <c r="A1335">
        <v>9.3472332444912496</v>
      </c>
      <c r="B1335">
        <v>0.882018164148338</v>
      </c>
      <c r="C1335">
        <v>1.80875421037589</v>
      </c>
      <c r="I1335" s="1">
        <f t="shared" si="103"/>
        <v>807600.95232404396</v>
      </c>
      <c r="J1335">
        <f t="shared" si="104"/>
        <v>600.00006686185952</v>
      </c>
      <c r="K1335" s="1">
        <f t="shared" si="105"/>
        <v>2.4872915000731735</v>
      </c>
      <c r="L1335" s="1">
        <f t="shared" si="105"/>
        <v>5.100687441662358</v>
      </c>
      <c r="N1335">
        <f>I1335</f>
        <v>807600.95232404396</v>
      </c>
      <c r="O1335" s="1">
        <f>SUM(K$2:K1335)/$G$3</f>
        <v>0.17789965246523617</v>
      </c>
      <c r="P1335" s="1">
        <f>SUM(L$2:L1335)/$G$3</f>
        <v>0.19040862820261228</v>
      </c>
      <c r="Q1335" s="1">
        <f t="shared" si="101"/>
        <v>177.89965246523619</v>
      </c>
      <c r="R1335" s="1">
        <f t="shared" si="102"/>
        <v>190.40862820261228</v>
      </c>
    </row>
    <row r="1336" spans="1:18" x14ac:dyDescent="0.35">
      <c r="A1336">
        <v>9.3541776897095499</v>
      </c>
      <c r="B1336">
        <v>0.879557353136588</v>
      </c>
      <c r="C1336">
        <v>1.80896207913394</v>
      </c>
      <c r="I1336" s="1">
        <f t="shared" si="103"/>
        <v>808200.95239090512</v>
      </c>
      <c r="J1336">
        <f t="shared" si="104"/>
        <v>600.00006686116103</v>
      </c>
      <c r="K1336" s="1">
        <f t="shared" si="105"/>
        <v>2.4803520122438401</v>
      </c>
      <c r="L1336" s="1">
        <f t="shared" si="105"/>
        <v>5.1012736316194438</v>
      </c>
      <c r="N1336">
        <f>I1336</f>
        <v>808200.95239090512</v>
      </c>
      <c r="O1336" s="1">
        <f>SUM(K$2:K1336)/$G$3</f>
        <v>0.17792535959082298</v>
      </c>
      <c r="P1336" s="1">
        <f>SUM(L$2:L1336)/$G$3</f>
        <v>0.19046149936011469</v>
      </c>
      <c r="Q1336" s="1">
        <f t="shared" si="101"/>
        <v>177.92535959082298</v>
      </c>
      <c r="R1336" s="1">
        <f t="shared" si="102"/>
        <v>190.46149936011469</v>
      </c>
    </row>
    <row r="1337" spans="1:18" x14ac:dyDescent="0.35">
      <c r="A1337">
        <v>9.3611221349278502</v>
      </c>
      <c r="B1337">
        <v>0.87746085814907804</v>
      </c>
      <c r="C1337">
        <v>1.8094441758153299</v>
      </c>
      <c r="I1337" s="1">
        <f t="shared" si="103"/>
        <v>808800.95245776628</v>
      </c>
      <c r="J1337">
        <f t="shared" si="104"/>
        <v>600.00006686116103</v>
      </c>
      <c r="K1337" s="1">
        <f t="shared" si="105"/>
        <v>2.4744398957202436</v>
      </c>
      <c r="L1337" s="1">
        <f t="shared" si="105"/>
        <v>5.1026331444124615</v>
      </c>
      <c r="N1337">
        <f>I1337</f>
        <v>808800.95245776628</v>
      </c>
      <c r="O1337" s="1">
        <f>SUM(K$2:K1337)/$G$3</f>
        <v>0.17795100544142897</v>
      </c>
      <c r="P1337" s="1">
        <f>SUM(L$2:L1337)/$G$3</f>
        <v>0.19051438460802278</v>
      </c>
      <c r="Q1337" s="1">
        <f t="shared" si="101"/>
        <v>177.95100544142898</v>
      </c>
      <c r="R1337" s="1">
        <f t="shared" si="102"/>
        <v>190.51438460802277</v>
      </c>
    </row>
    <row r="1338" spans="1:18" x14ac:dyDescent="0.35">
      <c r="A1338">
        <v>9.3680665801461593</v>
      </c>
      <c r="B1338">
        <v>0.87527512035349597</v>
      </c>
      <c r="C1338">
        <v>1.8088630666257</v>
      </c>
      <c r="I1338" s="1">
        <f t="shared" si="103"/>
        <v>809400.95252462814</v>
      </c>
      <c r="J1338">
        <f t="shared" si="104"/>
        <v>600.00006686185952</v>
      </c>
      <c r="K1338" s="1">
        <f t="shared" si="105"/>
        <v>2.468276114452713</v>
      </c>
      <c r="L1338" s="1">
        <f t="shared" si="105"/>
        <v>5.100994416321031</v>
      </c>
      <c r="N1338">
        <f>I1338</f>
        <v>809400.95252462814</v>
      </c>
      <c r="O1338" s="1">
        <f>SUM(K$2:K1338)/$G$3</f>
        <v>0.17797658740872394</v>
      </c>
      <c r="P1338" s="1">
        <f>SUM(L$2:L1338)/$G$3</f>
        <v>0.19056725287165255</v>
      </c>
      <c r="Q1338" s="1">
        <f t="shared" si="101"/>
        <v>177.97658740872393</v>
      </c>
      <c r="R1338" s="1">
        <f t="shared" si="102"/>
        <v>190.56725287165256</v>
      </c>
    </row>
    <row r="1339" spans="1:18" x14ac:dyDescent="0.35">
      <c r="A1339">
        <v>9.3750110253644596</v>
      </c>
      <c r="B1339">
        <v>0.87333694336175904</v>
      </c>
      <c r="C1339">
        <v>1.80869243114071</v>
      </c>
      <c r="I1339" s="1">
        <f t="shared" si="103"/>
        <v>810000.9525914893</v>
      </c>
      <c r="J1339">
        <f t="shared" si="104"/>
        <v>600.00006686116103</v>
      </c>
      <c r="K1339" s="1">
        <f t="shared" si="105"/>
        <v>2.4628104547240737</v>
      </c>
      <c r="L1339" s="1">
        <f t="shared" si="105"/>
        <v>5.1005132241937989</v>
      </c>
      <c r="N1339">
        <f>I1339</f>
        <v>810000.9525914893</v>
      </c>
      <c r="O1339" s="1">
        <f>SUM(K$2:K1339)/$G$3</f>
        <v>0.17800211272825259</v>
      </c>
      <c r="P1339" s="1">
        <f>SUM(L$2:L1339)/$G$3</f>
        <v>0.19062011614806024</v>
      </c>
      <c r="Q1339" s="1">
        <f t="shared" si="101"/>
        <v>178.0021127282526</v>
      </c>
      <c r="R1339" s="1">
        <f t="shared" si="102"/>
        <v>190.62011614806025</v>
      </c>
    </row>
    <row r="1340" spans="1:18" x14ac:dyDescent="0.35">
      <c r="A1340">
        <v>9.3819554705827706</v>
      </c>
      <c r="B1340">
        <v>0.87129642013370101</v>
      </c>
      <c r="C1340">
        <v>1.80966287912701</v>
      </c>
      <c r="I1340" s="1">
        <f t="shared" si="103"/>
        <v>810600.95265835139</v>
      </c>
      <c r="J1340">
        <f t="shared" si="104"/>
        <v>600.00006686209235</v>
      </c>
      <c r="K1340" s="1">
        <f t="shared" si="105"/>
        <v>2.4570561785835352</v>
      </c>
      <c r="L1340" s="1">
        <f t="shared" si="105"/>
        <v>5.1032498878280466</v>
      </c>
      <c r="N1340">
        <f>I1340</f>
        <v>810600.95265835139</v>
      </c>
      <c r="O1340" s="1">
        <f>SUM(K$2:K1340)/$G$3</f>
        <v>0.17802757840870639</v>
      </c>
      <c r="P1340" s="1">
        <f>SUM(L$2:L1340)/$G$3</f>
        <v>0.19067300778808538</v>
      </c>
      <c r="Q1340" s="1">
        <f t="shared" si="101"/>
        <v>178.0275784087064</v>
      </c>
      <c r="R1340" s="1">
        <f t="shared" si="102"/>
        <v>190.67300778808539</v>
      </c>
    </row>
    <row r="1341" spans="1:18" x14ac:dyDescent="0.35">
      <c r="A1341">
        <v>9.3888999158010709</v>
      </c>
      <c r="B1341">
        <v>0.86938475395308101</v>
      </c>
      <c r="C1341">
        <v>1.80966941576797</v>
      </c>
      <c r="I1341" s="1">
        <f t="shared" si="103"/>
        <v>811200.95272521256</v>
      </c>
      <c r="J1341">
        <f t="shared" si="104"/>
        <v>600.00006686116103</v>
      </c>
      <c r="K1341" s="1">
        <f t="shared" si="105"/>
        <v>2.4516652793496365</v>
      </c>
      <c r="L1341" s="1">
        <f t="shared" si="105"/>
        <v>5.1032683211496872</v>
      </c>
      <c r="N1341">
        <f>I1341</f>
        <v>811200.95272521256</v>
      </c>
      <c r="O1341" s="1">
        <f>SUM(K$2:K1341)/$G$3</f>
        <v>0.1780529882162345</v>
      </c>
      <c r="P1341" s="1">
        <f>SUM(L$2:L1341)/$G$3</f>
        <v>0.19072589961915912</v>
      </c>
      <c r="Q1341" s="1">
        <f t="shared" si="101"/>
        <v>178.0529882162345</v>
      </c>
      <c r="R1341" s="1">
        <f t="shared" si="102"/>
        <v>190.72589961915912</v>
      </c>
    </row>
    <row r="1342" spans="1:18" x14ac:dyDescent="0.35">
      <c r="A1342">
        <v>9.39584436101938</v>
      </c>
      <c r="B1342">
        <v>0.86715073891190197</v>
      </c>
      <c r="C1342">
        <v>1.8092193745452101</v>
      </c>
      <c r="I1342" s="1">
        <f t="shared" si="103"/>
        <v>811800.95279207441</v>
      </c>
      <c r="J1342">
        <f t="shared" si="104"/>
        <v>600.00006686185952</v>
      </c>
      <c r="K1342" s="1">
        <f t="shared" si="105"/>
        <v>2.4453653562343245</v>
      </c>
      <c r="L1342" s="1">
        <f t="shared" si="105"/>
        <v>5.1019992047660185</v>
      </c>
      <c r="N1342">
        <f>I1342</f>
        <v>811800.95279207441</v>
      </c>
      <c r="O1342" s="1">
        <f>SUM(K$2:K1342)/$G$3</f>
        <v>0.17807833272943585</v>
      </c>
      <c r="P1342" s="1">
        <f>SUM(L$2:L1342)/$G$3</f>
        <v>0.19077877829672316</v>
      </c>
      <c r="Q1342" s="1">
        <f t="shared" si="101"/>
        <v>178.07833272943586</v>
      </c>
      <c r="R1342" s="1">
        <f t="shared" si="102"/>
        <v>190.77877829672315</v>
      </c>
    </row>
    <row r="1343" spans="1:18" x14ac:dyDescent="0.35">
      <c r="A1343">
        <v>9.4027888062376803</v>
      </c>
      <c r="B1343">
        <v>0.86499609042652703</v>
      </c>
      <c r="C1343">
        <v>1.8096304233720799</v>
      </c>
      <c r="I1343" s="1">
        <f t="shared" si="103"/>
        <v>812400.95285893558</v>
      </c>
      <c r="J1343">
        <f t="shared" si="104"/>
        <v>600.00006686116103</v>
      </c>
      <c r="K1343" s="1">
        <f t="shared" si="105"/>
        <v>2.439289246825628</v>
      </c>
      <c r="L1343" s="1">
        <f t="shared" si="105"/>
        <v>5.1031583625810244</v>
      </c>
      <c r="N1343">
        <f>I1343</f>
        <v>812400.95285893558</v>
      </c>
      <c r="O1343" s="1">
        <f>SUM(K$2:K1343)/$G$3</f>
        <v>0.17810361426798407</v>
      </c>
      <c r="P1343" s="1">
        <f>SUM(L$2:L1343)/$G$3</f>
        <v>0.19083166898815271</v>
      </c>
      <c r="Q1343" s="1">
        <f t="shared" si="101"/>
        <v>178.10361426798409</v>
      </c>
      <c r="R1343" s="1">
        <f t="shared" si="102"/>
        <v>190.8316689881527</v>
      </c>
    </row>
    <row r="1344" spans="1:18" x14ac:dyDescent="0.35">
      <c r="A1344">
        <v>9.4097332514559806</v>
      </c>
      <c r="B1344">
        <v>0.86304707976973105</v>
      </c>
      <c r="C1344">
        <v>1.80975076604486</v>
      </c>
      <c r="I1344" s="1">
        <f t="shared" si="103"/>
        <v>813000.95292579674</v>
      </c>
      <c r="J1344">
        <f t="shared" si="104"/>
        <v>600.00006686116103</v>
      </c>
      <c r="K1344" s="1">
        <f t="shared" si="105"/>
        <v>2.4337930361609916</v>
      </c>
      <c r="L1344" s="1">
        <f t="shared" si="105"/>
        <v>5.1034977289560812</v>
      </c>
      <c r="N1344">
        <f>I1344</f>
        <v>813000.95292579674</v>
      </c>
      <c r="O1344" s="1">
        <f>SUM(K$2:K1344)/$G$3</f>
        <v>0.1781288388421268</v>
      </c>
      <c r="P1344" s="1">
        <f>SUM(L$2:L1344)/$G$3</f>
        <v>0.19088456319687899</v>
      </c>
      <c r="Q1344" s="1">
        <f t="shared" si="101"/>
        <v>178.12883884212678</v>
      </c>
      <c r="R1344" s="1">
        <f t="shared" si="102"/>
        <v>190.88456319687899</v>
      </c>
    </row>
    <row r="1345" spans="1:18" x14ac:dyDescent="0.35">
      <c r="A1345">
        <v>9.4166776966742898</v>
      </c>
      <c r="B1345">
        <v>0.86119577836518602</v>
      </c>
      <c r="C1345">
        <v>1.8100571175407201</v>
      </c>
      <c r="I1345" s="1">
        <f t="shared" si="103"/>
        <v>813600.9529926586</v>
      </c>
      <c r="J1345">
        <f t="shared" si="104"/>
        <v>600.00006686185952</v>
      </c>
      <c r="K1345" s="1">
        <f t="shared" si="105"/>
        <v>2.428572365621235</v>
      </c>
      <c r="L1345" s="1">
        <f t="shared" si="105"/>
        <v>5.1043616402766192</v>
      </c>
      <c r="N1345">
        <f>I1345</f>
        <v>813600.9529926586</v>
      </c>
      <c r="O1345" s="1">
        <f>SUM(K$2:K1345)/$G$3</f>
        <v>0.17815400930764602</v>
      </c>
      <c r="P1345" s="1">
        <f>SUM(L$2:L1345)/$G$3</f>
        <v>0.19093746635944597</v>
      </c>
      <c r="Q1345" s="1">
        <f t="shared" si="101"/>
        <v>178.15400930764602</v>
      </c>
      <c r="R1345" s="1">
        <f t="shared" si="102"/>
        <v>190.93746635944598</v>
      </c>
    </row>
    <row r="1346" spans="1:18" x14ac:dyDescent="0.35">
      <c r="A1346">
        <v>9.4236221418925901</v>
      </c>
      <c r="B1346">
        <v>0.85861550306345902</v>
      </c>
      <c r="C1346">
        <v>1.81044228884196</v>
      </c>
      <c r="I1346" s="1">
        <f t="shared" si="103"/>
        <v>814200.95305951976</v>
      </c>
      <c r="J1346">
        <f t="shared" si="104"/>
        <v>600.00006686116103</v>
      </c>
      <c r="K1346" s="1">
        <f t="shared" si="105"/>
        <v>2.4212959884566927</v>
      </c>
      <c r="L1346" s="1">
        <f t="shared" si="105"/>
        <v>5.1054478234612128</v>
      </c>
      <c r="N1346">
        <f>I1346</f>
        <v>814200.95305951976</v>
      </c>
      <c r="O1346" s="1">
        <f>SUM(K$2:K1346)/$G$3</f>
        <v>0.17817910435857059</v>
      </c>
      <c r="P1346" s="1">
        <f>SUM(L$2:L1346)/$G$3</f>
        <v>0.19099038077954716</v>
      </c>
      <c r="Q1346" s="1">
        <f t="shared" ref="Q1346:Q1409" si="106">O1346*1000</f>
        <v>178.17910435857058</v>
      </c>
      <c r="R1346" s="1">
        <f t="shared" ref="R1346:R1409" si="107">P1346*1000</f>
        <v>190.99038077954717</v>
      </c>
    </row>
    <row r="1347" spans="1:18" x14ac:dyDescent="0.35">
      <c r="A1347">
        <v>9.4305665871108992</v>
      </c>
      <c r="B1347">
        <v>0.85674630411966102</v>
      </c>
      <c r="C1347">
        <v>1.8104136751457101</v>
      </c>
      <c r="I1347" s="1">
        <f t="shared" ref="I1347:I1410" si="108">A1347*86400</f>
        <v>814800.95312638173</v>
      </c>
      <c r="J1347">
        <f t="shared" si="104"/>
        <v>600.00006686197594</v>
      </c>
      <c r="K1347" s="1">
        <f t="shared" si="105"/>
        <v>2.4160248468510725</v>
      </c>
      <c r="L1347" s="1">
        <f t="shared" si="105"/>
        <v>5.1053671328357293</v>
      </c>
      <c r="N1347">
        <f>I1347</f>
        <v>814800.95312638173</v>
      </c>
      <c r="O1347" s="1">
        <f>SUM(K$2:K1347)/$G$3</f>
        <v>0.1782041447777741</v>
      </c>
      <c r="P1347" s="1">
        <f>SUM(L$2:L1347)/$G$3</f>
        <v>0.19104329436334605</v>
      </c>
      <c r="Q1347" s="1">
        <f t="shared" si="106"/>
        <v>178.2041447777741</v>
      </c>
      <c r="R1347" s="1">
        <f t="shared" si="107"/>
        <v>191.04329436334606</v>
      </c>
    </row>
    <row r="1348" spans="1:18" x14ac:dyDescent="0.35">
      <c r="A1348">
        <v>9.4375110323291995</v>
      </c>
      <c r="B1348">
        <v>0.85466479894269698</v>
      </c>
      <c r="C1348">
        <v>1.8104582993996801</v>
      </c>
      <c r="I1348" s="1">
        <f t="shared" si="108"/>
        <v>815400.95319324289</v>
      </c>
      <c r="J1348">
        <f t="shared" si="104"/>
        <v>600.00006686116103</v>
      </c>
      <c r="K1348" s="1">
        <f t="shared" si="105"/>
        <v>2.4101550015946454</v>
      </c>
      <c r="L1348" s="1">
        <f t="shared" si="105"/>
        <v>5.1054929732390146</v>
      </c>
      <c r="N1348">
        <f>I1348</f>
        <v>815400.95319324289</v>
      </c>
      <c r="O1348" s="1">
        <f>SUM(K$2:K1348)/$G$3</f>
        <v>0.17822912436010913</v>
      </c>
      <c r="P1348" s="1">
        <f>SUM(L$2:L1348)/$G$3</f>
        <v>0.19109620925139331</v>
      </c>
      <c r="Q1348" s="1">
        <f t="shared" si="106"/>
        <v>178.22912436010913</v>
      </c>
      <c r="R1348" s="1">
        <f t="shared" si="107"/>
        <v>191.0962092513933</v>
      </c>
    </row>
    <row r="1349" spans="1:18" x14ac:dyDescent="0.35">
      <c r="A1349">
        <v>9.4444554775475105</v>
      </c>
      <c r="B1349">
        <v>0.85274428656104895</v>
      </c>
      <c r="C1349">
        <v>1.8106999439712199</v>
      </c>
      <c r="I1349" s="1">
        <f t="shared" si="108"/>
        <v>816000.95326010487</v>
      </c>
      <c r="J1349">
        <f t="shared" si="104"/>
        <v>600.00006686197594</v>
      </c>
      <c r="K1349" s="1">
        <f t="shared" si="105"/>
        <v>2.4047391560781475</v>
      </c>
      <c r="L1349" s="1">
        <f t="shared" si="105"/>
        <v>5.1061744110136278</v>
      </c>
      <c r="N1349">
        <f>I1349</f>
        <v>816000.95326010487</v>
      </c>
      <c r="O1349" s="1">
        <f>SUM(K$2:K1349)/$G$3</f>
        <v>0.17825404781096757</v>
      </c>
      <c r="P1349" s="1">
        <f>SUM(L$2:L1349)/$G$3</f>
        <v>0.19114913120206969</v>
      </c>
      <c r="Q1349" s="1">
        <f t="shared" si="106"/>
        <v>178.25404781096756</v>
      </c>
      <c r="R1349" s="1">
        <f t="shared" si="107"/>
        <v>191.1491312020697</v>
      </c>
    </row>
    <row r="1350" spans="1:18" x14ac:dyDescent="0.35">
      <c r="A1350">
        <v>9.4513999227658108</v>
      </c>
      <c r="B1350">
        <v>0.85069174004739301</v>
      </c>
      <c r="C1350">
        <v>1.8105892204584599</v>
      </c>
      <c r="I1350" s="1">
        <f t="shared" si="108"/>
        <v>816600.95332696603</v>
      </c>
      <c r="J1350">
        <f t="shared" ref="J1350:J1413" si="109">I1350-I1349</f>
        <v>600.00006686116103</v>
      </c>
      <c r="K1350" s="1">
        <f t="shared" si="105"/>
        <v>2.3989509742613642</v>
      </c>
      <c r="L1350" s="1">
        <f t="shared" si="105"/>
        <v>5.1058621706659153</v>
      </c>
      <c r="N1350">
        <f>I1350</f>
        <v>816600.95332696603</v>
      </c>
      <c r="O1350" s="1">
        <f>SUM(K$2:K1350)/$G$3</f>
        <v>0.17827891127134235</v>
      </c>
      <c r="P1350" s="1">
        <f>SUM(L$2:L1350)/$G$3</f>
        <v>0.19120204991659182</v>
      </c>
      <c r="Q1350" s="1">
        <f t="shared" si="106"/>
        <v>178.27891127134234</v>
      </c>
      <c r="R1350" s="1">
        <f t="shared" si="107"/>
        <v>191.20204991659182</v>
      </c>
    </row>
    <row r="1351" spans="1:18" x14ac:dyDescent="0.35">
      <c r="A1351">
        <v>9.4583443679841199</v>
      </c>
      <c r="B1351">
        <v>0.84841680379334306</v>
      </c>
      <c r="C1351">
        <v>1.8098043431691699</v>
      </c>
      <c r="I1351" s="1">
        <f t="shared" si="108"/>
        <v>817200.95339382801</v>
      </c>
      <c r="J1351">
        <f t="shared" si="109"/>
        <v>600.00006686197594</v>
      </c>
      <c r="K1351" s="1">
        <f t="shared" si="105"/>
        <v>2.3925356533133</v>
      </c>
      <c r="L1351" s="1">
        <f t="shared" si="105"/>
        <v>5.103648816470403</v>
      </c>
      <c r="N1351">
        <f>I1351</f>
        <v>817200.95339382801</v>
      </c>
      <c r="O1351" s="1">
        <f>SUM(K$2:K1351)/$G$3</f>
        <v>0.17830370824137204</v>
      </c>
      <c r="P1351" s="1">
        <f>SUM(L$2:L1351)/$G$3</f>
        <v>0.19125494569123525</v>
      </c>
      <c r="Q1351" s="1">
        <f t="shared" si="106"/>
        <v>178.30370824137205</v>
      </c>
      <c r="R1351" s="1">
        <f t="shared" si="107"/>
        <v>191.25494569123524</v>
      </c>
    </row>
    <row r="1352" spans="1:18" x14ac:dyDescent="0.35">
      <c r="A1352">
        <v>9.4652888132024202</v>
      </c>
      <c r="B1352">
        <v>0.84661534719940901</v>
      </c>
      <c r="C1352">
        <v>1.80965077907337</v>
      </c>
      <c r="I1352" s="1">
        <f t="shared" si="108"/>
        <v>817800.95346068905</v>
      </c>
      <c r="J1352">
        <f t="shared" si="109"/>
        <v>600.00006686104462</v>
      </c>
      <c r="K1352" s="1">
        <f t="shared" si="105"/>
        <v>2.3874555451485899</v>
      </c>
      <c r="L1352" s="1">
        <f t="shared" si="105"/>
        <v>5.1032157656640686</v>
      </c>
      <c r="N1352">
        <f>I1352</f>
        <v>817800.95346068905</v>
      </c>
      <c r="O1352" s="1">
        <f>SUM(K$2:K1352)/$G$3</f>
        <v>0.17832845255960958</v>
      </c>
      <c r="P1352" s="1">
        <f>SUM(L$2:L1352)/$G$3</f>
        <v>0.19130783697760786</v>
      </c>
      <c r="Q1352" s="1">
        <f t="shared" si="106"/>
        <v>178.32845255960959</v>
      </c>
      <c r="R1352" s="1">
        <f t="shared" si="107"/>
        <v>191.30783697760788</v>
      </c>
    </row>
    <row r="1353" spans="1:18" x14ac:dyDescent="0.35">
      <c r="A1353">
        <v>9.4722332584207294</v>
      </c>
      <c r="B1353">
        <v>0.84493734598743198</v>
      </c>
      <c r="C1353">
        <v>1.8089939036028599</v>
      </c>
      <c r="I1353" s="1">
        <f t="shared" si="108"/>
        <v>818400.95352755103</v>
      </c>
      <c r="J1353">
        <f t="shared" si="109"/>
        <v>600.00006686197594</v>
      </c>
      <c r="K1353" s="1">
        <f t="shared" si="105"/>
        <v>2.3827235812072067</v>
      </c>
      <c r="L1353" s="1">
        <f t="shared" si="105"/>
        <v>5.1013633766387274</v>
      </c>
      <c r="N1353">
        <f>I1353</f>
        <v>818400.95352755103</v>
      </c>
      <c r="O1353" s="1">
        <f>SUM(K$2:K1353)/$G$3</f>
        <v>0.17835314783432799</v>
      </c>
      <c r="P1353" s="1">
        <f>SUM(L$2:L1353)/$G$3</f>
        <v>0.19136070906525504</v>
      </c>
      <c r="Q1353" s="1">
        <f t="shared" si="106"/>
        <v>178.35314783432798</v>
      </c>
      <c r="R1353" s="1">
        <f t="shared" si="107"/>
        <v>191.36070906525504</v>
      </c>
    </row>
    <row r="1354" spans="1:18" x14ac:dyDescent="0.35">
      <c r="A1354">
        <v>9.4791777036390297</v>
      </c>
      <c r="B1354">
        <v>0.84342986243654905</v>
      </c>
      <c r="C1354">
        <v>1.8092025019482301</v>
      </c>
      <c r="I1354" s="1">
        <f t="shared" si="108"/>
        <v>819000.95359441219</v>
      </c>
      <c r="J1354">
        <f t="shared" si="109"/>
        <v>600.00006686116103</v>
      </c>
      <c r="K1354" s="1">
        <f t="shared" si="105"/>
        <v>2.3784724771167576</v>
      </c>
      <c r="L1354" s="1">
        <f t="shared" si="105"/>
        <v>5.1019516240312939</v>
      </c>
      <c r="N1354">
        <f>I1354</f>
        <v>819000.95359441219</v>
      </c>
      <c r="O1354" s="1">
        <f>SUM(K$2:K1354)/$G$3</f>
        <v>0.17837779904930562</v>
      </c>
      <c r="P1354" s="1">
        <f>SUM(L$2:L1354)/$G$3</f>
        <v>0.1914135872496778</v>
      </c>
      <c r="Q1354" s="1">
        <f t="shared" si="106"/>
        <v>178.37779904930562</v>
      </c>
      <c r="R1354" s="1">
        <f t="shared" si="107"/>
        <v>191.41358724967779</v>
      </c>
    </row>
    <row r="1355" spans="1:18" x14ac:dyDescent="0.35">
      <c r="A1355">
        <v>9.48612214885733</v>
      </c>
      <c r="B1355">
        <v>0.84160227737922499</v>
      </c>
      <c r="C1355">
        <v>1.80984894773912</v>
      </c>
      <c r="I1355" s="1">
        <f t="shared" si="108"/>
        <v>819600.95366127335</v>
      </c>
      <c r="J1355">
        <f t="shared" si="109"/>
        <v>600.00006686116103</v>
      </c>
      <c r="K1355" s="1">
        <f t="shared" si="105"/>
        <v>2.3733186866807898</v>
      </c>
      <c r="L1355" s="1">
        <f t="shared" si="105"/>
        <v>5.1037746013647478</v>
      </c>
      <c r="N1355">
        <f>I1355</f>
        <v>819600.95366127335</v>
      </c>
      <c r="O1355" s="1">
        <f>SUM(K$2:K1355)/$G$3</f>
        <v>0.17840239684882556</v>
      </c>
      <c r="P1355" s="1">
        <f>SUM(L$2:L1355)/$G$3</f>
        <v>0.19146648432799426</v>
      </c>
      <c r="Q1355" s="1">
        <f t="shared" si="106"/>
        <v>178.40239684882556</v>
      </c>
      <c r="R1355" s="1">
        <f t="shared" si="107"/>
        <v>191.46648432799427</v>
      </c>
    </row>
    <row r="1356" spans="1:18" x14ac:dyDescent="0.35">
      <c r="A1356">
        <v>9.4930665940756391</v>
      </c>
      <c r="B1356">
        <v>0.83997218063470802</v>
      </c>
      <c r="C1356">
        <v>1.8101378766631</v>
      </c>
      <c r="I1356" s="1">
        <f t="shared" si="108"/>
        <v>820200.95372813521</v>
      </c>
      <c r="J1356">
        <f t="shared" si="109"/>
        <v>600.00006686185952</v>
      </c>
      <c r="K1356" s="1">
        <f t="shared" si="105"/>
        <v>2.368721813351756</v>
      </c>
      <c r="L1356" s="1">
        <f t="shared" si="105"/>
        <v>5.1045893810271092</v>
      </c>
      <c r="N1356">
        <f>I1356</f>
        <v>820200.95372813521</v>
      </c>
      <c r="O1356" s="1">
        <f>SUM(K$2:K1356)/$G$3</f>
        <v>0.17842694700494674</v>
      </c>
      <c r="P1356" s="1">
        <f>SUM(L$2:L1356)/$G$3</f>
        <v>0.19151938985093594</v>
      </c>
      <c r="Q1356" s="1">
        <f t="shared" si="106"/>
        <v>178.42694700494673</v>
      </c>
      <c r="R1356" s="1">
        <f t="shared" si="107"/>
        <v>191.51938985093594</v>
      </c>
    </row>
    <row r="1357" spans="1:18" x14ac:dyDescent="0.35">
      <c r="A1357">
        <v>9.5000110392939394</v>
      </c>
      <c r="B1357">
        <v>0.83824354369659804</v>
      </c>
      <c r="C1357">
        <v>1.8097990469499201</v>
      </c>
      <c r="I1357" s="1">
        <f t="shared" si="108"/>
        <v>820800.95379499637</v>
      </c>
      <c r="J1357">
        <f t="shared" si="109"/>
        <v>600.00006686116103</v>
      </c>
      <c r="K1357" s="1">
        <f t="shared" si="105"/>
        <v>2.3638470566403083</v>
      </c>
      <c r="L1357" s="1">
        <f t="shared" si="105"/>
        <v>5.1036338811235229</v>
      </c>
      <c r="N1357">
        <f>I1357</f>
        <v>820800.95379499637</v>
      </c>
      <c r="O1357" s="1">
        <f>SUM(K$2:K1357)/$G$3</f>
        <v>0.17845144663760093</v>
      </c>
      <c r="P1357" s="1">
        <f>SUM(L$2:L1357)/$G$3</f>
        <v>0.19157228547078486</v>
      </c>
      <c r="Q1357" s="1">
        <f t="shared" si="106"/>
        <v>178.45144663760092</v>
      </c>
      <c r="R1357" s="1">
        <f t="shared" si="107"/>
        <v>191.57228547078486</v>
      </c>
    </row>
    <row r="1358" spans="1:18" x14ac:dyDescent="0.35">
      <c r="A1358">
        <v>9.5069554845122504</v>
      </c>
      <c r="B1358">
        <v>0.83644333176660401</v>
      </c>
      <c r="C1358">
        <v>1.81010143118991</v>
      </c>
      <c r="I1358" s="1">
        <f t="shared" si="108"/>
        <v>821400.95386185846</v>
      </c>
      <c r="J1358">
        <f t="shared" si="109"/>
        <v>600.00006686209235</v>
      </c>
      <c r="K1358" s="1">
        <f t="shared" si="105"/>
        <v>2.3587704584356746</v>
      </c>
      <c r="L1358" s="1">
        <f t="shared" si="105"/>
        <v>5.1044866047832409</v>
      </c>
      <c r="N1358">
        <f>I1358</f>
        <v>821400.95386185846</v>
      </c>
      <c r="O1358" s="1">
        <f>SUM(K$2:K1358)/$G$3</f>
        <v>0.17847589365484129</v>
      </c>
      <c r="P1358" s="1">
        <f>SUM(L$2:L1358)/$G$3</f>
        <v>0.19162518992852218</v>
      </c>
      <c r="Q1358" s="1">
        <f t="shared" si="106"/>
        <v>178.47589365484129</v>
      </c>
      <c r="R1358" s="1">
        <f t="shared" si="107"/>
        <v>191.62518992852219</v>
      </c>
    </row>
    <row r="1359" spans="1:18" x14ac:dyDescent="0.35">
      <c r="A1359">
        <v>9.5138999297305507</v>
      </c>
      <c r="B1359">
        <v>0.83473914934350602</v>
      </c>
      <c r="C1359">
        <v>1.8106404689975699</v>
      </c>
      <c r="I1359" s="1">
        <f t="shared" si="108"/>
        <v>822000.95392871962</v>
      </c>
      <c r="J1359">
        <f t="shared" si="109"/>
        <v>600.00006686116103</v>
      </c>
      <c r="K1359" s="1">
        <f t="shared" si="105"/>
        <v>2.353964663463342</v>
      </c>
      <c r="L1359" s="1">
        <f t="shared" si="105"/>
        <v>5.1060066915623104</v>
      </c>
      <c r="N1359">
        <f>I1359</f>
        <v>822000.95392871962</v>
      </c>
      <c r="O1359" s="1">
        <f>SUM(K$2:K1359)/$G$3</f>
        <v>0.1785002908633552</v>
      </c>
      <c r="P1359" s="1">
        <f>SUM(L$2:L1359)/$G$3</f>
        <v>0.191678110140903</v>
      </c>
      <c r="Q1359" s="1">
        <f t="shared" si="106"/>
        <v>178.50029086335519</v>
      </c>
      <c r="R1359" s="1">
        <f t="shared" si="107"/>
        <v>191.67811014090299</v>
      </c>
    </row>
    <row r="1360" spans="1:18" x14ac:dyDescent="0.35">
      <c r="A1360">
        <v>9.5208443749488598</v>
      </c>
      <c r="B1360">
        <v>0.83295537197987501</v>
      </c>
      <c r="C1360">
        <v>1.8103140540056</v>
      </c>
      <c r="I1360" s="1">
        <f t="shared" si="108"/>
        <v>822600.95399558148</v>
      </c>
      <c r="J1360">
        <f t="shared" si="109"/>
        <v>600.00006686185952</v>
      </c>
      <c r="K1360" s="1">
        <f t="shared" si="105"/>
        <v>2.3489344107400894</v>
      </c>
      <c r="L1360" s="1">
        <f t="shared" si="105"/>
        <v>5.1050862011883229</v>
      </c>
      <c r="N1360">
        <f>I1360</f>
        <v>822600.95399558148</v>
      </c>
      <c r="O1360" s="1">
        <f>SUM(K$2:K1360)/$G$3</f>
        <v>0.17852463593679396</v>
      </c>
      <c r="P1360" s="1">
        <f>SUM(L$2:L1360)/$G$3</f>
        <v>0.1917310208130405</v>
      </c>
      <c r="Q1360" s="1">
        <f t="shared" si="106"/>
        <v>178.52463593679397</v>
      </c>
      <c r="R1360" s="1">
        <f t="shared" si="107"/>
        <v>191.73102081304049</v>
      </c>
    </row>
    <row r="1361" spans="1:18" x14ac:dyDescent="0.35">
      <c r="A1361">
        <v>9.5277888201671601</v>
      </c>
      <c r="B1361">
        <v>0.83110416873337201</v>
      </c>
      <c r="C1361">
        <v>1.8106652639406799</v>
      </c>
      <c r="I1361" s="1">
        <f t="shared" si="108"/>
        <v>823200.95406244264</v>
      </c>
      <c r="J1361">
        <f t="shared" si="109"/>
        <v>600.00006686116103</v>
      </c>
      <c r="K1361" s="1">
        <f t="shared" si="105"/>
        <v>2.3437140170004804</v>
      </c>
      <c r="L1361" s="1">
        <f t="shared" si="105"/>
        <v>5.1060766133096722</v>
      </c>
      <c r="N1361">
        <f>I1361</f>
        <v>823200.95406244264</v>
      </c>
      <c r="O1361" s="1">
        <f>SUM(K$2:K1361)/$G$3</f>
        <v>0.17854892690447804</v>
      </c>
      <c r="P1361" s="1">
        <f>SUM(L$2:L1361)/$G$3</f>
        <v>0.19178394175011165</v>
      </c>
      <c r="Q1361" s="1">
        <f t="shared" si="106"/>
        <v>178.54892690447804</v>
      </c>
      <c r="R1361" s="1">
        <f t="shared" si="107"/>
        <v>191.78394175011167</v>
      </c>
    </row>
    <row r="1362" spans="1:18" x14ac:dyDescent="0.35">
      <c r="A1362">
        <v>9.5347332653854693</v>
      </c>
      <c r="B1362">
        <v>0.82944574055526399</v>
      </c>
      <c r="C1362">
        <v>1.81151141622185</v>
      </c>
      <c r="I1362" s="1">
        <f t="shared" si="108"/>
        <v>823800.9541293045</v>
      </c>
      <c r="J1362">
        <f t="shared" si="109"/>
        <v>600.00006686185952</v>
      </c>
      <c r="K1362" s="1">
        <f t="shared" si="105"/>
        <v>2.3390372490197819</v>
      </c>
      <c r="L1362" s="1">
        <f t="shared" si="105"/>
        <v>5.108462763014419</v>
      </c>
      <c r="N1362">
        <f>I1362</f>
        <v>823800.9541293045</v>
      </c>
      <c r="O1362" s="1">
        <f>SUM(K$2:K1362)/$G$3</f>
        <v>0.17857316940071086</v>
      </c>
      <c r="P1362" s="1">
        <f>SUM(L$2:L1362)/$G$3</f>
        <v>0.19183688741796692</v>
      </c>
      <c r="Q1362" s="1">
        <f t="shared" si="106"/>
        <v>178.57316940071087</v>
      </c>
      <c r="R1362" s="1">
        <f t="shared" si="107"/>
        <v>191.83688741796692</v>
      </c>
    </row>
    <row r="1363" spans="1:18" x14ac:dyDescent="0.35">
      <c r="A1363">
        <v>9.5416777106037696</v>
      </c>
      <c r="B1363">
        <v>0.82786092411744905</v>
      </c>
      <c r="C1363">
        <v>1.81131726600265</v>
      </c>
      <c r="I1363" s="1">
        <f t="shared" si="108"/>
        <v>824400.95419616567</v>
      </c>
      <c r="J1363">
        <f t="shared" si="109"/>
        <v>600.00006686116103</v>
      </c>
      <c r="K1363" s="1">
        <f t="shared" ref="K1363:L1426" si="110">B1363*$J1363*$G$2</f>
        <v>2.3345680661643966</v>
      </c>
      <c r="L1363" s="1">
        <f t="shared" si="110"/>
        <v>5.1079152593293173</v>
      </c>
      <c r="N1363">
        <f>I1363</f>
        <v>824400.95419616567</v>
      </c>
      <c r="O1363" s="1">
        <f>SUM(K$2:K1363)/$G$3</f>
        <v>0.17859736557696795</v>
      </c>
      <c r="P1363" s="1">
        <f>SUM(L$2:L1363)/$G$3</f>
        <v>0.19188982741132682</v>
      </c>
      <c r="Q1363" s="1">
        <f t="shared" si="106"/>
        <v>178.59736557696795</v>
      </c>
      <c r="R1363" s="1">
        <f t="shared" si="107"/>
        <v>191.88982741132682</v>
      </c>
    </row>
    <row r="1364" spans="1:18" x14ac:dyDescent="0.35">
      <c r="A1364">
        <v>9.5486221558220805</v>
      </c>
      <c r="B1364">
        <v>0.82585719449308703</v>
      </c>
      <c r="C1364">
        <v>1.8115574583759</v>
      </c>
      <c r="I1364" s="1">
        <f t="shared" si="108"/>
        <v>825000.95426302776</v>
      </c>
      <c r="J1364">
        <f t="shared" si="109"/>
        <v>600.00006686209235</v>
      </c>
      <c r="K1364" s="1">
        <f t="shared" si="110"/>
        <v>2.3289175479976438</v>
      </c>
      <c r="L1364" s="1">
        <f t="shared" si="110"/>
        <v>5.1085926019052925</v>
      </c>
      <c r="N1364">
        <f>I1364</f>
        <v>825000.95426302776</v>
      </c>
      <c r="O1364" s="1">
        <f>SUM(K$2:K1364)/$G$3</f>
        <v>0.17862150318952946</v>
      </c>
      <c r="P1364" s="1">
        <f>SUM(L$2:L1364)/$G$3</f>
        <v>0.19194277442487198</v>
      </c>
      <c r="Q1364" s="1">
        <f t="shared" si="106"/>
        <v>178.62150318952945</v>
      </c>
      <c r="R1364" s="1">
        <f t="shared" si="107"/>
        <v>191.94277442487197</v>
      </c>
    </row>
    <row r="1365" spans="1:18" x14ac:dyDescent="0.35">
      <c r="A1365">
        <v>9.5555666010403808</v>
      </c>
      <c r="B1365">
        <v>0.82441978069121102</v>
      </c>
      <c r="C1365">
        <v>1.81243140992203</v>
      </c>
      <c r="I1365" s="1">
        <f t="shared" si="108"/>
        <v>825600.95432988892</v>
      </c>
      <c r="J1365">
        <f t="shared" si="109"/>
        <v>600.00006686116103</v>
      </c>
      <c r="K1365" s="1">
        <f t="shared" si="110"/>
        <v>2.3248640406210344</v>
      </c>
      <c r="L1365" s="1">
        <f t="shared" si="110"/>
        <v>5.1110571455320857</v>
      </c>
      <c r="N1365">
        <f>I1365</f>
        <v>825600.95432988892</v>
      </c>
      <c r="O1365" s="1">
        <f>SUM(K$2:K1365)/$G$3</f>
        <v>0.17864559879030284</v>
      </c>
      <c r="P1365" s="1">
        <f>SUM(L$2:L1365)/$G$3</f>
        <v>0.19199574698169977</v>
      </c>
      <c r="Q1365" s="1">
        <f t="shared" si="106"/>
        <v>178.64559879030284</v>
      </c>
      <c r="R1365" s="1">
        <f t="shared" si="107"/>
        <v>191.99574698169977</v>
      </c>
    </row>
    <row r="1366" spans="1:18" x14ac:dyDescent="0.35">
      <c r="A1366">
        <v>9.5625110462586793</v>
      </c>
      <c r="B1366">
        <v>0.822557213986567</v>
      </c>
      <c r="C1366">
        <v>1.81186588852981</v>
      </c>
      <c r="I1366" s="1">
        <f t="shared" si="108"/>
        <v>826200.95439674985</v>
      </c>
      <c r="J1366">
        <f t="shared" si="109"/>
        <v>600.0000668609282</v>
      </c>
      <c r="K1366" s="1">
        <f t="shared" si="110"/>
        <v>2.3196116019277313</v>
      </c>
      <c r="L1366" s="1">
        <f t="shared" si="110"/>
        <v>5.1094623750263297</v>
      </c>
      <c r="N1366">
        <f>I1366</f>
        <v>826200.95439674985</v>
      </c>
      <c r="O1366" s="1">
        <f>SUM(K$2:K1366)/$G$3</f>
        <v>0.1786696399531979</v>
      </c>
      <c r="P1366" s="1">
        <f>SUM(L$2:L1366)/$G$3</f>
        <v>0.19204870300983914</v>
      </c>
      <c r="Q1366" s="1">
        <f t="shared" si="106"/>
        <v>178.6696399531979</v>
      </c>
      <c r="R1366" s="1">
        <f t="shared" si="107"/>
        <v>192.04870300983916</v>
      </c>
    </row>
    <row r="1367" spans="1:18" x14ac:dyDescent="0.35">
      <c r="A1367">
        <v>9.5694554914769903</v>
      </c>
      <c r="B1367">
        <v>0.82096825773386095</v>
      </c>
      <c r="C1367">
        <v>1.81251479078575</v>
      </c>
      <c r="I1367" s="1">
        <f t="shared" si="108"/>
        <v>826800.95446361194</v>
      </c>
      <c r="J1367">
        <f t="shared" si="109"/>
        <v>600.00006686209235</v>
      </c>
      <c r="K1367" s="1">
        <f t="shared" si="110"/>
        <v>2.3151307448002685</v>
      </c>
      <c r="L1367" s="1">
        <f t="shared" si="110"/>
        <v>5.1112922796019129</v>
      </c>
      <c r="N1367">
        <f>I1367</f>
        <v>826800.95446361194</v>
      </c>
      <c r="O1367" s="1">
        <f>SUM(K$2:K1367)/$G$3</f>
        <v>0.1786936346751215</v>
      </c>
      <c r="P1367" s="1">
        <f>SUM(L$2:L1367)/$G$3</f>
        <v>0.19210167800366826</v>
      </c>
      <c r="Q1367" s="1">
        <f t="shared" si="106"/>
        <v>178.6936346751215</v>
      </c>
      <c r="R1367" s="1">
        <f t="shared" si="107"/>
        <v>192.10167800366827</v>
      </c>
    </row>
    <row r="1368" spans="1:18" x14ac:dyDescent="0.35">
      <c r="A1368">
        <v>9.5763999366952905</v>
      </c>
      <c r="B1368">
        <v>0.81929932652312099</v>
      </c>
      <c r="C1368">
        <v>1.81189870880749</v>
      </c>
      <c r="I1368" s="1">
        <f t="shared" si="108"/>
        <v>827400.9545304731</v>
      </c>
      <c r="J1368">
        <f t="shared" si="109"/>
        <v>600.00006686116103</v>
      </c>
      <c r="K1368" s="1">
        <f t="shared" si="110"/>
        <v>2.3104243582579311</v>
      </c>
      <c r="L1368" s="1">
        <f t="shared" si="110"/>
        <v>5.1095549282216837</v>
      </c>
      <c r="N1368">
        <f>I1368</f>
        <v>827400.9545304731</v>
      </c>
      <c r="O1368" s="1">
        <f>SUM(K$2:K1368)/$G$3</f>
        <v>0.17871758061861795</v>
      </c>
      <c r="P1368" s="1">
        <f>SUM(L$2:L1368)/$G$3</f>
        <v>0.19215463499105717</v>
      </c>
      <c r="Q1368" s="1">
        <f t="shared" si="106"/>
        <v>178.71758061861794</v>
      </c>
      <c r="R1368" s="1">
        <f t="shared" si="107"/>
        <v>192.15463499105718</v>
      </c>
    </row>
    <row r="1369" spans="1:18" x14ac:dyDescent="0.35">
      <c r="A1369">
        <v>9.5833443819135997</v>
      </c>
      <c r="B1369">
        <v>0.81771484138150397</v>
      </c>
      <c r="C1369">
        <v>1.8123648661423299</v>
      </c>
      <c r="I1369" s="1">
        <f t="shared" si="108"/>
        <v>828000.95459733496</v>
      </c>
      <c r="J1369">
        <f t="shared" si="109"/>
        <v>600.00006686185952</v>
      </c>
      <c r="K1369" s="1">
        <f t="shared" si="110"/>
        <v>2.305956109663335</v>
      </c>
      <c r="L1369" s="1">
        <f t="shared" si="110"/>
        <v>5.110869492058371</v>
      </c>
      <c r="N1369">
        <f>I1369</f>
        <v>828000.95459733496</v>
      </c>
      <c r="O1369" s="1">
        <f>SUM(K$2:K1369)/$G$3</f>
        <v>0.17874148025182171</v>
      </c>
      <c r="P1369" s="1">
        <f>SUM(L$2:L1369)/$G$3</f>
        <v>0.19220760560298711</v>
      </c>
      <c r="Q1369" s="1">
        <f t="shared" si="106"/>
        <v>178.74148025182171</v>
      </c>
      <c r="R1369" s="1">
        <f t="shared" si="107"/>
        <v>192.20760560298712</v>
      </c>
    </row>
    <row r="1370" spans="1:18" x14ac:dyDescent="0.35">
      <c r="A1370">
        <v>9.5902888271319</v>
      </c>
      <c r="B1370">
        <v>0.81610965837006999</v>
      </c>
      <c r="C1370">
        <v>1.8132801430780301</v>
      </c>
      <c r="I1370" s="1">
        <f t="shared" si="108"/>
        <v>828600.95466419612</v>
      </c>
      <c r="J1370">
        <f t="shared" si="109"/>
        <v>600.00006686116103</v>
      </c>
      <c r="K1370" s="1">
        <f t="shared" si="110"/>
        <v>2.3014294930639823</v>
      </c>
      <c r="L1370" s="1">
        <f t="shared" si="110"/>
        <v>5.113450573298719</v>
      </c>
      <c r="N1370">
        <f>I1370</f>
        <v>828600.95466419612</v>
      </c>
      <c r="O1370" s="1">
        <f>SUM(K$2:K1370)/$G$3</f>
        <v>0.17876533296978891</v>
      </c>
      <c r="P1370" s="1">
        <f>SUM(L$2:L1370)/$G$3</f>
        <v>0.19226060296603109</v>
      </c>
      <c r="Q1370" s="1">
        <f t="shared" si="106"/>
        <v>178.76533296978891</v>
      </c>
      <c r="R1370" s="1">
        <f t="shared" si="107"/>
        <v>192.26060296603109</v>
      </c>
    </row>
    <row r="1371" spans="1:18" x14ac:dyDescent="0.35">
      <c r="A1371">
        <v>9.5972332723502092</v>
      </c>
      <c r="B1371">
        <v>0.81472974255612196</v>
      </c>
      <c r="C1371">
        <v>1.81382232419031</v>
      </c>
      <c r="I1371" s="1">
        <f t="shared" si="108"/>
        <v>829200.9547310581</v>
      </c>
      <c r="J1371">
        <f t="shared" si="109"/>
        <v>600.00006686197594</v>
      </c>
      <c r="K1371" s="1">
        <f t="shared" si="110"/>
        <v>2.2975381300381339</v>
      </c>
      <c r="L1371" s="1">
        <f t="shared" si="110"/>
        <v>5.1149795242126741</v>
      </c>
      <c r="N1371">
        <f>I1371</f>
        <v>829200.9547310581</v>
      </c>
      <c r="O1371" s="1">
        <f>SUM(K$2:K1371)/$G$3</f>
        <v>0.17878914535648155</v>
      </c>
      <c r="P1371" s="1">
        <f>SUM(L$2:L1371)/$G$3</f>
        <v>0.19231361617558917</v>
      </c>
      <c r="Q1371" s="1">
        <f t="shared" si="106"/>
        <v>178.78914535648155</v>
      </c>
      <c r="R1371" s="1">
        <f t="shared" si="107"/>
        <v>192.31361617558917</v>
      </c>
    </row>
    <row r="1372" spans="1:18" x14ac:dyDescent="0.35">
      <c r="A1372">
        <v>9.6041777175685095</v>
      </c>
      <c r="B1372">
        <v>0.81308484094734701</v>
      </c>
      <c r="C1372">
        <v>1.8129457635722199</v>
      </c>
      <c r="I1372" s="1">
        <f t="shared" si="108"/>
        <v>829800.95479791926</v>
      </c>
      <c r="J1372">
        <f t="shared" si="109"/>
        <v>600.00006686116103</v>
      </c>
      <c r="K1372" s="1">
        <f t="shared" si="110"/>
        <v>2.292899506981362</v>
      </c>
      <c r="L1372" s="1">
        <f t="shared" si="110"/>
        <v>5.1125076229872564</v>
      </c>
      <c r="N1372">
        <f>I1372</f>
        <v>829800.95479791926</v>
      </c>
      <c r="O1372" s="1">
        <f>SUM(K$2:K1372)/$G$3</f>
        <v>0.17881290966706848</v>
      </c>
      <c r="P1372" s="1">
        <f>SUM(L$2:L1372)/$G$3</f>
        <v>0.19236660376560824</v>
      </c>
      <c r="Q1372" s="1">
        <f t="shared" si="106"/>
        <v>178.81290966706848</v>
      </c>
      <c r="R1372" s="1">
        <f t="shared" si="107"/>
        <v>192.36660376560823</v>
      </c>
    </row>
    <row r="1373" spans="1:18" x14ac:dyDescent="0.35">
      <c r="A1373">
        <v>9.6111221627868204</v>
      </c>
      <c r="B1373">
        <v>0.81135033622535901</v>
      </c>
      <c r="C1373">
        <v>1.8136786423359501</v>
      </c>
      <c r="I1373" s="1">
        <f t="shared" si="108"/>
        <v>830400.95486478123</v>
      </c>
      <c r="J1373">
        <f t="shared" si="109"/>
        <v>600.00006686197594</v>
      </c>
      <c r="K1373" s="1">
        <f t="shared" si="110"/>
        <v>2.2880082031233999</v>
      </c>
      <c r="L1373" s="1">
        <f t="shared" si="110"/>
        <v>5.1145743413382272</v>
      </c>
      <c r="N1373">
        <f>I1373</f>
        <v>830400.95486478123</v>
      </c>
      <c r="O1373" s="1">
        <f>SUM(K$2:K1373)/$G$3</f>
        <v>0.17883662328268876</v>
      </c>
      <c r="P1373" s="1">
        <f>SUM(L$2:L1373)/$G$3</f>
        <v>0.19241961277572731</v>
      </c>
      <c r="Q1373" s="1">
        <f t="shared" si="106"/>
        <v>178.83662328268875</v>
      </c>
      <c r="R1373" s="1">
        <f t="shared" si="107"/>
        <v>192.4196127757273</v>
      </c>
    </row>
    <row r="1374" spans="1:18" x14ac:dyDescent="0.35">
      <c r="A1374">
        <v>9.6180666080051207</v>
      </c>
      <c r="B1374">
        <v>0.80976842698375395</v>
      </c>
      <c r="C1374">
        <v>1.81443998623333</v>
      </c>
      <c r="I1374" s="1">
        <f t="shared" si="108"/>
        <v>831000.95493164239</v>
      </c>
      <c r="J1374">
        <f t="shared" si="109"/>
        <v>600.00006686116103</v>
      </c>
      <c r="K1374" s="1">
        <f t="shared" si="110"/>
        <v>2.2835472185618553</v>
      </c>
      <c r="L1374" s="1">
        <f t="shared" si="110"/>
        <v>5.1167213313611422</v>
      </c>
      <c r="N1374">
        <f>I1374</f>
        <v>831000.95493164239</v>
      </c>
      <c r="O1374" s="1">
        <f>SUM(K$2:K1374)/$G$3</f>
        <v>0.17886029066330297</v>
      </c>
      <c r="P1374" s="1">
        <f>SUM(L$2:L1374)/$G$3</f>
        <v>0.19247264403790651</v>
      </c>
      <c r="Q1374" s="1">
        <f t="shared" si="106"/>
        <v>178.86029066330298</v>
      </c>
      <c r="R1374" s="1">
        <f t="shared" si="107"/>
        <v>192.47264403790652</v>
      </c>
    </row>
    <row r="1375" spans="1:18" x14ac:dyDescent="0.35">
      <c r="A1375">
        <v>9.6250110532234299</v>
      </c>
      <c r="B1375">
        <v>0.80852350481355195</v>
      </c>
      <c r="C1375">
        <v>1.8143307852128301</v>
      </c>
      <c r="I1375" s="1">
        <f t="shared" si="108"/>
        <v>831600.95499850437</v>
      </c>
      <c r="J1375">
        <f t="shared" si="109"/>
        <v>600.00006686197594</v>
      </c>
      <c r="K1375" s="1">
        <f t="shared" si="110"/>
        <v>2.2800365376537686</v>
      </c>
      <c r="L1375" s="1">
        <f t="shared" si="110"/>
        <v>5.1164133844559645</v>
      </c>
      <c r="N1375">
        <f>I1375</f>
        <v>831600.95499850437</v>
      </c>
      <c r="O1375" s="1">
        <f>SUM(K$2:K1375)/$G$3</f>
        <v>0.17888392165814831</v>
      </c>
      <c r="P1375" s="1">
        <f>SUM(L$2:L1375)/$G$3</f>
        <v>0.19252567210843</v>
      </c>
      <c r="Q1375" s="1">
        <f t="shared" si="106"/>
        <v>178.88392165814832</v>
      </c>
      <c r="R1375" s="1">
        <f t="shared" si="107"/>
        <v>192.52567210843</v>
      </c>
    </row>
    <row r="1376" spans="1:18" x14ac:dyDescent="0.35">
      <c r="A1376">
        <v>9.6319554984417302</v>
      </c>
      <c r="B1376">
        <v>0.80672344070848701</v>
      </c>
      <c r="C1376">
        <v>1.81417657719945</v>
      </c>
      <c r="I1376" s="1">
        <f t="shared" si="108"/>
        <v>832200.95506536553</v>
      </c>
      <c r="J1376">
        <f t="shared" si="109"/>
        <v>600.00006686116103</v>
      </c>
      <c r="K1376" s="1">
        <f t="shared" si="110"/>
        <v>2.2749603563087231</v>
      </c>
      <c r="L1376" s="1">
        <f t="shared" si="110"/>
        <v>5.1159785178028248</v>
      </c>
      <c r="N1376">
        <f>I1376</f>
        <v>832200.95506536553</v>
      </c>
      <c r="O1376" s="1">
        <f>SUM(K$2:K1376)/$G$3</f>
        <v>0.17890750004190029</v>
      </c>
      <c r="P1376" s="1">
        <f>SUM(L$2:L1376)/$G$3</f>
        <v>0.19257869567186267</v>
      </c>
      <c r="Q1376" s="1">
        <f t="shared" si="106"/>
        <v>178.90750004190028</v>
      </c>
      <c r="R1376" s="1">
        <f t="shared" si="107"/>
        <v>192.57869567186268</v>
      </c>
    </row>
    <row r="1377" spans="1:18" x14ac:dyDescent="0.35">
      <c r="A1377">
        <v>9.6388999436600304</v>
      </c>
      <c r="B1377">
        <v>0.80542631384580299</v>
      </c>
      <c r="C1377">
        <v>1.81426717018159</v>
      </c>
      <c r="I1377" s="1">
        <f t="shared" si="108"/>
        <v>832800.95513222658</v>
      </c>
      <c r="J1377">
        <f t="shared" si="109"/>
        <v>600.00006686104462</v>
      </c>
      <c r="K1377" s="1">
        <f t="shared" si="110"/>
        <v>2.2713024581478947</v>
      </c>
      <c r="L1377" s="1">
        <f t="shared" si="110"/>
        <v>5.1162339900399356</v>
      </c>
      <c r="N1377">
        <f>I1377</f>
        <v>832800.95513222658</v>
      </c>
      <c r="O1377" s="1">
        <f>SUM(K$2:K1377)/$G$3</f>
        <v>0.17893104051407882</v>
      </c>
      <c r="P1377" s="1">
        <f>SUM(L$2:L1377)/$G$3</f>
        <v>0.19263172188308764</v>
      </c>
      <c r="Q1377" s="1">
        <f t="shared" si="106"/>
        <v>178.93104051407883</v>
      </c>
      <c r="R1377" s="1">
        <f t="shared" si="107"/>
        <v>192.63172188308764</v>
      </c>
    </row>
    <row r="1378" spans="1:18" x14ac:dyDescent="0.35">
      <c r="A1378">
        <v>9.6458443888783396</v>
      </c>
      <c r="B1378">
        <v>0.80373054976554303</v>
      </c>
      <c r="C1378">
        <v>1.8144263964304099</v>
      </c>
      <c r="I1378" s="1">
        <f t="shared" si="108"/>
        <v>833400.95519908855</v>
      </c>
      <c r="J1378">
        <f t="shared" si="109"/>
        <v>600.00006686197594</v>
      </c>
      <c r="K1378" s="1">
        <f t="shared" si="110"/>
        <v>2.266520402912191</v>
      </c>
      <c r="L1378" s="1">
        <f t="shared" si="110"/>
        <v>5.1166830081195869</v>
      </c>
      <c r="N1378">
        <f>I1378</f>
        <v>833400.95519908855</v>
      </c>
      <c r="O1378" s="1">
        <f>SUM(K$2:K1378)/$G$3</f>
        <v>0.17895453142357678</v>
      </c>
      <c r="P1378" s="1">
        <f>SUM(L$2:L1378)/$G$3</f>
        <v>0.19268475274807306</v>
      </c>
      <c r="Q1378" s="1">
        <f t="shared" si="106"/>
        <v>178.95453142357678</v>
      </c>
      <c r="R1378" s="1">
        <f t="shared" si="107"/>
        <v>192.68475274807307</v>
      </c>
    </row>
    <row r="1379" spans="1:18" x14ac:dyDescent="0.35">
      <c r="A1379">
        <v>9.6527888340966399</v>
      </c>
      <c r="B1379">
        <v>0.80229387929857998</v>
      </c>
      <c r="C1379">
        <v>1.8151925621714999</v>
      </c>
      <c r="I1379" s="1">
        <f t="shared" si="108"/>
        <v>834000.95526594971</v>
      </c>
      <c r="J1379">
        <f t="shared" si="109"/>
        <v>600.00006686116103</v>
      </c>
      <c r="K1379" s="1">
        <f t="shared" si="110"/>
        <v>2.262468991740807</v>
      </c>
      <c r="L1379" s="1">
        <f t="shared" si="110"/>
        <v>5.1188435957432761</v>
      </c>
      <c r="N1379">
        <f>I1379</f>
        <v>834000.95526594971</v>
      </c>
      <c r="O1379" s="1">
        <f>SUM(K$2:K1379)/$G$3</f>
        <v>0.17897798034301235</v>
      </c>
      <c r="P1379" s="1">
        <f>SUM(L$2:L1379)/$G$3</f>
        <v>0.19273780600604834</v>
      </c>
      <c r="Q1379" s="1">
        <f t="shared" si="106"/>
        <v>178.97798034301235</v>
      </c>
      <c r="R1379" s="1">
        <f t="shared" si="107"/>
        <v>192.73780600604834</v>
      </c>
    </row>
    <row r="1380" spans="1:18" x14ac:dyDescent="0.35">
      <c r="A1380">
        <v>9.6597332793149508</v>
      </c>
      <c r="B1380">
        <v>0.80072893107396104</v>
      </c>
      <c r="C1380">
        <v>1.81560811484702</v>
      </c>
      <c r="I1380" s="1">
        <f t="shared" si="108"/>
        <v>834600.95533281181</v>
      </c>
      <c r="J1380">
        <f t="shared" si="109"/>
        <v>600.00006686209235</v>
      </c>
      <c r="K1380" s="1">
        <f t="shared" si="110"/>
        <v>2.2580558372591053</v>
      </c>
      <c r="L1380" s="1">
        <f t="shared" si="110"/>
        <v>5.1200154544267757</v>
      </c>
      <c r="N1380">
        <f>I1380</f>
        <v>834600.95533281181</v>
      </c>
      <c r="O1380" s="1">
        <f>SUM(K$2:K1380)/$G$3</f>
        <v>0.17900138352316736</v>
      </c>
      <c r="P1380" s="1">
        <f>SUM(L$2:L1380)/$G$3</f>
        <v>0.19279087140952483</v>
      </c>
      <c r="Q1380" s="1">
        <f t="shared" si="106"/>
        <v>179.00138352316736</v>
      </c>
      <c r="R1380" s="1">
        <f t="shared" si="107"/>
        <v>192.79087140952484</v>
      </c>
    </row>
    <row r="1381" spans="1:18" x14ac:dyDescent="0.35">
      <c r="A1381">
        <v>9.6666777245332494</v>
      </c>
      <c r="B1381">
        <v>0.79941760562528996</v>
      </c>
      <c r="C1381">
        <v>1.8148718261197601</v>
      </c>
      <c r="I1381" s="1">
        <f t="shared" si="108"/>
        <v>835200.95539967273</v>
      </c>
      <c r="J1381">
        <f t="shared" si="109"/>
        <v>600.0000668609282</v>
      </c>
      <c r="K1381" s="1">
        <f t="shared" si="110"/>
        <v>2.2543578990773927</v>
      </c>
      <c r="L1381" s="1">
        <f t="shared" si="110"/>
        <v>5.1179391199745936</v>
      </c>
      <c r="N1381">
        <f>I1381</f>
        <v>835200.95539967273</v>
      </c>
      <c r="O1381" s="1">
        <f>SUM(K$2:K1381)/$G$3</f>
        <v>0.17902474837676199</v>
      </c>
      <c r="P1381" s="1">
        <f>SUM(L$2:L1381)/$G$3</f>
        <v>0.19284391529323705</v>
      </c>
      <c r="Q1381" s="1">
        <f t="shared" si="106"/>
        <v>179.02474837676201</v>
      </c>
      <c r="R1381" s="1">
        <f t="shared" si="107"/>
        <v>192.84391529323705</v>
      </c>
    </row>
    <row r="1382" spans="1:18" x14ac:dyDescent="0.35">
      <c r="A1382">
        <v>9.6736221697515603</v>
      </c>
      <c r="B1382">
        <v>0.79791153726516495</v>
      </c>
      <c r="C1382">
        <v>1.81450512873669</v>
      </c>
      <c r="I1382" s="1">
        <f t="shared" si="108"/>
        <v>835800.95546653483</v>
      </c>
      <c r="J1382">
        <f t="shared" si="109"/>
        <v>600.00006686209235</v>
      </c>
      <c r="K1382" s="1">
        <f t="shared" si="110"/>
        <v>2.2501107858329292</v>
      </c>
      <c r="L1382" s="1">
        <f t="shared" si="110"/>
        <v>5.1169050332490311</v>
      </c>
      <c r="N1382">
        <f>I1382</f>
        <v>835800.95546653483</v>
      </c>
      <c r="O1382" s="1">
        <f>SUM(K$2:K1382)/$G$3</f>
        <v>0.17904806921197816</v>
      </c>
      <c r="P1382" s="1">
        <f>SUM(L$2:L1382)/$G$3</f>
        <v>0.19289694845935873</v>
      </c>
      <c r="Q1382" s="1">
        <f t="shared" si="106"/>
        <v>179.04806921197817</v>
      </c>
      <c r="R1382" s="1">
        <f t="shared" si="107"/>
        <v>192.89694845935873</v>
      </c>
    </row>
    <row r="1383" spans="1:18" x14ac:dyDescent="0.35">
      <c r="A1383">
        <v>9.6805666149698606</v>
      </c>
      <c r="B1383">
        <v>0.79642083325108304</v>
      </c>
      <c r="C1383">
        <v>1.8143061095920201</v>
      </c>
      <c r="I1383" s="1">
        <f t="shared" si="108"/>
        <v>836400.95553339599</v>
      </c>
      <c r="J1383">
        <f t="shared" si="109"/>
        <v>600.00006686116103</v>
      </c>
      <c r="K1383" s="1">
        <f t="shared" si="110"/>
        <v>2.2459070000412757</v>
      </c>
      <c r="L1383" s="1">
        <f t="shared" si="110"/>
        <v>5.1163437991905774</v>
      </c>
      <c r="N1383">
        <f>I1383</f>
        <v>836400.95553339599</v>
      </c>
      <c r="O1383" s="1">
        <f>SUM(K$2:K1383)/$G$3</f>
        <v>0.17907134647787484</v>
      </c>
      <c r="P1383" s="1">
        <f>SUM(L$2:L1383)/$G$3</f>
        <v>0.19294997580867923</v>
      </c>
      <c r="Q1383" s="1">
        <f t="shared" si="106"/>
        <v>179.07134647787484</v>
      </c>
      <c r="R1383" s="1">
        <f t="shared" si="107"/>
        <v>192.94997580867923</v>
      </c>
    </row>
    <row r="1384" spans="1:18" x14ac:dyDescent="0.35">
      <c r="A1384">
        <v>9.6875110601881698</v>
      </c>
      <c r="B1384">
        <v>0.794938695559264</v>
      </c>
      <c r="C1384">
        <v>1.8139905416668201</v>
      </c>
      <c r="I1384" s="1">
        <f t="shared" si="108"/>
        <v>837000.95560025785</v>
      </c>
      <c r="J1384">
        <f t="shared" si="109"/>
        <v>600.00006686185952</v>
      </c>
      <c r="K1384" s="1">
        <f t="shared" si="110"/>
        <v>2.2417273712871975</v>
      </c>
      <c r="L1384" s="1">
        <f t="shared" si="110"/>
        <v>5.1154538975483028</v>
      </c>
      <c r="N1384">
        <f>I1384</f>
        <v>837000.95560025785</v>
      </c>
      <c r="O1384" s="1">
        <f>SUM(K$2:K1384)/$G$3</f>
        <v>0.17909458042482296</v>
      </c>
      <c r="P1384" s="1">
        <f>SUM(L$2:L1384)/$G$3</f>
        <v>0.19300299393478743</v>
      </c>
      <c r="Q1384" s="1">
        <f t="shared" si="106"/>
        <v>179.09458042482296</v>
      </c>
      <c r="R1384" s="1">
        <f t="shared" si="107"/>
        <v>193.00299393478741</v>
      </c>
    </row>
    <row r="1385" spans="1:18" x14ac:dyDescent="0.35">
      <c r="A1385">
        <v>9.6944555054064701</v>
      </c>
      <c r="B1385">
        <v>0.79386451319358398</v>
      </c>
      <c r="C1385">
        <v>1.8138452047300799</v>
      </c>
      <c r="I1385" s="1">
        <f t="shared" si="108"/>
        <v>837600.95566711901</v>
      </c>
      <c r="J1385">
        <f t="shared" si="109"/>
        <v>600.00006686116103</v>
      </c>
      <c r="K1385" s="1">
        <f t="shared" si="110"/>
        <v>2.2386981766758112</v>
      </c>
      <c r="L1385" s="1">
        <f t="shared" si="110"/>
        <v>5.1150440473350685</v>
      </c>
      <c r="N1385">
        <f>I1385</f>
        <v>837600.95566711901</v>
      </c>
      <c r="O1385" s="1">
        <f>SUM(K$2:K1385)/$G$3</f>
        <v>0.1791177829762732</v>
      </c>
      <c r="P1385" s="1">
        <f>SUM(L$2:L1385)/$G$3</f>
        <v>0.19305600781308288</v>
      </c>
      <c r="Q1385" s="1">
        <f t="shared" si="106"/>
        <v>179.11778297627319</v>
      </c>
      <c r="R1385" s="1">
        <f t="shared" si="107"/>
        <v>193.05600781308289</v>
      </c>
    </row>
    <row r="1386" spans="1:18" x14ac:dyDescent="0.35">
      <c r="A1386">
        <v>9.7013999506247703</v>
      </c>
      <c r="B1386">
        <v>0.79231238918200997</v>
      </c>
      <c r="C1386">
        <v>1.81403105851933</v>
      </c>
      <c r="I1386" s="1">
        <f t="shared" si="108"/>
        <v>838200.95573398017</v>
      </c>
      <c r="J1386">
        <f t="shared" si="109"/>
        <v>600.00006686116103</v>
      </c>
      <c r="K1386" s="1">
        <f t="shared" si="110"/>
        <v>2.2343211864754218</v>
      </c>
      <c r="L1386" s="1">
        <f t="shared" si="110"/>
        <v>5.1155681550791572</v>
      </c>
      <c r="N1386">
        <f>I1386</f>
        <v>838200.95573398017</v>
      </c>
      <c r="O1386" s="1">
        <f>SUM(K$2:K1386)/$G$3</f>
        <v>0.17914094016326057</v>
      </c>
      <c r="P1386" s="1">
        <f>SUM(L$2:L1386)/$G$3</f>
        <v>0.19310902712339101</v>
      </c>
      <c r="Q1386" s="1">
        <f t="shared" si="106"/>
        <v>179.14094016326058</v>
      </c>
      <c r="R1386" s="1">
        <f t="shared" si="107"/>
        <v>193.109027123391</v>
      </c>
    </row>
    <row r="1387" spans="1:18" x14ac:dyDescent="0.35">
      <c r="A1387">
        <v>9.7083443958430795</v>
      </c>
      <c r="B1387">
        <v>0.79096155380838495</v>
      </c>
      <c r="C1387">
        <v>1.8139974617453101</v>
      </c>
      <c r="I1387" s="1">
        <f t="shared" si="108"/>
        <v>838800.95580084203</v>
      </c>
      <c r="J1387">
        <f t="shared" si="109"/>
        <v>600.00006686185952</v>
      </c>
      <c r="K1387" s="1">
        <f t="shared" si="110"/>
        <v>2.230511830299899</v>
      </c>
      <c r="L1387" s="1">
        <f t="shared" si="110"/>
        <v>5.1154734121718191</v>
      </c>
      <c r="N1387">
        <f>I1387</f>
        <v>838800.95580084203</v>
      </c>
      <c r="O1387" s="1">
        <f>SUM(K$2:K1387)/$G$3</f>
        <v>0.1791640578689174</v>
      </c>
      <c r="P1387" s="1">
        <f>SUM(L$2:L1387)/$G$3</f>
        <v>0.19316204545175469</v>
      </c>
      <c r="Q1387" s="1">
        <f t="shared" si="106"/>
        <v>179.16405786891741</v>
      </c>
      <c r="R1387" s="1">
        <f t="shared" si="107"/>
        <v>193.16204545175469</v>
      </c>
    </row>
    <row r="1388" spans="1:18" x14ac:dyDescent="0.35">
      <c r="A1388">
        <v>9.7152888410613798</v>
      </c>
      <c r="B1388">
        <v>0.78967559971420798</v>
      </c>
      <c r="C1388">
        <v>1.8134997721161501</v>
      </c>
      <c r="I1388" s="1">
        <f t="shared" si="108"/>
        <v>839400.95586770319</v>
      </c>
      <c r="J1388">
        <f t="shared" si="109"/>
        <v>600.00006686116103</v>
      </c>
      <c r="K1388" s="1">
        <f t="shared" si="110"/>
        <v>2.2268854393476154</v>
      </c>
      <c r="L1388" s="1">
        <f t="shared" si="110"/>
        <v>5.1140699272552341</v>
      </c>
      <c r="N1388">
        <f>I1388</f>
        <v>839400.95586770319</v>
      </c>
      <c r="O1388" s="1">
        <f>SUM(K$2:K1388)/$G$3</f>
        <v>0.17918713798955116</v>
      </c>
      <c r="P1388" s="1">
        <f>SUM(L$2:L1388)/$G$3</f>
        <v>0.19321504923397217</v>
      </c>
      <c r="Q1388" s="1">
        <f t="shared" si="106"/>
        <v>179.18713798955116</v>
      </c>
      <c r="R1388" s="1">
        <f t="shared" si="107"/>
        <v>193.21504923397217</v>
      </c>
    </row>
    <row r="1389" spans="1:18" x14ac:dyDescent="0.35">
      <c r="A1389">
        <v>9.7222332862796907</v>
      </c>
      <c r="B1389">
        <v>0.78836761214443596</v>
      </c>
      <c r="C1389">
        <v>1.81385293517685</v>
      </c>
      <c r="I1389" s="1">
        <f t="shared" si="108"/>
        <v>840000.95593456528</v>
      </c>
      <c r="J1389">
        <f t="shared" si="109"/>
        <v>600.00006686209235</v>
      </c>
      <c r="K1389" s="1">
        <f t="shared" si="110"/>
        <v>2.2231969139932777</v>
      </c>
      <c r="L1389" s="1">
        <f t="shared" si="110"/>
        <v>5.1150658472053294</v>
      </c>
      <c r="N1389">
        <f>I1389</f>
        <v>840000.95593456528</v>
      </c>
      <c r="O1389" s="1">
        <f>SUM(K$2:K1389)/$G$3</f>
        <v>0.17921017988118193</v>
      </c>
      <c r="P1389" s="1">
        <f>SUM(L$2:L1389)/$G$3</f>
        <v>0.19326806333820815</v>
      </c>
      <c r="Q1389" s="1">
        <f t="shared" si="106"/>
        <v>179.21017988118194</v>
      </c>
      <c r="R1389" s="1">
        <f t="shared" si="107"/>
        <v>193.26806333820815</v>
      </c>
    </row>
    <row r="1390" spans="1:18" x14ac:dyDescent="0.35">
      <c r="A1390">
        <v>9.7291777314979893</v>
      </c>
      <c r="B1390">
        <v>0.78705974836937898</v>
      </c>
      <c r="C1390">
        <v>1.8133405620088201</v>
      </c>
      <c r="I1390" s="1">
        <f t="shared" si="108"/>
        <v>840600.95600142633</v>
      </c>
      <c r="J1390">
        <f t="shared" si="109"/>
        <v>600.00006686104462</v>
      </c>
      <c r="K1390" s="1">
        <f t="shared" si="110"/>
        <v>2.2195087377327423</v>
      </c>
      <c r="L1390" s="1">
        <f t="shared" si="110"/>
        <v>5.113620954701541</v>
      </c>
      <c r="N1390">
        <f>I1390</f>
        <v>840600.95600142633</v>
      </c>
      <c r="O1390" s="1">
        <f>SUM(K$2:K1390)/$G$3</f>
        <v>0.17923318354742779</v>
      </c>
      <c r="P1390" s="1">
        <f>SUM(L$2:L1390)/$G$3</f>
        <v>0.19332106246713701</v>
      </c>
      <c r="Q1390" s="1">
        <f t="shared" si="106"/>
        <v>179.23318354742779</v>
      </c>
      <c r="R1390" s="1">
        <f t="shared" si="107"/>
        <v>193.32106246713701</v>
      </c>
    </row>
    <row r="1391" spans="1:18" x14ac:dyDescent="0.35">
      <c r="A1391">
        <v>9.7361221767163002</v>
      </c>
      <c r="B1391">
        <v>0.78583164978843401</v>
      </c>
      <c r="C1391">
        <v>1.8135125361114699</v>
      </c>
      <c r="I1391" s="1">
        <f t="shared" si="108"/>
        <v>841200.9560682883</v>
      </c>
      <c r="J1391">
        <f t="shared" si="109"/>
        <v>600.00006686197594</v>
      </c>
      <c r="K1391" s="1">
        <f t="shared" si="110"/>
        <v>2.2160454993519911</v>
      </c>
      <c r="L1391" s="1">
        <f t="shared" si="110"/>
        <v>5.1141059217329943</v>
      </c>
      <c r="N1391">
        <f>I1391</f>
        <v>841200.9560682883</v>
      </c>
      <c r="O1391" s="1">
        <f>SUM(K$2:K1391)/$G$3</f>
        <v>0.17925615131961367</v>
      </c>
      <c r="P1391" s="1">
        <f>SUM(L$2:L1391)/$G$3</f>
        <v>0.19337406662241224</v>
      </c>
      <c r="Q1391" s="1">
        <f t="shared" si="106"/>
        <v>179.25615131961368</v>
      </c>
      <c r="R1391" s="1">
        <f t="shared" si="107"/>
        <v>193.37406662241224</v>
      </c>
    </row>
    <row r="1392" spans="1:18" x14ac:dyDescent="0.35">
      <c r="A1392">
        <v>9.7430666219346005</v>
      </c>
      <c r="B1392">
        <v>0.784708414108376</v>
      </c>
      <c r="C1392">
        <v>1.81366205364563</v>
      </c>
      <c r="I1392" s="1">
        <f t="shared" si="108"/>
        <v>841800.95613514946</v>
      </c>
      <c r="J1392">
        <f t="shared" si="109"/>
        <v>600.00006686116103</v>
      </c>
      <c r="K1392" s="1">
        <f t="shared" si="110"/>
        <v>2.2128779743782436</v>
      </c>
      <c r="L1392" s="1">
        <f t="shared" si="110"/>
        <v>5.114527561219365</v>
      </c>
      <c r="N1392">
        <f>I1392</f>
        <v>841800.95613514946</v>
      </c>
      <c r="O1392" s="1">
        <f>SUM(K$2:K1392)/$G$3</f>
        <v>0.17927908626260355</v>
      </c>
      <c r="P1392" s="1">
        <f>SUM(L$2:L1392)/$G$3</f>
        <v>0.19342707514768787</v>
      </c>
      <c r="Q1392" s="1">
        <f t="shared" si="106"/>
        <v>179.27908626260356</v>
      </c>
      <c r="R1392" s="1">
        <f t="shared" si="107"/>
        <v>193.42707514768787</v>
      </c>
    </row>
    <row r="1393" spans="1:18" x14ac:dyDescent="0.35">
      <c r="A1393">
        <v>9.7500110671529097</v>
      </c>
      <c r="B1393">
        <v>0.78333826517509497</v>
      </c>
      <c r="C1393">
        <v>1.8129150583117499</v>
      </c>
      <c r="I1393" s="1">
        <f t="shared" si="108"/>
        <v>842400.95620201144</v>
      </c>
      <c r="J1393">
        <f t="shared" si="109"/>
        <v>600.00006686197594</v>
      </c>
      <c r="K1393" s="1">
        <f t="shared" si="110"/>
        <v>2.2090141539588259</v>
      </c>
      <c r="L1393" s="1">
        <f t="shared" si="110"/>
        <v>5.1124210341500254</v>
      </c>
      <c r="N1393">
        <f>I1393</f>
        <v>842400.95620201144</v>
      </c>
      <c r="O1393" s="1">
        <f>SUM(K$2:K1393)/$G$3</f>
        <v>0.17930198115977886</v>
      </c>
      <c r="P1393" s="1">
        <f>SUM(L$2:L1393)/$G$3</f>
        <v>0.19348006184027378</v>
      </c>
      <c r="Q1393" s="1">
        <f t="shared" si="106"/>
        <v>179.30198115977885</v>
      </c>
      <c r="R1393" s="1">
        <f t="shared" si="107"/>
        <v>193.48006184027378</v>
      </c>
    </row>
    <row r="1394" spans="1:18" x14ac:dyDescent="0.35">
      <c r="A1394">
        <v>9.7569555123712099</v>
      </c>
      <c r="B1394">
        <v>0.78129444005236204</v>
      </c>
      <c r="C1394">
        <v>1.8116942711339801</v>
      </c>
      <c r="I1394" s="1">
        <f t="shared" si="108"/>
        <v>843000.95626887248</v>
      </c>
      <c r="J1394">
        <f t="shared" si="109"/>
        <v>600.00006686104462</v>
      </c>
      <c r="K1394" s="1">
        <f t="shared" si="110"/>
        <v>2.2032505664670246</v>
      </c>
      <c r="L1394" s="1">
        <f t="shared" si="110"/>
        <v>5.1089784139171499</v>
      </c>
      <c r="N1394">
        <f>I1394</f>
        <v>843000.95626887248</v>
      </c>
      <c r="O1394" s="1">
        <f>SUM(K$2:K1394)/$G$3</f>
        <v>0.17932481632137359</v>
      </c>
      <c r="P1394" s="1">
        <f>SUM(L$2:L1394)/$G$3</f>
        <v>0.19353301285249244</v>
      </c>
      <c r="Q1394" s="1">
        <f t="shared" si="106"/>
        <v>179.32481632137359</v>
      </c>
      <c r="R1394" s="1">
        <f t="shared" si="107"/>
        <v>193.53301285249245</v>
      </c>
    </row>
    <row r="1395" spans="1:18" x14ac:dyDescent="0.35">
      <c r="A1395">
        <v>9.7638999575895191</v>
      </c>
      <c r="B1395">
        <v>0.77987445715342496</v>
      </c>
      <c r="C1395">
        <v>1.81192030159676</v>
      </c>
      <c r="I1395" s="1">
        <f t="shared" si="108"/>
        <v>843600.95633573446</v>
      </c>
      <c r="J1395">
        <f t="shared" si="109"/>
        <v>600.00006686197594</v>
      </c>
      <c r="K1395" s="1">
        <f t="shared" si="110"/>
        <v>2.1992462142492104</v>
      </c>
      <c r="L1395" s="1">
        <f t="shared" si="110"/>
        <v>5.1096158199011494</v>
      </c>
      <c r="N1395">
        <f>I1395</f>
        <v>843600.95633573446</v>
      </c>
      <c r="O1395" s="1">
        <f>SUM(K$2:K1395)/$G$3</f>
        <v>0.17934760998063928</v>
      </c>
      <c r="P1395" s="1">
        <f>SUM(L$2:L1395)/$G$3</f>
        <v>0.19358597047098133</v>
      </c>
      <c r="Q1395" s="1">
        <f t="shared" si="106"/>
        <v>179.34760998063928</v>
      </c>
      <c r="R1395" s="1">
        <f t="shared" si="107"/>
        <v>193.58597047098132</v>
      </c>
    </row>
    <row r="1396" spans="1:18" x14ac:dyDescent="0.35">
      <c r="A1396">
        <v>9.7708444028078194</v>
      </c>
      <c r="B1396">
        <v>0.77869151133068004</v>
      </c>
      <c r="C1396">
        <v>1.8113833460930899</v>
      </c>
      <c r="I1396" s="1">
        <f t="shared" si="108"/>
        <v>844200.95640259562</v>
      </c>
      <c r="J1396">
        <f t="shared" si="109"/>
        <v>600.00006686116103</v>
      </c>
      <c r="K1396" s="1">
        <f t="shared" si="110"/>
        <v>2.1959103066543446</v>
      </c>
      <c r="L1396" s="1">
        <f t="shared" si="110"/>
        <v>5.1081016052051238</v>
      </c>
      <c r="N1396">
        <f>I1396</f>
        <v>844200.95640259562</v>
      </c>
      <c r="O1396" s="1">
        <f>SUM(K$2:K1396)/$G$3</f>
        <v>0.17937036906554008</v>
      </c>
      <c r="P1396" s="1">
        <f>SUM(L$2:L1396)/$G$3</f>
        <v>0.19363891239568679</v>
      </c>
      <c r="Q1396" s="1">
        <f t="shared" si="106"/>
        <v>179.37036906554007</v>
      </c>
      <c r="R1396" s="1">
        <f t="shared" si="107"/>
        <v>193.63891239568679</v>
      </c>
    </row>
    <row r="1397" spans="1:18" x14ac:dyDescent="0.35">
      <c r="A1397">
        <v>9.7777888480261197</v>
      </c>
      <c r="B1397">
        <v>0.77409964433789702</v>
      </c>
      <c r="C1397">
        <v>1.79927816616461</v>
      </c>
      <c r="I1397" s="1">
        <f t="shared" si="108"/>
        <v>844800.95646945678</v>
      </c>
      <c r="J1397">
        <f t="shared" si="109"/>
        <v>600.00006686116103</v>
      </c>
      <c r="K1397" s="1">
        <f t="shared" si="110"/>
        <v>2.1829612402917142</v>
      </c>
      <c r="L1397" s="1">
        <f t="shared" si="110"/>
        <v>5.0739649940027878</v>
      </c>
      <c r="N1397">
        <f>I1397</f>
        <v>844800.95646945678</v>
      </c>
      <c r="O1397" s="1">
        <f>SUM(K$2:K1397)/$G$3</f>
        <v>0.17939299394236333</v>
      </c>
      <c r="P1397" s="1">
        <f>SUM(L$2:L1397)/$G$3</f>
        <v>0.19369150051813072</v>
      </c>
      <c r="Q1397" s="1">
        <f t="shared" si="106"/>
        <v>179.39299394236332</v>
      </c>
      <c r="R1397" s="1">
        <f t="shared" si="107"/>
        <v>193.69150051813071</v>
      </c>
    </row>
    <row r="1398" spans="1:18" x14ac:dyDescent="0.35">
      <c r="A1398">
        <v>9.7847332932444306</v>
      </c>
      <c r="B1398">
        <v>0.781701931722939</v>
      </c>
      <c r="C1398">
        <v>1.8148474509816701</v>
      </c>
      <c r="I1398" s="1">
        <f t="shared" si="108"/>
        <v>845400.95653631876</v>
      </c>
      <c r="J1398">
        <f t="shared" si="109"/>
        <v>600.00006686197594</v>
      </c>
      <c r="K1398" s="1">
        <f t="shared" si="110"/>
        <v>2.2043996931095262</v>
      </c>
      <c r="L1398" s="1">
        <f t="shared" si="110"/>
        <v>5.1178703820864566</v>
      </c>
      <c r="N1398">
        <f>I1398</f>
        <v>845400.95653631876</v>
      </c>
      <c r="O1398" s="1">
        <f>SUM(K$2:K1398)/$G$3</f>
        <v>0.17941584101385744</v>
      </c>
      <c r="P1398" s="1">
        <f>SUM(L$2:L1398)/$G$3</f>
        <v>0.19374454368942251</v>
      </c>
      <c r="Q1398" s="1">
        <f t="shared" si="106"/>
        <v>179.41584101385743</v>
      </c>
      <c r="R1398" s="1">
        <f t="shared" si="107"/>
        <v>193.7445436894225</v>
      </c>
    </row>
    <row r="1399" spans="1:18" x14ac:dyDescent="0.35">
      <c r="A1399">
        <v>9.7916777384627292</v>
      </c>
      <c r="B1399">
        <v>0.79152678331620896</v>
      </c>
      <c r="C1399">
        <v>1.83612121048197</v>
      </c>
      <c r="I1399" s="1">
        <f t="shared" si="108"/>
        <v>846000.9566031798</v>
      </c>
      <c r="J1399">
        <f t="shared" si="109"/>
        <v>600.00006686104462</v>
      </c>
      <c r="K1399" s="1">
        <f t="shared" si="110"/>
        <v>2.2321057776865549</v>
      </c>
      <c r="L1399" s="1">
        <f t="shared" si="110"/>
        <v>5.1778623905545711</v>
      </c>
      <c r="N1399">
        <f>I1399</f>
        <v>846000.9566031798</v>
      </c>
      <c r="O1399" s="1">
        <f>SUM(K$2:K1399)/$G$3</f>
        <v>0.17943897523967167</v>
      </c>
      <c r="P1399" s="1">
        <f>SUM(L$2:L1399)/$G$3</f>
        <v>0.19379820863620756</v>
      </c>
      <c r="Q1399" s="1">
        <f t="shared" si="106"/>
        <v>179.43897523967166</v>
      </c>
      <c r="R1399" s="1">
        <f t="shared" si="107"/>
        <v>193.79820863620756</v>
      </c>
    </row>
    <row r="1400" spans="1:18" x14ac:dyDescent="0.35">
      <c r="A1400">
        <v>9.7986221836810401</v>
      </c>
      <c r="B1400">
        <v>0.79209971827316805</v>
      </c>
      <c r="C1400">
        <v>1.8392347579082</v>
      </c>
      <c r="I1400" s="1">
        <f t="shared" si="108"/>
        <v>846600.95667004189</v>
      </c>
      <c r="J1400">
        <f t="shared" si="109"/>
        <v>600.00006686209235</v>
      </c>
      <c r="K1400" s="1">
        <f t="shared" si="110"/>
        <v>2.2337214544491233</v>
      </c>
      <c r="L1400" s="1">
        <f t="shared" si="110"/>
        <v>5.1866425952840203</v>
      </c>
      <c r="N1400">
        <f>I1400</f>
        <v>846600.95667004189</v>
      </c>
      <c r="O1400" s="1">
        <f>SUM(K$2:K1400)/$G$3</f>
        <v>0.1794621262108532</v>
      </c>
      <c r="P1400" s="1">
        <f>SUM(L$2:L1400)/$G$3</f>
        <v>0.19385196458371529</v>
      </c>
      <c r="Q1400" s="1">
        <f t="shared" si="106"/>
        <v>179.4621262108532</v>
      </c>
      <c r="R1400" s="1">
        <f t="shared" si="107"/>
        <v>193.85196458371527</v>
      </c>
    </row>
    <row r="1401" spans="1:18" x14ac:dyDescent="0.35">
      <c r="A1401">
        <v>9.8055666288993404</v>
      </c>
      <c r="B1401">
        <v>0.79173543629335996</v>
      </c>
      <c r="C1401">
        <v>1.83937308415587</v>
      </c>
      <c r="I1401" s="1">
        <f t="shared" si="108"/>
        <v>847200.95673690306</v>
      </c>
      <c r="J1401">
        <f t="shared" si="109"/>
        <v>600.00006686116103</v>
      </c>
      <c r="K1401" s="1">
        <f t="shared" si="110"/>
        <v>2.2326941791481225</v>
      </c>
      <c r="L1401" s="1">
        <f t="shared" si="110"/>
        <v>5.1870326753378677</v>
      </c>
      <c r="N1401">
        <f>I1401</f>
        <v>847200.95673690306</v>
      </c>
      <c r="O1401" s="1">
        <f>SUM(K$2:K1401)/$G$3</f>
        <v>0.17948526653503982</v>
      </c>
      <c r="P1401" s="1">
        <f>SUM(L$2:L1401)/$G$3</f>
        <v>0.1939057245741318</v>
      </c>
      <c r="Q1401" s="1">
        <f t="shared" si="106"/>
        <v>179.48526653503981</v>
      </c>
      <c r="R1401" s="1">
        <f t="shared" si="107"/>
        <v>193.9057245741318</v>
      </c>
    </row>
    <row r="1402" spans="1:18" x14ac:dyDescent="0.35">
      <c r="A1402">
        <v>9.8125110741176496</v>
      </c>
      <c r="B1402">
        <v>0.79120732331872001</v>
      </c>
      <c r="C1402">
        <v>1.840522641205</v>
      </c>
      <c r="I1402" s="1">
        <f t="shared" si="108"/>
        <v>847800.95680376492</v>
      </c>
      <c r="J1402">
        <f t="shared" si="109"/>
        <v>600.00006686185952</v>
      </c>
      <c r="K1402" s="1">
        <f t="shared" si="110"/>
        <v>2.2312049003962771</v>
      </c>
      <c r="L1402" s="1">
        <f t="shared" si="110"/>
        <v>5.1902744265837013</v>
      </c>
      <c r="N1402">
        <f>I1402</f>
        <v>847800.95680376492</v>
      </c>
      <c r="O1402" s="1">
        <f>SUM(K$2:K1402)/$G$3</f>
        <v>0.17950839142388675</v>
      </c>
      <c r="P1402" s="1">
        <f>SUM(L$2:L1402)/$G$3</f>
        <v>0.19395951816304804</v>
      </c>
      <c r="Q1402" s="1">
        <f t="shared" si="106"/>
        <v>179.50839142388674</v>
      </c>
      <c r="R1402" s="1">
        <f t="shared" si="107"/>
        <v>193.95951816304805</v>
      </c>
    </row>
    <row r="1403" spans="1:18" x14ac:dyDescent="0.35">
      <c r="A1403">
        <v>9.8194555193359498</v>
      </c>
      <c r="B1403">
        <v>0.85426041718967705</v>
      </c>
      <c r="C1403">
        <v>1.84093028468824</v>
      </c>
      <c r="I1403" s="1">
        <f t="shared" si="108"/>
        <v>848400.95687062608</v>
      </c>
      <c r="J1403">
        <f t="shared" si="109"/>
        <v>600.00006686116103</v>
      </c>
      <c r="K1403" s="1">
        <f t="shared" si="110"/>
        <v>2.4090146449240528</v>
      </c>
      <c r="L1403" s="1">
        <f t="shared" si="110"/>
        <v>5.191423981328497</v>
      </c>
      <c r="N1403">
        <f>I1403</f>
        <v>848400.95687062608</v>
      </c>
      <c r="O1403" s="1">
        <f>SUM(K$2:K1403)/$G$3</f>
        <v>0.17953335918721705</v>
      </c>
      <c r="P1403" s="1">
        <f>SUM(L$2:L1403)/$G$3</f>
        <v>0.19401332366630064</v>
      </c>
      <c r="Q1403" s="1">
        <f t="shared" si="106"/>
        <v>179.53335918721706</v>
      </c>
      <c r="R1403" s="1">
        <f t="shared" si="107"/>
        <v>194.01332366630064</v>
      </c>
    </row>
    <row r="1404" spans="1:18" x14ac:dyDescent="0.35">
      <c r="A1404">
        <v>9.8263999645542608</v>
      </c>
      <c r="B1404">
        <v>1.07420340796277</v>
      </c>
      <c r="C1404">
        <v>1.8404908736266801</v>
      </c>
      <c r="I1404" s="1">
        <f t="shared" si="108"/>
        <v>849000.95693748817</v>
      </c>
      <c r="J1404">
        <f t="shared" si="109"/>
        <v>600.00006686209235</v>
      </c>
      <c r="K1404" s="1">
        <f t="shared" si="110"/>
        <v>3.0292539480254028</v>
      </c>
      <c r="L1404" s="1">
        <f t="shared" si="110"/>
        <v>5.1901848420048706</v>
      </c>
      <c r="N1404">
        <f>I1404</f>
        <v>849000.95693748817</v>
      </c>
      <c r="O1404" s="1">
        <f>SUM(K$2:K1404)/$G$3</f>
        <v>0.17956475530006388</v>
      </c>
      <c r="P1404" s="1">
        <f>SUM(L$2:L1404)/$G$3</f>
        <v>0.19406711632673496</v>
      </c>
      <c r="Q1404" s="1">
        <f t="shared" si="106"/>
        <v>179.56475530006389</v>
      </c>
      <c r="R1404" s="1">
        <f t="shared" si="107"/>
        <v>194.06711632673495</v>
      </c>
    </row>
    <row r="1405" spans="1:18" x14ac:dyDescent="0.35">
      <c r="A1405">
        <v>9.8333444097725593</v>
      </c>
      <c r="B1405">
        <v>1.1809507010843801</v>
      </c>
      <c r="C1405">
        <v>1.8401942097372399</v>
      </c>
      <c r="I1405" s="1">
        <f t="shared" si="108"/>
        <v>849600.9570043491</v>
      </c>
      <c r="J1405">
        <f t="shared" si="109"/>
        <v>600.0000668609282</v>
      </c>
      <c r="K1405" s="1">
        <f t="shared" si="110"/>
        <v>3.3302813481674138</v>
      </c>
      <c r="L1405" s="1">
        <f t="shared" si="110"/>
        <v>5.1893482497333538</v>
      </c>
      <c r="N1405">
        <f>I1405</f>
        <v>849600.9570043491</v>
      </c>
      <c r="O1405" s="1">
        <f>SUM(K$2:K1405)/$G$3</f>
        <v>0.17959927135279918</v>
      </c>
      <c r="P1405" s="1">
        <f>SUM(L$2:L1405)/$G$3</f>
        <v>0.19412090031647153</v>
      </c>
      <c r="Q1405" s="1">
        <f t="shared" si="106"/>
        <v>179.59927135279918</v>
      </c>
      <c r="R1405" s="1">
        <f t="shared" si="107"/>
        <v>194.12090031647153</v>
      </c>
    </row>
    <row r="1406" spans="1:18" x14ac:dyDescent="0.35">
      <c r="A1406">
        <v>9.8402888549908702</v>
      </c>
      <c r="B1406">
        <v>1.2592222804656901</v>
      </c>
      <c r="C1406">
        <v>1.8407628004590799</v>
      </c>
      <c r="I1406" s="1">
        <f t="shared" si="108"/>
        <v>850200.95707121119</v>
      </c>
      <c r="J1406">
        <f t="shared" si="109"/>
        <v>600.00006686209235</v>
      </c>
      <c r="K1406" s="1">
        <f t="shared" si="110"/>
        <v>3.5510072266261572</v>
      </c>
      <c r="L1406" s="1">
        <f t="shared" si="110"/>
        <v>5.1909516757576917</v>
      </c>
      <c r="N1406">
        <f>I1406</f>
        <v>850200.95707121119</v>
      </c>
      <c r="O1406" s="1">
        <f>SUM(K$2:K1406)/$G$3</f>
        <v>0.17963607507593363</v>
      </c>
      <c r="P1406" s="1">
        <f>SUM(L$2:L1406)/$G$3</f>
        <v>0.19417470092460501</v>
      </c>
      <c r="Q1406" s="1">
        <f t="shared" si="106"/>
        <v>179.63607507593363</v>
      </c>
      <c r="R1406" s="1">
        <f t="shared" si="107"/>
        <v>194.17470092460502</v>
      </c>
    </row>
    <row r="1407" spans="1:18" x14ac:dyDescent="0.35">
      <c r="A1407">
        <v>9.8472333002091705</v>
      </c>
      <c r="B1407">
        <v>1.3233536439993101</v>
      </c>
      <c r="C1407">
        <v>1.84097162696371</v>
      </c>
      <c r="I1407" s="1">
        <f t="shared" si="108"/>
        <v>850800.95713807235</v>
      </c>
      <c r="J1407">
        <f t="shared" si="109"/>
        <v>600.00006686116103</v>
      </c>
      <c r="K1407" s="1">
        <f t="shared" si="110"/>
        <v>3.7318576919385715</v>
      </c>
      <c r="L1407" s="1">
        <f t="shared" si="110"/>
        <v>5.1915405665583139</v>
      </c>
      <c r="N1407">
        <f>I1407</f>
        <v>850800.95713807235</v>
      </c>
      <c r="O1407" s="1">
        <f>SUM(K$2:K1407)/$G$3</f>
        <v>0.17967475318851009</v>
      </c>
      <c r="P1407" s="1">
        <f>SUM(L$2:L1407)/$G$3</f>
        <v>0.19422850763618252</v>
      </c>
      <c r="Q1407" s="1">
        <f t="shared" si="106"/>
        <v>179.6747531885101</v>
      </c>
      <c r="R1407" s="1">
        <f t="shared" si="107"/>
        <v>194.22850763618251</v>
      </c>
    </row>
    <row r="1408" spans="1:18" x14ac:dyDescent="0.35">
      <c r="A1408">
        <v>9.8541777454274708</v>
      </c>
      <c r="B1408">
        <v>1.3759252297981901</v>
      </c>
      <c r="C1408">
        <v>1.8406031048665299</v>
      </c>
      <c r="I1408" s="1">
        <f t="shared" si="108"/>
        <v>851400.95720493351</v>
      </c>
      <c r="J1408">
        <f t="shared" si="109"/>
        <v>600.00006686116103</v>
      </c>
      <c r="K1408" s="1">
        <f t="shared" si="110"/>
        <v>3.8801095804119008</v>
      </c>
      <c r="L1408" s="1">
        <f t="shared" si="110"/>
        <v>5.1905013341284594</v>
      </c>
      <c r="N1408">
        <f>I1408</f>
        <v>851400.95720493351</v>
      </c>
      <c r="O1408" s="1">
        <f>SUM(K$2:K1408)/$G$3</f>
        <v>0.17971496782892477</v>
      </c>
      <c r="P1408" s="1">
        <f>SUM(L$2:L1408)/$G$3</f>
        <v>0.19428230357683784</v>
      </c>
      <c r="Q1408" s="1">
        <f t="shared" si="106"/>
        <v>179.71496782892476</v>
      </c>
      <c r="R1408" s="1">
        <f t="shared" si="107"/>
        <v>194.28230357683785</v>
      </c>
    </row>
    <row r="1409" spans="1:18" x14ac:dyDescent="0.35">
      <c r="A1409">
        <v>9.86112219064578</v>
      </c>
      <c r="B1409">
        <v>1.41671018236041</v>
      </c>
      <c r="C1409">
        <v>1.8407076512385301</v>
      </c>
      <c r="I1409" s="1">
        <f t="shared" si="108"/>
        <v>852000.95727179537</v>
      </c>
      <c r="J1409">
        <f t="shared" si="109"/>
        <v>600.00006686185952</v>
      </c>
      <c r="K1409" s="1">
        <f t="shared" si="110"/>
        <v>3.9951231594585792</v>
      </c>
      <c r="L1409" s="1">
        <f t="shared" si="110"/>
        <v>5.1907961549363968</v>
      </c>
      <c r="N1409">
        <f>I1409</f>
        <v>852000.95727179537</v>
      </c>
      <c r="O1409" s="1">
        <f>SUM(K$2:K1409)/$G$3</f>
        <v>0.17975637450519008</v>
      </c>
      <c r="P1409" s="1">
        <f>SUM(L$2:L1409)/$G$3</f>
        <v>0.19433610257310602</v>
      </c>
      <c r="Q1409" s="1">
        <f t="shared" si="106"/>
        <v>179.75637450519008</v>
      </c>
      <c r="R1409" s="1">
        <f t="shared" si="107"/>
        <v>194.33610257310602</v>
      </c>
    </row>
    <row r="1410" spans="1:18" x14ac:dyDescent="0.35">
      <c r="A1410">
        <v>9.8680666358640803</v>
      </c>
      <c r="B1410">
        <v>1.4463628863412401</v>
      </c>
      <c r="C1410">
        <v>1.8398501839802599</v>
      </c>
      <c r="I1410" s="1">
        <f t="shared" si="108"/>
        <v>852600.95733865653</v>
      </c>
      <c r="J1410">
        <f t="shared" si="109"/>
        <v>600.00006686116103</v>
      </c>
      <c r="K1410" s="1">
        <f t="shared" si="110"/>
        <v>4.0787437939981563</v>
      </c>
      <c r="L1410" s="1">
        <f t="shared" si="110"/>
        <v>5.188378096992575</v>
      </c>
      <c r="N1410">
        <f>I1410</f>
        <v>852600.95733865653</v>
      </c>
      <c r="O1410" s="1">
        <f>SUM(K$2:K1410)/$G$3</f>
        <v>0.17979864785124383</v>
      </c>
      <c r="P1410" s="1">
        <f>SUM(L$2:L1410)/$G$3</f>
        <v>0.19438987650788336</v>
      </c>
      <c r="Q1410" s="1">
        <f t="shared" ref="Q1410:Q1473" si="111">O1410*1000</f>
        <v>179.79864785124383</v>
      </c>
      <c r="R1410" s="1">
        <f t="shared" ref="R1410:R1473" si="112">P1410*1000</f>
        <v>194.38987650788337</v>
      </c>
    </row>
    <row r="1411" spans="1:18" x14ac:dyDescent="0.35">
      <c r="A1411">
        <v>9.8750110810823895</v>
      </c>
      <c r="B1411">
        <v>1.4696896201594301</v>
      </c>
      <c r="C1411">
        <v>1.83971113677267</v>
      </c>
      <c r="I1411" s="1">
        <f t="shared" ref="I1411:I1474" si="113">A1411*86400</f>
        <v>853200.95740551839</v>
      </c>
      <c r="J1411">
        <f t="shared" si="109"/>
        <v>600.00006686185952</v>
      </c>
      <c r="K1411" s="1">
        <f t="shared" si="110"/>
        <v>4.1445251907006435</v>
      </c>
      <c r="L1411" s="1">
        <f t="shared" si="110"/>
        <v>5.187985983829515</v>
      </c>
      <c r="N1411">
        <f>I1411</f>
        <v>853200.95740551839</v>
      </c>
      <c r="O1411" s="1">
        <f>SUM(K$2:K1411)/$G$3</f>
        <v>0.17984160297577823</v>
      </c>
      <c r="P1411" s="1">
        <f>SUM(L$2:L1411)/$G$3</f>
        <v>0.19444364637868017</v>
      </c>
      <c r="Q1411" s="1">
        <f t="shared" si="111"/>
        <v>179.84160297577822</v>
      </c>
      <c r="R1411" s="1">
        <f t="shared" si="112"/>
        <v>194.44364637868017</v>
      </c>
    </row>
    <row r="1412" spans="1:18" x14ac:dyDescent="0.35">
      <c r="A1412">
        <v>9.8819555263006897</v>
      </c>
      <c r="B1412">
        <v>1.4877590672530101</v>
      </c>
      <c r="C1412">
        <v>1.8388591246885999</v>
      </c>
      <c r="I1412" s="1">
        <f t="shared" si="113"/>
        <v>853800.95747237955</v>
      </c>
      <c r="J1412">
        <f t="shared" si="109"/>
        <v>600.00006686116103</v>
      </c>
      <c r="K1412" s="1">
        <f t="shared" si="110"/>
        <v>4.1954810371779914</v>
      </c>
      <c r="L1412" s="1">
        <f t="shared" si="110"/>
        <v>5.1855833094786554</v>
      </c>
      <c r="N1412">
        <f>I1412</f>
        <v>853800.95747237955</v>
      </c>
      <c r="O1412" s="1">
        <f>SUM(K$2:K1412)/$G$3</f>
        <v>0.17988508622226398</v>
      </c>
      <c r="P1412" s="1">
        <f>SUM(L$2:L1412)/$G$3</f>
        <v>0.19449739134742638</v>
      </c>
      <c r="Q1412" s="1">
        <f t="shared" si="111"/>
        <v>179.88508622226399</v>
      </c>
      <c r="R1412" s="1">
        <f t="shared" si="112"/>
        <v>194.49739134742637</v>
      </c>
    </row>
    <row r="1413" spans="1:18" x14ac:dyDescent="0.35">
      <c r="A1413">
        <v>9.8888999715190007</v>
      </c>
      <c r="B1413">
        <v>1.50064333145873</v>
      </c>
      <c r="C1413">
        <v>1.8388230505423799</v>
      </c>
      <c r="I1413" s="1">
        <f t="shared" si="113"/>
        <v>854400.95753924164</v>
      </c>
      <c r="J1413">
        <f t="shared" si="109"/>
        <v>600.00006686209235</v>
      </c>
      <c r="K1413" s="1">
        <f t="shared" si="110"/>
        <v>4.2318146662935376</v>
      </c>
      <c r="L1413" s="1">
        <f t="shared" si="110"/>
        <v>5.1854815803830272</v>
      </c>
      <c r="N1413">
        <f>I1413</f>
        <v>854400.95753924164</v>
      </c>
      <c r="O1413" s="1">
        <f>SUM(K$2:K1413)/$G$3</f>
        <v>0.17992894604157572</v>
      </c>
      <c r="P1413" s="1">
        <f>SUM(L$2:L1413)/$G$3</f>
        <v>0.19455113526182116</v>
      </c>
      <c r="Q1413" s="1">
        <f t="shared" si="111"/>
        <v>179.92894604157573</v>
      </c>
      <c r="R1413" s="1">
        <f t="shared" si="112"/>
        <v>194.55113526182117</v>
      </c>
    </row>
    <row r="1414" spans="1:18" x14ac:dyDescent="0.35">
      <c r="A1414">
        <v>9.8958444167372992</v>
      </c>
      <c r="B1414">
        <v>1.5113270008884601</v>
      </c>
      <c r="C1414">
        <v>1.83931228879047</v>
      </c>
      <c r="I1414" s="1">
        <f t="shared" si="113"/>
        <v>855000.95760610269</v>
      </c>
      <c r="J1414">
        <f t="shared" ref="J1414:J1477" si="114">I1414-I1413</f>
        <v>600.00006686104462</v>
      </c>
      <c r="K1414" s="1">
        <f t="shared" si="110"/>
        <v>4.261942617435297</v>
      </c>
      <c r="L1414" s="1">
        <f t="shared" si="110"/>
        <v>5.1868612323873284</v>
      </c>
      <c r="N1414">
        <f>I1414</f>
        <v>855000.95760610269</v>
      </c>
      <c r="O1414" s="1">
        <f>SUM(K$2:K1414)/$G$3</f>
        <v>0.17997311811617214</v>
      </c>
      <c r="P1414" s="1">
        <f>SUM(L$2:L1414)/$G$3</f>
        <v>0.19460489347535062</v>
      </c>
      <c r="Q1414" s="1">
        <f t="shared" si="111"/>
        <v>179.97311811617215</v>
      </c>
      <c r="R1414" s="1">
        <f t="shared" si="112"/>
        <v>194.60489347535062</v>
      </c>
    </row>
    <row r="1415" spans="1:18" x14ac:dyDescent="0.35">
      <c r="A1415">
        <v>9.9027888619556101</v>
      </c>
      <c r="B1415">
        <v>1.5198288091560199</v>
      </c>
      <c r="C1415">
        <v>1.83928617784259</v>
      </c>
      <c r="I1415" s="1">
        <f t="shared" si="113"/>
        <v>855600.95767296467</v>
      </c>
      <c r="J1415">
        <f t="shared" si="114"/>
        <v>600.00006686197594</v>
      </c>
      <c r="K1415" s="1">
        <f t="shared" si="110"/>
        <v>4.2859177194281353</v>
      </c>
      <c r="L1415" s="1">
        <f t="shared" si="110"/>
        <v>5.1867875995141528</v>
      </c>
      <c r="N1415">
        <f>I1415</f>
        <v>855600.95767296467</v>
      </c>
      <c r="O1415" s="1">
        <f>SUM(K$2:K1415)/$G$3</f>
        <v>0.180017538676046</v>
      </c>
      <c r="P1415" s="1">
        <f>SUM(L$2:L1415)/$G$3</f>
        <v>0.19465865092572648</v>
      </c>
      <c r="Q1415" s="1">
        <f t="shared" si="111"/>
        <v>180.017538676046</v>
      </c>
      <c r="R1415" s="1">
        <f t="shared" si="112"/>
        <v>194.65865092572648</v>
      </c>
    </row>
    <row r="1416" spans="1:18" x14ac:dyDescent="0.35">
      <c r="A1416">
        <v>9.9097333071739104</v>
      </c>
      <c r="B1416">
        <v>1.52571604562593</v>
      </c>
      <c r="C1416">
        <v>1.8395256986750199</v>
      </c>
      <c r="I1416" s="1">
        <f t="shared" si="113"/>
        <v>856200.95773982583</v>
      </c>
      <c r="J1416">
        <f t="shared" si="114"/>
        <v>600.00006686116103</v>
      </c>
      <c r="K1416" s="1">
        <f t="shared" si="110"/>
        <v>4.3025197281175105</v>
      </c>
      <c r="L1416" s="1">
        <f t="shared" si="110"/>
        <v>5.1874630483298292</v>
      </c>
      <c r="N1416">
        <f>I1416</f>
        <v>856200.95773982583</v>
      </c>
      <c r="O1416" s="1">
        <f>SUM(K$2:K1416)/$G$3</f>
        <v>0.18006213130420703</v>
      </c>
      <c r="P1416" s="1">
        <f>SUM(L$2:L1416)/$G$3</f>
        <v>0.19471241537666009</v>
      </c>
      <c r="Q1416" s="1">
        <f t="shared" si="111"/>
        <v>180.06213130420704</v>
      </c>
      <c r="R1416" s="1">
        <f t="shared" si="112"/>
        <v>194.71241537666009</v>
      </c>
    </row>
    <row r="1417" spans="1:18" x14ac:dyDescent="0.35">
      <c r="A1417">
        <v>9.9166777523922196</v>
      </c>
      <c r="B1417">
        <v>1.53075669391269</v>
      </c>
      <c r="C1417">
        <v>1.83883717488896</v>
      </c>
      <c r="I1417" s="1">
        <f t="shared" si="113"/>
        <v>856800.9578066878</v>
      </c>
      <c r="J1417">
        <f t="shared" si="114"/>
        <v>600.00006686197594</v>
      </c>
      <c r="K1417" s="1">
        <f t="shared" si="110"/>
        <v>4.3167343578760473</v>
      </c>
      <c r="L1417" s="1">
        <f t="shared" si="110"/>
        <v>5.1855214110438155</v>
      </c>
      <c r="N1417">
        <f>I1417</f>
        <v>856800.9578066878</v>
      </c>
      <c r="O1417" s="1">
        <f>SUM(K$2:K1417)/$G$3</f>
        <v>0.18010687125713107</v>
      </c>
      <c r="P1417" s="1">
        <f>SUM(L$2:L1417)/$G$3</f>
        <v>0.19476615970387204</v>
      </c>
      <c r="Q1417" s="1">
        <f t="shared" si="111"/>
        <v>180.10687125713108</v>
      </c>
      <c r="R1417" s="1">
        <f t="shared" si="112"/>
        <v>194.76615970387203</v>
      </c>
    </row>
    <row r="1418" spans="1:18" x14ac:dyDescent="0.35">
      <c r="A1418">
        <v>9.9236221976105199</v>
      </c>
      <c r="B1418">
        <v>1.5346494536292099</v>
      </c>
      <c r="C1418">
        <v>1.8390835865764199</v>
      </c>
      <c r="I1418" s="1">
        <f t="shared" si="113"/>
        <v>857400.95787354896</v>
      </c>
      <c r="J1418">
        <f t="shared" si="114"/>
        <v>600.00006686116103</v>
      </c>
      <c r="K1418" s="1">
        <f t="shared" si="110"/>
        <v>4.3277119414940604</v>
      </c>
      <c r="L1418" s="1">
        <f t="shared" si="110"/>
        <v>5.1862162920728441</v>
      </c>
      <c r="N1418">
        <f>I1418</f>
        <v>857400.95787354896</v>
      </c>
      <c r="O1418" s="1">
        <f>SUM(K$2:K1418)/$G$3</f>
        <v>0.18015172498508353</v>
      </c>
      <c r="P1418" s="1">
        <f>SUM(L$2:L1418)/$G$3</f>
        <v>0.19481991123304312</v>
      </c>
      <c r="Q1418" s="1">
        <f t="shared" si="111"/>
        <v>180.15172498508352</v>
      </c>
      <c r="R1418" s="1">
        <f t="shared" si="112"/>
        <v>194.81991123304311</v>
      </c>
    </row>
    <row r="1419" spans="1:18" x14ac:dyDescent="0.35">
      <c r="A1419">
        <v>9.9305666428288202</v>
      </c>
      <c r="B1419">
        <v>1.5368383083414501</v>
      </c>
      <c r="C1419">
        <v>1.83928081525196</v>
      </c>
      <c r="I1419" s="1">
        <f t="shared" si="113"/>
        <v>858000.95794041001</v>
      </c>
      <c r="J1419">
        <f t="shared" si="114"/>
        <v>600.00006686104462</v>
      </c>
      <c r="K1419" s="1">
        <f t="shared" si="110"/>
        <v>4.3338845124695782</v>
      </c>
      <c r="L1419" s="1">
        <f t="shared" si="110"/>
        <v>5.1867724769988399</v>
      </c>
      <c r="N1419">
        <f>I1419</f>
        <v>858000.95794041001</v>
      </c>
      <c r="O1419" s="1">
        <f>SUM(K$2:K1419)/$G$3</f>
        <v>0.18019664268744628</v>
      </c>
      <c r="P1419" s="1">
        <f>SUM(L$2:L1419)/$G$3</f>
        <v>0.19487366852668461</v>
      </c>
      <c r="Q1419" s="1">
        <f t="shared" si="111"/>
        <v>180.19664268744629</v>
      </c>
      <c r="R1419" s="1">
        <f t="shared" si="112"/>
        <v>194.87366852668461</v>
      </c>
    </row>
    <row r="1420" spans="1:18" x14ac:dyDescent="0.35">
      <c r="A1420">
        <v>9.9375110880471293</v>
      </c>
      <c r="B1420">
        <v>1.5388405031599901</v>
      </c>
      <c r="C1420">
        <v>1.83887066133963</v>
      </c>
      <c r="I1420" s="1">
        <f t="shared" si="113"/>
        <v>858600.95800727198</v>
      </c>
      <c r="J1420">
        <f t="shared" si="114"/>
        <v>600.00006686197594</v>
      </c>
      <c r="K1420" s="1">
        <f t="shared" si="110"/>
        <v>4.3395307024937804</v>
      </c>
      <c r="L1420" s="1">
        <f t="shared" si="110"/>
        <v>5.1856158428452277</v>
      </c>
      <c r="N1420">
        <f>I1420</f>
        <v>858600.95800727198</v>
      </c>
      <c r="O1420" s="1">
        <f>SUM(K$2:K1420)/$G$3</f>
        <v>0.1802416189086464</v>
      </c>
      <c r="P1420" s="1">
        <f>SUM(L$2:L1420)/$G$3</f>
        <v>0.19492741383261658</v>
      </c>
      <c r="Q1420" s="1">
        <f t="shared" si="111"/>
        <v>180.24161890864639</v>
      </c>
      <c r="R1420" s="1">
        <f t="shared" si="112"/>
        <v>194.92741383261659</v>
      </c>
    </row>
    <row r="1421" spans="1:18" x14ac:dyDescent="0.35">
      <c r="A1421">
        <v>9.9444555332654296</v>
      </c>
      <c r="B1421">
        <v>1.5402028077261201</v>
      </c>
      <c r="C1421">
        <v>1.8393862158160501</v>
      </c>
      <c r="I1421" s="1">
        <f t="shared" si="113"/>
        <v>859200.95807413314</v>
      </c>
      <c r="J1421">
        <f t="shared" si="114"/>
        <v>600.00006686116103</v>
      </c>
      <c r="K1421" s="1">
        <f t="shared" si="110"/>
        <v>4.3433724017924744</v>
      </c>
      <c r="L1421" s="1">
        <f t="shared" si="110"/>
        <v>5.1870697066237019</v>
      </c>
      <c r="N1421">
        <f>I1421</f>
        <v>859200.95807413314</v>
      </c>
      <c r="O1421" s="1">
        <f>SUM(K$2:K1421)/$G$3</f>
        <v>0.18028663494639105</v>
      </c>
      <c r="P1421" s="1">
        <f>SUM(L$2:L1421)/$G$3</f>
        <v>0.19498117420683664</v>
      </c>
      <c r="Q1421" s="1">
        <f t="shared" si="111"/>
        <v>180.28663494639105</v>
      </c>
      <c r="R1421" s="1">
        <f t="shared" si="112"/>
        <v>194.98117420683664</v>
      </c>
    </row>
    <row r="1422" spans="1:18" x14ac:dyDescent="0.35">
      <c r="A1422">
        <v>9.9513999784837406</v>
      </c>
      <c r="B1422">
        <v>1.54088241720466</v>
      </c>
      <c r="C1422">
        <v>1.8392550256068301</v>
      </c>
      <c r="I1422" s="1">
        <f t="shared" si="113"/>
        <v>859800.95814099524</v>
      </c>
      <c r="J1422">
        <f t="shared" si="114"/>
        <v>600.00006686209235</v>
      </c>
      <c r="K1422" s="1">
        <f t="shared" si="110"/>
        <v>4.3452889007422675</v>
      </c>
      <c r="L1422" s="1">
        <f t="shared" si="110"/>
        <v>5.1866997502005256</v>
      </c>
      <c r="N1422">
        <f>I1422</f>
        <v>859800.95814099524</v>
      </c>
      <c r="O1422" s="1">
        <f>SUM(K$2:K1422)/$G$3</f>
        <v>0.18033167084731599</v>
      </c>
      <c r="P1422" s="1">
        <f>SUM(L$2:L1422)/$G$3</f>
        <v>0.19503493074671538</v>
      </c>
      <c r="Q1422" s="1">
        <f t="shared" si="111"/>
        <v>180.33167084731599</v>
      </c>
      <c r="R1422" s="1">
        <f t="shared" si="112"/>
        <v>195.03493074671539</v>
      </c>
    </row>
    <row r="1423" spans="1:18" x14ac:dyDescent="0.35">
      <c r="A1423">
        <v>9.9583444237020409</v>
      </c>
      <c r="B1423">
        <v>1.5411652035908601</v>
      </c>
      <c r="C1423">
        <v>1.8385170625626299</v>
      </c>
      <c r="I1423" s="1">
        <f t="shared" si="113"/>
        <v>860400.95820785628</v>
      </c>
      <c r="J1423">
        <f t="shared" si="114"/>
        <v>600.00006686104462</v>
      </c>
      <c r="K1423" s="1">
        <f t="shared" si="110"/>
        <v>4.3460863584326281</v>
      </c>
      <c r="L1423" s="1">
        <f t="shared" si="110"/>
        <v>5.1846186941749215</v>
      </c>
      <c r="N1423">
        <f>I1423</f>
        <v>860400.95820785628</v>
      </c>
      <c r="O1423" s="1">
        <f>SUM(K$2:K1423)/$G$3</f>
        <v>0.18037671501333594</v>
      </c>
      <c r="P1423" s="1">
        <f>SUM(L$2:L1423)/$G$3</f>
        <v>0.19508866571789407</v>
      </c>
      <c r="Q1423" s="1">
        <f t="shared" si="111"/>
        <v>180.37671501333594</v>
      </c>
      <c r="R1423" s="1">
        <f t="shared" si="112"/>
        <v>195.08866571789406</v>
      </c>
    </row>
    <row r="1424" spans="1:18" x14ac:dyDescent="0.35">
      <c r="A1424">
        <v>9.96528886892035</v>
      </c>
      <c r="B1424">
        <v>1.5411824150586</v>
      </c>
      <c r="C1424">
        <v>1.83861781389778</v>
      </c>
      <c r="I1424" s="1">
        <f t="shared" si="113"/>
        <v>861000.95827471826</v>
      </c>
      <c r="J1424">
        <f t="shared" si="114"/>
        <v>600.00006686197594</v>
      </c>
      <c r="K1424" s="1">
        <f t="shared" si="110"/>
        <v>4.346134894783809</v>
      </c>
      <c r="L1424" s="1">
        <f t="shared" si="110"/>
        <v>5.1849028129797547</v>
      </c>
      <c r="N1424">
        <f>I1424</f>
        <v>861000.95827471826</v>
      </c>
      <c r="O1424" s="1">
        <f>SUM(K$2:K1424)/$G$3</f>
        <v>0.1804217596824014</v>
      </c>
      <c r="P1424" s="1">
        <f>SUM(L$2:L1424)/$G$3</f>
        <v>0.19514240363376681</v>
      </c>
      <c r="Q1424" s="1">
        <f t="shared" si="111"/>
        <v>180.42175968240139</v>
      </c>
      <c r="R1424" s="1">
        <f t="shared" si="112"/>
        <v>195.1424036337668</v>
      </c>
    </row>
    <row r="1425" spans="1:18" x14ac:dyDescent="0.35">
      <c r="A1425">
        <v>9.9722333141386503</v>
      </c>
      <c r="B1425">
        <v>1.54272687618883</v>
      </c>
      <c r="C1425">
        <v>1.8378599531883</v>
      </c>
      <c r="I1425" s="1">
        <f t="shared" si="113"/>
        <v>861600.95834157942</v>
      </c>
      <c r="J1425">
        <f t="shared" si="114"/>
        <v>600.00006686116103</v>
      </c>
      <c r="K1425" s="1">
        <f t="shared" si="110"/>
        <v>4.3504902756504977</v>
      </c>
      <c r="L1425" s="1">
        <f t="shared" si="110"/>
        <v>5.1827656455338227</v>
      </c>
      <c r="N1425">
        <f>I1425</f>
        <v>861600.95834157942</v>
      </c>
      <c r="O1425" s="1">
        <f>SUM(K$2:K1425)/$G$3</f>
        <v>0.18046684949196404</v>
      </c>
      <c r="P1425" s="1">
        <f>SUM(L$2:L1425)/$G$3</f>
        <v>0.19519611939938358</v>
      </c>
      <c r="Q1425" s="1">
        <f t="shared" si="111"/>
        <v>180.46684949196404</v>
      </c>
      <c r="R1425" s="1">
        <f t="shared" si="112"/>
        <v>195.19611939938358</v>
      </c>
    </row>
    <row r="1426" spans="1:18" x14ac:dyDescent="0.35">
      <c r="A1426">
        <v>9.9791777593569595</v>
      </c>
      <c r="B1426">
        <v>1.5428904560125001</v>
      </c>
      <c r="C1426">
        <v>1.8373554076704099</v>
      </c>
      <c r="I1426" s="1">
        <f t="shared" si="113"/>
        <v>862200.95840844128</v>
      </c>
      <c r="J1426">
        <f t="shared" si="114"/>
        <v>600.00006686185952</v>
      </c>
      <c r="K1426" s="1">
        <f t="shared" si="110"/>
        <v>4.3509515708097171</v>
      </c>
      <c r="L1426" s="1">
        <f t="shared" si="110"/>
        <v>5.1813428270208526</v>
      </c>
      <c r="N1426">
        <f>I1426</f>
        <v>862200.95840844128</v>
      </c>
      <c r="O1426" s="1">
        <f>SUM(K$2:K1426)/$G$3</f>
        <v>0.18051194408253055</v>
      </c>
      <c r="P1426" s="1">
        <f>SUM(L$2:L1426)/$G$3</f>
        <v>0.19524982041847486</v>
      </c>
      <c r="Q1426" s="1">
        <f t="shared" si="111"/>
        <v>180.51194408253053</v>
      </c>
      <c r="R1426" s="1">
        <f t="shared" si="112"/>
        <v>195.24982041847485</v>
      </c>
    </row>
    <row r="1427" spans="1:18" x14ac:dyDescent="0.35">
      <c r="A1427">
        <v>9.9861222045752598</v>
      </c>
      <c r="B1427">
        <v>1.5430828650958801</v>
      </c>
      <c r="C1427">
        <v>1.83656667207976</v>
      </c>
      <c r="I1427" s="1">
        <f t="shared" si="113"/>
        <v>862800.95847530244</v>
      </c>
      <c r="J1427">
        <f t="shared" si="114"/>
        <v>600.00006686116103</v>
      </c>
      <c r="K1427" s="1">
        <f t="shared" ref="K1427:L1490" si="115">B1427*$J1427*$G$2</f>
        <v>4.3514941644802478</v>
      </c>
      <c r="L1427" s="1">
        <f t="shared" si="115"/>
        <v>5.1791185924013297</v>
      </c>
      <c r="N1427">
        <f>I1427</f>
        <v>862800.95847530244</v>
      </c>
      <c r="O1427" s="1">
        <f>SUM(K$2:K1427)/$G$3</f>
        <v>0.18055704429670352</v>
      </c>
      <c r="P1427" s="1">
        <f>SUM(L$2:L1427)/$G$3</f>
        <v>0.19530349838491939</v>
      </c>
      <c r="Q1427" s="1">
        <f t="shared" si="111"/>
        <v>180.55704429670351</v>
      </c>
      <c r="R1427" s="1">
        <f t="shared" si="112"/>
        <v>195.30349838491941</v>
      </c>
    </row>
    <row r="1428" spans="1:18" x14ac:dyDescent="0.35">
      <c r="A1428">
        <v>9.9930666497935601</v>
      </c>
      <c r="B1428">
        <v>1.5421071401064601</v>
      </c>
      <c r="C1428">
        <v>1.8365581107362601</v>
      </c>
      <c r="I1428" s="1">
        <f t="shared" si="113"/>
        <v>863400.9585421636</v>
      </c>
      <c r="J1428">
        <f t="shared" si="114"/>
        <v>600.00006686116103</v>
      </c>
      <c r="K1428" s="1">
        <f t="shared" si="115"/>
        <v>4.3487426197034651</v>
      </c>
      <c r="L1428" s="1">
        <f t="shared" si="115"/>
        <v>5.1790944494099689</v>
      </c>
      <c r="N1428">
        <f>I1428</f>
        <v>863400.9585421636</v>
      </c>
      <c r="O1428" s="1">
        <f>SUM(K$2:K1428)/$G$3</f>
        <v>0.18060211599302628</v>
      </c>
      <c r="P1428" s="1">
        <f>SUM(L$2:L1428)/$G$3</f>
        <v>0.19535717610113859</v>
      </c>
      <c r="Q1428" s="1">
        <f t="shared" si="111"/>
        <v>180.60211599302627</v>
      </c>
      <c r="R1428" s="1">
        <f t="shared" si="112"/>
        <v>195.35717610113858</v>
      </c>
    </row>
    <row r="1429" spans="1:18" x14ac:dyDescent="0.35">
      <c r="A1429">
        <v>10.0000110950118</v>
      </c>
      <c r="B1429">
        <v>1.5415925017679599</v>
      </c>
      <c r="C1429">
        <v>1.83630949701609</v>
      </c>
      <c r="I1429" s="1">
        <f t="shared" si="113"/>
        <v>864000.95860901952</v>
      </c>
      <c r="J1429">
        <f t="shared" si="114"/>
        <v>600.00006685592234</v>
      </c>
      <c r="K1429" s="1">
        <f t="shared" si="115"/>
        <v>4.347291339389213</v>
      </c>
      <c r="L1429" s="1">
        <f t="shared" si="115"/>
        <v>5.1783933585957502</v>
      </c>
      <c r="N1429">
        <f>I1429</f>
        <v>864000.95860901952</v>
      </c>
      <c r="O1429" s="1">
        <f>SUM(K$2:K1429)/$G$3</f>
        <v>0.18064717264783675</v>
      </c>
      <c r="P1429" s="1">
        <f>SUM(L$2:L1429)/$G$3</f>
        <v>0.19541084655103855</v>
      </c>
      <c r="Q1429" s="1">
        <f t="shared" si="111"/>
        <v>180.64717264783675</v>
      </c>
      <c r="R1429" s="1">
        <f t="shared" si="112"/>
        <v>195.41084655103856</v>
      </c>
    </row>
    <row r="1430" spans="1:18" x14ac:dyDescent="0.35">
      <c r="A1430">
        <v>10.0069555402301</v>
      </c>
      <c r="B1430">
        <v>1.54180675564901</v>
      </c>
      <c r="C1430">
        <v>1.83515851728863</v>
      </c>
      <c r="I1430" s="1">
        <f t="shared" si="113"/>
        <v>864600.95867588068</v>
      </c>
      <c r="J1430">
        <f t="shared" si="114"/>
        <v>600.00006686116103</v>
      </c>
      <c r="K1430" s="1">
        <f t="shared" si="115"/>
        <v>4.3478955354390605</v>
      </c>
      <c r="L1430" s="1">
        <f t="shared" si="115"/>
        <v>5.1751475954478341</v>
      </c>
      <c r="N1430">
        <f>I1430</f>
        <v>864600.95867588068</v>
      </c>
      <c r="O1430" s="1">
        <f>SUM(K$2:K1430)/$G$3</f>
        <v>0.18069223556471958</v>
      </c>
      <c r="P1430" s="1">
        <f>SUM(L$2:L1430)/$G$3</f>
        <v>0.1954644833608582</v>
      </c>
      <c r="Q1430" s="1">
        <f t="shared" si="111"/>
        <v>180.6922355647196</v>
      </c>
      <c r="R1430" s="1">
        <f t="shared" si="112"/>
        <v>195.4644833608582</v>
      </c>
    </row>
    <row r="1431" spans="1:18" x14ac:dyDescent="0.35">
      <c r="A1431">
        <v>10.013899985448401</v>
      </c>
      <c r="B1431">
        <v>1.54113229406254</v>
      </c>
      <c r="C1431">
        <v>1.83573610770562</v>
      </c>
      <c r="I1431" s="1">
        <f t="shared" si="113"/>
        <v>865200.95874274184</v>
      </c>
      <c r="J1431">
        <f t="shared" si="114"/>
        <v>600.00006686116103</v>
      </c>
      <c r="K1431" s="1">
        <f t="shared" si="115"/>
        <v>4.3459935535532672</v>
      </c>
      <c r="L1431" s="1">
        <f t="shared" si="115"/>
        <v>5.1767764006052515</v>
      </c>
      <c r="N1431">
        <f>I1431</f>
        <v>865200.95874274184</v>
      </c>
      <c r="O1431" s="1">
        <f>SUM(K$2:K1431)/$G$3</f>
        <v>0.18073727876888143</v>
      </c>
      <c r="P1431" s="1">
        <f>SUM(L$2:L1431)/$G$3</f>
        <v>0.1955181370521118</v>
      </c>
      <c r="Q1431" s="1">
        <f t="shared" si="111"/>
        <v>180.73727876888142</v>
      </c>
      <c r="R1431" s="1">
        <f t="shared" si="112"/>
        <v>195.5181370521118</v>
      </c>
    </row>
    <row r="1432" spans="1:18" x14ac:dyDescent="0.35">
      <c r="A1432">
        <v>10.020844430666701</v>
      </c>
      <c r="B1432">
        <v>1.5401130581301401</v>
      </c>
      <c r="C1432">
        <v>1.8344735735493001</v>
      </c>
      <c r="I1432" s="1">
        <f t="shared" si="113"/>
        <v>865800.95880960301</v>
      </c>
      <c r="J1432">
        <f t="shared" si="114"/>
        <v>600.00006686116103</v>
      </c>
      <c r="K1432" s="1">
        <f t="shared" si="115"/>
        <v>4.3431193079036072</v>
      </c>
      <c r="L1432" s="1">
        <f t="shared" si="115"/>
        <v>5.1732160538876819</v>
      </c>
      <c r="N1432">
        <f>I1432</f>
        <v>865800.95880960301</v>
      </c>
      <c r="O1432" s="1">
        <f>SUM(K$2:K1432)/$G$3</f>
        <v>0.18078229218348374</v>
      </c>
      <c r="P1432" s="1">
        <f>SUM(L$2:L1432)/$G$3</f>
        <v>0.19557175384284495</v>
      </c>
      <c r="Q1432" s="1">
        <f t="shared" si="111"/>
        <v>180.78229218348375</v>
      </c>
      <c r="R1432" s="1">
        <f t="shared" si="112"/>
        <v>195.57175384284494</v>
      </c>
    </row>
    <row r="1433" spans="1:18" x14ac:dyDescent="0.35">
      <c r="A1433">
        <v>10.027788875884999</v>
      </c>
      <c r="B1433">
        <v>1.53923955802719</v>
      </c>
      <c r="C1433">
        <v>1.8338162848554</v>
      </c>
      <c r="I1433" s="1">
        <f t="shared" si="113"/>
        <v>866400.95887646393</v>
      </c>
      <c r="J1433">
        <f t="shared" si="114"/>
        <v>600.0000668609282</v>
      </c>
      <c r="K1433" s="1">
        <f t="shared" si="115"/>
        <v>4.3406560373371086</v>
      </c>
      <c r="L1433" s="1">
        <f t="shared" si="115"/>
        <v>5.171362499562326</v>
      </c>
      <c r="N1433">
        <f>I1433</f>
        <v>866400.95887646393</v>
      </c>
      <c r="O1433" s="1">
        <f>SUM(K$2:K1433)/$G$3</f>
        <v>0.18082728006799778</v>
      </c>
      <c r="P1433" s="1">
        <f>SUM(L$2:L1433)/$G$3</f>
        <v>0.1956253514227751</v>
      </c>
      <c r="Q1433" s="1">
        <f t="shared" si="111"/>
        <v>180.82728006799778</v>
      </c>
      <c r="R1433" s="1">
        <f t="shared" si="112"/>
        <v>195.62535142277508</v>
      </c>
    </row>
    <row r="1434" spans="1:18" x14ac:dyDescent="0.35">
      <c r="A1434">
        <v>10.0347333211033</v>
      </c>
      <c r="B1434">
        <v>1.5383476332141901</v>
      </c>
      <c r="C1434">
        <v>1.83307776656493</v>
      </c>
      <c r="I1434" s="1">
        <f t="shared" si="113"/>
        <v>867000.95894332509</v>
      </c>
      <c r="J1434">
        <f t="shared" si="114"/>
        <v>600.00006686116103</v>
      </c>
      <c r="K1434" s="1">
        <f t="shared" si="115"/>
        <v>4.3381408090858473</v>
      </c>
      <c r="L1434" s="1">
        <f t="shared" si="115"/>
        <v>5.1692798777531292</v>
      </c>
      <c r="N1434">
        <f>I1434</f>
        <v>867000.95894332509</v>
      </c>
      <c r="O1434" s="1">
        <f>SUM(K$2:K1434)/$G$3</f>
        <v>0.18087224188391826</v>
      </c>
      <c r="P1434" s="1">
        <f>SUM(L$2:L1434)/$G$3</f>
        <v>0.19567892741777695</v>
      </c>
      <c r="Q1434" s="1">
        <f t="shared" si="111"/>
        <v>180.87224188391826</v>
      </c>
      <c r="R1434" s="1">
        <f t="shared" si="112"/>
        <v>195.67892741777695</v>
      </c>
    </row>
    <row r="1435" spans="1:18" x14ac:dyDescent="0.35">
      <c r="A1435">
        <v>10.041677766321699</v>
      </c>
      <c r="B1435">
        <v>1.5376955909074801</v>
      </c>
      <c r="C1435">
        <v>1.83285235376214</v>
      </c>
      <c r="I1435" s="1">
        <f t="shared" si="113"/>
        <v>867600.95901019487</v>
      </c>
      <c r="J1435">
        <f t="shared" si="114"/>
        <v>600.00006686977576</v>
      </c>
      <c r="K1435" s="1">
        <f t="shared" si="115"/>
        <v>4.3363020496382836</v>
      </c>
      <c r="L1435" s="1">
        <f t="shared" si="115"/>
        <v>5.1686442136526365</v>
      </c>
      <c r="N1435">
        <f>I1435</f>
        <v>867600.95901019487</v>
      </c>
      <c r="O1435" s="1">
        <f>SUM(K$2:K1435)/$G$3</f>
        <v>0.18091718464237438</v>
      </c>
      <c r="P1435" s="1">
        <f>SUM(L$2:L1435)/$G$3</f>
        <v>0.19573249682456198</v>
      </c>
      <c r="Q1435" s="1">
        <f t="shared" si="111"/>
        <v>180.91718464237439</v>
      </c>
      <c r="R1435" s="1">
        <f t="shared" si="112"/>
        <v>195.73249682456199</v>
      </c>
    </row>
    <row r="1436" spans="1:18" x14ac:dyDescent="0.35">
      <c r="A1436">
        <v>10.04862221154</v>
      </c>
      <c r="B1436">
        <v>1.5377483459261001</v>
      </c>
      <c r="C1436">
        <v>1.8336021121564201</v>
      </c>
      <c r="I1436" s="1">
        <f t="shared" si="113"/>
        <v>868200.95907705592</v>
      </c>
      <c r="J1436">
        <f t="shared" si="114"/>
        <v>600.00006686104462</v>
      </c>
      <c r="K1436" s="1">
        <f t="shared" si="115"/>
        <v>4.3364508187442681</v>
      </c>
      <c r="L1436" s="1">
        <f t="shared" si="115"/>
        <v>5.1707585324849026</v>
      </c>
      <c r="N1436">
        <f>I1436</f>
        <v>868200.95907705592</v>
      </c>
      <c r="O1436" s="1">
        <f>SUM(K$2:K1436)/$G$3</f>
        <v>0.18096212894271893</v>
      </c>
      <c r="P1436" s="1">
        <f>SUM(L$2:L1436)/$G$3</f>
        <v>0.19578608814479295</v>
      </c>
      <c r="Q1436" s="1">
        <f t="shared" si="111"/>
        <v>180.96212894271892</v>
      </c>
      <c r="R1436" s="1">
        <f t="shared" si="112"/>
        <v>195.78608814479296</v>
      </c>
    </row>
    <row r="1437" spans="1:18" x14ac:dyDescent="0.35">
      <c r="A1437">
        <v>10.0555666567583</v>
      </c>
      <c r="B1437">
        <v>1.5367412510331</v>
      </c>
      <c r="C1437">
        <v>1.8333613502688899</v>
      </c>
      <c r="I1437" s="1">
        <f t="shared" si="113"/>
        <v>868800.95914391708</v>
      </c>
      <c r="J1437">
        <f t="shared" si="114"/>
        <v>600.00006686116103</v>
      </c>
      <c r="K1437" s="1">
        <f t="shared" si="115"/>
        <v>4.3336108108303719</v>
      </c>
      <c r="L1437" s="1">
        <f t="shared" si="115"/>
        <v>5.1700795838874116</v>
      </c>
      <c r="N1437">
        <f>I1437</f>
        <v>868800.95914391708</v>
      </c>
      <c r="O1437" s="1">
        <f>SUM(K$2:K1437)/$G$3</f>
        <v>0.18100704380835433</v>
      </c>
      <c r="P1437" s="1">
        <f>SUM(L$2:L1437)/$G$3</f>
        <v>0.19583967242819333</v>
      </c>
      <c r="Q1437" s="1">
        <f t="shared" si="111"/>
        <v>181.00704380835433</v>
      </c>
      <c r="R1437" s="1">
        <f t="shared" si="112"/>
        <v>195.83967242819332</v>
      </c>
    </row>
    <row r="1438" spans="1:18" x14ac:dyDescent="0.35">
      <c r="A1438">
        <v>10.0625111019766</v>
      </c>
      <c r="B1438">
        <v>1.53415318550261</v>
      </c>
      <c r="C1438">
        <v>1.83243263392294</v>
      </c>
      <c r="I1438" s="1">
        <f t="shared" si="113"/>
        <v>869400.95921077824</v>
      </c>
      <c r="J1438">
        <f t="shared" si="114"/>
        <v>600.00006686116103</v>
      </c>
      <c r="K1438" s="1">
        <f t="shared" si="115"/>
        <v>4.3263124652210978</v>
      </c>
      <c r="L1438" s="1">
        <f t="shared" si="115"/>
        <v>5.1674606034999861</v>
      </c>
      <c r="N1438">
        <f>I1438</f>
        <v>869400.95921077824</v>
      </c>
      <c r="O1438" s="1">
        <f>SUM(K$2:K1438)/$G$3</f>
        <v>0.18105188303170741</v>
      </c>
      <c r="P1438" s="1">
        <f>SUM(L$2:L1438)/$G$3</f>
        <v>0.19589322956768135</v>
      </c>
      <c r="Q1438" s="1">
        <f t="shared" si="111"/>
        <v>181.0518830317074</v>
      </c>
      <c r="R1438" s="1">
        <f t="shared" si="112"/>
        <v>195.89322956768135</v>
      </c>
    </row>
    <row r="1439" spans="1:18" x14ac:dyDescent="0.35">
      <c r="A1439">
        <v>10.069455547194901</v>
      </c>
      <c r="B1439">
        <v>1.53299735947826</v>
      </c>
      <c r="C1439">
        <v>1.83159350860856</v>
      </c>
      <c r="I1439" s="1">
        <f t="shared" si="113"/>
        <v>870000.9592776394</v>
      </c>
      <c r="J1439">
        <f t="shared" si="114"/>
        <v>600.00006686116103</v>
      </c>
      <c r="K1439" s="1">
        <f t="shared" si="115"/>
        <v>4.3230530354692149</v>
      </c>
      <c r="L1439" s="1">
        <f t="shared" si="115"/>
        <v>5.1650942698497415</v>
      </c>
      <c r="N1439">
        <f>I1439</f>
        <v>870000.9592776394</v>
      </c>
      <c r="O1439" s="1">
        <f>SUM(K$2:K1439)/$G$3</f>
        <v>0.18109668847333532</v>
      </c>
      <c r="P1439" s="1">
        <f>SUM(L$2:L1439)/$G$3</f>
        <v>0.19594676218176491</v>
      </c>
      <c r="Q1439" s="1">
        <f t="shared" si="111"/>
        <v>181.09668847333532</v>
      </c>
      <c r="R1439" s="1">
        <f t="shared" si="112"/>
        <v>195.94676218176491</v>
      </c>
    </row>
    <row r="1440" spans="1:18" x14ac:dyDescent="0.35">
      <c r="A1440">
        <v>10.076399992413201</v>
      </c>
      <c r="B1440">
        <v>1.5319255589437899</v>
      </c>
      <c r="C1440">
        <v>1.83133498901628</v>
      </c>
      <c r="I1440" s="1">
        <f t="shared" si="113"/>
        <v>870600.95934450056</v>
      </c>
      <c r="J1440">
        <f t="shared" si="114"/>
        <v>600.00006686116103</v>
      </c>
      <c r="K1440" s="1">
        <f t="shared" si="115"/>
        <v>4.3200305576251985</v>
      </c>
      <c r="L1440" s="1">
        <f t="shared" si="115"/>
        <v>5.1643652445182724</v>
      </c>
      <c r="N1440">
        <f>I1440</f>
        <v>870600.95934450056</v>
      </c>
      <c r="O1440" s="1">
        <f>SUM(K$2:K1440)/$G$3</f>
        <v>0.18114146258908001</v>
      </c>
      <c r="P1440" s="1">
        <f>SUM(L$2:L1440)/$G$3</f>
        <v>0.19600028724000731</v>
      </c>
      <c r="Q1440" s="1">
        <f t="shared" si="111"/>
        <v>181.14146258908002</v>
      </c>
      <c r="R1440" s="1">
        <f t="shared" si="112"/>
        <v>196.00028724000731</v>
      </c>
    </row>
    <row r="1441" spans="1:18" x14ac:dyDescent="0.35">
      <c r="A1441">
        <v>10.083342706151999</v>
      </c>
      <c r="B1441">
        <v>1.5314732788261201</v>
      </c>
      <c r="C1441">
        <v>1.83141397845958</v>
      </c>
      <c r="I1441" s="1">
        <f t="shared" si="113"/>
        <v>871200.80981153273</v>
      </c>
      <c r="J1441">
        <f t="shared" si="114"/>
        <v>599.85046703217085</v>
      </c>
      <c r="K1441" s="1">
        <f t="shared" si="115"/>
        <v>4.3176783192903496</v>
      </c>
      <c r="L1441" s="1">
        <f t="shared" si="115"/>
        <v>5.1633002924486586</v>
      </c>
      <c r="N1441">
        <f>I1441</f>
        <v>871200.80981153273</v>
      </c>
      <c r="O1441" s="1">
        <f>SUM(K$2:K1441)/$G$3</f>
        <v>0.18118621232550836</v>
      </c>
      <c r="P1441" s="1">
        <f>SUM(L$2:L1441)/$G$3</f>
        <v>0.19605380126076133</v>
      </c>
      <c r="Q1441" s="1">
        <f t="shared" si="111"/>
        <v>181.18621232550836</v>
      </c>
      <c r="R1441" s="1">
        <f t="shared" si="112"/>
        <v>196.05380126076133</v>
      </c>
    </row>
    <row r="1442" spans="1:18" x14ac:dyDescent="0.35">
      <c r="A1442">
        <v>10.0902871606296</v>
      </c>
      <c r="B1442">
        <v>1.5305502912347999</v>
      </c>
      <c r="C1442">
        <v>1.83126550637979</v>
      </c>
      <c r="I1442" s="1">
        <f t="shared" si="113"/>
        <v>871800.81067839742</v>
      </c>
      <c r="J1442">
        <f t="shared" si="114"/>
        <v>600.00086686469149</v>
      </c>
      <c r="K1442" s="1">
        <f t="shared" si="115"/>
        <v>4.3161580571481641</v>
      </c>
      <c r="L1442" s="1">
        <f t="shared" si="115"/>
        <v>5.1641761890502265</v>
      </c>
      <c r="N1442">
        <f>I1442</f>
        <v>871800.81067839742</v>
      </c>
      <c r="O1442" s="1">
        <f>SUM(K$2:K1442)/$G$3</f>
        <v>0.18123094630547568</v>
      </c>
      <c r="P1442" s="1">
        <f>SUM(L$2:L1442)/$G$3</f>
        <v>0.19610732435957512</v>
      </c>
      <c r="Q1442" s="1">
        <f t="shared" si="111"/>
        <v>181.23094630547567</v>
      </c>
      <c r="R1442" s="1">
        <f t="shared" si="112"/>
        <v>196.10732435957513</v>
      </c>
    </row>
    <row r="1443" spans="1:18" x14ac:dyDescent="0.35">
      <c r="A1443">
        <v>10.097231605847901</v>
      </c>
      <c r="B1443">
        <v>1.52937497507147</v>
      </c>
      <c r="C1443">
        <v>1.83058332785509</v>
      </c>
      <c r="I1443" s="1">
        <f t="shared" si="113"/>
        <v>872400.81074525858</v>
      </c>
      <c r="J1443">
        <f t="shared" si="114"/>
        <v>600.00006686116103</v>
      </c>
      <c r="K1443" s="1">
        <f t="shared" si="115"/>
        <v>4.3128379103037426</v>
      </c>
      <c r="L1443" s="1">
        <f t="shared" si="115"/>
        <v>5.1622455598075092</v>
      </c>
      <c r="N1443">
        <f>I1443</f>
        <v>872400.81074525858</v>
      </c>
      <c r="O1443" s="1">
        <f>SUM(K$2:K1443)/$G$3</f>
        <v>0.18127564587442738</v>
      </c>
      <c r="P1443" s="1">
        <f>SUM(L$2:L1443)/$G$3</f>
        <v>0.19616082744875799</v>
      </c>
      <c r="Q1443" s="1">
        <f t="shared" si="111"/>
        <v>181.27564587442737</v>
      </c>
      <c r="R1443" s="1">
        <f t="shared" si="112"/>
        <v>196.160827448758</v>
      </c>
    </row>
    <row r="1444" spans="1:18" x14ac:dyDescent="0.35">
      <c r="A1444">
        <v>10.104176051066201</v>
      </c>
      <c r="B1444">
        <v>1.52771653429483</v>
      </c>
      <c r="C1444">
        <v>1.82914587095161</v>
      </c>
      <c r="I1444" s="1">
        <f t="shared" si="113"/>
        <v>873000.81081211974</v>
      </c>
      <c r="J1444">
        <f t="shared" si="114"/>
        <v>600.00006686116103</v>
      </c>
      <c r="K1444" s="1">
        <f t="shared" si="115"/>
        <v>4.3081611067924568</v>
      </c>
      <c r="L1444" s="1">
        <f t="shared" si="115"/>
        <v>5.1581919308879787</v>
      </c>
      <c r="N1444">
        <f>I1444</f>
        <v>873000.81081211974</v>
      </c>
      <c r="O1444" s="1">
        <f>SUM(K$2:K1444)/$G$3</f>
        <v>0.18132029697155949</v>
      </c>
      <c r="P1444" s="1">
        <f>SUM(L$2:L1444)/$G$3</f>
        <v>0.196214288524893</v>
      </c>
      <c r="Q1444" s="1">
        <f t="shared" si="111"/>
        <v>181.32029697155949</v>
      </c>
      <c r="R1444" s="1">
        <f t="shared" si="112"/>
        <v>196.21428852489299</v>
      </c>
    </row>
    <row r="1445" spans="1:18" x14ac:dyDescent="0.35">
      <c r="A1445">
        <v>10.111120496284499</v>
      </c>
      <c r="B1445">
        <v>1.52642925033985</v>
      </c>
      <c r="C1445">
        <v>1.8289699940925701</v>
      </c>
      <c r="I1445" s="1">
        <f t="shared" si="113"/>
        <v>873600.81087898079</v>
      </c>
      <c r="J1445">
        <f t="shared" si="114"/>
        <v>600.00006686104462</v>
      </c>
      <c r="K1445" s="1">
        <f t="shared" si="115"/>
        <v>4.3045309656340516</v>
      </c>
      <c r="L1445" s="1">
        <f t="shared" si="115"/>
        <v>5.1576959580892163</v>
      </c>
      <c r="N1445">
        <f>I1445</f>
        <v>873600.81087898079</v>
      </c>
      <c r="O1445" s="1">
        <f>SUM(K$2:K1445)/$G$3</f>
        <v>0.18136491044480024</v>
      </c>
      <c r="P1445" s="1">
        <f>SUM(L$2:L1445)/$G$3</f>
        <v>0.19626774446061451</v>
      </c>
      <c r="Q1445" s="1">
        <f t="shared" si="111"/>
        <v>181.36491044480024</v>
      </c>
      <c r="R1445" s="1">
        <f t="shared" si="112"/>
        <v>196.26774446061452</v>
      </c>
    </row>
    <row r="1446" spans="1:18" x14ac:dyDescent="0.35">
      <c r="A1446">
        <v>10.1180649415028</v>
      </c>
      <c r="B1446">
        <v>1.5256980334633401</v>
      </c>
      <c r="C1446">
        <v>1.8288059543372499</v>
      </c>
      <c r="I1446" s="1">
        <f t="shared" si="113"/>
        <v>874200.81094584195</v>
      </c>
      <c r="J1446">
        <f t="shared" si="114"/>
        <v>600.00006686116103</v>
      </c>
      <c r="K1446" s="1">
        <f t="shared" si="115"/>
        <v>4.3024689338133459</v>
      </c>
      <c r="L1446" s="1">
        <f t="shared" si="115"/>
        <v>5.1572333659286649</v>
      </c>
      <c r="N1446">
        <f>I1446</f>
        <v>874200.81094584195</v>
      </c>
      <c r="O1446" s="1">
        <f>SUM(K$2:K1446)/$G$3</f>
        <v>0.18140950254651361</v>
      </c>
      <c r="P1446" s="1">
        <f>SUM(L$2:L1446)/$G$3</f>
        <v>0.19632119560188963</v>
      </c>
      <c r="Q1446" s="1">
        <f t="shared" si="111"/>
        <v>181.40950254651361</v>
      </c>
      <c r="R1446" s="1">
        <f t="shared" si="112"/>
        <v>196.32119560188963</v>
      </c>
    </row>
    <row r="1447" spans="1:18" x14ac:dyDescent="0.35">
      <c r="A1447">
        <v>10.1250093867211</v>
      </c>
      <c r="B1447">
        <v>1.5243775298417901</v>
      </c>
      <c r="C1447">
        <v>1.8292764810547899</v>
      </c>
      <c r="I1447" s="1">
        <f t="shared" si="113"/>
        <v>874800.81101270299</v>
      </c>
      <c r="J1447">
        <f t="shared" si="114"/>
        <v>600.00006686104462</v>
      </c>
      <c r="K1447" s="1">
        <f t="shared" si="115"/>
        <v>4.2987451131847765</v>
      </c>
      <c r="L1447" s="1">
        <f t="shared" si="115"/>
        <v>5.1585602514189892</v>
      </c>
      <c r="N1447">
        <f>I1447</f>
        <v>874800.81101270299</v>
      </c>
      <c r="O1447" s="1">
        <f>SUM(K$2:K1447)/$G$3</f>
        <v>0.18145405605341297</v>
      </c>
      <c r="P1447" s="1">
        <f>SUM(L$2:L1447)/$G$3</f>
        <v>0.19637466049541111</v>
      </c>
      <c r="Q1447" s="1">
        <f t="shared" si="111"/>
        <v>181.45405605341298</v>
      </c>
      <c r="R1447" s="1">
        <f t="shared" si="112"/>
        <v>196.37466049541112</v>
      </c>
    </row>
    <row r="1448" spans="1:18" x14ac:dyDescent="0.35">
      <c r="A1448">
        <v>10.1319538319394</v>
      </c>
      <c r="B1448">
        <v>1.5224182490018401</v>
      </c>
      <c r="C1448">
        <v>1.82801463211524</v>
      </c>
      <c r="I1448" s="1">
        <f t="shared" si="113"/>
        <v>875400.81107956416</v>
      </c>
      <c r="J1448">
        <f t="shared" si="114"/>
        <v>600.00006686116103</v>
      </c>
      <c r="K1448" s="1">
        <f t="shared" si="115"/>
        <v>4.2932199406012517</v>
      </c>
      <c r="L1448" s="1">
        <f t="shared" si="115"/>
        <v>5.1550018370139261</v>
      </c>
      <c r="N1448">
        <f>I1448</f>
        <v>875400.81107956416</v>
      </c>
      <c r="O1448" s="1">
        <f>SUM(K$2:K1448)/$G$3</f>
        <v>0.18149855229573666</v>
      </c>
      <c r="P1448" s="1">
        <f>SUM(L$2:L1448)/$G$3</f>
        <v>0.19642808850843918</v>
      </c>
      <c r="Q1448" s="1">
        <f t="shared" si="111"/>
        <v>181.49855229573666</v>
      </c>
      <c r="R1448" s="1">
        <f t="shared" si="112"/>
        <v>196.42808850843917</v>
      </c>
    </row>
    <row r="1449" spans="1:18" x14ac:dyDescent="0.35">
      <c r="A1449">
        <v>10.138898277157701</v>
      </c>
      <c r="B1449">
        <v>1.52066104227938</v>
      </c>
      <c r="C1449">
        <v>1.8276718853842699</v>
      </c>
      <c r="I1449" s="1">
        <f t="shared" si="113"/>
        <v>876000.81114642532</v>
      </c>
      <c r="J1449">
        <f t="shared" si="114"/>
        <v>600.00006686116103</v>
      </c>
      <c r="K1449" s="1">
        <f t="shared" si="115"/>
        <v>4.2882646170917171</v>
      </c>
      <c r="L1449" s="1">
        <f t="shared" si="115"/>
        <v>5.1540352911248837</v>
      </c>
      <c r="N1449">
        <f>I1449</f>
        <v>876000.81114642532</v>
      </c>
      <c r="O1449" s="1">
        <f>SUM(K$2:K1449)/$G$3</f>
        <v>0.18154299717957448</v>
      </c>
      <c r="P1449" s="1">
        <f>SUM(L$2:L1449)/$G$3</f>
        <v>0.19648150650389054</v>
      </c>
      <c r="Q1449" s="1">
        <f t="shared" si="111"/>
        <v>181.54299717957448</v>
      </c>
      <c r="R1449" s="1">
        <f t="shared" si="112"/>
        <v>196.48150650389053</v>
      </c>
    </row>
    <row r="1450" spans="1:18" x14ac:dyDescent="0.35">
      <c r="A1450">
        <v>10.145842722376001</v>
      </c>
      <c r="B1450">
        <v>1.51846387260236</v>
      </c>
      <c r="C1450">
        <v>1.8270090125940099</v>
      </c>
      <c r="I1450" s="1">
        <f t="shared" si="113"/>
        <v>876600.81121328648</v>
      </c>
      <c r="J1450">
        <f t="shared" si="114"/>
        <v>600.00006686116103</v>
      </c>
      <c r="K1450" s="1">
        <f t="shared" si="115"/>
        <v>4.2820685979120654</v>
      </c>
      <c r="L1450" s="1">
        <f t="shared" si="115"/>
        <v>5.1521659896480436</v>
      </c>
      <c r="N1450">
        <f>I1450</f>
        <v>876600.81121328648</v>
      </c>
      <c r="O1450" s="1">
        <f>SUM(K$2:K1450)/$G$3</f>
        <v>0.18158737784597767</v>
      </c>
      <c r="P1450" s="1">
        <f>SUM(L$2:L1450)/$G$3</f>
        <v>0.19653490512533067</v>
      </c>
      <c r="Q1450" s="1">
        <f t="shared" si="111"/>
        <v>181.58737784597767</v>
      </c>
      <c r="R1450" s="1">
        <f t="shared" si="112"/>
        <v>196.53490512533068</v>
      </c>
    </row>
    <row r="1451" spans="1:18" x14ac:dyDescent="0.35">
      <c r="A1451">
        <v>10.152787167594299</v>
      </c>
      <c r="B1451">
        <v>1.5173858773520099</v>
      </c>
      <c r="C1451">
        <v>1.8269895544720101</v>
      </c>
      <c r="I1451" s="1">
        <f t="shared" si="113"/>
        <v>877200.81128014741</v>
      </c>
      <c r="J1451">
        <f t="shared" si="114"/>
        <v>600.0000668609282</v>
      </c>
      <c r="K1451" s="1">
        <f t="shared" si="115"/>
        <v>4.2790286509656603</v>
      </c>
      <c r="L1451" s="1">
        <f t="shared" si="115"/>
        <v>5.1521111177358909</v>
      </c>
      <c r="N1451">
        <f>I1451</f>
        <v>877200.81128014741</v>
      </c>
      <c r="O1451" s="1">
        <f>SUM(K$2:K1451)/$G$3</f>
        <v>0.18163172700544253</v>
      </c>
      <c r="P1451" s="1">
        <f>SUM(L$2:L1451)/$G$3</f>
        <v>0.1965883031780615</v>
      </c>
      <c r="Q1451" s="1">
        <f t="shared" si="111"/>
        <v>181.63172700544254</v>
      </c>
      <c r="R1451" s="1">
        <f t="shared" si="112"/>
        <v>196.58830317806149</v>
      </c>
    </row>
    <row r="1452" spans="1:18" x14ac:dyDescent="0.35">
      <c r="A1452">
        <v>10.1597316128126</v>
      </c>
      <c r="B1452">
        <v>1.5162251635711099</v>
      </c>
      <c r="C1452">
        <v>1.8268126603313399</v>
      </c>
      <c r="I1452" s="1">
        <f t="shared" si="113"/>
        <v>877800.81134700857</v>
      </c>
      <c r="J1452">
        <f t="shared" si="114"/>
        <v>600.00006686116103</v>
      </c>
      <c r="K1452" s="1">
        <f t="shared" si="115"/>
        <v>4.2757554377404317</v>
      </c>
      <c r="L1452" s="1">
        <f t="shared" si="115"/>
        <v>5.1516122762056114</v>
      </c>
      <c r="N1452">
        <f>I1452</f>
        <v>877800.81134700857</v>
      </c>
      <c r="O1452" s="1">
        <f>SUM(K$2:K1452)/$G$3</f>
        <v>0.1816760422403261</v>
      </c>
      <c r="P1452" s="1">
        <f>SUM(L$2:L1452)/$G$3</f>
        <v>0.19664169606064641</v>
      </c>
      <c r="Q1452" s="1">
        <f t="shared" si="111"/>
        <v>181.6760422403261</v>
      </c>
      <c r="R1452" s="1">
        <f t="shared" si="112"/>
        <v>196.64169606064641</v>
      </c>
    </row>
    <row r="1453" spans="1:18" x14ac:dyDescent="0.35">
      <c r="A1453">
        <v>10.1666760580309</v>
      </c>
      <c r="B1453">
        <v>1.51539591833146</v>
      </c>
      <c r="C1453">
        <v>1.8271559192920499</v>
      </c>
      <c r="I1453" s="1">
        <f t="shared" si="113"/>
        <v>878400.81141386973</v>
      </c>
      <c r="J1453">
        <f t="shared" si="114"/>
        <v>600.00006686116103</v>
      </c>
      <c r="K1453" s="1">
        <f t="shared" si="115"/>
        <v>4.2734169659040306</v>
      </c>
      <c r="L1453" s="1">
        <f t="shared" si="115"/>
        <v>5.1525802665826825</v>
      </c>
      <c r="N1453">
        <f>I1453</f>
        <v>878400.81141386973</v>
      </c>
      <c r="O1453" s="1">
        <f>SUM(K$2:K1453)/$G$3</f>
        <v>0.18172033323857356</v>
      </c>
      <c r="P1453" s="1">
        <f>SUM(L$2:L1453)/$G$3</f>
        <v>0.19669509897577914</v>
      </c>
      <c r="Q1453" s="1">
        <f t="shared" si="111"/>
        <v>181.72033323857357</v>
      </c>
      <c r="R1453" s="1">
        <f t="shared" si="112"/>
        <v>196.69509897577913</v>
      </c>
    </row>
    <row r="1454" spans="1:18" x14ac:dyDescent="0.35">
      <c r="A1454">
        <v>10.1736205032493</v>
      </c>
      <c r="B1454">
        <v>1.5135901485961301</v>
      </c>
      <c r="C1454">
        <v>1.82748867544297</v>
      </c>
      <c r="I1454" s="1">
        <f t="shared" si="113"/>
        <v>879000.8114807395</v>
      </c>
      <c r="J1454">
        <f t="shared" si="114"/>
        <v>600.00006686977576</v>
      </c>
      <c r="K1454" s="1">
        <f t="shared" si="115"/>
        <v>4.2683246947442264</v>
      </c>
      <c r="L1454" s="1">
        <f t="shared" si="115"/>
        <v>5.1535186391068377</v>
      </c>
      <c r="N1454">
        <f>I1454</f>
        <v>879000.8114807395</v>
      </c>
      <c r="O1454" s="1">
        <f>SUM(K$2:K1454)/$G$3</f>
        <v>0.18176457145896788</v>
      </c>
      <c r="P1454" s="1">
        <f>SUM(L$2:L1454)/$G$3</f>
        <v>0.19674851161649126</v>
      </c>
      <c r="Q1454" s="1">
        <f t="shared" si="111"/>
        <v>181.76457145896788</v>
      </c>
      <c r="R1454" s="1">
        <f t="shared" si="112"/>
        <v>196.74851161649127</v>
      </c>
    </row>
    <row r="1455" spans="1:18" x14ac:dyDescent="0.35">
      <c r="A1455">
        <v>10.1805649484676</v>
      </c>
      <c r="B1455">
        <v>1.5119507860699599</v>
      </c>
      <c r="C1455">
        <v>1.82748721467007</v>
      </c>
      <c r="I1455" s="1">
        <f t="shared" si="113"/>
        <v>879600.81154760066</v>
      </c>
      <c r="J1455">
        <f t="shared" si="114"/>
        <v>600.00006686116103</v>
      </c>
      <c r="K1455" s="1">
        <f t="shared" si="115"/>
        <v>4.2637016918439761</v>
      </c>
      <c r="L1455" s="1">
        <f t="shared" si="115"/>
        <v>5.1535145196528074</v>
      </c>
      <c r="N1455">
        <f>I1455</f>
        <v>879600.81154760066</v>
      </c>
      <c r="O1455" s="1">
        <f>SUM(K$2:K1455)/$G$3</f>
        <v>0.18180876176514857</v>
      </c>
      <c r="P1455" s="1">
        <f>SUM(L$2:L1455)/$G$3</f>
        <v>0.19680192421450809</v>
      </c>
      <c r="Q1455" s="1">
        <f t="shared" si="111"/>
        <v>181.80876176514857</v>
      </c>
      <c r="R1455" s="1">
        <f t="shared" si="112"/>
        <v>196.80192421450809</v>
      </c>
    </row>
    <row r="1456" spans="1:18" x14ac:dyDescent="0.35">
      <c r="A1456">
        <v>10.1875093936859</v>
      </c>
      <c r="B1456">
        <v>1.51000377656064</v>
      </c>
      <c r="C1456">
        <v>1.8268884640068399</v>
      </c>
      <c r="I1456" s="1">
        <f t="shared" si="113"/>
        <v>880200.81161446183</v>
      </c>
      <c r="J1456">
        <f t="shared" si="114"/>
        <v>600.00006686116103</v>
      </c>
      <c r="K1456" s="1">
        <f t="shared" si="115"/>
        <v>4.2582111244158511</v>
      </c>
      <c r="L1456" s="1">
        <f t="shared" si="115"/>
        <v>5.151826042594343</v>
      </c>
      <c r="N1456">
        <f>I1456</f>
        <v>880200.81161446183</v>
      </c>
      <c r="O1456" s="1">
        <f>SUM(K$2:K1456)/$G$3</f>
        <v>0.181852895165412</v>
      </c>
      <c r="P1456" s="1">
        <f>SUM(L$2:L1456)/$G$3</f>
        <v>0.19685531931263314</v>
      </c>
      <c r="Q1456" s="1">
        <f t="shared" si="111"/>
        <v>181.85289516541201</v>
      </c>
      <c r="R1456" s="1">
        <f t="shared" si="112"/>
        <v>196.85531931263316</v>
      </c>
    </row>
    <row r="1457" spans="1:18" x14ac:dyDescent="0.35">
      <c r="A1457">
        <v>10.194453838904201</v>
      </c>
      <c r="B1457">
        <v>1.50822938613166</v>
      </c>
      <c r="C1457">
        <v>1.82669590868601</v>
      </c>
      <c r="I1457" s="1">
        <f t="shared" si="113"/>
        <v>880800.81168132287</v>
      </c>
      <c r="J1457">
        <f t="shared" si="114"/>
        <v>600.00006686104462</v>
      </c>
      <c r="K1457" s="1">
        <f t="shared" si="115"/>
        <v>4.2532073428477046</v>
      </c>
      <c r="L1457" s="1">
        <f t="shared" si="115"/>
        <v>5.1512830365280928</v>
      </c>
      <c r="N1457">
        <f>I1457</f>
        <v>880800.81168132287</v>
      </c>
      <c r="O1457" s="1">
        <f>SUM(K$2:K1457)/$G$3</f>
        <v>0.18189697670495542</v>
      </c>
      <c r="P1457" s="1">
        <f>SUM(L$2:L1457)/$G$3</f>
        <v>0.1969087087828775</v>
      </c>
      <c r="Q1457" s="1">
        <f t="shared" si="111"/>
        <v>181.89697670495542</v>
      </c>
      <c r="R1457" s="1">
        <f t="shared" si="112"/>
        <v>196.90870878287751</v>
      </c>
    </row>
    <row r="1458" spans="1:18" x14ac:dyDescent="0.35">
      <c r="A1458">
        <v>10.201398284122501</v>
      </c>
      <c r="B1458">
        <v>1.5073225000503101</v>
      </c>
      <c r="C1458">
        <v>1.82566148825492</v>
      </c>
      <c r="I1458" s="1">
        <f t="shared" si="113"/>
        <v>881400.81174818403</v>
      </c>
      <c r="J1458">
        <f t="shared" si="114"/>
        <v>600.00006686116103</v>
      </c>
      <c r="K1458" s="1">
        <f t="shared" si="115"/>
        <v>4.2506499238141373</v>
      </c>
      <c r="L1458" s="1">
        <f t="shared" si="115"/>
        <v>5.1483659705883547</v>
      </c>
      <c r="N1458">
        <f>I1458</f>
        <v>881400.81174818403</v>
      </c>
      <c r="O1458" s="1">
        <f>SUM(K$2:K1458)/$G$3</f>
        <v>0.18194103173862713</v>
      </c>
      <c r="P1458" s="1">
        <f>SUM(L$2:L1458)/$G$3</f>
        <v>0.1969620680197598</v>
      </c>
      <c r="Q1458" s="1">
        <f t="shared" si="111"/>
        <v>181.94103173862715</v>
      </c>
      <c r="R1458" s="1">
        <f t="shared" si="112"/>
        <v>196.96206801975978</v>
      </c>
    </row>
    <row r="1459" spans="1:18" x14ac:dyDescent="0.35">
      <c r="A1459">
        <v>10.208342729340799</v>
      </c>
      <c r="B1459">
        <v>1.5052346135818</v>
      </c>
      <c r="C1459">
        <v>1.8258589373821501</v>
      </c>
      <c r="I1459" s="1">
        <f t="shared" si="113"/>
        <v>882000.81181504508</v>
      </c>
      <c r="J1459">
        <f t="shared" si="114"/>
        <v>600.00006686104462</v>
      </c>
      <c r="K1459" s="1">
        <f t="shared" si="115"/>
        <v>4.2447620833160018</v>
      </c>
      <c r="L1459" s="1">
        <f t="shared" si="115"/>
        <v>5.1489227771881918</v>
      </c>
      <c r="N1459">
        <f>I1459</f>
        <v>882000.81181504508</v>
      </c>
      <c r="O1459" s="1">
        <f>SUM(K$2:K1459)/$G$3</f>
        <v>0.18198502574892217</v>
      </c>
      <c r="P1459" s="1">
        <f>SUM(L$2:L1459)/$G$3</f>
        <v>0.19701543302755573</v>
      </c>
      <c r="Q1459" s="1">
        <f t="shared" si="111"/>
        <v>181.98502574892217</v>
      </c>
      <c r="R1459" s="1">
        <f t="shared" si="112"/>
        <v>197.01543302755573</v>
      </c>
    </row>
    <row r="1460" spans="1:18" x14ac:dyDescent="0.35">
      <c r="A1460">
        <v>10.2152871745591</v>
      </c>
      <c r="B1460">
        <v>1.50266948339731</v>
      </c>
      <c r="C1460">
        <v>1.8247488125760101</v>
      </c>
      <c r="I1460" s="1">
        <f t="shared" si="113"/>
        <v>882600.81188190624</v>
      </c>
      <c r="J1460">
        <f t="shared" si="114"/>
        <v>600.00006686116103</v>
      </c>
      <c r="K1460" s="1">
        <f t="shared" si="115"/>
        <v>4.2375284153904778</v>
      </c>
      <c r="L1460" s="1">
        <f t="shared" si="115"/>
        <v>5.145792224887022</v>
      </c>
      <c r="N1460">
        <f>I1460</f>
        <v>882600.81188190624</v>
      </c>
      <c r="O1460" s="1">
        <f>SUM(K$2:K1460)/$G$3</f>
        <v>0.18202894478727413</v>
      </c>
      <c r="P1460" s="1">
        <f>SUM(L$2:L1460)/$G$3</f>
        <v>0.19706876558935171</v>
      </c>
      <c r="Q1460" s="1">
        <f t="shared" si="111"/>
        <v>182.02894478727413</v>
      </c>
      <c r="R1460" s="1">
        <f t="shared" si="112"/>
        <v>197.0687655893517</v>
      </c>
    </row>
    <row r="1461" spans="1:18" x14ac:dyDescent="0.35">
      <c r="A1461">
        <v>10.2222316197774</v>
      </c>
      <c r="B1461">
        <v>1.5008373159225801</v>
      </c>
      <c r="C1461">
        <v>1.8242092329239501</v>
      </c>
      <c r="I1461" s="1">
        <f t="shared" si="113"/>
        <v>883200.8119487674</v>
      </c>
      <c r="J1461">
        <f t="shared" si="114"/>
        <v>600.00006686116103</v>
      </c>
      <c r="K1461" s="1">
        <f t="shared" si="115"/>
        <v>4.2323617025359859</v>
      </c>
      <c r="L1461" s="1">
        <f t="shared" si="115"/>
        <v>5.1442706100986513</v>
      </c>
      <c r="N1461">
        <f>I1461</f>
        <v>883200.8119487674</v>
      </c>
      <c r="O1461" s="1">
        <f>SUM(K$2:K1461)/$G$3</f>
        <v>0.18207281027623651</v>
      </c>
      <c r="P1461" s="1">
        <f>SUM(L$2:L1461)/$G$3</f>
        <v>0.19712208238066745</v>
      </c>
      <c r="Q1461" s="1">
        <f t="shared" si="111"/>
        <v>182.07281027623651</v>
      </c>
      <c r="R1461" s="1">
        <f t="shared" si="112"/>
        <v>197.12208238066745</v>
      </c>
    </row>
    <row r="1462" spans="1:18" x14ac:dyDescent="0.35">
      <c r="A1462">
        <v>10.2291760649957</v>
      </c>
      <c r="B1462">
        <v>1.49893149239845</v>
      </c>
      <c r="C1462">
        <v>1.8235926271774601</v>
      </c>
      <c r="I1462" s="1">
        <f t="shared" si="113"/>
        <v>883800.81201562844</v>
      </c>
      <c r="J1462">
        <f t="shared" si="114"/>
        <v>600.00006686104462</v>
      </c>
      <c r="K1462" s="1">
        <f t="shared" si="115"/>
        <v>4.2269872795982186</v>
      </c>
      <c r="L1462" s="1">
        <f t="shared" si="115"/>
        <v>5.1425317816987857</v>
      </c>
      <c r="N1462">
        <f>I1462</f>
        <v>883800.81201562844</v>
      </c>
      <c r="O1462" s="1">
        <f>SUM(K$2:K1462)/$G$3</f>
        <v>0.18211662006303861</v>
      </c>
      <c r="P1462" s="1">
        <f>SUM(L$2:L1462)/$G$3</f>
        <v>0.1971753811502347</v>
      </c>
      <c r="Q1462" s="1">
        <f t="shared" si="111"/>
        <v>182.1166200630386</v>
      </c>
      <c r="R1462" s="1">
        <f t="shared" si="112"/>
        <v>197.1753811502347</v>
      </c>
    </row>
    <row r="1463" spans="1:18" x14ac:dyDescent="0.35">
      <c r="A1463">
        <v>10.236120510214</v>
      </c>
      <c r="B1463">
        <v>1.49712193743134</v>
      </c>
      <c r="C1463">
        <v>1.82307140528597</v>
      </c>
      <c r="I1463" s="1">
        <f t="shared" si="113"/>
        <v>884400.8120824896</v>
      </c>
      <c r="J1463">
        <f t="shared" si="114"/>
        <v>600.00006686116103</v>
      </c>
      <c r="K1463" s="1">
        <f t="shared" si="115"/>
        <v>4.2218843340231409</v>
      </c>
      <c r="L1463" s="1">
        <f t="shared" si="115"/>
        <v>5.1410619358019884</v>
      </c>
      <c r="N1463">
        <f>I1463</f>
        <v>884400.8120824896</v>
      </c>
      <c r="O1463" s="1">
        <f>SUM(K$2:K1463)/$G$3</f>
        <v>0.18216037696135465</v>
      </c>
      <c r="P1463" s="1">
        <f>SUM(L$2:L1463)/$G$3</f>
        <v>0.19722866468587033</v>
      </c>
      <c r="Q1463" s="1">
        <f t="shared" si="111"/>
        <v>182.16037696135464</v>
      </c>
      <c r="R1463" s="1">
        <f t="shared" si="112"/>
        <v>197.22866468587034</v>
      </c>
    </row>
    <row r="1464" spans="1:18" x14ac:dyDescent="0.35">
      <c r="A1464">
        <v>10.243064955432301</v>
      </c>
      <c r="B1464">
        <v>1.49594509978263</v>
      </c>
      <c r="C1464">
        <v>1.82272036826048</v>
      </c>
      <c r="I1464" s="1">
        <f t="shared" si="113"/>
        <v>885000.81214935076</v>
      </c>
      <c r="J1464">
        <f t="shared" si="114"/>
        <v>600.00006686116103</v>
      </c>
      <c r="K1464" s="1">
        <f t="shared" si="115"/>
        <v>4.21856565148396</v>
      </c>
      <c r="L1464" s="1">
        <f t="shared" si="115"/>
        <v>5.140072011279794</v>
      </c>
      <c r="N1464">
        <f>I1464</f>
        <v>885000.81214935076</v>
      </c>
      <c r="O1464" s="1">
        <f>SUM(K$2:K1464)/$G$3</f>
        <v>0.18220409946383156</v>
      </c>
      <c r="P1464" s="1">
        <f>SUM(L$2:L1464)/$G$3</f>
        <v>0.19728193796162594</v>
      </c>
      <c r="Q1464" s="1">
        <f t="shared" si="111"/>
        <v>182.20409946383157</v>
      </c>
      <c r="R1464" s="1">
        <f t="shared" si="112"/>
        <v>197.28193796162594</v>
      </c>
    </row>
    <row r="1465" spans="1:18" x14ac:dyDescent="0.35">
      <c r="A1465">
        <v>10.250009400650599</v>
      </c>
      <c r="B1465">
        <v>1.4940503371498099</v>
      </c>
      <c r="C1465">
        <v>1.82190739639649</v>
      </c>
      <c r="I1465" s="1">
        <f t="shared" si="113"/>
        <v>885600.81221621181</v>
      </c>
      <c r="J1465">
        <f t="shared" si="114"/>
        <v>600.00006686104462</v>
      </c>
      <c r="K1465" s="1">
        <f t="shared" si="115"/>
        <v>4.2132224202631656</v>
      </c>
      <c r="L1465" s="1">
        <f t="shared" si="115"/>
        <v>5.1377794303668711</v>
      </c>
      <c r="N1465">
        <f>I1465</f>
        <v>885600.81221621181</v>
      </c>
      <c r="O1465" s="1">
        <f>SUM(K$2:K1465)/$G$3</f>
        <v>0.18224776658742861</v>
      </c>
      <c r="P1465" s="1">
        <f>SUM(L$2:L1465)/$G$3</f>
        <v>0.19733518747637296</v>
      </c>
      <c r="Q1465" s="1">
        <f t="shared" si="111"/>
        <v>182.2477665874286</v>
      </c>
      <c r="R1465" s="1">
        <f t="shared" si="112"/>
        <v>197.33518747637297</v>
      </c>
    </row>
    <row r="1466" spans="1:18" x14ac:dyDescent="0.35">
      <c r="A1466">
        <v>10.2569538458689</v>
      </c>
      <c r="B1466">
        <v>1.49161476178213</v>
      </c>
      <c r="C1466">
        <v>1.8215127592315601</v>
      </c>
      <c r="I1466" s="1">
        <f t="shared" si="113"/>
        <v>886200.81228307297</v>
      </c>
      <c r="J1466">
        <f t="shared" si="114"/>
        <v>600.00006686116103</v>
      </c>
      <c r="K1466" s="1">
        <f t="shared" si="115"/>
        <v>4.2063540969617526</v>
      </c>
      <c r="L1466" s="1">
        <f t="shared" si="115"/>
        <v>5.1366665534387517</v>
      </c>
      <c r="N1466">
        <f>I1466</f>
        <v>886200.81228307297</v>
      </c>
      <c r="O1466" s="1">
        <f>SUM(K$2:K1466)/$G$3</f>
        <v>0.18229136252562586</v>
      </c>
      <c r="P1466" s="1">
        <f>SUM(L$2:L1466)/$G$3</f>
        <v>0.19738842545692367</v>
      </c>
      <c r="Q1466" s="1">
        <f t="shared" si="111"/>
        <v>182.29136252562586</v>
      </c>
      <c r="R1466" s="1">
        <f t="shared" si="112"/>
        <v>197.38842545692367</v>
      </c>
    </row>
    <row r="1467" spans="1:18" x14ac:dyDescent="0.35">
      <c r="A1467">
        <v>10.2638982910872</v>
      </c>
      <c r="B1467">
        <v>1.4904383466831801</v>
      </c>
      <c r="C1467">
        <v>1.8215103644515001</v>
      </c>
      <c r="I1467" s="1">
        <f t="shared" si="113"/>
        <v>886800.81234993401</v>
      </c>
      <c r="J1467">
        <f t="shared" si="114"/>
        <v>600.00006686104462</v>
      </c>
      <c r="K1467" s="1">
        <f t="shared" si="115"/>
        <v>4.2030366060122129</v>
      </c>
      <c r="L1467" s="1">
        <f t="shared" si="115"/>
        <v>5.1366598001572337</v>
      </c>
      <c r="N1467">
        <f>I1467</f>
        <v>886800.81234993401</v>
      </c>
      <c r="O1467" s="1">
        <f>SUM(K$2:K1467)/$G$3</f>
        <v>0.18233492408033397</v>
      </c>
      <c r="P1467" s="1">
        <f>SUM(L$2:L1467)/$G$3</f>
        <v>0.19744166336748137</v>
      </c>
      <c r="Q1467" s="1">
        <f t="shared" si="111"/>
        <v>182.33492408033396</v>
      </c>
      <c r="R1467" s="1">
        <f t="shared" si="112"/>
        <v>197.44166336748137</v>
      </c>
    </row>
    <row r="1468" spans="1:18" x14ac:dyDescent="0.35">
      <c r="A1468">
        <v>10.2708427363055</v>
      </c>
      <c r="B1468">
        <v>1.4888090085769099</v>
      </c>
      <c r="C1468">
        <v>1.82060972062696</v>
      </c>
      <c r="I1468" s="1">
        <f t="shared" si="113"/>
        <v>887400.81241679518</v>
      </c>
      <c r="J1468">
        <f t="shared" si="114"/>
        <v>600.00006686116103</v>
      </c>
      <c r="K1468" s="1">
        <f t="shared" si="115"/>
        <v>4.1984418720413306</v>
      </c>
      <c r="L1468" s="1">
        <f t="shared" si="115"/>
        <v>5.1341199842900016</v>
      </c>
      <c r="N1468">
        <f>I1468</f>
        <v>887400.81241679518</v>
      </c>
      <c r="O1468" s="1">
        <f>SUM(K$2:K1468)/$G$3</f>
        <v>0.18237843801381629</v>
      </c>
      <c r="P1468" s="1">
        <f>SUM(L$2:L1468)/$G$3</f>
        <v>0.1974948749546119</v>
      </c>
      <c r="Q1468" s="1">
        <f t="shared" si="111"/>
        <v>182.37843801381629</v>
      </c>
      <c r="R1468" s="1">
        <f t="shared" si="112"/>
        <v>197.4948749546119</v>
      </c>
    </row>
    <row r="1469" spans="1:18" x14ac:dyDescent="0.35">
      <c r="A1469">
        <v>10.2777871815238</v>
      </c>
      <c r="B1469">
        <v>1.4861808660570901</v>
      </c>
      <c r="C1469">
        <v>1.82079063802819</v>
      </c>
      <c r="I1469" s="1">
        <f t="shared" si="113"/>
        <v>888000.81248365634</v>
      </c>
      <c r="J1469">
        <f t="shared" si="114"/>
        <v>600.00006686116103</v>
      </c>
      <c r="K1469" s="1">
        <f t="shared" si="115"/>
        <v>4.1910305093095515</v>
      </c>
      <c r="L1469" s="1">
        <f t="shared" si="115"/>
        <v>5.1346301714183236</v>
      </c>
      <c r="N1469">
        <f>I1469</f>
        <v>888000.81248365634</v>
      </c>
      <c r="O1469" s="1">
        <f>SUM(K$2:K1469)/$G$3</f>
        <v>0.18242187513367231</v>
      </c>
      <c r="P1469" s="1">
        <f>SUM(L$2:L1469)/$G$3</f>
        <v>0.19754809182947763</v>
      </c>
      <c r="Q1469" s="1">
        <f t="shared" si="111"/>
        <v>182.4218751336723</v>
      </c>
      <c r="R1469" s="1">
        <f t="shared" si="112"/>
        <v>197.54809182947764</v>
      </c>
    </row>
    <row r="1470" spans="1:18" x14ac:dyDescent="0.35">
      <c r="A1470">
        <v>10.2847316267422</v>
      </c>
      <c r="B1470">
        <v>1.4836523062218701</v>
      </c>
      <c r="C1470">
        <v>1.8197260414946099</v>
      </c>
      <c r="I1470" s="1">
        <f t="shared" si="113"/>
        <v>888600.81255052611</v>
      </c>
      <c r="J1470">
        <f t="shared" si="114"/>
        <v>600.00006686977576</v>
      </c>
      <c r="K1470" s="1">
        <f t="shared" si="115"/>
        <v>4.1838999698397101</v>
      </c>
      <c r="L1470" s="1">
        <f t="shared" si="115"/>
        <v>5.1316280089327604</v>
      </c>
      <c r="N1470">
        <f>I1470</f>
        <v>888600.81255052611</v>
      </c>
      <c r="O1470" s="1">
        <f>SUM(K$2:K1470)/$G$3</f>
        <v>0.18246523835044012</v>
      </c>
      <c r="P1470" s="1">
        <f>SUM(L$2:L1470)/$G$3</f>
        <v>0.19760127758901469</v>
      </c>
      <c r="Q1470" s="1">
        <f t="shared" si="111"/>
        <v>182.46523835044013</v>
      </c>
      <c r="R1470" s="1">
        <f t="shared" si="112"/>
        <v>197.6012775890147</v>
      </c>
    </row>
    <row r="1471" spans="1:18" x14ac:dyDescent="0.35">
      <c r="A1471">
        <v>10.2916760719605</v>
      </c>
      <c r="B1471">
        <v>1.48173783962364</v>
      </c>
      <c r="C1471">
        <v>1.8189942734242499</v>
      </c>
      <c r="I1471" s="1">
        <f t="shared" si="113"/>
        <v>889200.81261738727</v>
      </c>
      <c r="J1471">
        <f t="shared" si="114"/>
        <v>600.00006686116103</v>
      </c>
      <c r="K1471" s="1">
        <f t="shared" si="115"/>
        <v>4.1785011733710125</v>
      </c>
      <c r="L1471" s="1">
        <f t="shared" si="115"/>
        <v>5.1295644226707093</v>
      </c>
      <c r="N1471">
        <f>I1471</f>
        <v>889200.81261738727</v>
      </c>
      <c r="O1471" s="1">
        <f>SUM(K$2:K1471)/$G$3</f>
        <v>0.18250854561243285</v>
      </c>
      <c r="P1471" s="1">
        <f>SUM(L$2:L1471)/$G$3</f>
        <v>0.19765444196091364</v>
      </c>
      <c r="Q1471" s="1">
        <f t="shared" si="111"/>
        <v>182.50854561243284</v>
      </c>
      <c r="R1471" s="1">
        <f t="shared" si="112"/>
        <v>197.65444196091363</v>
      </c>
    </row>
    <row r="1472" spans="1:18" x14ac:dyDescent="0.35">
      <c r="A1472">
        <v>10.298620517178801</v>
      </c>
      <c r="B1472">
        <v>1.4804848892116</v>
      </c>
      <c r="C1472">
        <v>1.8187940431670699</v>
      </c>
      <c r="I1472" s="1">
        <f t="shared" si="113"/>
        <v>889800.81268424843</v>
      </c>
      <c r="J1472">
        <f t="shared" si="114"/>
        <v>600.00006686116103</v>
      </c>
      <c r="K1472" s="1">
        <f t="shared" si="115"/>
        <v>4.1749678528153238</v>
      </c>
      <c r="L1472" s="1">
        <f t="shared" si="115"/>
        <v>5.1289997732825405</v>
      </c>
      <c r="N1472">
        <f>I1472</f>
        <v>889800.81268424843</v>
      </c>
      <c r="O1472" s="1">
        <f>SUM(K$2:K1472)/$G$3</f>
        <v>0.18255181625401254</v>
      </c>
      <c r="P1472" s="1">
        <f>SUM(L$2:L1472)/$G$3</f>
        <v>0.19770760048061392</v>
      </c>
      <c r="Q1472" s="1">
        <f t="shared" si="111"/>
        <v>182.55181625401255</v>
      </c>
      <c r="R1472" s="1">
        <f t="shared" si="112"/>
        <v>197.70760048061393</v>
      </c>
    </row>
    <row r="1473" spans="1:18" x14ac:dyDescent="0.35">
      <c r="A1473">
        <v>10.305564962397099</v>
      </c>
      <c r="B1473">
        <v>1.47815537678776</v>
      </c>
      <c r="C1473">
        <v>1.8179553857741599</v>
      </c>
      <c r="I1473" s="1">
        <f t="shared" si="113"/>
        <v>890400.81275110936</v>
      </c>
      <c r="J1473">
        <f t="shared" si="114"/>
        <v>600.0000668609282</v>
      </c>
      <c r="K1473" s="1">
        <f t="shared" si="115"/>
        <v>4.1683986270464333</v>
      </c>
      <c r="L1473" s="1">
        <f t="shared" si="115"/>
        <v>5.126634759168998</v>
      </c>
      <c r="N1473">
        <f>I1473</f>
        <v>890400.81275110936</v>
      </c>
      <c r="O1473" s="1">
        <f>SUM(K$2:K1473)/$G$3</f>
        <v>0.18259501881013054</v>
      </c>
      <c r="P1473" s="1">
        <f>SUM(L$2:L1473)/$G$3</f>
        <v>0.19776073448858583</v>
      </c>
      <c r="Q1473" s="1">
        <f t="shared" si="111"/>
        <v>182.59501881013054</v>
      </c>
      <c r="R1473" s="1">
        <f t="shared" si="112"/>
        <v>197.76073448858583</v>
      </c>
    </row>
    <row r="1474" spans="1:18" x14ac:dyDescent="0.35">
      <c r="A1474">
        <v>10.3125094076154</v>
      </c>
      <c r="B1474">
        <v>1.47572423349582</v>
      </c>
      <c r="C1474">
        <v>1.81781646084561</v>
      </c>
      <c r="I1474" s="1">
        <f t="shared" si="113"/>
        <v>891000.81281797052</v>
      </c>
      <c r="J1474">
        <f t="shared" si="114"/>
        <v>600.00006686116103</v>
      </c>
      <c r="K1474" s="1">
        <f t="shared" si="115"/>
        <v>4.1615428022007999</v>
      </c>
      <c r="L1474" s="1">
        <f t="shared" si="115"/>
        <v>5.1262429908288203</v>
      </c>
      <c r="N1474">
        <f>I1474</f>
        <v>891000.81281797052</v>
      </c>
      <c r="O1474" s="1">
        <f>SUM(K$2:K1474)/$G$3</f>
        <v>0.18263815031038655</v>
      </c>
      <c r="P1474" s="1">
        <f>SUM(L$2:L1474)/$G$3</f>
        <v>0.19781386443615104</v>
      </c>
      <c r="Q1474" s="1">
        <f t="shared" ref="Q1474:Q1542" si="116">O1474*1000</f>
        <v>182.63815031038655</v>
      </c>
      <c r="R1474" s="1">
        <f t="shared" ref="R1474:R1542" si="117">P1474*1000</f>
        <v>197.81386443615105</v>
      </c>
    </row>
    <row r="1475" spans="1:18" x14ac:dyDescent="0.35">
      <c r="A1475">
        <v>10.3194538528337</v>
      </c>
      <c r="B1475">
        <v>1.4740468418086701</v>
      </c>
      <c r="C1475">
        <v>1.81671567670353</v>
      </c>
      <c r="I1475" s="1">
        <f t="shared" ref="I1475:I1538" si="118">A1475*86400</f>
        <v>891600.81288483168</v>
      </c>
      <c r="J1475">
        <f t="shared" si="114"/>
        <v>600.00006686116103</v>
      </c>
      <c r="K1475" s="1">
        <f t="shared" si="115"/>
        <v>4.1568125571159209</v>
      </c>
      <c r="L1475" s="1">
        <f t="shared" si="115"/>
        <v>5.123138779202236</v>
      </c>
      <c r="N1475">
        <f>I1475</f>
        <v>891600.81288483168</v>
      </c>
      <c r="O1475" s="1">
        <f>SUM(K$2:K1475)/$G$3</f>
        <v>0.18268123278493822</v>
      </c>
      <c r="P1475" s="1">
        <f>SUM(L$2:L1475)/$G$3</f>
        <v>0.19786696221071914</v>
      </c>
      <c r="Q1475" s="1">
        <f t="shared" si="116"/>
        <v>182.68123278493823</v>
      </c>
      <c r="R1475" s="1">
        <f t="shared" si="117"/>
        <v>197.86696221071915</v>
      </c>
    </row>
    <row r="1476" spans="1:18" x14ac:dyDescent="0.35">
      <c r="A1476">
        <v>10.326398298052</v>
      </c>
      <c r="B1476">
        <v>1.47263118253924</v>
      </c>
      <c r="C1476">
        <v>1.8164465278411801</v>
      </c>
      <c r="I1476" s="1">
        <f t="shared" si="118"/>
        <v>892200.81295169285</v>
      </c>
      <c r="J1476">
        <f t="shared" si="114"/>
        <v>600.00006686116103</v>
      </c>
      <c r="K1476" s="1">
        <f t="shared" si="115"/>
        <v>4.1528203975312605</v>
      </c>
      <c r="L1476" s="1">
        <f t="shared" si="115"/>
        <v>5.1223797793258301</v>
      </c>
      <c r="N1476">
        <f>I1476</f>
        <v>892200.81295169285</v>
      </c>
      <c r="O1476" s="1">
        <f>SUM(K$2:K1476)/$G$3</f>
        <v>0.18272427388352902</v>
      </c>
      <c r="P1476" s="1">
        <f>SUM(L$2:L1476)/$G$3</f>
        <v>0.19792005211878075</v>
      </c>
      <c r="Q1476" s="1">
        <f t="shared" si="116"/>
        <v>182.72427388352901</v>
      </c>
      <c r="R1476" s="1">
        <f t="shared" si="117"/>
        <v>197.92005211878075</v>
      </c>
    </row>
    <row r="1477" spans="1:18" x14ac:dyDescent="0.35">
      <c r="A1477">
        <v>10.3333427432703</v>
      </c>
      <c r="B1477">
        <v>1.46964973365644</v>
      </c>
      <c r="C1477">
        <v>1.8162495948348001</v>
      </c>
      <c r="I1477" s="1">
        <f t="shared" si="118"/>
        <v>892800.81301855401</v>
      </c>
      <c r="J1477">
        <f t="shared" si="114"/>
        <v>600.00006686116103</v>
      </c>
      <c r="K1477" s="1">
        <f t="shared" si="115"/>
        <v>4.1444127107448523</v>
      </c>
      <c r="L1477" s="1">
        <f t="shared" si="115"/>
        <v>5.1218244281859526</v>
      </c>
      <c r="N1477">
        <f>I1477</f>
        <v>892800.81301855401</v>
      </c>
      <c r="O1477" s="1">
        <f>SUM(K$2:K1477)/$G$3</f>
        <v>0.1827672278422868</v>
      </c>
      <c r="P1477" s="1">
        <f>SUM(L$2:L1477)/$G$3</f>
        <v>0.19797313627101357</v>
      </c>
      <c r="Q1477" s="1">
        <f t="shared" si="116"/>
        <v>182.76722784228679</v>
      </c>
      <c r="R1477" s="1">
        <f t="shared" si="117"/>
        <v>197.97313627101357</v>
      </c>
    </row>
    <row r="1478" spans="1:18" x14ac:dyDescent="0.35">
      <c r="A1478">
        <v>10.340287188488601</v>
      </c>
      <c r="B1478">
        <v>1.46702225121751</v>
      </c>
      <c r="C1478">
        <v>1.8150352987023499</v>
      </c>
      <c r="I1478" s="1">
        <f t="shared" si="118"/>
        <v>893400.81308541505</v>
      </c>
      <c r="J1478">
        <f t="shared" ref="J1478:J1541" si="119">I1478-I1477</f>
        <v>600.00006686104462</v>
      </c>
      <c r="K1478" s="1">
        <f t="shared" si="115"/>
        <v>4.1370032094405875</v>
      </c>
      <c r="L1478" s="1">
        <f t="shared" si="115"/>
        <v>5.1184001127098604</v>
      </c>
      <c r="N1478">
        <f>I1478</f>
        <v>893400.81308541505</v>
      </c>
      <c r="O1478" s="1">
        <f>SUM(K$2:K1478)/$G$3</f>
        <v>0.18281010500671074</v>
      </c>
      <c r="P1478" s="1">
        <f>SUM(L$2:L1478)/$G$3</f>
        <v>0.19802618493259527</v>
      </c>
      <c r="Q1478" s="1">
        <f t="shared" si="116"/>
        <v>182.81010500671076</v>
      </c>
      <c r="R1478" s="1">
        <f t="shared" si="117"/>
        <v>198.02618493259527</v>
      </c>
    </row>
    <row r="1479" spans="1:18" x14ac:dyDescent="0.35">
      <c r="A1479">
        <v>10.347231633706899</v>
      </c>
      <c r="B1479">
        <v>1.4650724729509801</v>
      </c>
      <c r="C1479">
        <v>1.81494915568908</v>
      </c>
      <c r="I1479" s="1">
        <f t="shared" si="118"/>
        <v>894000.8131522761</v>
      </c>
      <c r="J1479">
        <f t="shared" si="119"/>
        <v>600.00006686104462</v>
      </c>
      <c r="K1479" s="1">
        <f t="shared" si="115"/>
        <v>4.131504834116261</v>
      </c>
      <c r="L1479" s="1">
        <f t="shared" si="115"/>
        <v>5.1181571893853688</v>
      </c>
      <c r="N1479">
        <f>I1479</f>
        <v>894000.8131522761</v>
      </c>
      <c r="O1479" s="1">
        <f>SUM(K$2:K1479)/$G$3</f>
        <v>0.18285292518429394</v>
      </c>
      <c r="P1479" s="1">
        <f>SUM(L$2:L1479)/$G$3</f>
        <v>0.19807923107644548</v>
      </c>
      <c r="Q1479" s="1">
        <f t="shared" si="116"/>
        <v>182.85292518429395</v>
      </c>
      <c r="R1479" s="1">
        <f t="shared" si="117"/>
        <v>198.0792310764455</v>
      </c>
    </row>
    <row r="1480" spans="1:18" x14ac:dyDescent="0.35">
      <c r="A1480">
        <v>10.3541760789252</v>
      </c>
      <c r="B1480">
        <v>1.4628270805547801</v>
      </c>
      <c r="C1480">
        <v>1.8139028793433201</v>
      </c>
      <c r="I1480" s="1">
        <f t="shared" si="118"/>
        <v>894600.81321913726</v>
      </c>
      <c r="J1480">
        <f t="shared" si="119"/>
        <v>600.00006686116103</v>
      </c>
      <c r="K1480" s="1">
        <f t="shared" si="115"/>
        <v>4.1251728268541701</v>
      </c>
      <c r="L1480" s="1">
        <f t="shared" si="115"/>
        <v>5.1152066897625295</v>
      </c>
      <c r="N1480">
        <f>I1480</f>
        <v>894600.81321913726</v>
      </c>
      <c r="O1480" s="1">
        <f>SUM(K$2:K1480)/$G$3</f>
        <v>0.18289567973502052</v>
      </c>
      <c r="P1480" s="1">
        <f>SUM(L$2:L1480)/$G$3</f>
        <v>0.1981322466404167</v>
      </c>
      <c r="Q1480" s="1">
        <f t="shared" si="116"/>
        <v>182.89567973502051</v>
      </c>
      <c r="R1480" s="1">
        <f t="shared" si="117"/>
        <v>198.1322466404167</v>
      </c>
    </row>
    <row r="1481" spans="1:18" x14ac:dyDescent="0.35">
      <c r="A1481">
        <v>10.3611205241435</v>
      </c>
      <c r="B1481">
        <v>1.4608809825264299</v>
      </c>
      <c r="C1481">
        <v>1.8138693923551401</v>
      </c>
      <c r="I1481" s="1">
        <f t="shared" si="118"/>
        <v>895200.81328599842</v>
      </c>
      <c r="J1481">
        <f t="shared" si="119"/>
        <v>600.00006686116103</v>
      </c>
      <c r="K1481" s="1">
        <f t="shared" si="115"/>
        <v>4.119684829802666</v>
      </c>
      <c r="L1481" s="1">
        <f t="shared" si="115"/>
        <v>5.1151122564453386</v>
      </c>
      <c r="N1481">
        <f>I1481</f>
        <v>895200.81328599842</v>
      </c>
      <c r="O1481" s="1">
        <f>SUM(K$2:K1481)/$G$3</f>
        <v>0.18293837740647001</v>
      </c>
      <c r="P1481" s="1">
        <f>SUM(L$2:L1481)/$G$3</f>
        <v>0.19818526122565217</v>
      </c>
      <c r="Q1481" s="1">
        <f t="shared" si="116"/>
        <v>182.93837740647001</v>
      </c>
      <c r="R1481" s="1">
        <f t="shared" si="117"/>
        <v>198.18526122565217</v>
      </c>
    </row>
    <row r="1482" spans="1:18" x14ac:dyDescent="0.35">
      <c r="A1482">
        <v>10.3680649693618</v>
      </c>
      <c r="B1482">
        <v>1.4584164428136701</v>
      </c>
      <c r="C1482">
        <v>1.8129226517835699</v>
      </c>
      <c r="I1482" s="1">
        <f t="shared" si="118"/>
        <v>895800.81335285958</v>
      </c>
      <c r="J1482">
        <f t="shared" si="119"/>
        <v>600.00006686116103</v>
      </c>
      <c r="K1482" s="1">
        <f t="shared" si="115"/>
        <v>4.1127348270382083</v>
      </c>
      <c r="L1482" s="1">
        <f t="shared" si="115"/>
        <v>5.112442447736</v>
      </c>
      <c r="N1482">
        <f>I1482</f>
        <v>895800.81335285958</v>
      </c>
      <c r="O1482" s="1">
        <f>SUM(K$2:K1482)/$G$3</f>
        <v>0.18298100304596876</v>
      </c>
      <c r="P1482" s="1">
        <f>SUM(L$2:L1482)/$G$3</f>
        <v>0.19823824814017499</v>
      </c>
      <c r="Q1482" s="1">
        <f t="shared" si="116"/>
        <v>182.98100304596875</v>
      </c>
      <c r="R1482" s="1">
        <f t="shared" si="117"/>
        <v>198.23824814017499</v>
      </c>
    </row>
    <row r="1483" spans="1:18" x14ac:dyDescent="0.35">
      <c r="A1483">
        <v>10.3750094145801</v>
      </c>
      <c r="B1483">
        <v>1.45607861223859</v>
      </c>
      <c r="C1483">
        <v>1.8126519448321901</v>
      </c>
      <c r="I1483" s="1">
        <f t="shared" si="118"/>
        <v>896400.81341972062</v>
      </c>
      <c r="J1483">
        <f t="shared" si="119"/>
        <v>600.00006686104462</v>
      </c>
      <c r="K1483" s="1">
        <f t="shared" si="115"/>
        <v>4.1061421440810282</v>
      </c>
      <c r="L1483" s="1">
        <f t="shared" si="115"/>
        <v>5.1116790540470483</v>
      </c>
      <c r="N1483">
        <f>I1483</f>
        <v>896400.81341972062</v>
      </c>
      <c r="O1483" s="1">
        <f>SUM(K$2:K1483)/$G$3</f>
        <v>0.18302356035688841</v>
      </c>
      <c r="P1483" s="1">
        <f>SUM(L$2:L1483)/$G$3</f>
        <v>0.19829122714265254</v>
      </c>
      <c r="Q1483" s="1">
        <f t="shared" si="116"/>
        <v>183.0235603568884</v>
      </c>
      <c r="R1483" s="1">
        <f t="shared" si="117"/>
        <v>198.29122714265253</v>
      </c>
    </row>
    <row r="1484" spans="1:18" x14ac:dyDescent="0.35">
      <c r="A1484">
        <v>10.381953859798401</v>
      </c>
      <c r="B1484">
        <v>1.45378938442337</v>
      </c>
      <c r="C1484">
        <v>1.81153202979466</v>
      </c>
      <c r="I1484" s="1">
        <f t="shared" si="118"/>
        <v>897000.81348658178</v>
      </c>
      <c r="J1484">
        <f t="shared" si="119"/>
        <v>600.00006686116103</v>
      </c>
      <c r="K1484" s="1">
        <f t="shared" si="115"/>
        <v>4.0996865209235205</v>
      </c>
      <c r="L1484" s="1">
        <f t="shared" si="115"/>
        <v>5.1085208932902741</v>
      </c>
      <c r="N1484">
        <f>I1484</f>
        <v>897000.81348658178</v>
      </c>
      <c r="O1484" s="1">
        <f>SUM(K$2:K1484)/$G$3</f>
        <v>0.18306605075975854</v>
      </c>
      <c r="P1484" s="1">
        <f>SUM(L$2:L1484)/$G$3</f>
        <v>0.19834417341298774</v>
      </c>
      <c r="Q1484" s="1">
        <f t="shared" si="116"/>
        <v>183.06605075975855</v>
      </c>
      <c r="R1484" s="1">
        <f t="shared" si="117"/>
        <v>198.34417341298774</v>
      </c>
    </row>
    <row r="1485" spans="1:18" x14ac:dyDescent="0.35">
      <c r="A1485">
        <v>10.388898305016699</v>
      </c>
      <c r="B1485">
        <v>1.45152766377767</v>
      </c>
      <c r="C1485">
        <v>1.8119020474244301</v>
      </c>
      <c r="I1485" s="1">
        <f t="shared" si="118"/>
        <v>897600.81355344283</v>
      </c>
      <c r="J1485">
        <f t="shared" si="119"/>
        <v>600.00006686104462</v>
      </c>
      <c r="K1485" s="1">
        <f t="shared" si="115"/>
        <v>4.093308467991112</v>
      </c>
      <c r="L1485" s="1">
        <f t="shared" si="115"/>
        <v>5.1095643431215123</v>
      </c>
      <c r="N1485">
        <f>I1485</f>
        <v>897600.81355344283</v>
      </c>
      <c r="O1485" s="1">
        <f>SUM(K$2:K1485)/$G$3</f>
        <v>0.18310847505854067</v>
      </c>
      <c r="P1485" s="1">
        <f>SUM(L$2:L1485)/$G$3</f>
        <v>0.19839713049795557</v>
      </c>
      <c r="Q1485" s="1">
        <f t="shared" si="116"/>
        <v>183.10847505854068</v>
      </c>
      <c r="R1485" s="1">
        <f t="shared" si="117"/>
        <v>198.39713049795557</v>
      </c>
    </row>
    <row r="1486" spans="1:18" x14ac:dyDescent="0.35">
      <c r="A1486">
        <v>10.395842750234999</v>
      </c>
      <c r="B1486">
        <v>1.44887616692629</v>
      </c>
      <c r="C1486">
        <v>1.81162219574559</v>
      </c>
      <c r="I1486" s="1">
        <f t="shared" si="118"/>
        <v>898200.81362030399</v>
      </c>
      <c r="J1486">
        <f t="shared" si="119"/>
        <v>600.00006686116103</v>
      </c>
      <c r="K1486" s="1">
        <f t="shared" si="115"/>
        <v>4.085831246037789</v>
      </c>
      <c r="L1486" s="1">
        <f t="shared" si="115"/>
        <v>5.1087751613002315</v>
      </c>
      <c r="N1486">
        <f>I1486</f>
        <v>898200.81362030399</v>
      </c>
      <c r="O1486" s="1">
        <f>SUM(K$2:K1486)/$G$3</f>
        <v>0.1831508218611114</v>
      </c>
      <c r="P1486" s="1">
        <f>SUM(L$2:L1486)/$G$3</f>
        <v>0.19845007940360204</v>
      </c>
      <c r="Q1486" s="1">
        <f t="shared" si="116"/>
        <v>183.15082186111138</v>
      </c>
      <c r="R1486" s="1">
        <f t="shared" si="117"/>
        <v>198.45007940360205</v>
      </c>
    </row>
    <row r="1487" spans="1:18" x14ac:dyDescent="0.35">
      <c r="A1487">
        <v>10.4027871954533</v>
      </c>
      <c r="B1487">
        <v>1.4466995440927499</v>
      </c>
      <c r="C1487">
        <v>1.81090857266673</v>
      </c>
      <c r="I1487" s="1">
        <f t="shared" si="118"/>
        <v>898800.81368716515</v>
      </c>
      <c r="J1487">
        <f t="shared" si="119"/>
        <v>600.00006686116103</v>
      </c>
      <c r="K1487" s="1">
        <f t="shared" si="115"/>
        <v>4.0796931689632077</v>
      </c>
      <c r="L1487" s="1">
        <f t="shared" si="115"/>
        <v>5.1067627439935919</v>
      </c>
      <c r="N1487">
        <f>I1487</f>
        <v>898800.81368716515</v>
      </c>
      <c r="O1487" s="1">
        <f>SUM(K$2:K1487)/$G$3</f>
        <v>0.18319310504677716</v>
      </c>
      <c r="P1487" s="1">
        <f>SUM(L$2:L1487)/$G$3</f>
        <v>0.19850300745194113</v>
      </c>
      <c r="Q1487" s="1">
        <f t="shared" si="116"/>
        <v>183.19310504677716</v>
      </c>
      <c r="R1487" s="1">
        <f t="shared" si="117"/>
        <v>198.50300745194113</v>
      </c>
    </row>
    <row r="1488" spans="1:18" x14ac:dyDescent="0.35">
      <c r="A1488">
        <v>10.4097316406717</v>
      </c>
      <c r="B1488">
        <v>1.44445469521218</v>
      </c>
      <c r="C1488">
        <v>1.81027064853518</v>
      </c>
      <c r="I1488" s="1">
        <f t="shared" si="118"/>
        <v>899400.81375403481</v>
      </c>
      <c r="J1488">
        <f t="shared" si="119"/>
        <v>600.00006686965935</v>
      </c>
      <c r="K1488" s="1">
        <f t="shared" si="115"/>
        <v>4.073362694472257</v>
      </c>
      <c r="L1488" s="1">
        <f t="shared" si="115"/>
        <v>5.1049637978144613</v>
      </c>
      <c r="N1488">
        <f>I1488</f>
        <v>899400.81375403481</v>
      </c>
      <c r="O1488" s="1">
        <f>SUM(K$2:K1488)/$G$3</f>
        <v>0.18323532262147241</v>
      </c>
      <c r="P1488" s="1">
        <f>SUM(L$2:L1488)/$G$3</f>
        <v>0.19855591685545268</v>
      </c>
      <c r="Q1488" s="1">
        <f t="shared" si="116"/>
        <v>183.23532262147242</v>
      </c>
      <c r="R1488" s="1">
        <f t="shared" si="117"/>
        <v>198.55591685545269</v>
      </c>
    </row>
    <row r="1489" spans="1:18" x14ac:dyDescent="0.35">
      <c r="A1489">
        <v>10.41667608589</v>
      </c>
      <c r="B1489">
        <v>1.44147524338383</v>
      </c>
      <c r="C1489">
        <v>1.8086767977634901</v>
      </c>
      <c r="I1489" s="1">
        <f t="shared" si="118"/>
        <v>900000.81382089597</v>
      </c>
      <c r="J1489">
        <f t="shared" si="119"/>
        <v>600.00006686116103</v>
      </c>
      <c r="K1489" s="1">
        <f t="shared" si="115"/>
        <v>4.0649606393223303</v>
      </c>
      <c r="L1489" s="1">
        <f t="shared" si="115"/>
        <v>5.1004691380651259</v>
      </c>
      <c r="N1489">
        <f>I1489</f>
        <v>900000.81382089597</v>
      </c>
      <c r="O1489" s="1">
        <f>SUM(K$2:K1489)/$G$3</f>
        <v>0.1832774531147027</v>
      </c>
      <c r="P1489" s="1">
        <f>SUM(L$2:L1489)/$G$3</f>
        <v>0.19860877967493826</v>
      </c>
      <c r="Q1489" s="1">
        <f t="shared" si="116"/>
        <v>183.27745311470269</v>
      </c>
      <c r="R1489" s="1">
        <f t="shared" si="117"/>
        <v>198.60877967493826</v>
      </c>
    </row>
    <row r="1490" spans="1:18" x14ac:dyDescent="0.35">
      <c r="A1490">
        <v>10.4236205311083</v>
      </c>
      <c r="B1490">
        <v>1.43951856634282</v>
      </c>
      <c r="C1490">
        <v>1.8088315710530201</v>
      </c>
      <c r="I1490" s="1">
        <f t="shared" si="118"/>
        <v>900600.81388775713</v>
      </c>
      <c r="J1490">
        <f t="shared" si="119"/>
        <v>600.00006686116103</v>
      </c>
      <c r="K1490" s="1">
        <f t="shared" si="115"/>
        <v>4.0594428094518014</v>
      </c>
      <c r="L1490" s="1">
        <f t="shared" si="115"/>
        <v>5.100905598790237</v>
      </c>
      <c r="N1490">
        <f>I1490</f>
        <v>900600.81388775713</v>
      </c>
      <c r="O1490" s="1">
        <f>SUM(K$2:K1490)/$G$3</f>
        <v>0.18331952641945942</v>
      </c>
      <c r="P1490" s="1">
        <f>SUM(L$2:L1490)/$G$3</f>
        <v>0.19866164701803604</v>
      </c>
      <c r="Q1490" s="1">
        <f t="shared" si="116"/>
        <v>183.31952641945944</v>
      </c>
      <c r="R1490" s="1">
        <f t="shared" si="117"/>
        <v>198.66164701803604</v>
      </c>
    </row>
    <row r="1491" spans="1:18" x14ac:dyDescent="0.35">
      <c r="A1491">
        <v>10.4305649763266</v>
      </c>
      <c r="B1491">
        <v>1.43662332008589</v>
      </c>
      <c r="C1491">
        <v>1.80693029639336</v>
      </c>
      <c r="I1491" s="1">
        <f t="shared" si="118"/>
        <v>901200.81395461829</v>
      </c>
      <c r="J1491">
        <f t="shared" si="119"/>
        <v>600.00006686116103</v>
      </c>
      <c r="K1491" s="1">
        <f t="shared" ref="K1491:L1542" si="120">B1491*$J1491*$G$2</f>
        <v>4.0512782140974348</v>
      </c>
      <c r="L1491" s="1">
        <f t="shared" si="120"/>
        <v>5.0955440036525248</v>
      </c>
      <c r="N1491">
        <f>I1491</f>
        <v>901200.81395461829</v>
      </c>
      <c r="O1491" s="1">
        <f>SUM(K$2:K1491)/$G$3</f>
        <v>0.18336151510385695</v>
      </c>
      <c r="P1491" s="1">
        <f>SUM(L$2:L1491)/$G$3</f>
        <v>0.19871445879192476</v>
      </c>
      <c r="Q1491" s="1">
        <f t="shared" si="116"/>
        <v>183.36151510385696</v>
      </c>
      <c r="R1491" s="1">
        <f t="shared" si="117"/>
        <v>198.71445879192476</v>
      </c>
    </row>
    <row r="1492" spans="1:18" x14ac:dyDescent="0.35">
      <c r="A1492">
        <v>10.437509421544901</v>
      </c>
      <c r="B1492">
        <v>1.4342893287823899</v>
      </c>
      <c r="C1492">
        <v>1.8061777252581901</v>
      </c>
      <c r="I1492" s="1">
        <f t="shared" si="118"/>
        <v>901800.81402147945</v>
      </c>
      <c r="J1492">
        <f t="shared" si="119"/>
        <v>600.00006686116103</v>
      </c>
      <c r="K1492" s="1">
        <f t="shared" si="120"/>
        <v>4.0446963578881139</v>
      </c>
      <c r="L1492" s="1">
        <f t="shared" si="120"/>
        <v>5.0934217528148533</v>
      </c>
      <c r="N1492">
        <f>I1492</f>
        <v>901800.81402147945</v>
      </c>
      <c r="O1492" s="1">
        <f>SUM(K$2:K1492)/$G$3</f>
        <v>0.1834034355718871</v>
      </c>
      <c r="P1492" s="1">
        <f>SUM(L$2:L1492)/$G$3</f>
        <v>0.19876724857015782</v>
      </c>
      <c r="Q1492" s="1">
        <f t="shared" si="116"/>
        <v>183.40343557188709</v>
      </c>
      <c r="R1492" s="1">
        <f t="shared" si="117"/>
        <v>198.76724857015782</v>
      </c>
    </row>
    <row r="1493" spans="1:18" x14ac:dyDescent="0.35">
      <c r="A1493">
        <v>10.444453866763199</v>
      </c>
      <c r="B1493">
        <v>1.43072532471618</v>
      </c>
      <c r="C1493">
        <v>1.8047124808109301</v>
      </c>
      <c r="I1493" s="1">
        <f t="shared" si="118"/>
        <v>902400.81408834038</v>
      </c>
      <c r="J1493">
        <f t="shared" si="119"/>
        <v>600.0000668609282</v>
      </c>
      <c r="K1493" s="1">
        <f t="shared" si="120"/>
        <v>4.0346458652998569</v>
      </c>
      <c r="L1493" s="1">
        <f t="shared" si="120"/>
        <v>5.0892897630111555</v>
      </c>
      <c r="N1493">
        <f>I1493</f>
        <v>902400.81408834038</v>
      </c>
      <c r="O1493" s="1">
        <f>SUM(K$2:K1493)/$G$3</f>
        <v>0.1834452518735433</v>
      </c>
      <c r="P1493" s="1">
        <f>SUM(L$2:L1493)/$G$3</f>
        <v>0.19881999552318688</v>
      </c>
      <c r="Q1493" s="1">
        <f t="shared" si="116"/>
        <v>183.4452518735433</v>
      </c>
      <c r="R1493" s="1">
        <f t="shared" si="117"/>
        <v>198.81999552318689</v>
      </c>
    </row>
    <row r="1494" spans="1:18" x14ac:dyDescent="0.35">
      <c r="A1494">
        <v>10.451398311981499</v>
      </c>
      <c r="B1494">
        <v>1.42774829810816</v>
      </c>
      <c r="C1494">
        <v>1.80437980141791</v>
      </c>
      <c r="I1494" s="1">
        <f t="shared" si="118"/>
        <v>903000.81415520154</v>
      </c>
      <c r="J1494">
        <f t="shared" si="119"/>
        <v>600.00006686116103</v>
      </c>
      <c r="K1494" s="1">
        <f t="shared" si="120"/>
        <v>4.0262506493312831</v>
      </c>
      <c r="L1494" s="1">
        <f t="shared" si="120"/>
        <v>5.0883516070202699</v>
      </c>
      <c r="N1494">
        <f>I1494</f>
        <v>903000.81415520154</v>
      </c>
      <c r="O1494" s="1">
        <f>SUM(K$2:K1494)/$G$3</f>
        <v>0.1834869811646179</v>
      </c>
      <c r="P1494" s="1">
        <f>SUM(L$2:L1494)/$G$3</f>
        <v>0.19887273275288084</v>
      </c>
      <c r="Q1494" s="1">
        <f t="shared" si="116"/>
        <v>183.4869811646179</v>
      </c>
      <c r="R1494" s="1">
        <f t="shared" si="117"/>
        <v>198.87273275288084</v>
      </c>
    </row>
    <row r="1495" spans="1:18" x14ac:dyDescent="0.35">
      <c r="A1495">
        <v>10.4583427571998</v>
      </c>
      <c r="B1495">
        <v>1.42505093207894</v>
      </c>
      <c r="C1495">
        <v>1.8029007767318601</v>
      </c>
      <c r="I1495" s="1">
        <f t="shared" si="118"/>
        <v>903600.81422206271</v>
      </c>
      <c r="J1495">
        <f t="shared" si="119"/>
        <v>600.00006686116103</v>
      </c>
      <c r="K1495" s="1">
        <f t="shared" si="120"/>
        <v>4.0186440762812419</v>
      </c>
      <c r="L1495" s="1">
        <f t="shared" si="120"/>
        <v>5.084180756940829</v>
      </c>
      <c r="N1495">
        <f>I1495</f>
        <v>903600.81422206271</v>
      </c>
      <c r="O1495" s="1">
        <f>SUM(K$2:K1495)/$G$3</f>
        <v>0.18352863161884683</v>
      </c>
      <c r="P1495" s="1">
        <f>SUM(L$2:L1495)/$G$3</f>
        <v>0.19892542675461106</v>
      </c>
      <c r="Q1495" s="1">
        <f t="shared" si="116"/>
        <v>183.52863161884684</v>
      </c>
      <c r="R1495" s="1">
        <f t="shared" si="117"/>
        <v>198.92542675461107</v>
      </c>
    </row>
    <row r="1496" spans="1:18" x14ac:dyDescent="0.35">
      <c r="A1496">
        <v>10.4652872024181</v>
      </c>
      <c r="B1496">
        <v>1.4219848564486599</v>
      </c>
      <c r="C1496">
        <v>1.8025937313343099</v>
      </c>
      <c r="I1496" s="1">
        <f t="shared" si="118"/>
        <v>904200.81428892387</v>
      </c>
      <c r="J1496">
        <f t="shared" si="119"/>
        <v>600.00006686116103</v>
      </c>
      <c r="K1496" s="1">
        <f t="shared" si="120"/>
        <v>4.0099977420403459</v>
      </c>
      <c r="L1496" s="1">
        <f t="shared" si="120"/>
        <v>5.0833148888232493</v>
      </c>
      <c r="N1496">
        <f>I1496</f>
        <v>904200.81428892387</v>
      </c>
      <c r="O1496" s="1">
        <f>SUM(K$2:K1496)/$G$3</f>
        <v>0.18357019245982772</v>
      </c>
      <c r="P1496" s="1">
        <f>SUM(L$2:L1496)/$G$3</f>
        <v>0.19897811178221975</v>
      </c>
      <c r="Q1496" s="1">
        <f t="shared" si="116"/>
        <v>183.57019245982772</v>
      </c>
      <c r="R1496" s="1">
        <f t="shared" si="117"/>
        <v>198.97811178221974</v>
      </c>
    </row>
    <row r="1497" spans="1:18" x14ac:dyDescent="0.35">
      <c r="A1497">
        <v>10.4722316476364</v>
      </c>
      <c r="B1497">
        <v>1.41874350490981</v>
      </c>
      <c r="C1497">
        <v>1.8016514766768501</v>
      </c>
      <c r="I1497" s="1">
        <f t="shared" si="118"/>
        <v>904800.81435578503</v>
      </c>
      <c r="J1497">
        <f t="shared" si="119"/>
        <v>600.00006686116103</v>
      </c>
      <c r="K1497" s="1">
        <f t="shared" si="120"/>
        <v>4.0008571296822026</v>
      </c>
      <c r="L1497" s="1">
        <f t="shared" si="120"/>
        <v>5.0806577303931126</v>
      </c>
      <c r="N1497">
        <f>I1497</f>
        <v>904800.81435578503</v>
      </c>
      <c r="O1497" s="1">
        <f>SUM(K$2:K1497)/$G$3</f>
        <v>0.18361165856471121</v>
      </c>
      <c r="P1497" s="1">
        <f>SUM(L$2:L1497)/$G$3</f>
        <v>0.19903076927022711</v>
      </c>
      <c r="Q1497" s="1">
        <f t="shared" si="116"/>
        <v>183.61165856471121</v>
      </c>
      <c r="R1497" s="1">
        <f t="shared" si="117"/>
        <v>199.03076927022713</v>
      </c>
    </row>
    <row r="1498" spans="1:18" x14ac:dyDescent="0.35">
      <c r="A1498">
        <v>10.479176092854701</v>
      </c>
      <c r="B1498">
        <v>1.41683379543204</v>
      </c>
      <c r="C1498">
        <v>1.8001906328455599</v>
      </c>
      <c r="I1498" s="1">
        <f t="shared" si="118"/>
        <v>905400.81442264619</v>
      </c>
      <c r="J1498">
        <f t="shared" si="119"/>
        <v>600.00006686116103</v>
      </c>
      <c r="K1498" s="1">
        <f t="shared" si="120"/>
        <v>3.9954717483547699</v>
      </c>
      <c r="L1498" s="1">
        <f t="shared" si="120"/>
        <v>5.0765381503298075</v>
      </c>
      <c r="N1498">
        <f>I1498</f>
        <v>905400.81442264619</v>
      </c>
      <c r="O1498" s="1">
        <f>SUM(K$2:K1498)/$G$3</f>
        <v>0.18365306885385826</v>
      </c>
      <c r="P1498" s="1">
        <f>SUM(L$2:L1498)/$G$3</f>
        <v>0.19908338406164888</v>
      </c>
      <c r="Q1498" s="1">
        <f t="shared" si="116"/>
        <v>183.65306885385826</v>
      </c>
      <c r="R1498" s="1">
        <f t="shared" si="117"/>
        <v>199.08338406164887</v>
      </c>
    </row>
    <row r="1499" spans="1:18" x14ac:dyDescent="0.35">
      <c r="A1499">
        <v>10.486120538072999</v>
      </c>
      <c r="B1499">
        <v>1.41452762591877</v>
      </c>
      <c r="C1499">
        <v>1.8004098827634401</v>
      </c>
      <c r="I1499" s="1">
        <f t="shared" si="118"/>
        <v>906000.81448950712</v>
      </c>
      <c r="J1499">
        <f t="shared" si="119"/>
        <v>600.0000668609282</v>
      </c>
      <c r="K1499" s="1">
        <f t="shared" si="120"/>
        <v>3.9889683496010928</v>
      </c>
      <c r="L1499" s="1">
        <f t="shared" si="120"/>
        <v>5.0771564351651577</v>
      </c>
      <c r="N1499">
        <f>I1499</f>
        <v>906000.81448950712</v>
      </c>
      <c r="O1499" s="1">
        <f>SUM(K$2:K1499)/$G$3</f>
        <v>0.18369441173979495</v>
      </c>
      <c r="P1499" s="1">
        <f>SUM(L$2:L1499)/$G$3</f>
        <v>0.19913600526116346</v>
      </c>
      <c r="Q1499" s="1">
        <f t="shared" si="116"/>
        <v>183.69441173979496</v>
      </c>
      <c r="R1499" s="1">
        <f t="shared" si="117"/>
        <v>199.13600526116346</v>
      </c>
    </row>
    <row r="1500" spans="1:18" x14ac:dyDescent="0.35">
      <c r="A1500">
        <v>10.493064983291299</v>
      </c>
      <c r="B1500">
        <v>1.41250185956372</v>
      </c>
      <c r="C1500">
        <v>1.8003198737867001</v>
      </c>
      <c r="I1500" s="1">
        <f t="shared" si="118"/>
        <v>906600.81455636828</v>
      </c>
      <c r="J1500">
        <f t="shared" si="119"/>
        <v>600.00006686116103</v>
      </c>
      <c r="K1500" s="1">
        <f t="shared" si="120"/>
        <v>3.9832556878448075</v>
      </c>
      <c r="L1500" s="1">
        <f t="shared" si="120"/>
        <v>5.0769026098244359</v>
      </c>
      <c r="N1500">
        <f>I1500</f>
        <v>906600.81455636828</v>
      </c>
      <c r="O1500" s="1">
        <f>SUM(K$2:K1500)/$G$3</f>
        <v>0.18373569541796095</v>
      </c>
      <c r="P1500" s="1">
        <f>SUM(L$2:L1500)/$G$3</f>
        <v>0.19918862382995473</v>
      </c>
      <c r="Q1500" s="1">
        <f t="shared" si="116"/>
        <v>183.73569541796095</v>
      </c>
      <c r="R1500" s="1">
        <f t="shared" si="117"/>
        <v>199.18862382995474</v>
      </c>
    </row>
    <row r="1501" spans="1:18" x14ac:dyDescent="0.35">
      <c r="A1501">
        <v>10.5000094285096</v>
      </c>
      <c r="B1501">
        <v>1.4096140059370099</v>
      </c>
      <c r="C1501">
        <v>1.8000478878147901</v>
      </c>
      <c r="I1501" s="1">
        <f t="shared" si="118"/>
        <v>907200.81462322944</v>
      </c>
      <c r="J1501">
        <f t="shared" si="119"/>
        <v>600.00006686116103</v>
      </c>
      <c r="K1501" s="1">
        <f t="shared" si="120"/>
        <v>3.975111939709985</v>
      </c>
      <c r="L1501" s="1">
        <f t="shared" si="120"/>
        <v>5.0761356092981798</v>
      </c>
      <c r="N1501">
        <f>I1501</f>
        <v>907200.81462322944</v>
      </c>
      <c r="O1501" s="1">
        <f>SUM(K$2:K1501)/$G$3</f>
        <v>0.18377689469183472</v>
      </c>
      <c r="P1501" s="1">
        <f>SUM(L$2:L1501)/$G$3</f>
        <v>0.19924123444931835</v>
      </c>
      <c r="Q1501" s="1">
        <f t="shared" si="116"/>
        <v>183.77689469183471</v>
      </c>
      <c r="R1501" s="1">
        <f t="shared" si="117"/>
        <v>199.24123444931834</v>
      </c>
    </row>
    <row r="1502" spans="1:18" x14ac:dyDescent="0.35">
      <c r="A1502">
        <v>10.5069538737279</v>
      </c>
      <c r="B1502">
        <v>1.40678574931193</v>
      </c>
      <c r="C1502">
        <v>1.7993993184450201</v>
      </c>
      <c r="I1502" s="1">
        <f t="shared" si="118"/>
        <v>907800.8146900906</v>
      </c>
      <c r="J1502">
        <f t="shared" si="119"/>
        <v>600.00006686116103</v>
      </c>
      <c r="K1502" s="1">
        <f t="shared" si="120"/>
        <v>3.9671362551384868</v>
      </c>
      <c r="L1502" s="1">
        <f t="shared" si="120"/>
        <v>5.0743066434716164</v>
      </c>
      <c r="N1502">
        <f>I1502</f>
        <v>907800.8146900906</v>
      </c>
      <c r="O1502" s="1">
        <f>SUM(K$2:K1502)/$G$3</f>
        <v>0.18381801130327835</v>
      </c>
      <c r="P1502" s="1">
        <f>SUM(L$2:L1502)/$G$3</f>
        <v>0.1992938261127217</v>
      </c>
      <c r="Q1502" s="1">
        <f t="shared" si="116"/>
        <v>183.81801130327835</v>
      </c>
      <c r="R1502" s="1">
        <f t="shared" si="117"/>
        <v>199.29382611272169</v>
      </c>
    </row>
    <row r="1503" spans="1:18" x14ac:dyDescent="0.35">
      <c r="A1503">
        <v>10.5138983189462</v>
      </c>
      <c r="B1503">
        <v>1.40380327586979</v>
      </c>
      <c r="C1503">
        <v>1.7987980453457599</v>
      </c>
      <c r="I1503" s="1">
        <f t="shared" si="118"/>
        <v>908400.81475695176</v>
      </c>
      <c r="J1503">
        <f t="shared" si="119"/>
        <v>600.00006686116103</v>
      </c>
      <c r="K1503" s="1">
        <f t="shared" si="120"/>
        <v>3.9587256790944174</v>
      </c>
      <c r="L1503" s="1">
        <f t="shared" si="120"/>
        <v>5.0726110531427535</v>
      </c>
      <c r="N1503">
        <f>I1503</f>
        <v>908400.81475695176</v>
      </c>
      <c r="O1503" s="1">
        <f>SUM(K$2:K1503)/$G$3</f>
        <v>0.18385904074494383</v>
      </c>
      <c r="P1503" s="1">
        <f>SUM(L$2:L1503)/$G$3</f>
        <v>0.19934640020250916</v>
      </c>
      <c r="Q1503" s="1">
        <f t="shared" si="116"/>
        <v>183.85904074494383</v>
      </c>
      <c r="R1503" s="1">
        <f t="shared" si="117"/>
        <v>199.34640020250916</v>
      </c>
    </row>
    <row r="1504" spans="1:18" x14ac:dyDescent="0.35">
      <c r="A1504">
        <v>10.520842764164501</v>
      </c>
      <c r="B1504">
        <v>1.40095125452505</v>
      </c>
      <c r="C1504">
        <v>1.79834072693112</v>
      </c>
      <c r="I1504" s="1">
        <f t="shared" si="118"/>
        <v>909000.81482381281</v>
      </c>
      <c r="J1504">
        <f t="shared" si="119"/>
        <v>600.00006686104462</v>
      </c>
      <c r="K1504" s="1">
        <f t="shared" si="120"/>
        <v>3.9506829780052435</v>
      </c>
      <c r="L1504" s="1">
        <f t="shared" si="120"/>
        <v>5.0713214150687751</v>
      </c>
      <c r="N1504">
        <f>I1504</f>
        <v>909000.81482381281</v>
      </c>
      <c r="O1504" s="1">
        <f>SUM(K$2:K1504)/$G$3</f>
        <v>0.18389998682959952</v>
      </c>
      <c r="P1504" s="1">
        <f>SUM(L$2:L1504)/$G$3</f>
        <v>0.19939896092609385</v>
      </c>
      <c r="Q1504" s="1">
        <f t="shared" si="116"/>
        <v>183.89998682959953</v>
      </c>
      <c r="R1504" s="1">
        <f t="shared" si="117"/>
        <v>199.39896092609385</v>
      </c>
    </row>
    <row r="1505" spans="1:18" x14ac:dyDescent="0.35">
      <c r="A1505">
        <v>10.5277872093829</v>
      </c>
      <c r="B1505">
        <v>1.3983136581437601</v>
      </c>
      <c r="C1505">
        <v>1.79747975581696</v>
      </c>
      <c r="I1505" s="1">
        <f t="shared" si="118"/>
        <v>909600.81489068258</v>
      </c>
      <c r="J1505">
        <f t="shared" si="119"/>
        <v>600.00006686977576</v>
      </c>
      <c r="K1505" s="1">
        <f t="shared" si="120"/>
        <v>3.9432449554385314</v>
      </c>
      <c r="L1505" s="1">
        <f t="shared" si="120"/>
        <v>5.0688934763300484</v>
      </c>
      <c r="N1505">
        <f>I1505</f>
        <v>909600.81489068258</v>
      </c>
      <c r="O1505" s="1">
        <f>SUM(K$2:K1505)/$G$3</f>
        <v>0.18394085582431827</v>
      </c>
      <c r="P1505" s="1">
        <f>SUM(L$2:L1505)/$G$3</f>
        <v>0.19945149648578012</v>
      </c>
      <c r="Q1505" s="1">
        <f t="shared" si="116"/>
        <v>183.94085582431828</v>
      </c>
      <c r="R1505" s="1">
        <f t="shared" si="117"/>
        <v>199.45149648578013</v>
      </c>
    </row>
    <row r="1506" spans="1:18" x14ac:dyDescent="0.35">
      <c r="A1506">
        <v>10.534731654601201</v>
      </c>
      <c r="B1506">
        <v>1.39573274896002</v>
      </c>
      <c r="C1506">
        <v>1.7970423437934999</v>
      </c>
      <c r="I1506" s="1">
        <f t="shared" si="118"/>
        <v>910200.81495754374</v>
      </c>
      <c r="J1506">
        <f t="shared" si="119"/>
        <v>600.00006686116103</v>
      </c>
      <c r="K1506" s="1">
        <f t="shared" si="120"/>
        <v>3.9359667906727234</v>
      </c>
      <c r="L1506" s="1">
        <f t="shared" si="120"/>
        <v>5.0676599742136563</v>
      </c>
      <c r="N1506">
        <f>I1506</f>
        <v>910200.81495754374</v>
      </c>
      <c r="O1506" s="1">
        <f>SUM(K$2:K1506)/$G$3</f>
        <v>0.1839816493859151</v>
      </c>
      <c r="P1506" s="1">
        <f>SUM(L$2:L1506)/$G$3</f>
        <v>0.19950401926107383</v>
      </c>
      <c r="Q1506" s="1">
        <f t="shared" si="116"/>
        <v>183.98164938591509</v>
      </c>
      <c r="R1506" s="1">
        <f t="shared" si="117"/>
        <v>199.50401926107384</v>
      </c>
    </row>
    <row r="1507" spans="1:18" x14ac:dyDescent="0.35">
      <c r="A1507">
        <v>10.541676099819499</v>
      </c>
      <c r="B1507">
        <v>1.3932622315479199</v>
      </c>
      <c r="C1507">
        <v>1.7963911828594501</v>
      </c>
      <c r="I1507" s="1">
        <f t="shared" si="118"/>
        <v>910800.81502440467</v>
      </c>
      <c r="J1507">
        <f t="shared" si="119"/>
        <v>600.0000668609282</v>
      </c>
      <c r="K1507" s="1">
        <f t="shared" si="120"/>
        <v>3.928999930792723</v>
      </c>
      <c r="L1507" s="1">
        <f t="shared" si="120"/>
        <v>5.065823700173044</v>
      </c>
      <c r="N1507">
        <f>I1507</f>
        <v>910800.81502440467</v>
      </c>
      <c r="O1507" s="1">
        <f>SUM(K$2:K1507)/$G$3</f>
        <v>0.18402237074084896</v>
      </c>
      <c r="P1507" s="1">
        <f>SUM(L$2:L1507)/$G$3</f>
        <v>0.19955652300466273</v>
      </c>
      <c r="Q1507" s="1">
        <f t="shared" si="116"/>
        <v>184.02237074084897</v>
      </c>
      <c r="R1507" s="1">
        <f t="shared" si="117"/>
        <v>199.55652300466272</v>
      </c>
    </row>
    <row r="1508" spans="1:18" x14ac:dyDescent="0.35">
      <c r="A1508">
        <v>10.548620545037799</v>
      </c>
      <c r="B1508">
        <v>1.39052400247481</v>
      </c>
      <c r="C1508">
        <v>1.7953200847212301</v>
      </c>
      <c r="I1508" s="1">
        <f t="shared" si="118"/>
        <v>911400.81509126583</v>
      </c>
      <c r="J1508">
        <f t="shared" si="119"/>
        <v>600.00006686116103</v>
      </c>
      <c r="K1508" s="1">
        <f t="shared" si="120"/>
        <v>3.9212781239475958</v>
      </c>
      <c r="L1508" s="1">
        <f t="shared" si="120"/>
        <v>5.0628032030886398</v>
      </c>
      <c r="N1508">
        <f>I1508</f>
        <v>911400.81509126583</v>
      </c>
      <c r="O1508" s="1">
        <f>SUM(K$2:K1508)/$G$3</f>
        <v>0.18406301206461895</v>
      </c>
      <c r="P1508" s="1">
        <f>SUM(L$2:L1508)/$G$3</f>
        <v>0.19960899544289756</v>
      </c>
      <c r="Q1508" s="1">
        <f t="shared" si="116"/>
        <v>184.06301206461896</v>
      </c>
      <c r="R1508" s="1">
        <f t="shared" si="117"/>
        <v>199.60899544289757</v>
      </c>
    </row>
    <row r="1509" spans="1:18" x14ac:dyDescent="0.35">
      <c r="A1509">
        <v>10.5555649902561</v>
      </c>
      <c r="B1509">
        <v>1.38712999052126</v>
      </c>
      <c r="C1509">
        <v>1.79511635183164</v>
      </c>
      <c r="I1509" s="1">
        <f t="shared" si="118"/>
        <v>912000.81515812699</v>
      </c>
      <c r="J1509">
        <f t="shared" si="119"/>
        <v>600.00006686116103</v>
      </c>
      <c r="K1509" s="1">
        <f t="shared" si="120"/>
        <v>3.9117070091720252</v>
      </c>
      <c r="L1509" s="1">
        <f t="shared" si="120"/>
        <v>5.0622286762759732</v>
      </c>
      <c r="N1509">
        <f>I1509</f>
        <v>912000.81515812699</v>
      </c>
      <c r="O1509" s="1">
        <f>SUM(K$2:K1509)/$G$3</f>
        <v>0.18410355419043301</v>
      </c>
      <c r="P1509" s="1">
        <f>SUM(L$2:L1509)/$G$3</f>
        <v>0.19966146192656109</v>
      </c>
      <c r="Q1509" s="1">
        <f t="shared" si="116"/>
        <v>184.10355419043302</v>
      </c>
      <c r="R1509" s="1">
        <f t="shared" si="117"/>
        <v>199.66146192656109</v>
      </c>
    </row>
    <row r="1510" spans="1:18" x14ac:dyDescent="0.35">
      <c r="A1510">
        <v>10.5625094354744</v>
      </c>
      <c r="B1510">
        <v>1.3848203407926201</v>
      </c>
      <c r="C1510">
        <v>1.79473215293082</v>
      </c>
      <c r="I1510" s="1">
        <f t="shared" si="118"/>
        <v>912600.81522498815</v>
      </c>
      <c r="J1510">
        <f t="shared" si="119"/>
        <v>600.00006686116103</v>
      </c>
      <c r="K1510" s="1">
        <f t="shared" si="120"/>
        <v>3.9051937962114587</v>
      </c>
      <c r="L1510" s="1">
        <f t="shared" si="120"/>
        <v>5.0611452352549273</v>
      </c>
      <c r="N1510">
        <f>I1510</f>
        <v>912600.81522498815</v>
      </c>
      <c r="O1510" s="1">
        <f>SUM(K$2:K1510)/$G$3</f>
        <v>0.18414402881131925</v>
      </c>
      <c r="P1510" s="1">
        <f>SUM(L$2:L1510)/$G$3</f>
        <v>0.19971391718111106</v>
      </c>
      <c r="Q1510" s="1">
        <f t="shared" si="116"/>
        <v>184.14402881131926</v>
      </c>
      <c r="R1510" s="1">
        <f t="shared" si="117"/>
        <v>199.71391718111107</v>
      </c>
    </row>
    <row r="1511" spans="1:18" x14ac:dyDescent="0.35">
      <c r="A1511">
        <v>10.5694538806927</v>
      </c>
      <c r="B1511">
        <v>1.3816297402022399</v>
      </c>
      <c r="C1511">
        <v>1.79491014483996</v>
      </c>
      <c r="I1511" s="1">
        <f t="shared" si="118"/>
        <v>913200.81529184931</v>
      </c>
      <c r="J1511">
        <f t="shared" si="119"/>
        <v>600.00006686116103</v>
      </c>
      <c r="K1511" s="1">
        <f t="shared" si="120"/>
        <v>3.8961963015439491</v>
      </c>
      <c r="L1511" s="1">
        <f t="shared" si="120"/>
        <v>5.0616471724946361</v>
      </c>
      <c r="N1511">
        <f>I1511</f>
        <v>913200.81529184931</v>
      </c>
      <c r="O1511" s="1">
        <f>SUM(K$2:K1511)/$G$3</f>
        <v>0.18418441017942355</v>
      </c>
      <c r="P1511" s="1">
        <f>SUM(L$2:L1511)/$G$3</f>
        <v>0.19976637763789185</v>
      </c>
      <c r="Q1511" s="1">
        <f t="shared" si="116"/>
        <v>184.18441017942357</v>
      </c>
      <c r="R1511" s="1">
        <f t="shared" si="117"/>
        <v>199.76637763789185</v>
      </c>
    </row>
    <row r="1512" spans="1:18" x14ac:dyDescent="0.35">
      <c r="A1512">
        <v>10.576398325911001</v>
      </c>
      <c r="B1512">
        <v>1.3789742569758701</v>
      </c>
      <c r="C1512">
        <v>1.7941159501687001</v>
      </c>
      <c r="I1512" s="1">
        <f t="shared" si="118"/>
        <v>913800.81535871048</v>
      </c>
      <c r="J1512">
        <f t="shared" si="119"/>
        <v>600.00006686116103</v>
      </c>
      <c r="K1512" s="1">
        <f t="shared" si="120"/>
        <v>3.8887078380111069</v>
      </c>
      <c r="L1512" s="1">
        <f t="shared" si="120"/>
        <v>5.0594075432721093</v>
      </c>
      <c r="N1512">
        <f>I1512</f>
        <v>913800.81535871048</v>
      </c>
      <c r="O1512" s="1">
        <f>SUM(K$2:K1512)/$G$3</f>
        <v>0.18422471393480533</v>
      </c>
      <c r="P1512" s="1">
        <f>SUM(L$2:L1512)/$G$3</f>
        <v>0.19981881488247152</v>
      </c>
      <c r="Q1512" s="1">
        <f t="shared" si="116"/>
        <v>184.22471393480532</v>
      </c>
      <c r="R1512" s="1">
        <f t="shared" si="117"/>
        <v>199.81881488247151</v>
      </c>
    </row>
    <row r="1513" spans="1:18" x14ac:dyDescent="0.35">
      <c r="A1513">
        <v>10.583342771129301</v>
      </c>
      <c r="B1513">
        <v>1.37554124760128</v>
      </c>
      <c r="C1513">
        <v>1.7934896226247801</v>
      </c>
      <c r="I1513" s="1">
        <f t="shared" si="118"/>
        <v>914400.81542557164</v>
      </c>
      <c r="J1513">
        <f t="shared" si="119"/>
        <v>600.00006686116103</v>
      </c>
      <c r="K1513" s="1">
        <f t="shared" si="120"/>
        <v>3.879026750495949</v>
      </c>
      <c r="L1513" s="1">
        <f t="shared" si="120"/>
        <v>5.0576412994014328</v>
      </c>
      <c r="N1513">
        <f>I1513</f>
        <v>914400.81542557164</v>
      </c>
      <c r="O1513" s="1">
        <f>SUM(K$2:K1513)/$G$3</f>
        <v>0.18426491735244013</v>
      </c>
      <c r="P1513" s="1">
        <f>SUM(L$2:L1513)/$G$3</f>
        <v>0.19987123382116045</v>
      </c>
      <c r="Q1513" s="1">
        <f t="shared" si="116"/>
        <v>184.26491735244014</v>
      </c>
      <c r="R1513" s="1">
        <f t="shared" si="117"/>
        <v>199.87123382116044</v>
      </c>
    </row>
    <row r="1514" spans="1:18" x14ac:dyDescent="0.35">
      <c r="A1514">
        <v>10.590287216347599</v>
      </c>
      <c r="B1514">
        <v>1.37272007317105</v>
      </c>
      <c r="C1514">
        <v>1.79252779894051</v>
      </c>
      <c r="I1514" s="1">
        <f t="shared" si="118"/>
        <v>915000.81549243256</v>
      </c>
      <c r="J1514">
        <f t="shared" si="119"/>
        <v>600.0000668609282</v>
      </c>
      <c r="K1514" s="1">
        <f t="shared" si="120"/>
        <v>3.8710710377146511</v>
      </c>
      <c r="L1514" s="1">
        <f t="shared" si="120"/>
        <v>5.0549289563075783</v>
      </c>
      <c r="N1514">
        <f>I1514</f>
        <v>915000.81549243256</v>
      </c>
      <c r="O1514" s="1">
        <f>SUM(K$2:K1514)/$G$3</f>
        <v>0.1843050383146386</v>
      </c>
      <c r="P1514" s="1">
        <f>SUM(L$2:L1514)/$G$3</f>
        <v>0.19992362464829738</v>
      </c>
      <c r="Q1514" s="1">
        <f t="shared" si="116"/>
        <v>184.30503831463861</v>
      </c>
      <c r="R1514" s="1">
        <f t="shared" si="117"/>
        <v>199.92362464829739</v>
      </c>
    </row>
    <row r="1515" spans="1:18" x14ac:dyDescent="0.35">
      <c r="A1515">
        <v>10.5972316615659</v>
      </c>
      <c r="B1515">
        <v>1.3699109134721299</v>
      </c>
      <c r="C1515">
        <v>1.7917052437725001</v>
      </c>
      <c r="I1515" s="1">
        <f t="shared" si="118"/>
        <v>915600.81555929373</v>
      </c>
      <c r="J1515">
        <f t="shared" si="119"/>
        <v>600.00006686116103</v>
      </c>
      <c r="K1515" s="1">
        <f t="shared" si="120"/>
        <v>3.8631492064824271</v>
      </c>
      <c r="L1515" s="1">
        <f t="shared" si="120"/>
        <v>5.0526093504772671</v>
      </c>
      <c r="N1515">
        <f>I1515</f>
        <v>915600.81555929373</v>
      </c>
      <c r="O1515" s="1">
        <f>SUM(K$2:K1515)/$G$3</f>
        <v>0.18434507717255932</v>
      </c>
      <c r="P1515" s="1">
        <f>SUM(L$2:L1515)/$G$3</f>
        <v>0.19997599143433126</v>
      </c>
      <c r="Q1515" s="1">
        <f t="shared" si="116"/>
        <v>184.34507717255931</v>
      </c>
      <c r="R1515" s="1">
        <f t="shared" si="117"/>
        <v>199.97599143433126</v>
      </c>
    </row>
    <row r="1516" spans="1:18" x14ac:dyDescent="0.35">
      <c r="A1516">
        <v>10.6041761067842</v>
      </c>
      <c r="B1516">
        <v>1.36685423832251</v>
      </c>
      <c r="C1516">
        <v>1.7903880884646499</v>
      </c>
      <c r="I1516" s="1">
        <f t="shared" si="118"/>
        <v>916200.81562615489</v>
      </c>
      <c r="J1516">
        <f t="shared" si="119"/>
        <v>600.00006686116103</v>
      </c>
      <c r="K1516" s="1">
        <f t="shared" si="120"/>
        <v>3.8545293815999462</v>
      </c>
      <c r="L1516" s="1">
        <f t="shared" si="120"/>
        <v>5.0488949720952174</v>
      </c>
      <c r="N1516">
        <f>I1516</f>
        <v>916200.81562615489</v>
      </c>
      <c r="O1516" s="1">
        <f>SUM(K$2:K1516)/$G$3</f>
        <v>0.18438502669198303</v>
      </c>
      <c r="P1516" s="1">
        <f>SUM(L$2:L1516)/$G$3</f>
        <v>0.20002831972341345</v>
      </c>
      <c r="Q1516" s="1">
        <f t="shared" si="116"/>
        <v>184.38502669198303</v>
      </c>
      <c r="R1516" s="1">
        <f t="shared" si="117"/>
        <v>200.02831972341346</v>
      </c>
    </row>
    <row r="1517" spans="1:18" x14ac:dyDescent="0.35">
      <c r="A1517">
        <v>10.6111205520025</v>
      </c>
      <c r="B1517">
        <v>1.36448208431312</v>
      </c>
      <c r="C1517">
        <v>1.78955417494319</v>
      </c>
      <c r="I1517" s="1">
        <f t="shared" si="118"/>
        <v>916800.81569301605</v>
      </c>
      <c r="J1517">
        <f t="shared" si="119"/>
        <v>600.00006686116103</v>
      </c>
      <c r="K1517" s="1">
        <f t="shared" si="120"/>
        <v>3.8478399065480238</v>
      </c>
      <c r="L1517" s="1">
        <f t="shared" si="120"/>
        <v>5.046543335702645</v>
      </c>
      <c r="N1517">
        <f>I1517</f>
        <v>916800.81569301605</v>
      </c>
      <c r="O1517" s="1">
        <f>SUM(K$2:K1517)/$G$3</f>
        <v>0.18442490687964486</v>
      </c>
      <c r="P1517" s="1">
        <f>SUM(L$2:L1517)/$G$3</f>
        <v>0.20008062363941803</v>
      </c>
      <c r="Q1517" s="1">
        <f t="shared" si="116"/>
        <v>184.42490687964485</v>
      </c>
      <c r="R1517" s="1">
        <f t="shared" si="117"/>
        <v>200.08062363941804</v>
      </c>
    </row>
    <row r="1518" spans="1:18" x14ac:dyDescent="0.35">
      <c r="A1518">
        <v>10.618064997220801</v>
      </c>
      <c r="B1518">
        <v>1.3615465041741901</v>
      </c>
      <c r="C1518">
        <v>1.78933403992799</v>
      </c>
      <c r="I1518" s="1">
        <f t="shared" si="118"/>
        <v>917400.81575987721</v>
      </c>
      <c r="J1518">
        <f t="shared" si="119"/>
        <v>600.00006686116103</v>
      </c>
      <c r="K1518" s="1">
        <f t="shared" si="120"/>
        <v>3.8395615696337426</v>
      </c>
      <c r="L1518" s="1">
        <f t="shared" si="120"/>
        <v>5.0459225548906037</v>
      </c>
      <c r="N1518">
        <f>I1518</f>
        <v>917400.81575987721</v>
      </c>
      <c r="O1518" s="1">
        <f>SUM(K$2:K1518)/$G$3</f>
        <v>0.18446470126809525</v>
      </c>
      <c r="P1518" s="1">
        <f>SUM(L$2:L1518)/$G$3</f>
        <v>0.20013292112146075</v>
      </c>
      <c r="Q1518" s="1">
        <f t="shared" si="116"/>
        <v>184.46470126809524</v>
      </c>
      <c r="R1518" s="1">
        <f t="shared" si="117"/>
        <v>200.13292112146075</v>
      </c>
    </row>
    <row r="1519" spans="1:18" x14ac:dyDescent="0.35">
      <c r="A1519">
        <v>10.625009442439101</v>
      </c>
      <c r="B1519">
        <v>1.3576477135104299</v>
      </c>
      <c r="C1519">
        <v>1.7886477685453499</v>
      </c>
      <c r="I1519" s="1">
        <f t="shared" si="118"/>
        <v>918000.81582673837</v>
      </c>
      <c r="J1519">
        <f t="shared" si="119"/>
        <v>600.00006686116103</v>
      </c>
      <c r="K1519" s="1">
        <f t="shared" si="120"/>
        <v>3.8285669787367533</v>
      </c>
      <c r="L1519" s="1">
        <f t="shared" si="120"/>
        <v>5.0439872693758989</v>
      </c>
      <c r="N1519">
        <f>I1519</f>
        <v>918000.81582673837</v>
      </c>
      <c r="O1519" s="1">
        <f>SUM(K$2:K1519)/$G$3</f>
        <v>0.18450438170524855</v>
      </c>
      <c r="P1519" s="1">
        <f>SUM(L$2:L1519)/$G$3</f>
        <v>0.20018519854561348</v>
      </c>
      <c r="Q1519" s="1">
        <f t="shared" si="116"/>
        <v>184.50438170524856</v>
      </c>
      <c r="R1519" s="1">
        <f t="shared" si="117"/>
        <v>200.18519854561347</v>
      </c>
    </row>
    <row r="1520" spans="1:18" x14ac:dyDescent="0.35">
      <c r="A1520">
        <v>10.631953887657399</v>
      </c>
      <c r="B1520">
        <v>1.3548803033038099</v>
      </c>
      <c r="C1520">
        <v>1.7883949968095101</v>
      </c>
      <c r="I1520" s="1">
        <f t="shared" si="118"/>
        <v>918600.8158935993</v>
      </c>
      <c r="J1520">
        <f t="shared" si="119"/>
        <v>600.0000668609282</v>
      </c>
      <c r="K1520" s="1">
        <f t="shared" si="120"/>
        <v>3.8207628810829508</v>
      </c>
      <c r="L1520" s="1">
        <f t="shared" si="120"/>
        <v>5.0432744529994418</v>
      </c>
      <c r="N1520">
        <f>I1520</f>
        <v>918600.8158935993</v>
      </c>
      <c r="O1520" s="1">
        <f>SUM(K$2:K1520)/$G$3</f>
        <v>0.18454398125835092</v>
      </c>
      <c r="P1520" s="1">
        <f>SUM(L$2:L1520)/$G$3</f>
        <v>0.20023746858191965</v>
      </c>
      <c r="Q1520" s="1">
        <f t="shared" si="116"/>
        <v>184.54398125835093</v>
      </c>
      <c r="R1520" s="1">
        <f t="shared" si="117"/>
        <v>200.23746858191964</v>
      </c>
    </row>
    <row r="1521" spans="1:18" x14ac:dyDescent="0.35">
      <c r="A1521">
        <v>10.6388983328757</v>
      </c>
      <c r="B1521">
        <v>1.3515739185912099</v>
      </c>
      <c r="C1521">
        <v>1.7873725446823701</v>
      </c>
      <c r="I1521" s="1">
        <f t="shared" si="118"/>
        <v>919200.81596046046</v>
      </c>
      <c r="J1521">
        <f t="shared" si="119"/>
        <v>600.00006686116103</v>
      </c>
      <c r="K1521" s="1">
        <f t="shared" si="120"/>
        <v>3.8114388751558783</v>
      </c>
      <c r="L1521" s="1">
        <f t="shared" si="120"/>
        <v>5.0403911376815609</v>
      </c>
      <c r="N1521">
        <f>I1521</f>
        <v>919200.81596046046</v>
      </c>
      <c r="O1521" s="1">
        <f>SUM(K$2:K1521)/$G$3</f>
        <v>0.18458348417460893</v>
      </c>
      <c r="P1521" s="1">
        <f>SUM(L$2:L1521)/$G$3</f>
        <v>0.20028970873466548</v>
      </c>
      <c r="Q1521" s="1">
        <f t="shared" si="116"/>
        <v>184.58348417460894</v>
      </c>
      <c r="R1521" s="1">
        <f t="shared" si="117"/>
        <v>200.28970873466548</v>
      </c>
    </row>
    <row r="1522" spans="1:18" x14ac:dyDescent="0.35">
      <c r="A1522">
        <v>10.645842778094</v>
      </c>
      <c r="B1522">
        <v>1.3481632690208301</v>
      </c>
      <c r="C1522">
        <v>1.7867018118423901</v>
      </c>
      <c r="I1522" s="1">
        <f t="shared" si="118"/>
        <v>919800.81602732162</v>
      </c>
      <c r="J1522">
        <f t="shared" si="119"/>
        <v>600.00006686116103</v>
      </c>
      <c r="K1522" s="1">
        <f t="shared" si="120"/>
        <v>3.8018208422956197</v>
      </c>
      <c r="L1522" s="1">
        <f t="shared" si="120"/>
        <v>5.0384996708620404</v>
      </c>
      <c r="N1522">
        <f>I1522</f>
        <v>919800.81602732162</v>
      </c>
      <c r="O1522" s="1">
        <f>SUM(K$2:K1522)/$G$3</f>
        <v>0.18462288740663771</v>
      </c>
      <c r="P1522" s="1">
        <f>SUM(L$2:L1522)/$G$3</f>
        <v>0.20034192928367167</v>
      </c>
      <c r="Q1522" s="1">
        <f t="shared" si="116"/>
        <v>184.62288740663772</v>
      </c>
      <c r="R1522" s="1">
        <f t="shared" si="117"/>
        <v>200.34192928367167</v>
      </c>
    </row>
    <row r="1523" spans="1:18" x14ac:dyDescent="0.35">
      <c r="A1523">
        <v>10.6527872233124</v>
      </c>
      <c r="B1523">
        <v>1.345093433705</v>
      </c>
      <c r="C1523">
        <v>1.78521022615859</v>
      </c>
      <c r="I1523" s="1">
        <f t="shared" si="118"/>
        <v>920400.81609419128</v>
      </c>
      <c r="J1523">
        <f t="shared" si="119"/>
        <v>600.00006686965935</v>
      </c>
      <c r="K1523" s="1">
        <f t="shared" si="120"/>
        <v>3.7931639057940165</v>
      </c>
      <c r="L1523" s="1">
        <f t="shared" si="120"/>
        <v>5.0342933988363026</v>
      </c>
      <c r="N1523">
        <f>I1523</f>
        <v>920400.81609419128</v>
      </c>
      <c r="O1523" s="1">
        <f>SUM(K$2:K1523)/$G$3</f>
        <v>0.18466220091553331</v>
      </c>
      <c r="P1523" s="1">
        <f>SUM(L$2:L1523)/$G$3</f>
        <v>0.20039410623759027</v>
      </c>
      <c r="Q1523" s="1">
        <f t="shared" si="116"/>
        <v>184.6622009155333</v>
      </c>
      <c r="R1523" s="1">
        <f t="shared" si="117"/>
        <v>200.39410623759028</v>
      </c>
    </row>
    <row r="1524" spans="1:18" x14ac:dyDescent="0.35">
      <c r="A1524">
        <v>10.6597316685307</v>
      </c>
      <c r="B1524">
        <v>1.3413625765558299</v>
      </c>
      <c r="C1524">
        <v>1.7848783146560001</v>
      </c>
      <c r="I1524" s="1">
        <f t="shared" si="118"/>
        <v>921000.81616105244</v>
      </c>
      <c r="J1524">
        <f t="shared" si="119"/>
        <v>600.00006686116103</v>
      </c>
      <c r="K1524" s="1">
        <f t="shared" si="120"/>
        <v>3.7826428874072193</v>
      </c>
      <c r="L1524" s="1">
        <f t="shared" si="120"/>
        <v>5.0333574082233916</v>
      </c>
      <c r="N1524">
        <f>I1524</f>
        <v>921000.81616105244</v>
      </c>
      <c r="O1524" s="1">
        <f>SUM(K$2:K1524)/$G$3</f>
        <v>0.18470140538138197</v>
      </c>
      <c r="P1524" s="1">
        <f>SUM(L$2:L1524)/$G$3</f>
        <v>0.20044627349061639</v>
      </c>
      <c r="Q1524" s="1">
        <f t="shared" si="116"/>
        <v>184.70140538138196</v>
      </c>
      <c r="R1524" s="1">
        <f t="shared" si="117"/>
        <v>200.44627349061639</v>
      </c>
    </row>
    <row r="1525" spans="1:18" x14ac:dyDescent="0.35">
      <c r="A1525">
        <v>10.666676113749</v>
      </c>
      <c r="B1525">
        <v>1.3383614372181201</v>
      </c>
      <c r="C1525">
        <v>1.7841961947398499</v>
      </c>
      <c r="I1525" s="1">
        <f t="shared" si="118"/>
        <v>921600.8162279136</v>
      </c>
      <c r="J1525">
        <f t="shared" si="119"/>
        <v>600.00006686116103</v>
      </c>
      <c r="K1525" s="1">
        <f t="shared" si="120"/>
        <v>3.7741796735317763</v>
      </c>
      <c r="L1525" s="1">
        <f t="shared" si="120"/>
        <v>5.0314338298454944</v>
      </c>
      <c r="N1525">
        <f>I1525</f>
        <v>921600.8162279136</v>
      </c>
      <c r="O1525" s="1">
        <f>SUM(K$2:K1525)/$G$3</f>
        <v>0.1847405221318979</v>
      </c>
      <c r="P1525" s="1">
        <f>SUM(L$2:L1525)/$G$3</f>
        <v>0.20049842080708885</v>
      </c>
      <c r="Q1525" s="1">
        <f t="shared" si="116"/>
        <v>184.7405221318979</v>
      </c>
      <c r="R1525" s="1">
        <f t="shared" si="117"/>
        <v>200.49842080708885</v>
      </c>
    </row>
    <row r="1526" spans="1:18" x14ac:dyDescent="0.35">
      <c r="A1526">
        <v>10.673620558967301</v>
      </c>
      <c r="B1526">
        <v>1.3352337241858201</v>
      </c>
      <c r="C1526">
        <v>1.78304871651745</v>
      </c>
      <c r="I1526" s="1">
        <f t="shared" si="118"/>
        <v>922200.81629477476</v>
      </c>
      <c r="J1526">
        <f t="shared" si="119"/>
        <v>600.00006686116103</v>
      </c>
      <c r="K1526" s="1">
        <f t="shared" si="120"/>
        <v>3.7653595217978153</v>
      </c>
      <c r="L1526" s="1">
        <f t="shared" si="120"/>
        <v>5.0281979408977344</v>
      </c>
      <c r="N1526">
        <f>I1526</f>
        <v>922200.81629477476</v>
      </c>
      <c r="O1526" s="1">
        <f>SUM(K$2:K1526)/$G$3</f>
        <v>0.1847795474676682</v>
      </c>
      <c r="P1526" s="1">
        <f>SUM(L$2:L1526)/$G$3</f>
        <v>0.20055053458582023</v>
      </c>
      <c r="Q1526" s="1">
        <f t="shared" si="116"/>
        <v>184.77954746766821</v>
      </c>
      <c r="R1526" s="1">
        <f t="shared" si="117"/>
        <v>200.55053458582023</v>
      </c>
    </row>
    <row r="1527" spans="1:18" x14ac:dyDescent="0.35">
      <c r="A1527">
        <v>10.680565004185601</v>
      </c>
      <c r="B1527">
        <v>1.3322423814827999</v>
      </c>
      <c r="C1527">
        <v>1.7825411652441701</v>
      </c>
      <c r="I1527" s="1">
        <f t="shared" si="118"/>
        <v>922800.81636163592</v>
      </c>
      <c r="J1527">
        <f t="shared" si="119"/>
        <v>600.00006686116103</v>
      </c>
      <c r="K1527" s="1">
        <f t="shared" si="120"/>
        <v>3.7569239344352763</v>
      </c>
      <c r="L1527" s="1">
        <f t="shared" si="120"/>
        <v>5.0267666461475882</v>
      </c>
      <c r="N1527">
        <f>I1527</f>
        <v>922800.81636163592</v>
      </c>
      <c r="O1527" s="1">
        <f>SUM(K$2:K1527)/$G$3</f>
        <v>0.1848184853744354</v>
      </c>
      <c r="P1527" s="1">
        <f>SUM(L$2:L1527)/$G$3</f>
        <v>0.20060263353017579</v>
      </c>
      <c r="Q1527" s="1">
        <f t="shared" si="116"/>
        <v>184.8184853744354</v>
      </c>
      <c r="R1527" s="1">
        <f t="shared" si="117"/>
        <v>200.60263353017581</v>
      </c>
    </row>
    <row r="1528" spans="1:18" x14ac:dyDescent="0.35">
      <c r="A1528">
        <v>10.687509449403899</v>
      </c>
      <c r="B1528">
        <v>1.3290638325425499</v>
      </c>
      <c r="C1528">
        <v>1.78128482291781</v>
      </c>
      <c r="I1528" s="1">
        <f t="shared" si="118"/>
        <v>923400.81642849685</v>
      </c>
      <c r="J1528">
        <f t="shared" si="119"/>
        <v>600.0000668609282</v>
      </c>
      <c r="K1528" s="1">
        <f t="shared" si="120"/>
        <v>3.7479604254234657</v>
      </c>
      <c r="L1528" s="1">
        <f t="shared" si="120"/>
        <v>5.0232237603905006</v>
      </c>
      <c r="N1528">
        <f>I1528</f>
        <v>923400.81642849685</v>
      </c>
      <c r="O1528" s="1">
        <f>SUM(K$2:K1528)/$G$3</f>
        <v>0.18485733038065835</v>
      </c>
      <c r="P1528" s="1">
        <f>SUM(L$2:L1528)/$G$3</f>
        <v>0.20065469575498165</v>
      </c>
      <c r="Q1528" s="1">
        <f t="shared" si="116"/>
        <v>184.85733038065834</v>
      </c>
      <c r="R1528" s="1">
        <f t="shared" si="117"/>
        <v>200.65469575498165</v>
      </c>
    </row>
    <row r="1529" spans="1:18" x14ac:dyDescent="0.35">
      <c r="A1529">
        <v>10.6944538946222</v>
      </c>
      <c r="B1529">
        <v>1.3255626708338799</v>
      </c>
      <c r="C1529">
        <v>1.7811848204402001</v>
      </c>
      <c r="I1529" s="1">
        <f t="shared" si="118"/>
        <v>924000.81649535801</v>
      </c>
      <c r="J1529">
        <f t="shared" si="119"/>
        <v>600.00006686116103</v>
      </c>
      <c r="K1529" s="1">
        <f t="shared" si="120"/>
        <v>3.7380871483062394</v>
      </c>
      <c r="L1529" s="1">
        <f t="shared" si="120"/>
        <v>5.0229417533741643</v>
      </c>
      <c r="N1529">
        <f>I1529</f>
        <v>924000.81649535801</v>
      </c>
      <c r="O1529" s="1">
        <f>SUM(K$2:K1529)/$G$3</f>
        <v>0.18489607305722267</v>
      </c>
      <c r="P1529" s="1">
        <f>SUM(L$2:L1529)/$G$3</f>
        <v>0.20070675505698066</v>
      </c>
      <c r="Q1529" s="1">
        <f t="shared" si="116"/>
        <v>184.89607305722268</v>
      </c>
      <c r="R1529" s="1">
        <f t="shared" si="117"/>
        <v>200.70675505698065</v>
      </c>
    </row>
    <row r="1530" spans="1:18" x14ac:dyDescent="0.35">
      <c r="A1530">
        <v>10.7013983398405</v>
      </c>
      <c r="B1530">
        <v>1.3219911832687301</v>
      </c>
      <c r="C1530">
        <v>1.7797486065239501</v>
      </c>
      <c r="I1530" s="1">
        <f t="shared" si="118"/>
        <v>924600.81656221917</v>
      </c>
      <c r="J1530">
        <f t="shared" si="119"/>
        <v>600.00006686116103</v>
      </c>
      <c r="K1530" s="1">
        <f t="shared" si="120"/>
        <v>3.7280155522501865</v>
      </c>
      <c r="L1530" s="1">
        <f t="shared" si="120"/>
        <v>5.0188916296790129</v>
      </c>
      <c r="N1530">
        <f>I1530</f>
        <v>924600.81656221917</v>
      </c>
      <c r="O1530" s="1">
        <f>SUM(K$2:K1530)/$G$3</f>
        <v>0.18493471134869024</v>
      </c>
      <c r="P1530" s="1">
        <f>SUM(L$2:L1530)/$G$3</f>
        <v>0.20075877238226106</v>
      </c>
      <c r="Q1530" s="1">
        <f t="shared" si="116"/>
        <v>184.93471134869026</v>
      </c>
      <c r="R1530" s="1">
        <f t="shared" si="117"/>
        <v>200.75877238226107</v>
      </c>
    </row>
    <row r="1531" spans="1:18" x14ac:dyDescent="0.35">
      <c r="A1531">
        <v>10.7083427850588</v>
      </c>
      <c r="B1531">
        <v>1.3188668128754499</v>
      </c>
      <c r="C1531">
        <v>1.7785901557077901</v>
      </c>
      <c r="I1531" s="1">
        <f t="shared" si="118"/>
        <v>925200.81662908033</v>
      </c>
      <c r="J1531">
        <f t="shared" si="119"/>
        <v>600.00006686116103</v>
      </c>
      <c r="K1531" s="1">
        <f t="shared" si="120"/>
        <v>3.7192048267593107</v>
      </c>
      <c r="L1531" s="1">
        <f t="shared" si="120"/>
        <v>5.0156247980134019</v>
      </c>
      <c r="N1531">
        <f>I1531</f>
        <v>925200.81662908033</v>
      </c>
      <c r="O1531" s="1">
        <f>SUM(K$2:K1531)/$G$3</f>
        <v>0.18497325832310868</v>
      </c>
      <c r="P1531" s="1">
        <f>SUM(L$2:L1531)/$G$3</f>
        <v>0.20081075584910058</v>
      </c>
      <c r="Q1531" s="1">
        <f t="shared" si="116"/>
        <v>184.97325832310867</v>
      </c>
      <c r="R1531" s="1">
        <f t="shared" si="117"/>
        <v>200.81075584910059</v>
      </c>
    </row>
    <row r="1532" spans="1:18" x14ac:dyDescent="0.35">
      <c r="A1532">
        <v>10.715287230277101</v>
      </c>
      <c r="B1532">
        <v>1.31502637410651</v>
      </c>
      <c r="C1532">
        <v>1.7777295626190399</v>
      </c>
      <c r="I1532" s="1">
        <f t="shared" si="118"/>
        <v>925800.8166959415</v>
      </c>
      <c r="J1532">
        <f t="shared" si="119"/>
        <v>600.00006686116103</v>
      </c>
      <c r="K1532" s="1">
        <f t="shared" si="120"/>
        <v>3.7083747882240519</v>
      </c>
      <c r="L1532" s="1">
        <f t="shared" si="120"/>
        <v>5.0131979252326877</v>
      </c>
      <c r="N1532">
        <f>I1532</f>
        <v>925800.8166959415</v>
      </c>
      <c r="O1532" s="1">
        <f>SUM(K$2:K1532)/$G$3</f>
        <v>0.18501169305170093</v>
      </c>
      <c r="P1532" s="1">
        <f>SUM(L$2:L1532)/$G$3</f>
        <v>0.20086271416308962</v>
      </c>
      <c r="Q1532" s="1">
        <f t="shared" si="116"/>
        <v>185.01169305170092</v>
      </c>
      <c r="R1532" s="1">
        <f t="shared" si="117"/>
        <v>200.86271416308963</v>
      </c>
    </row>
    <row r="1533" spans="1:18" x14ac:dyDescent="0.35">
      <c r="A1533">
        <v>10.722231675495401</v>
      </c>
      <c r="B1533">
        <v>1.3117156755508601</v>
      </c>
      <c r="C1533">
        <v>1.77696359753947</v>
      </c>
      <c r="I1533" s="1">
        <f t="shared" si="118"/>
        <v>926400.81676280266</v>
      </c>
      <c r="J1533">
        <f t="shared" si="119"/>
        <v>600.00006686116103</v>
      </c>
      <c r="K1533" s="1">
        <f t="shared" si="120"/>
        <v>3.6990386172567411</v>
      </c>
      <c r="L1533" s="1">
        <f t="shared" si="120"/>
        <v>5.0110379034675967</v>
      </c>
      <c r="N1533">
        <f>I1533</f>
        <v>926400.81676280266</v>
      </c>
      <c r="O1533" s="1">
        <f>SUM(K$2:K1533)/$G$3</f>
        <v>0.18505003101736667</v>
      </c>
      <c r="P1533" s="1">
        <f>SUM(L$2:L1533)/$G$3</f>
        <v>0.20091465008995357</v>
      </c>
      <c r="Q1533" s="1">
        <f t="shared" si="116"/>
        <v>185.05003101736668</v>
      </c>
      <c r="R1533" s="1">
        <f t="shared" si="117"/>
        <v>200.91465008995357</v>
      </c>
    </row>
    <row r="1534" spans="1:18" x14ac:dyDescent="0.35">
      <c r="A1534">
        <v>10.729176120713699</v>
      </c>
      <c r="B1534">
        <v>1.3091848218223801</v>
      </c>
      <c r="C1534">
        <v>1.7762100864019399</v>
      </c>
      <c r="I1534" s="1">
        <f t="shared" si="118"/>
        <v>927000.81682966358</v>
      </c>
      <c r="J1534">
        <f t="shared" si="119"/>
        <v>600.0000668609282</v>
      </c>
      <c r="K1534" s="1">
        <f t="shared" si="120"/>
        <v>3.6919016089456802</v>
      </c>
      <c r="L1534" s="1">
        <f t="shared" si="120"/>
        <v>5.0089130018210293</v>
      </c>
      <c r="N1534">
        <f>I1534</f>
        <v>927000.81682966358</v>
      </c>
      <c r="O1534" s="1">
        <f>SUM(K$2:K1534)/$G$3</f>
        <v>0.18508829501289908</v>
      </c>
      <c r="P1534" s="1">
        <f>SUM(L$2:L1534)/$G$3</f>
        <v>0.20096656399368804</v>
      </c>
      <c r="Q1534" s="1">
        <f t="shared" si="116"/>
        <v>185.0882950128991</v>
      </c>
      <c r="R1534" s="1">
        <f t="shared" si="117"/>
        <v>200.96656399368803</v>
      </c>
    </row>
    <row r="1535" spans="1:18" x14ac:dyDescent="0.35">
      <c r="A1535">
        <v>10.736120565932</v>
      </c>
      <c r="B1535">
        <v>1.30540649425174</v>
      </c>
      <c r="C1535">
        <v>1.7756144794139199</v>
      </c>
      <c r="I1535" s="1">
        <f t="shared" si="118"/>
        <v>927600.81689652475</v>
      </c>
      <c r="J1535">
        <f t="shared" si="119"/>
        <v>600.00006686116103</v>
      </c>
      <c r="K1535" s="1">
        <f t="shared" si="120"/>
        <v>3.6812467240105784</v>
      </c>
      <c r="L1535" s="1">
        <f t="shared" si="120"/>
        <v>5.0072333899295893</v>
      </c>
      <c r="N1535">
        <f>I1535</f>
        <v>927600.81689652475</v>
      </c>
      <c r="O1535" s="1">
        <f>SUM(K$2:K1535)/$G$3</f>
        <v>0.18512644857795074</v>
      </c>
      <c r="P1535" s="1">
        <f>SUM(L$2:L1535)/$G$3</f>
        <v>0.20101846048941202</v>
      </c>
      <c r="Q1535" s="1">
        <f t="shared" si="116"/>
        <v>185.12644857795075</v>
      </c>
      <c r="R1535" s="1">
        <f t="shared" si="117"/>
        <v>201.01846048941201</v>
      </c>
    </row>
    <row r="1536" spans="1:18" x14ac:dyDescent="0.35">
      <c r="A1536">
        <v>10.7430650111503</v>
      </c>
      <c r="B1536">
        <v>1.3016042743312899</v>
      </c>
      <c r="C1536">
        <v>1.7749214139393601</v>
      </c>
      <c r="I1536" s="1">
        <f t="shared" si="118"/>
        <v>928200.81696338591</v>
      </c>
      <c r="J1536">
        <f t="shared" si="119"/>
        <v>600.00006686116103</v>
      </c>
      <c r="K1536" s="1">
        <f t="shared" si="120"/>
        <v>3.6705244626400706</v>
      </c>
      <c r="L1536" s="1">
        <f t="shared" si="120"/>
        <v>5.0052789450735355</v>
      </c>
      <c r="N1536">
        <f>I1536</f>
        <v>928200.81696338591</v>
      </c>
      <c r="O1536" s="1">
        <f>SUM(K$2:K1536)/$G$3</f>
        <v>0.1851644910142117</v>
      </c>
      <c r="P1536" s="1">
        <f>SUM(L$2:L1536)/$G$3</f>
        <v>0.2010703367286728</v>
      </c>
      <c r="Q1536" s="1">
        <f t="shared" si="116"/>
        <v>185.16449101421171</v>
      </c>
      <c r="R1536" s="1">
        <f t="shared" si="117"/>
        <v>201.0703367286728</v>
      </c>
    </row>
    <row r="1537" spans="1:18" x14ac:dyDescent="0.35">
      <c r="A1537">
        <v>10.7500094563686</v>
      </c>
      <c r="B1537">
        <v>1.2987256820005</v>
      </c>
      <c r="C1537">
        <v>1.77360936976442</v>
      </c>
      <c r="I1537" s="1">
        <f t="shared" si="118"/>
        <v>928800.81703024707</v>
      </c>
      <c r="J1537">
        <f t="shared" si="119"/>
        <v>600.00006686116103</v>
      </c>
      <c r="K1537" s="1">
        <f t="shared" si="120"/>
        <v>3.6624068313626528</v>
      </c>
      <c r="L1537" s="1">
        <f t="shared" si="120"/>
        <v>5.0015789800878991</v>
      </c>
      <c r="N1537">
        <f>I1537</f>
        <v>928800.81703024707</v>
      </c>
      <c r="O1537" s="1">
        <f>SUM(K$2:K1537)/$G$3</f>
        <v>0.18520244931686353</v>
      </c>
      <c r="P1537" s="1">
        <f>SUM(L$2:L1537)/$G$3</f>
        <v>0.20112217462036672</v>
      </c>
      <c r="Q1537" s="1">
        <f t="shared" si="116"/>
        <v>185.20244931686352</v>
      </c>
      <c r="R1537" s="1">
        <f t="shared" si="117"/>
        <v>201.12217462036671</v>
      </c>
    </row>
    <row r="1538" spans="1:18" x14ac:dyDescent="0.35">
      <c r="A1538">
        <v>10.7569539015869</v>
      </c>
      <c r="B1538">
        <v>1.2951383858256</v>
      </c>
      <c r="C1538">
        <v>1.7732418263329801</v>
      </c>
      <c r="I1538" s="1">
        <f t="shared" si="118"/>
        <v>929400.81709710823</v>
      </c>
      <c r="J1538">
        <f t="shared" si="119"/>
        <v>600.00006686116103</v>
      </c>
      <c r="K1538" s="1">
        <f t="shared" si="120"/>
        <v>3.6522906550221359</v>
      </c>
      <c r="L1538" s="1">
        <f t="shared" si="120"/>
        <v>5.0005425074957381</v>
      </c>
      <c r="N1538">
        <f>I1538</f>
        <v>929400.81709710823</v>
      </c>
      <c r="O1538" s="1">
        <f>SUM(K$2:K1538)/$G$3</f>
        <v>0.18524030277237499</v>
      </c>
      <c r="P1538" s="1">
        <f>SUM(L$2:L1538)/$G$3</f>
        <v>0.20117400176974223</v>
      </c>
      <c r="Q1538" s="1">
        <f t="shared" si="116"/>
        <v>185.240302772375</v>
      </c>
      <c r="R1538" s="1">
        <f t="shared" si="117"/>
        <v>201.17400176974223</v>
      </c>
    </row>
    <row r="1539" spans="1:18" x14ac:dyDescent="0.35">
      <c r="A1539">
        <v>10.763898346805201</v>
      </c>
      <c r="B1539">
        <v>1.2912289128536101</v>
      </c>
      <c r="C1539">
        <v>1.77166139643291</v>
      </c>
      <c r="I1539" s="1">
        <f>A1539*86400</f>
        <v>930000.81716396939</v>
      </c>
      <c r="J1539">
        <f t="shared" si="119"/>
        <v>600.00006686116103</v>
      </c>
      <c r="K1539" s="1">
        <f t="shared" si="120"/>
        <v>3.6412659400125826</v>
      </c>
      <c r="L1539" s="1">
        <f t="shared" si="120"/>
        <v>4.9960856946808949</v>
      </c>
      <c r="N1539">
        <f>I1539</f>
        <v>930000.81716396939</v>
      </c>
      <c r="O1539" s="1">
        <f>SUM(K$2:K1539)/$G$3</f>
        <v>0.18527804196437386</v>
      </c>
      <c r="P1539" s="1">
        <f>SUM(L$2:L1539)/$G$3</f>
        <v>0.20122578272734892</v>
      </c>
      <c r="Q1539" s="1">
        <f t="shared" si="116"/>
        <v>185.27804196437387</v>
      </c>
      <c r="R1539" s="1">
        <f t="shared" si="117"/>
        <v>201.22578272734893</v>
      </c>
    </row>
    <row r="1540" spans="1:18" x14ac:dyDescent="0.35">
      <c r="A1540">
        <v>10.770842792023601</v>
      </c>
      <c r="B1540">
        <v>1.28714935455826</v>
      </c>
      <c r="C1540">
        <v>1.77138278432949</v>
      </c>
      <c r="I1540" s="1">
        <f>A1540*86400</f>
        <v>930600.81723083905</v>
      </c>
      <c r="J1540">
        <f t="shared" si="119"/>
        <v>600.00006686965935</v>
      </c>
      <c r="K1540" s="1">
        <f t="shared" si="120"/>
        <v>3.6297615843891156</v>
      </c>
      <c r="L1540" s="1">
        <f t="shared" si="120"/>
        <v>4.9953000085324497</v>
      </c>
      <c r="N1540">
        <f>I1540</f>
        <v>930600.81723083905</v>
      </c>
      <c r="O1540" s="1">
        <f>SUM(K$2:K1540)/$G$3</f>
        <v>0.18531566192171844</v>
      </c>
      <c r="P1540" s="1">
        <f>SUM(L$2:L1540)/$G$3</f>
        <v>0.20127755554186449</v>
      </c>
      <c r="Q1540" s="1">
        <f t="shared" si="116"/>
        <v>185.31566192171846</v>
      </c>
      <c r="R1540" s="1">
        <f t="shared" si="117"/>
        <v>201.2775555418645</v>
      </c>
    </row>
    <row r="1541" spans="1:18" x14ac:dyDescent="0.35">
      <c r="A1541">
        <v>10.777787237241901</v>
      </c>
      <c r="B1541">
        <v>1.2837220550120301</v>
      </c>
      <c r="C1541">
        <v>1.7700651012558699</v>
      </c>
      <c r="I1541" s="1">
        <f>A1541*86400</f>
        <v>931200.81729770021</v>
      </c>
      <c r="J1541">
        <f t="shared" si="119"/>
        <v>600.00006686116103</v>
      </c>
      <c r="K1541" s="1">
        <f t="shared" si="120"/>
        <v>3.6200965985403162</v>
      </c>
      <c r="L1541" s="1">
        <f t="shared" si="120"/>
        <v>4.9915841417800104</v>
      </c>
      <c r="N1541">
        <f>I1541</f>
        <v>931200.81729770021</v>
      </c>
      <c r="O1541" s="1">
        <f>SUM(K$2:K1541)/$G$3</f>
        <v>0.18535318170819862</v>
      </c>
      <c r="P1541" s="1">
        <f>SUM(L$2:L1541)/$G$3</f>
        <v>0.20132928984400242</v>
      </c>
      <c r="Q1541" s="1">
        <f t="shared" si="116"/>
        <v>185.3531817081986</v>
      </c>
      <c r="R1541" s="1">
        <f t="shared" si="117"/>
        <v>201.32928984400243</v>
      </c>
    </row>
    <row r="1542" spans="1:18" x14ac:dyDescent="0.35">
      <c r="A1542">
        <v>10.781970623333899</v>
      </c>
      <c r="B1542">
        <v>1.28136157839515</v>
      </c>
      <c r="C1542">
        <v>1.7695809539694101</v>
      </c>
      <c r="I1542" s="1">
        <f>A1542*86400</f>
        <v>931562.26185604895</v>
      </c>
      <c r="J1542">
        <f>I1542-I1541</f>
        <v>361.44455834873952</v>
      </c>
      <c r="K1542" s="1">
        <f t="shared" si="120"/>
        <v>2.1767634980039703</v>
      </c>
      <c r="L1542" s="1">
        <f t="shared" si="120"/>
        <v>3.0061454099381284</v>
      </c>
      <c r="N1542">
        <f>I1542</f>
        <v>931562.26185604895</v>
      </c>
      <c r="O1542" s="1">
        <f>SUM(K$2:K1542)/$G$3</f>
        <v>0.18537574234972842</v>
      </c>
      <c r="P1542" s="1">
        <f>SUM(L$2:L1542)/$G$3</f>
        <v>0.20136044645290471</v>
      </c>
      <c r="Q1542" s="1">
        <f t="shared" si="116"/>
        <v>185.37574234972843</v>
      </c>
      <c r="R1542" s="1">
        <f t="shared" si="117"/>
        <v>201.36044645290471</v>
      </c>
    </row>
    <row r="1543" spans="1:18" x14ac:dyDescent="0.35">
      <c r="K1543" s="1">
        <f>SUM(K2:K1542)</f>
        <v>17885.978500613546</v>
      </c>
      <c r="L1543" s="1">
        <f>SUM(L2:L1542)</f>
        <v>19428.262676008511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2"/>
  <sheetViews>
    <sheetView workbookViewId="0">
      <selection activeCell="B1" sqref="B1"/>
    </sheetView>
  </sheetViews>
  <sheetFormatPr baseColWidth="10" defaultRowHeight="14.5" x14ac:dyDescent="0.35"/>
  <cols>
    <col min="5" max="5" width="16.453125" customWidth="1"/>
  </cols>
  <sheetData>
    <row r="1" spans="1:5" x14ac:dyDescent="0.35">
      <c r="A1" s="12" t="s">
        <v>55</v>
      </c>
      <c r="B1" s="12" t="s">
        <v>63</v>
      </c>
      <c r="C1" s="12" t="s">
        <v>55</v>
      </c>
      <c r="D1" s="12" t="s">
        <v>64</v>
      </c>
      <c r="E1" s="19" t="s">
        <v>65</v>
      </c>
    </row>
    <row r="2" spans="1:5" x14ac:dyDescent="0.35">
      <c r="A2">
        <v>-0.60031294822692904</v>
      </c>
      <c r="B2">
        <v>-0.138576992056019</v>
      </c>
      <c r="C2">
        <v>-0.59960633516311601</v>
      </c>
      <c r="D2">
        <v>-0.15139918272990699</v>
      </c>
    </row>
    <row r="3" spans="1:5" x14ac:dyDescent="0.35">
      <c r="A3">
        <v>-0.59990787506103505</v>
      </c>
      <c r="B3">
        <v>-0.127196234662106</v>
      </c>
      <c r="C3">
        <v>-0.60034155845642101</v>
      </c>
      <c r="D3">
        <v>-0.13988769940120199</v>
      </c>
    </row>
    <row r="4" spans="1:5" x14ac:dyDescent="0.35">
      <c r="A4">
        <v>-0.59936106204986594</v>
      </c>
      <c r="B4">
        <v>-0.12161803648514299</v>
      </c>
      <c r="C4">
        <v>-0.59809237718582198</v>
      </c>
      <c r="D4">
        <v>-0.13321847963265601</v>
      </c>
    </row>
    <row r="5" spans="1:5" x14ac:dyDescent="0.35">
      <c r="A5">
        <v>-0.59891039133071899</v>
      </c>
      <c r="B5">
        <v>-0.117044382830556</v>
      </c>
      <c r="C5">
        <v>-0.59809041023254395</v>
      </c>
      <c r="D5">
        <v>-0.12954214180836299</v>
      </c>
    </row>
    <row r="6" spans="1:5" x14ac:dyDescent="0.35">
      <c r="A6">
        <v>-0.59843623638153098</v>
      </c>
      <c r="B6">
        <v>-0.11320803471390201</v>
      </c>
      <c r="C6">
        <v>-0.59590947628021196</v>
      </c>
      <c r="D6">
        <v>-0.126053384960054</v>
      </c>
    </row>
    <row r="7" spans="1:5" x14ac:dyDescent="0.35">
      <c r="A7">
        <v>-0.59783202409744296</v>
      </c>
      <c r="B7">
        <v>-0.10965160744314</v>
      </c>
      <c r="C7">
        <v>-0.59671980142593395</v>
      </c>
      <c r="D7">
        <v>-0.125265467963635</v>
      </c>
    </row>
    <row r="8" spans="1:5" x14ac:dyDescent="0.35">
      <c r="A8">
        <v>-0.59737122058868397</v>
      </c>
      <c r="B8">
        <v>-0.10824023861201</v>
      </c>
      <c r="C8">
        <v>-0.59410703182220503</v>
      </c>
      <c r="D8">
        <v>-0.123293028537157</v>
      </c>
    </row>
    <row r="9" spans="1:5" x14ac:dyDescent="0.35">
      <c r="A9">
        <v>-0.59694814682006803</v>
      </c>
      <c r="B9">
        <v>-0.107311993898555</v>
      </c>
      <c r="C9">
        <v>-0.59421414136886597</v>
      </c>
      <c r="D9">
        <v>-0.12346961836022299</v>
      </c>
    </row>
    <row r="10" spans="1:5" x14ac:dyDescent="0.35">
      <c r="A10">
        <v>-0.596252501010895</v>
      </c>
      <c r="B10">
        <v>-0.105997043674467</v>
      </c>
      <c r="C10">
        <v>-0.59219330549240101</v>
      </c>
      <c r="D10">
        <v>-0.120151845553101</v>
      </c>
    </row>
    <row r="11" spans="1:5" x14ac:dyDescent="0.35">
      <c r="A11">
        <v>-0.59594517946243297</v>
      </c>
      <c r="B11">
        <v>-0.10408322228528</v>
      </c>
      <c r="C11">
        <v>-0.59190607070922896</v>
      </c>
      <c r="D11">
        <v>-0.11970757995976899</v>
      </c>
    </row>
    <row r="12" spans="1:5" x14ac:dyDescent="0.35">
      <c r="A12">
        <v>-0.59526973962783802</v>
      </c>
      <c r="B12">
        <v>-0.10334083604906399</v>
      </c>
      <c r="C12">
        <v>-0.58945637941360496</v>
      </c>
      <c r="D12">
        <v>-0.11777650714363599</v>
      </c>
    </row>
    <row r="13" spans="1:5" x14ac:dyDescent="0.35">
      <c r="A13">
        <v>-0.59484755992889404</v>
      </c>
      <c r="B13">
        <v>-0.10170884398801899</v>
      </c>
      <c r="C13">
        <v>-0.59009969234466597</v>
      </c>
      <c r="D13">
        <v>-0.11760268821587699</v>
      </c>
    </row>
    <row r="14" spans="1:5" x14ac:dyDescent="0.35">
      <c r="A14">
        <v>-0.59435796737670898</v>
      </c>
      <c r="B14">
        <v>-0.101566373637041</v>
      </c>
      <c r="C14">
        <v>-0.58756011724472001</v>
      </c>
      <c r="D14">
        <v>-0.11406026948714899</v>
      </c>
    </row>
    <row r="15" spans="1:5" x14ac:dyDescent="0.35">
      <c r="A15">
        <v>-0.59402507543563798</v>
      </c>
      <c r="B15">
        <v>-0.101145964065928</v>
      </c>
      <c r="C15">
        <v>-0.58755004405975297</v>
      </c>
      <c r="D15">
        <v>-0.111543567458746</v>
      </c>
    </row>
    <row r="16" spans="1:5" x14ac:dyDescent="0.35">
      <c r="A16">
        <v>-0.59353029727935802</v>
      </c>
      <c r="B16">
        <v>-0.10070248321062</v>
      </c>
      <c r="C16">
        <v>-0.58647441864013705</v>
      </c>
      <c r="D16">
        <v>-0.113869799413871</v>
      </c>
    </row>
    <row r="17" spans="1:4" x14ac:dyDescent="0.35">
      <c r="A17">
        <v>-0.59267258644104004</v>
      </c>
      <c r="B17">
        <v>-9.9870319429090998E-2</v>
      </c>
      <c r="C17">
        <v>-0.58565330505371105</v>
      </c>
      <c r="D17">
        <v>-0.112067747495545</v>
      </c>
    </row>
    <row r="18" spans="1:4" x14ac:dyDescent="0.35">
      <c r="A18">
        <v>-0.59239369630813599</v>
      </c>
      <c r="B18">
        <v>-9.9174251388512005E-2</v>
      </c>
      <c r="C18">
        <v>-0.584386587142944</v>
      </c>
      <c r="D18">
        <v>-0.11038943325752699</v>
      </c>
    </row>
    <row r="19" spans="1:4" x14ac:dyDescent="0.35">
      <c r="A19">
        <v>-0.59175449609756503</v>
      </c>
      <c r="B19">
        <v>-9.8423421364835006E-2</v>
      </c>
      <c r="C19">
        <v>-0.58345842361450195</v>
      </c>
      <c r="D19">
        <v>-0.110073151543086</v>
      </c>
    </row>
    <row r="20" spans="1:4" x14ac:dyDescent="0.35">
      <c r="A20">
        <v>-0.59133678674697898</v>
      </c>
      <c r="B20">
        <v>-9.8454854977142001E-2</v>
      </c>
      <c r="C20">
        <v>-0.58320277929305997</v>
      </c>
      <c r="D20">
        <v>-0.108984739384269</v>
      </c>
    </row>
    <row r="21" spans="1:4" x14ac:dyDescent="0.35">
      <c r="A21">
        <v>-0.59092617034912098</v>
      </c>
      <c r="B21">
        <v>-9.8357509247653005E-2</v>
      </c>
      <c r="C21">
        <v>-0.58120995759964</v>
      </c>
      <c r="D21">
        <v>-0.10919018611951201</v>
      </c>
    </row>
    <row r="22" spans="1:4" x14ac:dyDescent="0.35">
      <c r="A22">
        <v>-0.59038150310516402</v>
      </c>
      <c r="B22">
        <v>-9.6675795515207996E-2</v>
      </c>
      <c r="C22">
        <v>-0.581099092960358</v>
      </c>
      <c r="D22">
        <v>-0.108174584714547</v>
      </c>
    </row>
    <row r="23" spans="1:4" x14ac:dyDescent="0.35">
      <c r="A23">
        <v>-0.590029716491699</v>
      </c>
      <c r="B23">
        <v>-9.6644624047515004E-2</v>
      </c>
      <c r="C23">
        <v>-0.57956296205520597</v>
      </c>
      <c r="D23">
        <v>-0.105381317663563</v>
      </c>
    </row>
    <row r="24" spans="1:4" x14ac:dyDescent="0.35">
      <c r="A24">
        <v>-0.58941256999969505</v>
      </c>
      <c r="B24">
        <v>-9.6000500827698995E-2</v>
      </c>
      <c r="C24">
        <v>-0.57885015010833696</v>
      </c>
      <c r="D24">
        <v>-0.10626531502402201</v>
      </c>
    </row>
    <row r="25" spans="1:4" x14ac:dyDescent="0.35">
      <c r="A25">
        <v>-0.58877646923065197</v>
      </c>
      <c r="B25">
        <v>-9.5767361957218994E-2</v>
      </c>
      <c r="C25">
        <v>-0.57687920331955</v>
      </c>
      <c r="D25">
        <v>-0.10523597059245</v>
      </c>
    </row>
    <row r="26" spans="1:4" x14ac:dyDescent="0.35">
      <c r="A26">
        <v>-0.58843106031417802</v>
      </c>
      <c r="B26">
        <v>-9.5257997158815999E-2</v>
      </c>
      <c r="C26">
        <v>-0.57745891809463501</v>
      </c>
      <c r="D26">
        <v>-0.10484420107991201</v>
      </c>
    </row>
    <row r="27" spans="1:4" x14ac:dyDescent="0.35">
      <c r="A27">
        <v>-0.58789336681366</v>
      </c>
      <c r="B27">
        <v>-9.5013783587838005E-2</v>
      </c>
      <c r="C27">
        <v>-0.57483917474746704</v>
      </c>
      <c r="D27">
        <v>-0.10247610566588999</v>
      </c>
    </row>
    <row r="28" spans="1:4" x14ac:dyDescent="0.35">
      <c r="A28">
        <v>-0.58719354867935203</v>
      </c>
      <c r="B28">
        <v>-9.3010111976051996E-2</v>
      </c>
      <c r="C28">
        <v>-0.57518953084945701</v>
      </c>
      <c r="D28">
        <v>-0.102624119089297</v>
      </c>
    </row>
    <row r="29" spans="1:4" x14ac:dyDescent="0.35">
      <c r="A29">
        <v>-0.58689695596694902</v>
      </c>
      <c r="B29">
        <v>-9.3911172968914006E-2</v>
      </c>
      <c r="C29">
        <v>-0.57254993915557895</v>
      </c>
      <c r="D29">
        <v>-0.102911170823746</v>
      </c>
    </row>
    <row r="30" spans="1:4" x14ac:dyDescent="0.35">
      <c r="A30">
        <v>-0.58644813299179099</v>
      </c>
      <c r="B30">
        <v>-9.3789707753116E-2</v>
      </c>
      <c r="C30">
        <v>-0.57357680797576904</v>
      </c>
      <c r="D30">
        <v>-0.101171470856559</v>
      </c>
    </row>
    <row r="31" spans="1:4" x14ac:dyDescent="0.35">
      <c r="A31">
        <v>-0.58587074279785201</v>
      </c>
      <c r="B31">
        <v>-9.3618538497027004E-2</v>
      </c>
      <c r="C31">
        <v>-0.57047766447067305</v>
      </c>
      <c r="D31">
        <v>-0.101183944451323</v>
      </c>
    </row>
    <row r="32" spans="1:4" x14ac:dyDescent="0.35">
      <c r="A32">
        <v>-0.58554315567016602</v>
      </c>
      <c r="B32">
        <v>-9.2342328219557998E-2</v>
      </c>
      <c r="C32">
        <v>-0.57094061374664296</v>
      </c>
      <c r="D32">
        <v>-0.100077611258117</v>
      </c>
    </row>
    <row r="33" spans="1:4" x14ac:dyDescent="0.35">
      <c r="A33">
        <v>-0.58485913276672397</v>
      </c>
      <c r="B33">
        <v>-9.1705563888244995E-2</v>
      </c>
      <c r="C33">
        <v>-0.56967467069625899</v>
      </c>
      <c r="D33">
        <v>-9.7015608844312998E-2</v>
      </c>
    </row>
    <row r="34" spans="1:4" x14ac:dyDescent="0.35">
      <c r="A34">
        <v>-0.58447229862213101</v>
      </c>
      <c r="B34">
        <v>-9.1456192120789995E-2</v>
      </c>
      <c r="C34">
        <v>-0.56898128986358598</v>
      </c>
      <c r="D34">
        <v>-9.5772816791535001E-2</v>
      </c>
    </row>
    <row r="35" spans="1:4" x14ac:dyDescent="0.35">
      <c r="A35">
        <v>-0.58389222621917702</v>
      </c>
      <c r="B35">
        <v>-9.1106737555359002E-2</v>
      </c>
      <c r="C35">
        <v>-0.56714761257171598</v>
      </c>
      <c r="D35">
        <v>-9.4960890392810998E-2</v>
      </c>
    </row>
    <row r="36" spans="1:4" x14ac:dyDescent="0.35">
      <c r="A36">
        <v>-0.58333581686019897</v>
      </c>
      <c r="B36">
        <v>-9.0185893572296005E-2</v>
      </c>
      <c r="C36">
        <v>-0.56784939765930198</v>
      </c>
      <c r="D36">
        <v>-9.3953037774257994E-2</v>
      </c>
    </row>
    <row r="37" spans="1:4" x14ac:dyDescent="0.35">
      <c r="A37">
        <v>-0.58297854661941495</v>
      </c>
      <c r="B37">
        <v>-9.1097713413379994E-2</v>
      </c>
      <c r="C37">
        <v>-0.56498730182647705</v>
      </c>
      <c r="D37">
        <v>-9.8275017853991994E-2</v>
      </c>
    </row>
    <row r="38" spans="1:4" x14ac:dyDescent="0.35">
      <c r="A38">
        <v>-0.58229970932006803</v>
      </c>
      <c r="B38">
        <v>-9.0622043124040999E-2</v>
      </c>
      <c r="C38">
        <v>-0.56442052125930797</v>
      </c>
      <c r="D38">
        <v>-9.4637887030469006E-2</v>
      </c>
    </row>
    <row r="39" spans="1:4" x14ac:dyDescent="0.35">
      <c r="A39">
        <v>-0.581850826740265</v>
      </c>
      <c r="B39">
        <v>-8.9635394118403003E-2</v>
      </c>
      <c r="C39">
        <v>-0.563468217849731</v>
      </c>
      <c r="D39">
        <v>-9.3365973690232001E-2</v>
      </c>
    </row>
    <row r="40" spans="1:4" x14ac:dyDescent="0.35">
      <c r="A40">
        <v>-0.58146369457244895</v>
      </c>
      <c r="B40">
        <v>-8.9184959503170999E-2</v>
      </c>
      <c r="C40">
        <v>-0.56232035160064697</v>
      </c>
      <c r="D40">
        <v>-9.2644361517223994E-2</v>
      </c>
    </row>
    <row r="41" spans="1:4" x14ac:dyDescent="0.35">
      <c r="A41">
        <v>-0.58104580640792802</v>
      </c>
      <c r="B41">
        <v>-8.8929348323363994E-2</v>
      </c>
      <c r="C41">
        <v>-0.56080871820449796</v>
      </c>
      <c r="D41">
        <v>-9.0467339107678998E-2</v>
      </c>
    </row>
    <row r="42" spans="1:4" x14ac:dyDescent="0.35">
      <c r="A42">
        <v>-0.58048993349075295</v>
      </c>
      <c r="B42">
        <v>-8.8295211339085994E-2</v>
      </c>
      <c r="C42">
        <v>-0.56063473224639904</v>
      </c>
      <c r="D42">
        <v>-9.1183166334607005E-2</v>
      </c>
    </row>
    <row r="43" spans="1:4" x14ac:dyDescent="0.35">
      <c r="A43">
        <v>-0.579775631427765</v>
      </c>
      <c r="B43">
        <v>-8.8582694929470004E-2</v>
      </c>
      <c r="C43">
        <v>-0.55959630012512196</v>
      </c>
      <c r="D43">
        <v>-8.9509124867733006E-2</v>
      </c>
    </row>
    <row r="44" spans="1:4" x14ac:dyDescent="0.35">
      <c r="A44">
        <v>-0.57923710346221902</v>
      </c>
      <c r="B44">
        <v>-8.7979414470613998E-2</v>
      </c>
      <c r="C44">
        <v>-0.55829030275344804</v>
      </c>
      <c r="D44">
        <v>-9.0079790970962997E-2</v>
      </c>
    </row>
    <row r="45" spans="1:4" x14ac:dyDescent="0.35">
      <c r="A45">
        <v>-0.57898151874542203</v>
      </c>
      <c r="B45">
        <v>-8.6367315032096006E-2</v>
      </c>
      <c r="C45">
        <v>-0.55753761529922496</v>
      </c>
      <c r="D45">
        <v>-8.7753393525494994E-2</v>
      </c>
    </row>
    <row r="46" spans="1:4" x14ac:dyDescent="0.35">
      <c r="A46">
        <v>-0.57832849025726296</v>
      </c>
      <c r="B46">
        <v>-8.6273616020326002E-2</v>
      </c>
      <c r="C46">
        <v>-0.55660676956176802</v>
      </c>
      <c r="D46">
        <v>-8.686306568195E-2</v>
      </c>
    </row>
    <row r="47" spans="1:4" x14ac:dyDescent="0.35">
      <c r="A47">
        <v>-0.57797014713287398</v>
      </c>
      <c r="B47">
        <v>-8.6410877986531007E-2</v>
      </c>
      <c r="C47">
        <v>-0.55597025156021096</v>
      </c>
      <c r="D47">
        <v>-8.6812223408450004E-2</v>
      </c>
    </row>
    <row r="48" spans="1:4" x14ac:dyDescent="0.35">
      <c r="A48">
        <v>-0.57751452922821001</v>
      </c>
      <c r="B48">
        <v>-8.6197086928418001E-2</v>
      </c>
      <c r="C48">
        <v>-0.55503672361373901</v>
      </c>
      <c r="D48">
        <v>-8.6001707147386003E-2</v>
      </c>
    </row>
    <row r="49" spans="1:4" x14ac:dyDescent="0.35">
      <c r="A49">
        <v>-0.57689768075943004</v>
      </c>
      <c r="B49">
        <v>-8.4890320735479002E-2</v>
      </c>
      <c r="C49">
        <v>-0.55441403388977095</v>
      </c>
      <c r="D49">
        <v>-8.3550526014278995E-2</v>
      </c>
    </row>
    <row r="50" spans="1:4" x14ac:dyDescent="0.35">
      <c r="A50">
        <v>-0.57635927200317405</v>
      </c>
      <c r="B50">
        <v>-8.4775973626924003E-2</v>
      </c>
      <c r="C50">
        <v>-0.552165627479553</v>
      </c>
      <c r="D50">
        <v>-8.4078202136522007E-2</v>
      </c>
    </row>
    <row r="51" spans="1:4" x14ac:dyDescent="0.35">
      <c r="A51">
        <v>-0.57591587305069003</v>
      </c>
      <c r="B51">
        <v>-8.3907470242601007E-2</v>
      </c>
      <c r="C51">
        <v>-0.55160170793533303</v>
      </c>
      <c r="D51">
        <v>-8.1917557215980999E-2</v>
      </c>
    </row>
    <row r="52" spans="1:4" x14ac:dyDescent="0.35">
      <c r="A52">
        <v>-0.57529562711715698</v>
      </c>
      <c r="B52">
        <v>-8.4544328176484995E-2</v>
      </c>
      <c r="C52">
        <v>-0.550609171390533</v>
      </c>
      <c r="D52">
        <v>-8.1909063290486001E-2</v>
      </c>
    </row>
    <row r="53" spans="1:4" x14ac:dyDescent="0.35">
      <c r="A53">
        <v>-0.574945569038391</v>
      </c>
      <c r="B53">
        <v>-8.4039796088523994E-2</v>
      </c>
      <c r="C53">
        <v>-0.54959988594055198</v>
      </c>
      <c r="D53">
        <v>-8.2103352702850005E-2</v>
      </c>
    </row>
    <row r="54" spans="1:4" x14ac:dyDescent="0.35">
      <c r="A54">
        <v>-0.57420474290847801</v>
      </c>
      <c r="B54">
        <v>-8.3825274100993996E-2</v>
      </c>
      <c r="C54">
        <v>-0.54804694652557395</v>
      </c>
      <c r="D54">
        <v>-8.0111189716572995E-2</v>
      </c>
    </row>
    <row r="55" spans="1:4" x14ac:dyDescent="0.35">
      <c r="A55">
        <v>-0.573894143104553</v>
      </c>
      <c r="B55">
        <v>-8.3112276703619994E-2</v>
      </c>
      <c r="C55">
        <v>-0.54787117242813099</v>
      </c>
      <c r="D55">
        <v>-7.9875379512260994E-2</v>
      </c>
    </row>
    <row r="56" spans="1:4" x14ac:dyDescent="0.35">
      <c r="A56">
        <v>-0.57332074642181396</v>
      </c>
      <c r="B56">
        <v>-8.3123562451856994E-2</v>
      </c>
      <c r="C56">
        <v>-0.54629868268966697</v>
      </c>
      <c r="D56">
        <v>-7.806147531457E-2</v>
      </c>
    </row>
    <row r="57" spans="1:4" x14ac:dyDescent="0.35">
      <c r="A57">
        <v>-0.57282358407974199</v>
      </c>
      <c r="B57">
        <v>-8.2591200930487996E-2</v>
      </c>
      <c r="C57">
        <v>-0.54600775241851796</v>
      </c>
      <c r="D57">
        <v>-7.6902879036474997E-2</v>
      </c>
    </row>
    <row r="58" spans="1:4" x14ac:dyDescent="0.35">
      <c r="A58">
        <v>-0.57239925861358598</v>
      </c>
      <c r="B58">
        <v>-8.2047428657854998E-2</v>
      </c>
      <c r="C58">
        <v>-0.54446029663085904</v>
      </c>
      <c r="D58">
        <v>-7.4733213948759994E-2</v>
      </c>
    </row>
    <row r="59" spans="1:4" x14ac:dyDescent="0.35">
      <c r="A59">
        <v>-0.57180541753768899</v>
      </c>
      <c r="B59">
        <v>-8.1952192194253995E-2</v>
      </c>
      <c r="C59">
        <v>-0.54426085948944103</v>
      </c>
      <c r="D59">
        <v>-7.4914217654765997E-2</v>
      </c>
    </row>
    <row r="60" spans="1:4" x14ac:dyDescent="0.35">
      <c r="A60">
        <v>-0.57158005237579301</v>
      </c>
      <c r="B60">
        <v>-8.1018470620372998E-2</v>
      </c>
      <c r="C60">
        <v>-0.54199582338333097</v>
      </c>
      <c r="D60">
        <v>-7.1826959984365002E-2</v>
      </c>
    </row>
    <row r="61" spans="1:4" x14ac:dyDescent="0.35">
      <c r="A61">
        <v>-0.57106024026870705</v>
      </c>
      <c r="B61">
        <v>-8.1427013841896004E-2</v>
      </c>
      <c r="C61">
        <v>-0.54218477010726895</v>
      </c>
      <c r="D61">
        <v>-7.2245229643732006E-2</v>
      </c>
    </row>
    <row r="62" spans="1:4" x14ac:dyDescent="0.35">
      <c r="A62">
        <v>-0.57029986381530795</v>
      </c>
      <c r="B62">
        <v>-7.9895364002439004E-2</v>
      </c>
      <c r="C62">
        <v>-0.53966414928436302</v>
      </c>
      <c r="D62">
        <v>-6.9712106140723998E-2</v>
      </c>
    </row>
    <row r="63" spans="1:4" x14ac:dyDescent="0.35">
      <c r="A63">
        <v>-0.56994938850402799</v>
      </c>
      <c r="B63">
        <v>-7.9862347118966004E-2</v>
      </c>
      <c r="C63">
        <v>-0.53975868225097701</v>
      </c>
      <c r="D63">
        <v>-6.9298849936685003E-2</v>
      </c>
    </row>
    <row r="64" spans="1:4" x14ac:dyDescent="0.35">
      <c r="A64">
        <v>-0.56920516490936302</v>
      </c>
      <c r="B64">
        <v>-7.9401882983360997E-2</v>
      </c>
      <c r="C64">
        <v>-0.53814619779586803</v>
      </c>
      <c r="D64">
        <v>-6.7352890371941004E-2</v>
      </c>
    </row>
    <row r="65" spans="1:4" x14ac:dyDescent="0.35">
      <c r="A65">
        <v>-0.56894427537918102</v>
      </c>
      <c r="B65">
        <v>-7.8722479194229006E-2</v>
      </c>
      <c r="C65">
        <v>-0.537708699703217</v>
      </c>
      <c r="D65">
        <v>-6.6506617471108004E-2</v>
      </c>
    </row>
    <row r="66" spans="1:4" x14ac:dyDescent="0.35">
      <c r="A66">
        <v>-0.56847250461578402</v>
      </c>
      <c r="B66">
        <v>-7.8824706260414004E-2</v>
      </c>
      <c r="C66">
        <v>-0.53590786457061801</v>
      </c>
      <c r="D66">
        <v>-6.6266790634361E-2</v>
      </c>
    </row>
    <row r="67" spans="1:4" x14ac:dyDescent="0.35">
      <c r="A67">
        <v>-0.567912578582764</v>
      </c>
      <c r="B67">
        <v>-7.8473338117376001E-2</v>
      </c>
      <c r="C67">
        <v>-0.53623932600021396</v>
      </c>
      <c r="D67">
        <v>-6.4014154173117996E-2</v>
      </c>
    </row>
    <row r="68" spans="1:4" x14ac:dyDescent="0.35">
      <c r="A68">
        <v>-0.56738042831420898</v>
      </c>
      <c r="B68">
        <v>-7.7045486558979998E-2</v>
      </c>
      <c r="C68">
        <v>-0.53420835733413696</v>
      </c>
      <c r="D68">
        <v>-6.247251939765E-2</v>
      </c>
    </row>
    <row r="69" spans="1:4" x14ac:dyDescent="0.35">
      <c r="A69">
        <v>-0.56683981418609597</v>
      </c>
      <c r="B69">
        <v>-7.6513075020058996E-2</v>
      </c>
      <c r="C69">
        <v>-0.53419786691665605</v>
      </c>
      <c r="D69">
        <v>-6.1372999667833002E-2</v>
      </c>
    </row>
    <row r="70" spans="1:4" x14ac:dyDescent="0.35">
      <c r="A70">
        <v>-0.56630593538284302</v>
      </c>
      <c r="B70">
        <v>-7.6604806336755996E-2</v>
      </c>
      <c r="C70">
        <v>-0.53219014406204201</v>
      </c>
      <c r="D70">
        <v>-6.0846060707138001E-2</v>
      </c>
    </row>
    <row r="71" spans="1:4" x14ac:dyDescent="0.35">
      <c r="A71">
        <v>-0.56595575809478804</v>
      </c>
      <c r="B71">
        <v>-7.6620070473764998E-2</v>
      </c>
      <c r="C71">
        <v>-0.53279966115951505</v>
      </c>
      <c r="D71">
        <v>-5.8497266051837998E-2</v>
      </c>
    </row>
    <row r="72" spans="1:4" x14ac:dyDescent="0.35">
      <c r="A72">
        <v>-0.565476834774017</v>
      </c>
      <c r="B72">
        <v>-7.5988762830951004E-2</v>
      </c>
      <c r="C72">
        <v>-0.52970623970031705</v>
      </c>
      <c r="D72">
        <v>-5.6696983307567998E-2</v>
      </c>
    </row>
    <row r="73" spans="1:4" x14ac:dyDescent="0.35">
      <c r="A73">
        <v>-0.56485521793365501</v>
      </c>
      <c r="B73">
        <v>-7.5276902488204997E-2</v>
      </c>
      <c r="C73">
        <v>-0.53076386451721203</v>
      </c>
      <c r="D73">
        <v>-5.4882717711150997E-2</v>
      </c>
    </row>
    <row r="74" spans="1:4" x14ac:dyDescent="0.35">
      <c r="A74">
        <v>-0.56435579061508201</v>
      </c>
      <c r="B74">
        <v>-7.4500761386218001E-2</v>
      </c>
      <c r="C74">
        <v>-0.52824127674102805</v>
      </c>
      <c r="D74">
        <v>-5.4638159757531002E-2</v>
      </c>
    </row>
    <row r="75" spans="1:4" x14ac:dyDescent="0.35">
      <c r="A75">
        <v>-0.56385344266891502</v>
      </c>
      <c r="B75">
        <v>-7.3311477096845004E-2</v>
      </c>
      <c r="C75">
        <v>-0.52782142162322998</v>
      </c>
      <c r="D75">
        <v>-5.0675126377749999E-2</v>
      </c>
    </row>
    <row r="76" spans="1:4" x14ac:dyDescent="0.35">
      <c r="A76">
        <v>-0.56334149837493896</v>
      </c>
      <c r="B76">
        <v>-7.3488707198071004E-2</v>
      </c>
      <c r="C76">
        <v>-0.52606976032257102</v>
      </c>
      <c r="D76">
        <v>-4.9596306457519002E-2</v>
      </c>
    </row>
    <row r="77" spans="1:4" x14ac:dyDescent="0.35">
      <c r="A77">
        <v>-0.56282925605773904</v>
      </c>
      <c r="B77">
        <v>-7.2865671947457994E-2</v>
      </c>
      <c r="C77">
        <v>-0.52678507566452004</v>
      </c>
      <c r="D77">
        <v>-4.7809515762515999E-2</v>
      </c>
    </row>
    <row r="78" spans="1:4" x14ac:dyDescent="0.35">
      <c r="A78">
        <v>-0.56232494115829501</v>
      </c>
      <c r="B78">
        <v>-7.2170925960783006E-2</v>
      </c>
      <c r="C78">
        <v>-0.52405309677124001</v>
      </c>
      <c r="D78">
        <v>-4.4935606120468999E-2</v>
      </c>
    </row>
    <row r="79" spans="1:4" x14ac:dyDescent="0.35">
      <c r="A79">
        <v>-0.56209623813629195</v>
      </c>
      <c r="B79">
        <v>-7.1433373799479005E-2</v>
      </c>
      <c r="C79">
        <v>-0.52411484718322798</v>
      </c>
      <c r="D79">
        <v>-4.3195430625471001E-2</v>
      </c>
    </row>
    <row r="80" spans="1:4" x14ac:dyDescent="0.35">
      <c r="A80">
        <v>-0.56139624118804898</v>
      </c>
      <c r="B80">
        <v>-7.0978807780168005E-2</v>
      </c>
      <c r="C80">
        <v>-0.52207028865814198</v>
      </c>
      <c r="D80">
        <v>-4.1300040815016002E-2</v>
      </c>
    </row>
    <row r="81" spans="1:4" x14ac:dyDescent="0.35">
      <c r="A81">
        <v>-0.56095314025878895</v>
      </c>
      <c r="B81">
        <v>-7.0636742905406003E-2</v>
      </c>
      <c r="C81">
        <v>-0.52235788106918302</v>
      </c>
      <c r="D81">
        <v>-3.8778085503931997E-2</v>
      </c>
    </row>
    <row r="82" spans="1:4" x14ac:dyDescent="0.35">
      <c r="A82">
        <v>-0.56030297279357899</v>
      </c>
      <c r="B82">
        <v>-7.0543576279118003E-2</v>
      </c>
      <c r="C82">
        <v>-0.51971292495727495</v>
      </c>
      <c r="D82">
        <v>-3.8007783973843003E-2</v>
      </c>
    </row>
    <row r="83" spans="1:4" x14ac:dyDescent="0.35">
      <c r="A83">
        <v>-0.55991393327713002</v>
      </c>
      <c r="B83">
        <v>-6.9818107491822004E-2</v>
      </c>
      <c r="C83">
        <v>-0.52016305923461903</v>
      </c>
      <c r="D83">
        <v>-3.2031141149917002E-2</v>
      </c>
    </row>
    <row r="84" spans="1:4" x14ac:dyDescent="0.35">
      <c r="A84">
        <v>-0.55937230587005604</v>
      </c>
      <c r="B84">
        <v>-6.9449285314825998E-2</v>
      </c>
      <c r="C84">
        <v>-0.51812040805816695</v>
      </c>
      <c r="D84">
        <v>-3.0769707432871999E-2</v>
      </c>
    </row>
    <row r="85" spans="1:4" x14ac:dyDescent="0.35">
      <c r="A85">
        <v>-0.55870884656906095</v>
      </c>
      <c r="B85">
        <v>-6.9172846838359003E-2</v>
      </c>
      <c r="C85">
        <v>-0.51809555292129505</v>
      </c>
      <c r="D85">
        <v>-2.9249123897243001E-2</v>
      </c>
    </row>
    <row r="86" spans="1:4" x14ac:dyDescent="0.35">
      <c r="A86">
        <v>-0.55875623226165805</v>
      </c>
      <c r="B86">
        <v>-6.7758541914920006E-2</v>
      </c>
      <c r="C86">
        <v>-0.51593887805938698</v>
      </c>
      <c r="D86">
        <v>-2.5472522431655001E-2</v>
      </c>
    </row>
    <row r="87" spans="1:4" x14ac:dyDescent="0.35">
      <c r="A87">
        <v>-0.55799090862274203</v>
      </c>
      <c r="B87">
        <v>-6.7651300732275002E-2</v>
      </c>
      <c r="C87">
        <v>-0.51570504903793302</v>
      </c>
      <c r="D87">
        <v>-2.2897688218590999E-2</v>
      </c>
    </row>
    <row r="88" spans="1:4" x14ac:dyDescent="0.35">
      <c r="A88">
        <v>-0.55743044614791903</v>
      </c>
      <c r="B88">
        <v>-6.7180440872804004E-2</v>
      </c>
      <c r="C88">
        <v>-0.51422351598739602</v>
      </c>
      <c r="D88">
        <v>-2.0284721107365001E-2</v>
      </c>
    </row>
    <row r="89" spans="1:4" x14ac:dyDescent="0.35">
      <c r="A89">
        <v>-0.55697059631347701</v>
      </c>
      <c r="B89">
        <v>-6.6855723995550995E-2</v>
      </c>
      <c r="C89">
        <v>-0.51401430368423495</v>
      </c>
      <c r="D89">
        <v>-1.9656592043708999E-2</v>
      </c>
    </row>
    <row r="90" spans="1:4" x14ac:dyDescent="0.35">
      <c r="A90">
        <v>-0.55639731884002697</v>
      </c>
      <c r="B90">
        <v>-6.5005595419535003E-2</v>
      </c>
      <c r="C90">
        <v>-0.51203817129135099</v>
      </c>
      <c r="D90">
        <v>-1.5988078902489999E-2</v>
      </c>
    </row>
    <row r="91" spans="1:4" x14ac:dyDescent="0.35">
      <c r="A91">
        <v>-0.55583870410919201</v>
      </c>
      <c r="B91">
        <v>-6.4900190900682997E-2</v>
      </c>
      <c r="C91">
        <v>-0.51167643070220903</v>
      </c>
      <c r="D91">
        <v>-1.2148431918725999E-2</v>
      </c>
    </row>
    <row r="92" spans="1:4" x14ac:dyDescent="0.35">
      <c r="A92">
        <v>-0.55539536476135298</v>
      </c>
      <c r="B92">
        <v>-6.3610709007102001E-2</v>
      </c>
      <c r="C92">
        <v>-0.51039028167724598</v>
      </c>
      <c r="D92">
        <v>-9.0308668783520007E-3</v>
      </c>
    </row>
    <row r="93" spans="1:4" x14ac:dyDescent="0.35">
      <c r="A93">
        <v>-0.55496299266815197</v>
      </c>
      <c r="B93">
        <v>-6.3144988596012003E-2</v>
      </c>
      <c r="C93">
        <v>-0.50988805294036899</v>
      </c>
      <c r="D93">
        <v>-6.3896111893079997E-3</v>
      </c>
    </row>
    <row r="94" spans="1:4" x14ac:dyDescent="0.35">
      <c r="A94">
        <v>-0.55449247360229503</v>
      </c>
      <c r="B94">
        <v>-6.2643405777713004E-2</v>
      </c>
      <c r="C94">
        <v>-0.51206243038177501</v>
      </c>
      <c r="D94">
        <v>-2.5552841685840002E-3</v>
      </c>
    </row>
    <row r="95" spans="1:4" x14ac:dyDescent="0.35">
      <c r="A95">
        <v>-0.55399966239929199</v>
      </c>
      <c r="B95">
        <v>-6.2469145601222999E-2</v>
      </c>
      <c r="C95">
        <v>-0.50869894027710005</v>
      </c>
      <c r="D95">
        <v>-2.8695705164330002E-3</v>
      </c>
    </row>
    <row r="96" spans="1:4" x14ac:dyDescent="0.35">
      <c r="A96">
        <v>-0.55330508947372403</v>
      </c>
      <c r="B96">
        <v>-6.0914586078879999E-2</v>
      </c>
      <c r="C96">
        <v>-0.50570386648178101</v>
      </c>
      <c r="D96">
        <v>-1.630802660997E-3</v>
      </c>
    </row>
    <row r="97" spans="1:4" x14ac:dyDescent="0.35">
      <c r="A97">
        <v>-0.55296486616134599</v>
      </c>
      <c r="B97">
        <v>-6.0134489470784001E-2</v>
      </c>
      <c r="C97">
        <v>-0.50763046741485596</v>
      </c>
      <c r="D97">
        <v>1.8236842548179999E-3</v>
      </c>
    </row>
    <row r="98" spans="1:4" x14ac:dyDescent="0.35">
      <c r="A98">
        <v>-0.55251723527908303</v>
      </c>
      <c r="B98">
        <v>-6.0132662350138998E-2</v>
      </c>
      <c r="C98">
        <v>-0.50618880987167403</v>
      </c>
      <c r="D98">
        <v>5.239673034826E-3</v>
      </c>
    </row>
    <row r="99" spans="1:4" x14ac:dyDescent="0.35">
      <c r="A99">
        <v>-0.55181431770324696</v>
      </c>
      <c r="B99">
        <v>-5.9449331182106997E-2</v>
      </c>
      <c r="C99">
        <v>-0.50584322214126598</v>
      </c>
      <c r="D99">
        <v>7.5566539625139999E-3</v>
      </c>
    </row>
    <row r="100" spans="1:4" x14ac:dyDescent="0.35">
      <c r="A100">
        <v>-0.55155998468399003</v>
      </c>
      <c r="B100">
        <v>-5.8953119521655002E-2</v>
      </c>
      <c r="C100">
        <v>-0.50487548112869296</v>
      </c>
      <c r="D100">
        <v>1.1555171250848E-2</v>
      </c>
    </row>
    <row r="101" spans="1:4" x14ac:dyDescent="0.35">
      <c r="A101">
        <v>-0.55079144239425704</v>
      </c>
      <c r="B101">
        <v>-5.8145958918578003E-2</v>
      </c>
      <c r="C101">
        <v>-0.50361901521682695</v>
      </c>
      <c r="D101">
        <v>1.6242746997098999E-2</v>
      </c>
    </row>
    <row r="102" spans="1:4" x14ac:dyDescent="0.35">
      <c r="A102">
        <v>-0.55062466859817505</v>
      </c>
      <c r="B102">
        <v>-5.7529987074156998E-2</v>
      </c>
      <c r="C102">
        <v>-0.50256180763244596</v>
      </c>
      <c r="D102">
        <v>1.8846012149980999E-2</v>
      </c>
    </row>
    <row r="103" spans="1:4" x14ac:dyDescent="0.35">
      <c r="A103">
        <v>-0.54997718334197998</v>
      </c>
      <c r="B103">
        <v>-5.6955870351902999E-2</v>
      </c>
      <c r="C103">
        <v>-0.50109058618545499</v>
      </c>
      <c r="D103">
        <v>2.4257838965678999E-2</v>
      </c>
    </row>
    <row r="104" spans="1:4" x14ac:dyDescent="0.35">
      <c r="A104">
        <v>-0.54959481954574596</v>
      </c>
      <c r="B104">
        <v>-5.5342782919612997E-2</v>
      </c>
      <c r="C104">
        <v>-0.50085115432739302</v>
      </c>
      <c r="D104">
        <v>2.9280771269587998E-2</v>
      </c>
    </row>
    <row r="105" spans="1:4" x14ac:dyDescent="0.35">
      <c r="A105">
        <v>-0.548922538757324</v>
      </c>
      <c r="B105">
        <v>-5.4496043372193999E-2</v>
      </c>
      <c r="C105">
        <v>-0.49865055084228499</v>
      </c>
      <c r="D105">
        <v>3.2630736117626E-2</v>
      </c>
    </row>
    <row r="106" spans="1:4" x14ac:dyDescent="0.35">
      <c r="A106">
        <v>-0.54827761650085405</v>
      </c>
      <c r="B106">
        <v>-5.3320637555236999E-2</v>
      </c>
      <c r="C106">
        <v>-0.49993824958801297</v>
      </c>
      <c r="D106">
        <v>3.8791631558805002E-2</v>
      </c>
    </row>
    <row r="107" spans="1:4" x14ac:dyDescent="0.35">
      <c r="A107">
        <v>-0.54767978191375699</v>
      </c>
      <c r="B107">
        <v>-5.2243660444292003E-2</v>
      </c>
      <c r="C107">
        <v>-0.49731492996215798</v>
      </c>
      <c r="D107">
        <v>4.1511894461461002E-2</v>
      </c>
    </row>
    <row r="108" spans="1:4" x14ac:dyDescent="0.35">
      <c r="A108">
        <v>-0.54745376110076904</v>
      </c>
      <c r="B108">
        <v>-5.2393677881714999E-2</v>
      </c>
      <c r="C108">
        <v>-0.49709215760231001</v>
      </c>
      <c r="D108">
        <v>4.7840620773228003E-2</v>
      </c>
    </row>
    <row r="109" spans="1:4" x14ac:dyDescent="0.35">
      <c r="A109">
        <v>-0.54696947336196899</v>
      </c>
      <c r="B109">
        <v>-5.0880211143372003E-2</v>
      </c>
      <c r="C109">
        <v>-0.49531212449073803</v>
      </c>
      <c r="D109">
        <v>5.1758999875186E-2</v>
      </c>
    </row>
    <row r="110" spans="1:4" x14ac:dyDescent="0.35">
      <c r="A110">
        <v>-0.54643630981445301</v>
      </c>
      <c r="B110">
        <v>-5.0186640584731997E-2</v>
      </c>
      <c r="C110">
        <v>-0.49557837843894997</v>
      </c>
      <c r="D110">
        <v>5.7912785149307998E-2</v>
      </c>
    </row>
    <row r="111" spans="1:4" x14ac:dyDescent="0.35">
      <c r="A111">
        <v>-0.54600262641906705</v>
      </c>
      <c r="B111">
        <v>-4.9091205526532997E-2</v>
      </c>
      <c r="C111">
        <v>-0.49297165870666498</v>
      </c>
      <c r="D111">
        <v>6.0704471880832001E-2</v>
      </c>
    </row>
    <row r="112" spans="1:4" x14ac:dyDescent="0.35">
      <c r="A112">
        <v>-0.54536229372024503</v>
      </c>
      <c r="B112">
        <v>-4.8158844196495999E-2</v>
      </c>
      <c r="C112">
        <v>-0.49335491657257102</v>
      </c>
      <c r="D112">
        <v>6.4866752105833994E-2</v>
      </c>
    </row>
    <row r="113" spans="1:4" x14ac:dyDescent="0.35">
      <c r="A113">
        <v>-0.54495024681091297</v>
      </c>
      <c r="B113">
        <v>-4.7434114984418997E-2</v>
      </c>
      <c r="C113">
        <v>-0.49128842353820801</v>
      </c>
      <c r="D113">
        <v>7.3087199822142998E-2</v>
      </c>
    </row>
    <row r="114" spans="1:4" x14ac:dyDescent="0.35">
      <c r="A114">
        <v>-0.54442310333251998</v>
      </c>
      <c r="B114">
        <v>-4.6255803109199002E-2</v>
      </c>
      <c r="C114">
        <v>-0.4914231300354</v>
      </c>
      <c r="D114">
        <v>7.6266797737343003E-2</v>
      </c>
    </row>
    <row r="115" spans="1:4" x14ac:dyDescent="0.35">
      <c r="A115">
        <v>-0.54383659362793002</v>
      </c>
      <c r="B115">
        <v>-4.4999089481833003E-2</v>
      </c>
      <c r="C115">
        <v>-0.48851752281188998</v>
      </c>
      <c r="D115">
        <v>8.2775655799173994E-2</v>
      </c>
    </row>
    <row r="116" spans="1:4" x14ac:dyDescent="0.35">
      <c r="A116">
        <v>-0.54347223043441795</v>
      </c>
      <c r="B116">
        <v>-4.4167387371918998E-2</v>
      </c>
      <c r="C116">
        <v>-0.48949977755546598</v>
      </c>
      <c r="D116">
        <v>9.0306171789470993E-2</v>
      </c>
    </row>
    <row r="117" spans="1:4" x14ac:dyDescent="0.35">
      <c r="A117">
        <v>-0.54284137487411499</v>
      </c>
      <c r="B117">
        <v>-4.3238890587740997E-2</v>
      </c>
      <c r="C117">
        <v>-0.48667696118354797</v>
      </c>
      <c r="D117">
        <v>9.3143585188839001E-2</v>
      </c>
    </row>
    <row r="118" spans="1:4" x14ac:dyDescent="0.35">
      <c r="A118">
        <v>-0.54235595464706399</v>
      </c>
      <c r="B118">
        <v>-4.2550524214656001E-2</v>
      </c>
      <c r="C118">
        <v>-0.48711913824081399</v>
      </c>
      <c r="D118">
        <v>9.6994454095002E-2</v>
      </c>
    </row>
    <row r="119" spans="1:4" x14ac:dyDescent="0.35">
      <c r="A119">
        <v>-0.54194468259811401</v>
      </c>
      <c r="B119">
        <v>-4.0891837836095998E-2</v>
      </c>
      <c r="C119">
        <v>-0.48500829935073902</v>
      </c>
      <c r="D119">
        <v>0.103246716855287</v>
      </c>
    </row>
    <row r="120" spans="1:4" x14ac:dyDescent="0.35">
      <c r="A120">
        <v>-0.54136687517166104</v>
      </c>
      <c r="B120">
        <v>-4.0340669247808998E-2</v>
      </c>
      <c r="C120">
        <v>-0.485096305608749</v>
      </c>
      <c r="D120">
        <v>0.10848554965993799</v>
      </c>
    </row>
    <row r="121" spans="1:4" x14ac:dyDescent="0.35">
      <c r="A121">
        <v>-0.54092371463775601</v>
      </c>
      <c r="B121">
        <v>-3.9234568401835999E-2</v>
      </c>
      <c r="C121">
        <v>-0.483410865068436</v>
      </c>
      <c r="D121">
        <v>0.116711028353671</v>
      </c>
    </row>
    <row r="122" spans="1:4" x14ac:dyDescent="0.35">
      <c r="A122">
        <v>-0.54045921564102195</v>
      </c>
      <c r="B122">
        <v>-3.7563497263209997E-2</v>
      </c>
      <c r="C122">
        <v>-0.48332476615905801</v>
      </c>
      <c r="D122">
        <v>0.12560020115557</v>
      </c>
    </row>
    <row r="123" spans="1:4" x14ac:dyDescent="0.35">
      <c r="A123">
        <v>-0.540000140666962</v>
      </c>
      <c r="B123">
        <v>-3.6420082710203999E-2</v>
      </c>
      <c r="C123">
        <v>-0.48127070069312999</v>
      </c>
      <c r="D123">
        <v>0.12879578691058599</v>
      </c>
    </row>
    <row r="124" spans="1:4" x14ac:dyDescent="0.35">
      <c r="A124">
        <v>-0.53942990303039595</v>
      </c>
      <c r="B124">
        <v>-3.5521588957215001E-2</v>
      </c>
      <c r="C124">
        <v>-0.48181730508804299</v>
      </c>
      <c r="D124">
        <v>0.13501317401110099</v>
      </c>
    </row>
    <row r="125" spans="1:4" x14ac:dyDescent="0.35">
      <c r="A125">
        <v>-0.53887975215911899</v>
      </c>
      <c r="B125">
        <v>-3.4451811087273E-2</v>
      </c>
      <c r="C125">
        <v>-0.47962990403175398</v>
      </c>
      <c r="D125">
        <v>0.13960460178464701</v>
      </c>
    </row>
    <row r="126" spans="1:4" x14ac:dyDescent="0.35">
      <c r="A126">
        <v>-0.53839737176895097</v>
      </c>
      <c r="B126">
        <v>-3.3129387530768002E-2</v>
      </c>
      <c r="C126">
        <v>-0.47905164957046498</v>
      </c>
      <c r="D126">
        <v>0.14295668113797</v>
      </c>
    </row>
    <row r="127" spans="1:4" x14ac:dyDescent="0.35">
      <c r="A127">
        <v>-0.53798180818557695</v>
      </c>
      <c r="B127">
        <v>-3.1733149622340001E-2</v>
      </c>
      <c r="C127">
        <v>-0.47754219174385099</v>
      </c>
      <c r="D127">
        <v>0.149195337961988</v>
      </c>
    </row>
    <row r="128" spans="1:4" x14ac:dyDescent="0.35">
      <c r="A128">
        <v>-0.53740394115447998</v>
      </c>
      <c r="B128">
        <v>-3.0659972950759E-2</v>
      </c>
      <c r="C128">
        <v>-0.47678250074386602</v>
      </c>
      <c r="D128">
        <v>0.15420811500578399</v>
      </c>
    </row>
    <row r="129" spans="1:4" x14ac:dyDescent="0.35">
      <c r="A129">
        <v>-0.53690576553344704</v>
      </c>
      <c r="B129">
        <v>-2.8981564891064002E-2</v>
      </c>
      <c r="C129">
        <v>-0.47580987215042098</v>
      </c>
      <c r="D129">
        <v>0.163352691840568</v>
      </c>
    </row>
    <row r="130" spans="1:4" x14ac:dyDescent="0.35">
      <c r="A130">
        <v>-0.53648155927658103</v>
      </c>
      <c r="B130">
        <v>-2.7461133149401001E-2</v>
      </c>
      <c r="C130">
        <v>-0.47433850169181802</v>
      </c>
      <c r="D130">
        <v>0.16833710772197799</v>
      </c>
    </row>
    <row r="131" spans="1:4" x14ac:dyDescent="0.35">
      <c r="A131">
        <v>-0.53595668077468905</v>
      </c>
      <c r="B131">
        <v>-2.5822984578481999E-2</v>
      </c>
      <c r="C131">
        <v>-0.47378018498420699</v>
      </c>
      <c r="D131">
        <v>0.172158965708366</v>
      </c>
    </row>
    <row r="132" spans="1:4" x14ac:dyDescent="0.35">
      <c r="A132">
        <v>-0.53542983531951904</v>
      </c>
      <c r="B132">
        <v>-2.4456429718960001E-2</v>
      </c>
      <c r="C132">
        <v>-0.47198554873466497</v>
      </c>
      <c r="D132">
        <v>0.18063453474691499</v>
      </c>
    </row>
    <row r="133" spans="1:4" x14ac:dyDescent="0.35">
      <c r="A133">
        <v>-0.53501838445663497</v>
      </c>
      <c r="B133">
        <v>-2.2913401905973001E-2</v>
      </c>
      <c r="C133">
        <v>-0.47195687890052801</v>
      </c>
      <c r="D133">
        <v>0.187870932449095</v>
      </c>
    </row>
    <row r="134" spans="1:4" x14ac:dyDescent="0.35">
      <c r="A134">
        <v>-0.53432434797286998</v>
      </c>
      <c r="B134">
        <v>-2.1671309054328E-2</v>
      </c>
      <c r="C134">
        <v>-0.46923908591270402</v>
      </c>
      <c r="D134">
        <v>0.194457147396354</v>
      </c>
    </row>
    <row r="135" spans="1:4" x14ac:dyDescent="0.35">
      <c r="A135">
        <v>-0.53395318984985396</v>
      </c>
      <c r="B135">
        <v>-2.0537019993370001E-2</v>
      </c>
      <c r="C135">
        <v>-0.47030705213546797</v>
      </c>
      <c r="D135">
        <v>0.20111472552946</v>
      </c>
    </row>
    <row r="136" spans="1:4" x14ac:dyDescent="0.35">
      <c r="A136">
        <v>-0.53330230712890603</v>
      </c>
      <c r="B136">
        <v>-1.9251650962207E-2</v>
      </c>
      <c r="C136">
        <v>-0.46833315491676297</v>
      </c>
      <c r="D136">
        <v>0.205849229123789</v>
      </c>
    </row>
    <row r="137" spans="1:4" x14ac:dyDescent="0.35">
      <c r="A137">
        <v>-0.533097624778748</v>
      </c>
      <c r="B137">
        <v>-1.7624998619971001E-2</v>
      </c>
      <c r="C137">
        <v>-0.468118846416473</v>
      </c>
      <c r="D137">
        <v>0.21178925692266001</v>
      </c>
    </row>
    <row r="138" spans="1:4" x14ac:dyDescent="0.35">
      <c r="A138">
        <v>-0.53250092267990101</v>
      </c>
      <c r="B138">
        <v>-1.6292449553583999E-2</v>
      </c>
      <c r="C138">
        <v>-0.46635612845420799</v>
      </c>
      <c r="D138">
        <v>0.22033403678664601</v>
      </c>
    </row>
    <row r="139" spans="1:4" x14ac:dyDescent="0.35">
      <c r="A139">
        <v>-0.53188973665237405</v>
      </c>
      <c r="B139">
        <v>-1.4718420484116E-2</v>
      </c>
      <c r="C139">
        <v>-0.46671959757804898</v>
      </c>
      <c r="D139">
        <v>0.22421858129823599</v>
      </c>
    </row>
    <row r="140" spans="1:4" x14ac:dyDescent="0.35">
      <c r="A140">
        <v>-0.53166103363037098</v>
      </c>
      <c r="B140">
        <v>-1.2833244061617999E-2</v>
      </c>
      <c r="C140">
        <v>-0.46418845653533902</v>
      </c>
      <c r="D140">
        <v>0.23460999016488199</v>
      </c>
    </row>
    <row r="141" spans="1:4" x14ac:dyDescent="0.35">
      <c r="A141">
        <v>-0.53089392185211204</v>
      </c>
      <c r="B141">
        <v>-1.180767003581E-2</v>
      </c>
      <c r="C141">
        <v>-0.46401345729827898</v>
      </c>
      <c r="D141">
        <v>0.23589770392774501</v>
      </c>
    </row>
    <row r="142" spans="1:4" x14ac:dyDescent="0.35">
      <c r="A142">
        <v>-0.53162389993667603</v>
      </c>
      <c r="B142">
        <v>-8.0800678133060005E-3</v>
      </c>
      <c r="C142">
        <v>-0.462973862886429</v>
      </c>
      <c r="D142">
        <v>0.24558679644713799</v>
      </c>
    </row>
    <row r="143" spans="1:4" x14ac:dyDescent="0.35">
      <c r="A143">
        <v>-0.53053617477417003</v>
      </c>
      <c r="B143">
        <v>-1.3504528591193001E-2</v>
      </c>
      <c r="C143">
        <v>-0.46240082383155801</v>
      </c>
      <c r="D143">
        <v>0.25296610618558901</v>
      </c>
    </row>
    <row r="144" spans="1:4" x14ac:dyDescent="0.35">
      <c r="A144">
        <v>-0.530650675296783</v>
      </c>
      <c r="B144">
        <v>-7.9966294117930006E-3</v>
      </c>
      <c r="C144">
        <v>-0.46026661992073098</v>
      </c>
      <c r="D144">
        <v>0.258622083777231</v>
      </c>
    </row>
    <row r="145" spans="1:4" x14ac:dyDescent="0.35">
      <c r="A145">
        <v>-0.530173659324646</v>
      </c>
      <c r="B145">
        <v>-1.0165827839652E-2</v>
      </c>
      <c r="C145">
        <v>-0.45961111783981301</v>
      </c>
      <c r="D145">
        <v>0.266147928556703</v>
      </c>
    </row>
    <row r="146" spans="1:4" x14ac:dyDescent="0.35">
      <c r="A146">
        <v>-0.53101325035095204</v>
      </c>
      <c r="B146">
        <v>-7.1518211253980002E-3</v>
      </c>
      <c r="C146">
        <v>-0.45880475640296903</v>
      </c>
      <c r="D146">
        <v>0.275149661075479</v>
      </c>
    </row>
    <row r="147" spans="1:4" x14ac:dyDescent="0.35">
      <c r="A147">
        <v>-0.53021836280822798</v>
      </c>
      <c r="B147">
        <v>-9.2575287994199999E-3</v>
      </c>
      <c r="C147">
        <v>-0.45695790648460399</v>
      </c>
      <c r="D147">
        <v>0.28042013639572899</v>
      </c>
    </row>
    <row r="148" spans="1:4" x14ac:dyDescent="0.35">
      <c r="A148">
        <v>-0.529860019683838</v>
      </c>
      <c r="B148">
        <v>-7.4696313041789997E-3</v>
      </c>
      <c r="C148">
        <v>-0.45674604177474998</v>
      </c>
      <c r="D148">
        <v>0.28927413361830001</v>
      </c>
    </row>
    <row r="149" spans="1:4" x14ac:dyDescent="0.35">
      <c r="A149">
        <v>-0.52911466360092196</v>
      </c>
      <c r="B149">
        <v>-5.7677140690240002E-3</v>
      </c>
      <c r="C149">
        <v>-0.454915791749954</v>
      </c>
      <c r="D149">
        <v>0.29363506910473303</v>
      </c>
    </row>
    <row r="150" spans="1:4" x14ac:dyDescent="0.35">
      <c r="A150">
        <v>-0.52889519929885898</v>
      </c>
      <c r="B150">
        <v>-4.2633675606250001E-3</v>
      </c>
      <c r="C150">
        <v>-0.45484563708305398</v>
      </c>
      <c r="D150">
        <v>0.30392958735862202</v>
      </c>
    </row>
    <row r="151" spans="1:4" x14ac:dyDescent="0.35">
      <c r="A151">
        <v>-0.52815973758697499</v>
      </c>
      <c r="B151">
        <v>-2.79761057931E-3</v>
      </c>
      <c r="C151">
        <v>-0.452615946531296</v>
      </c>
      <c r="D151">
        <v>0.30557263818347302</v>
      </c>
    </row>
    <row r="152" spans="1:4" x14ac:dyDescent="0.35">
      <c r="A152">
        <v>-0.52843707799911499</v>
      </c>
      <c r="B152">
        <v>1.618451142197E-3</v>
      </c>
      <c r="C152">
        <v>-0.45376798510551503</v>
      </c>
      <c r="D152">
        <v>0.31853821482</v>
      </c>
    </row>
    <row r="153" spans="1:4" x14ac:dyDescent="0.35">
      <c r="A153">
        <v>-0.52836072444915805</v>
      </c>
      <c r="B153">
        <v>-5.6671204696940002E-3</v>
      </c>
      <c r="C153">
        <v>-0.451152503490448</v>
      </c>
      <c r="D153">
        <v>0.323827633380456</v>
      </c>
    </row>
    <row r="154" spans="1:4" x14ac:dyDescent="0.35">
      <c r="A154">
        <v>-0.52960109710693404</v>
      </c>
      <c r="B154">
        <v>2.1219404914750001E-3</v>
      </c>
      <c r="C154">
        <v>-0.451231509447098</v>
      </c>
      <c r="D154">
        <v>0.32759698301118501</v>
      </c>
    </row>
    <row r="155" spans="1:4" x14ac:dyDescent="0.35">
      <c r="A155">
        <v>-0.52801728248596203</v>
      </c>
      <c r="B155">
        <v>-5.4526294185089997E-3</v>
      </c>
      <c r="C155">
        <v>-0.44943967461585999</v>
      </c>
      <c r="D155">
        <v>0.33331174492833998</v>
      </c>
    </row>
    <row r="156" spans="1:4" x14ac:dyDescent="0.35">
      <c r="A156">
        <v>-0.52832257747650102</v>
      </c>
      <c r="B156">
        <v>2.1439593767380001E-3</v>
      </c>
      <c r="C156">
        <v>-0.44952040910720797</v>
      </c>
      <c r="D156">
        <v>0.34329521394731299</v>
      </c>
    </row>
    <row r="157" spans="1:4" x14ac:dyDescent="0.35">
      <c r="A157">
        <v>-0.52822715044021595</v>
      </c>
      <c r="B157">
        <v>-5.7358517767789998E-3</v>
      </c>
      <c r="C157">
        <v>-0.44729360938072199</v>
      </c>
      <c r="D157">
        <v>0.352614061347715</v>
      </c>
    </row>
    <row r="158" spans="1:4" x14ac:dyDescent="0.35">
      <c r="A158">
        <v>-0.52780735492706299</v>
      </c>
      <c r="B158">
        <v>1.9612220238280002E-3</v>
      </c>
      <c r="C158">
        <v>-0.447362691164017</v>
      </c>
      <c r="D158">
        <v>0.36487413228488802</v>
      </c>
    </row>
    <row r="159" spans="1:4" x14ac:dyDescent="0.35">
      <c r="A159">
        <v>-0.52826535701751698</v>
      </c>
      <c r="B159">
        <v>-5.8593273383049996E-3</v>
      </c>
      <c r="C159">
        <v>-0.44580006599426297</v>
      </c>
      <c r="D159">
        <v>0.36881217312892001</v>
      </c>
    </row>
    <row r="160" spans="1:4" x14ac:dyDescent="0.35">
      <c r="A160">
        <v>-0.52912402153015103</v>
      </c>
      <c r="B160">
        <v>2.0552419042810001E-3</v>
      </c>
      <c r="C160">
        <v>-0.444763213396072</v>
      </c>
      <c r="D160">
        <v>0.37661028986476303</v>
      </c>
    </row>
    <row r="161" spans="1:4" x14ac:dyDescent="0.35">
      <c r="A161">
        <v>-0.52801728248596203</v>
      </c>
      <c r="B161">
        <v>-5.6453820624819996E-3</v>
      </c>
      <c r="C161">
        <v>-0.44365295767784102</v>
      </c>
      <c r="D161">
        <v>0.38135661780195401</v>
      </c>
    </row>
    <row r="162" spans="1:4" x14ac:dyDescent="0.35">
      <c r="A162">
        <v>-0.52736842632293701</v>
      </c>
      <c r="B162">
        <v>2.4325569994479998E-3</v>
      </c>
      <c r="C162">
        <v>-0.44214576482772799</v>
      </c>
      <c r="D162">
        <v>0.39226257153557298</v>
      </c>
    </row>
    <row r="163" spans="1:4" x14ac:dyDescent="0.35">
      <c r="A163">
        <v>-0.52815085649490401</v>
      </c>
      <c r="B163">
        <v>-5.1541868653219997E-3</v>
      </c>
      <c r="C163">
        <v>-0.44130536913871798</v>
      </c>
      <c r="D163">
        <v>0.39199392574082298</v>
      </c>
    </row>
    <row r="164" spans="1:4" x14ac:dyDescent="0.35">
      <c r="A164">
        <v>-0.52776920795440696</v>
      </c>
      <c r="B164">
        <v>3.0350193500180002E-3</v>
      </c>
      <c r="C164">
        <v>-0.44025093317031899</v>
      </c>
      <c r="D164">
        <v>0.40662003758170101</v>
      </c>
    </row>
    <row r="165" spans="1:4" x14ac:dyDescent="0.35">
      <c r="A165">
        <v>-0.52668148279190097</v>
      </c>
      <c r="B165">
        <v>-4.4436853602620001E-3</v>
      </c>
      <c r="C165">
        <v>-0.43965080380439803</v>
      </c>
      <c r="D165">
        <v>0.418674252126712</v>
      </c>
    </row>
    <row r="166" spans="1:4" x14ac:dyDescent="0.35">
      <c r="A166">
        <v>-0.52822715044021595</v>
      </c>
      <c r="B166">
        <v>3.815978483452E-3</v>
      </c>
      <c r="C166">
        <v>-0.43809318542480502</v>
      </c>
      <c r="D166">
        <v>0.42454201759952298</v>
      </c>
    </row>
    <row r="167" spans="1:4" x14ac:dyDescent="0.35">
      <c r="A167">
        <v>-0.52769285440444902</v>
      </c>
      <c r="B167">
        <v>-4.025075286088E-3</v>
      </c>
      <c r="C167">
        <v>-0.43839314579963701</v>
      </c>
      <c r="D167">
        <v>0.432964815430607</v>
      </c>
    </row>
    <row r="168" spans="1:4" x14ac:dyDescent="0.35">
      <c r="A168">
        <v>-0.52773100137710605</v>
      </c>
      <c r="B168">
        <v>4.1407673911389997E-3</v>
      </c>
      <c r="C168">
        <v>-0.43583998084068298</v>
      </c>
      <c r="D168">
        <v>0.44588400713431597</v>
      </c>
    </row>
    <row r="169" spans="1:4" x14ac:dyDescent="0.35">
      <c r="A169">
        <v>-0.52763563394546498</v>
      </c>
      <c r="B169">
        <v>-3.3505573235059999E-3</v>
      </c>
      <c r="C169">
        <v>-0.43629935383796697</v>
      </c>
      <c r="D169">
        <v>0.43356730953533901</v>
      </c>
    </row>
    <row r="170" spans="1:4" x14ac:dyDescent="0.35">
      <c r="A170">
        <v>-0.52729213237762496</v>
      </c>
      <c r="B170">
        <v>4.7567591864680001E-3</v>
      </c>
      <c r="C170">
        <v>-0.43416202068328902</v>
      </c>
      <c r="D170">
        <v>0.44711264391715599</v>
      </c>
    </row>
    <row r="171" spans="1:4" x14ac:dyDescent="0.35">
      <c r="A171">
        <v>-0.52755928039550803</v>
      </c>
      <c r="B171">
        <v>-2.9399755667990001E-3</v>
      </c>
      <c r="C171">
        <v>-0.434673070907593</v>
      </c>
      <c r="D171">
        <v>0.46350019884862098</v>
      </c>
    </row>
    <row r="172" spans="1:4" x14ac:dyDescent="0.35">
      <c r="A172">
        <v>-0.52878057956695601</v>
      </c>
      <c r="B172">
        <v>5.1106559744990001E-3</v>
      </c>
      <c r="C172">
        <v>-0.43266072869300798</v>
      </c>
      <c r="D172">
        <v>0.47338639415963502</v>
      </c>
    </row>
    <row r="173" spans="1:4" x14ac:dyDescent="0.35">
      <c r="A173">
        <v>-0.52832257747650102</v>
      </c>
      <c r="B173">
        <v>-2.5975043214990002E-3</v>
      </c>
      <c r="C173">
        <v>-0.43239229917526201</v>
      </c>
      <c r="D173">
        <v>0.48485824185583898</v>
      </c>
    </row>
    <row r="174" spans="1:4" x14ac:dyDescent="0.35">
      <c r="A174">
        <v>-0.52691048383712802</v>
      </c>
      <c r="B174">
        <v>5.5561468389860001E-3</v>
      </c>
      <c r="C174">
        <v>-0.43009239435195901</v>
      </c>
      <c r="D174">
        <v>0.49311564077376602</v>
      </c>
    </row>
    <row r="175" spans="1:4" x14ac:dyDescent="0.35">
      <c r="A175">
        <v>-0.52721577882766701</v>
      </c>
      <c r="B175">
        <v>-2.3332095668199999E-3</v>
      </c>
      <c r="C175">
        <v>-0.43053796887397799</v>
      </c>
      <c r="D175">
        <v>0.48817076354797501</v>
      </c>
    </row>
    <row r="176" spans="1:4" x14ac:dyDescent="0.35">
      <c r="A176">
        <v>-0.52708220481872603</v>
      </c>
      <c r="B176">
        <v>5.609734397999E-3</v>
      </c>
      <c r="C176">
        <v>-0.42816600203514099</v>
      </c>
      <c r="D176">
        <v>0.50155965993984497</v>
      </c>
    </row>
    <row r="177" spans="1:4" x14ac:dyDescent="0.35">
      <c r="A177">
        <v>-0.52618533372878995</v>
      </c>
      <c r="B177">
        <v>-2.0061794130499999E-3</v>
      </c>
      <c r="C177">
        <v>-0.42776280641555797</v>
      </c>
      <c r="D177">
        <v>0.513894163517853</v>
      </c>
    </row>
    <row r="178" spans="1:4" x14ac:dyDescent="0.35">
      <c r="A178">
        <v>-0.527196705341339</v>
      </c>
      <c r="B178">
        <v>6.1747487217440004E-3</v>
      </c>
      <c r="C178">
        <v>-0.42606446146964999</v>
      </c>
      <c r="D178">
        <v>0.53123475274255205</v>
      </c>
    </row>
    <row r="179" spans="1:4" x14ac:dyDescent="0.35">
      <c r="A179">
        <v>-0.52761650085449197</v>
      </c>
      <c r="B179">
        <v>-1.305398631752E-3</v>
      </c>
      <c r="C179">
        <v>-0.42583233118057301</v>
      </c>
      <c r="D179">
        <v>0.53150648333986705</v>
      </c>
    </row>
    <row r="180" spans="1:4" x14ac:dyDescent="0.35">
      <c r="A180">
        <v>-0.52677690982818604</v>
      </c>
      <c r="B180">
        <v>6.7624074906159999E-3</v>
      </c>
      <c r="C180">
        <v>-0.42407020926475503</v>
      </c>
      <c r="D180">
        <v>0.54359699577587695</v>
      </c>
    </row>
    <row r="181" spans="1:4" x14ac:dyDescent="0.35">
      <c r="A181">
        <v>-0.52710127830505404</v>
      </c>
      <c r="B181">
        <v>-1.154594366494E-3</v>
      </c>
      <c r="C181">
        <v>-0.42328405380249001</v>
      </c>
      <c r="D181">
        <v>0.55237036085015301</v>
      </c>
    </row>
    <row r="182" spans="1:4" x14ac:dyDescent="0.35">
      <c r="A182">
        <v>-0.52670055627822898</v>
      </c>
      <c r="B182">
        <v>6.9622634567210002E-3</v>
      </c>
      <c r="C182">
        <v>-0.42274919152259799</v>
      </c>
      <c r="D182">
        <v>0.558302823066128</v>
      </c>
    </row>
    <row r="183" spans="1:4" x14ac:dyDescent="0.35">
      <c r="A183">
        <v>-0.527044057846069</v>
      </c>
      <c r="B183">
        <v>-4.3791313714600002E-4</v>
      </c>
      <c r="C183">
        <v>-0.42146679759025601</v>
      </c>
      <c r="D183">
        <v>0.572531537814711</v>
      </c>
    </row>
    <row r="184" spans="1:4" x14ac:dyDescent="0.35">
      <c r="A184">
        <v>-0.527502000331879</v>
      </c>
      <c r="B184">
        <v>7.5661844327180004E-3</v>
      </c>
      <c r="C184">
        <v>-0.42108687758445701</v>
      </c>
      <c r="D184">
        <v>0.58215722532244296</v>
      </c>
    </row>
    <row r="185" spans="1:4" x14ac:dyDescent="0.35">
      <c r="A185">
        <v>-0.52769285440444902</v>
      </c>
      <c r="B185">
        <v>3.8684368012000001E-5</v>
      </c>
      <c r="C185">
        <v>-0.41893354058265703</v>
      </c>
      <c r="D185">
        <v>0.59576555296364897</v>
      </c>
    </row>
    <row r="186" spans="1:4" x14ac:dyDescent="0.35">
      <c r="A186">
        <v>-0.526261687278748</v>
      </c>
      <c r="B186">
        <v>7.8789149735939996E-3</v>
      </c>
      <c r="C186">
        <v>-0.41996783018112199</v>
      </c>
      <c r="D186">
        <v>0.60038416181563703</v>
      </c>
    </row>
    <row r="187" spans="1:4" x14ac:dyDescent="0.35">
      <c r="A187">
        <v>-0.52683413028716997</v>
      </c>
      <c r="B187">
        <v>4.8200261868100002E-4</v>
      </c>
      <c r="C187">
        <v>-0.41713130474090598</v>
      </c>
      <c r="D187">
        <v>0.60719327015382296</v>
      </c>
    </row>
    <row r="188" spans="1:4" x14ac:dyDescent="0.35">
      <c r="A188">
        <v>-0.52631890773773204</v>
      </c>
      <c r="B188">
        <v>8.3759227715229992E-3</v>
      </c>
      <c r="C188">
        <v>-0.41720011830329901</v>
      </c>
      <c r="D188">
        <v>0.62388946897909203</v>
      </c>
    </row>
    <row r="189" spans="1:4" x14ac:dyDescent="0.35">
      <c r="A189">
        <v>-0.52540296316146895</v>
      </c>
      <c r="B189">
        <v>1.0684059132600001E-3</v>
      </c>
      <c r="C189">
        <v>-0.41560682654380798</v>
      </c>
      <c r="D189">
        <v>0.63505617524490598</v>
      </c>
    </row>
    <row r="190" spans="1:4" x14ac:dyDescent="0.35">
      <c r="A190">
        <v>-0.52580368518829301</v>
      </c>
      <c r="B190">
        <v>8.5654185588339999E-3</v>
      </c>
      <c r="C190">
        <v>-0.415621668100357</v>
      </c>
      <c r="D190">
        <v>0.63759734536701695</v>
      </c>
    </row>
    <row r="191" spans="1:4" x14ac:dyDescent="0.35">
      <c r="A191">
        <v>-0.52706313133239702</v>
      </c>
      <c r="B191">
        <v>1.6907962164919999E-3</v>
      </c>
      <c r="C191">
        <v>-0.412888944149017</v>
      </c>
      <c r="D191">
        <v>0.64846408536982203</v>
      </c>
    </row>
    <row r="192" spans="1:4" x14ac:dyDescent="0.35">
      <c r="A192">
        <v>-0.52610898017883301</v>
      </c>
      <c r="B192">
        <v>9.2050412675199998E-3</v>
      </c>
      <c r="C192">
        <v>-0.41283589601516701</v>
      </c>
      <c r="D192">
        <v>0.65723842173826796</v>
      </c>
    </row>
    <row r="193" spans="1:4" x14ac:dyDescent="0.35">
      <c r="A193">
        <v>-0.52652883529663097</v>
      </c>
      <c r="B193">
        <v>2.2068742554150001E-3</v>
      </c>
      <c r="C193">
        <v>-0.41136559844017001</v>
      </c>
      <c r="D193">
        <v>0.67124397329307095</v>
      </c>
    </row>
    <row r="194" spans="1:4" x14ac:dyDescent="0.35">
      <c r="A194">
        <v>-0.52612805366516102</v>
      </c>
      <c r="B194">
        <v>9.6482176290529995E-3</v>
      </c>
      <c r="C194">
        <v>-0.41120618581771901</v>
      </c>
      <c r="D194">
        <v>0.68908618594900894</v>
      </c>
    </row>
    <row r="195" spans="1:4" x14ac:dyDescent="0.35">
      <c r="A195">
        <v>-0.52622348070144698</v>
      </c>
      <c r="B195">
        <v>2.7735781811599998E-3</v>
      </c>
      <c r="C195">
        <v>-0.40876549482345598</v>
      </c>
      <c r="D195">
        <v>0.69427995976373502</v>
      </c>
    </row>
    <row r="196" spans="1:4" x14ac:dyDescent="0.35">
      <c r="A196">
        <v>-0.52572733163833596</v>
      </c>
      <c r="B196">
        <v>9.9182722465549992E-3</v>
      </c>
      <c r="C196">
        <v>-0.40885570645332298</v>
      </c>
      <c r="D196">
        <v>0.71043605717548697</v>
      </c>
    </row>
    <row r="197" spans="1:4" x14ac:dyDescent="0.35">
      <c r="A197">
        <v>-0.52710127830505404</v>
      </c>
      <c r="B197">
        <v>3.3873567446679998E-3</v>
      </c>
      <c r="C197">
        <v>-0.40738227963447599</v>
      </c>
      <c r="D197">
        <v>0.70970360545164202</v>
      </c>
    </row>
    <row r="198" spans="1:4" x14ac:dyDescent="0.35">
      <c r="A198">
        <v>-0.52582275867462203</v>
      </c>
      <c r="B198">
        <v>1.0436381791419E-2</v>
      </c>
      <c r="C198">
        <v>-0.40679982304573098</v>
      </c>
      <c r="D198">
        <v>0.72386688391986298</v>
      </c>
    </row>
    <row r="199" spans="1:4" x14ac:dyDescent="0.35">
      <c r="A199">
        <v>-0.52610898017883301</v>
      </c>
      <c r="B199">
        <v>3.7306698917529998E-3</v>
      </c>
      <c r="C199">
        <v>-0.40599969029426602</v>
      </c>
      <c r="D199">
        <v>0.73786879928200799</v>
      </c>
    </row>
    <row r="200" spans="1:4" x14ac:dyDescent="0.35">
      <c r="A200">
        <v>-0.52607083320617698</v>
      </c>
      <c r="B200">
        <v>1.0553361176763001E-2</v>
      </c>
      <c r="C200">
        <v>-0.40490517020225503</v>
      </c>
      <c r="D200">
        <v>0.75124220838681499</v>
      </c>
    </row>
    <row r="201" spans="1:4" x14ac:dyDescent="0.35">
      <c r="A201">
        <v>-0.525154888629913</v>
      </c>
      <c r="B201">
        <v>4.212336970495E-3</v>
      </c>
      <c r="C201">
        <v>-0.40398296713829002</v>
      </c>
      <c r="D201">
        <v>0.76470599226353797</v>
      </c>
    </row>
    <row r="202" spans="1:4" x14ac:dyDescent="0.35">
      <c r="A202">
        <v>-0.52664333581924405</v>
      </c>
      <c r="B202">
        <v>1.1051249284820999E-2</v>
      </c>
      <c r="C202">
        <v>-0.40280047059059099</v>
      </c>
      <c r="D202">
        <v>0.768376424417343</v>
      </c>
    </row>
    <row r="203" spans="1:4" x14ac:dyDescent="0.35">
      <c r="A203">
        <v>-0.52587997913360596</v>
      </c>
      <c r="B203">
        <v>4.7357308525359998E-3</v>
      </c>
      <c r="C203">
        <v>-0.40219473838806202</v>
      </c>
      <c r="D203">
        <v>0.77418434379576895</v>
      </c>
    </row>
    <row r="204" spans="1:4" x14ac:dyDescent="0.35">
      <c r="A204">
        <v>-0.52587997913360596</v>
      </c>
      <c r="B204">
        <v>1.1040319882025E-2</v>
      </c>
      <c r="C204">
        <v>-0.40082186460495001</v>
      </c>
      <c r="D204">
        <v>0.79088639226634605</v>
      </c>
    </row>
    <row r="205" spans="1:4" x14ac:dyDescent="0.35">
      <c r="A205">
        <v>-0.52580368518829301</v>
      </c>
      <c r="B205">
        <v>4.9507458882739998E-3</v>
      </c>
      <c r="C205">
        <v>-0.39986515045165999</v>
      </c>
      <c r="D205">
        <v>0.79259976012626399</v>
      </c>
    </row>
    <row r="206" spans="1:4" x14ac:dyDescent="0.35">
      <c r="A206">
        <v>-0.52546018362045299</v>
      </c>
      <c r="B206">
        <v>1.1434833076219E-2</v>
      </c>
      <c r="C206">
        <v>-0.39869624376297003</v>
      </c>
      <c r="D206">
        <v>0.82106696745749597</v>
      </c>
    </row>
    <row r="207" spans="1:4" x14ac:dyDescent="0.35">
      <c r="A207">
        <v>-0.52555561065673795</v>
      </c>
      <c r="B207">
        <v>5.220003772492E-3</v>
      </c>
      <c r="C207">
        <v>-0.39777749776840199</v>
      </c>
      <c r="D207">
        <v>0.82989475288782799</v>
      </c>
    </row>
    <row r="208" spans="1:4" x14ac:dyDescent="0.35">
      <c r="A208">
        <v>-0.52450603246688798</v>
      </c>
      <c r="B208">
        <v>1.1586864398069999E-2</v>
      </c>
      <c r="C208">
        <v>-0.39591887593269298</v>
      </c>
      <c r="D208">
        <v>0.84480288790874303</v>
      </c>
    </row>
    <row r="209" spans="1:4" x14ac:dyDescent="0.35">
      <c r="A209">
        <v>-0.52557468414306596</v>
      </c>
      <c r="B209">
        <v>6.1544187970690003E-3</v>
      </c>
      <c r="C209">
        <v>-0.39568445086479198</v>
      </c>
      <c r="D209">
        <v>0.86034303027404302</v>
      </c>
    </row>
    <row r="210" spans="1:4" x14ac:dyDescent="0.35">
      <c r="A210">
        <v>-0.525784611701965</v>
      </c>
      <c r="B210">
        <v>1.1977835992361E-2</v>
      </c>
      <c r="C210">
        <v>-0.39424383640289301</v>
      </c>
      <c r="D210">
        <v>0.87068323334407105</v>
      </c>
    </row>
    <row r="211" spans="1:4" x14ac:dyDescent="0.35">
      <c r="A211">
        <v>-0.52542203664779696</v>
      </c>
      <c r="B211">
        <v>6.6130665230629999E-3</v>
      </c>
      <c r="C211">
        <v>-0.39413684606552102</v>
      </c>
      <c r="D211">
        <v>0.88817726041812495</v>
      </c>
    </row>
    <row r="212" spans="1:4" x14ac:dyDescent="0.35">
      <c r="A212">
        <v>-0.52530753612518299</v>
      </c>
      <c r="B212">
        <v>1.2604264775005E-2</v>
      </c>
      <c r="C212">
        <v>-0.39192700386047402</v>
      </c>
      <c r="D212">
        <v>0.899549617757888</v>
      </c>
    </row>
    <row r="213" spans="1:4" x14ac:dyDescent="0.35">
      <c r="A213">
        <v>-0.52586090564727805</v>
      </c>
      <c r="B213">
        <v>7.6430062509240003E-3</v>
      </c>
      <c r="C213">
        <v>-0.39277565479278598</v>
      </c>
      <c r="D213">
        <v>0.91486450201884695</v>
      </c>
    </row>
    <row r="214" spans="1:4" x14ac:dyDescent="0.35">
      <c r="A214">
        <v>-0.524849534034729</v>
      </c>
      <c r="B214">
        <v>1.2970882767861999E-2</v>
      </c>
      <c r="C214">
        <v>-0.38979166746139499</v>
      </c>
      <c r="D214">
        <v>0.92030999244818001</v>
      </c>
    </row>
    <row r="215" spans="1:4" x14ac:dyDescent="0.35">
      <c r="A215">
        <v>-0.52534568309783902</v>
      </c>
      <c r="B215">
        <v>7.7695605839500003E-3</v>
      </c>
      <c r="C215">
        <v>-0.39029121398925798</v>
      </c>
      <c r="D215">
        <v>0.93206117105897701</v>
      </c>
    </row>
    <row r="216" spans="1:4" x14ac:dyDescent="0.35">
      <c r="A216">
        <v>-0.52561283111572299</v>
      </c>
      <c r="B216">
        <v>1.3341243594179999E-2</v>
      </c>
      <c r="C216">
        <v>-0.38829225301742598</v>
      </c>
      <c r="D216">
        <v>0.94774085319677503</v>
      </c>
    </row>
    <row r="217" spans="1:4" x14ac:dyDescent="0.35">
      <c r="A217">
        <v>-0.52525025606155396</v>
      </c>
      <c r="B217">
        <v>8.5089633596430007E-3</v>
      </c>
      <c r="C217">
        <v>-0.38866284489631697</v>
      </c>
      <c r="D217">
        <v>0.95310660762395005</v>
      </c>
    </row>
    <row r="218" spans="1:4" x14ac:dyDescent="0.35">
      <c r="A218">
        <v>-0.52511668205261197</v>
      </c>
      <c r="B218">
        <v>1.3582038416286E-2</v>
      </c>
      <c r="C218">
        <v>-0.38632157444953902</v>
      </c>
      <c r="D218">
        <v>0.96471019033023797</v>
      </c>
    </row>
    <row r="219" spans="1:4" x14ac:dyDescent="0.35">
      <c r="A219">
        <v>-0.52540296316146895</v>
      </c>
      <c r="B219">
        <v>8.8912041441160002E-3</v>
      </c>
      <c r="C219">
        <v>-0.38648176193237299</v>
      </c>
      <c r="D219">
        <v>0.97149930437818199</v>
      </c>
    </row>
    <row r="220" spans="1:4" x14ac:dyDescent="0.35">
      <c r="A220">
        <v>-0.52395266294479403</v>
      </c>
      <c r="B220">
        <v>1.3783524911974E-2</v>
      </c>
      <c r="C220">
        <v>-0.38426148891449002</v>
      </c>
      <c r="D220">
        <v>0.99139586220023501</v>
      </c>
    </row>
    <row r="221" spans="1:4" x14ac:dyDescent="0.35">
      <c r="A221">
        <v>-0.525002181529999</v>
      </c>
      <c r="B221">
        <v>9.2719109847230006E-3</v>
      </c>
      <c r="C221">
        <v>-0.38398239016532898</v>
      </c>
      <c r="D221">
        <v>1.0038679857558901</v>
      </c>
    </row>
    <row r="222" spans="1:4" x14ac:dyDescent="0.35">
      <c r="A222">
        <v>-0.525002181529999</v>
      </c>
      <c r="B222">
        <v>1.3751807640041001E-2</v>
      </c>
      <c r="C222">
        <v>-0.38203689455986001</v>
      </c>
      <c r="D222">
        <v>1.0219445234498501</v>
      </c>
    </row>
    <row r="223" spans="1:4" x14ac:dyDescent="0.35">
      <c r="A223">
        <v>-0.52458238601684604</v>
      </c>
      <c r="B223">
        <v>9.7468541864819992E-3</v>
      </c>
      <c r="C223">
        <v>-0.38219487667083701</v>
      </c>
      <c r="D223">
        <v>1.03263752614506</v>
      </c>
    </row>
    <row r="224" spans="1:4" x14ac:dyDescent="0.35">
      <c r="A224">
        <v>-0.52431523799896196</v>
      </c>
      <c r="B224">
        <v>1.4222825142824001E-2</v>
      </c>
      <c r="C224">
        <v>-0.37958979606628401</v>
      </c>
      <c r="D224">
        <v>1.0485024433841601</v>
      </c>
    </row>
    <row r="225" spans="1:4" x14ac:dyDescent="0.35">
      <c r="A225">
        <v>-0.52521210908889804</v>
      </c>
      <c r="B225">
        <v>1.0252404267093999E-2</v>
      </c>
      <c r="C225">
        <v>-0.380038291215897</v>
      </c>
      <c r="D225">
        <v>1.0534605456769901</v>
      </c>
    </row>
    <row r="226" spans="1:4" x14ac:dyDescent="0.35">
      <c r="A226">
        <v>-0.52399080991744995</v>
      </c>
      <c r="B226">
        <v>1.4421986947289E-2</v>
      </c>
      <c r="C226">
        <v>-0.37813001871108998</v>
      </c>
      <c r="D226">
        <v>1.0809338469705001</v>
      </c>
    </row>
    <row r="227" spans="1:4" x14ac:dyDescent="0.35">
      <c r="A227">
        <v>-0.52477324008941695</v>
      </c>
      <c r="B227">
        <v>1.1116223864304E-2</v>
      </c>
      <c r="C227">
        <v>-0.378090649843216</v>
      </c>
      <c r="D227">
        <v>1.0928813593657301</v>
      </c>
    </row>
    <row r="228" spans="1:4" x14ac:dyDescent="0.35">
      <c r="A228">
        <v>-0.52486860752105702</v>
      </c>
      <c r="B228">
        <v>1.4850084666761E-2</v>
      </c>
      <c r="C228">
        <v>-0.37666821479797402</v>
      </c>
      <c r="D228">
        <v>1.0740496755737701</v>
      </c>
    </row>
    <row r="229" spans="1:4" x14ac:dyDescent="0.35">
      <c r="A229">
        <v>-0.52442973852157604</v>
      </c>
      <c r="B229">
        <v>1.1367390183417E-2</v>
      </c>
      <c r="C229">
        <v>-0.37606230378150901</v>
      </c>
      <c r="D229">
        <v>1.1251529394028901</v>
      </c>
    </row>
    <row r="230" spans="1:4" x14ac:dyDescent="0.35">
      <c r="A230">
        <v>-0.52463960647582997</v>
      </c>
      <c r="B230">
        <v>1.5002531048940001E-2</v>
      </c>
      <c r="C230">
        <v>-0.37449866533279402</v>
      </c>
      <c r="D230">
        <v>1.1202014579723101</v>
      </c>
    </row>
    <row r="231" spans="1:4" x14ac:dyDescent="0.35">
      <c r="A231">
        <v>-0.52561283111572299</v>
      </c>
      <c r="B231">
        <v>1.1901876928332E-2</v>
      </c>
      <c r="C231">
        <v>-0.37449771165847801</v>
      </c>
      <c r="D231">
        <v>1.12540000098504</v>
      </c>
    </row>
    <row r="232" spans="1:4" x14ac:dyDescent="0.35">
      <c r="A232">
        <v>-0.52317029237747203</v>
      </c>
      <c r="B232">
        <v>1.5159391714229999E-2</v>
      </c>
      <c r="C232">
        <v>-0.37240779399871798</v>
      </c>
      <c r="D232">
        <v>1.1379698110376799</v>
      </c>
    </row>
    <row r="233" spans="1:4" x14ac:dyDescent="0.35">
      <c r="A233">
        <v>-0.52448695898055997</v>
      </c>
      <c r="B233">
        <v>1.2178809653276E-2</v>
      </c>
      <c r="C233">
        <v>-0.37163683772087103</v>
      </c>
      <c r="D233">
        <v>1.15502965466758</v>
      </c>
    </row>
    <row r="234" spans="1:4" x14ac:dyDescent="0.35">
      <c r="A234">
        <v>-0.524372458457947</v>
      </c>
      <c r="B234">
        <v>1.5441460852995E-2</v>
      </c>
      <c r="C234">
        <v>-0.37086427211761502</v>
      </c>
      <c r="D234">
        <v>1.16664983509618</v>
      </c>
    </row>
    <row r="235" spans="1:4" x14ac:dyDescent="0.35">
      <c r="A235">
        <v>-0.52427709102630604</v>
      </c>
      <c r="B235">
        <v>1.3067346101063E-2</v>
      </c>
      <c r="C235">
        <v>-0.36919769644737199</v>
      </c>
      <c r="D235">
        <v>1.1838216655779601</v>
      </c>
    </row>
    <row r="236" spans="1:4" x14ac:dyDescent="0.35">
      <c r="A236">
        <v>-0.52439159154892001</v>
      </c>
      <c r="B236">
        <v>1.6105084605728001E-2</v>
      </c>
      <c r="C236">
        <v>-0.36854463815689098</v>
      </c>
      <c r="D236">
        <v>1.2115618459159301</v>
      </c>
    </row>
    <row r="237" spans="1:4" x14ac:dyDescent="0.35">
      <c r="A237">
        <v>-0.52469688653945901</v>
      </c>
      <c r="B237">
        <v>1.3535416838469001E-2</v>
      </c>
      <c r="C237">
        <v>-0.36708560585975603</v>
      </c>
      <c r="D237">
        <v>1.2331797269573499</v>
      </c>
    </row>
    <row r="238" spans="1:4" x14ac:dyDescent="0.35">
      <c r="A238">
        <v>-0.52336108684539795</v>
      </c>
      <c r="B238">
        <v>1.5919049947789001E-2</v>
      </c>
      <c r="C238">
        <v>-0.36683180928230302</v>
      </c>
      <c r="D238">
        <v>1.232093505288</v>
      </c>
    </row>
    <row r="239" spans="1:4" x14ac:dyDescent="0.35">
      <c r="A239">
        <v>-0.52393358945846602</v>
      </c>
      <c r="B239">
        <v>1.3755071384913E-2</v>
      </c>
      <c r="C239">
        <v>-0.36509227752685502</v>
      </c>
      <c r="D239">
        <v>1.2470146060615801</v>
      </c>
    </row>
    <row r="240" spans="1:4" x14ac:dyDescent="0.35">
      <c r="A240">
        <v>-0.52404808998107899</v>
      </c>
      <c r="B240">
        <v>1.6209770447298998E-2</v>
      </c>
      <c r="C240">
        <v>-0.36572211980819702</v>
      </c>
      <c r="D240">
        <v>1.2666592532265799</v>
      </c>
    </row>
    <row r="241" spans="1:4" x14ac:dyDescent="0.35">
      <c r="A241">
        <v>-0.52362823486328103</v>
      </c>
      <c r="B241">
        <v>1.4187438062212E-2</v>
      </c>
      <c r="C241">
        <v>-0.36266878247260997</v>
      </c>
      <c r="D241">
        <v>1.29511438005395</v>
      </c>
    </row>
    <row r="242" spans="1:4" x14ac:dyDescent="0.35">
      <c r="A242">
        <v>-0.52400988340377797</v>
      </c>
      <c r="B242">
        <v>1.6621764302419E-2</v>
      </c>
      <c r="C242">
        <v>-0.36350214481353799</v>
      </c>
      <c r="D242">
        <v>1.29367778071416</v>
      </c>
    </row>
    <row r="243" spans="1:4" x14ac:dyDescent="0.35">
      <c r="A243">
        <v>-0.52517396211624101</v>
      </c>
      <c r="B243">
        <v>1.4610963126003001E-2</v>
      </c>
      <c r="C243">
        <v>-0.36161696910858199</v>
      </c>
      <c r="D243">
        <v>1.3028799640482001</v>
      </c>
    </row>
    <row r="244" spans="1:4" x14ac:dyDescent="0.35">
      <c r="A244">
        <v>-0.52341836690902699</v>
      </c>
      <c r="B244">
        <v>1.655854741305E-2</v>
      </c>
      <c r="C244">
        <v>-0.36069515347480802</v>
      </c>
      <c r="D244">
        <v>1.3429035786828101</v>
      </c>
    </row>
    <row r="245" spans="1:4" x14ac:dyDescent="0.35">
      <c r="A245">
        <v>-0.52357101440429699</v>
      </c>
      <c r="B245">
        <v>1.5313885529947001E-2</v>
      </c>
      <c r="C245">
        <v>-0.35925340652465798</v>
      </c>
      <c r="D245">
        <v>1.3521369537629599</v>
      </c>
    </row>
    <row r="246" spans="1:4" x14ac:dyDescent="0.35">
      <c r="A246">
        <v>-0.523742735385895</v>
      </c>
      <c r="B246">
        <v>1.7052817563574001E-2</v>
      </c>
      <c r="C246">
        <v>-0.35904240608215299</v>
      </c>
      <c r="D246">
        <v>1.34979219131988</v>
      </c>
    </row>
    <row r="247" spans="1:4" x14ac:dyDescent="0.35">
      <c r="A247">
        <v>-0.52378094196319602</v>
      </c>
      <c r="B247">
        <v>1.6146880234967E-2</v>
      </c>
      <c r="C247">
        <v>-0.35741510987281799</v>
      </c>
      <c r="D247">
        <v>1.3833886128703701</v>
      </c>
    </row>
    <row r="248" spans="1:4" x14ac:dyDescent="0.35">
      <c r="A248">
        <v>-0.522960364818573</v>
      </c>
      <c r="B248">
        <v>1.7629005067103999E-2</v>
      </c>
      <c r="C248">
        <v>-0.35657584667205799</v>
      </c>
      <c r="D248">
        <v>1.3809548542301999</v>
      </c>
    </row>
    <row r="249" spans="1:4" x14ac:dyDescent="0.35">
      <c r="A249">
        <v>-0.52483046054840099</v>
      </c>
      <c r="B249">
        <v>1.6680275191749999E-2</v>
      </c>
      <c r="C249">
        <v>-0.35625773668289201</v>
      </c>
      <c r="D249">
        <v>1.4063101683689501</v>
      </c>
    </row>
    <row r="250" spans="1:4" x14ac:dyDescent="0.35">
      <c r="A250">
        <v>-0.523742735385895</v>
      </c>
      <c r="B250">
        <v>1.7684351646352001E-2</v>
      </c>
      <c r="C250">
        <v>-0.35375303030013999</v>
      </c>
      <c r="D250">
        <v>1.4236370120097299</v>
      </c>
    </row>
    <row r="251" spans="1:4" x14ac:dyDescent="0.35">
      <c r="A251">
        <v>-0.52338016033172596</v>
      </c>
      <c r="B251">
        <v>1.7165126761355998E-2</v>
      </c>
      <c r="C251">
        <v>-0.35427504777908297</v>
      </c>
      <c r="D251">
        <v>1.43835619858001</v>
      </c>
    </row>
    <row r="252" spans="1:4" x14ac:dyDescent="0.35">
      <c r="A252">
        <v>-0.52347558736801103</v>
      </c>
      <c r="B252">
        <v>1.8446036590571001E-2</v>
      </c>
      <c r="C252">
        <v>-0.35241118073463401</v>
      </c>
      <c r="D252">
        <v>1.4580587187515299</v>
      </c>
    </row>
    <row r="253" spans="1:4" x14ac:dyDescent="0.35">
      <c r="A253">
        <v>-0.52370458841323897</v>
      </c>
      <c r="B253">
        <v>1.7866960095431001E-2</v>
      </c>
      <c r="C253">
        <v>-0.35203260183334401</v>
      </c>
      <c r="D253">
        <v>1.4869348760783401</v>
      </c>
    </row>
    <row r="254" spans="1:4" x14ac:dyDescent="0.35">
      <c r="A254">
        <v>-0.52332293987274203</v>
      </c>
      <c r="B254">
        <v>1.8353645794108999E-2</v>
      </c>
      <c r="C254">
        <v>-0.350182354450226</v>
      </c>
      <c r="D254">
        <v>1.4674357605405799</v>
      </c>
    </row>
    <row r="255" spans="1:4" x14ac:dyDescent="0.35">
      <c r="A255">
        <v>-0.52460145950317405</v>
      </c>
      <c r="B255">
        <v>1.7883459142963E-2</v>
      </c>
      <c r="C255">
        <v>-0.35042273998260498</v>
      </c>
      <c r="D255">
        <v>1.4748099184945</v>
      </c>
    </row>
    <row r="256" spans="1:4" x14ac:dyDescent="0.35">
      <c r="A256">
        <v>-0.52309393882751498</v>
      </c>
      <c r="B256">
        <v>1.8658224280200999E-2</v>
      </c>
      <c r="C256">
        <v>-0.34805116057395902</v>
      </c>
      <c r="D256">
        <v>1.5146855886566299</v>
      </c>
    </row>
    <row r="257" spans="1:4" x14ac:dyDescent="0.35">
      <c r="A257">
        <v>-0.522807717323303</v>
      </c>
      <c r="B257">
        <v>1.8669437279071999E-2</v>
      </c>
      <c r="C257">
        <v>-0.34815725684165999</v>
      </c>
      <c r="D257">
        <v>1.5298174961746001</v>
      </c>
    </row>
    <row r="258" spans="1:4" x14ac:dyDescent="0.35">
      <c r="A258">
        <v>-0.52299851179122903</v>
      </c>
      <c r="B258">
        <v>1.9157728616293002E-2</v>
      </c>
      <c r="C258">
        <v>-0.34586888551711997</v>
      </c>
      <c r="D258">
        <v>1.54489324360561</v>
      </c>
    </row>
    <row r="259" spans="1:4" x14ac:dyDescent="0.35">
      <c r="A259">
        <v>-0.52318930625915505</v>
      </c>
      <c r="B259">
        <v>2.0545528175751001E-2</v>
      </c>
      <c r="C259">
        <v>-0.34679511189460799</v>
      </c>
      <c r="D259">
        <v>1.55442010936593</v>
      </c>
    </row>
    <row r="260" spans="1:4" x14ac:dyDescent="0.35">
      <c r="A260">
        <v>-0.52218049764633201</v>
      </c>
      <c r="B260">
        <v>2.2472223656179E-2</v>
      </c>
      <c r="C260">
        <v>-0.34443816542625399</v>
      </c>
      <c r="D260">
        <v>1.5646807704978301</v>
      </c>
    </row>
    <row r="261" spans="1:4" x14ac:dyDescent="0.35">
      <c r="A261">
        <v>-0.52178293466568004</v>
      </c>
      <c r="B261">
        <v>2.4111936370907E-2</v>
      </c>
      <c r="C261">
        <v>-0.34393194317817699</v>
      </c>
      <c r="D261">
        <v>1.59335915729461</v>
      </c>
    </row>
    <row r="262" spans="1:4" x14ac:dyDescent="0.35">
      <c r="A262">
        <v>-0.52122294902801503</v>
      </c>
      <c r="B262">
        <v>2.6737339620996E-2</v>
      </c>
      <c r="C262">
        <v>-0.34233430027961698</v>
      </c>
      <c r="D262">
        <v>1.6093857169632699</v>
      </c>
    </row>
    <row r="263" spans="1:4" x14ac:dyDescent="0.35">
      <c r="A263">
        <v>-0.52080839872360196</v>
      </c>
      <c r="B263">
        <v>2.8683687991335E-2</v>
      </c>
      <c r="C263">
        <v>-0.34234681725501998</v>
      </c>
      <c r="D263">
        <v>1.6402385098947501</v>
      </c>
    </row>
    <row r="264" spans="1:4" x14ac:dyDescent="0.35">
      <c r="A264">
        <v>-0.52037686109542802</v>
      </c>
      <c r="B264">
        <v>3.1315545686235E-2</v>
      </c>
      <c r="C264">
        <v>-0.34029015898704501</v>
      </c>
      <c r="D264">
        <v>1.6246668688816299</v>
      </c>
    </row>
    <row r="265" spans="1:4" x14ac:dyDescent="0.35">
      <c r="A265">
        <v>-0.51999068260192904</v>
      </c>
      <c r="B265">
        <v>3.3567078979065003E-2</v>
      </c>
      <c r="C265">
        <v>-0.33971264958381697</v>
      </c>
      <c r="D265">
        <v>1.6417645349899199</v>
      </c>
    </row>
    <row r="266" spans="1:4" x14ac:dyDescent="0.35">
      <c r="A266">
        <v>-0.519336938858032</v>
      </c>
      <c r="B266">
        <v>3.6327549045923002E-2</v>
      </c>
      <c r="C266">
        <v>-0.338788002729416</v>
      </c>
      <c r="D266">
        <v>1.6588970214104699</v>
      </c>
    </row>
    <row r="267" spans="1:4" x14ac:dyDescent="0.35">
      <c r="A267">
        <v>-0.51886385679244995</v>
      </c>
      <c r="B267">
        <v>3.8973867377803999E-2</v>
      </c>
      <c r="C267">
        <v>-0.33754363656044001</v>
      </c>
      <c r="D267">
        <v>1.6807033139669501</v>
      </c>
    </row>
    <row r="268" spans="1:4" x14ac:dyDescent="0.35">
      <c r="A268">
        <v>-0.518360614776611</v>
      </c>
      <c r="B268">
        <v>4.1197103774838997E-2</v>
      </c>
      <c r="C268">
        <v>-0.33687850832939098</v>
      </c>
      <c r="D268">
        <v>1.6956685809080201</v>
      </c>
    </row>
    <row r="269" spans="1:4" x14ac:dyDescent="0.35">
      <c r="A269">
        <v>-0.51779657602310203</v>
      </c>
      <c r="B269">
        <v>4.4297969529526998E-2</v>
      </c>
      <c r="C269">
        <v>-0.33553761243820202</v>
      </c>
      <c r="D269">
        <v>1.7244774595222401</v>
      </c>
    </row>
    <row r="270" spans="1:4" x14ac:dyDescent="0.35">
      <c r="A270">
        <v>-0.51745814085006703</v>
      </c>
      <c r="B270">
        <v>4.6651484475214999E-2</v>
      </c>
      <c r="C270">
        <v>-0.334822118282318</v>
      </c>
      <c r="D270">
        <v>1.72868294699669</v>
      </c>
    </row>
    <row r="271" spans="1:4" x14ac:dyDescent="0.35">
      <c r="A271">
        <v>-0.51683396100997903</v>
      </c>
      <c r="B271">
        <v>4.9796235453378003E-2</v>
      </c>
      <c r="C271">
        <v>-0.33345204591751099</v>
      </c>
      <c r="D271">
        <v>1.7499372823335799</v>
      </c>
    </row>
    <row r="272" spans="1:4" x14ac:dyDescent="0.35">
      <c r="A272">
        <v>-0.51631337404251099</v>
      </c>
      <c r="B272">
        <v>5.1885245200218998E-2</v>
      </c>
      <c r="C272">
        <v>-0.33314332365989702</v>
      </c>
      <c r="D272">
        <v>1.7692236000280801</v>
      </c>
    </row>
    <row r="273" spans="1:4" x14ac:dyDescent="0.35">
      <c r="A273">
        <v>-0.51579499244689897</v>
      </c>
      <c r="B273">
        <v>5.4164068998493999E-2</v>
      </c>
      <c r="C273">
        <v>-0.33093893527984602</v>
      </c>
      <c r="D273">
        <v>1.8003312720970399</v>
      </c>
    </row>
    <row r="274" spans="1:4" x14ac:dyDescent="0.35">
      <c r="A274">
        <v>-0.51530730724334695</v>
      </c>
      <c r="B274">
        <v>5.6874534180613001E-2</v>
      </c>
      <c r="C274">
        <v>-0.33106094598770103</v>
      </c>
      <c r="D274">
        <v>1.78502722762785</v>
      </c>
    </row>
    <row r="275" spans="1:4" x14ac:dyDescent="0.35">
      <c r="A275">
        <v>-0.51472532749176003</v>
      </c>
      <c r="B275">
        <v>5.9082035863234003E-2</v>
      </c>
      <c r="C275">
        <v>-0.32923403382301297</v>
      </c>
      <c r="D275">
        <v>1.8173805092886099</v>
      </c>
    </row>
    <row r="276" spans="1:4" x14ac:dyDescent="0.35">
      <c r="A276">
        <v>-0.51424211263656605</v>
      </c>
      <c r="B276">
        <v>6.1390842558053001E-2</v>
      </c>
      <c r="C276">
        <v>-0.32929888367652899</v>
      </c>
      <c r="D276">
        <v>1.8354964920287899</v>
      </c>
    </row>
    <row r="277" spans="1:4" x14ac:dyDescent="0.35">
      <c r="A277">
        <v>-0.51393562555313099</v>
      </c>
      <c r="B277">
        <v>6.4774580358771996E-2</v>
      </c>
      <c r="C277">
        <v>-0.326941847801208</v>
      </c>
      <c r="D277">
        <v>1.8460198520245099</v>
      </c>
    </row>
    <row r="278" spans="1:4" x14ac:dyDescent="0.35">
      <c r="A278">
        <v>-0.51335144042968806</v>
      </c>
      <c r="B278">
        <v>6.7539231278275005E-2</v>
      </c>
      <c r="C278">
        <v>-0.32793572545051602</v>
      </c>
      <c r="D278">
        <v>1.8343455540345099</v>
      </c>
    </row>
    <row r="279" spans="1:4" x14ac:dyDescent="0.35">
      <c r="A279">
        <v>-0.51280111074447599</v>
      </c>
      <c r="B279">
        <v>7.0379343769536001E-2</v>
      </c>
      <c r="C279">
        <v>-0.32508215308189398</v>
      </c>
      <c r="D279">
        <v>1.8853278325554601</v>
      </c>
    </row>
    <row r="280" spans="1:4" x14ac:dyDescent="0.35">
      <c r="A280">
        <v>-0.51243513822555498</v>
      </c>
      <c r="B280">
        <v>7.3772554300585005E-2</v>
      </c>
      <c r="C280">
        <v>-0.32499617338180498</v>
      </c>
      <c r="D280">
        <v>1.89586910213808</v>
      </c>
    </row>
    <row r="281" spans="1:4" x14ac:dyDescent="0.35">
      <c r="A281">
        <v>-0.51175916194915805</v>
      </c>
      <c r="B281">
        <v>7.6942442388580001E-2</v>
      </c>
      <c r="C281">
        <v>-0.32336464524269098</v>
      </c>
      <c r="D281">
        <v>1.9300551345047801</v>
      </c>
    </row>
    <row r="282" spans="1:4" x14ac:dyDescent="0.35">
      <c r="A282">
        <v>-0.51132130622863803</v>
      </c>
      <c r="B282">
        <v>7.9266989603612004E-2</v>
      </c>
      <c r="C282">
        <v>-0.32354912161827099</v>
      </c>
      <c r="D282">
        <v>1.9234480291799001</v>
      </c>
    </row>
    <row r="283" spans="1:4" x14ac:dyDescent="0.35">
      <c r="A283">
        <v>-0.51083773374557495</v>
      </c>
      <c r="B283">
        <v>8.2634186917173003E-2</v>
      </c>
      <c r="C283">
        <v>-0.32069346308708202</v>
      </c>
      <c r="D283">
        <v>1.9584249157393301</v>
      </c>
    </row>
    <row r="284" spans="1:4" x14ac:dyDescent="0.35">
      <c r="A284">
        <v>-0.51022297143936202</v>
      </c>
      <c r="B284">
        <v>8.5732602215273998E-2</v>
      </c>
      <c r="C284">
        <v>-0.32106050848960899</v>
      </c>
      <c r="D284">
        <v>1.9908201559157199</v>
      </c>
    </row>
    <row r="285" spans="1:4" x14ac:dyDescent="0.35">
      <c r="A285">
        <v>-0.50985592603683505</v>
      </c>
      <c r="B285">
        <v>8.8906511489532006E-2</v>
      </c>
      <c r="C285">
        <v>-0.319177895784378</v>
      </c>
      <c r="D285">
        <v>1.9924030301865301</v>
      </c>
    </row>
    <row r="286" spans="1:4" x14ac:dyDescent="0.35">
      <c r="A286">
        <v>-0.50924861431121804</v>
      </c>
      <c r="B286">
        <v>9.2719998311206003E-2</v>
      </c>
      <c r="C286">
        <v>-0.31916481256485002</v>
      </c>
      <c r="D286">
        <v>1.9848525478066099</v>
      </c>
    </row>
    <row r="287" spans="1:4" x14ac:dyDescent="0.35">
      <c r="A287">
        <v>-0.50880217552185103</v>
      </c>
      <c r="B287">
        <v>9.4685643961692004E-2</v>
      </c>
      <c r="C287">
        <v>-0.31662705540656999</v>
      </c>
      <c r="D287">
        <v>1.9961491838393499</v>
      </c>
    </row>
    <row r="288" spans="1:4" x14ac:dyDescent="0.35">
      <c r="A288">
        <v>-0.50845968723297097</v>
      </c>
      <c r="B288">
        <v>9.7425050070417005E-2</v>
      </c>
      <c r="C288">
        <v>-0.317643612623215</v>
      </c>
      <c r="D288">
        <v>2.0452148008416899</v>
      </c>
    </row>
    <row r="289" spans="1:4" x14ac:dyDescent="0.35">
      <c r="A289">
        <v>-0.50795912742614702</v>
      </c>
      <c r="B289">
        <v>0.10146883810227</v>
      </c>
      <c r="C289">
        <v>-0.31473767757415799</v>
      </c>
      <c r="D289">
        <v>2.0521108558852399</v>
      </c>
    </row>
    <row r="290" spans="1:4" x14ac:dyDescent="0.35">
      <c r="A290">
        <v>-0.50751227140426602</v>
      </c>
      <c r="B290">
        <v>0.104209941644459</v>
      </c>
      <c r="C290">
        <v>-0.31490772962570202</v>
      </c>
      <c r="D290">
        <v>2.0607550481707801</v>
      </c>
    </row>
    <row r="291" spans="1:4" x14ac:dyDescent="0.35">
      <c r="A291">
        <v>-0.50678813457489003</v>
      </c>
      <c r="B291">
        <v>0.107309483235418</v>
      </c>
      <c r="C291">
        <v>-0.31382566690444902</v>
      </c>
      <c r="D291">
        <v>2.07252145486409</v>
      </c>
    </row>
    <row r="292" spans="1:4" x14ac:dyDescent="0.35">
      <c r="A292">
        <v>-0.50630021095275901</v>
      </c>
      <c r="B292">
        <v>0.11123622631321201</v>
      </c>
      <c r="C292">
        <v>-0.31368651986122098</v>
      </c>
      <c r="D292">
        <v>2.1082918274370801</v>
      </c>
    </row>
    <row r="293" spans="1:4" x14ac:dyDescent="0.35">
      <c r="A293">
        <v>-0.50582635402679399</v>
      </c>
      <c r="B293">
        <v>0.11446426430885299</v>
      </c>
      <c r="C293">
        <v>-0.31114917993545499</v>
      </c>
      <c r="D293">
        <v>2.13170294987808</v>
      </c>
    </row>
    <row r="294" spans="1:4" x14ac:dyDescent="0.35">
      <c r="A294">
        <v>-0.50548243522643999</v>
      </c>
      <c r="B294">
        <v>0.11760283742076599</v>
      </c>
      <c r="C294">
        <v>-0.31075793504714999</v>
      </c>
      <c r="D294">
        <v>2.1279997531900499</v>
      </c>
    </row>
    <row r="295" spans="1:4" x14ac:dyDescent="0.35">
      <c r="A295">
        <v>-0.50501620769500699</v>
      </c>
      <c r="B295">
        <v>0.12032884617756</v>
      </c>
      <c r="C295">
        <v>-0.30967676639556901</v>
      </c>
      <c r="D295">
        <v>2.10901146548512</v>
      </c>
    </row>
    <row r="296" spans="1:4" x14ac:dyDescent="0.35">
      <c r="A296">
        <v>-0.50442403554916404</v>
      </c>
      <c r="B296">
        <v>0.125810441907695</v>
      </c>
      <c r="C296">
        <v>-0.30854910612106301</v>
      </c>
      <c r="D296">
        <v>2.1933347667060401</v>
      </c>
    </row>
    <row r="297" spans="1:4" x14ac:dyDescent="0.35">
      <c r="A297">
        <v>-0.50406330823898304</v>
      </c>
      <c r="B297">
        <v>0.12774446349224899</v>
      </c>
      <c r="C297">
        <v>-0.30806851387023898</v>
      </c>
      <c r="D297">
        <v>2.1639326358831901</v>
      </c>
    </row>
    <row r="298" spans="1:4" x14ac:dyDescent="0.35">
      <c r="A298">
        <v>-0.50334548950195301</v>
      </c>
      <c r="B298">
        <v>0.131674574674603</v>
      </c>
      <c r="C298">
        <v>-0.306568533182144</v>
      </c>
      <c r="D298">
        <v>2.1746438030632098</v>
      </c>
    </row>
    <row r="299" spans="1:4" x14ac:dyDescent="0.35">
      <c r="A299">
        <v>-0.50283086299896196</v>
      </c>
      <c r="B299">
        <v>0.134510007055828</v>
      </c>
      <c r="C299">
        <v>-0.30562865734100297</v>
      </c>
      <c r="D299">
        <v>2.2049010882193301</v>
      </c>
    </row>
    <row r="300" spans="1:4" x14ac:dyDescent="0.35">
      <c r="A300">
        <v>-0.50229942798614502</v>
      </c>
      <c r="B300">
        <v>0.137975967715745</v>
      </c>
      <c r="C300">
        <v>-0.30453598499298101</v>
      </c>
      <c r="D300">
        <v>2.2410425924707398</v>
      </c>
    </row>
    <row r="301" spans="1:4" x14ac:dyDescent="0.35">
      <c r="A301">
        <v>-0.50179022550582897</v>
      </c>
      <c r="B301">
        <v>0.14260152407898299</v>
      </c>
      <c r="C301">
        <v>-0.30395680665969799</v>
      </c>
      <c r="D301">
        <v>2.2674379780533198</v>
      </c>
    </row>
    <row r="302" spans="1:4" x14ac:dyDescent="0.35">
      <c r="A302">
        <v>-0.501326084136963</v>
      </c>
      <c r="B302">
        <v>0.145338522048295</v>
      </c>
      <c r="C302">
        <v>-0.30241510272026101</v>
      </c>
      <c r="D302">
        <v>2.27349069788362</v>
      </c>
    </row>
    <row r="303" spans="1:4" x14ac:dyDescent="0.35">
      <c r="A303">
        <v>-0.50079607963562001</v>
      </c>
      <c r="B303">
        <v>0.14842198478263999</v>
      </c>
      <c r="C303">
        <v>-0.30203136801719699</v>
      </c>
      <c r="D303">
        <v>2.30529724213191</v>
      </c>
    </row>
    <row r="304" spans="1:4" x14ac:dyDescent="0.35">
      <c r="A304">
        <v>-0.500624239444733</v>
      </c>
      <c r="B304">
        <v>0.15285724293969699</v>
      </c>
      <c r="C304">
        <v>-0.300656497478485</v>
      </c>
      <c r="D304">
        <v>2.3378300856788599</v>
      </c>
    </row>
    <row r="305" spans="1:4" x14ac:dyDescent="0.35">
      <c r="A305">
        <v>-0.499825119972229</v>
      </c>
      <c r="B305">
        <v>0.15593175668113601</v>
      </c>
      <c r="C305">
        <v>-0.300557881593704</v>
      </c>
      <c r="D305">
        <v>2.3507004225472401</v>
      </c>
    </row>
    <row r="306" spans="1:4" x14ac:dyDescent="0.35">
      <c r="A306">
        <v>-0.49951326847076399</v>
      </c>
      <c r="B306">
        <v>0.159712593521775</v>
      </c>
      <c r="C306">
        <v>-0.29807025194168102</v>
      </c>
      <c r="D306">
        <v>2.36212087833173</v>
      </c>
    </row>
    <row r="307" spans="1:4" x14ac:dyDescent="0.35">
      <c r="A307">
        <v>-0.498911052942276</v>
      </c>
      <c r="B307">
        <v>0.164360773799413</v>
      </c>
      <c r="C307">
        <v>-0.29841235280036899</v>
      </c>
      <c r="D307">
        <v>2.3555022603297502</v>
      </c>
    </row>
    <row r="308" spans="1:4" x14ac:dyDescent="0.35">
      <c r="A308">
        <v>-0.49836277961731001</v>
      </c>
      <c r="B308">
        <v>0.167416622643632</v>
      </c>
      <c r="C308">
        <v>-0.296278536319733</v>
      </c>
      <c r="D308">
        <v>2.3763367691727</v>
      </c>
    </row>
    <row r="309" spans="1:4" x14ac:dyDescent="0.35">
      <c r="A309">
        <v>-0.498006731271744</v>
      </c>
      <c r="B309">
        <v>0.17146240122375001</v>
      </c>
      <c r="C309">
        <v>-0.29596114158630399</v>
      </c>
      <c r="D309">
        <v>2.3881161286891399</v>
      </c>
    </row>
    <row r="310" spans="1:4" x14ac:dyDescent="0.35">
      <c r="A310">
        <v>-0.49722528457641602</v>
      </c>
      <c r="B310">
        <v>0.17716216530691201</v>
      </c>
      <c r="C310">
        <v>-0.29407516121864302</v>
      </c>
      <c r="D310">
        <v>2.43645044238446</v>
      </c>
    </row>
    <row r="311" spans="1:4" x14ac:dyDescent="0.35">
      <c r="A311">
        <v>-0.49692940711975098</v>
      </c>
      <c r="B311">
        <v>0.17958669630700999</v>
      </c>
      <c r="C311">
        <v>-0.29394462704658503</v>
      </c>
      <c r="D311">
        <v>2.4256560416606301</v>
      </c>
    </row>
    <row r="312" spans="1:4" x14ac:dyDescent="0.35">
      <c r="A312">
        <v>-0.49628296494483898</v>
      </c>
      <c r="B312">
        <v>0.18433190864921201</v>
      </c>
      <c r="C312">
        <v>-0.29233327507972701</v>
      </c>
      <c r="D312">
        <v>2.4437794602705298</v>
      </c>
    </row>
    <row r="313" spans="1:4" x14ac:dyDescent="0.35">
      <c r="A313">
        <v>-0.495853841304779</v>
      </c>
      <c r="B313">
        <v>0.18584367322110701</v>
      </c>
      <c r="C313">
        <v>-0.29228872060775801</v>
      </c>
      <c r="D313">
        <v>2.47558198835655</v>
      </c>
    </row>
    <row r="314" spans="1:4" x14ac:dyDescent="0.35">
      <c r="A314">
        <v>-0.49552044272422802</v>
      </c>
      <c r="B314">
        <v>0.18991878809055701</v>
      </c>
      <c r="C314">
        <v>-0.290416449308395</v>
      </c>
      <c r="D314">
        <v>2.5126501880613099</v>
      </c>
    </row>
    <row r="315" spans="1:4" x14ac:dyDescent="0.35">
      <c r="A315">
        <v>-0.49499949812889099</v>
      </c>
      <c r="B315">
        <v>0.195297107000137</v>
      </c>
      <c r="C315">
        <v>-0.29076644778251598</v>
      </c>
      <c r="D315">
        <v>2.52059144008643</v>
      </c>
    </row>
    <row r="316" spans="1:4" x14ac:dyDescent="0.35">
      <c r="A316">
        <v>-0.494494378566742</v>
      </c>
      <c r="B316">
        <v>0.19762852726328101</v>
      </c>
      <c r="C316">
        <v>-0.28813770413398698</v>
      </c>
      <c r="D316">
        <v>2.5330647675113802</v>
      </c>
    </row>
    <row r="317" spans="1:4" x14ac:dyDescent="0.35">
      <c r="A317">
        <v>-0.49371215701103199</v>
      </c>
      <c r="B317">
        <v>0.202538855049926</v>
      </c>
      <c r="C317">
        <v>-0.28838488459587103</v>
      </c>
      <c r="D317">
        <v>2.5316545787690599</v>
      </c>
    </row>
    <row r="318" spans="1:4" x14ac:dyDescent="0.35">
      <c r="A318">
        <v>-0.49315547943115201</v>
      </c>
      <c r="B318">
        <v>0.20537840111616801</v>
      </c>
      <c r="C318">
        <v>-0.28596726059913602</v>
      </c>
      <c r="D318">
        <v>2.5497464128471501</v>
      </c>
    </row>
    <row r="319" spans="1:4" x14ac:dyDescent="0.35">
      <c r="A319">
        <v>-0.49292758107185403</v>
      </c>
      <c r="B319">
        <v>0.20978337720010801</v>
      </c>
      <c r="C319">
        <v>-0.28619560599327099</v>
      </c>
      <c r="D319">
        <v>2.6123192331390999</v>
      </c>
    </row>
    <row r="320" spans="1:4" x14ac:dyDescent="0.35">
      <c r="A320">
        <v>-0.49236243963241599</v>
      </c>
      <c r="B320">
        <v>0.21494765321040099</v>
      </c>
      <c r="C320">
        <v>-0.28405779600143399</v>
      </c>
      <c r="D320">
        <v>2.6269625379899399</v>
      </c>
    </row>
    <row r="321" spans="1:4" x14ac:dyDescent="0.35">
      <c r="A321">
        <v>-0.49184960126876798</v>
      </c>
      <c r="B321">
        <v>0.219216132034595</v>
      </c>
      <c r="C321">
        <v>-0.28396156430244401</v>
      </c>
      <c r="D321">
        <v>2.6015122393083199</v>
      </c>
    </row>
    <row r="322" spans="1:4" x14ac:dyDescent="0.35">
      <c r="A322">
        <v>-0.49137657880783098</v>
      </c>
      <c r="B322">
        <v>0.223304256529159</v>
      </c>
      <c r="C322">
        <v>-0.28248137235641502</v>
      </c>
      <c r="D322">
        <v>2.6168639401910099</v>
      </c>
    </row>
    <row r="323" spans="1:4" x14ac:dyDescent="0.35">
      <c r="A323">
        <v>-0.49088591337204002</v>
      </c>
      <c r="B323">
        <v>0.22758693068341199</v>
      </c>
      <c r="C323">
        <v>-0.28237742185592701</v>
      </c>
      <c r="D323">
        <v>2.6642239213792398</v>
      </c>
    </row>
    <row r="324" spans="1:4" x14ac:dyDescent="0.35">
      <c r="A324">
        <v>-0.49019485712051403</v>
      </c>
      <c r="B324">
        <v>0.22896287096258799</v>
      </c>
      <c r="C324">
        <v>-0.27975106239318798</v>
      </c>
      <c r="D324">
        <v>2.6773269095657302</v>
      </c>
    </row>
    <row r="325" spans="1:4" x14ac:dyDescent="0.35">
      <c r="A325">
        <v>-0.49005377292633101</v>
      </c>
      <c r="B325">
        <v>0.23360551009351199</v>
      </c>
      <c r="C325">
        <v>-0.28051775693893399</v>
      </c>
      <c r="D325">
        <v>2.71680165415275</v>
      </c>
    </row>
    <row r="326" spans="1:4" x14ac:dyDescent="0.35">
      <c r="A326">
        <v>-0.48926177620887801</v>
      </c>
      <c r="B326">
        <v>0.23885284035427401</v>
      </c>
      <c r="C326">
        <v>-0.278259336948395</v>
      </c>
      <c r="D326">
        <v>2.7279298508805199</v>
      </c>
    </row>
    <row r="327" spans="1:4" x14ac:dyDescent="0.35">
      <c r="A327">
        <v>-0.48890987038612399</v>
      </c>
      <c r="B327">
        <v>0.24297777842689999</v>
      </c>
      <c r="C327">
        <v>-0.278273075819016</v>
      </c>
      <c r="D327">
        <v>2.72199686755568</v>
      </c>
    </row>
    <row r="328" spans="1:4" x14ac:dyDescent="0.35">
      <c r="A328">
        <v>-0.48827680945396401</v>
      </c>
      <c r="B328">
        <v>0.24685481352849301</v>
      </c>
      <c r="C328">
        <v>-0.27626383304595897</v>
      </c>
      <c r="D328">
        <v>2.7221229991353901</v>
      </c>
    </row>
    <row r="329" spans="1:4" x14ac:dyDescent="0.35">
      <c r="A329">
        <v>-0.487744450569153</v>
      </c>
      <c r="B329">
        <v>0.25073665603619799</v>
      </c>
      <c r="C329">
        <v>-0.27677193284034701</v>
      </c>
      <c r="D329">
        <v>2.7966202507020301</v>
      </c>
    </row>
    <row r="330" spans="1:4" x14ac:dyDescent="0.35">
      <c r="A330">
        <v>-0.48736518621444702</v>
      </c>
      <c r="B330">
        <v>0.25394642502603898</v>
      </c>
      <c r="C330">
        <v>-0.273867428302765</v>
      </c>
      <c r="D330">
        <v>2.8007929011766199</v>
      </c>
    </row>
    <row r="331" spans="1:4" x14ac:dyDescent="0.35">
      <c r="A331">
        <v>-0.48682966828346302</v>
      </c>
      <c r="B331">
        <v>0.26089700826504603</v>
      </c>
      <c r="C331">
        <v>-0.273789942264557</v>
      </c>
      <c r="D331">
        <v>2.8166498731712699</v>
      </c>
    </row>
    <row r="332" spans="1:4" x14ac:dyDescent="0.35">
      <c r="A332">
        <v>-0.48648059368133501</v>
      </c>
      <c r="B332">
        <v>0.26442268559864601</v>
      </c>
      <c r="C332">
        <v>-0.27239182591438299</v>
      </c>
      <c r="D332">
        <v>2.8639479970117301</v>
      </c>
    </row>
    <row r="333" spans="1:4" x14ac:dyDescent="0.35">
      <c r="A333">
        <v>-0.48585748672485402</v>
      </c>
      <c r="B333">
        <v>0.26535272807878701</v>
      </c>
      <c r="C333">
        <v>-0.27213829755783098</v>
      </c>
      <c r="D333">
        <v>2.8557059242392202</v>
      </c>
    </row>
    <row r="334" spans="1:4" x14ac:dyDescent="0.35">
      <c r="A334">
        <v>-0.48539653420448298</v>
      </c>
      <c r="B334">
        <v>0.27184350820245001</v>
      </c>
      <c r="C334">
        <v>-0.27019062638282798</v>
      </c>
      <c r="D334">
        <v>2.8845686761591498</v>
      </c>
    </row>
    <row r="335" spans="1:4" x14ac:dyDescent="0.35">
      <c r="A335">
        <v>-0.48500519990920998</v>
      </c>
      <c r="B335">
        <v>0.27557421061348097</v>
      </c>
      <c r="C335">
        <v>-0.27017787098884599</v>
      </c>
      <c r="D335">
        <v>2.9009670030784802</v>
      </c>
    </row>
    <row r="336" spans="1:4" x14ac:dyDescent="0.35">
      <c r="A336">
        <v>-0.48433193564415</v>
      </c>
      <c r="B336">
        <v>0.27971280701279</v>
      </c>
      <c r="C336">
        <v>-0.26825556159019498</v>
      </c>
      <c r="D336">
        <v>2.9215431421092299</v>
      </c>
    </row>
    <row r="337" spans="1:4" x14ac:dyDescent="0.35">
      <c r="A337">
        <v>-0.48395773768424999</v>
      </c>
      <c r="B337">
        <v>0.28485228019646902</v>
      </c>
      <c r="C337">
        <v>-0.26888048648834201</v>
      </c>
      <c r="D337">
        <v>2.9480081667418299</v>
      </c>
    </row>
    <row r="338" spans="1:4" x14ac:dyDescent="0.35">
      <c r="A338">
        <v>-0.48326566815376298</v>
      </c>
      <c r="B338">
        <v>0.28789288167322802</v>
      </c>
      <c r="C338">
        <v>-0.26613610982894897</v>
      </c>
      <c r="D338">
        <v>2.9713751534567301</v>
      </c>
    </row>
    <row r="339" spans="1:4" x14ac:dyDescent="0.35">
      <c r="A339">
        <v>-0.48280850052833602</v>
      </c>
      <c r="B339">
        <v>0.29338210983799601</v>
      </c>
      <c r="C339">
        <v>-0.266102194786072</v>
      </c>
      <c r="D339">
        <v>2.9933833208448299</v>
      </c>
    </row>
    <row r="340" spans="1:4" x14ac:dyDescent="0.35">
      <c r="A340">
        <v>-0.48235893249511702</v>
      </c>
      <c r="B340">
        <v>0.29796471690764498</v>
      </c>
      <c r="C340">
        <v>-0.26409935951232899</v>
      </c>
      <c r="D340">
        <v>3.00214713797051</v>
      </c>
    </row>
    <row r="341" spans="1:4" x14ac:dyDescent="0.35">
      <c r="A341">
        <v>-0.481826663017273</v>
      </c>
      <c r="B341">
        <v>0.29883617930004502</v>
      </c>
      <c r="C341">
        <v>-0.26475584506988498</v>
      </c>
      <c r="D341">
        <v>2.9868314407228298</v>
      </c>
    </row>
    <row r="342" spans="1:4" x14ac:dyDescent="0.35">
      <c r="A342">
        <v>-0.481391251087189</v>
      </c>
      <c r="B342">
        <v>0.30309449889169199</v>
      </c>
      <c r="C342">
        <v>-0.26183766126632702</v>
      </c>
      <c r="D342">
        <v>2.98083135252153</v>
      </c>
    </row>
    <row r="343" spans="1:4" x14ac:dyDescent="0.35">
      <c r="A343">
        <v>-0.480897307395935</v>
      </c>
      <c r="B343">
        <v>0.309579751976787</v>
      </c>
      <c r="C343">
        <v>-0.26167479157447798</v>
      </c>
      <c r="D343">
        <v>3.0090243961255001</v>
      </c>
    </row>
    <row r="344" spans="1:4" x14ac:dyDescent="0.35">
      <c r="A344">
        <v>-0.480490922927856</v>
      </c>
      <c r="B344">
        <v>0.31367884964632697</v>
      </c>
      <c r="C344">
        <v>-0.26030158996581998</v>
      </c>
      <c r="D344">
        <v>3.0476970080378201</v>
      </c>
    </row>
    <row r="345" spans="1:4" x14ac:dyDescent="0.35">
      <c r="A345">
        <v>-0.48003000020980802</v>
      </c>
      <c r="B345">
        <v>0.317737654387031</v>
      </c>
      <c r="C345">
        <v>-0.25965660810470598</v>
      </c>
      <c r="D345">
        <v>3.0769678304333601</v>
      </c>
    </row>
    <row r="346" spans="1:4" x14ac:dyDescent="0.35">
      <c r="A346">
        <v>-0.479493677616119</v>
      </c>
      <c r="B346">
        <v>0.32426703306288202</v>
      </c>
      <c r="C346">
        <v>-0.258410394191742</v>
      </c>
      <c r="D346">
        <v>3.0883581285848698</v>
      </c>
    </row>
    <row r="347" spans="1:4" x14ac:dyDescent="0.35">
      <c r="A347">
        <v>-0.47880312800407399</v>
      </c>
      <c r="B347">
        <v>0.32644380253980398</v>
      </c>
      <c r="C347">
        <v>-0.25780439376831099</v>
      </c>
      <c r="D347">
        <v>3.1287975833576702</v>
      </c>
    </row>
    <row r="348" spans="1:4" x14ac:dyDescent="0.35">
      <c r="A348">
        <v>-0.47842675447464</v>
      </c>
      <c r="B348">
        <v>0.32982679863627901</v>
      </c>
      <c r="C348">
        <v>-0.25731828808784502</v>
      </c>
      <c r="D348">
        <v>3.1436941859848302</v>
      </c>
    </row>
    <row r="349" spans="1:4" x14ac:dyDescent="0.35">
      <c r="A349">
        <v>-0.47788509726524397</v>
      </c>
      <c r="B349">
        <v>0.33270400738709999</v>
      </c>
      <c r="C349">
        <v>-0.25564351677894598</v>
      </c>
      <c r="D349">
        <v>3.1508366076248402</v>
      </c>
    </row>
    <row r="350" spans="1:4" x14ac:dyDescent="0.35">
      <c r="A350">
        <v>-0.47733899950981101</v>
      </c>
      <c r="B350">
        <v>0.34005588933402697</v>
      </c>
      <c r="C350">
        <v>-0.25496986508369401</v>
      </c>
      <c r="D350">
        <v>3.2010986297161299</v>
      </c>
    </row>
    <row r="351" spans="1:4" x14ac:dyDescent="0.35">
      <c r="A351">
        <v>-0.47712185978889499</v>
      </c>
      <c r="B351">
        <v>0.343573559586276</v>
      </c>
      <c r="C351">
        <v>-0.25367245078086897</v>
      </c>
      <c r="D351">
        <v>3.2119284123825902</v>
      </c>
    </row>
    <row r="352" spans="1:4" x14ac:dyDescent="0.35">
      <c r="A352">
        <v>-0.47639763355255099</v>
      </c>
      <c r="B352">
        <v>0.34681702033526202</v>
      </c>
      <c r="C352">
        <v>-0.25306463241577098</v>
      </c>
      <c r="D352">
        <v>3.2126068343052898</v>
      </c>
    </row>
    <row r="353" spans="1:4" x14ac:dyDescent="0.35">
      <c r="A353">
        <v>-0.47615483403205899</v>
      </c>
      <c r="B353">
        <v>0.35117227629373698</v>
      </c>
      <c r="C353">
        <v>-0.25148802995681802</v>
      </c>
      <c r="D353">
        <v>3.2183254315084802</v>
      </c>
    </row>
    <row r="354" spans="1:4" x14ac:dyDescent="0.35">
      <c r="A354">
        <v>-0.47542703151702898</v>
      </c>
      <c r="B354">
        <v>0.35511708293292099</v>
      </c>
      <c r="C354">
        <v>-0.25111481547355702</v>
      </c>
      <c r="D354">
        <v>3.1909867641204901</v>
      </c>
    </row>
    <row r="355" spans="1:4" x14ac:dyDescent="0.35">
      <c r="A355">
        <v>-0.474795162677765</v>
      </c>
      <c r="B355">
        <v>0.36182219875361799</v>
      </c>
      <c r="C355">
        <v>-0.24895390868187001</v>
      </c>
      <c r="D355">
        <v>3.27510363185135</v>
      </c>
    </row>
    <row r="356" spans="1:4" x14ac:dyDescent="0.35">
      <c r="A356">
        <v>-0.47433769702911399</v>
      </c>
      <c r="B356">
        <v>0.366390574200185</v>
      </c>
      <c r="C356">
        <v>-0.24880318343639399</v>
      </c>
      <c r="D356">
        <v>3.28547930309472</v>
      </c>
    </row>
    <row r="357" spans="1:4" x14ac:dyDescent="0.35">
      <c r="A357">
        <v>-0.47382679581642201</v>
      </c>
      <c r="B357">
        <v>0.36729938281414298</v>
      </c>
      <c r="C357">
        <v>-0.246964871883392</v>
      </c>
      <c r="D357">
        <v>3.2702975291784102</v>
      </c>
    </row>
    <row r="358" spans="1:4" x14ac:dyDescent="0.35">
      <c r="A358">
        <v>-0.47323030233383201</v>
      </c>
      <c r="B358">
        <v>0.37795765565413197</v>
      </c>
      <c r="C358">
        <v>-0.247121706604958</v>
      </c>
      <c r="D358">
        <v>3.3629009228543199</v>
      </c>
    </row>
    <row r="359" spans="1:4" x14ac:dyDescent="0.35">
      <c r="A359">
        <v>-0.47287318110465998</v>
      </c>
      <c r="B359">
        <v>0.37653422177266299</v>
      </c>
      <c r="C359">
        <v>-0.24471801519393899</v>
      </c>
      <c r="D359">
        <v>3.4011086692223498</v>
      </c>
    </row>
    <row r="360" spans="1:4" x14ac:dyDescent="0.35">
      <c r="A360">
        <v>-0.47253459692001298</v>
      </c>
      <c r="B360">
        <v>0.38273889039061998</v>
      </c>
      <c r="C360">
        <v>-0.24559186398982999</v>
      </c>
      <c r="D360">
        <v>3.41059399135756</v>
      </c>
    </row>
    <row r="361" spans="1:4" x14ac:dyDescent="0.35">
      <c r="A361">
        <v>-0.47192612290382402</v>
      </c>
      <c r="B361">
        <v>0.38638914094874299</v>
      </c>
      <c r="C361">
        <v>-0.24281170964241</v>
      </c>
      <c r="D361">
        <v>3.3560971898467198</v>
      </c>
    </row>
    <row r="362" spans="1:4" x14ac:dyDescent="0.35">
      <c r="A362">
        <v>-0.47133553028106701</v>
      </c>
      <c r="B362">
        <v>0.39093754895930299</v>
      </c>
      <c r="C362">
        <v>-0.243007943034172</v>
      </c>
      <c r="D362">
        <v>3.3992060351979099</v>
      </c>
    </row>
    <row r="363" spans="1:4" x14ac:dyDescent="0.35">
      <c r="A363">
        <v>-0.47072932124137901</v>
      </c>
      <c r="B363">
        <v>0.393082861185101</v>
      </c>
      <c r="C363">
        <v>-0.24150595068931599</v>
      </c>
      <c r="D363">
        <v>3.3907928459095098</v>
      </c>
    </row>
    <row r="364" spans="1:4" x14ac:dyDescent="0.35">
      <c r="A364">
        <v>-0.470392495393753</v>
      </c>
      <c r="B364">
        <v>0.3995485541455</v>
      </c>
      <c r="C364">
        <v>-0.24152599275112199</v>
      </c>
      <c r="D364">
        <v>3.4524312146344398</v>
      </c>
    </row>
    <row r="365" spans="1:4" x14ac:dyDescent="0.35">
      <c r="A365">
        <v>-0.46988439559936501</v>
      </c>
      <c r="B365">
        <v>0.40449306579571198</v>
      </c>
      <c r="C365">
        <v>-0.239130258560181</v>
      </c>
      <c r="D365">
        <v>3.4461617078392601</v>
      </c>
    </row>
    <row r="366" spans="1:4" x14ac:dyDescent="0.35">
      <c r="A366">
        <v>-0.46923434734344499</v>
      </c>
      <c r="B366">
        <v>0.407552418000447</v>
      </c>
      <c r="C366">
        <v>-0.23990610241890001</v>
      </c>
      <c r="D366">
        <v>3.4554687911006901</v>
      </c>
    </row>
    <row r="367" spans="1:4" x14ac:dyDescent="0.35">
      <c r="A367">
        <v>-0.46881267428398099</v>
      </c>
      <c r="B367">
        <v>0.41177817444613701</v>
      </c>
      <c r="C367">
        <v>-0.23711082339286799</v>
      </c>
      <c r="D367">
        <v>3.48053078072435</v>
      </c>
    </row>
    <row r="368" spans="1:4" x14ac:dyDescent="0.35">
      <c r="A368">
        <v>-0.46833556890487699</v>
      </c>
      <c r="B368">
        <v>0.41665899033647202</v>
      </c>
      <c r="C368">
        <v>-0.237089768052101</v>
      </c>
      <c r="D368">
        <v>3.5791055030357701</v>
      </c>
    </row>
    <row r="369" spans="1:4" x14ac:dyDescent="0.35">
      <c r="A369">
        <v>-0.46798348426818798</v>
      </c>
      <c r="B369">
        <v>0.422688445008014</v>
      </c>
      <c r="C369">
        <v>-0.23513451218605</v>
      </c>
      <c r="D369">
        <v>3.5602235293067301</v>
      </c>
    </row>
    <row r="370" spans="1:4" x14ac:dyDescent="0.35">
      <c r="A370">
        <v>-0.46757861971855202</v>
      </c>
      <c r="B370">
        <v>0.428007078611636</v>
      </c>
      <c r="C370">
        <v>-0.23518526554107699</v>
      </c>
      <c r="D370">
        <v>3.54885324014024</v>
      </c>
    </row>
    <row r="371" spans="1:4" x14ac:dyDescent="0.35">
      <c r="A371">
        <v>-0.46695318818092302</v>
      </c>
      <c r="B371">
        <v>0.43117289002241199</v>
      </c>
      <c r="C371">
        <v>-0.23269565403461501</v>
      </c>
      <c r="D371">
        <v>3.5910036862657999</v>
      </c>
    </row>
    <row r="372" spans="1:4" x14ac:dyDescent="0.35">
      <c r="A372">
        <v>-0.46655011177062999</v>
      </c>
      <c r="B372">
        <v>0.436534655330023</v>
      </c>
      <c r="C372">
        <v>-0.232836738228798</v>
      </c>
      <c r="D372">
        <v>3.5836980197964801</v>
      </c>
    </row>
    <row r="373" spans="1:4" x14ac:dyDescent="0.35">
      <c r="A373">
        <v>-0.46580049395561202</v>
      </c>
      <c r="B373">
        <v>0.44165336530778898</v>
      </c>
      <c r="C373">
        <v>-0.23142293095588701</v>
      </c>
      <c r="D373">
        <v>3.6984632132086701</v>
      </c>
    </row>
    <row r="374" spans="1:4" x14ac:dyDescent="0.35">
      <c r="A374">
        <v>-0.46530896425247198</v>
      </c>
      <c r="B374">
        <v>0.443793136507246</v>
      </c>
      <c r="C374">
        <v>-0.23134097456932101</v>
      </c>
      <c r="D374">
        <v>3.6204980963294999</v>
      </c>
    </row>
    <row r="375" spans="1:4" x14ac:dyDescent="0.35">
      <c r="A375">
        <v>-0.46475115418434099</v>
      </c>
      <c r="B375">
        <v>0.44499634892448497</v>
      </c>
      <c r="C375">
        <v>-0.229225248098373</v>
      </c>
      <c r="D375">
        <v>3.64790766756134</v>
      </c>
    </row>
    <row r="376" spans="1:4" x14ac:dyDescent="0.35">
      <c r="A376">
        <v>-0.46438330411911</v>
      </c>
      <c r="B376">
        <v>0.45340561897957898</v>
      </c>
      <c r="C376">
        <v>-0.22926178574562101</v>
      </c>
      <c r="D376">
        <v>3.6835945456763501</v>
      </c>
    </row>
    <row r="377" spans="1:4" x14ac:dyDescent="0.35">
      <c r="A377">
        <v>-0.463897615671158</v>
      </c>
      <c r="B377">
        <v>0.45310250926140699</v>
      </c>
      <c r="C377">
        <v>-0.22769279778003701</v>
      </c>
      <c r="D377">
        <v>3.6909752187850899</v>
      </c>
    </row>
    <row r="378" spans="1:4" x14ac:dyDescent="0.35">
      <c r="A378">
        <v>-0.46330386400222801</v>
      </c>
      <c r="B378">
        <v>0.45941046092897603</v>
      </c>
      <c r="C378">
        <v>-0.227358639240265</v>
      </c>
      <c r="D378">
        <v>3.68825331085556</v>
      </c>
    </row>
    <row r="379" spans="1:4" x14ac:dyDescent="0.35">
      <c r="A379">
        <v>-0.46296030282974199</v>
      </c>
      <c r="B379">
        <v>0.46542303605170399</v>
      </c>
      <c r="C379">
        <v>-0.22570905089378401</v>
      </c>
      <c r="D379">
        <v>3.68296924518472</v>
      </c>
    </row>
    <row r="380" spans="1:4" x14ac:dyDescent="0.35">
      <c r="A380">
        <v>-0.462485551834106</v>
      </c>
      <c r="B380">
        <v>0.46682391708879201</v>
      </c>
      <c r="C380">
        <v>-0.22487738728523299</v>
      </c>
      <c r="D380">
        <v>3.7469221191630599</v>
      </c>
    </row>
    <row r="381" spans="1:4" x14ac:dyDescent="0.35">
      <c r="A381">
        <v>-0.46184715628624001</v>
      </c>
      <c r="B381">
        <v>0.47081803049559501</v>
      </c>
      <c r="C381">
        <v>-0.22328080236911799</v>
      </c>
      <c r="D381">
        <v>3.7661603559175099</v>
      </c>
    </row>
    <row r="382" spans="1:4" x14ac:dyDescent="0.35">
      <c r="A382">
        <v>-0.46139997243881198</v>
      </c>
      <c r="B382">
        <v>0.47900086359013699</v>
      </c>
      <c r="C382">
        <v>-0.223031520843506</v>
      </c>
      <c r="D382">
        <v>3.7844402914413799</v>
      </c>
    </row>
    <row r="383" spans="1:4" x14ac:dyDescent="0.35">
      <c r="A383">
        <v>-0.46087306737899802</v>
      </c>
      <c r="B383">
        <v>0.48001176387982197</v>
      </c>
      <c r="C383">
        <v>-0.220803782343864</v>
      </c>
      <c r="D383">
        <v>3.8194810517897202</v>
      </c>
    </row>
    <row r="384" spans="1:4" x14ac:dyDescent="0.35">
      <c r="A384">
        <v>-0.46035048365593001</v>
      </c>
      <c r="B384">
        <v>0.48611264779344499</v>
      </c>
      <c r="C384">
        <v>-0.22081862390041401</v>
      </c>
      <c r="D384">
        <v>3.8582688190185301</v>
      </c>
    </row>
    <row r="385" spans="1:4" x14ac:dyDescent="0.35">
      <c r="A385">
        <v>-0.459918022155762</v>
      </c>
      <c r="B385">
        <v>0.494502280425413</v>
      </c>
      <c r="C385">
        <v>-0.21987447142600999</v>
      </c>
      <c r="D385">
        <v>3.8243366920881798</v>
      </c>
    </row>
    <row r="386" spans="1:4" x14ac:dyDescent="0.35">
      <c r="A386">
        <v>-0.45929130911827099</v>
      </c>
      <c r="B386">
        <v>0.497395495404647</v>
      </c>
      <c r="C386">
        <v>-0.218948408961296</v>
      </c>
      <c r="D386">
        <v>3.8863001921201801</v>
      </c>
    </row>
    <row r="387" spans="1:4" x14ac:dyDescent="0.35">
      <c r="A387">
        <v>-0.45901677012443498</v>
      </c>
      <c r="B387">
        <v>0.50149993501424905</v>
      </c>
      <c r="C387">
        <v>-0.217514097690582</v>
      </c>
      <c r="D387">
        <v>3.8255124427247802</v>
      </c>
    </row>
    <row r="388" spans="1:4" x14ac:dyDescent="0.35">
      <c r="A388">
        <v>-0.45833832025527999</v>
      </c>
      <c r="B388">
        <v>0.49970858712265698</v>
      </c>
      <c r="C388">
        <v>-0.21771253645420099</v>
      </c>
      <c r="D388">
        <v>3.8836309353189402</v>
      </c>
    </row>
    <row r="389" spans="1:4" x14ac:dyDescent="0.35">
      <c r="A389">
        <v>-0.45790162682533297</v>
      </c>
      <c r="B389">
        <v>0.50641137343821396</v>
      </c>
      <c r="C389">
        <v>-0.215316116809845</v>
      </c>
      <c r="D389">
        <v>3.9130573595593798</v>
      </c>
    </row>
    <row r="390" spans="1:4" x14ac:dyDescent="0.35">
      <c r="A390">
        <v>-0.45743089914321899</v>
      </c>
      <c r="B390">
        <v>0.50977526457186595</v>
      </c>
      <c r="C390">
        <v>-0.21486538648605299</v>
      </c>
      <c r="D390">
        <v>3.9402740182280298</v>
      </c>
    </row>
    <row r="391" spans="1:4" x14ac:dyDescent="0.35">
      <c r="A391">
        <v>-0.45689836144447299</v>
      </c>
      <c r="B391">
        <v>0.51841493668356398</v>
      </c>
      <c r="C391">
        <v>-0.213386461138725</v>
      </c>
      <c r="D391">
        <v>3.9969395078977401</v>
      </c>
    </row>
    <row r="392" spans="1:4" x14ac:dyDescent="0.35">
      <c r="A392">
        <v>-0.45646613836288502</v>
      </c>
      <c r="B392">
        <v>0.52173268016665697</v>
      </c>
      <c r="C392">
        <v>-0.21302199363708499</v>
      </c>
      <c r="D392">
        <v>3.9971921601050302</v>
      </c>
    </row>
    <row r="393" spans="1:4" x14ac:dyDescent="0.35">
      <c r="A393">
        <v>-0.45592546463012701</v>
      </c>
      <c r="B393">
        <v>0.52502033149416805</v>
      </c>
      <c r="C393">
        <v>-0.21091684699058499</v>
      </c>
      <c r="D393">
        <v>4.03428179121891</v>
      </c>
    </row>
    <row r="394" spans="1:4" x14ac:dyDescent="0.35">
      <c r="A394">
        <v>-0.455361217260361</v>
      </c>
      <c r="B394">
        <v>0.52990179721564901</v>
      </c>
      <c r="C394">
        <v>-0.211046293377876</v>
      </c>
      <c r="D394">
        <v>4.0505219163593003</v>
      </c>
    </row>
    <row r="395" spans="1:4" x14ac:dyDescent="0.35">
      <c r="A395">
        <v>-0.45491605997085599</v>
      </c>
      <c r="B395">
        <v>0.53300569125803798</v>
      </c>
      <c r="C395">
        <v>-0.20913681387901301</v>
      </c>
      <c r="D395">
        <v>4.08790821394423</v>
      </c>
    </row>
    <row r="396" spans="1:4" x14ac:dyDescent="0.35">
      <c r="A396">
        <v>-0.45429250597953802</v>
      </c>
      <c r="B396">
        <v>0.542178059653869</v>
      </c>
      <c r="C396">
        <v>-0.20937018096446999</v>
      </c>
      <c r="D396">
        <v>4.0599016594425601</v>
      </c>
    </row>
    <row r="397" spans="1:4" x14ac:dyDescent="0.35">
      <c r="A397">
        <v>-0.45381572842598</v>
      </c>
      <c r="B397">
        <v>0.54304862641526297</v>
      </c>
      <c r="C397">
        <v>-0.20762574672699</v>
      </c>
      <c r="D397">
        <v>4.1480667258857702</v>
      </c>
    </row>
    <row r="398" spans="1:4" x14ac:dyDescent="0.35">
      <c r="A398">
        <v>-0.45351985096931502</v>
      </c>
      <c r="B398">
        <v>0.54740772135914095</v>
      </c>
      <c r="C398">
        <v>-0.20715622603893299</v>
      </c>
      <c r="D398">
        <v>4.1389572242472399</v>
      </c>
    </row>
    <row r="399" spans="1:4" x14ac:dyDescent="0.35">
      <c r="A399">
        <v>-0.45304483175277699</v>
      </c>
      <c r="B399">
        <v>0.55241966960434696</v>
      </c>
      <c r="C399">
        <v>-0.205424964427948</v>
      </c>
      <c r="D399">
        <v>4.1414622151469098</v>
      </c>
    </row>
    <row r="400" spans="1:4" x14ac:dyDescent="0.35">
      <c r="A400">
        <v>-0.45243614912033098</v>
      </c>
      <c r="B400">
        <v>0.55694300071738301</v>
      </c>
      <c r="C400">
        <v>-0.205375090241432</v>
      </c>
      <c r="D400">
        <v>4.18780424782625</v>
      </c>
    </row>
    <row r="401" spans="1:4" x14ac:dyDescent="0.35">
      <c r="A401">
        <v>-0.45185336470603898</v>
      </c>
      <c r="B401">
        <v>0.56237661276963702</v>
      </c>
      <c r="C401">
        <v>-0.20304550230503099</v>
      </c>
      <c r="D401">
        <v>4.1935061295499203</v>
      </c>
    </row>
    <row r="402" spans="1:4" x14ac:dyDescent="0.35">
      <c r="A402">
        <v>-0.45123127102851901</v>
      </c>
      <c r="B402">
        <v>0.56527753233677402</v>
      </c>
      <c r="C402">
        <v>-0.20282573997974401</v>
      </c>
      <c r="D402">
        <v>4.2388155004367301</v>
      </c>
    </row>
    <row r="403" spans="1:4" x14ac:dyDescent="0.35">
      <c r="A403">
        <v>-0.45088559389114402</v>
      </c>
      <c r="B403">
        <v>0.57446896176409901</v>
      </c>
      <c r="C403">
        <v>-0.20138531923294101</v>
      </c>
      <c r="D403">
        <v>4.1999973447430303</v>
      </c>
    </row>
    <row r="404" spans="1:4" x14ac:dyDescent="0.35">
      <c r="A404">
        <v>-0.45040413737297103</v>
      </c>
      <c r="B404">
        <v>0.57677334083031795</v>
      </c>
      <c r="C404">
        <v>-0.20079430937767001</v>
      </c>
      <c r="D404">
        <v>4.2632609368261303</v>
      </c>
    </row>
    <row r="405" spans="1:4" x14ac:dyDescent="0.35">
      <c r="A405">
        <v>-0.45016032457351701</v>
      </c>
      <c r="B405">
        <v>0.57848785031772998</v>
      </c>
      <c r="C405">
        <v>-0.19935490190982799</v>
      </c>
      <c r="D405">
        <v>4.2925732312294196</v>
      </c>
    </row>
    <row r="406" spans="1:4" x14ac:dyDescent="0.35">
      <c r="A406">
        <v>-0.449583649635315</v>
      </c>
      <c r="B406">
        <v>0.57864482229786596</v>
      </c>
      <c r="C406">
        <v>-0.19920109212398501</v>
      </c>
      <c r="D406">
        <v>4.29757819006928</v>
      </c>
    </row>
    <row r="407" spans="1:4" x14ac:dyDescent="0.35">
      <c r="A407">
        <v>-0.448860764503479</v>
      </c>
      <c r="B407">
        <v>0.58460071890152399</v>
      </c>
      <c r="C407">
        <v>-0.19786973297596</v>
      </c>
      <c r="D407">
        <v>4.3524335053675802</v>
      </c>
    </row>
    <row r="408" spans="1:4" x14ac:dyDescent="0.35">
      <c r="A408">
        <v>-0.44848945736885099</v>
      </c>
      <c r="B408">
        <v>0.59264531830004696</v>
      </c>
      <c r="C408">
        <v>-0.19701260328292799</v>
      </c>
      <c r="D408">
        <v>4.3595838326984104</v>
      </c>
    </row>
    <row r="409" spans="1:4" x14ac:dyDescent="0.35">
      <c r="A409">
        <v>-0.447878748178482</v>
      </c>
      <c r="B409">
        <v>0.59590225275154496</v>
      </c>
      <c r="C409">
        <v>-0.195924162864685</v>
      </c>
      <c r="D409">
        <v>4.37003656544446</v>
      </c>
    </row>
    <row r="410" spans="1:4" x14ac:dyDescent="0.35">
      <c r="A410">
        <v>-0.44734463095665</v>
      </c>
      <c r="B410">
        <v>0.60133653557125699</v>
      </c>
      <c r="C410">
        <v>-0.19563138484954801</v>
      </c>
      <c r="D410">
        <v>4.3725526892486704</v>
      </c>
    </row>
    <row r="411" spans="1:4" x14ac:dyDescent="0.35">
      <c r="A411">
        <v>-0.44693887233734098</v>
      </c>
      <c r="B411">
        <v>0.606607953766654</v>
      </c>
      <c r="C411">
        <v>-0.193121463060379</v>
      </c>
      <c r="D411">
        <v>4.3931095328717804</v>
      </c>
    </row>
    <row r="412" spans="1:4" x14ac:dyDescent="0.35">
      <c r="A412">
        <v>-0.44644343852996798</v>
      </c>
      <c r="B412">
        <v>0.61081819860799302</v>
      </c>
      <c r="C412">
        <v>-0.19310878217220301</v>
      </c>
      <c r="D412">
        <v>4.4226523210846702</v>
      </c>
    </row>
    <row r="413" spans="1:4" x14ac:dyDescent="0.35">
      <c r="A413">
        <v>-0.44594824314117398</v>
      </c>
      <c r="B413">
        <v>0.61685108432803004</v>
      </c>
      <c r="C413">
        <v>-0.19125121831893899</v>
      </c>
      <c r="D413">
        <v>4.5238448823903399</v>
      </c>
    </row>
    <row r="414" spans="1:4" x14ac:dyDescent="0.35">
      <c r="A414">
        <v>-0.445509433746338</v>
      </c>
      <c r="B414">
        <v>0.62122050006040497</v>
      </c>
      <c r="C414">
        <v>-0.19063824415206901</v>
      </c>
      <c r="D414">
        <v>4.44839089608094</v>
      </c>
    </row>
    <row r="415" spans="1:4" x14ac:dyDescent="0.35">
      <c r="A415">
        <v>-0.44482240080833402</v>
      </c>
      <c r="B415">
        <v>0.624484214944793</v>
      </c>
      <c r="C415">
        <v>-0.18904575705528301</v>
      </c>
      <c r="D415">
        <v>4.4936239210185596</v>
      </c>
    </row>
    <row r="416" spans="1:4" x14ac:dyDescent="0.35">
      <c r="A416">
        <v>-0.44442278146743802</v>
      </c>
      <c r="B416">
        <v>0.629880188532281</v>
      </c>
      <c r="C416">
        <v>-0.18896621465683</v>
      </c>
      <c r="D416">
        <v>4.5186893105751302</v>
      </c>
    </row>
    <row r="417" spans="1:4" x14ac:dyDescent="0.35">
      <c r="A417">
        <v>-0.44390210509300199</v>
      </c>
      <c r="B417">
        <v>0.64007300096836595</v>
      </c>
      <c r="C417">
        <v>-0.187225386500359</v>
      </c>
      <c r="D417">
        <v>4.47563360127862</v>
      </c>
    </row>
    <row r="418" spans="1:4" x14ac:dyDescent="0.35">
      <c r="A418">
        <v>-0.44339317083358798</v>
      </c>
      <c r="B418">
        <v>0.636974768823655</v>
      </c>
      <c r="C418">
        <v>-0.18769641220569599</v>
      </c>
      <c r="D418">
        <v>4.4813353183332802</v>
      </c>
    </row>
    <row r="419" spans="1:4" x14ac:dyDescent="0.35">
      <c r="A419">
        <v>-0.44283470511436501</v>
      </c>
      <c r="B419">
        <v>0.64375885657882803</v>
      </c>
      <c r="C419">
        <v>-0.18497724831104301</v>
      </c>
      <c r="D419">
        <v>4.51732589674197</v>
      </c>
    </row>
    <row r="420" spans="1:4" x14ac:dyDescent="0.35">
      <c r="A420">
        <v>-0.44234183430671697</v>
      </c>
      <c r="B420">
        <v>0.64348039571287896</v>
      </c>
      <c r="C420">
        <v>-0.18571373820304901</v>
      </c>
      <c r="D420">
        <v>4.5313478198927903</v>
      </c>
    </row>
    <row r="421" spans="1:4" x14ac:dyDescent="0.35">
      <c r="A421">
        <v>-0.44204476475715598</v>
      </c>
      <c r="B421">
        <v>0.65270488225077905</v>
      </c>
      <c r="C421">
        <v>-0.18322288990020799</v>
      </c>
      <c r="D421">
        <v>4.5619840582583704</v>
      </c>
    </row>
    <row r="422" spans="1:4" x14ac:dyDescent="0.35">
      <c r="A422">
        <v>-0.441632479429245</v>
      </c>
      <c r="B422">
        <v>0.653738950775273</v>
      </c>
      <c r="C422">
        <v>-0.18294706940650901</v>
      </c>
      <c r="D422">
        <v>4.6157059110276197</v>
      </c>
    </row>
    <row r="423" spans="1:4" x14ac:dyDescent="0.35">
      <c r="A423">
        <v>-0.44090119004249601</v>
      </c>
      <c r="B423">
        <v>0.66152860066163299</v>
      </c>
      <c r="C423">
        <v>-0.181230664253235</v>
      </c>
      <c r="D423">
        <v>4.6659581150782596</v>
      </c>
    </row>
    <row r="424" spans="1:4" x14ac:dyDescent="0.35">
      <c r="A424">
        <v>-0.44024071097374001</v>
      </c>
      <c r="B424">
        <v>0.66790511834028499</v>
      </c>
      <c r="C424">
        <v>-0.180521085858345</v>
      </c>
      <c r="D424">
        <v>4.5727955009931804</v>
      </c>
    </row>
    <row r="425" spans="1:4" x14ac:dyDescent="0.35">
      <c r="A425">
        <v>-0.439734816551208</v>
      </c>
      <c r="B425">
        <v>0.66780665633207403</v>
      </c>
      <c r="C425">
        <v>-0.17915779352188099</v>
      </c>
      <c r="D425">
        <v>4.6954964979544798</v>
      </c>
    </row>
    <row r="426" spans="1:4" x14ac:dyDescent="0.35">
      <c r="A426">
        <v>-0.43937113881111101</v>
      </c>
      <c r="B426">
        <v>0.67465954068016198</v>
      </c>
      <c r="C426">
        <v>-0.17927670478820801</v>
      </c>
      <c r="D426">
        <v>4.7469138488839304</v>
      </c>
    </row>
    <row r="427" spans="1:4" x14ac:dyDescent="0.35">
      <c r="A427">
        <v>-0.43906143307685902</v>
      </c>
      <c r="B427">
        <v>0.67483282791062504</v>
      </c>
      <c r="C427">
        <v>-0.17713266611099199</v>
      </c>
      <c r="D427">
        <v>4.7273593906840699</v>
      </c>
    </row>
    <row r="428" spans="1:4" x14ac:dyDescent="0.35">
      <c r="A428">
        <v>-0.43843108415603599</v>
      </c>
      <c r="B428">
        <v>0.68670344219665003</v>
      </c>
      <c r="C428">
        <v>-0.17767581343650801</v>
      </c>
      <c r="D428">
        <v>4.6941040336168403</v>
      </c>
    </row>
    <row r="429" spans="1:4" x14ac:dyDescent="0.35">
      <c r="A429">
        <v>-0.43801558017730702</v>
      </c>
      <c r="B429">
        <v>0.68592861566451102</v>
      </c>
      <c r="C429">
        <v>-0.17505472898483301</v>
      </c>
      <c r="D429">
        <v>4.7458448177118999</v>
      </c>
    </row>
    <row r="430" spans="1:4" x14ac:dyDescent="0.35">
      <c r="A430">
        <v>-0.43757009506225603</v>
      </c>
      <c r="B430">
        <v>0.68912153404113097</v>
      </c>
      <c r="C430">
        <v>-0.17502163350582101</v>
      </c>
      <c r="D430">
        <v>4.7815722294161702</v>
      </c>
    </row>
    <row r="431" spans="1:4" x14ac:dyDescent="0.35">
      <c r="A431">
        <v>-0.43672400712966902</v>
      </c>
      <c r="B431">
        <v>0.697252504177441</v>
      </c>
      <c r="C431">
        <v>-0.17299181222915599</v>
      </c>
      <c r="D431">
        <v>4.8067407332504501</v>
      </c>
    </row>
    <row r="432" spans="1:4" x14ac:dyDescent="0.35">
      <c r="A432">
        <v>-0.43630552291870101</v>
      </c>
      <c r="B432">
        <v>0.69878186169993595</v>
      </c>
      <c r="C432">
        <v>-0.173129111528397</v>
      </c>
      <c r="D432">
        <v>4.7206607846323099</v>
      </c>
    </row>
    <row r="433" spans="1:4" x14ac:dyDescent="0.35">
      <c r="A433">
        <v>-0.43587601184844998</v>
      </c>
      <c r="B433">
        <v>0.69721666841521901</v>
      </c>
      <c r="C433">
        <v>-0.17104670405387901</v>
      </c>
      <c r="D433">
        <v>4.7683238278480999</v>
      </c>
    </row>
    <row r="434" spans="1:4" x14ac:dyDescent="0.35">
      <c r="A434">
        <v>-0.43544232845306402</v>
      </c>
      <c r="B434">
        <v>0.70620139397177595</v>
      </c>
      <c r="C434">
        <v>-0.17064775526523601</v>
      </c>
      <c r="D434">
        <v>4.71006400724501</v>
      </c>
    </row>
    <row r="435" spans="1:4" x14ac:dyDescent="0.35">
      <c r="A435">
        <v>-0.43500119447708102</v>
      </c>
      <c r="B435">
        <v>0.71198017619168097</v>
      </c>
      <c r="C435">
        <v>-0.169916927814484</v>
      </c>
      <c r="D435">
        <v>4.7519032664808103</v>
      </c>
    </row>
    <row r="436" spans="1:4" x14ac:dyDescent="0.35">
      <c r="A436">
        <v>-0.43439704179763799</v>
      </c>
      <c r="B436">
        <v>0.71633879105413201</v>
      </c>
      <c r="C436">
        <v>-0.168780878186226</v>
      </c>
      <c r="D436">
        <v>4.8310267092002404</v>
      </c>
    </row>
    <row r="437" spans="1:4" x14ac:dyDescent="0.35">
      <c r="A437">
        <v>-0.43390625715255698</v>
      </c>
      <c r="B437">
        <v>0.723060697363338</v>
      </c>
      <c r="C437">
        <v>-0.16784830391406999</v>
      </c>
      <c r="D437">
        <v>4.8054424248985903</v>
      </c>
    </row>
    <row r="438" spans="1:4" x14ac:dyDescent="0.35">
      <c r="A438">
        <v>-0.43336880207061801</v>
      </c>
      <c r="B438">
        <v>0.72542711487892497</v>
      </c>
      <c r="C438">
        <v>-0.166471347212791</v>
      </c>
      <c r="D438">
        <v>4.8767335421972504</v>
      </c>
    </row>
    <row r="439" spans="1:4" x14ac:dyDescent="0.35">
      <c r="A439">
        <v>-0.43282264471054099</v>
      </c>
      <c r="B439">
        <v>0.73100373161461596</v>
      </c>
      <c r="C439">
        <v>-0.16581894457340199</v>
      </c>
      <c r="D439">
        <v>4.8803374442494896</v>
      </c>
    </row>
    <row r="440" spans="1:4" x14ac:dyDescent="0.35">
      <c r="A440">
        <v>-0.43240281939506497</v>
      </c>
      <c r="B440">
        <v>0.73282748389334795</v>
      </c>
      <c r="C440">
        <v>-0.16456079483032199</v>
      </c>
      <c r="D440">
        <v>4.8976542994711103</v>
      </c>
    </row>
    <row r="441" spans="1:4" x14ac:dyDescent="0.35">
      <c r="A441">
        <v>-0.43188986182212802</v>
      </c>
      <c r="B441">
        <v>0.73304983614325903</v>
      </c>
      <c r="C441">
        <v>-0.16401867568492901</v>
      </c>
      <c r="D441">
        <v>4.9084669520713602</v>
      </c>
    </row>
    <row r="442" spans="1:4" x14ac:dyDescent="0.35">
      <c r="A442">
        <v>-0.431339651346207</v>
      </c>
      <c r="B442">
        <v>0.74098055755519299</v>
      </c>
      <c r="C442">
        <v>-0.16235959529876701</v>
      </c>
      <c r="D442">
        <v>4.9281064364957698</v>
      </c>
    </row>
    <row r="443" spans="1:4" x14ac:dyDescent="0.35">
      <c r="A443">
        <v>-0.43091124296188399</v>
      </c>
      <c r="B443">
        <v>0.74840353957164596</v>
      </c>
      <c r="C443">
        <v>-0.16221743822097801</v>
      </c>
      <c r="D443">
        <v>4.9693192577266601</v>
      </c>
    </row>
    <row r="444" spans="1:4" x14ac:dyDescent="0.35">
      <c r="A444">
        <v>-0.43052336573600802</v>
      </c>
      <c r="B444">
        <v>0.75220582375803402</v>
      </c>
      <c r="C444">
        <v>-0.16012865304946899</v>
      </c>
      <c r="D444">
        <v>4.90729273242742</v>
      </c>
    </row>
    <row r="445" spans="1:4" x14ac:dyDescent="0.35">
      <c r="A445">
        <v>-0.42994230985641502</v>
      </c>
      <c r="B445">
        <v>0.75508586269502098</v>
      </c>
      <c r="C445">
        <v>-0.16086910665035201</v>
      </c>
      <c r="D445">
        <v>4.9309030208743998</v>
      </c>
    </row>
    <row r="446" spans="1:4" x14ac:dyDescent="0.35">
      <c r="A446">
        <v>-0.42937183380126998</v>
      </c>
      <c r="B446">
        <v>0.75946256974801896</v>
      </c>
      <c r="C446">
        <v>-0.15836857259273501</v>
      </c>
      <c r="D446">
        <v>5.0428373981904198</v>
      </c>
    </row>
    <row r="447" spans="1:4" x14ac:dyDescent="0.35">
      <c r="A447">
        <v>-0.42890766263008101</v>
      </c>
      <c r="B447">
        <v>0.76591641664102605</v>
      </c>
      <c r="C447">
        <v>-0.15780545771122001</v>
      </c>
      <c r="D447">
        <v>5.1043960131114696</v>
      </c>
    </row>
    <row r="448" spans="1:4" x14ac:dyDescent="0.35">
      <c r="A448">
        <v>-0.42837983369827298</v>
      </c>
      <c r="B448">
        <v>0.76652320123163098</v>
      </c>
      <c r="C448">
        <v>-0.15619333088397999</v>
      </c>
      <c r="D448">
        <v>5.1139313144014098</v>
      </c>
    </row>
    <row r="449" spans="1:4" x14ac:dyDescent="0.35">
      <c r="A449">
        <v>-0.42800533771514898</v>
      </c>
      <c r="B449">
        <v>0.77921503748902299</v>
      </c>
      <c r="C449">
        <v>-0.15577609837055201</v>
      </c>
      <c r="D449">
        <v>5.1269249816071003</v>
      </c>
    </row>
    <row r="450" spans="1:4" x14ac:dyDescent="0.35">
      <c r="A450">
        <v>-0.42732173204422003</v>
      </c>
      <c r="B450">
        <v>0.78329117011692595</v>
      </c>
      <c r="C450">
        <v>-0.15418906509876301</v>
      </c>
      <c r="D450">
        <v>5.1460832408775197</v>
      </c>
    </row>
    <row r="451" spans="1:4" x14ac:dyDescent="0.35">
      <c r="A451">
        <v>-0.42693579196929898</v>
      </c>
      <c r="B451">
        <v>0.78211801776461898</v>
      </c>
      <c r="C451">
        <v>-0.153719007968903</v>
      </c>
      <c r="D451">
        <v>5.2047824339480897</v>
      </c>
    </row>
    <row r="452" spans="1:4" x14ac:dyDescent="0.35">
      <c r="A452">
        <v>-0.426455438137054</v>
      </c>
      <c r="B452">
        <v>0.79127091439349295</v>
      </c>
      <c r="C452">
        <v>-0.152627527713776</v>
      </c>
      <c r="D452">
        <v>5.2041538623610002</v>
      </c>
    </row>
    <row r="453" spans="1:4" x14ac:dyDescent="0.35">
      <c r="A453">
        <v>-0.425942212343216</v>
      </c>
      <c r="B453">
        <v>0.79413247711173696</v>
      </c>
      <c r="C453">
        <v>-0.15193162858486201</v>
      </c>
      <c r="D453">
        <v>5.3082081341538103</v>
      </c>
    </row>
    <row r="454" spans="1:4" x14ac:dyDescent="0.35">
      <c r="A454">
        <v>-0.42539530992507901</v>
      </c>
      <c r="B454">
        <v>0.79464641081066401</v>
      </c>
      <c r="C454">
        <v>-0.15042206645011899</v>
      </c>
      <c r="D454">
        <v>5.2467458643328504</v>
      </c>
    </row>
    <row r="455" spans="1:4" x14ac:dyDescent="0.35">
      <c r="A455">
        <v>-0.42501673102378801</v>
      </c>
      <c r="B455">
        <v>0.79983420328709198</v>
      </c>
      <c r="C455">
        <v>-0.149365499615669</v>
      </c>
      <c r="D455">
        <v>5.2863316051218598</v>
      </c>
    </row>
    <row r="456" spans="1:4" x14ac:dyDescent="0.35">
      <c r="A456">
        <v>-0.42441251873969998</v>
      </c>
      <c r="B456">
        <v>0.809956791077176</v>
      </c>
      <c r="C456">
        <v>-0.148670420050621</v>
      </c>
      <c r="D456">
        <v>5.3614276122143796</v>
      </c>
    </row>
    <row r="457" spans="1:4" x14ac:dyDescent="0.35">
      <c r="A457">
        <v>-0.42387616634368902</v>
      </c>
      <c r="B457">
        <v>0.81463766979535601</v>
      </c>
      <c r="C457">
        <v>-0.14786443114280701</v>
      </c>
      <c r="D457">
        <v>5.3443272540105298</v>
      </c>
    </row>
    <row r="458" spans="1:4" x14ac:dyDescent="0.35">
      <c r="A458">
        <v>-0.423446714878082</v>
      </c>
      <c r="B458">
        <v>0.81294645779552799</v>
      </c>
      <c r="C458">
        <v>-0.14655967056751301</v>
      </c>
      <c r="D458">
        <v>5.2629036254840402</v>
      </c>
    </row>
    <row r="459" spans="1:4" x14ac:dyDescent="0.35">
      <c r="A459">
        <v>-0.42287009954452498</v>
      </c>
      <c r="B459">
        <v>0.82002354099407104</v>
      </c>
      <c r="C459">
        <v>-0.14563775062560999</v>
      </c>
      <c r="D459">
        <v>5.2854664466534302</v>
      </c>
    </row>
    <row r="460" spans="1:4" x14ac:dyDescent="0.35">
      <c r="A460">
        <v>-0.42244815826415999</v>
      </c>
      <c r="B460">
        <v>0.81654857217478205</v>
      </c>
      <c r="C460">
        <v>-0.14447826147079501</v>
      </c>
      <c r="D460">
        <v>5.3429494760701104</v>
      </c>
    </row>
    <row r="461" spans="1:4" x14ac:dyDescent="0.35">
      <c r="A461">
        <v>-0.42199954390525801</v>
      </c>
      <c r="B461">
        <v>0.82815023280964395</v>
      </c>
      <c r="C461">
        <v>-0.14363914728164701</v>
      </c>
      <c r="D461">
        <v>5.3563308991149503</v>
      </c>
    </row>
    <row r="462" spans="1:4" x14ac:dyDescent="0.35">
      <c r="A462">
        <v>-0.42153546214103699</v>
      </c>
      <c r="B462">
        <v>0.82897382515808105</v>
      </c>
      <c r="C462">
        <v>-0.14293792843818701</v>
      </c>
      <c r="D462">
        <v>5.34587322255671</v>
      </c>
    </row>
    <row r="463" spans="1:4" x14ac:dyDescent="0.35">
      <c r="A463">
        <v>-0.42092457413673401</v>
      </c>
      <c r="B463">
        <v>0.84052134438780801</v>
      </c>
      <c r="C463">
        <v>-0.14186751842498799</v>
      </c>
      <c r="D463">
        <v>5.4884638804585597</v>
      </c>
    </row>
    <row r="464" spans="1:4" x14ac:dyDescent="0.35">
      <c r="A464">
        <v>-0.42040637135505698</v>
      </c>
      <c r="B464">
        <v>0.84455134351510597</v>
      </c>
      <c r="C464">
        <v>-0.14067308604717299</v>
      </c>
      <c r="D464">
        <v>5.4867915371038203</v>
      </c>
    </row>
    <row r="465" spans="1:4" x14ac:dyDescent="0.35">
      <c r="A465">
        <v>-0.41977453231811501</v>
      </c>
      <c r="B465">
        <v>0.84522017222384904</v>
      </c>
      <c r="C465">
        <v>-0.139507070183754</v>
      </c>
      <c r="D465">
        <v>5.5718959628067504</v>
      </c>
    </row>
    <row r="466" spans="1:4" x14ac:dyDescent="0.35">
      <c r="A466">
        <v>-0.419418275356293</v>
      </c>
      <c r="B466">
        <v>0.85105557102986196</v>
      </c>
      <c r="C466">
        <v>-0.13897679746151001</v>
      </c>
      <c r="D466">
        <v>5.5005934437629698</v>
      </c>
    </row>
    <row r="467" spans="1:4" x14ac:dyDescent="0.35">
      <c r="A467">
        <v>-0.41896116733550998</v>
      </c>
      <c r="B467">
        <v>0.85629630912956101</v>
      </c>
      <c r="C467">
        <v>-0.13696548342704801</v>
      </c>
      <c r="D467">
        <v>5.4543180109486</v>
      </c>
    </row>
    <row r="468" spans="1:4" x14ac:dyDescent="0.35">
      <c r="A468">
        <v>-0.41855189204215998</v>
      </c>
      <c r="B468">
        <v>0.86443888762965204</v>
      </c>
      <c r="C468">
        <v>-0.137224286794662</v>
      </c>
      <c r="D468">
        <v>5.5221841958529803</v>
      </c>
    </row>
    <row r="469" spans="1:4" x14ac:dyDescent="0.35">
      <c r="A469">
        <v>-0.41811537742614702</v>
      </c>
      <c r="B469">
        <v>0.86150226820801701</v>
      </c>
      <c r="C469">
        <v>-0.13561820983886699</v>
      </c>
      <c r="D469">
        <v>5.5737785030512699</v>
      </c>
    </row>
    <row r="470" spans="1:4" x14ac:dyDescent="0.35">
      <c r="A470">
        <v>-0.41730323433875999</v>
      </c>
      <c r="B470">
        <v>0.86992339794972395</v>
      </c>
      <c r="C470">
        <v>-0.13482235372066501</v>
      </c>
      <c r="D470">
        <v>5.6554877428335697</v>
      </c>
    </row>
    <row r="471" spans="1:4" x14ac:dyDescent="0.35">
      <c r="A471">
        <v>-0.41706648468971302</v>
      </c>
      <c r="B471">
        <v>0.87518140941545997</v>
      </c>
      <c r="C471">
        <v>-0.13327485322952301</v>
      </c>
      <c r="D471">
        <v>5.6061523132944604</v>
      </c>
    </row>
    <row r="472" spans="1:4" x14ac:dyDescent="0.35">
      <c r="A472">
        <v>-0.41641172766685502</v>
      </c>
      <c r="B472">
        <v>0.87500840781126699</v>
      </c>
      <c r="C472">
        <v>-0.13326106965541801</v>
      </c>
      <c r="D472">
        <v>5.5819986073679004</v>
      </c>
    </row>
    <row r="473" spans="1:4" x14ac:dyDescent="0.35">
      <c r="A473">
        <v>-0.415946185588837</v>
      </c>
      <c r="B473">
        <v>0.88465078109191797</v>
      </c>
      <c r="C473">
        <v>-0.131209567189217</v>
      </c>
      <c r="D473">
        <v>5.6059516072684996</v>
      </c>
    </row>
    <row r="474" spans="1:4" x14ac:dyDescent="0.35">
      <c r="A474">
        <v>-0.41535764932632402</v>
      </c>
      <c r="B474">
        <v>0.88899619065897795</v>
      </c>
      <c r="C474">
        <v>-0.13129960000515001</v>
      </c>
      <c r="D474">
        <v>5.7177310075775098</v>
      </c>
    </row>
    <row r="475" spans="1:4" x14ac:dyDescent="0.35">
      <c r="A475">
        <v>-0.41512879729270902</v>
      </c>
      <c r="B475">
        <v>0.89401889188849204</v>
      </c>
      <c r="C475">
        <v>-0.12930202484130901</v>
      </c>
      <c r="D475">
        <v>5.7273367528329802</v>
      </c>
    </row>
    <row r="476" spans="1:4" x14ac:dyDescent="0.35">
      <c r="A476">
        <v>-0.41460824012756298</v>
      </c>
      <c r="B476">
        <v>0.89867061016063599</v>
      </c>
      <c r="C476">
        <v>-0.12972214818000799</v>
      </c>
      <c r="D476">
        <v>5.7732865756049403</v>
      </c>
    </row>
    <row r="477" spans="1:4" x14ac:dyDescent="0.35">
      <c r="A477">
        <v>-0.413916915655136</v>
      </c>
      <c r="B477">
        <v>0.89611302792343805</v>
      </c>
      <c r="C477">
        <v>-0.12737454473972301</v>
      </c>
      <c r="D477">
        <v>5.8379552994487396</v>
      </c>
    </row>
    <row r="478" spans="1:4" x14ac:dyDescent="0.35">
      <c r="A478">
        <v>-0.41359797120094299</v>
      </c>
      <c r="B478">
        <v>0.90275425264440401</v>
      </c>
      <c r="C478">
        <v>-0.12705528736114499</v>
      </c>
      <c r="D478">
        <v>5.8603249823635197</v>
      </c>
    </row>
    <row r="479" spans="1:4" x14ac:dyDescent="0.35">
      <c r="A479">
        <v>-0.41285380721092202</v>
      </c>
      <c r="B479">
        <v>0.91051158889801598</v>
      </c>
      <c r="C479">
        <v>-0.124797783792019</v>
      </c>
      <c r="D479">
        <v>5.7520142248872101</v>
      </c>
    </row>
    <row r="480" spans="1:4" x14ac:dyDescent="0.35">
      <c r="A480">
        <v>-0.41249525547027599</v>
      </c>
      <c r="B480">
        <v>0.91300354599086797</v>
      </c>
      <c r="C480">
        <v>-0.124931029975414</v>
      </c>
      <c r="D480">
        <v>5.8415414095224003</v>
      </c>
    </row>
    <row r="481" spans="1:4" x14ac:dyDescent="0.35">
      <c r="A481">
        <v>-0.41175937652587902</v>
      </c>
      <c r="B481">
        <v>0.91586809266307501</v>
      </c>
      <c r="C481">
        <v>-0.123021952807903</v>
      </c>
      <c r="D481">
        <v>5.9180267413169796</v>
      </c>
    </row>
    <row r="482" spans="1:4" x14ac:dyDescent="0.35">
      <c r="A482">
        <v>-0.411378294229507</v>
      </c>
      <c r="B482">
        <v>0.92346758571217302</v>
      </c>
      <c r="C482">
        <v>-0.123345509171486</v>
      </c>
      <c r="D482">
        <v>5.8847426770001103</v>
      </c>
    </row>
    <row r="483" spans="1:4" x14ac:dyDescent="0.35">
      <c r="A483">
        <v>-0.410963594913483</v>
      </c>
      <c r="B483">
        <v>0.92869484079993403</v>
      </c>
      <c r="C483">
        <v>-0.12162484228610999</v>
      </c>
      <c r="D483">
        <v>5.9355803347127196</v>
      </c>
    </row>
    <row r="484" spans="1:4" x14ac:dyDescent="0.35">
      <c r="A484">
        <v>-0.41057562828063998</v>
      </c>
      <c r="B484">
        <v>0.92921103472295696</v>
      </c>
      <c r="C484">
        <v>-0.121235527098179</v>
      </c>
      <c r="D484">
        <v>5.96167114670068</v>
      </c>
    </row>
    <row r="485" spans="1:4" x14ac:dyDescent="0.35">
      <c r="A485">
        <v>-0.40999978780746499</v>
      </c>
      <c r="B485">
        <v>0.93542797230545705</v>
      </c>
      <c r="C485">
        <v>-0.120081335306168</v>
      </c>
      <c r="D485">
        <v>5.9730922620665998</v>
      </c>
    </row>
    <row r="486" spans="1:4" x14ac:dyDescent="0.35">
      <c r="A486">
        <v>-0.40948677062988298</v>
      </c>
      <c r="B486">
        <v>0.93836996891659596</v>
      </c>
      <c r="C486">
        <v>-0.11831717193126701</v>
      </c>
      <c r="D486">
        <v>5.8406999523198397</v>
      </c>
    </row>
    <row r="487" spans="1:4" x14ac:dyDescent="0.35">
      <c r="A487">
        <v>-0.40900450944900502</v>
      </c>
      <c r="B487">
        <v>0.94475144367846398</v>
      </c>
      <c r="C487">
        <v>-0.1176533177495</v>
      </c>
      <c r="D487">
        <v>6.0052133727390498</v>
      </c>
    </row>
    <row r="488" spans="1:4" x14ac:dyDescent="0.35">
      <c r="A488">
        <v>-0.40822592377662698</v>
      </c>
      <c r="B488">
        <v>0.95285765284933999</v>
      </c>
      <c r="C488">
        <v>-0.116397075355053</v>
      </c>
      <c r="D488">
        <v>5.98777727572618</v>
      </c>
    </row>
    <row r="489" spans="1:4" x14ac:dyDescent="0.35">
      <c r="A489">
        <v>-0.40795254707336398</v>
      </c>
      <c r="B489">
        <v>0.95343497365930396</v>
      </c>
      <c r="C489">
        <v>-0.115719214081764</v>
      </c>
      <c r="D489">
        <v>6.0434584599559704</v>
      </c>
    </row>
    <row r="490" spans="1:4" x14ac:dyDescent="0.35">
      <c r="A490">
        <v>-0.40745106339454701</v>
      </c>
      <c r="B490">
        <v>0.96029757739983701</v>
      </c>
      <c r="C490">
        <v>-0.114819586277008</v>
      </c>
      <c r="D490">
        <v>6.0986133452345896</v>
      </c>
    </row>
    <row r="491" spans="1:4" x14ac:dyDescent="0.35">
      <c r="A491">
        <v>-0.40685358643531799</v>
      </c>
      <c r="B491">
        <v>0.96514790789194604</v>
      </c>
      <c r="C491">
        <v>-0.114008098840714</v>
      </c>
      <c r="D491">
        <v>6.1032675414645903</v>
      </c>
    </row>
    <row r="492" spans="1:4" x14ac:dyDescent="0.35">
      <c r="A492">
        <v>-0.40652158856391901</v>
      </c>
      <c r="B492">
        <v>0.97181596199213405</v>
      </c>
      <c r="C492">
        <v>-0.112419039011002</v>
      </c>
      <c r="D492">
        <v>6.1082203398630197</v>
      </c>
    </row>
    <row r="493" spans="1:4" x14ac:dyDescent="0.35">
      <c r="A493">
        <v>-0.40609416365623502</v>
      </c>
      <c r="B493">
        <v>0.96889213553576303</v>
      </c>
      <c r="C493">
        <v>-0.112745709717274</v>
      </c>
      <c r="D493">
        <v>6.1931142635398597</v>
      </c>
    </row>
    <row r="494" spans="1:4" x14ac:dyDescent="0.35">
      <c r="A494">
        <v>-0.40556296706199602</v>
      </c>
      <c r="B494">
        <v>0.97766321295543901</v>
      </c>
      <c r="C494">
        <v>-0.10984329879283899</v>
      </c>
      <c r="D494">
        <v>6.0948108480413703</v>
      </c>
    </row>
    <row r="495" spans="1:4" x14ac:dyDescent="0.35">
      <c r="A495">
        <v>-0.40501850843429599</v>
      </c>
      <c r="B495">
        <v>0.98477966630972302</v>
      </c>
      <c r="C495">
        <v>-0.109589718282223</v>
      </c>
      <c r="D495">
        <v>6.1402242193011602</v>
      </c>
    </row>
    <row r="496" spans="1:4" x14ac:dyDescent="0.35">
      <c r="A496">
        <v>-0.40422001481056202</v>
      </c>
      <c r="B496">
        <v>0.98587918568577004</v>
      </c>
      <c r="C496">
        <v>-0.107930615544319</v>
      </c>
      <c r="D496">
        <v>6.1472557901202602</v>
      </c>
    </row>
    <row r="497" spans="1:4" x14ac:dyDescent="0.35">
      <c r="A497">
        <v>-0.403808504343033</v>
      </c>
      <c r="B497">
        <v>0.98774353764015199</v>
      </c>
      <c r="C497">
        <v>-0.108107447624207</v>
      </c>
      <c r="D497">
        <v>6.1742448102434597</v>
      </c>
    </row>
    <row r="498" spans="1:4" x14ac:dyDescent="0.35">
      <c r="A498">
        <v>-0.40360376238822898</v>
      </c>
      <c r="B498">
        <v>0.99611031136796901</v>
      </c>
      <c r="C498">
        <v>-0.106467738747597</v>
      </c>
      <c r="D498">
        <v>6.19118077725222</v>
      </c>
    </row>
    <row r="499" spans="1:4" x14ac:dyDescent="0.35">
      <c r="A499">
        <v>-0.40289691090583801</v>
      </c>
      <c r="B499">
        <v>1.00086437219071</v>
      </c>
      <c r="C499">
        <v>-0.105865187942982</v>
      </c>
      <c r="D499">
        <v>6.2122391735431197</v>
      </c>
    </row>
    <row r="500" spans="1:4" x14ac:dyDescent="0.35">
      <c r="A500">
        <v>-0.40239676833152799</v>
      </c>
      <c r="B500">
        <v>1.0069836414862501</v>
      </c>
      <c r="C500">
        <v>-0.10456137359142301</v>
      </c>
      <c r="D500">
        <v>6.2202275188031297</v>
      </c>
    </row>
    <row r="501" spans="1:4" x14ac:dyDescent="0.35">
      <c r="A501">
        <v>-0.40211135149002097</v>
      </c>
      <c r="B501">
        <v>1.0107506310268199</v>
      </c>
      <c r="C501">
        <v>-0.10384006798267401</v>
      </c>
      <c r="D501">
        <v>6.3033655471946197</v>
      </c>
    </row>
    <row r="502" spans="1:4" x14ac:dyDescent="0.35">
      <c r="A502">
        <v>-0.40139985084533703</v>
      </c>
      <c r="B502">
        <v>1.01651721840853</v>
      </c>
      <c r="C502">
        <v>-0.102373018860817</v>
      </c>
      <c r="D502">
        <v>6.31452996752492</v>
      </c>
    </row>
    <row r="503" spans="1:4" x14ac:dyDescent="0.35">
      <c r="A503">
        <v>-0.40083810687065102</v>
      </c>
      <c r="B503">
        <v>1.02339158976793</v>
      </c>
      <c r="C503">
        <v>-0.101149804890156</v>
      </c>
      <c r="D503">
        <v>6.3220982952205</v>
      </c>
    </row>
    <row r="504" spans="1:4" x14ac:dyDescent="0.35">
      <c r="A504">
        <v>-0.40035277605056802</v>
      </c>
      <c r="B504">
        <v>1.0245068437631699</v>
      </c>
      <c r="C504">
        <v>-0.100952483713627</v>
      </c>
      <c r="D504">
        <v>6.36901394947827</v>
      </c>
    </row>
    <row r="505" spans="1:4" x14ac:dyDescent="0.35">
      <c r="A505">
        <v>-0.39978420734405501</v>
      </c>
      <c r="B505">
        <v>1.02847225135746</v>
      </c>
      <c r="C505">
        <v>-9.9062092602253002E-2</v>
      </c>
      <c r="D505">
        <v>6.19180506369025</v>
      </c>
    </row>
    <row r="506" spans="1:4" x14ac:dyDescent="0.35">
      <c r="A506">
        <v>-0.39946836233138999</v>
      </c>
      <c r="B506">
        <v>1.0393742896520699</v>
      </c>
      <c r="C506">
        <v>-9.9802553653716999E-2</v>
      </c>
      <c r="D506">
        <v>6.3298053991911498</v>
      </c>
    </row>
    <row r="507" spans="1:4" x14ac:dyDescent="0.35">
      <c r="A507">
        <v>-0.39894887804985002</v>
      </c>
      <c r="B507">
        <v>1.0346567470549499</v>
      </c>
      <c r="C507">
        <v>-9.6959665417670995E-2</v>
      </c>
      <c r="D507">
        <v>6.3866837076224501</v>
      </c>
    </row>
    <row r="508" spans="1:4" x14ac:dyDescent="0.35">
      <c r="A508">
        <v>-0.39841139316558799</v>
      </c>
      <c r="B508">
        <v>1.04100585233263</v>
      </c>
      <c r="C508">
        <v>-9.7267173230647999E-2</v>
      </c>
      <c r="D508">
        <v>6.3507001827432896</v>
      </c>
    </row>
    <row r="509" spans="1:4" x14ac:dyDescent="0.35">
      <c r="A509">
        <v>-0.39787527918815602</v>
      </c>
      <c r="B509">
        <v>1.04713406846963</v>
      </c>
      <c r="C509">
        <v>-9.5240063965321003E-2</v>
      </c>
      <c r="D509">
        <v>6.4350413118188801</v>
      </c>
    </row>
    <row r="510" spans="1:4" x14ac:dyDescent="0.35">
      <c r="A510">
        <v>-0.39752009510994002</v>
      </c>
      <c r="B510">
        <v>1.0467865689707501</v>
      </c>
      <c r="C510">
        <v>-9.5242060720921007E-2</v>
      </c>
      <c r="D510">
        <v>6.5584996975851002</v>
      </c>
    </row>
    <row r="511" spans="1:4" x14ac:dyDescent="0.35">
      <c r="A511">
        <v>-0.39688587188720698</v>
      </c>
      <c r="B511">
        <v>1.0552854735356001</v>
      </c>
      <c r="C511">
        <v>-9.3356966972351005E-2</v>
      </c>
      <c r="D511">
        <v>6.5689201697926096</v>
      </c>
    </row>
    <row r="512" spans="1:4" x14ac:dyDescent="0.35">
      <c r="A512">
        <v>-0.39639726281166099</v>
      </c>
      <c r="B512">
        <v>1.0595055456912399</v>
      </c>
      <c r="C512">
        <v>-9.2830061912536996E-2</v>
      </c>
      <c r="D512">
        <v>6.5906470266991697</v>
      </c>
    </row>
    <row r="513" spans="1:4" x14ac:dyDescent="0.35">
      <c r="A513">
        <v>-0.39597207307815602</v>
      </c>
      <c r="B513">
        <v>1.06277189653188</v>
      </c>
      <c r="C513">
        <v>-9.1440051794051999E-2</v>
      </c>
      <c r="D513">
        <v>6.5301915420356602</v>
      </c>
    </row>
    <row r="514" spans="1:4" x14ac:dyDescent="0.35">
      <c r="A514">
        <v>-0.39539518952369701</v>
      </c>
      <c r="B514">
        <v>1.06656552386588</v>
      </c>
      <c r="C514">
        <v>-9.0931244194508001E-2</v>
      </c>
      <c r="D514">
        <v>6.5062746675560001</v>
      </c>
    </row>
    <row r="515" spans="1:4" x14ac:dyDescent="0.35">
      <c r="A515">
        <v>-0.39498817920684798</v>
      </c>
      <c r="B515">
        <v>1.07353474792022</v>
      </c>
      <c r="C515">
        <v>-8.9332178235054002E-2</v>
      </c>
      <c r="D515">
        <v>6.5167678786352301</v>
      </c>
    </row>
    <row r="516" spans="1:4" x14ac:dyDescent="0.35">
      <c r="A516">
        <v>-0.39444547891616799</v>
      </c>
      <c r="B516">
        <v>1.07143975004243</v>
      </c>
      <c r="C516">
        <v>-8.8828288018703003E-2</v>
      </c>
      <c r="D516">
        <v>6.56754404066118</v>
      </c>
    </row>
    <row r="517" spans="1:4" x14ac:dyDescent="0.35">
      <c r="A517">
        <v>-0.394023567438126</v>
      </c>
      <c r="B517">
        <v>1.0873618521916599</v>
      </c>
      <c r="C517">
        <v>-8.7909616529942003E-2</v>
      </c>
      <c r="D517">
        <v>6.5905754740447398</v>
      </c>
    </row>
    <row r="518" spans="1:4" x14ac:dyDescent="0.35">
      <c r="A518">
        <v>-0.39333990216255199</v>
      </c>
      <c r="B518">
        <v>1.0869618206032801</v>
      </c>
      <c r="C518">
        <v>-8.6456276476383001E-2</v>
      </c>
      <c r="D518">
        <v>6.6255598263427897</v>
      </c>
    </row>
    <row r="519" spans="1:4" x14ac:dyDescent="0.35">
      <c r="A519">
        <v>-0.39311063289642301</v>
      </c>
      <c r="B519">
        <v>1.0982515705820799</v>
      </c>
      <c r="C519">
        <v>-8.6079478263854994E-2</v>
      </c>
      <c r="D519">
        <v>6.67808495245397</v>
      </c>
    </row>
    <row r="520" spans="1:4" x14ac:dyDescent="0.35">
      <c r="A520">
        <v>-0.39235815405845598</v>
      </c>
      <c r="B520">
        <v>1.09092548300992</v>
      </c>
      <c r="C520">
        <v>-8.3954840898514002E-2</v>
      </c>
      <c r="D520">
        <v>6.74937208749731</v>
      </c>
    </row>
    <row r="521" spans="1:4" x14ac:dyDescent="0.35">
      <c r="A521">
        <v>-0.391834586858749</v>
      </c>
      <c r="B521">
        <v>1.10508833180664</v>
      </c>
      <c r="C521">
        <v>-8.3850875496864E-2</v>
      </c>
      <c r="D521">
        <v>6.7877611472508299</v>
      </c>
    </row>
    <row r="522" spans="1:4" x14ac:dyDescent="0.35">
      <c r="A522">
        <v>-0.39139750599861101</v>
      </c>
      <c r="B522">
        <v>1.10358115698926</v>
      </c>
      <c r="C522">
        <v>-8.2036308944225006E-2</v>
      </c>
      <c r="D522">
        <v>6.7020897833331796</v>
      </c>
    </row>
    <row r="523" spans="1:4" x14ac:dyDescent="0.35">
      <c r="A523">
        <v>-0.39091736078262301</v>
      </c>
      <c r="B523">
        <v>1.11141898204664</v>
      </c>
      <c r="C523">
        <v>-8.2644730806350999E-2</v>
      </c>
      <c r="D523">
        <v>6.7652002396226099</v>
      </c>
    </row>
    <row r="524" spans="1:4" x14ac:dyDescent="0.35">
      <c r="A524">
        <v>-0.39026683568954501</v>
      </c>
      <c r="B524">
        <v>1.10784374445302</v>
      </c>
      <c r="C524">
        <v>-8.0216325819491993E-2</v>
      </c>
      <c r="D524">
        <v>6.8208885726898201</v>
      </c>
    </row>
    <row r="525" spans="1:4" x14ac:dyDescent="0.35">
      <c r="A525">
        <v>-0.38999080657959001</v>
      </c>
      <c r="B525">
        <v>1.1194745014207299</v>
      </c>
      <c r="C525">
        <v>-8.0128438770770999E-2</v>
      </c>
      <c r="D525">
        <v>6.80146791862661</v>
      </c>
    </row>
    <row r="526" spans="1:4" x14ac:dyDescent="0.35">
      <c r="A526">
        <v>-0.38956880569458002</v>
      </c>
      <c r="B526">
        <v>1.13291179334129</v>
      </c>
      <c r="C526">
        <v>-7.8112863004208E-2</v>
      </c>
      <c r="D526">
        <v>6.8734802870956599</v>
      </c>
    </row>
    <row r="527" spans="1:4" x14ac:dyDescent="0.35">
      <c r="A527">
        <v>-0.38887238502502403</v>
      </c>
      <c r="B527">
        <v>1.12879108196496</v>
      </c>
      <c r="C527">
        <v>-7.8085280954837993E-2</v>
      </c>
      <c r="D527">
        <v>6.9403209611978198</v>
      </c>
    </row>
    <row r="528" spans="1:4" x14ac:dyDescent="0.35">
      <c r="A528">
        <v>-0.38845148682594299</v>
      </c>
      <c r="B528">
        <v>1.12910864694279</v>
      </c>
      <c r="C528">
        <v>-7.6123811304568995E-2</v>
      </c>
      <c r="D528">
        <v>7.0188882498799696</v>
      </c>
    </row>
    <row r="529" spans="1:4" x14ac:dyDescent="0.35">
      <c r="A529">
        <v>-0.387996435165405</v>
      </c>
      <c r="B529">
        <v>1.13275875674434</v>
      </c>
      <c r="C529">
        <v>-7.5524479150771998E-2</v>
      </c>
      <c r="D529">
        <v>6.9269226120493004</v>
      </c>
    </row>
    <row r="530" spans="1:4" x14ac:dyDescent="0.35">
      <c r="A530">
        <v>-0.38720187544822698</v>
      </c>
      <c r="B530">
        <v>1.14228611638948</v>
      </c>
      <c r="C530">
        <v>-7.4946291744709001E-2</v>
      </c>
      <c r="D530">
        <v>6.9170605673908403</v>
      </c>
    </row>
    <row r="531" spans="1:4" x14ac:dyDescent="0.35">
      <c r="A531">
        <v>-0.38691315054893499</v>
      </c>
      <c r="B531">
        <v>1.14250473386867</v>
      </c>
      <c r="C531">
        <v>-7.3418639600277003E-2</v>
      </c>
      <c r="D531">
        <v>7.0465164371189104</v>
      </c>
    </row>
    <row r="532" spans="1:4" x14ac:dyDescent="0.35">
      <c r="A532">
        <v>-0.38650694489479098</v>
      </c>
      <c r="B532">
        <v>1.1519006790130999</v>
      </c>
      <c r="C532">
        <v>-7.3657386004924996E-2</v>
      </c>
      <c r="D532">
        <v>7.0480587649517696</v>
      </c>
    </row>
    <row r="533" spans="1:4" x14ac:dyDescent="0.35">
      <c r="A533">
        <v>-0.386194407939911</v>
      </c>
      <c r="B533">
        <v>1.1521252391767101</v>
      </c>
      <c r="C533">
        <v>-7.0698738098145003E-2</v>
      </c>
      <c r="D533">
        <v>7.0516736115420597</v>
      </c>
    </row>
    <row r="534" spans="1:4" x14ac:dyDescent="0.35">
      <c r="A534">
        <v>-0.38555386662483199</v>
      </c>
      <c r="B534">
        <v>1.1648811561375201</v>
      </c>
      <c r="C534">
        <v>-7.1159362792969E-2</v>
      </c>
      <c r="D534">
        <v>7.1177622307853801</v>
      </c>
    </row>
    <row r="535" spans="1:4" x14ac:dyDescent="0.35">
      <c r="A535">
        <v>-0.384862840175629</v>
      </c>
      <c r="B535">
        <v>1.16339696913428</v>
      </c>
      <c r="C535">
        <v>-6.8866685032845001E-2</v>
      </c>
      <c r="D535">
        <v>6.9508009222142597</v>
      </c>
    </row>
    <row r="536" spans="1:4" x14ac:dyDescent="0.35">
      <c r="A536">
        <v>-0.38438591361045799</v>
      </c>
      <c r="B536">
        <v>1.17131314625469</v>
      </c>
      <c r="C536">
        <v>-6.9370448589325007E-2</v>
      </c>
      <c r="D536">
        <v>6.9667463628282702</v>
      </c>
    </row>
    <row r="537" spans="1:4" x14ac:dyDescent="0.35">
      <c r="A537">
        <v>-0.38389506936073298</v>
      </c>
      <c r="B537">
        <v>1.1803136745998599</v>
      </c>
      <c r="C537">
        <v>-6.7751757800579002E-2</v>
      </c>
      <c r="D537">
        <v>7.0152711988112699</v>
      </c>
    </row>
    <row r="538" spans="1:4" x14ac:dyDescent="0.35">
      <c r="A538">
        <v>-0.383468747138977</v>
      </c>
      <c r="B538">
        <v>1.1859638621178299</v>
      </c>
      <c r="C538">
        <v>-6.6808678209781994E-2</v>
      </c>
      <c r="D538">
        <v>7.1018338996280201</v>
      </c>
    </row>
    <row r="539" spans="1:4" x14ac:dyDescent="0.35">
      <c r="A539">
        <v>-0.38298150897026101</v>
      </c>
      <c r="B539">
        <v>1.18913055618926</v>
      </c>
      <c r="C539">
        <v>-6.5968170762062003E-2</v>
      </c>
      <c r="D539">
        <v>7.1440583055226101</v>
      </c>
    </row>
    <row r="540" spans="1:4" x14ac:dyDescent="0.35">
      <c r="A540">
        <v>-0.38274243474006697</v>
      </c>
      <c r="B540">
        <v>1.1934028706454201</v>
      </c>
      <c r="C540">
        <v>-6.4011275768280002E-2</v>
      </c>
      <c r="D540">
        <v>7.1595021838728998</v>
      </c>
    </row>
    <row r="541" spans="1:4" x14ac:dyDescent="0.35">
      <c r="A541">
        <v>-0.38192391395568798</v>
      </c>
      <c r="B541">
        <v>1.1889132310055299</v>
      </c>
      <c r="C541">
        <v>-6.3822634518147001E-2</v>
      </c>
      <c r="D541">
        <v>7.2077810911558799</v>
      </c>
    </row>
    <row r="542" spans="1:4" x14ac:dyDescent="0.35">
      <c r="A542">
        <v>-0.381461501121521</v>
      </c>
      <c r="B542">
        <v>1.19716148631557</v>
      </c>
      <c r="C542">
        <v>-6.2547326087951993E-2</v>
      </c>
      <c r="D542">
        <v>7.0844678142972501</v>
      </c>
    </row>
    <row r="543" spans="1:4" x14ac:dyDescent="0.35">
      <c r="A543">
        <v>-0.381049394607544</v>
      </c>
      <c r="B543">
        <v>1.2048956875702099</v>
      </c>
      <c r="C543">
        <v>-6.2505960464477997E-2</v>
      </c>
      <c r="D543">
        <v>7.2265524973276696</v>
      </c>
    </row>
    <row r="544" spans="1:4" x14ac:dyDescent="0.35">
      <c r="A544">
        <v>-0.38057023286819502</v>
      </c>
      <c r="B544">
        <v>1.2148743390283501</v>
      </c>
      <c r="C544">
        <v>-6.0266807675362001E-2</v>
      </c>
      <c r="D544">
        <v>7.2416538793824596</v>
      </c>
    </row>
    <row r="545" spans="1:4" x14ac:dyDescent="0.35">
      <c r="A545">
        <v>-0.37976470589637801</v>
      </c>
      <c r="B545">
        <v>1.2232005119099501</v>
      </c>
      <c r="C545">
        <v>-6.0077726840972998E-2</v>
      </c>
      <c r="D545">
        <v>7.2286869842525601</v>
      </c>
    </row>
    <row r="546" spans="1:4" x14ac:dyDescent="0.35">
      <c r="A546">
        <v>-0.37943378090858498</v>
      </c>
      <c r="B546">
        <v>1.22821409123044</v>
      </c>
      <c r="C546">
        <v>-5.8501247316599003E-2</v>
      </c>
      <c r="D546">
        <v>7.2862037022779296</v>
      </c>
    </row>
    <row r="547" spans="1:4" x14ac:dyDescent="0.35">
      <c r="A547">
        <v>-0.37889617681503301</v>
      </c>
      <c r="B547">
        <v>1.2260496974466599</v>
      </c>
      <c r="C547">
        <v>-5.7968802750111001E-2</v>
      </c>
      <c r="D547">
        <v>7.3413683514719104</v>
      </c>
    </row>
    <row r="548" spans="1:4" x14ac:dyDescent="0.35">
      <c r="A548">
        <v>-0.37842422723770103</v>
      </c>
      <c r="B548">
        <v>1.2307688865356601</v>
      </c>
      <c r="C548">
        <v>-5.6550469249487E-2</v>
      </c>
      <c r="D548">
        <v>7.3913685391626203</v>
      </c>
    </row>
    <row r="549" spans="1:4" x14ac:dyDescent="0.35">
      <c r="A549">
        <v>-0.37810352444648698</v>
      </c>
      <c r="B549">
        <v>1.2334296368839699</v>
      </c>
      <c r="C549">
        <v>-5.5279608815908002E-2</v>
      </c>
      <c r="D549">
        <v>7.3525957157777801</v>
      </c>
    </row>
    <row r="550" spans="1:4" x14ac:dyDescent="0.35">
      <c r="A550">
        <v>-0.37756377458572399</v>
      </c>
      <c r="B550">
        <v>1.2337573352700399</v>
      </c>
      <c r="C550">
        <v>-5.4847847670317001E-2</v>
      </c>
      <c r="D550">
        <v>7.4473619679778196</v>
      </c>
    </row>
    <row r="551" spans="1:4" x14ac:dyDescent="0.35">
      <c r="A551">
        <v>-0.37702590227127097</v>
      </c>
      <c r="B551">
        <v>1.2439899971491699</v>
      </c>
      <c r="C551">
        <v>-5.3506817668676002E-2</v>
      </c>
      <c r="D551">
        <v>7.5122296042383097</v>
      </c>
    </row>
    <row r="552" spans="1:4" x14ac:dyDescent="0.35">
      <c r="A552">
        <v>-0.37650015950202897</v>
      </c>
      <c r="B552">
        <v>1.24534604635902</v>
      </c>
      <c r="C552">
        <v>-5.2980788052081999E-2</v>
      </c>
      <c r="D552">
        <v>7.58158181894433</v>
      </c>
    </row>
    <row r="553" spans="1:4" x14ac:dyDescent="0.35">
      <c r="A553">
        <v>-0.375814288854599</v>
      </c>
      <c r="B553">
        <v>1.2557546521799301</v>
      </c>
      <c r="C553">
        <v>-5.1111422479152999E-2</v>
      </c>
      <c r="D553">
        <v>7.5934896209122904</v>
      </c>
    </row>
    <row r="554" spans="1:4" x14ac:dyDescent="0.35">
      <c r="A554">
        <v>-0.37540942430496199</v>
      </c>
      <c r="B554">
        <v>1.26145508396818</v>
      </c>
      <c r="C554">
        <v>-5.0962034612894003E-2</v>
      </c>
      <c r="D554">
        <v>7.6284543928380204</v>
      </c>
    </row>
    <row r="555" spans="1:4" x14ac:dyDescent="0.35">
      <c r="A555">
        <v>-0.374915271997452</v>
      </c>
      <c r="B555">
        <v>1.26364632121718</v>
      </c>
      <c r="C555">
        <v>-4.9212727695703999E-2</v>
      </c>
      <c r="D555">
        <v>7.6667756427635103</v>
      </c>
    </row>
    <row r="556" spans="1:4" x14ac:dyDescent="0.35">
      <c r="A556">
        <v>-0.37460151314735401</v>
      </c>
      <c r="B556">
        <v>1.2616792159854899</v>
      </c>
      <c r="C556">
        <v>-4.8423610627650999E-2</v>
      </c>
      <c r="D556">
        <v>7.5408932644516504</v>
      </c>
    </row>
    <row r="557" spans="1:4" x14ac:dyDescent="0.35">
      <c r="A557">
        <v>-0.37397179007530201</v>
      </c>
      <c r="B557">
        <v>1.26892895429075</v>
      </c>
      <c r="C557">
        <v>-4.7919578850268998E-2</v>
      </c>
      <c r="D557">
        <v>7.6563364340282902</v>
      </c>
    </row>
    <row r="558" spans="1:4" x14ac:dyDescent="0.35">
      <c r="A558">
        <v>-0.37367609143257102</v>
      </c>
      <c r="B558">
        <v>1.2833782947255501</v>
      </c>
      <c r="C558">
        <v>-4.6448137611150998E-2</v>
      </c>
      <c r="D558">
        <v>7.5933548570610396</v>
      </c>
    </row>
    <row r="559" spans="1:4" x14ac:dyDescent="0.35">
      <c r="A559">
        <v>-0.373063445091248</v>
      </c>
      <c r="B559">
        <v>1.28683635174847</v>
      </c>
      <c r="C559">
        <v>-4.6207398176193001E-2</v>
      </c>
      <c r="D559">
        <v>7.6215003150137397</v>
      </c>
    </row>
    <row r="560" spans="1:4" x14ac:dyDescent="0.35">
      <c r="A560">
        <v>-0.37238037586212203</v>
      </c>
      <c r="B560">
        <v>1.2782514807650101</v>
      </c>
      <c r="C560">
        <v>-4.4118627905846003E-2</v>
      </c>
      <c r="D560">
        <v>7.6781800302885701</v>
      </c>
    </row>
    <row r="561" spans="1:4" x14ac:dyDescent="0.35">
      <c r="A561">
        <v>-0.371844172477722</v>
      </c>
      <c r="B561">
        <v>1.2990670857128099</v>
      </c>
      <c r="C561">
        <v>-4.4263087213039003E-2</v>
      </c>
      <c r="D561">
        <v>7.6236420587546396</v>
      </c>
    </row>
    <row r="562" spans="1:4" x14ac:dyDescent="0.35">
      <c r="A562">
        <v>-0.37139689922332803</v>
      </c>
      <c r="B562">
        <v>1.2998965676440299</v>
      </c>
      <c r="C562">
        <v>-4.2068056762217997E-2</v>
      </c>
      <c r="D562">
        <v>7.65757686735604</v>
      </c>
    </row>
    <row r="563" spans="1:4" x14ac:dyDescent="0.35">
      <c r="A563">
        <v>-0.37101292610168501</v>
      </c>
      <c r="B563">
        <v>1.29703596318383</v>
      </c>
      <c r="C563">
        <v>-4.1945002973080001E-2</v>
      </c>
      <c r="D563">
        <v>7.6941406681322198</v>
      </c>
    </row>
    <row r="564" spans="1:4" x14ac:dyDescent="0.35">
      <c r="A564">
        <v>-0.370305806398392</v>
      </c>
      <c r="B564">
        <v>1.3042976941137201</v>
      </c>
      <c r="C564">
        <v>-4.0239185094832999E-2</v>
      </c>
      <c r="D564">
        <v>7.7571131682407</v>
      </c>
    </row>
    <row r="565" spans="1:4" x14ac:dyDescent="0.35">
      <c r="A565">
        <v>-0.37006634473800698</v>
      </c>
      <c r="B565">
        <v>1.3193642566656001</v>
      </c>
      <c r="C565">
        <v>-4.0435437113047E-2</v>
      </c>
      <c r="D565">
        <v>7.8247648509150904</v>
      </c>
    </row>
    <row r="566" spans="1:4" x14ac:dyDescent="0.35">
      <c r="A566">
        <v>-0.36948230862617498</v>
      </c>
      <c r="B566">
        <v>1.3163938445275001</v>
      </c>
      <c r="C566">
        <v>-3.8784757256507998E-2</v>
      </c>
      <c r="D566">
        <v>7.856134872838</v>
      </c>
    </row>
    <row r="567" spans="1:4" x14ac:dyDescent="0.35">
      <c r="A567">
        <v>-0.36889493465423601</v>
      </c>
      <c r="B567">
        <v>1.3233603514816099</v>
      </c>
      <c r="C567">
        <v>-3.7849135696887998E-2</v>
      </c>
      <c r="D567">
        <v>7.8004581680185998</v>
      </c>
    </row>
    <row r="568" spans="1:4" x14ac:dyDescent="0.35">
      <c r="A568">
        <v>-0.36850357055664101</v>
      </c>
      <c r="B568">
        <v>1.32533641829088</v>
      </c>
      <c r="C568">
        <v>-3.6570876836776997E-2</v>
      </c>
      <c r="D568">
        <v>7.8883621282485104</v>
      </c>
    </row>
    <row r="569" spans="1:4" x14ac:dyDescent="0.35">
      <c r="A569">
        <v>-0.36803826689720198</v>
      </c>
      <c r="B569">
        <v>1.3320745501659901</v>
      </c>
      <c r="C569">
        <v>-3.5293601453303999E-2</v>
      </c>
      <c r="D569">
        <v>7.8444623688334598</v>
      </c>
    </row>
    <row r="570" spans="1:4" x14ac:dyDescent="0.35">
      <c r="A570">
        <v>-0.36744895577430697</v>
      </c>
      <c r="B570">
        <v>1.33452948917546</v>
      </c>
      <c r="C570">
        <v>-3.4802440553904003E-2</v>
      </c>
      <c r="D570">
        <v>7.8738702637791498</v>
      </c>
    </row>
    <row r="571" spans="1:4" x14ac:dyDescent="0.35">
      <c r="A571">
        <v>-0.36696335673332198</v>
      </c>
      <c r="B571">
        <v>1.35225509615961</v>
      </c>
      <c r="C571">
        <v>-3.3183615654706997E-2</v>
      </c>
      <c r="D571">
        <v>7.8595768389426199</v>
      </c>
    </row>
    <row r="572" spans="1:4" x14ac:dyDescent="0.35">
      <c r="A572">
        <v>-0.36655607819557201</v>
      </c>
      <c r="B572">
        <v>1.3495667664309501</v>
      </c>
      <c r="C572">
        <v>-3.3187858760357E-2</v>
      </c>
      <c r="D572">
        <v>7.8244159128595303</v>
      </c>
    </row>
    <row r="573" spans="1:4" x14ac:dyDescent="0.35">
      <c r="A573">
        <v>-0.36595171689987199</v>
      </c>
      <c r="B573">
        <v>1.3529058309095701</v>
      </c>
      <c r="C573">
        <v>-3.0843118205667E-2</v>
      </c>
      <c r="D573">
        <v>7.8952050387007304</v>
      </c>
    </row>
    <row r="574" spans="1:4" x14ac:dyDescent="0.35">
      <c r="A574">
        <v>-0.36542409658432001</v>
      </c>
      <c r="B574">
        <v>1.3596548394661101</v>
      </c>
      <c r="C574">
        <v>-3.1675118952990002E-2</v>
      </c>
      <c r="D574">
        <v>7.9337502410415901</v>
      </c>
    </row>
    <row r="575" spans="1:4" x14ac:dyDescent="0.35">
      <c r="A575">
        <v>-0.36500090360641502</v>
      </c>
      <c r="B575">
        <v>1.3659647200204199</v>
      </c>
      <c r="C575">
        <v>-2.9106989502907001E-2</v>
      </c>
      <c r="D575">
        <v>7.9936485165159796</v>
      </c>
    </row>
    <row r="576" spans="1:4" x14ac:dyDescent="0.35">
      <c r="A576">
        <v>-0.36445921659469599</v>
      </c>
      <c r="B576">
        <v>1.3775730569896001</v>
      </c>
      <c r="C576">
        <v>-2.9017742723226998E-2</v>
      </c>
      <c r="D576">
        <v>8.02481729953635</v>
      </c>
    </row>
    <row r="577" spans="1:4" x14ac:dyDescent="0.35">
      <c r="A577">
        <v>-0.364095449447632</v>
      </c>
      <c r="B577">
        <v>1.3889309748148599</v>
      </c>
      <c r="C577">
        <v>-2.7229189872742001E-2</v>
      </c>
      <c r="D577">
        <v>8.0900204710551709</v>
      </c>
    </row>
    <row r="578" spans="1:4" x14ac:dyDescent="0.35">
      <c r="A578">
        <v>-0.36344262957572898</v>
      </c>
      <c r="B578">
        <v>1.3824005249082401</v>
      </c>
      <c r="C578">
        <v>-2.6810077950357999E-2</v>
      </c>
      <c r="D578">
        <v>8.1200750825800601</v>
      </c>
    </row>
    <row r="579" spans="1:4" x14ac:dyDescent="0.35">
      <c r="A579">
        <v>-0.36289453506469699</v>
      </c>
      <c r="B579">
        <v>1.3884243501867</v>
      </c>
      <c r="C579">
        <v>-2.5878755375742999E-2</v>
      </c>
      <c r="D579">
        <v>8.0908562375790698</v>
      </c>
    </row>
    <row r="580" spans="1:4" x14ac:dyDescent="0.35">
      <c r="A580">
        <v>-0.36240682005882302</v>
      </c>
      <c r="B580">
        <v>1.39812776158984</v>
      </c>
      <c r="C580">
        <v>-2.4611573666334E-2</v>
      </c>
      <c r="D580">
        <v>8.1894880456463497</v>
      </c>
    </row>
    <row r="581" spans="1:4" x14ac:dyDescent="0.35">
      <c r="A581">
        <v>-0.36196669936180098</v>
      </c>
      <c r="B581">
        <v>1.40111745036961</v>
      </c>
      <c r="C581">
        <v>-2.4007452651858E-2</v>
      </c>
      <c r="D581">
        <v>8.1746256009757499</v>
      </c>
    </row>
    <row r="582" spans="1:4" x14ac:dyDescent="0.35">
      <c r="A582">
        <v>-0.36148446798324602</v>
      </c>
      <c r="B582">
        <v>1.40078697956073</v>
      </c>
      <c r="C582">
        <v>-2.2187072783708999E-2</v>
      </c>
      <c r="D582">
        <v>8.1694892716942</v>
      </c>
    </row>
    <row r="583" spans="1:4" x14ac:dyDescent="0.35">
      <c r="A583">
        <v>-0.360953480005264</v>
      </c>
      <c r="B583">
        <v>1.4146069551688401</v>
      </c>
      <c r="C583">
        <v>-2.1997295320033999E-2</v>
      </c>
      <c r="D583">
        <v>8.2176137541844003</v>
      </c>
    </row>
    <row r="584" spans="1:4" x14ac:dyDescent="0.35">
      <c r="A584">
        <v>-0.360506922006607</v>
      </c>
      <c r="B584">
        <v>1.4220845011201499</v>
      </c>
      <c r="C584">
        <v>-2.0490810275078E-2</v>
      </c>
      <c r="D584">
        <v>8.1905625498218697</v>
      </c>
    </row>
    <row r="585" spans="1:4" x14ac:dyDescent="0.35">
      <c r="A585">
        <v>-0.36004346609115601</v>
      </c>
      <c r="B585">
        <v>1.4346007512563901</v>
      </c>
      <c r="C585">
        <v>-2.0086379721761E-2</v>
      </c>
      <c r="D585">
        <v>8.2376406287141908</v>
      </c>
    </row>
    <row r="586" spans="1:4" x14ac:dyDescent="0.35">
      <c r="A586">
        <v>-0.35945644974708602</v>
      </c>
      <c r="B586">
        <v>1.43219538504223</v>
      </c>
      <c r="C586">
        <v>-1.8268374726176002E-2</v>
      </c>
      <c r="D586">
        <v>8.2038100376635796</v>
      </c>
    </row>
    <row r="587" spans="1:4" x14ac:dyDescent="0.35">
      <c r="A587">
        <v>-0.35884255170822099</v>
      </c>
      <c r="B587">
        <v>1.44763420222994</v>
      </c>
      <c r="C587">
        <v>-1.8123039975761999E-2</v>
      </c>
      <c r="D587">
        <v>8.2747835618886096</v>
      </c>
    </row>
    <row r="588" spans="1:4" x14ac:dyDescent="0.35">
      <c r="A588">
        <v>-0.358523309230804</v>
      </c>
      <c r="B588">
        <v>1.4318079162567301</v>
      </c>
      <c r="C588">
        <v>-1.6411814838647999E-2</v>
      </c>
      <c r="D588">
        <v>8.4132834083057801</v>
      </c>
    </row>
    <row r="589" spans="1:4" x14ac:dyDescent="0.35">
      <c r="A589">
        <v>-0.35789576172828702</v>
      </c>
      <c r="B589">
        <v>1.4498326825560399</v>
      </c>
      <c r="C589">
        <v>-1.5860294923186E-2</v>
      </c>
      <c r="D589">
        <v>8.33080635172748</v>
      </c>
    </row>
    <row r="590" spans="1:4" x14ac:dyDescent="0.35">
      <c r="A590">
        <v>-0.357359379529953</v>
      </c>
      <c r="B590">
        <v>1.45619822257156</v>
      </c>
      <c r="C590">
        <v>-1.5109677799046E-2</v>
      </c>
      <c r="D590">
        <v>8.2986042378856197</v>
      </c>
    </row>
    <row r="591" spans="1:4" x14ac:dyDescent="0.35">
      <c r="A591">
        <v>-0.35702458024025002</v>
      </c>
      <c r="B591">
        <v>1.46079788220652</v>
      </c>
      <c r="C591">
        <v>-1.3225198723376E-2</v>
      </c>
      <c r="D591">
        <v>8.3380530232041306</v>
      </c>
    </row>
    <row r="592" spans="1:4" x14ac:dyDescent="0.35">
      <c r="A592">
        <v>-0.35643407702446001</v>
      </c>
      <c r="B592">
        <v>1.4563970425089201</v>
      </c>
      <c r="C592">
        <v>-1.30660738796E-2</v>
      </c>
      <c r="D592">
        <v>8.3904933983718095</v>
      </c>
    </row>
    <row r="593" spans="1:4" x14ac:dyDescent="0.35">
      <c r="A593">
        <v>-0.35599631071090698</v>
      </c>
      <c r="B593">
        <v>1.4703645265298699</v>
      </c>
      <c r="C593">
        <v>-1.1056865565478999E-2</v>
      </c>
      <c r="D593">
        <v>8.4334170548925904</v>
      </c>
    </row>
    <row r="594" spans="1:4" x14ac:dyDescent="0.35">
      <c r="A594">
        <v>-0.35553312301635698</v>
      </c>
      <c r="B594">
        <v>1.48239091698308</v>
      </c>
      <c r="C594">
        <v>-1.1716700159013001E-2</v>
      </c>
      <c r="D594">
        <v>8.3087769294411995</v>
      </c>
    </row>
    <row r="595" spans="1:4" x14ac:dyDescent="0.35">
      <c r="A595">
        <v>-0.35501772165298501</v>
      </c>
      <c r="B595">
        <v>1.4816643945194801</v>
      </c>
      <c r="C595">
        <v>-9.0786470100279997E-3</v>
      </c>
      <c r="D595">
        <v>8.3684087567777201</v>
      </c>
    </row>
    <row r="596" spans="1:4" x14ac:dyDescent="0.35">
      <c r="A596">
        <v>-0.35449177026748702</v>
      </c>
      <c r="B596">
        <v>1.48912750309084</v>
      </c>
      <c r="C596">
        <v>-8.7813893333079998E-3</v>
      </c>
      <c r="D596">
        <v>8.4338176045948003</v>
      </c>
    </row>
    <row r="597" spans="1:4" x14ac:dyDescent="0.35">
      <c r="A597">
        <v>-0.35394465923309298</v>
      </c>
      <c r="B597">
        <v>1.4841922453985601</v>
      </c>
      <c r="C597">
        <v>-7.0325634442270002E-3</v>
      </c>
      <c r="D597">
        <v>8.5175137314717109</v>
      </c>
    </row>
    <row r="598" spans="1:4" x14ac:dyDescent="0.35">
      <c r="A598">
        <v>-0.35340413451194802</v>
      </c>
      <c r="B598">
        <v>1.49955865182218</v>
      </c>
      <c r="C598">
        <v>-7.090429309756E-3</v>
      </c>
      <c r="D598">
        <v>8.5066351262026707</v>
      </c>
    </row>
    <row r="599" spans="1:4" x14ac:dyDescent="0.35">
      <c r="A599">
        <v>-0.352834612131119</v>
      </c>
      <c r="B599">
        <v>1.49677948820925</v>
      </c>
      <c r="C599">
        <v>-5.306117236614E-3</v>
      </c>
      <c r="D599">
        <v>8.5579573429394404</v>
      </c>
    </row>
    <row r="600" spans="1:4" x14ac:dyDescent="0.35">
      <c r="A600">
        <v>-0.35254496335983299</v>
      </c>
      <c r="B600">
        <v>1.5073149687193701</v>
      </c>
      <c r="C600">
        <v>-4.5696496963499996E-3</v>
      </c>
      <c r="D600">
        <v>8.4847531475241205</v>
      </c>
    </row>
    <row r="601" spans="1:4" x14ac:dyDescent="0.35">
      <c r="A601">
        <v>-0.35209363698959401</v>
      </c>
      <c r="B601">
        <v>1.5170483352315001</v>
      </c>
      <c r="C601">
        <v>-3.8008019328119999E-3</v>
      </c>
      <c r="D601">
        <v>8.6198694119228207</v>
      </c>
    </row>
    <row r="602" spans="1:4" x14ac:dyDescent="0.35">
      <c r="A602">
        <v>-0.35164204239845298</v>
      </c>
      <c r="B602">
        <v>1.51906003116225</v>
      </c>
      <c r="C602">
        <v>-2.4417028762399999E-3</v>
      </c>
      <c r="D602">
        <v>8.6979369033309801</v>
      </c>
    </row>
    <row r="603" spans="1:4" x14ac:dyDescent="0.35">
      <c r="A603">
        <v>-0.35111844539642301</v>
      </c>
      <c r="B603">
        <v>1.5198244036192801</v>
      </c>
      <c r="C603">
        <v>-2.4864361621439999E-3</v>
      </c>
      <c r="D603">
        <v>8.7262520461698294</v>
      </c>
    </row>
    <row r="604" spans="1:4" x14ac:dyDescent="0.35">
      <c r="A604">
        <v>-0.35048517584800698</v>
      </c>
      <c r="B604">
        <v>1.53056619042653</v>
      </c>
      <c r="C604">
        <v>1.8178638129E-5</v>
      </c>
      <c r="D604">
        <v>8.7569170636318407</v>
      </c>
    </row>
    <row r="605" spans="1:4" x14ac:dyDescent="0.35">
      <c r="A605">
        <v>-0.349952101707458</v>
      </c>
      <c r="B605">
        <v>1.54337372077358</v>
      </c>
      <c r="C605">
        <v>-9.8595439339999995E-5</v>
      </c>
      <c r="D605">
        <v>8.7025659262919195</v>
      </c>
    </row>
    <row r="606" spans="1:4" x14ac:dyDescent="0.35">
      <c r="A606">
        <v>-0.34934875369071999</v>
      </c>
      <c r="B606">
        <v>1.54147742634795</v>
      </c>
      <c r="C606">
        <v>2.3074443452060001E-3</v>
      </c>
      <c r="D606">
        <v>8.7210897103895508</v>
      </c>
    </row>
    <row r="607" spans="1:4" x14ac:dyDescent="0.35">
      <c r="A607">
        <v>-0.34902656078338601</v>
      </c>
      <c r="B607">
        <v>1.5615794774582901</v>
      </c>
      <c r="C607">
        <v>1.847255509347E-3</v>
      </c>
      <c r="D607">
        <v>8.7479762488291009</v>
      </c>
    </row>
    <row r="608" spans="1:4" x14ac:dyDescent="0.35">
      <c r="A608">
        <v>-0.34843492507934598</v>
      </c>
      <c r="B608">
        <v>1.55647396744511</v>
      </c>
      <c r="C608">
        <v>3.4595029428599999E-3</v>
      </c>
      <c r="D608">
        <v>8.8518746897834202</v>
      </c>
    </row>
    <row r="609" spans="1:4" x14ac:dyDescent="0.35">
      <c r="A609">
        <v>-0.34799599647522</v>
      </c>
      <c r="B609">
        <v>1.56534420574247</v>
      </c>
      <c r="C609">
        <v>4.2190556414429996E-3</v>
      </c>
      <c r="D609">
        <v>8.7372472660771692</v>
      </c>
    </row>
    <row r="610" spans="1:4" x14ac:dyDescent="0.35">
      <c r="A610">
        <v>-0.34760999679565402</v>
      </c>
      <c r="B610">
        <v>1.5695454740981101</v>
      </c>
      <c r="C610">
        <v>4.624501802027E-3</v>
      </c>
      <c r="D610">
        <v>8.8431941501205902</v>
      </c>
    </row>
    <row r="611" spans="1:4" x14ac:dyDescent="0.35">
      <c r="A611">
        <v>-0.34705805778503401</v>
      </c>
      <c r="B611">
        <v>1.5728232979262</v>
      </c>
      <c r="C611">
        <v>6.7809540778399997E-3</v>
      </c>
      <c r="D611">
        <v>8.9218214300643695</v>
      </c>
    </row>
    <row r="612" spans="1:4" x14ac:dyDescent="0.35">
      <c r="A612">
        <v>-0.34653860330581698</v>
      </c>
      <c r="B612">
        <v>1.58707459198505</v>
      </c>
      <c r="C612">
        <v>6.9791837595400003E-3</v>
      </c>
      <c r="D612">
        <v>8.8490013925539799</v>
      </c>
    </row>
    <row r="613" spans="1:4" x14ac:dyDescent="0.35">
      <c r="A613">
        <v>-0.34602156281471302</v>
      </c>
      <c r="B613">
        <v>1.58489716666137</v>
      </c>
      <c r="C613">
        <v>9.0309698134659992E-3</v>
      </c>
      <c r="D613">
        <v>8.8789672582258099</v>
      </c>
    </row>
    <row r="614" spans="1:4" x14ac:dyDescent="0.35">
      <c r="A614">
        <v>-0.345572769641876</v>
      </c>
      <c r="B614">
        <v>1.59901666386679</v>
      </c>
      <c r="C614">
        <v>8.8177425786849992E-3</v>
      </c>
      <c r="D614">
        <v>8.7831726567857995</v>
      </c>
    </row>
    <row r="615" spans="1:4" x14ac:dyDescent="0.35">
      <c r="A615">
        <v>-0.34496724605560303</v>
      </c>
      <c r="B615">
        <v>1.6097888388620101</v>
      </c>
      <c r="C615">
        <v>1.0863018222152999E-2</v>
      </c>
      <c r="D615">
        <v>8.9252102320566298</v>
      </c>
    </row>
    <row r="616" spans="1:4" x14ac:dyDescent="0.35">
      <c r="A616">
        <v>-0.34445124864578203</v>
      </c>
      <c r="B616">
        <v>1.60923558434153</v>
      </c>
      <c r="C616">
        <v>1.0881052352487999E-2</v>
      </c>
      <c r="D616">
        <v>8.9780793043018505</v>
      </c>
    </row>
    <row r="617" spans="1:4" x14ac:dyDescent="0.35">
      <c r="A617">
        <v>-0.3440842628479</v>
      </c>
      <c r="B617">
        <v>1.6157500333024499</v>
      </c>
      <c r="C617">
        <v>1.2204928323627001E-2</v>
      </c>
      <c r="D617">
        <v>9.0349206289475994</v>
      </c>
    </row>
    <row r="618" spans="1:4" x14ac:dyDescent="0.35">
      <c r="A618">
        <v>-0.343225747346878</v>
      </c>
      <c r="B618">
        <v>1.6187125267621501</v>
      </c>
      <c r="C618">
        <v>1.3551154173910999E-2</v>
      </c>
      <c r="D618">
        <v>9.1415059611151896</v>
      </c>
    </row>
    <row r="619" spans="1:4" x14ac:dyDescent="0.35">
      <c r="A619">
        <v>-0.34310048818588301</v>
      </c>
      <c r="B619">
        <v>1.6192837972074601</v>
      </c>
      <c r="C619">
        <v>1.3716171495616001E-2</v>
      </c>
      <c r="D619">
        <v>9.1523016601913305</v>
      </c>
    </row>
    <row r="620" spans="1:4" x14ac:dyDescent="0.35">
      <c r="A620">
        <v>-0.34255337715148898</v>
      </c>
      <c r="B620">
        <v>1.6369834737783699</v>
      </c>
      <c r="C620">
        <v>1.6186250373721001E-2</v>
      </c>
      <c r="D620">
        <v>9.1218826825198303</v>
      </c>
    </row>
    <row r="621" spans="1:4" x14ac:dyDescent="0.35">
      <c r="A621">
        <v>-0.34208580851554898</v>
      </c>
      <c r="B621">
        <v>1.64798576316595</v>
      </c>
      <c r="C621">
        <v>1.5992118045688002E-2</v>
      </c>
      <c r="D621">
        <v>9.1706478064678301</v>
      </c>
    </row>
    <row r="622" spans="1:4" x14ac:dyDescent="0.35">
      <c r="A622">
        <v>-0.34140762686729398</v>
      </c>
      <c r="B622">
        <v>1.6421300413706701</v>
      </c>
      <c r="C622">
        <v>1.790046878159E-2</v>
      </c>
      <c r="D622">
        <v>9.0504333944352702</v>
      </c>
    </row>
    <row r="623" spans="1:4" x14ac:dyDescent="0.35">
      <c r="A623">
        <v>-0.34094321727752702</v>
      </c>
      <c r="B623">
        <v>1.6446248716049101</v>
      </c>
      <c r="C623">
        <v>1.7627913504838999E-2</v>
      </c>
      <c r="D623">
        <v>9.1887853718843093</v>
      </c>
    </row>
    <row r="624" spans="1:4" x14ac:dyDescent="0.35">
      <c r="A624">
        <v>-0.34049358963966397</v>
      </c>
      <c r="B624">
        <v>1.6563218587978801</v>
      </c>
      <c r="C624">
        <v>1.9423834979534E-2</v>
      </c>
      <c r="D624">
        <v>9.2176455119024201</v>
      </c>
    </row>
    <row r="625" spans="1:4" x14ac:dyDescent="0.35">
      <c r="A625">
        <v>-0.33990734815597501</v>
      </c>
      <c r="B625">
        <v>1.6645960801817701</v>
      </c>
      <c r="C625">
        <v>2.047305367887E-2</v>
      </c>
      <c r="D625">
        <v>9.2028552533315704</v>
      </c>
    </row>
    <row r="626" spans="1:4" x14ac:dyDescent="0.35">
      <c r="A626">
        <v>-0.339448511600494</v>
      </c>
      <c r="B626">
        <v>1.6648086826319699</v>
      </c>
      <c r="C626">
        <v>2.114243619144E-2</v>
      </c>
      <c r="D626">
        <v>9.2440991057635404</v>
      </c>
    </row>
    <row r="627" spans="1:4" x14ac:dyDescent="0.35">
      <c r="A627">
        <v>-0.33905506134033198</v>
      </c>
      <c r="B627">
        <v>1.67492917770464</v>
      </c>
      <c r="C627">
        <v>2.2430902346969001E-2</v>
      </c>
      <c r="D627">
        <v>9.2124284221595296</v>
      </c>
    </row>
    <row r="628" spans="1:4" x14ac:dyDescent="0.35">
      <c r="A628">
        <v>-0.33855581283569303</v>
      </c>
      <c r="B628">
        <v>1.6776637411761299</v>
      </c>
      <c r="C628">
        <v>2.3167556151747998E-2</v>
      </c>
      <c r="D628">
        <v>9.2804214457738894</v>
      </c>
    </row>
    <row r="629" spans="1:4" x14ac:dyDescent="0.35">
      <c r="A629">
        <v>-0.337998926639557</v>
      </c>
      <c r="B629">
        <v>1.6858204047316701</v>
      </c>
      <c r="C629">
        <v>2.4297682568431001E-2</v>
      </c>
      <c r="D629">
        <v>9.2164825666045704</v>
      </c>
    </row>
    <row r="630" spans="1:4" x14ac:dyDescent="0.35">
      <c r="A630">
        <v>-0.337581276893616</v>
      </c>
      <c r="B630">
        <v>1.6911465799755501</v>
      </c>
      <c r="C630">
        <v>2.4927467107773001E-2</v>
      </c>
      <c r="D630">
        <v>9.1498669434395197</v>
      </c>
    </row>
    <row r="631" spans="1:4" x14ac:dyDescent="0.35">
      <c r="A631">
        <v>-0.33693686127662698</v>
      </c>
      <c r="B631">
        <v>1.70610782217571</v>
      </c>
      <c r="C631">
        <v>2.6799831539391999E-2</v>
      </c>
      <c r="D631">
        <v>9.3379461647059401</v>
      </c>
    </row>
    <row r="632" spans="1:4" x14ac:dyDescent="0.35">
      <c r="A632">
        <v>-0.33637723326683</v>
      </c>
      <c r="B632">
        <v>1.7100505530054599</v>
      </c>
      <c r="C632">
        <v>2.7150880545377998E-2</v>
      </c>
      <c r="D632">
        <v>9.3548904360272598</v>
      </c>
    </row>
    <row r="633" spans="1:4" x14ac:dyDescent="0.35">
      <c r="A633">
        <v>-0.336008131504059</v>
      </c>
      <c r="B633">
        <v>1.7108036017403001</v>
      </c>
      <c r="C633">
        <v>2.8642490506172E-2</v>
      </c>
      <c r="D633">
        <v>9.4785982131236999</v>
      </c>
    </row>
    <row r="634" spans="1:4" x14ac:dyDescent="0.35">
      <c r="A634">
        <v>-0.335476845502853</v>
      </c>
      <c r="B634">
        <v>1.7333902264735901</v>
      </c>
      <c r="C634">
        <v>2.9045268893242E-2</v>
      </c>
      <c r="D634">
        <v>9.4449621385723006</v>
      </c>
    </row>
    <row r="635" spans="1:4" x14ac:dyDescent="0.35">
      <c r="A635">
        <v>-0.33502662181854198</v>
      </c>
      <c r="B635">
        <v>1.7315717392598799</v>
      </c>
      <c r="C635">
        <v>3.0191296711564002E-2</v>
      </c>
      <c r="D635">
        <v>9.5616114912945402</v>
      </c>
    </row>
    <row r="636" spans="1:4" x14ac:dyDescent="0.35">
      <c r="A636">
        <v>-0.33444243669509899</v>
      </c>
      <c r="B636">
        <v>1.7246594040552099</v>
      </c>
      <c r="C636">
        <v>3.1507782638073002E-2</v>
      </c>
      <c r="D636">
        <v>9.4776967545541204</v>
      </c>
    </row>
    <row r="637" spans="1:4" x14ac:dyDescent="0.35">
      <c r="A637">
        <v>-0.33396324515342701</v>
      </c>
      <c r="B637">
        <v>1.7394655571462001</v>
      </c>
      <c r="C637">
        <v>3.2214291393756998E-2</v>
      </c>
      <c r="D637">
        <v>9.3901875042490808</v>
      </c>
    </row>
    <row r="638" spans="1:4" x14ac:dyDescent="0.35">
      <c r="A638">
        <v>-0.33342882990837103</v>
      </c>
      <c r="B638">
        <v>1.7471574128330001</v>
      </c>
      <c r="C638">
        <v>3.3991180360317001E-2</v>
      </c>
      <c r="D638">
        <v>9.4706077878103496</v>
      </c>
    </row>
    <row r="639" spans="1:4" x14ac:dyDescent="0.35">
      <c r="A639">
        <v>-0.33305341005325301</v>
      </c>
      <c r="B639">
        <v>1.75104948688722</v>
      </c>
      <c r="C639">
        <v>3.3911731094122002E-2</v>
      </c>
      <c r="D639">
        <v>9.38323943574885</v>
      </c>
    </row>
    <row r="640" spans="1:4" x14ac:dyDescent="0.35">
      <c r="A640">
        <v>-0.33246517181396501</v>
      </c>
      <c r="B640">
        <v>1.7615846970948299</v>
      </c>
      <c r="C640">
        <v>3.5807315260172001E-2</v>
      </c>
      <c r="D640">
        <v>9.4855984135502904</v>
      </c>
    </row>
    <row r="641" spans="1:4" x14ac:dyDescent="0.35">
      <c r="A641">
        <v>-0.33189707994461098</v>
      </c>
      <c r="B641">
        <v>1.7724287639174201</v>
      </c>
      <c r="C641">
        <v>3.5674814134836003E-2</v>
      </c>
      <c r="D641">
        <v>9.5717559342885696</v>
      </c>
    </row>
    <row r="642" spans="1:4" x14ac:dyDescent="0.35">
      <c r="A642">
        <v>-0.331627488136292</v>
      </c>
      <c r="B642">
        <v>1.77620777184643</v>
      </c>
      <c r="C642">
        <v>3.7352941930294002E-2</v>
      </c>
      <c r="D642">
        <v>9.6311216834515001</v>
      </c>
    </row>
    <row r="643" spans="1:4" x14ac:dyDescent="0.35">
      <c r="A643">
        <v>-0.33097231388092002</v>
      </c>
      <c r="B643">
        <v>1.7846717571549999</v>
      </c>
      <c r="C643">
        <v>3.8406342267990001E-2</v>
      </c>
      <c r="D643">
        <v>9.7466679752851402</v>
      </c>
    </row>
    <row r="644" spans="1:4" x14ac:dyDescent="0.35">
      <c r="A644">
        <v>-0.33050721883773798</v>
      </c>
      <c r="B644">
        <v>1.7890956324655101</v>
      </c>
      <c r="C644">
        <v>3.8712721318007001E-2</v>
      </c>
      <c r="D644">
        <v>9.6560122287822399</v>
      </c>
    </row>
    <row r="645" spans="1:4" x14ac:dyDescent="0.35">
      <c r="A645">
        <v>-0.32991659641265902</v>
      </c>
      <c r="B645">
        <v>1.7939096009137601</v>
      </c>
      <c r="C645">
        <v>4.0635142475367002E-2</v>
      </c>
      <c r="D645">
        <v>9.7008449838549993</v>
      </c>
    </row>
    <row r="646" spans="1:4" x14ac:dyDescent="0.35">
      <c r="A646">
        <v>-0.32963553071022</v>
      </c>
      <c r="B646">
        <v>1.79314221466642</v>
      </c>
      <c r="C646">
        <v>4.1070278733968998E-2</v>
      </c>
      <c r="D646">
        <v>9.4875939646329108</v>
      </c>
    </row>
    <row r="647" spans="1:4" x14ac:dyDescent="0.35">
      <c r="A647">
        <v>-0.32887420058250399</v>
      </c>
      <c r="B647">
        <v>1.7996260118943599</v>
      </c>
      <c r="C647">
        <v>4.2827874422073003E-2</v>
      </c>
      <c r="D647">
        <v>9.6583296035132395</v>
      </c>
    </row>
    <row r="648" spans="1:4" x14ac:dyDescent="0.35">
      <c r="A648">
        <v>-0.32848548889160201</v>
      </c>
      <c r="B648">
        <v>1.8065855376275399</v>
      </c>
      <c r="C648">
        <v>4.3110050261021E-2</v>
      </c>
      <c r="D648">
        <v>9.5666765947888592</v>
      </c>
    </row>
    <row r="649" spans="1:4" x14ac:dyDescent="0.35">
      <c r="A649">
        <v>-0.32798707485199002</v>
      </c>
      <c r="B649">
        <v>1.81710119977856</v>
      </c>
      <c r="C649">
        <v>4.4107303023337999E-2</v>
      </c>
      <c r="D649">
        <v>9.6444007000661696</v>
      </c>
    </row>
    <row r="650" spans="1:4" x14ac:dyDescent="0.35">
      <c r="A650">
        <v>-0.32754504680633501</v>
      </c>
      <c r="B650">
        <v>1.8142725816212</v>
      </c>
      <c r="C650">
        <v>4.5320812612772002E-2</v>
      </c>
      <c r="D650">
        <v>9.7406152863567108</v>
      </c>
    </row>
    <row r="651" spans="1:4" x14ac:dyDescent="0.35">
      <c r="A651">
        <v>-0.32711759209632901</v>
      </c>
      <c r="B651">
        <v>1.8248498559565001</v>
      </c>
      <c r="C651">
        <v>4.6032175421714998E-2</v>
      </c>
      <c r="D651">
        <v>9.7571526755070508</v>
      </c>
    </row>
    <row r="652" spans="1:4" x14ac:dyDescent="0.35">
      <c r="A652">
        <v>-0.32660764455795299</v>
      </c>
      <c r="B652">
        <v>1.82002227975652</v>
      </c>
      <c r="C652">
        <v>4.7977130860089999E-2</v>
      </c>
      <c r="D652">
        <v>9.7633114361623896</v>
      </c>
    </row>
    <row r="653" spans="1:4" x14ac:dyDescent="0.35">
      <c r="A653">
        <v>-0.32603129744529702</v>
      </c>
      <c r="B653">
        <v>1.83216877765722</v>
      </c>
      <c r="C653">
        <v>4.7753293067216998E-2</v>
      </c>
      <c r="D653">
        <v>9.8605316677647696</v>
      </c>
    </row>
    <row r="654" spans="1:4" x14ac:dyDescent="0.35">
      <c r="A654">
        <v>-0.32537814974784901</v>
      </c>
      <c r="B654">
        <v>1.8409427796404001</v>
      </c>
      <c r="C654">
        <v>4.9544990062713998E-2</v>
      </c>
      <c r="D654">
        <v>9.9063083894302899</v>
      </c>
    </row>
    <row r="655" spans="1:4" x14ac:dyDescent="0.35">
      <c r="A655">
        <v>-0.32497298717498802</v>
      </c>
      <c r="B655">
        <v>1.85063397695104</v>
      </c>
      <c r="C655">
        <v>4.9906771630049002E-2</v>
      </c>
      <c r="D655">
        <v>9.95878926316899</v>
      </c>
    </row>
    <row r="656" spans="1:4" x14ac:dyDescent="0.35">
      <c r="A656">
        <v>-0.32457131147384599</v>
      </c>
      <c r="B656">
        <v>1.8556521385190701</v>
      </c>
      <c r="C656">
        <v>5.1397513598203999E-2</v>
      </c>
      <c r="D656">
        <v>9.8492979354734</v>
      </c>
    </row>
    <row r="657" spans="1:4" x14ac:dyDescent="0.35">
      <c r="A657">
        <v>-0.324006468057632</v>
      </c>
      <c r="B657">
        <v>1.8650078671613199</v>
      </c>
      <c r="C657">
        <v>5.2762519568204998E-2</v>
      </c>
      <c r="D657">
        <v>9.8956405689185498</v>
      </c>
    </row>
    <row r="658" spans="1:4" x14ac:dyDescent="0.35">
      <c r="A658">
        <v>-0.32350596785545299</v>
      </c>
      <c r="B658">
        <v>1.8795307300173301</v>
      </c>
      <c r="C658">
        <v>5.3211420774459998E-2</v>
      </c>
      <c r="D658">
        <v>9.9867660189788907</v>
      </c>
    </row>
    <row r="659" spans="1:4" x14ac:dyDescent="0.35">
      <c r="A659">
        <v>-0.323070108890533</v>
      </c>
      <c r="B659">
        <v>1.8800830724983399</v>
      </c>
      <c r="C659">
        <v>5.4735656827688002E-2</v>
      </c>
      <c r="D659">
        <v>9.9290990966494892</v>
      </c>
    </row>
    <row r="660" spans="1:4" x14ac:dyDescent="0.35">
      <c r="A660">
        <v>-0.32283782958984403</v>
      </c>
      <c r="B660">
        <v>1.8843263051583401</v>
      </c>
      <c r="C660">
        <v>5.4499100893735997E-2</v>
      </c>
      <c r="D660">
        <v>9.9812792165065805</v>
      </c>
    </row>
    <row r="661" spans="1:4" x14ac:dyDescent="0.35">
      <c r="A661">
        <v>-0.321856290102005</v>
      </c>
      <c r="B661">
        <v>1.8814159126629</v>
      </c>
      <c r="C661">
        <v>5.6366145610809E-2</v>
      </c>
      <c r="D661">
        <v>10.1836884433334</v>
      </c>
    </row>
    <row r="662" spans="1:4" x14ac:dyDescent="0.35">
      <c r="A662">
        <v>-0.32146826386451699</v>
      </c>
      <c r="B662">
        <v>1.8929765140901</v>
      </c>
      <c r="C662">
        <v>5.7401526719331998E-2</v>
      </c>
      <c r="D662">
        <v>10.093872059885999</v>
      </c>
    </row>
    <row r="663" spans="1:4" x14ac:dyDescent="0.35">
      <c r="A663">
        <v>-0.32087767124175998</v>
      </c>
      <c r="B663">
        <v>1.9093798113785501</v>
      </c>
      <c r="C663">
        <v>5.8282509446144E-2</v>
      </c>
      <c r="D663">
        <v>10.149764799546499</v>
      </c>
    </row>
    <row r="664" spans="1:4" x14ac:dyDescent="0.35">
      <c r="A664">
        <v>-0.320605099201202</v>
      </c>
      <c r="B664">
        <v>1.9135299049740699</v>
      </c>
      <c r="C664">
        <v>5.9496652334928998E-2</v>
      </c>
      <c r="D664">
        <v>10.141160497635299</v>
      </c>
    </row>
    <row r="665" spans="1:4" x14ac:dyDescent="0.35">
      <c r="A665">
        <v>-0.31997025012969998</v>
      </c>
      <c r="B665">
        <v>1.9061325039730499</v>
      </c>
      <c r="C665">
        <v>5.9800054877996001E-2</v>
      </c>
      <c r="D665">
        <v>10.092120714341499</v>
      </c>
    </row>
    <row r="666" spans="1:4" x14ac:dyDescent="0.35">
      <c r="A666">
        <v>-0.31966528296470598</v>
      </c>
      <c r="B666">
        <v>1.92933780011851</v>
      </c>
      <c r="C666">
        <v>6.1512313783169001E-2</v>
      </c>
      <c r="D666">
        <v>10.1318241099044</v>
      </c>
    </row>
    <row r="667" spans="1:4" x14ac:dyDescent="0.35">
      <c r="A667">
        <v>-0.31919640302658098</v>
      </c>
      <c r="B667">
        <v>1.9323396041679799</v>
      </c>
      <c r="C667">
        <v>6.2123265117406998E-2</v>
      </c>
      <c r="D667">
        <v>10.2013052369077</v>
      </c>
    </row>
    <row r="668" spans="1:4" x14ac:dyDescent="0.35">
      <c r="A668">
        <v>-0.31841152906417802</v>
      </c>
      <c r="B668">
        <v>1.9384706529948801</v>
      </c>
      <c r="C668">
        <v>6.3297629356384E-2</v>
      </c>
      <c r="D668">
        <v>10.2500840049329</v>
      </c>
    </row>
    <row r="669" spans="1:4" x14ac:dyDescent="0.35">
      <c r="A669">
        <v>-0.31796225905418402</v>
      </c>
      <c r="B669">
        <v>1.9557111849853099</v>
      </c>
      <c r="C669">
        <v>6.4238548278808996E-2</v>
      </c>
      <c r="D669">
        <v>10.269967968492001</v>
      </c>
    </row>
    <row r="670" spans="1:4" x14ac:dyDescent="0.35">
      <c r="A670">
        <v>-0.31755298376083402</v>
      </c>
      <c r="B670">
        <v>1.9502312645667801</v>
      </c>
      <c r="C670">
        <v>6.5064936876296997E-2</v>
      </c>
      <c r="D670">
        <v>10.3433702078878</v>
      </c>
    </row>
    <row r="671" spans="1:4" x14ac:dyDescent="0.35">
      <c r="A671">
        <v>-0.31694141030311601</v>
      </c>
      <c r="B671">
        <v>1.9527609244508899</v>
      </c>
      <c r="C671">
        <v>6.6637791693211004E-2</v>
      </c>
      <c r="D671">
        <v>10.318819485622599</v>
      </c>
    </row>
    <row r="672" spans="1:4" x14ac:dyDescent="0.35">
      <c r="A672">
        <v>-0.31646740436553999</v>
      </c>
      <c r="B672">
        <v>1.95581255641328</v>
      </c>
      <c r="C672">
        <v>6.7022167146205999E-2</v>
      </c>
      <c r="D672">
        <v>10.380097966852199</v>
      </c>
    </row>
    <row r="673" spans="1:4" x14ac:dyDescent="0.35">
      <c r="A673">
        <v>-0.316053867340088</v>
      </c>
      <c r="B673">
        <v>1.97210865252023</v>
      </c>
      <c r="C673">
        <v>6.8770833313464994E-2</v>
      </c>
      <c r="D673">
        <v>10.3003625808776</v>
      </c>
    </row>
    <row r="674" spans="1:4" x14ac:dyDescent="0.35">
      <c r="A674">
        <v>-0.31558752059936501</v>
      </c>
      <c r="B674">
        <v>1.9914929893318001</v>
      </c>
      <c r="C674">
        <v>6.8818144500256001E-2</v>
      </c>
      <c r="D674">
        <v>10.3231857875265</v>
      </c>
    </row>
    <row r="675" spans="1:4" x14ac:dyDescent="0.35">
      <c r="A675">
        <v>-0.31495922803878801</v>
      </c>
      <c r="B675">
        <v>1.9955492477213601</v>
      </c>
      <c r="C675">
        <v>7.1054369211196997E-2</v>
      </c>
      <c r="D675">
        <v>10.3196632700752</v>
      </c>
    </row>
    <row r="676" spans="1:4" x14ac:dyDescent="0.35">
      <c r="A676">
        <v>-0.314652770757675</v>
      </c>
      <c r="B676">
        <v>1.9988679245607499</v>
      </c>
      <c r="C676">
        <v>7.0503801107407005E-2</v>
      </c>
      <c r="D676">
        <v>10.442318932518001</v>
      </c>
    </row>
    <row r="677" spans="1:4" x14ac:dyDescent="0.35">
      <c r="A677">
        <v>-0.31393793225288402</v>
      </c>
      <c r="B677">
        <v>2.0037886984293198</v>
      </c>
      <c r="C677">
        <v>7.2798371315001997E-2</v>
      </c>
      <c r="D677">
        <v>10.4380294036847</v>
      </c>
    </row>
    <row r="678" spans="1:4" x14ac:dyDescent="0.35">
      <c r="A678">
        <v>-0.31355008482933</v>
      </c>
      <c r="B678">
        <v>2.01367498565592</v>
      </c>
      <c r="C678">
        <v>7.3259413242340005E-2</v>
      </c>
      <c r="D678">
        <v>10.3425134090804</v>
      </c>
    </row>
    <row r="679" spans="1:4" x14ac:dyDescent="0.35">
      <c r="A679">
        <v>-0.31299981474876398</v>
      </c>
      <c r="B679">
        <v>2.0238059579022298</v>
      </c>
      <c r="C679">
        <v>7.4452206492423997E-2</v>
      </c>
      <c r="D679">
        <v>10.332990184242799</v>
      </c>
    </row>
    <row r="680" spans="1:4" x14ac:dyDescent="0.35">
      <c r="A680">
        <v>-0.31253430247306802</v>
      </c>
      <c r="B680">
        <v>2.0291518802345898</v>
      </c>
      <c r="C680">
        <v>7.5765982270241006E-2</v>
      </c>
      <c r="D680">
        <v>10.4792269656991</v>
      </c>
    </row>
    <row r="681" spans="1:4" x14ac:dyDescent="0.35">
      <c r="A681">
        <v>-0.31213673949241599</v>
      </c>
      <c r="B681">
        <v>2.0436462300615101</v>
      </c>
      <c r="C681">
        <v>7.5461052358149996E-2</v>
      </c>
      <c r="D681">
        <v>10.5749206466194</v>
      </c>
    </row>
    <row r="682" spans="1:4" x14ac:dyDescent="0.35">
      <c r="A682">
        <v>-0.31167230010032698</v>
      </c>
      <c r="B682">
        <v>2.05238321861246</v>
      </c>
      <c r="C682">
        <v>7.7853210270404996E-2</v>
      </c>
      <c r="D682">
        <v>10.586816964911501</v>
      </c>
    </row>
    <row r="683" spans="1:4" x14ac:dyDescent="0.35">
      <c r="A683">
        <v>-0.31111770868301403</v>
      </c>
      <c r="B683">
        <v>2.0427918723054801</v>
      </c>
      <c r="C683">
        <v>7.8154228627681996E-2</v>
      </c>
      <c r="D683">
        <v>10.581300129696</v>
      </c>
    </row>
    <row r="684" spans="1:4" x14ac:dyDescent="0.35">
      <c r="A684">
        <v>-0.31049874424934398</v>
      </c>
      <c r="B684">
        <v>2.0538987478253699</v>
      </c>
      <c r="C684">
        <v>7.9804070293903004E-2</v>
      </c>
      <c r="D684">
        <v>10.642324759264</v>
      </c>
    </row>
    <row r="685" spans="1:4" x14ac:dyDescent="0.35">
      <c r="A685">
        <v>-0.31008750200271601</v>
      </c>
      <c r="B685">
        <v>2.06288985653776</v>
      </c>
      <c r="C685">
        <v>7.9866960644721999E-2</v>
      </c>
      <c r="D685">
        <v>10.5631244773703</v>
      </c>
    </row>
    <row r="686" spans="1:4" x14ac:dyDescent="0.35">
      <c r="A686">
        <v>-0.309369146823883</v>
      </c>
      <c r="B686">
        <v>2.0693639422836401</v>
      </c>
      <c r="C686">
        <v>8.2078486680983997E-2</v>
      </c>
      <c r="D686">
        <v>10.589092774416001</v>
      </c>
    </row>
    <row r="687" spans="1:4" x14ac:dyDescent="0.35">
      <c r="A687">
        <v>-0.30904531478881803</v>
      </c>
      <c r="B687">
        <v>2.0701020750025299</v>
      </c>
      <c r="C687">
        <v>8.1714622676373E-2</v>
      </c>
      <c r="D687">
        <v>10.694666502695499</v>
      </c>
    </row>
    <row r="688" spans="1:4" x14ac:dyDescent="0.35">
      <c r="A688">
        <v>-0.30848661065101601</v>
      </c>
      <c r="B688">
        <v>2.0839172779792801</v>
      </c>
      <c r="C688">
        <v>8.3528883755207006E-2</v>
      </c>
      <c r="D688">
        <v>10.7817340736663</v>
      </c>
    </row>
    <row r="689" spans="1:4" x14ac:dyDescent="0.35">
      <c r="A689">
        <v>-0.308094352483749</v>
      </c>
      <c r="B689">
        <v>2.0981585497652402</v>
      </c>
      <c r="C689">
        <v>8.3771571516990995E-2</v>
      </c>
      <c r="D689">
        <v>10.508426432074</v>
      </c>
    </row>
    <row r="690" spans="1:4" x14ac:dyDescent="0.35">
      <c r="A690">
        <v>-0.30746799707412698</v>
      </c>
      <c r="B690">
        <v>2.09934290274317</v>
      </c>
      <c r="C690">
        <v>8.5559837520123E-2</v>
      </c>
      <c r="D690">
        <v>10.5929046189578</v>
      </c>
    </row>
    <row r="691" spans="1:4" x14ac:dyDescent="0.35">
      <c r="A691">
        <v>-0.307042926549911</v>
      </c>
      <c r="B691">
        <v>2.0933971010268402</v>
      </c>
      <c r="C691">
        <v>8.6660206317902E-2</v>
      </c>
      <c r="D691">
        <v>10.658328875844299</v>
      </c>
    </row>
    <row r="692" spans="1:4" x14ac:dyDescent="0.35">
      <c r="A692">
        <v>-0.306582480669022</v>
      </c>
      <c r="B692">
        <v>2.1061619179201099</v>
      </c>
      <c r="C692">
        <v>8.6869187653065005E-2</v>
      </c>
      <c r="D692">
        <v>10.7538621916718</v>
      </c>
    </row>
    <row r="693" spans="1:4" x14ac:dyDescent="0.35">
      <c r="A693">
        <v>-0.30610021948814398</v>
      </c>
      <c r="B693">
        <v>2.1050510486204099</v>
      </c>
      <c r="C693">
        <v>8.9234441518784E-2</v>
      </c>
      <c r="D693">
        <v>10.8568381669142</v>
      </c>
    </row>
    <row r="694" spans="1:4" x14ac:dyDescent="0.35">
      <c r="A694">
        <v>-0.305414319038391</v>
      </c>
      <c r="B694">
        <v>2.1218605330267599</v>
      </c>
      <c r="C694">
        <v>8.8220678269863004E-2</v>
      </c>
      <c r="D694">
        <v>10.8362189341087</v>
      </c>
    </row>
    <row r="695" spans="1:4" x14ac:dyDescent="0.35">
      <c r="A695">
        <v>-0.30513331294059798</v>
      </c>
      <c r="B695">
        <v>2.1344469125255698</v>
      </c>
      <c r="C695">
        <v>9.1118909418583E-2</v>
      </c>
      <c r="D695">
        <v>10.8211522797691</v>
      </c>
    </row>
    <row r="696" spans="1:4" x14ac:dyDescent="0.35">
      <c r="A696">
        <v>-0.30444440245628401</v>
      </c>
      <c r="B696">
        <v>2.13855155249786</v>
      </c>
      <c r="C696">
        <v>9.0922608971596E-2</v>
      </c>
      <c r="D696">
        <v>10.906624431907399</v>
      </c>
    </row>
    <row r="697" spans="1:4" x14ac:dyDescent="0.35">
      <c r="A697">
        <v>-0.30399170517921398</v>
      </c>
      <c r="B697">
        <v>2.1438390873353299</v>
      </c>
      <c r="C697">
        <v>9.3111090362072005E-2</v>
      </c>
      <c r="D697">
        <v>10.881121624822001</v>
      </c>
    </row>
    <row r="698" spans="1:4" x14ac:dyDescent="0.35">
      <c r="A698">
        <v>-0.303538918495178</v>
      </c>
      <c r="B698">
        <v>2.1573028796800102</v>
      </c>
      <c r="C698">
        <v>9.3050636351108995E-2</v>
      </c>
      <c r="D698">
        <v>10.8457289988383</v>
      </c>
    </row>
    <row r="699" spans="1:4" x14ac:dyDescent="0.35">
      <c r="A699">
        <v>-0.30324226617813099</v>
      </c>
      <c r="B699">
        <v>2.1624221963765602</v>
      </c>
      <c r="C699">
        <v>9.4200573861598996E-2</v>
      </c>
      <c r="D699">
        <v>10.835589147924001</v>
      </c>
    </row>
    <row r="700" spans="1:4" x14ac:dyDescent="0.35">
      <c r="A700">
        <v>-0.30243661999702498</v>
      </c>
      <c r="B700">
        <v>2.1674079273963698</v>
      </c>
      <c r="C700">
        <v>9.5640100538730996E-2</v>
      </c>
      <c r="D700">
        <v>10.8787992268014</v>
      </c>
    </row>
    <row r="701" spans="1:4" x14ac:dyDescent="0.35">
      <c r="A701">
        <v>-0.30201652646064803</v>
      </c>
      <c r="B701">
        <v>2.1713632940941601</v>
      </c>
      <c r="C701">
        <v>9.5423698425292997E-2</v>
      </c>
      <c r="D701">
        <v>10.9652694057297</v>
      </c>
    </row>
    <row r="702" spans="1:4" x14ac:dyDescent="0.35">
      <c r="A702">
        <v>-0.30157777667045599</v>
      </c>
      <c r="B702">
        <v>2.1823938286949098</v>
      </c>
      <c r="C702">
        <v>9.8105520009995006E-2</v>
      </c>
      <c r="D702">
        <v>11.144795853972701</v>
      </c>
    </row>
    <row r="703" spans="1:4" x14ac:dyDescent="0.35">
      <c r="A703">
        <v>-0.3010074198246</v>
      </c>
      <c r="B703">
        <v>2.1877066250014301</v>
      </c>
      <c r="C703">
        <v>9.7804196178913005E-2</v>
      </c>
      <c r="D703">
        <v>11.0289550138513</v>
      </c>
    </row>
    <row r="704" spans="1:4" x14ac:dyDescent="0.35">
      <c r="A704">
        <v>-0.300512254238129</v>
      </c>
      <c r="B704">
        <v>2.1927562138079701</v>
      </c>
      <c r="C704">
        <v>0.10012209415435799</v>
      </c>
      <c r="D704">
        <v>11.0700916394623</v>
      </c>
    </row>
    <row r="705" spans="1:4" x14ac:dyDescent="0.35">
      <c r="A705">
        <v>-0.30015262961387601</v>
      </c>
      <c r="B705">
        <v>2.1968070497327199</v>
      </c>
      <c r="C705">
        <v>9.9843740463257002E-2</v>
      </c>
      <c r="D705">
        <v>11.2222973160341</v>
      </c>
    </row>
    <row r="706" spans="1:4" x14ac:dyDescent="0.35">
      <c r="A706">
        <v>-0.299442738294601</v>
      </c>
      <c r="B706">
        <v>2.21633318641967</v>
      </c>
      <c r="C706">
        <v>0.101315535604954</v>
      </c>
      <c r="D706">
        <v>11.134072555885901</v>
      </c>
    </row>
    <row r="707" spans="1:4" x14ac:dyDescent="0.35">
      <c r="A707">
        <v>-0.298973888158798</v>
      </c>
      <c r="B707">
        <v>2.21620500073612</v>
      </c>
      <c r="C707">
        <v>0.10228187590837499</v>
      </c>
      <c r="D707">
        <v>11.0911873444925</v>
      </c>
    </row>
    <row r="708" spans="1:4" x14ac:dyDescent="0.35">
      <c r="A708">
        <v>-0.29860910773277299</v>
      </c>
      <c r="B708">
        <v>2.2147893450580902</v>
      </c>
      <c r="C708">
        <v>0.103130608797073</v>
      </c>
      <c r="D708">
        <v>10.855369796057699</v>
      </c>
    </row>
    <row r="709" spans="1:4" x14ac:dyDescent="0.35">
      <c r="A709">
        <v>-0.298088788986206</v>
      </c>
      <c r="B709">
        <v>2.22660972043411</v>
      </c>
      <c r="C709">
        <v>0.104607284069061</v>
      </c>
      <c r="D709">
        <v>11.1040673378218</v>
      </c>
    </row>
    <row r="710" spans="1:4" x14ac:dyDescent="0.35">
      <c r="A710">
        <v>-0.29749521613120999</v>
      </c>
      <c r="B710">
        <v>2.23827245457344</v>
      </c>
      <c r="C710">
        <v>0.104602009057999</v>
      </c>
      <c r="D710">
        <v>11.137125904580399</v>
      </c>
    </row>
    <row r="711" spans="1:4" x14ac:dyDescent="0.35">
      <c r="A711">
        <v>-0.29707869887352001</v>
      </c>
      <c r="B711">
        <v>2.2419895658239102</v>
      </c>
      <c r="C711">
        <v>0.106893368065357</v>
      </c>
      <c r="D711">
        <v>11.218926053756499</v>
      </c>
    </row>
    <row r="712" spans="1:4" x14ac:dyDescent="0.35">
      <c r="A712">
        <v>-0.29650706052780201</v>
      </c>
      <c r="B712">
        <v>2.2579474313607002</v>
      </c>
      <c r="C712">
        <v>0.107246659696102</v>
      </c>
      <c r="D712">
        <v>11.3344984318211</v>
      </c>
    </row>
    <row r="713" spans="1:4" x14ac:dyDescent="0.35">
      <c r="A713">
        <v>-0.295974761247635</v>
      </c>
      <c r="B713">
        <v>2.2530087540472801</v>
      </c>
      <c r="C713">
        <v>0.108551435172558</v>
      </c>
      <c r="D713">
        <v>11.187014159120499</v>
      </c>
    </row>
    <row r="714" spans="1:4" x14ac:dyDescent="0.35">
      <c r="A714">
        <v>-0.29545128345489502</v>
      </c>
      <c r="B714">
        <v>2.2491948869970799</v>
      </c>
      <c r="C714">
        <v>0.109103076159954</v>
      </c>
      <c r="D714">
        <v>11.299024592999301</v>
      </c>
    </row>
    <row r="715" spans="1:4" x14ac:dyDescent="0.35">
      <c r="A715">
        <v>-0.295063257217407</v>
      </c>
      <c r="B715">
        <v>2.2733073406691502</v>
      </c>
      <c r="C715">
        <v>0.110361181199551</v>
      </c>
      <c r="D715">
        <v>11.376289732225199</v>
      </c>
    </row>
    <row r="716" spans="1:4" x14ac:dyDescent="0.35">
      <c r="A716">
        <v>-0.29451188445091198</v>
      </c>
      <c r="B716">
        <v>2.2824641149286999</v>
      </c>
      <c r="C716">
        <v>0.11134035140276</v>
      </c>
      <c r="D716">
        <v>11.2059892317723</v>
      </c>
    </row>
    <row r="717" spans="1:4" x14ac:dyDescent="0.35">
      <c r="A717">
        <v>-0.294086813926697</v>
      </c>
      <c r="B717">
        <v>2.2986273925329299</v>
      </c>
      <c r="C717">
        <v>0.11234510689973801</v>
      </c>
      <c r="D717">
        <v>11.2963766833624</v>
      </c>
    </row>
    <row r="718" spans="1:4" x14ac:dyDescent="0.35">
      <c r="A718">
        <v>-0.29379308223724399</v>
      </c>
      <c r="B718">
        <v>2.2910829020570702</v>
      </c>
      <c r="C718">
        <v>0.11402212828397799</v>
      </c>
      <c r="D718">
        <v>11.412193951998299</v>
      </c>
    </row>
    <row r="719" spans="1:4" x14ac:dyDescent="0.35">
      <c r="A719">
        <v>-0.29302376508712802</v>
      </c>
      <c r="B719">
        <v>2.2964630393077701</v>
      </c>
      <c r="C719">
        <v>0.11405224353075</v>
      </c>
      <c r="D719">
        <v>11.3369540310142</v>
      </c>
    </row>
    <row r="720" spans="1:4" x14ac:dyDescent="0.35">
      <c r="A720">
        <v>-0.29249218106269798</v>
      </c>
      <c r="B720">
        <v>2.3041864557798002</v>
      </c>
      <c r="C720">
        <v>0.115468040108681</v>
      </c>
      <c r="D720">
        <v>11.396166189993901</v>
      </c>
    </row>
    <row r="721" spans="1:4" x14ac:dyDescent="0.35">
      <c r="A721">
        <v>-0.29190966486930803</v>
      </c>
      <c r="B721">
        <v>2.3203915668425901</v>
      </c>
      <c r="C721">
        <v>0.116197884082794</v>
      </c>
      <c r="D721">
        <v>11.396453631004899</v>
      </c>
    </row>
    <row r="722" spans="1:4" x14ac:dyDescent="0.35">
      <c r="A722">
        <v>-0.29151269793510398</v>
      </c>
      <c r="B722">
        <v>2.3359275270413802</v>
      </c>
      <c r="C722">
        <v>0.116997763514519</v>
      </c>
      <c r="D722">
        <v>11.3227320631203</v>
      </c>
    </row>
    <row r="723" spans="1:4" x14ac:dyDescent="0.35">
      <c r="A723">
        <v>-0.29083862900733898</v>
      </c>
      <c r="B723">
        <v>2.3479239328229902</v>
      </c>
      <c r="C723">
        <v>0.118209227919579</v>
      </c>
      <c r="D723">
        <v>11.376111385034401</v>
      </c>
    </row>
    <row r="724" spans="1:4" x14ac:dyDescent="0.35">
      <c r="A724">
        <v>-0.290575861930847</v>
      </c>
      <c r="B724">
        <v>2.3408073038837598</v>
      </c>
      <c r="C724">
        <v>0.119052283465862</v>
      </c>
      <c r="D724">
        <v>11.425184078530799</v>
      </c>
    </row>
    <row r="725" spans="1:4" x14ac:dyDescent="0.35">
      <c r="A725">
        <v>-0.29021602869033802</v>
      </c>
      <c r="B725">
        <v>2.3464593733084</v>
      </c>
      <c r="C725">
        <v>0.120649106800556</v>
      </c>
      <c r="D725">
        <v>11.4483007710322</v>
      </c>
    </row>
    <row r="726" spans="1:4" x14ac:dyDescent="0.35">
      <c r="A726">
        <v>-0.28945165872573902</v>
      </c>
      <c r="B726">
        <v>2.35808443548349</v>
      </c>
      <c r="C726">
        <v>0.120547279715538</v>
      </c>
      <c r="D726">
        <v>11.6484597758592</v>
      </c>
    </row>
    <row r="727" spans="1:4" x14ac:dyDescent="0.35">
      <c r="A727">
        <v>-0.28912237286567699</v>
      </c>
      <c r="B727">
        <v>2.3683401739844698</v>
      </c>
      <c r="C727">
        <v>0.12264655530452701</v>
      </c>
      <c r="D727">
        <v>11.6085837975227</v>
      </c>
    </row>
    <row r="728" spans="1:4" x14ac:dyDescent="0.35">
      <c r="A728">
        <v>-0.28861820697784402</v>
      </c>
      <c r="B728">
        <v>2.3564510644505501</v>
      </c>
      <c r="C728">
        <v>0.123149491846561</v>
      </c>
      <c r="D728">
        <v>11.6119713803194</v>
      </c>
    </row>
    <row r="729" spans="1:4" x14ac:dyDescent="0.35">
      <c r="A729">
        <v>-0.288203775882721</v>
      </c>
      <c r="B729">
        <v>2.3737300997563802</v>
      </c>
      <c r="C729">
        <v>0.124394834041595</v>
      </c>
      <c r="D729">
        <v>11.6165934107333</v>
      </c>
    </row>
    <row r="730" spans="1:4" x14ac:dyDescent="0.35">
      <c r="A730">
        <v>-0.287629544734955</v>
      </c>
      <c r="B730">
        <v>2.3899674499041601</v>
      </c>
      <c r="C730">
        <v>0.12499321252107599</v>
      </c>
      <c r="D730">
        <v>11.668707036306399</v>
      </c>
    </row>
    <row r="731" spans="1:4" x14ac:dyDescent="0.35">
      <c r="A731">
        <v>-0.28692668676376298</v>
      </c>
      <c r="B731">
        <v>2.3933303831950501</v>
      </c>
      <c r="C731">
        <v>0.12653033435344699</v>
      </c>
      <c r="D731">
        <v>11.487816336165</v>
      </c>
    </row>
    <row r="732" spans="1:4" x14ac:dyDescent="0.35">
      <c r="A732">
        <v>-0.28639656305313099</v>
      </c>
      <c r="B732">
        <v>2.3921400237728201</v>
      </c>
      <c r="C732">
        <v>0.12742249667644501</v>
      </c>
      <c r="D732">
        <v>11.5410176069994</v>
      </c>
    </row>
    <row r="733" spans="1:4" x14ac:dyDescent="0.35">
      <c r="A733">
        <v>-0.28603416681289701</v>
      </c>
      <c r="B733">
        <v>2.4063638105199798</v>
      </c>
      <c r="C733">
        <v>0.12804733216762501</v>
      </c>
      <c r="D733">
        <v>11.646126925440701</v>
      </c>
    </row>
    <row r="734" spans="1:4" x14ac:dyDescent="0.35">
      <c r="A734">
        <v>-0.28568497300147999</v>
      </c>
      <c r="B734">
        <v>2.4100969709061202</v>
      </c>
      <c r="C734">
        <v>0.12978820502758001</v>
      </c>
      <c r="D734">
        <v>11.611075419739899</v>
      </c>
    </row>
    <row r="735" spans="1:4" x14ac:dyDescent="0.35">
      <c r="A735">
        <v>-0.28514036536216703</v>
      </c>
      <c r="B735">
        <v>2.4152024835583901</v>
      </c>
      <c r="C735">
        <v>0.129538848996162</v>
      </c>
      <c r="D735">
        <v>11.679880834452</v>
      </c>
    </row>
    <row r="736" spans="1:4" x14ac:dyDescent="0.35">
      <c r="A736">
        <v>-0.284702748060226</v>
      </c>
      <c r="B736">
        <v>2.4321692424972299</v>
      </c>
      <c r="C736">
        <v>0.13161595165729501</v>
      </c>
      <c r="D736">
        <v>11.7911729495233</v>
      </c>
    </row>
    <row r="737" spans="1:4" x14ac:dyDescent="0.35">
      <c r="A737">
        <v>-0.284097880125046</v>
      </c>
      <c r="B737">
        <v>2.4382788926272898</v>
      </c>
      <c r="C737">
        <v>0.13220046460628501</v>
      </c>
      <c r="D737">
        <v>11.8446782441588</v>
      </c>
    </row>
    <row r="738" spans="1:4" x14ac:dyDescent="0.35">
      <c r="A738">
        <v>-0.283401370048523</v>
      </c>
      <c r="B738">
        <v>2.42275342603231</v>
      </c>
      <c r="C738">
        <v>0.13373441994190199</v>
      </c>
      <c r="D738">
        <v>11.8774746458671</v>
      </c>
    </row>
    <row r="739" spans="1:4" x14ac:dyDescent="0.35">
      <c r="A739">
        <v>-0.28296682238578802</v>
      </c>
      <c r="B739">
        <v>2.4408623197683501</v>
      </c>
      <c r="C739">
        <v>0.13415235280990601</v>
      </c>
      <c r="D739">
        <v>11.953304009006199</v>
      </c>
    </row>
    <row r="740" spans="1:4" x14ac:dyDescent="0.35">
      <c r="A740">
        <v>-0.282466560602188</v>
      </c>
      <c r="B740">
        <v>2.45530715999001</v>
      </c>
      <c r="C740">
        <v>0.13508167862892201</v>
      </c>
      <c r="D740">
        <v>11.915089941332299</v>
      </c>
    </row>
    <row r="741" spans="1:4" x14ac:dyDescent="0.35">
      <c r="A741">
        <v>-0.28216964006424</v>
      </c>
      <c r="B741">
        <v>2.4672508377722999</v>
      </c>
      <c r="C741">
        <v>0.136663377285004</v>
      </c>
      <c r="D741">
        <v>11.847804274562799</v>
      </c>
    </row>
    <row r="742" spans="1:4" x14ac:dyDescent="0.35">
      <c r="A742">
        <v>-0.281602293252945</v>
      </c>
      <c r="B742">
        <v>2.4826607668346798</v>
      </c>
      <c r="C742">
        <v>0.136424675583839</v>
      </c>
      <c r="D742">
        <v>11.927922727603899</v>
      </c>
    </row>
    <row r="743" spans="1:4" x14ac:dyDescent="0.35">
      <c r="A743">
        <v>-0.28107771277427701</v>
      </c>
      <c r="B743">
        <v>2.46392687487034</v>
      </c>
      <c r="C743">
        <v>0.13900248706340801</v>
      </c>
      <c r="D743">
        <v>11.9459317237049</v>
      </c>
    </row>
    <row r="744" spans="1:4" x14ac:dyDescent="0.35">
      <c r="A744">
        <v>-0.28051087260246299</v>
      </c>
      <c r="B744">
        <v>2.4812506425945302</v>
      </c>
      <c r="C744">
        <v>0.13936316967010501</v>
      </c>
      <c r="D744">
        <v>12.0672419366746</v>
      </c>
    </row>
    <row r="745" spans="1:4" x14ac:dyDescent="0.35">
      <c r="A745">
        <v>-0.27993613481521601</v>
      </c>
      <c r="B745">
        <v>2.4861082613056502</v>
      </c>
      <c r="C745">
        <v>0.1405099183321</v>
      </c>
      <c r="D745">
        <v>11.9209479048313</v>
      </c>
    </row>
    <row r="746" spans="1:4" x14ac:dyDescent="0.35">
      <c r="A746">
        <v>-0.27943873405456499</v>
      </c>
      <c r="B746">
        <v>2.4990889378379202</v>
      </c>
      <c r="C746">
        <v>0.14104688167571999</v>
      </c>
      <c r="D746">
        <v>11.9015377742613</v>
      </c>
    </row>
    <row r="747" spans="1:4" x14ac:dyDescent="0.35">
      <c r="A747">
        <v>-0.27903702855110202</v>
      </c>
      <c r="B747">
        <v>2.5148487966194999</v>
      </c>
      <c r="C747">
        <v>0.14208313822746299</v>
      </c>
      <c r="D747">
        <v>11.928106770845201</v>
      </c>
    </row>
    <row r="748" spans="1:4" x14ac:dyDescent="0.35">
      <c r="A748">
        <v>-0.27849197387695301</v>
      </c>
      <c r="B748">
        <v>2.5239721614384201</v>
      </c>
      <c r="C748">
        <v>0.14388865232467701</v>
      </c>
      <c r="D748">
        <v>11.9668658909298</v>
      </c>
    </row>
    <row r="749" spans="1:4" x14ac:dyDescent="0.35">
      <c r="A749">
        <v>-0.27797368168830899</v>
      </c>
      <c r="B749">
        <v>2.5139901180588402</v>
      </c>
      <c r="C749">
        <v>0.14393004775047299</v>
      </c>
      <c r="D749">
        <v>12.0757884993614</v>
      </c>
    </row>
    <row r="750" spans="1:4" x14ac:dyDescent="0.35">
      <c r="A750">
        <v>-0.27758014202117898</v>
      </c>
      <c r="B750">
        <v>2.54051410748853</v>
      </c>
      <c r="C750">
        <v>0.14587347209453599</v>
      </c>
      <c r="D750">
        <v>12.0956309044566</v>
      </c>
    </row>
    <row r="751" spans="1:4" x14ac:dyDescent="0.35">
      <c r="A751">
        <v>-0.27710205316543601</v>
      </c>
      <c r="B751">
        <v>2.5496481214648101</v>
      </c>
      <c r="C751">
        <v>0.145833849906921</v>
      </c>
      <c r="D751">
        <v>12.120269126299499</v>
      </c>
    </row>
    <row r="752" spans="1:4" x14ac:dyDescent="0.35">
      <c r="A752">
        <v>-0.27655202150344799</v>
      </c>
      <c r="B752">
        <v>2.5509486167273199</v>
      </c>
      <c r="C752">
        <v>0.14758883416652699</v>
      </c>
      <c r="D752">
        <v>12.1884408789258</v>
      </c>
    </row>
    <row r="753" spans="1:4" x14ac:dyDescent="0.35">
      <c r="A753">
        <v>-0.27619460225105302</v>
      </c>
      <c r="B753">
        <v>2.5497656816076799</v>
      </c>
      <c r="C753">
        <v>0.14833034574985501</v>
      </c>
      <c r="D753">
        <v>12.1958344290426</v>
      </c>
    </row>
    <row r="754" spans="1:4" x14ac:dyDescent="0.35">
      <c r="A754">
        <v>-0.27558097243308999</v>
      </c>
      <c r="B754">
        <v>2.56184002609865</v>
      </c>
      <c r="C754">
        <v>0.14867728948593101</v>
      </c>
      <c r="D754">
        <v>12.332895411627099</v>
      </c>
    </row>
    <row r="755" spans="1:4" x14ac:dyDescent="0.35">
      <c r="A755">
        <v>-0.27508056163787797</v>
      </c>
      <c r="B755">
        <v>2.56189754781769</v>
      </c>
      <c r="C755">
        <v>0.15066416561603499</v>
      </c>
      <c r="D755">
        <v>12.185803698748501</v>
      </c>
    </row>
    <row r="756" spans="1:4" x14ac:dyDescent="0.35">
      <c r="A756">
        <v>-0.274591624736786</v>
      </c>
      <c r="B756">
        <v>2.5715004900437801</v>
      </c>
      <c r="C756">
        <v>0.15102930366993</v>
      </c>
      <c r="D756">
        <v>12.2415821010299</v>
      </c>
    </row>
    <row r="757" spans="1:4" x14ac:dyDescent="0.35">
      <c r="A757">
        <v>-0.27405518293380698</v>
      </c>
      <c r="B757">
        <v>2.5866710720981301</v>
      </c>
      <c r="C757">
        <v>0.15265429019928001</v>
      </c>
      <c r="D757">
        <v>12.2971959476835</v>
      </c>
    </row>
    <row r="758" spans="1:4" x14ac:dyDescent="0.35">
      <c r="A758">
        <v>-0.273504078388214</v>
      </c>
      <c r="B758">
        <v>2.6013390712638</v>
      </c>
      <c r="C758">
        <v>0.15252697467803999</v>
      </c>
      <c r="D758">
        <v>12.224010997682001</v>
      </c>
    </row>
    <row r="759" spans="1:4" x14ac:dyDescent="0.35">
      <c r="A759">
        <v>-0.27293261885643</v>
      </c>
      <c r="B759">
        <v>2.6077170837924699</v>
      </c>
      <c r="C759">
        <v>0.15460515022277799</v>
      </c>
      <c r="D759">
        <v>12.3717410217542</v>
      </c>
    </row>
    <row r="760" spans="1:4" x14ac:dyDescent="0.35">
      <c r="A760">
        <v>-0.27259436249732999</v>
      </c>
      <c r="B760">
        <v>2.6076911684437198</v>
      </c>
      <c r="C760">
        <v>0.155381664633751</v>
      </c>
      <c r="D760">
        <v>12.375751642198701</v>
      </c>
    </row>
    <row r="761" spans="1:4" x14ac:dyDescent="0.35">
      <c r="A761">
        <v>-0.27209508419036899</v>
      </c>
      <c r="B761">
        <v>2.6170092402980001</v>
      </c>
      <c r="C761">
        <v>0.15607431530952501</v>
      </c>
      <c r="D761">
        <v>12.2945726824081</v>
      </c>
    </row>
    <row r="762" spans="1:4" x14ac:dyDescent="0.35">
      <c r="A762">
        <v>-0.27165830135345498</v>
      </c>
      <c r="B762">
        <v>2.6146985357424901</v>
      </c>
      <c r="C762">
        <v>0.15768791735172299</v>
      </c>
      <c r="D762">
        <v>12.2149530335512</v>
      </c>
    </row>
    <row r="763" spans="1:4" x14ac:dyDescent="0.35">
      <c r="A763">
        <v>-0.27109652757644698</v>
      </c>
      <c r="B763">
        <v>2.6310233657794901</v>
      </c>
      <c r="C763">
        <v>0.157819449901581</v>
      </c>
      <c r="D763">
        <v>12.244504772278299</v>
      </c>
    </row>
    <row r="764" spans="1:4" x14ac:dyDescent="0.35">
      <c r="A764">
        <v>-0.27051666378974898</v>
      </c>
      <c r="B764">
        <v>2.6310098422614199</v>
      </c>
      <c r="C764">
        <v>0.15966634452343001</v>
      </c>
      <c r="D764">
        <v>12.3698885049648</v>
      </c>
    </row>
    <row r="765" spans="1:4" x14ac:dyDescent="0.35">
      <c r="A765">
        <v>-0.27002483606338501</v>
      </c>
      <c r="B765">
        <v>2.6432256759240098</v>
      </c>
      <c r="C765">
        <v>0.15987002849578899</v>
      </c>
      <c r="D765">
        <v>12.4484906371727</v>
      </c>
    </row>
    <row r="766" spans="1:4" x14ac:dyDescent="0.35">
      <c r="A766">
        <v>-0.26956978440284701</v>
      </c>
      <c r="B766">
        <v>2.63878175716318</v>
      </c>
      <c r="C766">
        <v>0.161005154252052</v>
      </c>
      <c r="D766">
        <v>12.3725625026409</v>
      </c>
    </row>
    <row r="767" spans="1:4" x14ac:dyDescent="0.35">
      <c r="A767">
        <v>-0.26897019147872903</v>
      </c>
      <c r="B767">
        <v>2.65128277424895</v>
      </c>
      <c r="C767">
        <v>0.162379935383797</v>
      </c>
      <c r="D767">
        <v>12.4782947253478</v>
      </c>
    </row>
    <row r="768" spans="1:4" x14ac:dyDescent="0.35">
      <c r="A768">
        <v>-0.26845678687095598</v>
      </c>
      <c r="B768">
        <v>2.66839483762914</v>
      </c>
      <c r="C768">
        <v>0.16337832808494601</v>
      </c>
      <c r="D768">
        <v>12.5329683534446</v>
      </c>
    </row>
    <row r="769" spans="1:4" x14ac:dyDescent="0.35">
      <c r="A769">
        <v>-0.26802405714988697</v>
      </c>
      <c r="B769">
        <v>2.6878020227500499</v>
      </c>
      <c r="C769">
        <v>0.16476044058799699</v>
      </c>
      <c r="D769">
        <v>12.5998124740621</v>
      </c>
    </row>
    <row r="770" spans="1:4" x14ac:dyDescent="0.35">
      <c r="A770">
        <v>-0.26766154170036299</v>
      </c>
      <c r="B770">
        <v>2.6814519504043401</v>
      </c>
      <c r="C770">
        <v>0.164222598075867</v>
      </c>
      <c r="D770">
        <v>12.6767990111759</v>
      </c>
    </row>
    <row r="771" spans="1:4" x14ac:dyDescent="0.35">
      <c r="A771">
        <v>-0.26700127124786399</v>
      </c>
      <c r="B771">
        <v>2.6913666139800001</v>
      </c>
      <c r="C771">
        <v>0.166242301464081</v>
      </c>
      <c r="D771">
        <v>12.713557520724001</v>
      </c>
    </row>
    <row r="772" spans="1:4" x14ac:dyDescent="0.35">
      <c r="A772">
        <v>-0.266730606555939</v>
      </c>
      <c r="B772">
        <v>2.6913461414914801</v>
      </c>
      <c r="C772">
        <v>0.16697438061237299</v>
      </c>
      <c r="D772">
        <v>12.5875810639977</v>
      </c>
    </row>
    <row r="773" spans="1:4" x14ac:dyDescent="0.35">
      <c r="A773">
        <v>-0.26608628034591703</v>
      </c>
      <c r="B773">
        <v>2.6995751412832498</v>
      </c>
      <c r="C773">
        <v>0.16830544173717499</v>
      </c>
      <c r="D773">
        <v>12.516281960504401</v>
      </c>
    </row>
    <row r="774" spans="1:4" x14ac:dyDescent="0.35">
      <c r="A774">
        <v>-0.265665322542191</v>
      </c>
      <c r="B774">
        <v>2.69259973461517</v>
      </c>
      <c r="C774">
        <v>0.16946095228195199</v>
      </c>
      <c r="D774">
        <v>12.568725693974001</v>
      </c>
    </row>
    <row r="775" spans="1:4" x14ac:dyDescent="0.35">
      <c r="A775">
        <v>-0.26478776335716198</v>
      </c>
      <c r="B775">
        <v>2.7065358707182501</v>
      </c>
      <c r="C775">
        <v>0.16973996162414601</v>
      </c>
      <c r="D775">
        <v>12.570837840216001</v>
      </c>
    </row>
    <row r="776" spans="1:4" x14ac:dyDescent="0.35">
      <c r="A776">
        <v>-0.26464745402336098</v>
      </c>
      <c r="B776">
        <v>2.7278372544580201</v>
      </c>
      <c r="C776">
        <v>0.1715337485075</v>
      </c>
      <c r="D776">
        <v>12.7280269073171</v>
      </c>
    </row>
    <row r="777" spans="1:4" x14ac:dyDescent="0.35">
      <c r="A777">
        <v>-0.26399478316307101</v>
      </c>
      <c r="B777">
        <v>2.7400677267285398</v>
      </c>
      <c r="C777">
        <v>0.17195180058479301</v>
      </c>
      <c r="D777">
        <v>12.6965180493566</v>
      </c>
    </row>
    <row r="778" spans="1:4" x14ac:dyDescent="0.35">
      <c r="A778">
        <v>-0.263512283563614</v>
      </c>
      <c r="B778">
        <v>2.7396336968710799</v>
      </c>
      <c r="C778">
        <v>0.17350403964519501</v>
      </c>
      <c r="D778">
        <v>12.6601317184136</v>
      </c>
    </row>
    <row r="779" spans="1:4" x14ac:dyDescent="0.35">
      <c r="A779">
        <v>-0.26307559013366699</v>
      </c>
      <c r="B779">
        <v>2.74670595620168</v>
      </c>
      <c r="C779">
        <v>0.17400130629539501</v>
      </c>
      <c r="D779">
        <v>12.612291115023099</v>
      </c>
    </row>
    <row r="780" spans="1:4" x14ac:dyDescent="0.35">
      <c r="A780">
        <v>-0.26268646121025102</v>
      </c>
      <c r="B780">
        <v>2.7546724719344802</v>
      </c>
      <c r="C780">
        <v>0.175362348556519</v>
      </c>
      <c r="D780">
        <v>12.691613661731299</v>
      </c>
    </row>
    <row r="781" spans="1:4" x14ac:dyDescent="0.35">
      <c r="A781">
        <v>-0.26224386692047102</v>
      </c>
      <c r="B781">
        <v>2.7594113925447301</v>
      </c>
      <c r="C781">
        <v>0.176487430930138</v>
      </c>
      <c r="D781">
        <v>12.7541891950129</v>
      </c>
    </row>
    <row r="782" spans="1:4" x14ac:dyDescent="0.35">
      <c r="A782">
        <v>-0.261753380298615</v>
      </c>
      <c r="B782">
        <v>2.7621597003380698</v>
      </c>
      <c r="C782">
        <v>0.176562145352364</v>
      </c>
      <c r="D782">
        <v>12.608293279981501</v>
      </c>
    </row>
    <row r="783" spans="1:4" x14ac:dyDescent="0.35">
      <c r="A783">
        <v>-0.26094228029251099</v>
      </c>
      <c r="B783">
        <v>2.7704105922868498</v>
      </c>
      <c r="C783">
        <v>0.179019689559937</v>
      </c>
      <c r="D783">
        <v>12.619781990264499</v>
      </c>
    </row>
    <row r="784" spans="1:4" x14ac:dyDescent="0.35">
      <c r="A784">
        <v>-0.26061552762985202</v>
      </c>
      <c r="B784">
        <v>2.7942626613287498</v>
      </c>
      <c r="C784">
        <v>0.17898827791214</v>
      </c>
      <c r="D784">
        <v>12.6584252176071</v>
      </c>
    </row>
    <row r="785" spans="1:4" x14ac:dyDescent="0.35">
      <c r="A785">
        <v>-0.259916841983795</v>
      </c>
      <c r="B785">
        <v>2.8081319999484502</v>
      </c>
      <c r="C785">
        <v>0.18086196482181499</v>
      </c>
      <c r="D785">
        <v>12.724491475185699</v>
      </c>
    </row>
    <row r="786" spans="1:4" x14ac:dyDescent="0.35">
      <c r="A786">
        <v>-0.25957673788070701</v>
      </c>
      <c r="B786">
        <v>2.8006016896957702</v>
      </c>
      <c r="C786">
        <v>0.180953979492188</v>
      </c>
      <c r="D786">
        <v>12.796125751865199</v>
      </c>
    </row>
    <row r="787" spans="1:4" x14ac:dyDescent="0.35">
      <c r="A787">
        <v>-0.258999824523926</v>
      </c>
      <c r="B787">
        <v>2.7991316399744299</v>
      </c>
      <c r="C787">
        <v>0.18282420933246599</v>
      </c>
      <c r="D787">
        <v>12.7970526211076</v>
      </c>
    </row>
    <row r="788" spans="1:4" x14ac:dyDescent="0.35">
      <c r="A788">
        <v>-0.25875112414360002</v>
      </c>
      <c r="B788">
        <v>2.8221851157922302</v>
      </c>
      <c r="C788">
        <v>0.18325015902519201</v>
      </c>
      <c r="D788">
        <v>12.871994398001601</v>
      </c>
    </row>
    <row r="789" spans="1:4" x14ac:dyDescent="0.35">
      <c r="A789">
        <v>-0.25819966197013899</v>
      </c>
      <c r="B789">
        <v>2.8341915012841299</v>
      </c>
      <c r="C789">
        <v>0.18414069712162001</v>
      </c>
      <c r="D789">
        <v>12.897310183167701</v>
      </c>
    </row>
    <row r="790" spans="1:4" x14ac:dyDescent="0.35">
      <c r="A790">
        <v>-0.25762927532196001</v>
      </c>
      <c r="B790">
        <v>2.8375415850154999</v>
      </c>
      <c r="C790">
        <v>0.18578217923641199</v>
      </c>
      <c r="D790">
        <v>12.9744969610528</v>
      </c>
    </row>
    <row r="791" spans="1:4" x14ac:dyDescent="0.35">
      <c r="A791">
        <v>-0.25709080696106001</v>
      </c>
      <c r="B791">
        <v>2.84183793421112</v>
      </c>
      <c r="C791">
        <v>0.18540096282959001</v>
      </c>
      <c r="D791">
        <v>12.970026116184201</v>
      </c>
    </row>
    <row r="792" spans="1:4" x14ac:dyDescent="0.35">
      <c r="A792">
        <v>-0.25660750269889798</v>
      </c>
      <c r="B792">
        <v>2.849156834635</v>
      </c>
      <c r="C792">
        <v>0.18766477704048201</v>
      </c>
      <c r="D792">
        <v>12.7765955811791</v>
      </c>
    </row>
    <row r="793" spans="1:4" x14ac:dyDescent="0.35">
      <c r="A793">
        <v>-0.25622463226318398</v>
      </c>
      <c r="B793">
        <v>2.8777052100726599</v>
      </c>
      <c r="C793">
        <v>0.18824802339076999</v>
      </c>
      <c r="D793">
        <v>12.8887131806807</v>
      </c>
    </row>
    <row r="794" spans="1:4" x14ac:dyDescent="0.35">
      <c r="A794">
        <v>-0.25557580590248102</v>
      </c>
      <c r="B794">
        <v>2.8762428670831302</v>
      </c>
      <c r="C794">
        <v>0.18991903960704801</v>
      </c>
      <c r="D794">
        <v>12.812543875512301</v>
      </c>
    </row>
    <row r="795" spans="1:4" x14ac:dyDescent="0.35">
      <c r="A795">
        <v>-0.25496220588684099</v>
      </c>
      <c r="B795">
        <v>2.8804920963874401</v>
      </c>
      <c r="C795">
        <v>0.19015030562877699</v>
      </c>
      <c r="D795">
        <v>12.670850358813301</v>
      </c>
    </row>
    <row r="796" spans="1:4" x14ac:dyDescent="0.35">
      <c r="A796">
        <v>-0.25456240773201</v>
      </c>
      <c r="B796">
        <v>2.8865313776661798</v>
      </c>
      <c r="C796">
        <v>0.191055178642273</v>
      </c>
      <c r="D796">
        <v>12.853217747892099</v>
      </c>
    </row>
    <row r="797" spans="1:4" x14ac:dyDescent="0.35">
      <c r="A797">
        <v>-0.25412005186080899</v>
      </c>
      <c r="B797">
        <v>2.8984533597994999</v>
      </c>
      <c r="C797">
        <v>0.19274933636188499</v>
      </c>
      <c r="D797">
        <v>12.9332113801456</v>
      </c>
    </row>
    <row r="798" spans="1:4" x14ac:dyDescent="0.35">
      <c r="A798">
        <v>-0.25354373455047602</v>
      </c>
      <c r="B798">
        <v>2.9161592556664702</v>
      </c>
      <c r="C798">
        <v>0.19332440197467801</v>
      </c>
      <c r="D798">
        <v>12.975558257771</v>
      </c>
    </row>
    <row r="799" spans="1:4" x14ac:dyDescent="0.35">
      <c r="A799">
        <v>-0.253133505582809</v>
      </c>
      <c r="B799">
        <v>2.9052345196771299</v>
      </c>
      <c r="C799">
        <v>0.19498343765735601</v>
      </c>
      <c r="D799">
        <v>12.979971399781499</v>
      </c>
    </row>
    <row r="800" spans="1:4" x14ac:dyDescent="0.35">
      <c r="A800">
        <v>-0.25267228484153698</v>
      </c>
      <c r="B800">
        <v>2.9231329938710902</v>
      </c>
      <c r="C800">
        <v>0.19540789723396301</v>
      </c>
      <c r="D800">
        <v>13.114796493958901</v>
      </c>
    </row>
    <row r="801" spans="1:4" x14ac:dyDescent="0.35">
      <c r="A801">
        <v>-0.25195014476776101</v>
      </c>
      <c r="B801">
        <v>2.9260900008443</v>
      </c>
      <c r="C801">
        <v>0.196705147624016</v>
      </c>
      <c r="D801">
        <v>13.0680248673179</v>
      </c>
    </row>
    <row r="802" spans="1:4" x14ac:dyDescent="0.35">
      <c r="A802">
        <v>-0.251557886600494</v>
      </c>
      <c r="B802">
        <v>2.9473538876167802</v>
      </c>
      <c r="C802">
        <v>0.197065800428391</v>
      </c>
      <c r="D802">
        <v>13.1182864239669</v>
      </c>
    </row>
    <row r="803" spans="1:4" x14ac:dyDescent="0.35">
      <c r="A803">
        <v>-0.25100037455558799</v>
      </c>
      <c r="B803">
        <v>2.9459836292661898</v>
      </c>
      <c r="C803">
        <v>0.19805033504962899</v>
      </c>
      <c r="D803">
        <v>13.011927240818499</v>
      </c>
    </row>
    <row r="804" spans="1:4" x14ac:dyDescent="0.35">
      <c r="A804">
        <v>-0.25054872035980202</v>
      </c>
      <c r="B804">
        <v>2.9434211385642999</v>
      </c>
      <c r="C804">
        <v>0.19995445013046301</v>
      </c>
      <c r="D804">
        <v>13.100644073761501</v>
      </c>
    </row>
    <row r="805" spans="1:4" x14ac:dyDescent="0.35">
      <c r="A805">
        <v>-0.25016283988952598</v>
      </c>
      <c r="B805">
        <v>2.9579036596222901</v>
      </c>
      <c r="C805">
        <v>0.20012633502483401</v>
      </c>
      <c r="D805">
        <v>13.1569893684278</v>
      </c>
    </row>
    <row r="806" spans="1:4" x14ac:dyDescent="0.35">
      <c r="A806">
        <v>-0.249527797102928</v>
      </c>
      <c r="B806">
        <v>2.9521841683379799</v>
      </c>
      <c r="C806">
        <v>0.20194563269615201</v>
      </c>
      <c r="D806">
        <v>13.265979385808</v>
      </c>
    </row>
    <row r="807" spans="1:4" x14ac:dyDescent="0.35">
      <c r="A807">
        <v>-0.24918664991855599</v>
      </c>
      <c r="B807">
        <v>2.9754379839911</v>
      </c>
      <c r="C807">
        <v>0.201393127441406</v>
      </c>
      <c r="D807">
        <v>13.117595602903499</v>
      </c>
    </row>
    <row r="808" spans="1:4" x14ac:dyDescent="0.35">
      <c r="A808">
        <v>-0.248678639531136</v>
      </c>
      <c r="B808">
        <v>2.9872522998797399</v>
      </c>
      <c r="C808">
        <v>0.20385618507862099</v>
      </c>
      <c r="D808">
        <v>13.109525800491999</v>
      </c>
    </row>
    <row r="809" spans="1:4" x14ac:dyDescent="0.35">
      <c r="A809">
        <v>-0.24809733033180201</v>
      </c>
      <c r="B809">
        <v>2.98848658732518</v>
      </c>
      <c r="C809">
        <v>0.204364314675331</v>
      </c>
      <c r="D809">
        <v>13.199856167956</v>
      </c>
    </row>
    <row r="810" spans="1:4" x14ac:dyDescent="0.35">
      <c r="A810">
        <v>-0.247623860836029</v>
      </c>
      <c r="B810">
        <v>2.9888184739283199</v>
      </c>
      <c r="C810">
        <v>0.20516528189182301</v>
      </c>
      <c r="D810">
        <v>13.229418025781699</v>
      </c>
    </row>
    <row r="811" spans="1:4" x14ac:dyDescent="0.35">
      <c r="A811">
        <v>-0.24714776873588601</v>
      </c>
      <c r="B811">
        <v>2.9892849947998599</v>
      </c>
      <c r="C811">
        <v>0.20650400221347801</v>
      </c>
      <c r="D811">
        <v>13.0339899911119</v>
      </c>
    </row>
    <row r="812" spans="1:4" x14ac:dyDescent="0.35">
      <c r="A812">
        <v>-0.246591165661812</v>
      </c>
      <c r="B812">
        <v>3.00413645282342</v>
      </c>
      <c r="C812">
        <v>0.20686535537242901</v>
      </c>
      <c r="D812">
        <v>13.196848556760999</v>
      </c>
    </row>
    <row r="813" spans="1:4" x14ac:dyDescent="0.35">
      <c r="A813">
        <v>-0.246139451861382</v>
      </c>
      <c r="B813">
        <v>3.0263710063379499</v>
      </c>
      <c r="C813">
        <v>0.20901924371719399</v>
      </c>
      <c r="D813">
        <v>13.125233476697</v>
      </c>
    </row>
    <row r="814" spans="1:4" x14ac:dyDescent="0.35">
      <c r="A814">
        <v>-0.24567842483520499</v>
      </c>
      <c r="B814">
        <v>3.0312472810214799</v>
      </c>
      <c r="C814">
        <v>0.20907013118267101</v>
      </c>
      <c r="D814">
        <v>13.1938459923135</v>
      </c>
    </row>
    <row r="815" spans="1:4" x14ac:dyDescent="0.35">
      <c r="A815">
        <v>-0.24498297274112699</v>
      </c>
      <c r="B815">
        <v>3.0229229044675501</v>
      </c>
      <c r="C815">
        <v>0.210785627365112</v>
      </c>
      <c r="D815">
        <v>13.2684354822371</v>
      </c>
    </row>
    <row r="816" spans="1:4" x14ac:dyDescent="0.35">
      <c r="A816">
        <v>-0.244580402970314</v>
      </c>
      <c r="B816">
        <v>3.0430733648216299</v>
      </c>
      <c r="C816">
        <v>0.211346685886383</v>
      </c>
      <c r="D816">
        <v>13.363842388350699</v>
      </c>
    </row>
    <row r="817" spans="1:4" x14ac:dyDescent="0.35">
      <c r="A817">
        <v>-0.24409539997577701</v>
      </c>
      <c r="B817">
        <v>3.06422921818716</v>
      </c>
      <c r="C817">
        <v>0.21227286756038699</v>
      </c>
      <c r="D817">
        <v>13.379960686032501</v>
      </c>
    </row>
    <row r="818" spans="1:4" x14ac:dyDescent="0.35">
      <c r="A818">
        <v>-0.243564337491989</v>
      </c>
      <c r="B818">
        <v>3.0757804352330398</v>
      </c>
      <c r="C818">
        <v>0.21378022432327301</v>
      </c>
      <c r="D818">
        <v>13.3921743441548</v>
      </c>
    </row>
    <row r="819" spans="1:4" x14ac:dyDescent="0.35">
      <c r="A819">
        <v>-0.243153586983681</v>
      </c>
      <c r="B819">
        <v>3.0670748883885399</v>
      </c>
      <c r="C819">
        <v>0.21387787163257599</v>
      </c>
      <c r="D819">
        <v>13.4071748541059</v>
      </c>
    </row>
    <row r="820" spans="1:4" x14ac:dyDescent="0.35">
      <c r="A820">
        <v>-0.242693111300468</v>
      </c>
      <c r="B820">
        <v>3.0750096714435</v>
      </c>
      <c r="C820">
        <v>0.21576926112174999</v>
      </c>
      <c r="D820">
        <v>13.332534062659199</v>
      </c>
    </row>
    <row r="821" spans="1:4" x14ac:dyDescent="0.35">
      <c r="A821">
        <v>-0.24198582768440199</v>
      </c>
      <c r="B821">
        <v>3.0873457900297101</v>
      </c>
      <c r="C821">
        <v>0.21599629521369901</v>
      </c>
      <c r="D821">
        <v>13.531501032452301</v>
      </c>
    </row>
    <row r="822" spans="1:4" x14ac:dyDescent="0.35">
      <c r="A822">
        <v>-0.241660341620445</v>
      </c>
      <c r="B822">
        <v>3.1163194767203199</v>
      </c>
      <c r="C822">
        <v>0.21740204095840501</v>
      </c>
      <c r="D822">
        <v>13.252503309140801</v>
      </c>
    </row>
    <row r="823" spans="1:4" x14ac:dyDescent="0.35">
      <c r="A823">
        <v>-0.24102458357810999</v>
      </c>
      <c r="B823">
        <v>3.1081502128070002</v>
      </c>
      <c r="C823">
        <v>0.218451023101807</v>
      </c>
      <c r="D823">
        <v>13.3636963074044</v>
      </c>
    </row>
    <row r="824" spans="1:4" x14ac:dyDescent="0.35">
      <c r="A824">
        <v>-0.24057579040527299</v>
      </c>
      <c r="B824">
        <v>3.1144376008082499</v>
      </c>
      <c r="C824">
        <v>0.21944244205951699</v>
      </c>
      <c r="D824">
        <v>13.3486231081742</v>
      </c>
    </row>
    <row r="825" spans="1:4" x14ac:dyDescent="0.35">
      <c r="A825">
        <v>-0.240045800805092</v>
      </c>
      <c r="B825">
        <v>3.12256161479183</v>
      </c>
      <c r="C825">
        <v>0.22081246972084001</v>
      </c>
      <c r="D825">
        <v>13.2213815111662</v>
      </c>
    </row>
    <row r="826" spans="1:4" x14ac:dyDescent="0.35">
      <c r="A826">
        <v>-0.23965577781200401</v>
      </c>
      <c r="B826">
        <v>3.1401524667704499</v>
      </c>
      <c r="C826">
        <v>0.22083683311939201</v>
      </c>
      <c r="D826">
        <v>13.3367796677879</v>
      </c>
    </row>
    <row r="827" spans="1:4" x14ac:dyDescent="0.35">
      <c r="A827">
        <v>-0.23916178941726701</v>
      </c>
      <c r="B827">
        <v>3.1496035474360702</v>
      </c>
      <c r="C827">
        <v>0.222559913992882</v>
      </c>
      <c r="D827">
        <v>13.246034214405899</v>
      </c>
    </row>
    <row r="828" spans="1:4" x14ac:dyDescent="0.35">
      <c r="A828">
        <v>-0.23864021897316001</v>
      </c>
      <c r="B828">
        <v>3.15446812614032</v>
      </c>
      <c r="C828">
        <v>0.22341254353523299</v>
      </c>
      <c r="D828">
        <v>13.3951392258002</v>
      </c>
    </row>
    <row r="829" spans="1:4" x14ac:dyDescent="0.35">
      <c r="A829">
        <v>-0.23816861212253601</v>
      </c>
      <c r="B829">
        <v>3.18006501931057</v>
      </c>
      <c r="C829">
        <v>0.22439049184322399</v>
      </c>
      <c r="D829">
        <v>13.451346399475399</v>
      </c>
    </row>
    <row r="830" spans="1:4" x14ac:dyDescent="0.35">
      <c r="A830">
        <v>-0.237564206123352</v>
      </c>
      <c r="B830">
        <v>3.1668595401147202</v>
      </c>
      <c r="C830">
        <v>0.225485384464264</v>
      </c>
      <c r="D830">
        <v>13.632464473730501</v>
      </c>
    </row>
    <row r="831" spans="1:4" x14ac:dyDescent="0.35">
      <c r="A831">
        <v>-0.23730228841304801</v>
      </c>
      <c r="B831">
        <v>3.1697099933308199</v>
      </c>
      <c r="C831">
        <v>0.22572726011276201</v>
      </c>
      <c r="D831">
        <v>13.4829398315898</v>
      </c>
    </row>
    <row r="832" spans="1:4" x14ac:dyDescent="0.35">
      <c r="A832">
        <v>-0.23650069534778601</v>
      </c>
      <c r="B832">
        <v>3.1887607718360198</v>
      </c>
      <c r="C832">
        <v>0.227603644132614</v>
      </c>
      <c r="D832">
        <v>13.4063883519198</v>
      </c>
    </row>
    <row r="833" spans="1:4" x14ac:dyDescent="0.35">
      <c r="A833">
        <v>-0.235919713973999</v>
      </c>
      <c r="B833">
        <v>3.1865460147454301</v>
      </c>
      <c r="C833">
        <v>0.22841539978980999</v>
      </c>
      <c r="D833">
        <v>13.3881752191306</v>
      </c>
    </row>
    <row r="834" spans="1:4" x14ac:dyDescent="0.35">
      <c r="A834">
        <v>-0.23567572236061099</v>
      </c>
      <c r="B834">
        <v>3.21338102623058</v>
      </c>
      <c r="C834">
        <v>0.229474261403084</v>
      </c>
      <c r="D834">
        <v>13.5373759481735</v>
      </c>
    </row>
    <row r="835" spans="1:4" x14ac:dyDescent="0.35">
      <c r="A835">
        <v>-0.234966680407524</v>
      </c>
      <c r="B835">
        <v>3.2210276005632101</v>
      </c>
      <c r="C835">
        <v>0.23021882772445701</v>
      </c>
      <c r="D835">
        <v>13.7218813391663</v>
      </c>
    </row>
    <row r="836" spans="1:4" x14ac:dyDescent="0.35">
      <c r="A836">
        <v>-0.23447781801223799</v>
      </c>
      <c r="B836">
        <v>3.2063930726247301</v>
      </c>
      <c r="C836">
        <v>0.23094548285007499</v>
      </c>
      <c r="D836">
        <v>13.595914203305499</v>
      </c>
    </row>
    <row r="837" spans="1:4" x14ac:dyDescent="0.35">
      <c r="A837">
        <v>-0.23414906859397899</v>
      </c>
      <c r="B837">
        <v>3.2103200357961401</v>
      </c>
      <c r="C837">
        <v>0.23282314836978901</v>
      </c>
      <c r="D837">
        <v>13.730841063222901</v>
      </c>
    </row>
    <row r="838" spans="1:4" x14ac:dyDescent="0.35">
      <c r="A838">
        <v>-0.23378242552280401</v>
      </c>
      <c r="B838">
        <v>3.2296691061256899</v>
      </c>
      <c r="C838">
        <v>0.23318381607532501</v>
      </c>
      <c r="D838">
        <v>13.692815012434901</v>
      </c>
    </row>
    <row r="839" spans="1:4" x14ac:dyDescent="0.35">
      <c r="A839">
        <v>-0.23315387964248699</v>
      </c>
      <c r="B839">
        <v>3.2358562424468098</v>
      </c>
      <c r="C839">
        <v>0.23433907330036199</v>
      </c>
      <c r="D839">
        <v>13.694282100737899</v>
      </c>
    </row>
    <row r="840" spans="1:4" x14ac:dyDescent="0.35">
      <c r="A840">
        <v>-0.23266483843326599</v>
      </c>
      <c r="B840">
        <v>3.2434733307912902</v>
      </c>
      <c r="C840">
        <v>0.23516756296157801</v>
      </c>
      <c r="D840">
        <v>13.7060686339186</v>
      </c>
    </row>
    <row r="841" spans="1:4" x14ac:dyDescent="0.35">
      <c r="A841">
        <v>-0.232005804777145</v>
      </c>
      <c r="B841">
        <v>3.2330583742627201</v>
      </c>
      <c r="C841">
        <v>0.23621129989624001</v>
      </c>
      <c r="D841">
        <v>13.654052573295701</v>
      </c>
    </row>
    <row r="842" spans="1:4" x14ac:dyDescent="0.35">
      <c r="A842">
        <v>-0.23143234848976099</v>
      </c>
      <c r="B842">
        <v>3.2488229061507199</v>
      </c>
      <c r="C842">
        <v>0.23756718635559099</v>
      </c>
      <c r="D842">
        <v>13.749181094992</v>
      </c>
    </row>
    <row r="843" spans="1:4" x14ac:dyDescent="0.35">
      <c r="A843">
        <v>-0.23107175529003099</v>
      </c>
      <c r="B843">
        <v>3.2725505001692401</v>
      </c>
      <c r="C843">
        <v>0.23813681304454801</v>
      </c>
      <c r="D843">
        <v>13.7640410790122</v>
      </c>
    </row>
    <row r="844" spans="1:4" x14ac:dyDescent="0.35">
      <c r="A844">
        <v>-0.23067213594913499</v>
      </c>
      <c r="B844">
        <v>3.2723779321368802</v>
      </c>
      <c r="C844">
        <v>0.23969300091266599</v>
      </c>
      <c r="D844">
        <v>13.741674839048301</v>
      </c>
    </row>
    <row r="845" spans="1:4" x14ac:dyDescent="0.35">
      <c r="A845">
        <v>-0.230176001787186</v>
      </c>
      <c r="B845">
        <v>3.28685791230378</v>
      </c>
      <c r="C845">
        <v>0.24001768231391901</v>
      </c>
      <c r="D845">
        <v>13.8246622908562</v>
      </c>
    </row>
    <row r="846" spans="1:4" x14ac:dyDescent="0.35">
      <c r="A846">
        <v>-0.22971384227275801</v>
      </c>
      <c r="B846">
        <v>3.28496164158476</v>
      </c>
      <c r="C846">
        <v>0.24140623211860701</v>
      </c>
      <c r="D846">
        <v>13.536139406650999</v>
      </c>
    </row>
    <row r="847" spans="1:4" x14ac:dyDescent="0.35">
      <c r="A847">
        <v>-0.22900766134262099</v>
      </c>
      <c r="B847">
        <v>3.2650240509996098</v>
      </c>
      <c r="C847">
        <v>0.24268564581870999</v>
      </c>
      <c r="D847">
        <v>13.755770501673201</v>
      </c>
    </row>
    <row r="848" spans="1:4" x14ac:dyDescent="0.35">
      <c r="A848">
        <v>-0.22856880724430101</v>
      </c>
      <c r="B848">
        <v>3.2945820852217</v>
      </c>
      <c r="C848">
        <v>0.243290320038795</v>
      </c>
      <c r="D848">
        <v>13.781076629114599</v>
      </c>
    </row>
    <row r="849" spans="1:4" x14ac:dyDescent="0.35">
      <c r="A849">
        <v>-0.22808511555194899</v>
      </c>
      <c r="B849">
        <v>3.2948813744878498</v>
      </c>
      <c r="C849">
        <v>0.24476483464241</v>
      </c>
      <c r="D849">
        <v>13.594561601642599</v>
      </c>
    </row>
    <row r="850" spans="1:4" x14ac:dyDescent="0.35">
      <c r="A850">
        <v>-0.22768777608871499</v>
      </c>
      <c r="B850">
        <v>3.32690533796836</v>
      </c>
      <c r="C850">
        <v>0.244974926114082</v>
      </c>
      <c r="D850">
        <v>13.7224510636124</v>
      </c>
    </row>
    <row r="851" spans="1:4" x14ac:dyDescent="0.35">
      <c r="A851">
        <v>-0.226986899971962</v>
      </c>
      <c r="B851">
        <v>3.3238870835640899</v>
      </c>
      <c r="C851">
        <v>0.246584191918373</v>
      </c>
      <c r="D851">
        <v>13.716947733462201</v>
      </c>
    </row>
    <row r="852" spans="1:4" x14ac:dyDescent="0.35">
      <c r="A852">
        <v>-0.22650660574436199</v>
      </c>
      <c r="B852">
        <v>3.3203099515719399</v>
      </c>
      <c r="C852">
        <v>0.24708916246891</v>
      </c>
      <c r="D852">
        <v>13.7142111383661</v>
      </c>
    </row>
    <row r="853" spans="1:4" x14ac:dyDescent="0.35">
      <c r="A853">
        <v>-0.22608707845211001</v>
      </c>
      <c r="B853">
        <v>3.3373763138144898</v>
      </c>
      <c r="C853">
        <v>0.248550981283188</v>
      </c>
      <c r="D853">
        <v>13.8271615662242</v>
      </c>
    </row>
    <row r="854" spans="1:4" x14ac:dyDescent="0.35">
      <c r="A854">
        <v>-0.22571168839931499</v>
      </c>
      <c r="B854">
        <v>3.33782959496091</v>
      </c>
      <c r="C854">
        <v>0.249592751264572</v>
      </c>
      <c r="D854">
        <v>13.7553157005814</v>
      </c>
    </row>
    <row r="855" spans="1:4" x14ac:dyDescent="0.35">
      <c r="A855">
        <v>-0.225105300545692</v>
      </c>
      <c r="B855">
        <v>3.3387722639104802</v>
      </c>
      <c r="C855">
        <v>0.249763518571854</v>
      </c>
      <c r="D855">
        <v>13.816909402873099</v>
      </c>
    </row>
    <row r="856" spans="1:4" x14ac:dyDescent="0.35">
      <c r="A856">
        <v>-0.22463147342205</v>
      </c>
      <c r="B856">
        <v>3.3476538362399202</v>
      </c>
      <c r="C856">
        <v>0.25152975320816001</v>
      </c>
      <c r="D856">
        <v>13.744222513986401</v>
      </c>
    </row>
    <row r="857" spans="1:4" x14ac:dyDescent="0.35">
      <c r="A857">
        <v>-0.224114045500755</v>
      </c>
      <c r="B857">
        <v>3.37208289295073</v>
      </c>
      <c r="C857">
        <v>0.25186178088188199</v>
      </c>
      <c r="D857">
        <v>13.892542278933799</v>
      </c>
    </row>
    <row r="858" spans="1:4" x14ac:dyDescent="0.35">
      <c r="A858">
        <v>-0.22356589138507801</v>
      </c>
      <c r="B858">
        <v>3.3827778902294598</v>
      </c>
      <c r="C858">
        <v>0.25387519598007202</v>
      </c>
      <c r="D858">
        <v>13.9193868409288</v>
      </c>
    </row>
    <row r="859" spans="1:4" x14ac:dyDescent="0.35">
      <c r="A859">
        <v>-0.22305607795715299</v>
      </c>
      <c r="B859">
        <v>3.3940496787737802</v>
      </c>
      <c r="C859">
        <v>0.25408211350441001</v>
      </c>
      <c r="D859">
        <v>13.9456139956537</v>
      </c>
    </row>
    <row r="860" spans="1:4" x14ac:dyDescent="0.35">
      <c r="A860">
        <v>-0.22254925966262801</v>
      </c>
      <c r="B860">
        <v>3.3825455051126001</v>
      </c>
      <c r="C860">
        <v>0.25494033098220797</v>
      </c>
      <c r="D860">
        <v>13.8392159743335</v>
      </c>
    </row>
    <row r="861" spans="1:4" x14ac:dyDescent="0.35">
      <c r="A861">
        <v>-0.22216637432575201</v>
      </c>
      <c r="B861">
        <v>3.3996359844536599</v>
      </c>
      <c r="C861">
        <v>0.25701117515563998</v>
      </c>
      <c r="D861">
        <v>13.8616450936387</v>
      </c>
    </row>
    <row r="862" spans="1:4" x14ac:dyDescent="0.35">
      <c r="A862">
        <v>-0.22155152261257199</v>
      </c>
      <c r="B862">
        <v>3.4179138469870298</v>
      </c>
      <c r="C862">
        <v>0.25675860047340399</v>
      </c>
      <c r="D862">
        <v>13.8612087269174</v>
      </c>
    </row>
    <row r="863" spans="1:4" x14ac:dyDescent="0.35">
      <c r="A863">
        <v>-0.22108854353427901</v>
      </c>
      <c r="B863">
        <v>3.4324689878435</v>
      </c>
      <c r="C863">
        <v>0.25883784890174899</v>
      </c>
      <c r="D863">
        <v>13.9744543758974</v>
      </c>
    </row>
    <row r="864" spans="1:4" x14ac:dyDescent="0.35">
      <c r="A864">
        <v>-0.220698267221451</v>
      </c>
      <c r="B864">
        <v>3.4397274573905698</v>
      </c>
      <c r="C864">
        <v>0.25853547453880299</v>
      </c>
      <c r="D864">
        <v>13.950636409093001</v>
      </c>
    </row>
    <row r="865" spans="1:4" x14ac:dyDescent="0.35">
      <c r="A865">
        <v>-0.22015632688999201</v>
      </c>
      <c r="B865">
        <v>3.4648848864352799</v>
      </c>
      <c r="C865">
        <v>0.26036643981933599</v>
      </c>
      <c r="D865">
        <v>13.761876780153701</v>
      </c>
    </row>
    <row r="866" spans="1:4" x14ac:dyDescent="0.35">
      <c r="A866">
        <v>-0.21952250599861101</v>
      </c>
      <c r="B866">
        <v>3.44733972775084</v>
      </c>
      <c r="C866">
        <v>0.26201483607292197</v>
      </c>
      <c r="D866">
        <v>13.8101900041459</v>
      </c>
    </row>
    <row r="867" spans="1:4" x14ac:dyDescent="0.35">
      <c r="A867">
        <v>-0.21916525065898901</v>
      </c>
      <c r="B867">
        <v>3.4553210298533101</v>
      </c>
      <c r="C867">
        <v>0.26175081729888899</v>
      </c>
      <c r="D867">
        <v>13.8729979480479</v>
      </c>
    </row>
    <row r="868" spans="1:4" x14ac:dyDescent="0.35">
      <c r="A868">
        <v>-0.218593865633011</v>
      </c>
      <c r="B868">
        <v>3.4653841596327002</v>
      </c>
      <c r="C868">
        <v>0.26409754157066301</v>
      </c>
      <c r="D868">
        <v>13.9879258968498</v>
      </c>
    </row>
    <row r="869" spans="1:4" x14ac:dyDescent="0.35">
      <c r="A869">
        <v>-0.21806284785270699</v>
      </c>
      <c r="B869">
        <v>3.4863827892541899</v>
      </c>
      <c r="C869">
        <v>0.26399129629135099</v>
      </c>
      <c r="D869">
        <v>13.7396123732939</v>
      </c>
    </row>
    <row r="870" spans="1:4" x14ac:dyDescent="0.35">
      <c r="A870">
        <v>-0.217689424753189</v>
      </c>
      <c r="B870">
        <v>3.49249934652086</v>
      </c>
      <c r="C870">
        <v>0.26545739173889199</v>
      </c>
      <c r="D870">
        <v>13.824715301016299</v>
      </c>
    </row>
    <row r="871" spans="1:4" x14ac:dyDescent="0.35">
      <c r="A871">
        <v>-0.217188149690628</v>
      </c>
      <c r="B871">
        <v>3.5079208812612701</v>
      </c>
      <c r="C871">
        <v>0.26642507314682001</v>
      </c>
      <c r="D871">
        <v>13.8924025743478</v>
      </c>
    </row>
    <row r="872" spans="1:4" x14ac:dyDescent="0.35">
      <c r="A872">
        <v>-0.216491714119911</v>
      </c>
      <c r="B872">
        <v>3.5258811172133702</v>
      </c>
      <c r="C872">
        <v>0.26690644025802601</v>
      </c>
      <c r="D872">
        <v>13.8988880243311</v>
      </c>
    </row>
    <row r="873" spans="1:4" x14ac:dyDescent="0.35">
      <c r="A873">
        <v>-0.216153308749199</v>
      </c>
      <c r="B873">
        <v>3.52797384411403</v>
      </c>
      <c r="C873">
        <v>0.26924601197242698</v>
      </c>
      <c r="D873">
        <v>13.927140795083201</v>
      </c>
    </row>
    <row r="874" spans="1:4" x14ac:dyDescent="0.35">
      <c r="A874">
        <v>-0.21558828651905099</v>
      </c>
      <c r="B874">
        <v>3.5119343989619098</v>
      </c>
      <c r="C874">
        <v>0.26887536048889199</v>
      </c>
      <c r="D874">
        <v>13.9634245850418</v>
      </c>
    </row>
    <row r="875" spans="1:4" x14ac:dyDescent="0.35">
      <c r="A875">
        <v>-0.21513050794601399</v>
      </c>
      <c r="B875">
        <v>3.5263590836945098</v>
      </c>
      <c r="C875">
        <v>0.27059042453765902</v>
      </c>
      <c r="D875">
        <v>13.825795011774501</v>
      </c>
    </row>
    <row r="876" spans="1:4" x14ac:dyDescent="0.35">
      <c r="A876">
        <v>-0.21461302042007399</v>
      </c>
      <c r="B876">
        <v>3.5246422382579898</v>
      </c>
      <c r="C876">
        <v>0.27189752459526101</v>
      </c>
      <c r="D876">
        <v>13.863552811411999</v>
      </c>
    </row>
    <row r="877" spans="1:4" x14ac:dyDescent="0.35">
      <c r="A877">
        <v>-0.214008554816246</v>
      </c>
      <c r="B877">
        <v>3.5650049724797799</v>
      </c>
      <c r="C877">
        <v>0.27198889851570102</v>
      </c>
      <c r="D877">
        <v>13.949884331468599</v>
      </c>
    </row>
    <row r="878" spans="1:4" x14ac:dyDescent="0.35">
      <c r="A878">
        <v>-0.213679954409599</v>
      </c>
      <c r="B878">
        <v>3.53887133852716</v>
      </c>
      <c r="C878">
        <v>0.273592889308929</v>
      </c>
      <c r="D878">
        <v>14.0076893295817</v>
      </c>
    </row>
    <row r="879" spans="1:4" x14ac:dyDescent="0.35">
      <c r="A879">
        <v>-0.21310527622699699</v>
      </c>
      <c r="B879">
        <v>3.5410770615016398</v>
      </c>
      <c r="C879">
        <v>0.27353665232658397</v>
      </c>
      <c r="D879">
        <v>14.0104729719554</v>
      </c>
    </row>
    <row r="880" spans="1:4" x14ac:dyDescent="0.35">
      <c r="A880">
        <v>-0.212660238146782</v>
      </c>
      <c r="B880">
        <v>3.5668530451351699</v>
      </c>
      <c r="C880">
        <v>0.275622248649597</v>
      </c>
      <c r="D880">
        <v>14.081687783407601</v>
      </c>
    </row>
    <row r="881" spans="1:4" x14ac:dyDescent="0.35">
      <c r="A881">
        <v>-0.212125644087791</v>
      </c>
      <c r="B881">
        <v>3.57252073375339</v>
      </c>
      <c r="C881">
        <v>0.27665972709655801</v>
      </c>
      <c r="D881">
        <v>13.802247422573901</v>
      </c>
    </row>
    <row r="882" spans="1:4" x14ac:dyDescent="0.35">
      <c r="A882">
        <v>-0.211838364601135</v>
      </c>
      <c r="B882">
        <v>3.5894907259406899</v>
      </c>
      <c r="C882">
        <v>0.27702784538268999</v>
      </c>
      <c r="D882">
        <v>13.9454871854003</v>
      </c>
    </row>
    <row r="883" spans="1:4" x14ac:dyDescent="0.35">
      <c r="A883">
        <v>-0.21119843423366499</v>
      </c>
      <c r="B883">
        <v>3.60877409548922</v>
      </c>
      <c r="C883">
        <v>0.278800308704376</v>
      </c>
      <c r="D883">
        <v>14.0706339255378</v>
      </c>
    </row>
    <row r="884" spans="1:4" x14ac:dyDescent="0.35">
      <c r="A884">
        <v>-0.21056552231311801</v>
      </c>
      <c r="B884">
        <v>3.6058790160459102</v>
      </c>
      <c r="C884">
        <v>0.27923962473869302</v>
      </c>
      <c r="D884">
        <v>14.0221302000853</v>
      </c>
    </row>
    <row r="885" spans="1:4" x14ac:dyDescent="0.35">
      <c r="A885">
        <v>-0.21020066738128701</v>
      </c>
      <c r="B885">
        <v>3.6334588496048599</v>
      </c>
      <c r="C885">
        <v>0.28033632040023798</v>
      </c>
      <c r="D885">
        <v>14.105753509559401</v>
      </c>
    </row>
    <row r="886" spans="1:4" x14ac:dyDescent="0.35">
      <c r="A886">
        <v>-0.20935440063476601</v>
      </c>
      <c r="B886">
        <v>3.64165225839889</v>
      </c>
      <c r="C886">
        <v>0.28138568997383101</v>
      </c>
      <c r="D886">
        <v>14.0617120245228</v>
      </c>
    </row>
    <row r="887" spans="1:4" x14ac:dyDescent="0.35">
      <c r="A887">
        <v>-0.20904223620891599</v>
      </c>
      <c r="B887">
        <v>3.65619973456961</v>
      </c>
      <c r="C887">
        <v>0.28183338046073902</v>
      </c>
      <c r="D887">
        <v>14.142049951908801</v>
      </c>
    </row>
    <row r="888" spans="1:4" x14ac:dyDescent="0.35">
      <c r="A888">
        <v>-0.20855659246444699</v>
      </c>
      <c r="B888">
        <v>3.6374970597623202</v>
      </c>
      <c r="C888">
        <v>0.28374576568603499</v>
      </c>
      <c r="D888">
        <v>14.143276909426</v>
      </c>
    </row>
    <row r="889" spans="1:4" x14ac:dyDescent="0.35">
      <c r="A889">
        <v>-0.20828802883625</v>
      </c>
      <c r="B889">
        <v>3.6443107993541801</v>
      </c>
      <c r="C889">
        <v>0.28424140810966497</v>
      </c>
      <c r="D889">
        <v>14.115856217251601</v>
      </c>
    </row>
    <row r="890" spans="1:4" x14ac:dyDescent="0.35">
      <c r="A890">
        <v>-0.20772802829742401</v>
      </c>
      <c r="B890">
        <v>3.6577470238943399</v>
      </c>
      <c r="C890">
        <v>0.28579139709472701</v>
      </c>
      <c r="D890">
        <v>14.052776029599601</v>
      </c>
    </row>
    <row r="891" spans="1:4" x14ac:dyDescent="0.35">
      <c r="A891">
        <v>-0.207190856337547</v>
      </c>
      <c r="B891">
        <v>3.6680524468151399</v>
      </c>
      <c r="C891">
        <v>0.28637477755546598</v>
      </c>
      <c r="D891">
        <v>14.1605325479479</v>
      </c>
    </row>
    <row r="892" spans="1:4" x14ac:dyDescent="0.35">
      <c r="A892">
        <v>-0.206723362207413</v>
      </c>
      <c r="B892">
        <v>3.6613166497426701</v>
      </c>
      <c r="C892">
        <v>0.28693062067031899</v>
      </c>
      <c r="D892">
        <v>14.117601600192</v>
      </c>
    </row>
    <row r="893" spans="1:4" x14ac:dyDescent="0.35">
      <c r="A893">
        <v>-0.206179559230804</v>
      </c>
      <c r="B893">
        <v>3.6776070526174101</v>
      </c>
      <c r="C893">
        <v>0.28894633054733299</v>
      </c>
      <c r="D893">
        <v>14.173201962310699</v>
      </c>
    </row>
    <row r="894" spans="1:4" x14ac:dyDescent="0.35">
      <c r="A894">
        <v>-0.20569835603237199</v>
      </c>
      <c r="B894">
        <v>3.6818502695292299</v>
      </c>
      <c r="C894">
        <v>0.28870648145675698</v>
      </c>
      <c r="D894">
        <v>14.246450842778099</v>
      </c>
    </row>
    <row r="895" spans="1:4" x14ac:dyDescent="0.35">
      <c r="A895">
        <v>-0.20507894456386599</v>
      </c>
      <c r="B895">
        <v>3.70445450859979</v>
      </c>
      <c r="C895">
        <v>0.29104545712471003</v>
      </c>
      <c r="D895">
        <v>14.170705118200001</v>
      </c>
    </row>
    <row r="896" spans="1:4" x14ac:dyDescent="0.35">
      <c r="A896">
        <v>-0.20452696084976199</v>
      </c>
      <c r="B896">
        <v>3.7184523308008299</v>
      </c>
      <c r="C896">
        <v>0.29092255234718301</v>
      </c>
      <c r="D896">
        <v>14.192283559751299</v>
      </c>
    </row>
    <row r="897" spans="1:4" x14ac:dyDescent="0.35">
      <c r="A897">
        <v>-0.20412622392177601</v>
      </c>
      <c r="B897">
        <v>3.7245764270626398</v>
      </c>
      <c r="C897">
        <v>0.29249352216720598</v>
      </c>
      <c r="D897">
        <v>14.0845530527519</v>
      </c>
    </row>
    <row r="898" spans="1:4" x14ac:dyDescent="0.35">
      <c r="A898">
        <v>-0.203647956252098</v>
      </c>
      <c r="B898">
        <v>3.7227301187733199</v>
      </c>
      <c r="C898">
        <v>0.29383867979049699</v>
      </c>
      <c r="D898">
        <v>14.1117329691967</v>
      </c>
    </row>
    <row r="899" spans="1:4" x14ac:dyDescent="0.35">
      <c r="A899">
        <v>-0.20329168438911399</v>
      </c>
      <c r="B899">
        <v>3.7313659179666199</v>
      </c>
      <c r="C899">
        <v>0.29354912042617798</v>
      </c>
      <c r="D899">
        <v>14.1125597918066</v>
      </c>
    </row>
    <row r="900" spans="1:4" x14ac:dyDescent="0.35">
      <c r="A900">
        <v>-0.20274788141250599</v>
      </c>
      <c r="B900">
        <v>3.7559439136379802</v>
      </c>
      <c r="C900">
        <v>0.29625016450882002</v>
      </c>
      <c r="D900">
        <v>14.212920193859</v>
      </c>
    </row>
    <row r="901" spans="1:4" x14ac:dyDescent="0.35">
      <c r="A901">
        <v>-0.202224090695381</v>
      </c>
      <c r="B901">
        <v>3.7583788449781101</v>
      </c>
      <c r="C901">
        <v>0.29574611783027599</v>
      </c>
      <c r="D901">
        <v>14.3370922698762</v>
      </c>
    </row>
    <row r="902" spans="1:4" x14ac:dyDescent="0.35">
      <c r="A902">
        <v>-0.20165903866290999</v>
      </c>
      <c r="B902">
        <v>3.7566889924204698</v>
      </c>
      <c r="C902">
        <v>0.29811289906501798</v>
      </c>
      <c r="D902">
        <v>14.231456533858299</v>
      </c>
    </row>
    <row r="903" spans="1:4" x14ac:dyDescent="0.35">
      <c r="A903">
        <v>-0.20097535848617601</v>
      </c>
      <c r="B903">
        <v>3.7647867923328202</v>
      </c>
      <c r="C903">
        <v>0.29833880066871599</v>
      </c>
      <c r="D903">
        <v>14.1256436085738</v>
      </c>
    </row>
    <row r="904" spans="1:4" x14ac:dyDescent="0.35">
      <c r="A904">
        <v>-0.200653806328773</v>
      </c>
      <c r="B904">
        <v>3.76535189236106</v>
      </c>
      <c r="C904">
        <v>0.29905167222022999</v>
      </c>
      <c r="D904">
        <v>14.112996637367999</v>
      </c>
    </row>
    <row r="905" spans="1:4" x14ac:dyDescent="0.35">
      <c r="A905">
        <v>-0.200059279799461</v>
      </c>
      <c r="B905">
        <v>3.7870220110971098</v>
      </c>
      <c r="C905">
        <v>0.301148921251297</v>
      </c>
      <c r="D905">
        <v>14.2424689386868</v>
      </c>
    </row>
    <row r="906" spans="1:4" x14ac:dyDescent="0.35">
      <c r="A906">
        <v>-0.19956973195076</v>
      </c>
      <c r="B906">
        <v>3.8066738556417601</v>
      </c>
      <c r="C906">
        <v>0.30074897408485401</v>
      </c>
      <c r="D906">
        <v>14.1557792442861</v>
      </c>
    </row>
    <row r="907" spans="1:4" x14ac:dyDescent="0.35">
      <c r="A907">
        <v>-0.19917184114456199</v>
      </c>
      <c r="B907">
        <v>3.80573058573626</v>
      </c>
      <c r="C907">
        <v>0.30276548862457298</v>
      </c>
      <c r="D907">
        <v>14.212335647454699</v>
      </c>
    </row>
    <row r="908" spans="1:4" x14ac:dyDescent="0.35">
      <c r="A908">
        <v>-0.19870635867118799</v>
      </c>
      <c r="B908">
        <v>3.8154127931169302</v>
      </c>
      <c r="C908">
        <v>0.30324721336364702</v>
      </c>
      <c r="D908">
        <v>14.179311689846401</v>
      </c>
    </row>
    <row r="909" spans="1:4" x14ac:dyDescent="0.35">
      <c r="A909">
        <v>-0.19816158711910201</v>
      </c>
      <c r="B909">
        <v>3.8438066096933099</v>
      </c>
      <c r="C909">
        <v>0.30448734760284402</v>
      </c>
      <c r="D909">
        <v>14.135451131805</v>
      </c>
    </row>
    <row r="910" spans="1:4" x14ac:dyDescent="0.35">
      <c r="A910">
        <v>-0.197646498680115</v>
      </c>
      <c r="B910">
        <v>3.8167135000543699</v>
      </c>
      <c r="C910">
        <v>0.30604121088981601</v>
      </c>
      <c r="D910">
        <v>14.162832835107</v>
      </c>
    </row>
    <row r="911" spans="1:4" x14ac:dyDescent="0.35">
      <c r="A911">
        <v>-0.196964606642723</v>
      </c>
      <c r="B911">
        <v>3.8501113727936902</v>
      </c>
      <c r="C911">
        <v>0.30551105737686202</v>
      </c>
      <c r="D911">
        <v>14.1782505870883</v>
      </c>
    </row>
    <row r="912" spans="1:4" x14ac:dyDescent="0.35">
      <c r="A912">
        <v>-0.19665721058845501</v>
      </c>
      <c r="B912">
        <v>3.8461460519746802</v>
      </c>
      <c r="C912">
        <v>0.30788514018058799</v>
      </c>
      <c r="D912">
        <v>14.214468731551699</v>
      </c>
    </row>
    <row r="913" spans="1:4" x14ac:dyDescent="0.35">
      <c r="A913">
        <v>-0.19619917869567899</v>
      </c>
      <c r="B913">
        <v>3.85388657973014</v>
      </c>
      <c r="C913">
        <v>0.30823844671249401</v>
      </c>
      <c r="D913">
        <v>14.1884704171229</v>
      </c>
    </row>
    <row r="914" spans="1:4" x14ac:dyDescent="0.35">
      <c r="A914">
        <v>-0.19553148746490501</v>
      </c>
      <c r="B914">
        <v>3.8570840592861502</v>
      </c>
      <c r="C914">
        <v>0.30959418416023299</v>
      </c>
      <c r="D914">
        <v>14.1937641842584</v>
      </c>
    </row>
    <row r="915" spans="1:4" x14ac:dyDescent="0.35">
      <c r="A915">
        <v>-0.195139169692993</v>
      </c>
      <c r="B915">
        <v>3.8841485373372699</v>
      </c>
      <c r="C915">
        <v>0.31084671616554299</v>
      </c>
      <c r="D915">
        <v>14.158443518776201</v>
      </c>
    </row>
    <row r="916" spans="1:4" x14ac:dyDescent="0.35">
      <c r="A916">
        <v>-0.19464722275733901</v>
      </c>
      <c r="B916">
        <v>3.8719175347700201</v>
      </c>
      <c r="C916">
        <v>0.31083214282989502</v>
      </c>
      <c r="D916">
        <v>14.2167233239892</v>
      </c>
    </row>
    <row r="917" spans="1:4" x14ac:dyDescent="0.35">
      <c r="A917">
        <v>-0.19405670464038799</v>
      </c>
      <c r="B917">
        <v>3.8881063622440499</v>
      </c>
      <c r="C917">
        <v>0.31267261505126998</v>
      </c>
      <c r="D917">
        <v>14.0648438283073</v>
      </c>
    </row>
    <row r="918" spans="1:4" x14ac:dyDescent="0.35">
      <c r="A918">
        <v>-0.19362759590148901</v>
      </c>
      <c r="B918">
        <v>3.9131792370887299</v>
      </c>
      <c r="C918">
        <v>0.31329432129859902</v>
      </c>
      <c r="D918">
        <v>14.119403674274499</v>
      </c>
    </row>
    <row r="919" spans="1:4" x14ac:dyDescent="0.35">
      <c r="A919">
        <v>-0.193208798766136</v>
      </c>
      <c r="B919">
        <v>3.9187097170179999</v>
      </c>
      <c r="C919">
        <v>0.31467762589454701</v>
      </c>
      <c r="D919">
        <v>14.1428547952508</v>
      </c>
    </row>
    <row r="920" spans="1:4" x14ac:dyDescent="0.35">
      <c r="A920">
        <v>-0.19264532625675199</v>
      </c>
      <c r="B920">
        <v>3.9345651745334198</v>
      </c>
      <c r="C920">
        <v>0.315768033266068</v>
      </c>
      <c r="D920">
        <v>14.109819896400399</v>
      </c>
    </row>
    <row r="921" spans="1:4" x14ac:dyDescent="0.35">
      <c r="A921">
        <v>-0.192207992076874</v>
      </c>
      <c r="B921">
        <v>3.9409255955153499</v>
      </c>
      <c r="C921">
        <v>0.31586578488349898</v>
      </c>
      <c r="D921">
        <v>14.138142074020999</v>
      </c>
    </row>
    <row r="922" spans="1:4" x14ac:dyDescent="0.35">
      <c r="A922">
        <v>-0.19158673286437999</v>
      </c>
      <c r="B922">
        <v>3.9300919221236201</v>
      </c>
      <c r="C922">
        <v>0.31775498390197798</v>
      </c>
      <c r="D922">
        <v>14.139665487677799</v>
      </c>
    </row>
    <row r="923" spans="1:4" x14ac:dyDescent="0.35">
      <c r="A923">
        <v>-0.19115401804447199</v>
      </c>
      <c r="B923">
        <v>3.93026124019956</v>
      </c>
      <c r="C923">
        <v>0.31806910037994401</v>
      </c>
      <c r="D923">
        <v>14.144823531055801</v>
      </c>
    </row>
    <row r="924" spans="1:4" x14ac:dyDescent="0.35">
      <c r="A924">
        <v>-0.19064934551715901</v>
      </c>
      <c r="B924">
        <v>3.95648970424857</v>
      </c>
      <c r="C924">
        <v>0.31965619325637801</v>
      </c>
      <c r="D924">
        <v>13.962220271813001</v>
      </c>
    </row>
    <row r="925" spans="1:4" x14ac:dyDescent="0.35">
      <c r="A925">
        <v>-0.19019575417041801</v>
      </c>
      <c r="B925">
        <v>3.9722191973346899</v>
      </c>
      <c r="C925">
        <v>0.32033821940422103</v>
      </c>
      <c r="D925">
        <v>14.115809841553499</v>
      </c>
    </row>
    <row r="926" spans="1:4" x14ac:dyDescent="0.35">
      <c r="A926">
        <v>-0.18948967754840901</v>
      </c>
      <c r="B926">
        <v>3.9693555424707201</v>
      </c>
      <c r="C926">
        <v>0.32074552774429299</v>
      </c>
      <c r="D926">
        <v>14.0361178992238</v>
      </c>
    </row>
    <row r="927" spans="1:4" x14ac:dyDescent="0.35">
      <c r="A927">
        <v>-0.189056366682053</v>
      </c>
      <c r="B927">
        <v>3.9560752495567599</v>
      </c>
      <c r="C927">
        <v>0.322838544845581</v>
      </c>
      <c r="D927">
        <v>14.132147266432501</v>
      </c>
    </row>
    <row r="928" spans="1:4" x14ac:dyDescent="0.35">
      <c r="A928">
        <v>-0.18873475492000599</v>
      </c>
      <c r="B928">
        <v>3.9811816748912299</v>
      </c>
      <c r="C928">
        <v>0.32317486405372597</v>
      </c>
      <c r="D928">
        <v>14.1350486675782</v>
      </c>
    </row>
    <row r="929" spans="1:4" x14ac:dyDescent="0.35">
      <c r="A929">
        <v>-0.18803915381431599</v>
      </c>
      <c r="B929">
        <v>3.9908003991371901</v>
      </c>
      <c r="C929">
        <v>0.32453700900077798</v>
      </c>
      <c r="D929">
        <v>14.132020862780699</v>
      </c>
    </row>
    <row r="930" spans="1:4" x14ac:dyDescent="0.35">
      <c r="A930">
        <v>-0.18776820600032801</v>
      </c>
      <c r="B930">
        <v>4.0063165217011099</v>
      </c>
      <c r="C930">
        <v>0.32557976245880099</v>
      </c>
      <c r="D930">
        <v>14.217155580591999</v>
      </c>
    </row>
    <row r="931" spans="1:4" x14ac:dyDescent="0.35">
      <c r="A931">
        <v>-0.187230259180069</v>
      </c>
      <c r="B931">
        <v>3.9845473764712298</v>
      </c>
      <c r="C931">
        <v>0.32624381780624401</v>
      </c>
      <c r="D931">
        <v>14.1458775931006</v>
      </c>
    </row>
    <row r="932" spans="1:4" x14ac:dyDescent="0.35">
      <c r="A932">
        <v>-0.18678602576255801</v>
      </c>
      <c r="B932">
        <v>4.0142903304020301</v>
      </c>
      <c r="C932">
        <v>0.32774385809898399</v>
      </c>
      <c r="D932">
        <v>14.171216827952801</v>
      </c>
    </row>
    <row r="933" spans="1:4" x14ac:dyDescent="0.35">
      <c r="A933">
        <v>-0.18631158769130701</v>
      </c>
      <c r="B933">
        <v>4.0235498296968402</v>
      </c>
      <c r="C933">
        <v>0.327993154525757</v>
      </c>
      <c r="D933">
        <v>14.187898651087201</v>
      </c>
    </row>
    <row r="934" spans="1:4" x14ac:dyDescent="0.35">
      <c r="A934">
        <v>-0.185606479644775</v>
      </c>
      <c r="B934">
        <v>4.0394521415571099</v>
      </c>
      <c r="C934">
        <v>0.329517602920532</v>
      </c>
      <c r="D934">
        <v>14.2169155307139</v>
      </c>
    </row>
    <row r="935" spans="1:4" x14ac:dyDescent="0.35">
      <c r="A935">
        <v>-0.18506036698818201</v>
      </c>
      <c r="B935">
        <v>4.0459323950949404</v>
      </c>
      <c r="C935">
        <v>0.33068236708641102</v>
      </c>
      <c r="D935">
        <v>14.262340889481999</v>
      </c>
    </row>
    <row r="936" spans="1:4" x14ac:dyDescent="0.35">
      <c r="A936">
        <v>-0.184515416622162</v>
      </c>
      <c r="B936">
        <v>4.0679453179458704</v>
      </c>
      <c r="C936">
        <v>0.33110985159874001</v>
      </c>
      <c r="D936">
        <v>14.2011063559113</v>
      </c>
    </row>
    <row r="937" spans="1:4" x14ac:dyDescent="0.35">
      <c r="A937">
        <v>-0.18405540287494701</v>
      </c>
      <c r="B937">
        <v>4.0728107194702501</v>
      </c>
      <c r="C937">
        <v>0.33298236131668102</v>
      </c>
      <c r="D937">
        <v>14.189377793406299</v>
      </c>
    </row>
    <row r="938" spans="1:4" x14ac:dyDescent="0.35">
      <c r="A938">
        <v>-0.18355947732925401</v>
      </c>
      <c r="B938">
        <v>4.08424406660993</v>
      </c>
      <c r="C938">
        <v>0.33220252394676197</v>
      </c>
      <c r="D938">
        <v>14.0735940454407</v>
      </c>
    </row>
    <row r="939" spans="1:4" x14ac:dyDescent="0.35">
      <c r="A939">
        <v>-0.183247551321983</v>
      </c>
      <c r="B939">
        <v>4.0659662230696103</v>
      </c>
      <c r="C939">
        <v>0.33502945303916898</v>
      </c>
      <c r="D939">
        <v>14.2068049652623</v>
      </c>
    </row>
    <row r="940" spans="1:4" x14ac:dyDescent="0.35">
      <c r="A940">
        <v>-0.18287643790245101</v>
      </c>
      <c r="B940">
        <v>4.08081637943536</v>
      </c>
      <c r="C940">
        <v>0.33553457260131803</v>
      </c>
      <c r="D940">
        <v>14.1468011545841</v>
      </c>
    </row>
    <row r="941" spans="1:4" x14ac:dyDescent="0.35">
      <c r="A941">
        <v>-0.18204963207244901</v>
      </c>
      <c r="B941">
        <v>4.1139940535512798</v>
      </c>
      <c r="C941">
        <v>0.33614453673362699</v>
      </c>
      <c r="D941">
        <v>14.2286073579752</v>
      </c>
    </row>
    <row r="942" spans="1:4" x14ac:dyDescent="0.35">
      <c r="A942">
        <v>-0.18167944252491</v>
      </c>
      <c r="B942">
        <v>4.0895905130050298</v>
      </c>
      <c r="C942">
        <v>0.33806043863296498</v>
      </c>
      <c r="D942">
        <v>14.2331725080114</v>
      </c>
    </row>
    <row r="943" spans="1:4" x14ac:dyDescent="0.35">
      <c r="A943">
        <v>-0.18128219246864299</v>
      </c>
      <c r="B943">
        <v>4.12073836432499</v>
      </c>
      <c r="C943">
        <v>0.33746632933616599</v>
      </c>
      <c r="D943">
        <v>14.159556290130499</v>
      </c>
    </row>
    <row r="944" spans="1:4" x14ac:dyDescent="0.35">
      <c r="A944">
        <v>-0.180632144212723</v>
      </c>
      <c r="B944">
        <v>4.1367459039590502</v>
      </c>
      <c r="C944">
        <v>0.339711993932724</v>
      </c>
      <c r="D944">
        <v>14.143949006768199</v>
      </c>
    </row>
    <row r="945" spans="1:4" x14ac:dyDescent="0.35">
      <c r="A945">
        <v>-0.18024824559688599</v>
      </c>
      <c r="B945">
        <v>4.1399139606060604</v>
      </c>
      <c r="C945">
        <v>0.34052577614784202</v>
      </c>
      <c r="D945">
        <v>14.2133791805086</v>
      </c>
    </row>
    <row r="946" spans="1:4" x14ac:dyDescent="0.35">
      <c r="A946">
        <v>-0.179468274116516</v>
      </c>
      <c r="B946">
        <v>4.1384950061753498</v>
      </c>
      <c r="C946">
        <v>0.340796768665314</v>
      </c>
      <c r="D946">
        <v>14.266421353249999</v>
      </c>
    </row>
    <row r="947" spans="1:4" x14ac:dyDescent="0.35">
      <c r="A947">
        <v>-0.17901526391506201</v>
      </c>
      <c r="B947">
        <v>4.1581002955289499</v>
      </c>
      <c r="C947">
        <v>0.34318527579307601</v>
      </c>
      <c r="D947">
        <v>14.2414967315268</v>
      </c>
    </row>
    <row r="948" spans="1:4" x14ac:dyDescent="0.35">
      <c r="A948">
        <v>-0.17869310081005099</v>
      </c>
      <c r="B948">
        <v>4.1715692454909501</v>
      </c>
      <c r="C948">
        <v>0.3429996073246</v>
      </c>
      <c r="D948">
        <v>14.203696584147201</v>
      </c>
    </row>
    <row r="949" spans="1:4" x14ac:dyDescent="0.35">
      <c r="A949">
        <v>-0.17826999723911299</v>
      </c>
      <c r="B949">
        <v>4.1729637314359804</v>
      </c>
      <c r="C949">
        <v>0.34449318051338201</v>
      </c>
      <c r="D949">
        <v>14.212452626794599</v>
      </c>
    </row>
    <row r="950" spans="1:4" x14ac:dyDescent="0.35">
      <c r="A950">
        <v>-0.177745416760445</v>
      </c>
      <c r="B950">
        <v>4.1747512223109702</v>
      </c>
      <c r="C950">
        <v>0.34553501009941101</v>
      </c>
      <c r="D950">
        <v>14.1602594649758</v>
      </c>
    </row>
    <row r="951" spans="1:4" x14ac:dyDescent="0.35">
      <c r="A951">
        <v>-0.17729149758815799</v>
      </c>
      <c r="B951">
        <v>4.1930686421591004</v>
      </c>
      <c r="C951">
        <v>0.34603798389434798</v>
      </c>
      <c r="D951">
        <v>14.1463209226009</v>
      </c>
    </row>
    <row r="952" spans="1:4" x14ac:dyDescent="0.35">
      <c r="A952">
        <v>-0.176815494894981</v>
      </c>
      <c r="B952">
        <v>4.2005172688445898</v>
      </c>
      <c r="C952">
        <v>0.347964316606522</v>
      </c>
      <c r="D952">
        <v>14.175696951456301</v>
      </c>
    </row>
    <row r="953" spans="1:4" x14ac:dyDescent="0.35">
      <c r="A953">
        <v>-0.17602387070655801</v>
      </c>
      <c r="B953">
        <v>4.2259814965220102</v>
      </c>
      <c r="C953">
        <v>0.34819236397743197</v>
      </c>
      <c r="D953">
        <v>14.2062682540917</v>
      </c>
    </row>
    <row r="954" spans="1:4" x14ac:dyDescent="0.35">
      <c r="A954">
        <v>-0.175616204738617</v>
      </c>
      <c r="B954">
        <v>4.2266732667277997</v>
      </c>
      <c r="C954">
        <v>0.34945476055145303</v>
      </c>
      <c r="D954">
        <v>14.0973366395688</v>
      </c>
    </row>
    <row r="955" spans="1:4" x14ac:dyDescent="0.35">
      <c r="A955">
        <v>-0.17512047290801999</v>
      </c>
      <c r="B955">
        <v>4.2426585026831303</v>
      </c>
      <c r="C955">
        <v>0.35043707489967302</v>
      </c>
      <c r="D955">
        <v>14.147762119585</v>
      </c>
    </row>
    <row r="956" spans="1:4" x14ac:dyDescent="0.35">
      <c r="A956">
        <v>-0.17446953058242801</v>
      </c>
      <c r="B956">
        <v>4.2489205479537802</v>
      </c>
      <c r="C956">
        <v>0.35127380490303001</v>
      </c>
      <c r="D956">
        <v>14.1738931149349</v>
      </c>
    </row>
    <row r="957" spans="1:4" x14ac:dyDescent="0.35">
      <c r="A957">
        <v>-0.174193724989891</v>
      </c>
      <c r="B957">
        <v>4.2193386557545196</v>
      </c>
      <c r="C957">
        <v>0.35269236564636203</v>
      </c>
      <c r="D957">
        <v>14.1288489675433</v>
      </c>
    </row>
    <row r="958" spans="1:4" x14ac:dyDescent="0.35">
      <c r="A958">
        <v>-0.173699826002121</v>
      </c>
      <c r="B958">
        <v>4.2517665288169901</v>
      </c>
      <c r="C958">
        <v>0.35301595926284801</v>
      </c>
      <c r="D958">
        <v>14.1955060202223</v>
      </c>
    </row>
    <row r="959" spans="1:4" x14ac:dyDescent="0.35">
      <c r="A959">
        <v>-0.17316877841949499</v>
      </c>
      <c r="B959">
        <v>4.2705371394396101</v>
      </c>
      <c r="C959">
        <v>0.354327082633972</v>
      </c>
      <c r="D959">
        <v>14.178216209259199</v>
      </c>
    </row>
    <row r="960" spans="1:4" x14ac:dyDescent="0.35">
      <c r="A960">
        <v>-0.17266623675823201</v>
      </c>
      <c r="B960">
        <v>4.3005922367723697</v>
      </c>
      <c r="C960">
        <v>0.35521396994590798</v>
      </c>
      <c r="D960">
        <v>14.0321409507259</v>
      </c>
    </row>
    <row r="961" spans="1:4" x14ac:dyDescent="0.35">
      <c r="A961">
        <v>-0.17215636372566201</v>
      </c>
      <c r="B961">
        <v>4.2877115130509598</v>
      </c>
      <c r="C961">
        <v>0.35634377598762501</v>
      </c>
      <c r="D961">
        <v>14.139723068627299</v>
      </c>
    </row>
    <row r="962" spans="1:4" x14ac:dyDescent="0.35">
      <c r="A962">
        <v>-0.17166328430175801</v>
      </c>
      <c r="B962">
        <v>4.2923211812772202</v>
      </c>
      <c r="C962">
        <v>0.357776910066605</v>
      </c>
      <c r="D962">
        <v>14.1210602766823</v>
      </c>
    </row>
    <row r="963" spans="1:4" x14ac:dyDescent="0.35">
      <c r="A963">
        <v>-0.171130105853081</v>
      </c>
      <c r="B963">
        <v>4.3064558971147298</v>
      </c>
      <c r="C963">
        <v>0.358114004135132</v>
      </c>
      <c r="D963">
        <v>14.1832482942668</v>
      </c>
    </row>
    <row r="964" spans="1:4" x14ac:dyDescent="0.35">
      <c r="A964">
        <v>-0.17073173820972401</v>
      </c>
      <c r="B964">
        <v>4.2950402929455596</v>
      </c>
      <c r="C964">
        <v>0.359463661909103</v>
      </c>
      <c r="D964">
        <v>14.1605340313328</v>
      </c>
    </row>
    <row r="965" spans="1:4" x14ac:dyDescent="0.35">
      <c r="A965">
        <v>-0.17004428803920699</v>
      </c>
      <c r="B965">
        <v>4.3285646927970696</v>
      </c>
      <c r="C965">
        <v>0.36050432920455899</v>
      </c>
      <c r="D965">
        <v>13.9904163271387</v>
      </c>
    </row>
    <row r="966" spans="1:4" x14ac:dyDescent="0.35">
      <c r="A966">
        <v>-0.16964045166969299</v>
      </c>
      <c r="B966">
        <v>4.3339464745476803</v>
      </c>
      <c r="C966">
        <v>0.36117368936538702</v>
      </c>
      <c r="D966">
        <v>14.0854037774443</v>
      </c>
    </row>
    <row r="967" spans="1:4" x14ac:dyDescent="0.35">
      <c r="A967">
        <v>-0.16916881501674699</v>
      </c>
      <c r="B967">
        <v>4.3147481335792497</v>
      </c>
      <c r="C967">
        <v>0.36312246322631803</v>
      </c>
      <c r="D967">
        <v>14.074029876002299</v>
      </c>
    </row>
    <row r="968" spans="1:4" x14ac:dyDescent="0.35">
      <c r="A968">
        <v>-0.16867791116237599</v>
      </c>
      <c r="B968">
        <v>4.3406148797243604</v>
      </c>
      <c r="C968">
        <v>0.36282438039779702</v>
      </c>
      <c r="D968">
        <v>14.142468040977599</v>
      </c>
    </row>
    <row r="969" spans="1:4" x14ac:dyDescent="0.35">
      <c r="A969">
        <v>-0.16824528574943501</v>
      </c>
      <c r="B969">
        <v>4.3479287458879901</v>
      </c>
      <c r="C969">
        <v>0.36469671130180398</v>
      </c>
      <c r="D969">
        <v>14.147007350035301</v>
      </c>
    </row>
    <row r="970" spans="1:4" x14ac:dyDescent="0.35">
      <c r="A970">
        <v>-0.167770281434059</v>
      </c>
      <c r="B970">
        <v>4.3569436570411897</v>
      </c>
      <c r="C970">
        <v>0.36568012833595298</v>
      </c>
      <c r="D970">
        <v>14.0757830211118</v>
      </c>
    </row>
    <row r="971" spans="1:4" x14ac:dyDescent="0.35">
      <c r="A971">
        <v>-0.16713754832744601</v>
      </c>
      <c r="B971">
        <v>4.3769543786249496</v>
      </c>
      <c r="C971">
        <v>0.36626467108726501</v>
      </c>
      <c r="D971">
        <v>14.233436531824401</v>
      </c>
    </row>
    <row r="972" spans="1:4" x14ac:dyDescent="0.35">
      <c r="A972">
        <v>-0.16675178706645999</v>
      </c>
      <c r="B972">
        <v>4.3868793692336299</v>
      </c>
      <c r="C972">
        <v>0.36785688996315002</v>
      </c>
      <c r="D972">
        <v>14.1642803856071</v>
      </c>
    </row>
    <row r="973" spans="1:4" x14ac:dyDescent="0.35">
      <c r="A973">
        <v>-0.16618666052818301</v>
      </c>
      <c r="B973">
        <v>4.3904378696015298</v>
      </c>
      <c r="C973">
        <v>0.36763447523117099</v>
      </c>
      <c r="D973">
        <v>14.0663672630756</v>
      </c>
    </row>
    <row r="974" spans="1:4" x14ac:dyDescent="0.35">
      <c r="A974">
        <v>-0.165681913495064</v>
      </c>
      <c r="B974">
        <v>4.4138048838101502</v>
      </c>
      <c r="C974">
        <v>0.36942803859710699</v>
      </c>
      <c r="D974">
        <v>14.0977521089857</v>
      </c>
    </row>
    <row r="975" spans="1:4" x14ac:dyDescent="0.35">
      <c r="A975">
        <v>-0.165128618478775</v>
      </c>
      <c r="B975">
        <v>4.4095389425345797</v>
      </c>
      <c r="C975">
        <v>0.370619297027588</v>
      </c>
      <c r="D975">
        <v>14.177895234160699</v>
      </c>
    </row>
    <row r="976" spans="1:4" x14ac:dyDescent="0.35">
      <c r="A976">
        <v>-0.164684727787971</v>
      </c>
      <c r="B976">
        <v>4.3941468551635099</v>
      </c>
      <c r="C976">
        <v>0.370989620685577</v>
      </c>
      <c r="D976">
        <v>14.2081365158997</v>
      </c>
    </row>
    <row r="977" spans="1:4" x14ac:dyDescent="0.35">
      <c r="A977">
        <v>-0.164135202765465</v>
      </c>
      <c r="B977">
        <v>4.4149648663636301</v>
      </c>
      <c r="C977">
        <v>0.373059242963791</v>
      </c>
      <c r="D977">
        <v>14.1349852439352</v>
      </c>
    </row>
    <row r="978" spans="1:4" x14ac:dyDescent="0.35">
      <c r="A978">
        <v>-0.16359964013099701</v>
      </c>
      <c r="B978">
        <v>4.4486168650967199</v>
      </c>
      <c r="C978">
        <v>0.37318816781044001</v>
      </c>
      <c r="D978">
        <v>14.2060858395926</v>
      </c>
    </row>
    <row r="979" spans="1:4" x14ac:dyDescent="0.35">
      <c r="A979">
        <v>-0.16316942870616899</v>
      </c>
      <c r="B979">
        <v>4.4282050509885504</v>
      </c>
      <c r="C979">
        <v>0.37417626380920399</v>
      </c>
      <c r="D979">
        <v>14.148992643851299</v>
      </c>
    </row>
    <row r="980" spans="1:4" x14ac:dyDescent="0.35">
      <c r="A980">
        <v>-0.16255991160869601</v>
      </c>
      <c r="B980">
        <v>4.4522984525188001</v>
      </c>
      <c r="C980">
        <v>0.37576645612716703</v>
      </c>
      <c r="D980">
        <v>14.179985321221601</v>
      </c>
    </row>
    <row r="981" spans="1:4" x14ac:dyDescent="0.35">
      <c r="A981">
        <v>-0.162314623594284</v>
      </c>
      <c r="B981">
        <v>4.455647030043</v>
      </c>
      <c r="C981">
        <v>0.37603798508644098</v>
      </c>
      <c r="D981">
        <v>14.1879644126125</v>
      </c>
    </row>
    <row r="982" spans="1:4" x14ac:dyDescent="0.35">
      <c r="A982">
        <v>-0.161762475967407</v>
      </c>
      <c r="B982">
        <v>4.4734154516049003</v>
      </c>
      <c r="C982">
        <v>0.377779901027679</v>
      </c>
      <c r="D982">
        <v>14.187816055806801</v>
      </c>
    </row>
    <row r="983" spans="1:4" x14ac:dyDescent="0.35">
      <c r="A983">
        <v>-0.16130594909191101</v>
      </c>
      <c r="B983">
        <v>4.4825820920096504</v>
      </c>
      <c r="C983">
        <v>0.37807887792587302</v>
      </c>
      <c r="D983">
        <v>14.179024735285299</v>
      </c>
    </row>
    <row r="984" spans="1:4" x14ac:dyDescent="0.35">
      <c r="A984">
        <v>-0.16074393689632399</v>
      </c>
      <c r="B984">
        <v>4.4839532173055501</v>
      </c>
      <c r="C984">
        <v>0.37888637185096702</v>
      </c>
      <c r="D984">
        <v>14.1847321482603</v>
      </c>
    </row>
    <row r="985" spans="1:4" x14ac:dyDescent="0.35">
      <c r="A985">
        <v>-0.160224243998528</v>
      </c>
      <c r="B985">
        <v>4.5056561128891497</v>
      </c>
      <c r="C985">
        <v>0.38086053729057301</v>
      </c>
      <c r="D985">
        <v>14.208334177272601</v>
      </c>
    </row>
    <row r="986" spans="1:4" x14ac:dyDescent="0.35">
      <c r="A986">
        <v>-0.15960732102394101</v>
      </c>
      <c r="B986">
        <v>4.5017132659229997</v>
      </c>
      <c r="C986">
        <v>0.38067489862442</v>
      </c>
      <c r="D986">
        <v>14.1259787670459</v>
      </c>
    </row>
    <row r="987" spans="1:4" x14ac:dyDescent="0.35">
      <c r="A987">
        <v>-0.15909005701541901</v>
      </c>
      <c r="B987">
        <v>4.5223904021503802</v>
      </c>
      <c r="C987">
        <v>0.38242101669311501</v>
      </c>
      <c r="D987">
        <v>14.159360061667901</v>
      </c>
    </row>
    <row r="988" spans="1:4" x14ac:dyDescent="0.35">
      <c r="A988">
        <v>-0.15863502025604201</v>
      </c>
      <c r="B988">
        <v>4.5275409397619404</v>
      </c>
      <c r="C988">
        <v>0.38347655534744302</v>
      </c>
      <c r="D988">
        <v>14.232032646462001</v>
      </c>
    </row>
    <row r="989" spans="1:4" x14ac:dyDescent="0.35">
      <c r="A989">
        <v>-0.158153891563416</v>
      </c>
      <c r="B989">
        <v>4.5284064442550704</v>
      </c>
      <c r="C989">
        <v>0.38342243432998702</v>
      </c>
      <c r="D989">
        <v>14.1569054965493</v>
      </c>
    </row>
    <row r="990" spans="1:4" x14ac:dyDescent="0.35">
      <c r="A990">
        <v>-0.15748909115791301</v>
      </c>
      <c r="B990">
        <v>4.54715252629813</v>
      </c>
      <c r="C990">
        <v>0.386374741792679</v>
      </c>
      <c r="D990">
        <v>14.183645735988501</v>
      </c>
    </row>
    <row r="991" spans="1:4" x14ac:dyDescent="0.35">
      <c r="A991">
        <v>-0.15731015801429701</v>
      </c>
      <c r="B991">
        <v>4.57363171775852</v>
      </c>
      <c r="C991">
        <v>0.38583263754844699</v>
      </c>
      <c r="D991">
        <v>14.242705784281201</v>
      </c>
    </row>
    <row r="992" spans="1:4" x14ac:dyDescent="0.35">
      <c r="A992">
        <v>-0.15663895010948201</v>
      </c>
      <c r="B992">
        <v>4.5671243212945303</v>
      </c>
      <c r="C992">
        <v>0.38722124695777899</v>
      </c>
      <c r="D992">
        <v>14.212321649445601</v>
      </c>
    </row>
    <row r="993" spans="1:4" x14ac:dyDescent="0.35">
      <c r="A993">
        <v>-0.156195878982544</v>
      </c>
      <c r="B993">
        <v>4.5649714507189003</v>
      </c>
      <c r="C993">
        <v>0.38874652981758101</v>
      </c>
      <c r="D993">
        <v>14.126966238745</v>
      </c>
    </row>
    <row r="994" spans="1:4" x14ac:dyDescent="0.35">
      <c r="A994">
        <v>-0.15575577318668399</v>
      </c>
      <c r="B994">
        <v>4.5602555482232896</v>
      </c>
      <c r="C994">
        <v>0.388904809951782</v>
      </c>
      <c r="D994">
        <v>14.165239528044699</v>
      </c>
    </row>
    <row r="995" spans="1:4" x14ac:dyDescent="0.35">
      <c r="A995">
        <v>-0.155285283923149</v>
      </c>
      <c r="B995">
        <v>4.5734649182810401</v>
      </c>
      <c r="C995">
        <v>0.39107614755630499</v>
      </c>
      <c r="D995">
        <v>14.1577679770994</v>
      </c>
    </row>
    <row r="996" spans="1:4" x14ac:dyDescent="0.35">
      <c r="A996">
        <v>-0.15480282902717599</v>
      </c>
      <c r="B996">
        <v>4.5670184986087401</v>
      </c>
      <c r="C996">
        <v>0.39140200614929199</v>
      </c>
      <c r="D996">
        <v>14.1094541670642</v>
      </c>
    </row>
    <row r="997" spans="1:4" x14ac:dyDescent="0.35">
      <c r="A997">
        <v>-0.15417169034480999</v>
      </c>
      <c r="B997">
        <v>4.5845114543649004</v>
      </c>
      <c r="C997">
        <v>0.391871958971024</v>
      </c>
      <c r="D997">
        <v>14.227383709993999</v>
      </c>
    </row>
    <row r="998" spans="1:4" x14ac:dyDescent="0.35">
      <c r="A998">
        <v>-0.153642028570175</v>
      </c>
      <c r="B998">
        <v>4.5967058489983499</v>
      </c>
      <c r="C998">
        <v>0.39378139376640298</v>
      </c>
      <c r="D998">
        <v>14.239733070756801</v>
      </c>
    </row>
    <row r="999" spans="1:4" x14ac:dyDescent="0.35">
      <c r="A999">
        <v>-0.15301874279975899</v>
      </c>
      <c r="B999">
        <v>4.6047370496625897</v>
      </c>
      <c r="C999">
        <v>0.39378991723060602</v>
      </c>
      <c r="D999">
        <v>14.0832982870153</v>
      </c>
    </row>
    <row r="1000" spans="1:4" x14ac:dyDescent="0.35">
      <c r="A1000">
        <v>-0.15260399878025099</v>
      </c>
      <c r="B1000">
        <v>4.6196130941625002</v>
      </c>
      <c r="C1000">
        <v>0.39577993750572199</v>
      </c>
      <c r="D1000">
        <v>14.131294095391199</v>
      </c>
    </row>
    <row r="1001" spans="1:4" x14ac:dyDescent="0.35">
      <c r="A1001">
        <v>-0.152202159166336</v>
      </c>
      <c r="B1001">
        <v>4.6440838418845196</v>
      </c>
      <c r="C1001">
        <v>0.396656274795532</v>
      </c>
      <c r="D1001">
        <v>14.1513833206544</v>
      </c>
    </row>
    <row r="1002" spans="1:4" x14ac:dyDescent="0.35">
      <c r="A1002">
        <v>-0.15162551403045699</v>
      </c>
      <c r="B1002">
        <v>4.6607957442200201</v>
      </c>
      <c r="C1002">
        <v>0.39713680744171098</v>
      </c>
      <c r="D1002">
        <v>14.133418494012201</v>
      </c>
    </row>
    <row r="1003" spans="1:4" x14ac:dyDescent="0.35">
      <c r="A1003">
        <v>-0.151163309812546</v>
      </c>
      <c r="B1003">
        <v>4.6793444543910701</v>
      </c>
      <c r="C1003">
        <v>0.39875873923301702</v>
      </c>
      <c r="D1003">
        <v>14.1439571372762</v>
      </c>
    </row>
    <row r="1004" spans="1:4" x14ac:dyDescent="0.35">
      <c r="A1004">
        <v>-0.150740310549736</v>
      </c>
      <c r="B1004">
        <v>4.6729224968979803</v>
      </c>
      <c r="C1004">
        <v>0.398554116487503</v>
      </c>
      <c r="D1004">
        <v>14.1801865534255</v>
      </c>
    </row>
    <row r="1005" spans="1:4" x14ac:dyDescent="0.35">
      <c r="A1005">
        <v>-0.15014754235744501</v>
      </c>
      <c r="B1005">
        <v>4.6702146662685502</v>
      </c>
      <c r="C1005">
        <v>0.40036407113075301</v>
      </c>
      <c r="D1005">
        <v>14.078271311396101</v>
      </c>
    </row>
    <row r="1006" spans="1:4" x14ac:dyDescent="0.35">
      <c r="A1006">
        <v>-0.14975208044052099</v>
      </c>
      <c r="B1006">
        <v>4.6715355301585504</v>
      </c>
      <c r="C1006">
        <v>0.401539266109467</v>
      </c>
      <c r="D1006">
        <v>14.0188304869821</v>
      </c>
    </row>
    <row r="1007" spans="1:4" x14ac:dyDescent="0.35">
      <c r="A1007">
        <v>-0.14918296039104501</v>
      </c>
      <c r="B1007">
        <v>4.7026509254900803</v>
      </c>
      <c r="C1007">
        <v>0.40218111872673001</v>
      </c>
      <c r="D1007">
        <v>14.110523698667899</v>
      </c>
    </row>
    <row r="1008" spans="1:4" x14ac:dyDescent="0.35">
      <c r="A1008">
        <v>-0.14871209859848</v>
      </c>
      <c r="B1008">
        <v>4.7060708075683602</v>
      </c>
      <c r="C1008">
        <v>0.40341165661811801</v>
      </c>
      <c r="D1008">
        <v>14.0740374455766</v>
      </c>
    </row>
    <row r="1009" spans="1:4" x14ac:dyDescent="0.35">
      <c r="A1009">
        <v>-0.148184403777122</v>
      </c>
      <c r="B1009">
        <v>4.7275938653459404</v>
      </c>
      <c r="C1009">
        <v>0.40372565388679499</v>
      </c>
      <c r="D1009">
        <v>14.0648271749626</v>
      </c>
    </row>
    <row r="1010" spans="1:4" x14ac:dyDescent="0.35">
      <c r="A1010">
        <v>-0.14775268733501401</v>
      </c>
      <c r="B1010">
        <v>4.7183137054178097</v>
      </c>
      <c r="C1010">
        <v>0.40529242157936102</v>
      </c>
      <c r="D1010">
        <v>14.040653568718399</v>
      </c>
    </row>
    <row r="1011" spans="1:4" x14ac:dyDescent="0.35">
      <c r="A1011">
        <v>-0.14715392887592299</v>
      </c>
      <c r="B1011">
        <v>4.73548460899777</v>
      </c>
      <c r="C1011">
        <v>0.40622386336326599</v>
      </c>
      <c r="D1011">
        <v>14.1373421555565</v>
      </c>
    </row>
    <row r="1012" spans="1:4" x14ac:dyDescent="0.35">
      <c r="A1012">
        <v>-0.146549552679062</v>
      </c>
      <c r="B1012">
        <v>4.7688972697715997</v>
      </c>
      <c r="C1012">
        <v>0.40712994337081898</v>
      </c>
      <c r="D1012">
        <v>14.085507474329001</v>
      </c>
    </row>
    <row r="1013" spans="1:4" x14ac:dyDescent="0.35">
      <c r="A1013">
        <v>-0.14620083570480299</v>
      </c>
      <c r="B1013">
        <v>4.7735141753875698</v>
      </c>
      <c r="C1013">
        <v>0.40887808799743702</v>
      </c>
      <c r="D1013">
        <v>14.060792918535901</v>
      </c>
    </row>
    <row r="1014" spans="1:4" x14ac:dyDescent="0.35">
      <c r="A1014">
        <v>-0.145771279931068</v>
      </c>
      <c r="B1014">
        <v>4.7798308356370303</v>
      </c>
      <c r="C1014">
        <v>0.40884837508201599</v>
      </c>
      <c r="D1014">
        <v>14.069987278286201</v>
      </c>
    </row>
    <row r="1015" spans="1:4" x14ac:dyDescent="0.35">
      <c r="A1015">
        <v>-0.14510239660739899</v>
      </c>
      <c r="B1015">
        <v>4.7836410422461704</v>
      </c>
      <c r="C1015">
        <v>0.41106128692626998</v>
      </c>
      <c r="D1015">
        <v>14.008421621101601</v>
      </c>
    </row>
    <row r="1016" spans="1:4" x14ac:dyDescent="0.35">
      <c r="A1016">
        <v>-0.14476746320724501</v>
      </c>
      <c r="B1016">
        <v>4.7927013110872796</v>
      </c>
      <c r="C1016">
        <v>0.41093611717224099</v>
      </c>
      <c r="D1016">
        <v>13.9963865336046</v>
      </c>
    </row>
    <row r="1017" spans="1:4" x14ac:dyDescent="0.35">
      <c r="A1017">
        <v>-0.14411321282386799</v>
      </c>
      <c r="B1017">
        <v>4.7889294041607702</v>
      </c>
      <c r="C1017">
        <v>0.41216027736663802</v>
      </c>
      <c r="D1017">
        <v>14.0500929378103</v>
      </c>
    </row>
    <row r="1018" spans="1:4" x14ac:dyDescent="0.35">
      <c r="A1018">
        <v>-0.14368277788162201</v>
      </c>
      <c r="B1018">
        <v>4.8153876733694698</v>
      </c>
      <c r="C1018">
        <v>0.41398274898529103</v>
      </c>
      <c r="D1018">
        <v>14.001545553839099</v>
      </c>
    </row>
    <row r="1019" spans="1:4" x14ac:dyDescent="0.35">
      <c r="A1019">
        <v>-0.143195331096649</v>
      </c>
      <c r="B1019">
        <v>4.8314906938816504</v>
      </c>
      <c r="C1019">
        <v>0.41387575864791898</v>
      </c>
      <c r="D1019">
        <v>14.0065576586608</v>
      </c>
    </row>
    <row r="1020" spans="1:4" x14ac:dyDescent="0.35">
      <c r="A1020">
        <v>-0.142693981528282</v>
      </c>
      <c r="B1020">
        <v>4.8331932716603401</v>
      </c>
      <c r="C1020">
        <v>0.41566634178161599</v>
      </c>
      <c r="D1020">
        <v>13.9878609584917</v>
      </c>
    </row>
    <row r="1021" spans="1:4" x14ac:dyDescent="0.35">
      <c r="A1021">
        <v>-0.142263174057007</v>
      </c>
      <c r="B1021">
        <v>4.8256817054301999</v>
      </c>
      <c r="C1021">
        <v>0.416086345911026</v>
      </c>
      <c r="D1021">
        <v>14.065361185988399</v>
      </c>
    </row>
    <row r="1022" spans="1:4" x14ac:dyDescent="0.35">
      <c r="A1022">
        <v>-0.14165587723255199</v>
      </c>
      <c r="B1022">
        <v>4.83792667177564</v>
      </c>
      <c r="C1022">
        <v>0.41717571020126298</v>
      </c>
      <c r="D1022">
        <v>14.0515581669047</v>
      </c>
    </row>
    <row r="1023" spans="1:4" x14ac:dyDescent="0.35">
      <c r="A1023">
        <v>-0.141223520040512</v>
      </c>
      <c r="B1023">
        <v>4.8755921559559798</v>
      </c>
      <c r="C1023">
        <v>0.41901111602783198</v>
      </c>
      <c r="D1023">
        <v>14.0260583063514</v>
      </c>
    </row>
    <row r="1024" spans="1:4" x14ac:dyDescent="0.35">
      <c r="A1024">
        <v>-0.14056409895420099</v>
      </c>
      <c r="B1024">
        <v>4.8875259442575496</v>
      </c>
      <c r="C1024">
        <v>0.418358564376831</v>
      </c>
      <c r="D1024">
        <v>14.027589130996001</v>
      </c>
    </row>
    <row r="1025" spans="1:4" x14ac:dyDescent="0.35">
      <c r="A1025">
        <v>-0.14014096558094</v>
      </c>
      <c r="B1025">
        <v>4.8632170515310102</v>
      </c>
      <c r="C1025">
        <v>0.42028409242629999</v>
      </c>
      <c r="D1025">
        <v>14.0560164711551</v>
      </c>
    </row>
    <row r="1026" spans="1:4" x14ac:dyDescent="0.35">
      <c r="A1026">
        <v>-0.13969452679157299</v>
      </c>
      <c r="B1026">
        <v>4.8942045462494903</v>
      </c>
      <c r="C1026">
        <v>0.42157298326492298</v>
      </c>
      <c r="D1026">
        <v>13.9860807625926</v>
      </c>
    </row>
    <row r="1027" spans="1:4" x14ac:dyDescent="0.35">
      <c r="A1027">
        <v>-0.13907882571220401</v>
      </c>
      <c r="B1027">
        <v>4.8581009801609403</v>
      </c>
      <c r="C1027">
        <v>0.422182947397232</v>
      </c>
      <c r="D1027">
        <v>13.9728735763372</v>
      </c>
    </row>
    <row r="1028" spans="1:4" x14ac:dyDescent="0.35">
      <c r="A1028">
        <v>-0.13875845074653601</v>
      </c>
      <c r="B1028">
        <v>4.8588127073869902</v>
      </c>
      <c r="C1028">
        <v>0.42384418845176702</v>
      </c>
      <c r="D1028">
        <v>14.0037431551988</v>
      </c>
    </row>
    <row r="1029" spans="1:4" x14ac:dyDescent="0.35">
      <c r="A1029">
        <v>-0.138289794325829</v>
      </c>
      <c r="B1029">
        <v>4.8758096953746497</v>
      </c>
      <c r="C1029">
        <v>0.42397058010101302</v>
      </c>
      <c r="D1029">
        <v>14.010676196063001</v>
      </c>
    </row>
    <row r="1030" spans="1:4" x14ac:dyDescent="0.35">
      <c r="A1030">
        <v>-0.137560695409775</v>
      </c>
      <c r="B1030">
        <v>4.9094603105729098</v>
      </c>
      <c r="C1030">
        <v>0.42557764053344699</v>
      </c>
      <c r="D1030">
        <v>13.919978615089001</v>
      </c>
    </row>
    <row r="1031" spans="1:4" x14ac:dyDescent="0.35">
      <c r="A1031">
        <v>-0.13734404742717701</v>
      </c>
      <c r="B1031">
        <v>4.9122965477702696</v>
      </c>
      <c r="C1031">
        <v>0.42676681280136097</v>
      </c>
      <c r="D1031">
        <v>13.996669192979001</v>
      </c>
    </row>
    <row r="1032" spans="1:4" x14ac:dyDescent="0.35">
      <c r="A1032">
        <v>-0.13678430020809201</v>
      </c>
      <c r="B1032">
        <v>4.9310406107559004</v>
      </c>
      <c r="C1032">
        <v>0.42679649591445901</v>
      </c>
      <c r="D1032">
        <v>13.9765614252668</v>
      </c>
    </row>
    <row r="1033" spans="1:4" x14ac:dyDescent="0.35">
      <c r="A1033">
        <v>-0.136351883411407</v>
      </c>
      <c r="B1033">
        <v>4.9359056140867903</v>
      </c>
      <c r="C1033">
        <v>0.42854791879653897</v>
      </c>
      <c r="D1033">
        <v>13.968170898785701</v>
      </c>
    </row>
    <row r="1034" spans="1:4" x14ac:dyDescent="0.35">
      <c r="A1034">
        <v>-0.135753229260445</v>
      </c>
      <c r="B1034">
        <v>4.9386314641465203</v>
      </c>
      <c r="C1034">
        <v>0.42898821830749501</v>
      </c>
      <c r="D1034">
        <v>13.9595445715557</v>
      </c>
    </row>
    <row r="1035" spans="1:4" x14ac:dyDescent="0.35">
      <c r="A1035">
        <v>-0.13511079549789401</v>
      </c>
      <c r="B1035">
        <v>4.9670087910532397</v>
      </c>
      <c r="C1035">
        <v>0.43030044436454801</v>
      </c>
      <c r="D1035">
        <v>13.9158705588407</v>
      </c>
    </row>
    <row r="1036" spans="1:4" x14ac:dyDescent="0.35">
      <c r="A1036">
        <v>-0.13472348451614399</v>
      </c>
      <c r="B1036">
        <v>4.9626323246963002</v>
      </c>
      <c r="C1036">
        <v>0.43178558349609403</v>
      </c>
      <c r="D1036">
        <v>13.974597181032699</v>
      </c>
    </row>
    <row r="1037" spans="1:4" x14ac:dyDescent="0.35">
      <c r="A1037">
        <v>-0.13412983715534199</v>
      </c>
      <c r="B1037">
        <v>4.9878019631906803</v>
      </c>
      <c r="C1037">
        <v>0.43172615766525302</v>
      </c>
      <c r="D1037">
        <v>13.9364685862773</v>
      </c>
    </row>
    <row r="1038" spans="1:4" x14ac:dyDescent="0.35">
      <c r="A1038">
        <v>-0.133695483207703</v>
      </c>
      <c r="B1038">
        <v>5.0009721755634304</v>
      </c>
      <c r="C1038">
        <v>0.43393161892890902</v>
      </c>
      <c r="D1038">
        <v>13.9880947920228</v>
      </c>
    </row>
    <row r="1039" spans="1:4" x14ac:dyDescent="0.35">
      <c r="A1039">
        <v>-0.13310158252716101</v>
      </c>
      <c r="B1039">
        <v>5.0004810612633399</v>
      </c>
      <c r="C1039">
        <v>0.43388044834137002</v>
      </c>
      <c r="D1039">
        <v>13.9268274532517</v>
      </c>
    </row>
    <row r="1040" spans="1:4" x14ac:dyDescent="0.35">
      <c r="A1040">
        <v>-0.13267758488655099</v>
      </c>
      <c r="B1040">
        <v>5.0180119456525203</v>
      </c>
      <c r="C1040">
        <v>0.43538710474968001</v>
      </c>
      <c r="D1040">
        <v>13.9599851243747</v>
      </c>
    </row>
    <row r="1041" spans="1:4" x14ac:dyDescent="0.35">
      <c r="A1041">
        <v>-0.13216453790664701</v>
      </c>
      <c r="B1041">
        <v>5.0109873139793404</v>
      </c>
      <c r="C1041">
        <v>0.43653410673141502</v>
      </c>
      <c r="D1041">
        <v>13.847748413602501</v>
      </c>
    </row>
    <row r="1042" spans="1:4" x14ac:dyDescent="0.35">
      <c r="A1042">
        <v>-0.13155588507652299</v>
      </c>
      <c r="B1042">
        <v>5.0238578631203303</v>
      </c>
      <c r="C1042">
        <v>0.43679374456405601</v>
      </c>
      <c r="D1042">
        <v>13.958797977004499</v>
      </c>
    </row>
    <row r="1043" spans="1:4" x14ac:dyDescent="0.35">
      <c r="A1043">
        <v>-0.13113929331302601</v>
      </c>
      <c r="B1043">
        <v>5.0334676828640497</v>
      </c>
      <c r="C1043">
        <v>0.43921670317649802</v>
      </c>
      <c r="D1043">
        <v>13.940063912240401</v>
      </c>
    </row>
    <row r="1044" spans="1:4" x14ac:dyDescent="0.35">
      <c r="A1044">
        <v>-0.13080832362174999</v>
      </c>
      <c r="B1044">
        <v>5.0518180184508399</v>
      </c>
      <c r="C1044">
        <v>0.43936398625373801</v>
      </c>
      <c r="D1044">
        <v>13.9454792647901</v>
      </c>
    </row>
    <row r="1045" spans="1:4" x14ac:dyDescent="0.35">
      <c r="A1045">
        <v>-0.130149215459824</v>
      </c>
      <c r="B1045">
        <v>5.0515848276738504</v>
      </c>
      <c r="C1045">
        <v>0.439981549978256</v>
      </c>
      <c r="D1045">
        <v>13.9051877804523</v>
      </c>
    </row>
    <row r="1046" spans="1:4" x14ac:dyDescent="0.35">
      <c r="A1046">
        <v>-0.12980757653713201</v>
      </c>
      <c r="B1046">
        <v>5.0762658558238902</v>
      </c>
      <c r="C1046">
        <v>0.44186344742775002</v>
      </c>
      <c r="D1046">
        <v>13.8563130075656</v>
      </c>
    </row>
    <row r="1047" spans="1:4" x14ac:dyDescent="0.35">
      <c r="A1047">
        <v>-0.12928166985511799</v>
      </c>
      <c r="B1047">
        <v>5.0838597811102</v>
      </c>
      <c r="C1047">
        <v>0.44218379259109503</v>
      </c>
      <c r="D1047">
        <v>13.9152603389756</v>
      </c>
    </row>
    <row r="1048" spans="1:4" x14ac:dyDescent="0.35">
      <c r="A1048">
        <v>-0.12865428626537301</v>
      </c>
      <c r="B1048">
        <v>5.0977307347306802</v>
      </c>
      <c r="C1048">
        <v>0.44352892041206399</v>
      </c>
      <c r="D1048">
        <v>13.8826938923375</v>
      </c>
    </row>
    <row r="1049" spans="1:4" x14ac:dyDescent="0.35">
      <c r="A1049">
        <v>-0.128241792321205</v>
      </c>
      <c r="B1049">
        <v>5.1037852534832204</v>
      </c>
      <c r="C1049">
        <v>0.44461491703987099</v>
      </c>
      <c r="D1049">
        <v>13.8992973088915</v>
      </c>
    </row>
    <row r="1050" spans="1:4" x14ac:dyDescent="0.35">
      <c r="A1050">
        <v>-0.127743884921074</v>
      </c>
      <c r="B1050">
        <v>5.1072962265844</v>
      </c>
      <c r="C1050">
        <v>0.44427251815795898</v>
      </c>
      <c r="D1050">
        <v>13.8988341745551</v>
      </c>
    </row>
    <row r="1051" spans="1:4" x14ac:dyDescent="0.35">
      <c r="A1051">
        <v>-0.12720614671707201</v>
      </c>
      <c r="B1051">
        <v>5.1002131839773401</v>
      </c>
      <c r="C1051">
        <v>0.44661283493041998</v>
      </c>
      <c r="D1051">
        <v>13.922743535599899</v>
      </c>
    </row>
    <row r="1052" spans="1:4" x14ac:dyDescent="0.35">
      <c r="A1052">
        <v>-0.12671194970607799</v>
      </c>
      <c r="B1052">
        <v>5.1195581029564803</v>
      </c>
      <c r="C1052">
        <v>0.44707003235817</v>
      </c>
      <c r="D1052">
        <v>13.8665699970721</v>
      </c>
    </row>
    <row r="1053" spans="1:4" x14ac:dyDescent="0.35">
      <c r="A1053">
        <v>-0.126223385334015</v>
      </c>
      <c r="B1053">
        <v>5.1544055142568697</v>
      </c>
      <c r="C1053">
        <v>0.44835996627807601</v>
      </c>
      <c r="D1053">
        <v>13.870883027533001</v>
      </c>
    </row>
    <row r="1054" spans="1:4" x14ac:dyDescent="0.35">
      <c r="A1054">
        <v>-0.12565717101097101</v>
      </c>
      <c r="B1054">
        <v>5.1162112140457303</v>
      </c>
      <c r="C1054">
        <v>0.44954493641853299</v>
      </c>
      <c r="D1054">
        <v>13.8446831726996</v>
      </c>
    </row>
    <row r="1055" spans="1:4" x14ac:dyDescent="0.35">
      <c r="A1055">
        <v>-0.12520018219947801</v>
      </c>
      <c r="B1055">
        <v>5.1418839099225302</v>
      </c>
      <c r="C1055">
        <v>0.45000734925270103</v>
      </c>
      <c r="D1055">
        <v>13.8683930404557</v>
      </c>
    </row>
    <row r="1056" spans="1:4" x14ac:dyDescent="0.35">
      <c r="A1056">
        <v>-0.12465023994445799</v>
      </c>
      <c r="B1056">
        <v>5.1511485446464302</v>
      </c>
      <c r="C1056">
        <v>0.451331406831741</v>
      </c>
      <c r="D1056">
        <v>13.8328889411896</v>
      </c>
    </row>
    <row r="1057" spans="1:4" x14ac:dyDescent="0.35">
      <c r="A1057">
        <v>-0.124234601855278</v>
      </c>
      <c r="B1057">
        <v>5.1745612828846301</v>
      </c>
      <c r="C1057">
        <v>0.45219910144805903</v>
      </c>
      <c r="D1057">
        <v>13.831361018191799</v>
      </c>
    </row>
    <row r="1058" spans="1:4" x14ac:dyDescent="0.35">
      <c r="A1058">
        <v>-0.123601451516151</v>
      </c>
      <c r="B1058">
        <v>5.1792114011180299</v>
      </c>
      <c r="C1058">
        <v>0.45345190167427102</v>
      </c>
      <c r="D1058">
        <v>13.828430972322201</v>
      </c>
    </row>
    <row r="1059" spans="1:4" x14ac:dyDescent="0.35">
      <c r="A1059">
        <v>-0.123250767588615</v>
      </c>
      <c r="B1059">
        <v>5.1791500772736603</v>
      </c>
      <c r="C1059">
        <v>0.454555183649063</v>
      </c>
      <c r="D1059">
        <v>13.832479967763501</v>
      </c>
    </row>
    <row r="1060" spans="1:4" x14ac:dyDescent="0.35">
      <c r="A1060">
        <v>-0.122653968632221</v>
      </c>
      <c r="B1060">
        <v>5.2077971523641899</v>
      </c>
      <c r="C1060">
        <v>0.45492857694625899</v>
      </c>
      <c r="D1060">
        <v>13.8413425867241</v>
      </c>
    </row>
    <row r="1061" spans="1:4" x14ac:dyDescent="0.35">
      <c r="A1061">
        <v>-0.12209957838058499</v>
      </c>
      <c r="B1061">
        <v>5.21824905733133</v>
      </c>
      <c r="C1061">
        <v>0.45694124698638899</v>
      </c>
      <c r="D1061">
        <v>13.7703160857632</v>
      </c>
    </row>
    <row r="1062" spans="1:4" x14ac:dyDescent="0.35">
      <c r="A1062">
        <v>-0.121744334697723</v>
      </c>
      <c r="B1062">
        <v>5.2201203083488403</v>
      </c>
      <c r="C1062">
        <v>0.45671397447586098</v>
      </c>
      <c r="D1062">
        <v>13.8306953800543</v>
      </c>
    </row>
    <row r="1063" spans="1:4" x14ac:dyDescent="0.35">
      <c r="A1063">
        <v>-0.121250241994858</v>
      </c>
      <c r="B1063">
        <v>5.2205646977562896</v>
      </c>
      <c r="C1063">
        <v>0.458251953125</v>
      </c>
      <c r="D1063">
        <v>13.8213801199839</v>
      </c>
    </row>
    <row r="1064" spans="1:4" x14ac:dyDescent="0.35">
      <c r="A1064">
        <v>-0.12065973877906799</v>
      </c>
      <c r="B1064">
        <v>5.2487051668645597</v>
      </c>
      <c r="C1064">
        <v>0.459970712661743</v>
      </c>
      <c r="D1064">
        <v>13.739699996491201</v>
      </c>
    </row>
    <row r="1065" spans="1:4" x14ac:dyDescent="0.35">
      <c r="A1065">
        <v>-0.120209120213985</v>
      </c>
      <c r="B1065">
        <v>5.2621117269688904</v>
      </c>
      <c r="C1065">
        <v>0.45979356765747098</v>
      </c>
      <c r="D1065">
        <v>13.8119399416188</v>
      </c>
    </row>
    <row r="1066" spans="1:4" x14ac:dyDescent="0.35">
      <c r="A1066">
        <v>-0.119597651064396</v>
      </c>
      <c r="B1066">
        <v>5.2300890006254699</v>
      </c>
      <c r="C1066">
        <v>0.46182483434677102</v>
      </c>
      <c r="D1066">
        <v>13.709582793136599</v>
      </c>
    </row>
    <row r="1067" spans="1:4" x14ac:dyDescent="0.35">
      <c r="A1067">
        <v>-0.119095914065838</v>
      </c>
      <c r="B1067">
        <v>5.2560508870376799</v>
      </c>
      <c r="C1067">
        <v>0.46171686053276101</v>
      </c>
      <c r="D1067">
        <v>13.811854547346901</v>
      </c>
    </row>
    <row r="1068" spans="1:4" x14ac:dyDescent="0.35">
      <c r="A1068">
        <v>-0.118724837899208</v>
      </c>
      <c r="B1068">
        <v>5.2800054687511597</v>
      </c>
      <c r="C1068">
        <v>0.46326479315757801</v>
      </c>
      <c r="D1068">
        <v>13.7703847833221</v>
      </c>
    </row>
    <row r="1069" spans="1:4" x14ac:dyDescent="0.35">
      <c r="A1069">
        <v>-0.11828824877739</v>
      </c>
      <c r="B1069">
        <v>5.2621505318988904</v>
      </c>
      <c r="C1069">
        <v>0.46492800116539001</v>
      </c>
      <c r="D1069">
        <v>13.777776935840601</v>
      </c>
    </row>
    <row r="1070" spans="1:4" x14ac:dyDescent="0.35">
      <c r="A1070">
        <v>-0.117609918117523</v>
      </c>
      <c r="B1070">
        <v>5.3098758990107902</v>
      </c>
      <c r="C1070">
        <v>0.46445271372795099</v>
      </c>
      <c r="D1070">
        <v>13.7653391611675</v>
      </c>
    </row>
    <row r="1071" spans="1:4" x14ac:dyDescent="0.35">
      <c r="A1071">
        <v>-0.117423363029957</v>
      </c>
      <c r="B1071">
        <v>5.2946591697526699</v>
      </c>
      <c r="C1071">
        <v>0.46646180748939498</v>
      </c>
      <c r="D1071">
        <v>13.737433713804799</v>
      </c>
    </row>
    <row r="1072" spans="1:4" x14ac:dyDescent="0.35">
      <c r="A1072">
        <v>-0.116962872445583</v>
      </c>
      <c r="B1072">
        <v>5.3235918101389297</v>
      </c>
      <c r="C1072">
        <v>0.46738588809967002</v>
      </c>
      <c r="D1072">
        <v>13.6694830948262</v>
      </c>
    </row>
    <row r="1073" spans="1:4" x14ac:dyDescent="0.35">
      <c r="A1073">
        <v>-0.11605127900838901</v>
      </c>
      <c r="B1073">
        <v>5.3372226774684801</v>
      </c>
      <c r="C1073">
        <v>0.46845081448554998</v>
      </c>
      <c r="D1073">
        <v>13.7532186193613</v>
      </c>
    </row>
    <row r="1074" spans="1:4" x14ac:dyDescent="0.35">
      <c r="A1074">
        <v>-0.115672670304775</v>
      </c>
      <c r="B1074">
        <v>5.3359764576717499</v>
      </c>
      <c r="C1074">
        <v>0.47015357017517101</v>
      </c>
      <c r="D1074">
        <v>13.7169676625261</v>
      </c>
    </row>
    <row r="1075" spans="1:4" x14ac:dyDescent="0.35">
      <c r="A1075">
        <v>-0.115276321768761</v>
      </c>
      <c r="B1075">
        <v>5.3574981609825203</v>
      </c>
      <c r="C1075">
        <v>0.46953302621841397</v>
      </c>
      <c r="D1075">
        <v>13.7088708002084</v>
      </c>
    </row>
    <row r="1076" spans="1:4" x14ac:dyDescent="0.35">
      <c r="A1076">
        <v>-0.114691026508808</v>
      </c>
      <c r="B1076">
        <v>5.3626408962003396</v>
      </c>
      <c r="C1076">
        <v>0.47139367461204501</v>
      </c>
      <c r="D1076">
        <v>13.706988967961999</v>
      </c>
    </row>
    <row r="1077" spans="1:4" x14ac:dyDescent="0.35">
      <c r="A1077">
        <v>-0.11406559497118</v>
      </c>
      <c r="B1077">
        <v>5.3647952630504001</v>
      </c>
      <c r="C1077">
        <v>0.47252562642097501</v>
      </c>
      <c r="D1077">
        <v>13.721653426226601</v>
      </c>
    </row>
    <row r="1078" spans="1:4" x14ac:dyDescent="0.35">
      <c r="A1078">
        <v>-0.113812237977982</v>
      </c>
      <c r="B1078">
        <v>5.3641351798523296</v>
      </c>
      <c r="C1078">
        <v>0.473029494285583</v>
      </c>
      <c r="D1078">
        <v>13.6751391393675</v>
      </c>
    </row>
    <row r="1079" spans="1:4" x14ac:dyDescent="0.35">
      <c r="A1079">
        <v>-0.11311145871877699</v>
      </c>
      <c r="B1079">
        <v>5.3989336570961397</v>
      </c>
      <c r="C1079">
        <v>0.47456875443458602</v>
      </c>
      <c r="D1079">
        <v>13.6924133442723</v>
      </c>
    </row>
    <row r="1080" spans="1:4" x14ac:dyDescent="0.35">
      <c r="A1080">
        <v>-0.112771920859814</v>
      </c>
      <c r="B1080">
        <v>5.4197800436753596</v>
      </c>
      <c r="C1080">
        <v>0.47522699832916299</v>
      </c>
      <c r="D1080">
        <v>13.6964539899085</v>
      </c>
    </row>
    <row r="1081" spans="1:4" x14ac:dyDescent="0.35">
      <c r="A1081">
        <v>-0.11233779788017299</v>
      </c>
      <c r="B1081">
        <v>5.42762517218104</v>
      </c>
      <c r="C1081">
        <v>0.47601783275604198</v>
      </c>
      <c r="D1081">
        <v>13.657084766618199</v>
      </c>
    </row>
    <row r="1082" spans="1:4" x14ac:dyDescent="0.35">
      <c r="A1082">
        <v>-0.11170902103185699</v>
      </c>
      <c r="B1082">
        <v>5.4371352556978598</v>
      </c>
      <c r="C1082">
        <v>0.47801646590232799</v>
      </c>
      <c r="D1082">
        <v>13.6377657659904</v>
      </c>
    </row>
    <row r="1083" spans="1:4" x14ac:dyDescent="0.35">
      <c r="A1083">
        <v>-0.111367031931877</v>
      </c>
      <c r="B1083">
        <v>5.4251031481062002</v>
      </c>
      <c r="C1083">
        <v>0.47804483771324202</v>
      </c>
      <c r="D1083">
        <v>13.718220658527899</v>
      </c>
    </row>
    <row r="1084" spans="1:4" x14ac:dyDescent="0.35">
      <c r="A1084">
        <v>-0.110935918986797</v>
      </c>
      <c r="B1084">
        <v>5.4486569101989</v>
      </c>
      <c r="C1084">
        <v>0.47966822981834401</v>
      </c>
      <c r="D1084">
        <v>13.7073690176156</v>
      </c>
    </row>
    <row r="1085" spans="1:4" x14ac:dyDescent="0.35">
      <c r="A1085">
        <v>-0.11012212932109799</v>
      </c>
      <c r="B1085">
        <v>5.4634096346857</v>
      </c>
      <c r="C1085">
        <v>0.48001539707183799</v>
      </c>
      <c r="D1085">
        <v>13.657727193165799</v>
      </c>
    </row>
    <row r="1086" spans="1:4" x14ac:dyDescent="0.35">
      <c r="A1086">
        <v>-0.109659649431705</v>
      </c>
      <c r="B1086">
        <v>5.4632454318871604</v>
      </c>
      <c r="C1086">
        <v>0.48087641596794101</v>
      </c>
      <c r="D1086">
        <v>13.691498222137501</v>
      </c>
    </row>
    <row r="1087" spans="1:4" x14ac:dyDescent="0.35">
      <c r="A1087">
        <v>-0.109185636043549</v>
      </c>
      <c r="B1087">
        <v>5.4652922308766003</v>
      </c>
      <c r="C1087">
        <v>0.48296523094177202</v>
      </c>
      <c r="D1087">
        <v>13.7000589702127</v>
      </c>
    </row>
    <row r="1088" spans="1:4" x14ac:dyDescent="0.35">
      <c r="A1088">
        <v>-0.108636602759361</v>
      </c>
      <c r="B1088">
        <v>5.4632513571915604</v>
      </c>
      <c r="C1088">
        <v>0.48306384682655301</v>
      </c>
      <c r="D1088">
        <v>13.629372561051801</v>
      </c>
    </row>
    <row r="1089" spans="1:4" x14ac:dyDescent="0.35">
      <c r="A1089">
        <v>-0.108126811683178</v>
      </c>
      <c r="B1089">
        <v>5.4765528643735903</v>
      </c>
      <c r="C1089">
        <v>0.48497867584228499</v>
      </c>
      <c r="D1089">
        <v>13.646120759634</v>
      </c>
    </row>
    <row r="1090" spans="1:4" x14ac:dyDescent="0.35">
      <c r="A1090">
        <v>-0.107728205621243</v>
      </c>
      <c r="B1090">
        <v>5.4915580918737499</v>
      </c>
      <c r="C1090">
        <v>0.48533093929290799</v>
      </c>
      <c r="D1090">
        <v>13.640922964438101</v>
      </c>
    </row>
    <row r="1091" spans="1:4" x14ac:dyDescent="0.35">
      <c r="A1091">
        <v>-0.107234939932823</v>
      </c>
      <c r="B1091">
        <v>5.5022101625062101</v>
      </c>
      <c r="C1091">
        <v>0.48591220378875699</v>
      </c>
      <c r="D1091">
        <v>13.644523465909099</v>
      </c>
    </row>
    <row r="1092" spans="1:4" x14ac:dyDescent="0.35">
      <c r="A1092">
        <v>-0.106680430471897</v>
      </c>
      <c r="B1092">
        <v>5.4887112751841904</v>
      </c>
      <c r="C1092">
        <v>0.48796594142913802</v>
      </c>
      <c r="D1092">
        <v>13.61053897028</v>
      </c>
    </row>
    <row r="1093" spans="1:4" x14ac:dyDescent="0.35">
      <c r="A1093">
        <v>-0.106283232569695</v>
      </c>
      <c r="B1093">
        <v>5.5188302068524697</v>
      </c>
      <c r="C1093">
        <v>0.48841220140457198</v>
      </c>
      <c r="D1093">
        <v>13.6645048357239</v>
      </c>
    </row>
    <row r="1094" spans="1:4" x14ac:dyDescent="0.35">
      <c r="A1094">
        <v>-0.105662941932678</v>
      </c>
      <c r="B1094">
        <v>5.53650208938903</v>
      </c>
      <c r="C1094">
        <v>0.48934608697891202</v>
      </c>
      <c r="D1094">
        <v>13.6215832664756</v>
      </c>
    </row>
    <row r="1095" spans="1:4" x14ac:dyDescent="0.35">
      <c r="A1095">
        <v>-0.105185687541962</v>
      </c>
      <c r="B1095">
        <v>5.5434524550151503</v>
      </c>
      <c r="C1095">
        <v>0.49050462245941201</v>
      </c>
      <c r="D1095">
        <v>13.685199476772899</v>
      </c>
    </row>
    <row r="1096" spans="1:4" x14ac:dyDescent="0.35">
      <c r="A1096">
        <v>-0.10476841032504999</v>
      </c>
      <c r="B1096">
        <v>5.5809256627830601</v>
      </c>
      <c r="C1096">
        <v>0.49106994271278398</v>
      </c>
      <c r="D1096">
        <v>13.6326823200619</v>
      </c>
    </row>
    <row r="1097" spans="1:4" x14ac:dyDescent="0.35">
      <c r="A1097">
        <v>-0.10426677018404</v>
      </c>
      <c r="B1097">
        <v>5.5491348089994998</v>
      </c>
      <c r="C1097">
        <v>0.49302083253860501</v>
      </c>
      <c r="D1097">
        <v>13.541084236868601</v>
      </c>
    </row>
    <row r="1098" spans="1:4" x14ac:dyDescent="0.35">
      <c r="A1098">
        <v>-0.10357648879289599</v>
      </c>
      <c r="B1098">
        <v>5.5749420527724496</v>
      </c>
      <c r="C1098">
        <v>0.49320116639137301</v>
      </c>
      <c r="D1098">
        <v>13.6197816670579</v>
      </c>
    </row>
    <row r="1099" spans="1:4" x14ac:dyDescent="0.35">
      <c r="A1099">
        <v>-0.10325748473405801</v>
      </c>
      <c r="B1099">
        <v>5.6087424128839896</v>
      </c>
      <c r="C1099">
        <v>0.49408057332038902</v>
      </c>
      <c r="D1099">
        <v>13.5972975038959</v>
      </c>
    </row>
    <row r="1100" spans="1:4" x14ac:dyDescent="0.35">
      <c r="A1100">
        <v>-0.10262145847082101</v>
      </c>
      <c r="B1100">
        <v>5.6084760326295298</v>
      </c>
      <c r="C1100">
        <v>0.49547117948532099</v>
      </c>
      <c r="D1100">
        <v>13.6263140820947</v>
      </c>
    </row>
    <row r="1101" spans="1:4" x14ac:dyDescent="0.35">
      <c r="A1101">
        <v>-0.10216121375560799</v>
      </c>
      <c r="B1101">
        <v>5.6297306442106496</v>
      </c>
      <c r="C1101">
        <v>0.495788484811783</v>
      </c>
      <c r="D1101">
        <v>13.6401211520334</v>
      </c>
    </row>
    <row r="1102" spans="1:4" x14ac:dyDescent="0.35">
      <c r="A1102">
        <v>-0.101684212684631</v>
      </c>
      <c r="B1102">
        <v>5.6283785721919104</v>
      </c>
      <c r="C1102">
        <v>0.49742633104324302</v>
      </c>
      <c r="D1102">
        <v>13.5899669248598</v>
      </c>
    </row>
    <row r="1103" spans="1:4" x14ac:dyDescent="0.35">
      <c r="A1103">
        <v>-0.101222008466721</v>
      </c>
      <c r="B1103">
        <v>5.6318434906076797</v>
      </c>
      <c r="C1103">
        <v>0.49886491894722002</v>
      </c>
      <c r="D1103">
        <v>13.6267688172332</v>
      </c>
    </row>
    <row r="1104" spans="1:4" x14ac:dyDescent="0.35">
      <c r="A1104">
        <v>-0.100628346204758</v>
      </c>
      <c r="B1104">
        <v>5.6433348280803104</v>
      </c>
      <c r="C1104">
        <v>0.49851909279823298</v>
      </c>
      <c r="D1104">
        <v>13.645494300403699</v>
      </c>
    </row>
    <row r="1105" spans="1:4" x14ac:dyDescent="0.35">
      <c r="A1105">
        <v>-0.10018521547317499</v>
      </c>
      <c r="B1105">
        <v>5.6688731613046297</v>
      </c>
      <c r="C1105">
        <v>0.50143039226532005</v>
      </c>
      <c r="D1105">
        <v>13.6211536026748</v>
      </c>
    </row>
    <row r="1106" spans="1:4" x14ac:dyDescent="0.35">
      <c r="A1106">
        <v>-9.9660553038120006E-2</v>
      </c>
      <c r="B1106">
        <v>5.6632971579109501</v>
      </c>
      <c r="C1106">
        <v>0.50106078386306796</v>
      </c>
      <c r="D1106">
        <v>13.6223080815543</v>
      </c>
    </row>
    <row r="1107" spans="1:4" x14ac:dyDescent="0.35">
      <c r="A1107">
        <v>-9.9147237837314994E-2</v>
      </c>
      <c r="B1107">
        <v>5.6797640022981604</v>
      </c>
      <c r="C1107">
        <v>0.50228559970855702</v>
      </c>
      <c r="D1107">
        <v>13.5616377266445</v>
      </c>
    </row>
    <row r="1108" spans="1:4" x14ac:dyDescent="0.35">
      <c r="A1108">
        <v>-9.8714664578437999E-2</v>
      </c>
      <c r="B1108">
        <v>5.6784113640656999</v>
      </c>
      <c r="C1108">
        <v>0.50397807359695401</v>
      </c>
      <c r="D1108">
        <v>13.576029751644</v>
      </c>
    </row>
    <row r="1109" spans="1:4" x14ac:dyDescent="0.35">
      <c r="A1109">
        <v>-9.8498508334160004E-2</v>
      </c>
      <c r="B1109">
        <v>5.6852074156491597</v>
      </c>
      <c r="C1109">
        <v>0.50337231159210205</v>
      </c>
      <c r="D1109">
        <v>13.591972540044599</v>
      </c>
    </row>
    <row r="1110" spans="1:4" x14ac:dyDescent="0.35">
      <c r="A1110">
        <v>-9.7666293382645E-2</v>
      </c>
      <c r="B1110">
        <v>5.6948391689849798</v>
      </c>
      <c r="C1110">
        <v>0.50531238317489602</v>
      </c>
      <c r="D1110">
        <v>13.5769954172304</v>
      </c>
    </row>
    <row r="1111" spans="1:4" x14ac:dyDescent="0.35">
      <c r="A1111">
        <v>-9.7319267690181996E-2</v>
      </c>
      <c r="B1111">
        <v>5.7449831991024798</v>
      </c>
      <c r="C1111">
        <v>0.506222724914551</v>
      </c>
      <c r="D1111">
        <v>13.583090924864599</v>
      </c>
    </row>
    <row r="1112" spans="1:4" x14ac:dyDescent="0.35">
      <c r="A1112">
        <v>-9.6850134432316007E-2</v>
      </c>
      <c r="B1112">
        <v>5.7224561065633397</v>
      </c>
      <c r="C1112">
        <v>0.50699329376220703</v>
      </c>
      <c r="D1112">
        <v>13.599252985348899</v>
      </c>
    </row>
    <row r="1113" spans="1:4" x14ac:dyDescent="0.35">
      <c r="A1113">
        <v>-9.6140719950199002E-2</v>
      </c>
      <c r="B1113">
        <v>5.7401070046229297</v>
      </c>
      <c r="C1113">
        <v>0.50907850265502896</v>
      </c>
      <c r="D1113">
        <v>13.559772984285001</v>
      </c>
    </row>
    <row r="1114" spans="1:4" x14ac:dyDescent="0.35">
      <c r="A1114">
        <v>-9.5759958028793002E-2</v>
      </c>
      <c r="B1114">
        <v>5.7428488068357604</v>
      </c>
      <c r="C1114">
        <v>0.50910723209381104</v>
      </c>
      <c r="D1114">
        <v>13.556078169308099</v>
      </c>
    </row>
    <row r="1115" spans="1:4" x14ac:dyDescent="0.35">
      <c r="A1115">
        <v>-9.5114521682262004E-2</v>
      </c>
      <c r="B1115">
        <v>5.7298939322194604</v>
      </c>
      <c r="C1115">
        <v>0.51072585582733199</v>
      </c>
      <c r="D1115">
        <v>13.569986721118401</v>
      </c>
    </row>
    <row r="1116" spans="1:4" x14ac:dyDescent="0.35">
      <c r="A1116">
        <v>-9.4721086323260997E-2</v>
      </c>
      <c r="B1116">
        <v>5.6695780986786399</v>
      </c>
      <c r="C1116">
        <v>0.51108878850936901</v>
      </c>
      <c r="D1116">
        <v>13.574688906210399</v>
      </c>
    </row>
    <row r="1117" spans="1:4" x14ac:dyDescent="0.35">
      <c r="A1117">
        <v>-9.4249233603477006E-2</v>
      </c>
      <c r="B1117">
        <v>5.7196498347168001</v>
      </c>
      <c r="C1117">
        <v>0.51233965158462502</v>
      </c>
      <c r="D1117">
        <v>13.6151633602126</v>
      </c>
    </row>
    <row r="1118" spans="1:4" x14ac:dyDescent="0.35">
      <c r="A1118">
        <v>-9.3846365809441001E-2</v>
      </c>
      <c r="B1118">
        <v>5.7152548900174303</v>
      </c>
      <c r="C1118">
        <v>0.51360398530960105</v>
      </c>
      <c r="D1118">
        <v>13.5566068039761</v>
      </c>
    </row>
    <row r="1119" spans="1:4" x14ac:dyDescent="0.35">
      <c r="A1119">
        <v>-9.3288697302341003E-2</v>
      </c>
      <c r="B1119">
        <v>5.7505067014395701</v>
      </c>
      <c r="C1119">
        <v>0.51362597942352295</v>
      </c>
      <c r="D1119">
        <v>13.504245230130101</v>
      </c>
    </row>
    <row r="1120" spans="1:4" x14ac:dyDescent="0.35">
      <c r="A1120">
        <v>-9.2704720795155002E-2</v>
      </c>
      <c r="B1120">
        <v>5.7516299455887099</v>
      </c>
      <c r="C1120">
        <v>0.51572144031524703</v>
      </c>
      <c r="D1120">
        <v>13.544009802454999</v>
      </c>
    </row>
    <row r="1121" spans="1:4" x14ac:dyDescent="0.35">
      <c r="A1121">
        <v>-9.2378139495849998E-2</v>
      </c>
      <c r="B1121">
        <v>5.77080524885565</v>
      </c>
      <c r="C1121">
        <v>0.51623058319091797</v>
      </c>
      <c r="D1121">
        <v>13.5747907467409</v>
      </c>
    </row>
    <row r="1122" spans="1:4" x14ac:dyDescent="0.35">
      <c r="A1122">
        <v>-9.1924473643303001E-2</v>
      </c>
      <c r="B1122">
        <v>5.7850628792395904</v>
      </c>
      <c r="C1122">
        <v>0.51725322008132901</v>
      </c>
      <c r="D1122">
        <v>13.539677282915401</v>
      </c>
    </row>
    <row r="1123" spans="1:4" x14ac:dyDescent="0.35">
      <c r="A1123">
        <v>-9.1226644814014005E-2</v>
      </c>
      <c r="B1123">
        <v>5.7853161048292501</v>
      </c>
      <c r="C1123">
        <v>0.518257856369019</v>
      </c>
      <c r="D1123">
        <v>13.544928968269099</v>
      </c>
    </row>
    <row r="1124" spans="1:4" x14ac:dyDescent="0.35">
      <c r="A1124">
        <v>-9.0846560895443004E-2</v>
      </c>
      <c r="B1124">
        <v>5.8156366432957398</v>
      </c>
      <c r="C1124">
        <v>0.519262135028839</v>
      </c>
      <c r="D1124">
        <v>13.495176397613401</v>
      </c>
    </row>
    <row r="1125" spans="1:4" x14ac:dyDescent="0.35">
      <c r="A1125">
        <v>-9.0172976255416995E-2</v>
      </c>
      <c r="B1125">
        <v>5.8179136004337204</v>
      </c>
      <c r="C1125">
        <v>0.52052700519561801</v>
      </c>
      <c r="D1125">
        <v>13.538767154080301</v>
      </c>
    </row>
    <row r="1126" spans="1:4" x14ac:dyDescent="0.35">
      <c r="A1126">
        <v>-8.9802891016005998E-2</v>
      </c>
      <c r="B1126">
        <v>5.8301744627042202</v>
      </c>
      <c r="C1126">
        <v>0.52110403776168801</v>
      </c>
      <c r="D1126">
        <v>13.547865477995</v>
      </c>
    </row>
    <row r="1127" spans="1:4" x14ac:dyDescent="0.35">
      <c r="A1127">
        <v>-8.9269883930682997E-2</v>
      </c>
      <c r="B1127">
        <v>5.8416295704133203</v>
      </c>
      <c r="C1127">
        <v>0.522177994251251</v>
      </c>
      <c r="D1127">
        <v>13.524903514693399</v>
      </c>
    </row>
    <row r="1128" spans="1:4" x14ac:dyDescent="0.35">
      <c r="A1128">
        <v>-8.8690102100371995E-2</v>
      </c>
      <c r="B1128">
        <v>5.8570154549424496</v>
      </c>
      <c r="C1128">
        <v>0.52362996339797996</v>
      </c>
      <c r="D1128">
        <v>13.5196409684006</v>
      </c>
    </row>
    <row r="1129" spans="1:4" x14ac:dyDescent="0.35">
      <c r="A1129">
        <v>-8.8036939501762002E-2</v>
      </c>
      <c r="B1129">
        <v>5.8668576692798098</v>
      </c>
      <c r="C1129">
        <v>0.52371543645858798</v>
      </c>
      <c r="D1129">
        <v>13.5234156710455</v>
      </c>
    </row>
    <row r="1130" spans="1:4" x14ac:dyDescent="0.35">
      <c r="A1130">
        <v>-8.7713554501533994E-2</v>
      </c>
      <c r="B1130">
        <v>5.8699653429361103</v>
      </c>
      <c r="C1130">
        <v>0.52585870027542103</v>
      </c>
      <c r="D1130">
        <v>13.484761557103299</v>
      </c>
    </row>
    <row r="1131" spans="1:4" x14ac:dyDescent="0.35">
      <c r="A1131">
        <v>-8.7263219058514002E-2</v>
      </c>
      <c r="B1131">
        <v>5.9062994880101298</v>
      </c>
      <c r="C1131">
        <v>0.525987029075623</v>
      </c>
      <c r="D1131">
        <v>13.5149043446012</v>
      </c>
    </row>
    <row r="1132" spans="1:4" x14ac:dyDescent="0.35">
      <c r="A1132">
        <v>-8.6770221590995997E-2</v>
      </c>
      <c r="B1132">
        <v>5.9369299280974799</v>
      </c>
      <c r="C1132">
        <v>0.52667033672332797</v>
      </c>
      <c r="D1132">
        <v>13.5064826279333</v>
      </c>
    </row>
    <row r="1133" spans="1:4" x14ac:dyDescent="0.35">
      <c r="A1133">
        <v>-8.6157448589801996E-2</v>
      </c>
      <c r="B1133">
        <v>5.9092205281030097</v>
      </c>
      <c r="C1133">
        <v>0.52921938896179199</v>
      </c>
      <c r="D1133">
        <v>13.486214884540599</v>
      </c>
    </row>
    <row r="1134" spans="1:4" x14ac:dyDescent="0.35">
      <c r="A1134">
        <v>-8.5856132209300995E-2</v>
      </c>
      <c r="B1134">
        <v>5.9274600980131202</v>
      </c>
      <c r="C1134">
        <v>0.52921545505523704</v>
      </c>
      <c r="D1134">
        <v>13.4634041054872</v>
      </c>
    </row>
    <row r="1135" spans="1:4" x14ac:dyDescent="0.35">
      <c r="A1135">
        <v>-8.5176609456539001E-2</v>
      </c>
      <c r="B1135">
        <v>5.9585029042126498</v>
      </c>
      <c r="C1135">
        <v>0.53054225444793701</v>
      </c>
      <c r="D1135">
        <v>13.4782663735638</v>
      </c>
    </row>
    <row r="1136" spans="1:4" x14ac:dyDescent="0.35">
      <c r="A1136">
        <v>-8.4720008075236997E-2</v>
      </c>
      <c r="B1136">
        <v>5.9670861019136296</v>
      </c>
      <c r="C1136">
        <v>0.53110343217849698</v>
      </c>
      <c r="D1136">
        <v>13.4500044948586</v>
      </c>
    </row>
    <row r="1137" spans="1:4" x14ac:dyDescent="0.35">
      <c r="A1137">
        <v>-8.4347501397132998E-2</v>
      </c>
      <c r="B1137">
        <v>5.9602577263011103</v>
      </c>
      <c r="C1137">
        <v>0.53221625089645397</v>
      </c>
      <c r="D1137">
        <v>13.4468351822727</v>
      </c>
    </row>
    <row r="1138" spans="1:4" x14ac:dyDescent="0.35">
      <c r="A1138">
        <v>-8.3670131862164002E-2</v>
      </c>
      <c r="B1138">
        <v>5.9710958191727297</v>
      </c>
      <c r="C1138">
        <v>0.53412359952926602</v>
      </c>
      <c r="D1138">
        <v>13.455072519397801</v>
      </c>
    </row>
    <row r="1139" spans="1:4" x14ac:dyDescent="0.35">
      <c r="A1139">
        <v>-8.3216711878776994E-2</v>
      </c>
      <c r="B1139">
        <v>5.9660910807805596</v>
      </c>
      <c r="C1139">
        <v>0.53339654207229603</v>
      </c>
      <c r="D1139">
        <v>13.4699318091647</v>
      </c>
    </row>
    <row r="1140" spans="1:4" x14ac:dyDescent="0.35">
      <c r="A1140">
        <v>-8.2807168364524994E-2</v>
      </c>
      <c r="B1140">
        <v>5.9859950676493101</v>
      </c>
      <c r="C1140">
        <v>0.53540933132171598</v>
      </c>
      <c r="D1140">
        <v>13.418490086332</v>
      </c>
    </row>
    <row r="1141" spans="1:4" x14ac:dyDescent="0.35">
      <c r="A1141">
        <v>-8.2159295678138997E-2</v>
      </c>
      <c r="B1141">
        <v>6.01942247567683</v>
      </c>
      <c r="C1141">
        <v>0.53661894798278797</v>
      </c>
      <c r="D1141">
        <v>13.468940946763199</v>
      </c>
    </row>
    <row r="1142" spans="1:4" x14ac:dyDescent="0.35">
      <c r="A1142">
        <v>-8.1736288964747994E-2</v>
      </c>
      <c r="B1142">
        <v>5.9765368254772397</v>
      </c>
      <c r="C1142">
        <v>0.53682768344879195</v>
      </c>
      <c r="D1142">
        <v>13.4473149738691</v>
      </c>
    </row>
    <row r="1143" spans="1:4" x14ac:dyDescent="0.35">
      <c r="A1143">
        <v>-8.1176824867724998E-2</v>
      </c>
      <c r="B1143">
        <v>5.9959079968255198</v>
      </c>
      <c r="C1143">
        <v>0.53893870115280196</v>
      </c>
      <c r="D1143">
        <v>13.416840802517401</v>
      </c>
    </row>
    <row r="1144" spans="1:4" x14ac:dyDescent="0.35">
      <c r="A1144">
        <v>-8.0667801201343994E-2</v>
      </c>
      <c r="B1144">
        <v>6.0058685287698097</v>
      </c>
      <c r="C1144">
        <v>0.53941953182220503</v>
      </c>
      <c r="D1144">
        <v>13.4547557765714</v>
      </c>
    </row>
    <row r="1145" spans="1:4" x14ac:dyDescent="0.35">
      <c r="A1145">
        <v>-8.0128192901610995E-2</v>
      </c>
      <c r="B1145">
        <v>6.0280164698813703</v>
      </c>
      <c r="C1145">
        <v>0.54045462608337402</v>
      </c>
      <c r="D1145">
        <v>13.4465148075396</v>
      </c>
    </row>
    <row r="1146" spans="1:4" x14ac:dyDescent="0.35">
      <c r="A1146">
        <v>-7.9585574567318004E-2</v>
      </c>
      <c r="B1146">
        <v>6.0444761099007902</v>
      </c>
      <c r="C1146">
        <v>0.541442811489105</v>
      </c>
      <c r="D1146">
        <v>13.3861331501449</v>
      </c>
    </row>
    <row r="1147" spans="1:4" x14ac:dyDescent="0.35">
      <c r="A1147">
        <v>-7.9292863607407005E-2</v>
      </c>
      <c r="B1147">
        <v>6.03809499551586</v>
      </c>
      <c r="C1147">
        <v>0.54175412654876698</v>
      </c>
      <c r="D1147">
        <v>13.438512241342099</v>
      </c>
    </row>
    <row r="1148" spans="1:4" x14ac:dyDescent="0.35">
      <c r="A1148">
        <v>-7.8620798885822005E-2</v>
      </c>
      <c r="B1148">
        <v>6.0780471153924802</v>
      </c>
      <c r="C1148">
        <v>0.54352146387100198</v>
      </c>
      <c r="D1148">
        <v>13.4313418535847</v>
      </c>
    </row>
    <row r="1149" spans="1:4" x14ac:dyDescent="0.35">
      <c r="A1149">
        <v>-7.8317523002624997E-2</v>
      </c>
      <c r="B1149">
        <v>6.0730722252439699</v>
      </c>
      <c r="C1149">
        <v>0.54468721151351895</v>
      </c>
      <c r="D1149">
        <v>13.448878372567901</v>
      </c>
    </row>
    <row r="1150" spans="1:4" x14ac:dyDescent="0.35">
      <c r="A1150">
        <v>-7.7870182693004997E-2</v>
      </c>
      <c r="B1150">
        <v>6.1047132461843603</v>
      </c>
      <c r="C1150">
        <v>0.54477643966674805</v>
      </c>
      <c r="D1150">
        <v>13.377525572748601</v>
      </c>
    </row>
    <row r="1151" spans="1:4" x14ac:dyDescent="0.35">
      <c r="A1151">
        <v>-7.7268786728382E-2</v>
      </c>
      <c r="B1151">
        <v>6.1025916592288496</v>
      </c>
      <c r="C1151">
        <v>0.54721844196319602</v>
      </c>
      <c r="D1151">
        <v>13.4256489203617</v>
      </c>
    </row>
    <row r="1152" spans="1:4" x14ac:dyDescent="0.35">
      <c r="A1152">
        <v>-7.6973117887973994E-2</v>
      </c>
      <c r="B1152">
        <v>6.1241173740383799</v>
      </c>
      <c r="C1152">
        <v>0.546494960784912</v>
      </c>
      <c r="D1152">
        <v>13.437708713425501</v>
      </c>
    </row>
    <row r="1153" spans="1:4" x14ac:dyDescent="0.35">
      <c r="A1153">
        <v>-7.6476283371449003E-2</v>
      </c>
      <c r="B1153">
        <v>6.0919120454684998</v>
      </c>
      <c r="C1153">
        <v>0.54861551523208596</v>
      </c>
      <c r="D1153">
        <v>13.4384728139347</v>
      </c>
    </row>
    <row r="1154" spans="1:4" x14ac:dyDescent="0.35">
      <c r="A1154">
        <v>-7.5642853975296007E-2</v>
      </c>
      <c r="B1154">
        <v>6.1116645409340702</v>
      </c>
      <c r="C1154">
        <v>0.54959088563919101</v>
      </c>
      <c r="D1154">
        <v>13.4192311745942</v>
      </c>
    </row>
    <row r="1155" spans="1:4" x14ac:dyDescent="0.35">
      <c r="A1155">
        <v>-7.5266368687153001E-2</v>
      </c>
      <c r="B1155">
        <v>6.1456230411421897</v>
      </c>
      <c r="C1155">
        <v>0.54953426122665405</v>
      </c>
      <c r="D1155">
        <v>13.3992671238034</v>
      </c>
    </row>
    <row r="1156" spans="1:4" x14ac:dyDescent="0.35">
      <c r="A1156">
        <v>-7.4791371822356997E-2</v>
      </c>
      <c r="B1156">
        <v>6.1453905527822403</v>
      </c>
      <c r="C1156">
        <v>0.55209493637085005</v>
      </c>
      <c r="D1156">
        <v>13.3934534782772</v>
      </c>
    </row>
    <row r="1157" spans="1:4" x14ac:dyDescent="0.35">
      <c r="A1157">
        <v>-7.4222147464752003E-2</v>
      </c>
      <c r="B1157">
        <v>6.13982394987916</v>
      </c>
      <c r="C1157">
        <v>0.55251729488372803</v>
      </c>
      <c r="D1157">
        <v>13.4372563072177</v>
      </c>
    </row>
    <row r="1158" spans="1:4" x14ac:dyDescent="0.35">
      <c r="A1158">
        <v>-7.3748275637626995E-2</v>
      </c>
      <c r="B1158">
        <v>6.16017768511065</v>
      </c>
      <c r="C1158">
        <v>0.55292677879333496</v>
      </c>
      <c r="D1158">
        <v>13.4011300056177</v>
      </c>
    </row>
    <row r="1159" spans="1:4" x14ac:dyDescent="0.35">
      <c r="A1159">
        <v>-7.3126263916492004E-2</v>
      </c>
      <c r="B1159">
        <v>6.1759783106094801</v>
      </c>
      <c r="C1159">
        <v>0.55469411611556996</v>
      </c>
      <c r="D1159">
        <v>13.407379122582499</v>
      </c>
    </row>
    <row r="1160" spans="1:4" x14ac:dyDescent="0.35">
      <c r="A1160">
        <v>-7.2694256901741E-2</v>
      </c>
      <c r="B1160">
        <v>6.2146663990353996</v>
      </c>
      <c r="C1160">
        <v>0.55489879846572898</v>
      </c>
      <c r="D1160">
        <v>13.3741302049102</v>
      </c>
    </row>
    <row r="1161" spans="1:4" x14ac:dyDescent="0.35">
      <c r="A1161">
        <v>-7.2178155183792003E-2</v>
      </c>
      <c r="B1161">
        <v>6.1763059507399198</v>
      </c>
      <c r="C1161">
        <v>0.55635195970535301</v>
      </c>
      <c r="D1161">
        <v>13.387023351987301</v>
      </c>
    </row>
    <row r="1162" spans="1:4" x14ac:dyDescent="0.35">
      <c r="A1162">
        <v>-7.1785174310207006E-2</v>
      </c>
      <c r="B1162">
        <v>6.21750351567582</v>
      </c>
      <c r="C1162">
        <v>0.55734825134277299</v>
      </c>
      <c r="D1162">
        <v>13.378925980841601</v>
      </c>
    </row>
    <row r="1163" spans="1:4" x14ac:dyDescent="0.35">
      <c r="A1163">
        <v>-7.1161553263663996E-2</v>
      </c>
      <c r="B1163">
        <v>6.1962457777001996</v>
      </c>
      <c r="C1163">
        <v>0.55804949998855602</v>
      </c>
      <c r="D1163">
        <v>13.3883543464302</v>
      </c>
    </row>
    <row r="1164" spans="1:4" x14ac:dyDescent="0.35">
      <c r="A1164">
        <v>-7.0857293903828E-2</v>
      </c>
      <c r="B1164">
        <v>6.1962108082230598</v>
      </c>
      <c r="C1164">
        <v>0.559459388256073</v>
      </c>
      <c r="D1164">
        <v>13.392514175185999</v>
      </c>
    </row>
    <row r="1165" spans="1:4" x14ac:dyDescent="0.35">
      <c r="A1165">
        <v>-7.0405654609203006E-2</v>
      </c>
      <c r="B1165">
        <v>6.1886558521259101</v>
      </c>
      <c r="C1165">
        <v>0.56015205383300803</v>
      </c>
      <c r="D1165">
        <v>13.242914780702099</v>
      </c>
    </row>
    <row r="1166" spans="1:4" x14ac:dyDescent="0.35">
      <c r="A1166">
        <v>-6.9844990968704002E-2</v>
      </c>
      <c r="B1166">
        <v>6.2379778797617096</v>
      </c>
      <c r="C1166">
        <v>0.56113153696060203</v>
      </c>
      <c r="D1166">
        <v>13.3484915033099</v>
      </c>
    </row>
    <row r="1167" spans="1:4" x14ac:dyDescent="0.35">
      <c r="A1167">
        <v>-6.9209903478622006E-2</v>
      </c>
      <c r="B1167">
        <v>6.2583560508379996</v>
      </c>
      <c r="C1167">
        <v>0.56278395652770996</v>
      </c>
      <c r="D1167">
        <v>13.3624231699819</v>
      </c>
    </row>
    <row r="1168" spans="1:4" x14ac:dyDescent="0.35">
      <c r="A1168">
        <v>-6.8787880241871005E-2</v>
      </c>
      <c r="B1168">
        <v>6.2600559080655103</v>
      </c>
      <c r="C1168">
        <v>0.562799572944641</v>
      </c>
      <c r="D1168">
        <v>13.3373667663438</v>
      </c>
    </row>
    <row r="1169" spans="1:4" x14ac:dyDescent="0.35">
      <c r="A1169">
        <v>-6.8210199475288003E-2</v>
      </c>
      <c r="B1169">
        <v>6.2898197435786303</v>
      </c>
      <c r="C1169">
        <v>0.56484830379486095</v>
      </c>
      <c r="D1169">
        <v>13.3571762625233</v>
      </c>
    </row>
    <row r="1170" spans="1:4" x14ac:dyDescent="0.35">
      <c r="A1170">
        <v>-6.7776732146740001E-2</v>
      </c>
      <c r="B1170">
        <v>6.2922250837924301</v>
      </c>
      <c r="C1170">
        <v>0.56514853239059404</v>
      </c>
      <c r="D1170">
        <v>13.3674310627918</v>
      </c>
    </row>
    <row r="1171" spans="1:4" x14ac:dyDescent="0.35">
      <c r="A1171">
        <v>-6.7262105643749001E-2</v>
      </c>
      <c r="B1171">
        <v>6.2998704910113501</v>
      </c>
      <c r="C1171">
        <v>0.56595999002456698</v>
      </c>
      <c r="D1171">
        <v>13.346863101606001</v>
      </c>
    </row>
    <row r="1172" spans="1:4" x14ac:dyDescent="0.35">
      <c r="A1172">
        <v>-6.6624015569687001E-2</v>
      </c>
      <c r="B1172">
        <v>6.26877637190481</v>
      </c>
      <c r="C1172">
        <v>0.56789290904998802</v>
      </c>
      <c r="D1172">
        <v>13.4022968016505</v>
      </c>
    </row>
    <row r="1173" spans="1:4" x14ac:dyDescent="0.35">
      <c r="A1173">
        <v>-6.6206559538840998E-2</v>
      </c>
      <c r="B1173">
        <v>6.3304080995366698</v>
      </c>
      <c r="C1173">
        <v>0.56852942705154397</v>
      </c>
      <c r="D1173">
        <v>13.290327558123</v>
      </c>
    </row>
    <row r="1174" spans="1:4" x14ac:dyDescent="0.35">
      <c r="A1174">
        <v>-6.5811082720757003E-2</v>
      </c>
      <c r="B1174">
        <v>6.3348017804088199</v>
      </c>
      <c r="C1174">
        <v>0.56868427991867099</v>
      </c>
      <c r="D1174">
        <v>13.332542842001301</v>
      </c>
    </row>
    <row r="1175" spans="1:4" x14ac:dyDescent="0.35">
      <c r="A1175">
        <v>-6.5247930586338002E-2</v>
      </c>
      <c r="B1175">
        <v>6.3273898703652103</v>
      </c>
      <c r="C1175">
        <v>0.57101064920425404</v>
      </c>
      <c r="D1175">
        <v>13.3150152562364</v>
      </c>
    </row>
    <row r="1176" spans="1:4" x14ac:dyDescent="0.35">
      <c r="A1176">
        <v>-6.4734965562820004E-2</v>
      </c>
      <c r="B1176">
        <v>6.3598054471759804</v>
      </c>
      <c r="C1176">
        <v>0.57122689485549905</v>
      </c>
      <c r="D1176">
        <v>13.311994822092499</v>
      </c>
    </row>
    <row r="1177" spans="1:4" x14ac:dyDescent="0.35">
      <c r="A1177">
        <v>-6.4151957631111006E-2</v>
      </c>
      <c r="B1177">
        <v>6.3718095805275201</v>
      </c>
      <c r="C1177">
        <v>0.572581827640533</v>
      </c>
      <c r="D1177">
        <v>13.3535217705425</v>
      </c>
    </row>
    <row r="1178" spans="1:4" x14ac:dyDescent="0.35">
      <c r="A1178">
        <v>-6.3829451799393006E-2</v>
      </c>
      <c r="B1178">
        <v>6.3603647009530597</v>
      </c>
      <c r="C1178">
        <v>0.57346618175506603</v>
      </c>
      <c r="D1178">
        <v>13.303920693953</v>
      </c>
    </row>
    <row r="1179" spans="1:4" x14ac:dyDescent="0.35">
      <c r="A1179">
        <v>-6.3216798007488001E-2</v>
      </c>
      <c r="B1179">
        <v>6.3707126034740797</v>
      </c>
      <c r="C1179">
        <v>0.57419848442077603</v>
      </c>
      <c r="D1179">
        <v>13.3209616241476</v>
      </c>
    </row>
    <row r="1180" spans="1:4" x14ac:dyDescent="0.35">
      <c r="A1180">
        <v>-6.2704898416996002E-2</v>
      </c>
      <c r="B1180">
        <v>6.3782352985282804</v>
      </c>
      <c r="C1180">
        <v>0.57566559314727805</v>
      </c>
      <c r="D1180">
        <v>13.281307839021199</v>
      </c>
    </row>
    <row r="1181" spans="1:4" x14ac:dyDescent="0.35">
      <c r="A1181">
        <v>-6.2347508966923003E-2</v>
      </c>
      <c r="B1181">
        <v>6.4024122471984999</v>
      </c>
      <c r="C1181">
        <v>0.57663953304290805</v>
      </c>
      <c r="D1181">
        <v>13.2828308365737</v>
      </c>
    </row>
    <row r="1182" spans="1:4" x14ac:dyDescent="0.35">
      <c r="A1182">
        <v>-6.1663638800383003E-2</v>
      </c>
      <c r="B1182">
        <v>6.4019169375902703</v>
      </c>
      <c r="C1182">
        <v>0.57701390981674205</v>
      </c>
      <c r="D1182">
        <v>13.3167558799951</v>
      </c>
    </row>
    <row r="1183" spans="1:4" x14ac:dyDescent="0.35">
      <c r="A1183">
        <v>-6.1344545334577998E-2</v>
      </c>
      <c r="B1183">
        <v>6.40787488263845</v>
      </c>
      <c r="C1183">
        <v>0.57870572805404696</v>
      </c>
      <c r="D1183">
        <v>13.2743946876242</v>
      </c>
    </row>
    <row r="1184" spans="1:4" x14ac:dyDescent="0.35">
      <c r="A1184">
        <v>-6.0786012560128999E-2</v>
      </c>
      <c r="B1184">
        <v>6.4301498906750396</v>
      </c>
      <c r="C1184">
        <v>0.57895106077194203</v>
      </c>
      <c r="D1184">
        <v>13.259142218275301</v>
      </c>
    </row>
    <row r="1185" spans="1:4" x14ac:dyDescent="0.35">
      <c r="A1185">
        <v>-6.0202918946742998E-2</v>
      </c>
      <c r="B1185">
        <v>6.43922320841929</v>
      </c>
      <c r="C1185">
        <v>0.58092838525772095</v>
      </c>
      <c r="D1185">
        <v>13.3168877476731</v>
      </c>
    </row>
    <row r="1186" spans="1:4" x14ac:dyDescent="0.35">
      <c r="A1186">
        <v>-5.9751238673924997E-2</v>
      </c>
      <c r="B1186">
        <v>6.4689710917481804</v>
      </c>
      <c r="C1186">
        <v>0.58187669515609697</v>
      </c>
      <c r="D1186">
        <v>13.309488517368999</v>
      </c>
    </row>
    <row r="1187" spans="1:4" x14ac:dyDescent="0.35">
      <c r="A1187">
        <v>-5.9375956654548999E-2</v>
      </c>
      <c r="B1187">
        <v>6.45202153761507</v>
      </c>
      <c r="C1187">
        <v>0.58198702335357699</v>
      </c>
      <c r="D1187">
        <v>13.2981538824778</v>
      </c>
    </row>
    <row r="1188" spans="1:4" x14ac:dyDescent="0.35">
      <c r="A1188">
        <v>-5.8713257312774998E-2</v>
      </c>
      <c r="B1188">
        <v>6.4871258109903103</v>
      </c>
      <c r="C1188">
        <v>0.58338546752929699</v>
      </c>
      <c r="D1188">
        <v>13.242120781030501</v>
      </c>
    </row>
    <row r="1189" spans="1:4" x14ac:dyDescent="0.35">
      <c r="A1189">
        <v>-5.8306150138377998E-2</v>
      </c>
      <c r="B1189">
        <v>6.5102746399823399</v>
      </c>
      <c r="C1189">
        <v>0.58479404449462902</v>
      </c>
      <c r="D1189">
        <v>13.267429211088</v>
      </c>
    </row>
    <row r="1190" spans="1:4" x14ac:dyDescent="0.35">
      <c r="A1190">
        <v>-5.7721957564353998E-2</v>
      </c>
      <c r="B1190">
        <v>6.5166361405436399</v>
      </c>
      <c r="C1190">
        <v>0.58489453792571999</v>
      </c>
      <c r="D1190">
        <v>13.2800063527154</v>
      </c>
    </row>
    <row r="1191" spans="1:4" x14ac:dyDescent="0.35">
      <c r="A1191">
        <v>-5.7196229696273998E-2</v>
      </c>
      <c r="B1191">
        <v>6.5273367068209298</v>
      </c>
      <c r="C1191">
        <v>0.58667802810668901</v>
      </c>
      <c r="D1191">
        <v>13.2677947876274</v>
      </c>
    </row>
    <row r="1192" spans="1:4" x14ac:dyDescent="0.35">
      <c r="A1192">
        <v>-5.6671630591154001E-2</v>
      </c>
      <c r="B1192">
        <v>6.5362102256534396</v>
      </c>
      <c r="C1192">
        <v>0.58727431297302202</v>
      </c>
      <c r="D1192">
        <v>13.264926431480299</v>
      </c>
    </row>
    <row r="1193" spans="1:4" x14ac:dyDescent="0.35">
      <c r="A1193">
        <v>-5.6246198713778998E-2</v>
      </c>
      <c r="B1193">
        <v>6.54641735657344</v>
      </c>
      <c r="C1193">
        <v>0.58832490444183305</v>
      </c>
      <c r="D1193">
        <v>13.274163941785501</v>
      </c>
    </row>
    <row r="1194" spans="1:4" x14ac:dyDescent="0.35">
      <c r="A1194">
        <v>-5.5654786527157003E-2</v>
      </c>
      <c r="B1194">
        <v>6.5488682034568297</v>
      </c>
      <c r="C1194">
        <v>0.58971524238586404</v>
      </c>
      <c r="D1194">
        <v>13.276305790745701</v>
      </c>
    </row>
    <row r="1195" spans="1:4" x14ac:dyDescent="0.35">
      <c r="A1195">
        <v>-5.5148418992757998E-2</v>
      </c>
      <c r="B1195">
        <v>6.5686799474845801</v>
      </c>
      <c r="C1195">
        <v>0.59024441242217995</v>
      </c>
      <c r="D1195">
        <v>13.2777545340273</v>
      </c>
    </row>
    <row r="1196" spans="1:4" x14ac:dyDescent="0.35">
      <c r="A1196">
        <v>-5.4948754608631002E-2</v>
      </c>
      <c r="B1196">
        <v>6.5356452293052198</v>
      </c>
      <c r="C1196">
        <v>0.59155362844467196</v>
      </c>
      <c r="D1196">
        <v>13.283896593288899</v>
      </c>
    </row>
    <row r="1197" spans="1:4" x14ac:dyDescent="0.35">
      <c r="A1197">
        <v>-5.4265934973955002E-2</v>
      </c>
      <c r="B1197">
        <v>6.5763731800567999</v>
      </c>
      <c r="C1197">
        <v>0.592268586158752</v>
      </c>
      <c r="D1197">
        <v>13.265366850004501</v>
      </c>
    </row>
    <row r="1198" spans="1:4" x14ac:dyDescent="0.35">
      <c r="A1198">
        <v>-5.3767897188662997E-2</v>
      </c>
      <c r="B1198">
        <v>6.5826086096056597</v>
      </c>
      <c r="C1198">
        <v>0.59293043613433805</v>
      </c>
      <c r="D1198">
        <v>13.277916818578801</v>
      </c>
    </row>
    <row r="1199" spans="1:4" x14ac:dyDescent="0.35">
      <c r="A1199">
        <v>-5.3331986069678997E-2</v>
      </c>
      <c r="B1199">
        <v>6.6072649041718501</v>
      </c>
      <c r="C1199">
        <v>0.595173180103302</v>
      </c>
      <c r="D1199">
        <v>13.2450003880005</v>
      </c>
    </row>
    <row r="1200" spans="1:4" x14ac:dyDescent="0.35">
      <c r="A1200">
        <v>-5.2957542240619999E-2</v>
      </c>
      <c r="B1200">
        <v>6.5948335469072603</v>
      </c>
      <c r="C1200">
        <v>0.59539294242858898</v>
      </c>
      <c r="D1200">
        <v>13.2138959030076</v>
      </c>
    </row>
    <row r="1201" spans="1:4" x14ac:dyDescent="0.35">
      <c r="A1201">
        <v>-5.2412018179893001E-2</v>
      </c>
      <c r="B1201">
        <v>6.6084653648517104</v>
      </c>
      <c r="C1201">
        <v>0.59629237651824996</v>
      </c>
      <c r="D1201">
        <v>13.213008139504501</v>
      </c>
    </row>
    <row r="1202" spans="1:4" x14ac:dyDescent="0.35">
      <c r="A1202">
        <v>-5.1950410008430002E-2</v>
      </c>
      <c r="B1202">
        <v>6.6229061866369499</v>
      </c>
      <c r="C1202">
        <v>0.59784072637557995</v>
      </c>
      <c r="D1202">
        <v>13.278163941810099</v>
      </c>
    </row>
    <row r="1203" spans="1:4" x14ac:dyDescent="0.35">
      <c r="A1203">
        <v>-5.1185090094805E-2</v>
      </c>
      <c r="B1203">
        <v>6.5954074964457696</v>
      </c>
      <c r="C1203">
        <v>0.59808140993118297</v>
      </c>
      <c r="D1203">
        <v>13.2211255620148</v>
      </c>
    </row>
    <row r="1204" spans="1:4" x14ac:dyDescent="0.35">
      <c r="A1204">
        <v>-5.0784558057784999E-2</v>
      </c>
      <c r="B1204">
        <v>6.6209560684425597</v>
      </c>
      <c r="C1204">
        <v>0.59885972738266002</v>
      </c>
      <c r="D1204">
        <v>13.301122539741799</v>
      </c>
    </row>
    <row r="1205" spans="1:4" x14ac:dyDescent="0.35">
      <c r="A1205">
        <v>-5.0199270248413003E-2</v>
      </c>
      <c r="B1205">
        <v>6.6427906505863596</v>
      </c>
      <c r="C1205">
        <v>0.59793871641159102</v>
      </c>
      <c r="D1205">
        <v>13.1927550273699</v>
      </c>
    </row>
    <row r="1206" spans="1:4" x14ac:dyDescent="0.35">
      <c r="A1206">
        <v>-4.9766674637794002E-2</v>
      </c>
      <c r="B1206">
        <v>6.6777459263727899</v>
      </c>
      <c r="C1206">
        <v>0.59750485420227095</v>
      </c>
      <c r="D1206">
        <v>13.260768640327001</v>
      </c>
    </row>
    <row r="1207" spans="1:4" x14ac:dyDescent="0.35">
      <c r="A1207">
        <v>-4.9212522804737001E-2</v>
      </c>
      <c r="B1207">
        <v>6.6853730140463101</v>
      </c>
      <c r="C1207">
        <v>0.59659892320632901</v>
      </c>
      <c r="D1207">
        <v>13.2232595325966</v>
      </c>
    </row>
    <row r="1208" spans="1:4" x14ac:dyDescent="0.35">
      <c r="A1208">
        <v>-4.8660811036825E-2</v>
      </c>
      <c r="B1208">
        <v>6.7096816430384898</v>
      </c>
      <c r="C1208">
        <v>0.59469276666641202</v>
      </c>
      <c r="D1208">
        <v>13.205629450632999</v>
      </c>
    </row>
    <row r="1209" spans="1:4" x14ac:dyDescent="0.35">
      <c r="A1209">
        <v>-4.8158355057239997E-2</v>
      </c>
      <c r="B1209">
        <v>6.7036752677025104</v>
      </c>
      <c r="C1209">
        <v>0.59463536739349399</v>
      </c>
      <c r="D1209">
        <v>13.1987817728637</v>
      </c>
    </row>
    <row r="1210" spans="1:4" x14ac:dyDescent="0.35">
      <c r="A1210">
        <v>-4.7809708863497002E-2</v>
      </c>
      <c r="B1210">
        <v>6.7054982127455602</v>
      </c>
      <c r="C1210">
        <v>0.59343773126602195</v>
      </c>
      <c r="D1210">
        <v>13.207689020962</v>
      </c>
    </row>
    <row r="1211" spans="1:4" x14ac:dyDescent="0.35">
      <c r="A1211">
        <v>-4.7178935259581001E-2</v>
      </c>
      <c r="B1211">
        <v>6.7271426757812298</v>
      </c>
      <c r="C1211">
        <v>0.59161806106567405</v>
      </c>
      <c r="D1211">
        <v>13.218316300568899</v>
      </c>
    </row>
    <row r="1212" spans="1:4" x14ac:dyDescent="0.35">
      <c r="A1212">
        <v>-4.6857532113790998E-2</v>
      </c>
      <c r="B1212">
        <v>6.6960348287008502</v>
      </c>
      <c r="C1212">
        <v>0.59178704023361195</v>
      </c>
      <c r="D1212">
        <v>13.174142800626999</v>
      </c>
    </row>
    <row r="1213" spans="1:4" x14ac:dyDescent="0.35">
      <c r="A1213">
        <v>-4.6238481998443999E-2</v>
      </c>
      <c r="B1213">
        <v>6.7049685713432599</v>
      </c>
      <c r="C1213">
        <v>0.59000092744827304</v>
      </c>
      <c r="D1213">
        <v>13.1654120621458</v>
      </c>
    </row>
    <row r="1214" spans="1:4" x14ac:dyDescent="0.35">
      <c r="A1214">
        <v>-4.5778416097164001E-2</v>
      </c>
      <c r="B1214">
        <v>6.7261446688168496</v>
      </c>
      <c r="C1214">
        <v>0.58892804384231601</v>
      </c>
      <c r="D1214">
        <v>13.126755625023501</v>
      </c>
    </row>
    <row r="1215" spans="1:4" x14ac:dyDescent="0.35">
      <c r="A1215">
        <v>-4.5317243784665999E-2</v>
      </c>
      <c r="B1215">
        <v>6.7524785004357204</v>
      </c>
      <c r="C1215">
        <v>0.58841282129287698</v>
      </c>
      <c r="D1215">
        <v>13.154747990496301</v>
      </c>
    </row>
    <row r="1216" spans="1:4" x14ac:dyDescent="0.35">
      <c r="A1216">
        <v>-4.4814702123404E-2</v>
      </c>
      <c r="B1216">
        <v>6.7568106614803698</v>
      </c>
      <c r="C1216">
        <v>0.587013959884644</v>
      </c>
      <c r="D1216">
        <v>13.164188220628899</v>
      </c>
    </row>
    <row r="1217" spans="1:4" x14ac:dyDescent="0.35">
      <c r="A1217">
        <v>-4.4273141771555002E-2</v>
      </c>
      <c r="B1217">
        <v>6.7558610624706397</v>
      </c>
      <c r="C1217">
        <v>0.58595883846283003</v>
      </c>
      <c r="D1217">
        <v>13.139179217856601</v>
      </c>
    </row>
    <row r="1218" spans="1:4" x14ac:dyDescent="0.35">
      <c r="A1218">
        <v>-4.3775971978902997E-2</v>
      </c>
      <c r="B1218">
        <v>6.7480443222378996</v>
      </c>
      <c r="C1218">
        <v>0.58587008714675903</v>
      </c>
      <c r="D1218">
        <v>13.155114650203</v>
      </c>
    </row>
    <row r="1219" spans="1:4" x14ac:dyDescent="0.35">
      <c r="A1219">
        <v>-4.3239306658505998E-2</v>
      </c>
      <c r="B1219">
        <v>6.7809146159946199</v>
      </c>
      <c r="C1219">
        <v>0.584025979042053</v>
      </c>
      <c r="D1219">
        <v>13.1320236291788</v>
      </c>
    </row>
    <row r="1220" spans="1:4" x14ac:dyDescent="0.35">
      <c r="A1220">
        <v>-4.2776096612215E-2</v>
      </c>
      <c r="B1220">
        <v>6.7822587027733698</v>
      </c>
      <c r="C1220">
        <v>0.58327877521514904</v>
      </c>
      <c r="D1220">
        <v>13.1274306190641</v>
      </c>
    </row>
    <row r="1221" spans="1:4" x14ac:dyDescent="0.35">
      <c r="A1221">
        <v>-4.2334269732237001E-2</v>
      </c>
      <c r="B1221">
        <v>6.7971914189322096</v>
      </c>
      <c r="C1221">
        <v>0.58270412683486905</v>
      </c>
      <c r="D1221">
        <v>13.1749891627694</v>
      </c>
    </row>
    <row r="1222" spans="1:4" x14ac:dyDescent="0.35">
      <c r="A1222">
        <v>-4.1706524789332997E-2</v>
      </c>
      <c r="B1222">
        <v>6.8299887710025899</v>
      </c>
      <c r="C1222">
        <v>0.58110129833221402</v>
      </c>
      <c r="D1222">
        <v>13.159987035697901</v>
      </c>
    </row>
    <row r="1223" spans="1:4" x14ac:dyDescent="0.35">
      <c r="A1223">
        <v>-4.1351232677697997E-2</v>
      </c>
      <c r="B1223">
        <v>6.8396697001804299</v>
      </c>
      <c r="C1223">
        <v>0.58006286621093806</v>
      </c>
      <c r="D1223">
        <v>13.1318778406139</v>
      </c>
    </row>
    <row r="1224" spans="1:4" x14ac:dyDescent="0.35">
      <c r="A1224">
        <v>-4.0841430425643997E-2</v>
      </c>
      <c r="B1224">
        <v>6.8639149735481499</v>
      </c>
      <c r="C1224">
        <v>0.57991850376129195</v>
      </c>
      <c r="D1224">
        <v>13.132503092152101</v>
      </c>
    </row>
    <row r="1225" spans="1:4" x14ac:dyDescent="0.35">
      <c r="A1225">
        <v>-4.0374930948019E-2</v>
      </c>
      <c r="B1225">
        <v>6.8683201096140802</v>
      </c>
      <c r="C1225">
        <v>0.57823503017425504</v>
      </c>
      <c r="D1225">
        <v>13.092350679931601</v>
      </c>
    </row>
    <row r="1226" spans="1:4" x14ac:dyDescent="0.35">
      <c r="A1226">
        <v>-3.9863944053649999E-2</v>
      </c>
      <c r="B1226">
        <v>6.8471571432120504</v>
      </c>
      <c r="C1226">
        <v>0.57753282785415605</v>
      </c>
      <c r="D1226">
        <v>13.1385995680464</v>
      </c>
    </row>
    <row r="1227" spans="1:4" x14ac:dyDescent="0.35">
      <c r="A1227">
        <v>-3.9236228913069E-2</v>
      </c>
      <c r="B1227">
        <v>6.8762537133288202</v>
      </c>
      <c r="C1227">
        <v>0.57588416337966897</v>
      </c>
      <c r="D1227">
        <v>13.0941014915356</v>
      </c>
    </row>
    <row r="1228" spans="1:4" x14ac:dyDescent="0.35">
      <c r="A1228">
        <v>-3.8638483732939002E-2</v>
      </c>
      <c r="B1228">
        <v>6.8795271785404104</v>
      </c>
      <c r="C1228">
        <v>0.57497119903564498</v>
      </c>
      <c r="D1228">
        <v>13.1076817980972</v>
      </c>
    </row>
    <row r="1229" spans="1:4" x14ac:dyDescent="0.35">
      <c r="A1229">
        <v>-3.8188859820366003E-2</v>
      </c>
      <c r="B1229">
        <v>6.8994170095708904</v>
      </c>
      <c r="C1229">
        <v>0.57497715950012196</v>
      </c>
      <c r="D1229">
        <v>13.033534943640699</v>
      </c>
    </row>
    <row r="1230" spans="1:4" x14ac:dyDescent="0.35">
      <c r="A1230">
        <v>-3.7703271955251999E-2</v>
      </c>
      <c r="B1230">
        <v>6.9307095661890896</v>
      </c>
      <c r="C1230">
        <v>0.57271742820739702</v>
      </c>
      <c r="D1230">
        <v>13.086977314286599</v>
      </c>
    </row>
    <row r="1231" spans="1:4" x14ac:dyDescent="0.35">
      <c r="A1231">
        <v>-3.7298567593097999E-2</v>
      </c>
      <c r="B1231">
        <v>6.9156466038828004</v>
      </c>
      <c r="C1231">
        <v>0.57171827554702803</v>
      </c>
      <c r="D1231">
        <v>13.0674137758943</v>
      </c>
    </row>
    <row r="1232" spans="1:4" x14ac:dyDescent="0.35">
      <c r="A1232">
        <v>-3.6661308258772E-2</v>
      </c>
      <c r="B1232">
        <v>6.9279670035197496</v>
      </c>
      <c r="C1232">
        <v>0.57168608903884899</v>
      </c>
      <c r="D1232">
        <v>13.056043422702</v>
      </c>
    </row>
    <row r="1233" spans="1:4" x14ac:dyDescent="0.35">
      <c r="A1233">
        <v>-3.6349434405564998E-2</v>
      </c>
      <c r="B1233">
        <v>6.9543634265034298</v>
      </c>
      <c r="C1233">
        <v>0.56991672515869096</v>
      </c>
      <c r="D1233">
        <v>13.0896553593871</v>
      </c>
    </row>
    <row r="1234" spans="1:4" x14ac:dyDescent="0.35">
      <c r="A1234">
        <v>-3.5866983234882001E-2</v>
      </c>
      <c r="B1234">
        <v>6.9556780162815297</v>
      </c>
      <c r="C1234">
        <v>0.569014191627502</v>
      </c>
      <c r="D1234">
        <v>13.091623486347</v>
      </c>
    </row>
    <row r="1235" spans="1:4" x14ac:dyDescent="0.35">
      <c r="A1235">
        <v>-3.5242706537247002E-2</v>
      </c>
      <c r="B1235">
        <v>6.9792335765806603</v>
      </c>
      <c r="C1235">
        <v>0.568697810173035</v>
      </c>
      <c r="D1235">
        <v>13.087526112253</v>
      </c>
    </row>
    <row r="1236" spans="1:4" x14ac:dyDescent="0.35">
      <c r="A1236">
        <v>-3.4851443022489999E-2</v>
      </c>
      <c r="B1236">
        <v>6.9739618782791304</v>
      </c>
      <c r="C1236">
        <v>0.56704854965210005</v>
      </c>
      <c r="D1236">
        <v>13.0724046807909</v>
      </c>
    </row>
    <row r="1237" spans="1:4" x14ac:dyDescent="0.35">
      <c r="A1237">
        <v>-3.4447338432074003E-2</v>
      </c>
      <c r="B1237">
        <v>6.9524938721460599</v>
      </c>
      <c r="C1237">
        <v>0.56652021408081099</v>
      </c>
      <c r="D1237">
        <v>13.049542393195599</v>
      </c>
    </row>
    <row r="1238" spans="1:4" x14ac:dyDescent="0.35">
      <c r="A1238">
        <v>-3.3941231667995002E-2</v>
      </c>
      <c r="B1238">
        <v>6.9874762529566796</v>
      </c>
      <c r="C1238">
        <v>0.56541383266448997</v>
      </c>
      <c r="D1238">
        <v>13.0936399833324</v>
      </c>
    </row>
    <row r="1239" spans="1:4" x14ac:dyDescent="0.35">
      <c r="A1239">
        <v>-3.3470217138528997E-2</v>
      </c>
      <c r="B1239">
        <v>7.0157703012867501</v>
      </c>
      <c r="C1239">
        <v>0.56411105394363403</v>
      </c>
      <c r="D1239">
        <v>13.010324963833</v>
      </c>
    </row>
    <row r="1240" spans="1:4" x14ac:dyDescent="0.35">
      <c r="A1240">
        <v>-3.2681144773960003E-2</v>
      </c>
      <c r="B1240">
        <v>7.0266860370591298</v>
      </c>
      <c r="C1240">
        <v>0.56303429603576705</v>
      </c>
      <c r="D1240">
        <v>13.0690084259105</v>
      </c>
    </row>
    <row r="1241" spans="1:4" x14ac:dyDescent="0.35">
      <c r="A1241">
        <v>-3.2404877245425998E-2</v>
      </c>
      <c r="B1241">
        <v>7.0213411032030502</v>
      </c>
      <c r="C1241">
        <v>0.56231927871704102</v>
      </c>
      <c r="D1241">
        <v>13.0516154770164</v>
      </c>
    </row>
    <row r="1242" spans="1:4" x14ac:dyDescent="0.35">
      <c r="A1242">
        <v>-3.1785681843757997E-2</v>
      </c>
      <c r="B1242">
        <v>7.0482586025420204</v>
      </c>
      <c r="C1242">
        <v>0.56077051162719704</v>
      </c>
      <c r="D1242">
        <v>13.0476314739917</v>
      </c>
    </row>
    <row r="1243" spans="1:4" x14ac:dyDescent="0.35">
      <c r="A1243">
        <v>-3.1212039291858999E-2</v>
      </c>
      <c r="B1243">
        <v>7.0617528305944903</v>
      </c>
      <c r="C1243">
        <v>0.56092160940170299</v>
      </c>
      <c r="D1243">
        <v>13.051816433922101</v>
      </c>
    </row>
    <row r="1244" spans="1:4" x14ac:dyDescent="0.35">
      <c r="A1244">
        <v>-3.0842395499349001E-2</v>
      </c>
      <c r="B1244">
        <v>7.0733378871955699</v>
      </c>
      <c r="C1244">
        <v>0.55918776988983199</v>
      </c>
      <c r="D1244">
        <v>13.028731966099199</v>
      </c>
    </row>
    <row r="1245" spans="1:4" x14ac:dyDescent="0.35">
      <c r="A1245">
        <v>-3.0188856646419002E-2</v>
      </c>
      <c r="B1245">
        <v>7.0888149577095998</v>
      </c>
      <c r="C1245">
        <v>0.558000087738037</v>
      </c>
      <c r="D1245">
        <v>13.025821620657499</v>
      </c>
    </row>
    <row r="1246" spans="1:4" x14ac:dyDescent="0.35">
      <c r="A1246">
        <v>-2.9742714017630002E-2</v>
      </c>
      <c r="B1246">
        <v>7.1064642027674001</v>
      </c>
      <c r="C1246">
        <v>0.557655930519104</v>
      </c>
      <c r="D1246">
        <v>13.001696570765301</v>
      </c>
    </row>
    <row r="1247" spans="1:4" x14ac:dyDescent="0.35">
      <c r="A1247">
        <v>-2.9262606054544001E-2</v>
      </c>
      <c r="B1247">
        <v>7.0881283852415002</v>
      </c>
      <c r="C1247">
        <v>0.55602663755416903</v>
      </c>
      <c r="D1247">
        <v>13.0303989918339</v>
      </c>
    </row>
    <row r="1248" spans="1:4" x14ac:dyDescent="0.35">
      <c r="A1248">
        <v>-2.8730150312185E-2</v>
      </c>
      <c r="B1248">
        <v>7.1005139510907096</v>
      </c>
      <c r="C1248">
        <v>0.55459916591644298</v>
      </c>
      <c r="D1248">
        <v>13.0228102829898</v>
      </c>
    </row>
    <row r="1249" spans="1:4" x14ac:dyDescent="0.35">
      <c r="A1249">
        <v>-2.8271079063415999E-2</v>
      </c>
      <c r="B1249">
        <v>7.1262990458118596</v>
      </c>
      <c r="C1249">
        <v>0.55475991964340199</v>
      </c>
      <c r="D1249">
        <v>13.0158273758409</v>
      </c>
    </row>
    <row r="1250" spans="1:4" x14ac:dyDescent="0.35">
      <c r="A1250">
        <v>-2.7886597439646998E-2</v>
      </c>
      <c r="B1250">
        <v>7.1200542128416302</v>
      </c>
      <c r="C1250">
        <v>0.553064405918121</v>
      </c>
      <c r="D1250">
        <v>13.025332238108399</v>
      </c>
    </row>
    <row r="1251" spans="1:4" x14ac:dyDescent="0.35">
      <c r="A1251">
        <v>-2.7198411524296001E-2</v>
      </c>
      <c r="B1251">
        <v>7.1443889210523803</v>
      </c>
      <c r="C1251">
        <v>0.55199962854385398</v>
      </c>
      <c r="D1251">
        <v>12.9864919063473</v>
      </c>
    </row>
    <row r="1252" spans="1:4" x14ac:dyDescent="0.35">
      <c r="A1252">
        <v>-2.6724310591816999E-2</v>
      </c>
      <c r="B1252">
        <v>7.1625534244877596</v>
      </c>
      <c r="C1252">
        <v>0.55171656608581499</v>
      </c>
      <c r="D1252">
        <v>13.0125400391236</v>
      </c>
    </row>
    <row r="1253" spans="1:4" x14ac:dyDescent="0.35">
      <c r="A1253">
        <v>-2.6304693892598E-2</v>
      </c>
      <c r="B1253">
        <v>7.1738586236461401</v>
      </c>
      <c r="C1253">
        <v>0.54927647113800004</v>
      </c>
      <c r="D1253">
        <v>12.9790276187394</v>
      </c>
    </row>
    <row r="1254" spans="1:4" x14ac:dyDescent="0.35">
      <c r="A1254">
        <v>-2.5777779519558001E-2</v>
      </c>
      <c r="B1254">
        <v>7.1655717696765899</v>
      </c>
      <c r="C1254">
        <v>0.54928499460220304</v>
      </c>
      <c r="D1254">
        <v>13.0490233351725</v>
      </c>
    </row>
    <row r="1255" spans="1:4" x14ac:dyDescent="0.35">
      <c r="A1255">
        <v>-2.5191359221935002E-2</v>
      </c>
      <c r="B1255">
        <v>7.1679669608573597</v>
      </c>
      <c r="C1255">
        <v>0.54881733655929599</v>
      </c>
      <c r="D1255">
        <v>12.9896643720028</v>
      </c>
    </row>
    <row r="1256" spans="1:4" x14ac:dyDescent="0.35">
      <c r="A1256">
        <v>-2.4833146482706001E-2</v>
      </c>
      <c r="B1256">
        <v>7.1977937908126997</v>
      </c>
      <c r="C1256">
        <v>0.54703176021575906</v>
      </c>
      <c r="D1256">
        <v>12.936886696738</v>
      </c>
    </row>
    <row r="1257" spans="1:4" x14ac:dyDescent="0.35">
      <c r="A1257">
        <v>-2.412629313767E-2</v>
      </c>
      <c r="B1257">
        <v>7.1984225512521096</v>
      </c>
      <c r="C1257">
        <v>0.54628992080688499</v>
      </c>
      <c r="D1257">
        <v>12.9802942957262</v>
      </c>
    </row>
    <row r="1258" spans="1:4" x14ac:dyDescent="0.35">
      <c r="A1258">
        <v>-2.3779368028044999E-2</v>
      </c>
      <c r="B1258">
        <v>7.2321030412849598</v>
      </c>
      <c r="C1258">
        <v>0.545773565769196</v>
      </c>
      <c r="D1258">
        <v>12.987517928317001</v>
      </c>
    </row>
    <row r="1259" spans="1:4" x14ac:dyDescent="0.35">
      <c r="A1259">
        <v>-2.3241730406880001E-2</v>
      </c>
      <c r="B1259">
        <v>7.2578880428256296</v>
      </c>
      <c r="C1259">
        <v>0.54399609565734897</v>
      </c>
      <c r="D1259">
        <v>12.9986809723948</v>
      </c>
    </row>
    <row r="1260" spans="1:4" x14ac:dyDescent="0.35">
      <c r="A1260">
        <v>-2.281603962183E-2</v>
      </c>
      <c r="B1260">
        <v>7.2467191372806603</v>
      </c>
      <c r="C1260">
        <v>0.54292589426040605</v>
      </c>
      <c r="D1260">
        <v>13.0126092110951</v>
      </c>
    </row>
    <row r="1261" spans="1:4" x14ac:dyDescent="0.35">
      <c r="A1261">
        <v>-2.2383196279406999E-2</v>
      </c>
      <c r="B1261">
        <v>7.23482481975058</v>
      </c>
      <c r="C1261">
        <v>0.54250836372375499</v>
      </c>
      <c r="D1261">
        <v>12.9595760566378</v>
      </c>
    </row>
    <row r="1262" spans="1:4" x14ac:dyDescent="0.35">
      <c r="A1262">
        <v>-2.1828409284352999E-2</v>
      </c>
      <c r="B1262">
        <v>7.2597397255929499</v>
      </c>
      <c r="C1262">
        <v>0.54094779491424605</v>
      </c>
      <c r="D1262">
        <v>12.949031679202299</v>
      </c>
    </row>
    <row r="1263" spans="1:4" x14ac:dyDescent="0.35">
      <c r="A1263">
        <v>-2.1413203328848E-2</v>
      </c>
      <c r="B1263">
        <v>7.2509089231263903</v>
      </c>
      <c r="C1263">
        <v>0.54068160057067904</v>
      </c>
      <c r="D1263">
        <v>12.9674676342671</v>
      </c>
    </row>
    <row r="1264" spans="1:4" x14ac:dyDescent="0.35">
      <c r="A1264">
        <v>-2.0900268107653001E-2</v>
      </c>
      <c r="B1264">
        <v>7.2593899261653796</v>
      </c>
      <c r="C1264">
        <v>0.53916466236114502</v>
      </c>
      <c r="D1264">
        <v>12.915692676534601</v>
      </c>
    </row>
    <row r="1265" spans="1:4" x14ac:dyDescent="0.35">
      <c r="A1265">
        <v>-2.0376518368721001E-2</v>
      </c>
      <c r="B1265">
        <v>7.2850413070612499</v>
      </c>
      <c r="C1265">
        <v>0.53818893432617199</v>
      </c>
      <c r="D1265">
        <v>12.968981244402601</v>
      </c>
    </row>
    <row r="1266" spans="1:4" x14ac:dyDescent="0.35">
      <c r="A1266">
        <v>-1.9864285364746999E-2</v>
      </c>
      <c r="B1266">
        <v>7.2850031580488901</v>
      </c>
      <c r="C1266">
        <v>0.53754794597625699</v>
      </c>
      <c r="D1266">
        <v>12.9468881996518</v>
      </c>
    </row>
    <row r="1267" spans="1:4" x14ac:dyDescent="0.35">
      <c r="A1267">
        <v>-1.9287625327706E-2</v>
      </c>
      <c r="B1267">
        <v>7.3137459740529298</v>
      </c>
      <c r="C1267">
        <v>0.53659731149673495</v>
      </c>
      <c r="D1267">
        <v>12.9499257266891</v>
      </c>
    </row>
    <row r="1268" spans="1:4" x14ac:dyDescent="0.35">
      <c r="A1268">
        <v>-1.8915461376308999E-2</v>
      </c>
      <c r="B1268">
        <v>7.3468965550368601</v>
      </c>
      <c r="C1268">
        <v>0.535145103931427</v>
      </c>
      <c r="D1268">
        <v>12.949182624490501</v>
      </c>
    </row>
    <row r="1269" spans="1:4" x14ac:dyDescent="0.35">
      <c r="A1269">
        <v>-1.8513567745686001E-2</v>
      </c>
      <c r="B1269">
        <v>7.3437439329059897</v>
      </c>
      <c r="C1269">
        <v>0.53424882888793901</v>
      </c>
      <c r="D1269">
        <v>12.9556909487867</v>
      </c>
    </row>
    <row r="1270" spans="1:4" x14ac:dyDescent="0.35">
      <c r="A1270">
        <v>-1.7785629257559998E-2</v>
      </c>
      <c r="B1270">
        <v>7.3471708951984898</v>
      </c>
      <c r="C1270">
        <v>0.53330779075622603</v>
      </c>
      <c r="D1270">
        <v>12.9028302099697</v>
      </c>
    </row>
    <row r="1271" spans="1:4" x14ac:dyDescent="0.35">
      <c r="A1271">
        <v>-1.7222534865141002E-2</v>
      </c>
      <c r="B1271">
        <v>7.3660843223882004</v>
      </c>
      <c r="C1271">
        <v>0.531655073165894</v>
      </c>
      <c r="D1271">
        <v>12.9267235112153</v>
      </c>
    </row>
    <row r="1272" spans="1:4" x14ac:dyDescent="0.35">
      <c r="A1272">
        <v>-1.6812110319734001E-2</v>
      </c>
      <c r="B1272">
        <v>7.36096533268001</v>
      </c>
      <c r="C1272">
        <v>0.53163349628448497</v>
      </c>
      <c r="D1272">
        <v>12.922098485862801</v>
      </c>
    </row>
    <row r="1273" spans="1:4" x14ac:dyDescent="0.35">
      <c r="A1273">
        <v>-1.6226829960942001E-2</v>
      </c>
      <c r="B1273">
        <v>7.3736189364651299</v>
      </c>
      <c r="C1273">
        <v>0.53023248910903897</v>
      </c>
      <c r="D1273">
        <v>12.9067413976358</v>
      </c>
    </row>
    <row r="1274" spans="1:4" x14ac:dyDescent="0.35">
      <c r="A1274">
        <v>-1.5823906287550999E-2</v>
      </c>
      <c r="B1274">
        <v>7.4107141098499998</v>
      </c>
      <c r="C1274">
        <v>0.52916866540908802</v>
      </c>
      <c r="D1274">
        <v>12.923976672518499</v>
      </c>
    </row>
    <row r="1275" spans="1:4" x14ac:dyDescent="0.35">
      <c r="A1275">
        <v>-1.5355359762907E-2</v>
      </c>
      <c r="B1275">
        <v>7.3841295901899304</v>
      </c>
      <c r="C1275">
        <v>0.52871656417846702</v>
      </c>
      <c r="D1275">
        <v>12.935634850755299</v>
      </c>
    </row>
    <row r="1276" spans="1:4" x14ac:dyDescent="0.35">
      <c r="A1276">
        <v>-1.4632578939199E-2</v>
      </c>
      <c r="B1276">
        <v>7.4225726200440798</v>
      </c>
      <c r="C1276">
        <v>0.52734738588333097</v>
      </c>
      <c r="D1276">
        <v>12.907474566968499</v>
      </c>
    </row>
    <row r="1277" spans="1:4" x14ac:dyDescent="0.35">
      <c r="A1277">
        <v>-1.4210447669029E-2</v>
      </c>
      <c r="B1277">
        <v>7.4215265823817704</v>
      </c>
      <c r="C1277">
        <v>0.52583986520767201</v>
      </c>
      <c r="D1277">
        <v>12.921467156086001</v>
      </c>
    </row>
    <row r="1278" spans="1:4" x14ac:dyDescent="0.35">
      <c r="A1278">
        <v>-1.3791896402836E-2</v>
      </c>
      <c r="B1278">
        <v>7.4524465268382203</v>
      </c>
      <c r="C1278">
        <v>0.52597749233245805</v>
      </c>
      <c r="D1278">
        <v>12.925738593845599</v>
      </c>
    </row>
    <row r="1279" spans="1:4" x14ac:dyDescent="0.35">
      <c r="A1279">
        <v>-1.3169627636671E-2</v>
      </c>
      <c r="B1279">
        <v>7.47265138729143</v>
      </c>
      <c r="C1279">
        <v>0.523767590522766</v>
      </c>
      <c r="D1279">
        <v>12.9030484005542</v>
      </c>
    </row>
    <row r="1280" spans="1:4" x14ac:dyDescent="0.35">
      <c r="A1280">
        <v>-1.2801598757505001E-2</v>
      </c>
      <c r="B1280">
        <v>7.4298359022814697</v>
      </c>
      <c r="C1280">
        <v>0.52303051948547397</v>
      </c>
      <c r="D1280">
        <v>12.916961832867599</v>
      </c>
    </row>
    <row r="1281" spans="1:4" x14ac:dyDescent="0.35">
      <c r="A1281">
        <v>-1.2268522754312E-2</v>
      </c>
      <c r="B1281">
        <v>7.4673232878323796</v>
      </c>
      <c r="C1281">
        <v>0.52276957035064697</v>
      </c>
      <c r="D1281">
        <v>12.9147498820767</v>
      </c>
    </row>
    <row r="1282" spans="1:4" x14ac:dyDescent="0.35">
      <c r="A1282">
        <v>-1.1801934801042E-2</v>
      </c>
      <c r="B1282">
        <v>7.47936719632464</v>
      </c>
      <c r="C1282">
        <v>0.52088999748230003</v>
      </c>
      <c r="D1282">
        <v>12.8863400893967</v>
      </c>
    </row>
    <row r="1283" spans="1:4" x14ac:dyDescent="0.35">
      <c r="A1283">
        <v>-1.1330243200064E-2</v>
      </c>
      <c r="B1283">
        <v>7.4885992857694204</v>
      </c>
      <c r="C1283">
        <v>0.52012920379638705</v>
      </c>
      <c r="D1283">
        <v>12.863064264117799</v>
      </c>
    </row>
    <row r="1284" spans="1:4" x14ac:dyDescent="0.35">
      <c r="A1284">
        <v>-1.0840232484043E-2</v>
      </c>
      <c r="B1284">
        <v>7.4865192839542303</v>
      </c>
      <c r="C1284">
        <v>0.51992636919021595</v>
      </c>
      <c r="D1284">
        <v>12.8834301745998</v>
      </c>
    </row>
    <row r="1285" spans="1:4" x14ac:dyDescent="0.35">
      <c r="A1285">
        <v>-1.0300702415407001E-2</v>
      </c>
      <c r="B1285">
        <v>7.5304061103889604</v>
      </c>
      <c r="C1285">
        <v>0.51779001951217696</v>
      </c>
      <c r="D1285">
        <v>12.8699376901466</v>
      </c>
    </row>
    <row r="1286" spans="1:4" x14ac:dyDescent="0.35">
      <c r="A1286">
        <v>-9.8544694483280008E-3</v>
      </c>
      <c r="B1286">
        <v>7.5706843217756896</v>
      </c>
      <c r="C1286">
        <v>0.51742541790008501</v>
      </c>
      <c r="D1286">
        <v>12.906848993417301</v>
      </c>
    </row>
    <row r="1287" spans="1:4" x14ac:dyDescent="0.35">
      <c r="A1287">
        <v>-9.3531170859930002E-3</v>
      </c>
      <c r="B1287">
        <v>7.5276439296351398</v>
      </c>
      <c r="C1287">
        <v>0.51666653156280495</v>
      </c>
      <c r="D1287">
        <v>12.8664625305938</v>
      </c>
    </row>
    <row r="1288" spans="1:4" x14ac:dyDescent="0.35">
      <c r="A1288">
        <v>-8.8714370504019997E-3</v>
      </c>
      <c r="B1288">
        <v>7.5613934336732198</v>
      </c>
      <c r="C1288">
        <v>0.51507431268692005</v>
      </c>
      <c r="D1288">
        <v>12.863629215257401</v>
      </c>
    </row>
    <row r="1289" spans="1:4" x14ac:dyDescent="0.35">
      <c r="A1289">
        <v>-8.2544786855580001E-3</v>
      </c>
      <c r="B1289">
        <v>7.5791878259908403</v>
      </c>
      <c r="C1289">
        <v>0.51382118463516202</v>
      </c>
      <c r="D1289">
        <v>12.874147203341799</v>
      </c>
    </row>
    <row r="1290" spans="1:4" x14ac:dyDescent="0.35">
      <c r="A1290">
        <v>-7.8318128362300007E-3</v>
      </c>
      <c r="B1290">
        <v>7.5674287569961898</v>
      </c>
      <c r="C1290">
        <v>0.51360511779785201</v>
      </c>
      <c r="D1290">
        <v>12.863041599468</v>
      </c>
    </row>
    <row r="1291" spans="1:4" x14ac:dyDescent="0.35">
      <c r="A1291">
        <v>-7.2675058618190003E-3</v>
      </c>
      <c r="B1291">
        <v>7.5624535314971899</v>
      </c>
      <c r="C1291">
        <v>0.51178294420242298</v>
      </c>
      <c r="D1291">
        <v>12.8543225051009</v>
      </c>
    </row>
    <row r="1292" spans="1:4" x14ac:dyDescent="0.35">
      <c r="A1292">
        <v>-6.8604340776799999E-3</v>
      </c>
      <c r="B1292">
        <v>7.5614643894343301</v>
      </c>
      <c r="C1292">
        <v>0.51147282123565696</v>
      </c>
      <c r="D1292">
        <v>12.8267456841215</v>
      </c>
    </row>
    <row r="1293" spans="1:4" x14ac:dyDescent="0.35">
      <c r="A1293">
        <v>-6.342257373035E-3</v>
      </c>
      <c r="B1293">
        <v>7.5645072232739503</v>
      </c>
      <c r="C1293">
        <v>0.510903120040894</v>
      </c>
      <c r="D1293">
        <v>12.8699751670953</v>
      </c>
    </row>
    <row r="1294" spans="1:4" x14ac:dyDescent="0.35">
      <c r="A1294">
        <v>-5.728158634156E-3</v>
      </c>
      <c r="B1294">
        <v>7.5936495090961103</v>
      </c>
      <c r="C1294">
        <v>0.50893008708953902</v>
      </c>
      <c r="D1294">
        <v>12.784058837746599</v>
      </c>
    </row>
    <row r="1295" spans="1:4" x14ac:dyDescent="0.35">
      <c r="A1295">
        <v>-5.2023674361410003E-3</v>
      </c>
      <c r="B1295">
        <v>7.6311447996542396</v>
      </c>
      <c r="C1295">
        <v>0.50878679752349898</v>
      </c>
      <c r="D1295">
        <v>12.8804785221968</v>
      </c>
    </row>
    <row r="1296" spans="1:4" x14ac:dyDescent="0.35">
      <c r="A1296">
        <v>-4.7910348512229996E-3</v>
      </c>
      <c r="B1296">
        <v>7.6594960264485303</v>
      </c>
      <c r="C1296">
        <v>0.50776147842407204</v>
      </c>
      <c r="D1296">
        <v>12.8535154100396</v>
      </c>
    </row>
    <row r="1297" spans="1:4" x14ac:dyDescent="0.35">
      <c r="A1297">
        <v>-4.1637746617200003E-3</v>
      </c>
      <c r="B1297">
        <v>7.6681030646424304</v>
      </c>
      <c r="C1297">
        <v>0.50531470775604204</v>
      </c>
      <c r="D1297">
        <v>12.850555170160501</v>
      </c>
    </row>
    <row r="1298" spans="1:4" x14ac:dyDescent="0.35">
      <c r="A1298">
        <v>-3.8273497484620001E-3</v>
      </c>
      <c r="B1298">
        <v>7.6662538616539102</v>
      </c>
      <c r="C1298">
        <v>0.50550884008407604</v>
      </c>
      <c r="D1298">
        <v>12.8615479691037</v>
      </c>
    </row>
    <row r="1299" spans="1:4" x14ac:dyDescent="0.35">
      <c r="A1299">
        <v>-3.4105542581529999E-3</v>
      </c>
      <c r="B1299">
        <v>7.67600956254004</v>
      </c>
      <c r="C1299">
        <v>0.50438767671585105</v>
      </c>
      <c r="D1299">
        <v>12.8420380196322</v>
      </c>
    </row>
    <row r="1300" spans="1:4" x14ac:dyDescent="0.35">
      <c r="A1300">
        <v>-2.8108400292690002E-3</v>
      </c>
      <c r="B1300">
        <v>7.6994934958433801</v>
      </c>
      <c r="C1300">
        <v>0.50278991460800204</v>
      </c>
      <c r="D1300">
        <v>12.868817470297</v>
      </c>
    </row>
    <row r="1301" spans="1:4" x14ac:dyDescent="0.35">
      <c r="A1301">
        <v>-2.4366830475629998E-3</v>
      </c>
      <c r="B1301">
        <v>7.7297732263484704</v>
      </c>
      <c r="C1301">
        <v>0.50231641530990601</v>
      </c>
      <c r="D1301">
        <v>12.8240669138877</v>
      </c>
    </row>
    <row r="1302" spans="1:4" x14ac:dyDescent="0.35">
      <c r="A1302">
        <v>-1.758270547725E-3</v>
      </c>
      <c r="B1302">
        <v>7.7433219453166702</v>
      </c>
      <c r="C1302">
        <v>0.50168985128402699</v>
      </c>
      <c r="D1302">
        <v>12.826852311734299</v>
      </c>
    </row>
    <row r="1303" spans="1:4" x14ac:dyDescent="0.35">
      <c r="A1303">
        <v>-1.4974033692849999E-3</v>
      </c>
      <c r="B1303">
        <v>7.7515390655451899</v>
      </c>
      <c r="C1303">
        <v>0.49974006414413502</v>
      </c>
      <c r="D1303">
        <v>12.8043664019532</v>
      </c>
    </row>
    <row r="1304" spans="1:4" x14ac:dyDescent="0.35">
      <c r="A1304">
        <v>-8.5067847976499997E-4</v>
      </c>
      <c r="B1304">
        <v>7.7179468437867698</v>
      </c>
      <c r="C1304">
        <v>0.49987307190895103</v>
      </c>
      <c r="D1304">
        <v>12.853084879755</v>
      </c>
    </row>
    <row r="1305" spans="1:4" x14ac:dyDescent="0.35">
      <c r="A1305">
        <v>-4.1595657239700001E-4</v>
      </c>
      <c r="B1305">
        <v>7.7481035161662097</v>
      </c>
      <c r="C1305">
        <v>0.498363167047501</v>
      </c>
      <c r="D1305">
        <v>12.8491852793502</v>
      </c>
    </row>
    <row r="1306" spans="1:4" x14ac:dyDescent="0.35">
      <c r="A1306">
        <v>7.8296048741000003E-5</v>
      </c>
      <c r="B1306">
        <v>7.7721858737084899</v>
      </c>
      <c r="C1306">
        <v>0.49661603569984403</v>
      </c>
      <c r="D1306">
        <v>12.830185354364501</v>
      </c>
    </row>
    <row r="1307" spans="1:4" x14ac:dyDescent="0.35">
      <c r="A1307">
        <v>6.68367079925E-4</v>
      </c>
      <c r="B1307">
        <v>7.7944878705281102</v>
      </c>
      <c r="C1307">
        <v>0.49663078784942599</v>
      </c>
      <c r="D1307">
        <v>12.805206850026799</v>
      </c>
    </row>
    <row r="1308" spans="1:4" x14ac:dyDescent="0.35">
      <c r="A1308">
        <v>1.284348894842E-3</v>
      </c>
      <c r="B1308">
        <v>7.7925001089496702</v>
      </c>
      <c r="C1308">
        <v>0.49548777937889099</v>
      </c>
      <c r="D1308">
        <v>12.819508450893</v>
      </c>
    </row>
    <row r="1309" spans="1:4" x14ac:dyDescent="0.35">
      <c r="A1309">
        <v>1.6884885262699999E-3</v>
      </c>
      <c r="B1309">
        <v>7.8133629522606496</v>
      </c>
      <c r="C1309">
        <v>0.49410918354988098</v>
      </c>
      <c r="D1309">
        <v>12.7972673273678</v>
      </c>
    </row>
    <row r="1310" spans="1:4" x14ac:dyDescent="0.35">
      <c r="A1310">
        <v>2.267422387376E-3</v>
      </c>
      <c r="B1310">
        <v>7.8187034246343901</v>
      </c>
      <c r="C1310">
        <v>0.49346852302551297</v>
      </c>
      <c r="D1310">
        <v>12.801832317122001</v>
      </c>
    </row>
    <row r="1311" spans="1:4" x14ac:dyDescent="0.35">
      <c r="A1311">
        <v>2.6341059710829999E-3</v>
      </c>
      <c r="B1311">
        <v>7.7956328308932603</v>
      </c>
      <c r="C1311">
        <v>0.49248814582824701</v>
      </c>
      <c r="D1311">
        <v>12.817939798276299</v>
      </c>
    </row>
    <row r="1312" spans="1:4" x14ac:dyDescent="0.35">
      <c r="A1312">
        <v>3.2023938838389998E-3</v>
      </c>
      <c r="B1312">
        <v>7.8246101934812904</v>
      </c>
      <c r="C1312">
        <v>0.49097135663032498</v>
      </c>
      <c r="D1312">
        <v>12.742847382153601</v>
      </c>
    </row>
    <row r="1313" spans="1:4" x14ac:dyDescent="0.35">
      <c r="A1313">
        <v>3.591503482312E-3</v>
      </c>
      <c r="B1313">
        <v>7.8402702633063397</v>
      </c>
      <c r="C1313">
        <v>0.490471541881561</v>
      </c>
      <c r="D1313">
        <v>12.7976445015795</v>
      </c>
    </row>
    <row r="1314" spans="1:4" x14ac:dyDescent="0.35">
      <c r="A1314">
        <v>4.2127449996770001E-3</v>
      </c>
      <c r="B1314">
        <v>7.8164958570258003</v>
      </c>
      <c r="C1314">
        <v>0.48881992697715798</v>
      </c>
      <c r="D1314">
        <v>12.798968528927301</v>
      </c>
    </row>
    <row r="1315" spans="1:4" x14ac:dyDescent="0.35">
      <c r="A1315">
        <v>4.6949540264899997E-3</v>
      </c>
      <c r="B1315">
        <v>7.8356880665461599</v>
      </c>
      <c r="C1315">
        <v>0.48832342028617898</v>
      </c>
      <c r="D1315">
        <v>12.786718127774799</v>
      </c>
    </row>
    <row r="1316" spans="1:4" x14ac:dyDescent="0.35">
      <c r="A1316">
        <v>5.1668621599670001E-3</v>
      </c>
      <c r="B1316">
        <v>7.8625859296169498</v>
      </c>
      <c r="C1316">
        <v>0.48744809627532998</v>
      </c>
      <c r="D1316">
        <v>12.7453812715202</v>
      </c>
    </row>
    <row r="1317" spans="1:4" x14ac:dyDescent="0.35">
      <c r="A1317">
        <v>5.6206011213359997E-3</v>
      </c>
      <c r="B1317">
        <v>7.90075920116311</v>
      </c>
      <c r="C1317">
        <v>0.48612335324287398</v>
      </c>
      <c r="D1317">
        <v>12.767749181426399</v>
      </c>
    </row>
    <row r="1318" spans="1:4" x14ac:dyDescent="0.35">
      <c r="A1318">
        <v>6.1664157547059997E-3</v>
      </c>
      <c r="B1318">
        <v>7.9107683497260197</v>
      </c>
      <c r="C1318">
        <v>0.48498034477233898</v>
      </c>
      <c r="D1318">
        <v>12.802112752327901</v>
      </c>
    </row>
    <row r="1319" spans="1:4" x14ac:dyDescent="0.35">
      <c r="A1319">
        <v>6.6859927028419999E-3</v>
      </c>
      <c r="B1319">
        <v>7.8935484644564298</v>
      </c>
      <c r="C1319">
        <v>0.48436021804809598</v>
      </c>
      <c r="D1319">
        <v>12.783814519434801</v>
      </c>
    </row>
    <row r="1320" spans="1:4" x14ac:dyDescent="0.35">
      <c r="A1320">
        <v>7.0664989762010003E-3</v>
      </c>
      <c r="B1320">
        <v>7.8765158632494998</v>
      </c>
      <c r="C1320">
        <v>0.48320952057838401</v>
      </c>
      <c r="D1320">
        <v>12.725730247227199</v>
      </c>
    </row>
    <row r="1321" spans="1:4" x14ac:dyDescent="0.35">
      <c r="A1321">
        <v>7.6421890407799998E-3</v>
      </c>
      <c r="B1321">
        <v>7.8987465091319304</v>
      </c>
      <c r="C1321">
        <v>0.48193299770355202</v>
      </c>
      <c r="D1321">
        <v>12.736007666346399</v>
      </c>
    </row>
    <row r="1322" spans="1:4" x14ac:dyDescent="0.35">
      <c r="A1322">
        <v>8.1330575048920006E-3</v>
      </c>
      <c r="B1322">
        <v>7.9152903647275803</v>
      </c>
      <c r="C1322">
        <v>0.48197332024574302</v>
      </c>
      <c r="D1322">
        <v>12.7926234722089</v>
      </c>
    </row>
    <row r="1323" spans="1:4" x14ac:dyDescent="0.35">
      <c r="A1323">
        <v>8.6864111945030003E-3</v>
      </c>
      <c r="B1323">
        <v>7.9245690033050797</v>
      </c>
      <c r="C1323">
        <v>0.48016151785850503</v>
      </c>
      <c r="D1323">
        <v>12.7122957636926</v>
      </c>
    </row>
    <row r="1324" spans="1:4" x14ac:dyDescent="0.35">
      <c r="A1324">
        <v>9.0383011847729993E-3</v>
      </c>
      <c r="B1324">
        <v>7.9312191452318199</v>
      </c>
      <c r="C1324">
        <v>0.47887679934501598</v>
      </c>
      <c r="D1324">
        <v>12.783910292782901</v>
      </c>
    </row>
    <row r="1325" spans="1:4" x14ac:dyDescent="0.35">
      <c r="A1325">
        <v>9.6534695476290008E-3</v>
      </c>
      <c r="B1325">
        <v>7.9622831592617702</v>
      </c>
      <c r="C1325">
        <v>0.47894740104675299</v>
      </c>
      <c r="D1325">
        <v>12.748456507109401</v>
      </c>
    </row>
    <row r="1326" spans="1:4" x14ac:dyDescent="0.35">
      <c r="A1326">
        <v>1.0142145678401E-2</v>
      </c>
      <c r="B1326">
        <v>7.9991771996284804</v>
      </c>
      <c r="C1326">
        <v>0.47722610831260698</v>
      </c>
      <c r="D1326">
        <v>12.686164250264101</v>
      </c>
    </row>
    <row r="1327" spans="1:4" x14ac:dyDescent="0.35">
      <c r="A1327">
        <v>1.0610554367303999E-2</v>
      </c>
      <c r="B1327">
        <v>7.99872516285168</v>
      </c>
      <c r="C1327">
        <v>0.47603693604469299</v>
      </c>
      <c r="D1327">
        <v>12.7294036980831</v>
      </c>
    </row>
    <row r="1328" spans="1:4" x14ac:dyDescent="0.35">
      <c r="A1328">
        <v>1.1131275445223E-2</v>
      </c>
      <c r="B1328">
        <v>8.0228005158926301</v>
      </c>
      <c r="C1328">
        <v>0.47541657090187101</v>
      </c>
      <c r="D1328">
        <v>12.7252173961202</v>
      </c>
    </row>
    <row r="1329" spans="1:4" x14ac:dyDescent="0.35">
      <c r="A1329">
        <v>1.1564793996512999E-2</v>
      </c>
      <c r="B1329">
        <v>7.9891501099881896</v>
      </c>
      <c r="C1329">
        <v>0.474170953035355</v>
      </c>
      <c r="D1329">
        <v>12.7374840851682</v>
      </c>
    </row>
    <row r="1330" spans="1:4" x14ac:dyDescent="0.35">
      <c r="A1330">
        <v>1.2089244090021E-2</v>
      </c>
      <c r="B1330">
        <v>8.0267973836109991</v>
      </c>
      <c r="C1330">
        <v>0.47326171398162797</v>
      </c>
      <c r="D1330">
        <v>12.685076369297001</v>
      </c>
    </row>
    <row r="1331" spans="1:4" x14ac:dyDescent="0.35">
      <c r="A1331">
        <v>1.2666416354477E-2</v>
      </c>
      <c r="B1331">
        <v>8.0353320432957602</v>
      </c>
      <c r="C1331">
        <v>0.47282159328460699</v>
      </c>
      <c r="D1331">
        <v>12.7200878228298</v>
      </c>
    </row>
    <row r="1332" spans="1:4" x14ac:dyDescent="0.35">
      <c r="A1332">
        <v>1.3220885768532999E-2</v>
      </c>
      <c r="B1332">
        <v>8.0418911559828903</v>
      </c>
      <c r="C1332">
        <v>0.47035199403762801</v>
      </c>
      <c r="D1332">
        <v>12.737765703284801</v>
      </c>
    </row>
    <row r="1333" spans="1:4" x14ac:dyDescent="0.35">
      <c r="A1333">
        <v>1.3593971729279E-2</v>
      </c>
      <c r="B1333">
        <v>8.0385558634079004</v>
      </c>
      <c r="C1333">
        <v>0.47051951289176902</v>
      </c>
      <c r="D1333">
        <v>12.7277959590708</v>
      </c>
    </row>
    <row r="1334" spans="1:4" x14ac:dyDescent="0.35">
      <c r="A1334">
        <v>1.4295683242381001E-2</v>
      </c>
      <c r="B1334">
        <v>8.0586187547241703</v>
      </c>
      <c r="C1334">
        <v>0.46938025951385498</v>
      </c>
      <c r="D1334">
        <v>12.7014623759164</v>
      </c>
    </row>
    <row r="1335" spans="1:4" x14ac:dyDescent="0.35">
      <c r="A1335">
        <v>1.4650001190603E-2</v>
      </c>
      <c r="B1335">
        <v>8.0981005124104204</v>
      </c>
      <c r="C1335">
        <v>0.46815806627273598</v>
      </c>
      <c r="D1335">
        <v>12.6718642895482</v>
      </c>
    </row>
    <row r="1336" spans="1:4" x14ac:dyDescent="0.35">
      <c r="A1336">
        <v>1.5093167312443E-2</v>
      </c>
      <c r="B1336">
        <v>8.0973447999410801</v>
      </c>
      <c r="C1336">
        <v>0.467717915773392</v>
      </c>
      <c r="D1336">
        <v>12.7213347772379</v>
      </c>
    </row>
    <row r="1337" spans="1:4" x14ac:dyDescent="0.35">
      <c r="A1337">
        <v>1.5799917280674002E-2</v>
      </c>
      <c r="B1337">
        <v>8.0780367968893803</v>
      </c>
      <c r="C1337">
        <v>0.466004908084869</v>
      </c>
      <c r="D1337">
        <v>12.697788766423599</v>
      </c>
    </row>
    <row r="1338" spans="1:4" x14ac:dyDescent="0.35">
      <c r="A1338">
        <v>1.6077756881713999E-2</v>
      </c>
      <c r="B1338">
        <v>8.0924495699137502</v>
      </c>
      <c r="C1338">
        <v>0.46492817997932401</v>
      </c>
      <c r="D1338">
        <v>12.6883052125284</v>
      </c>
    </row>
    <row r="1339" spans="1:4" x14ac:dyDescent="0.35">
      <c r="A1339">
        <v>1.6538053750992002E-2</v>
      </c>
      <c r="B1339">
        <v>8.1294572316035207</v>
      </c>
      <c r="C1339">
        <v>0.46473062038421598</v>
      </c>
      <c r="D1339">
        <v>12.719642882440001</v>
      </c>
    </row>
    <row r="1340" spans="1:4" x14ac:dyDescent="0.35">
      <c r="A1340">
        <v>1.7186405137181001E-2</v>
      </c>
      <c r="B1340">
        <v>8.1409674485892101</v>
      </c>
      <c r="C1340">
        <v>0.46325612068176297</v>
      </c>
      <c r="D1340">
        <v>12.7082396932873</v>
      </c>
    </row>
    <row r="1341" spans="1:4" x14ac:dyDescent="0.35">
      <c r="A1341">
        <v>1.7588496208191001E-2</v>
      </c>
      <c r="B1341">
        <v>8.0967742437736305</v>
      </c>
      <c r="C1341">
        <v>0.46239575743675199</v>
      </c>
      <c r="D1341">
        <v>12.6733246658391</v>
      </c>
    </row>
    <row r="1342" spans="1:4" x14ac:dyDescent="0.35">
      <c r="A1342">
        <v>1.8016796559095001E-2</v>
      </c>
      <c r="B1342">
        <v>8.1014270569175597</v>
      </c>
      <c r="C1342">
        <v>0.46125674247741699</v>
      </c>
      <c r="D1342">
        <v>12.6776077457135</v>
      </c>
    </row>
    <row r="1343" spans="1:4" x14ac:dyDescent="0.35">
      <c r="A1343">
        <v>1.8361443653703E-2</v>
      </c>
      <c r="B1343">
        <v>8.1331730348990501</v>
      </c>
      <c r="C1343">
        <v>0.45964080095291099</v>
      </c>
      <c r="D1343">
        <v>12.6249613142901</v>
      </c>
    </row>
    <row r="1344" spans="1:4" x14ac:dyDescent="0.35">
      <c r="A1344">
        <v>1.9147716462611999E-2</v>
      </c>
      <c r="B1344">
        <v>8.1648380929132696</v>
      </c>
      <c r="C1344">
        <v>0.45959833264350902</v>
      </c>
      <c r="D1344">
        <v>12.6649551242855</v>
      </c>
    </row>
    <row r="1345" spans="1:4" x14ac:dyDescent="0.35">
      <c r="A1345">
        <v>1.9664118066430002E-2</v>
      </c>
      <c r="B1345">
        <v>8.1534895156037095</v>
      </c>
      <c r="C1345">
        <v>0.45862990617752097</v>
      </c>
      <c r="D1345">
        <v>12.6614899335028</v>
      </c>
    </row>
    <row r="1346" spans="1:4" x14ac:dyDescent="0.35">
      <c r="A1346">
        <v>1.99792124331E-2</v>
      </c>
      <c r="B1346">
        <v>8.1911084025005998</v>
      </c>
      <c r="C1346">
        <v>0.45673093199729897</v>
      </c>
      <c r="D1346">
        <v>12.7039656450964</v>
      </c>
    </row>
    <row r="1347" spans="1:4" x14ac:dyDescent="0.35">
      <c r="A1347">
        <v>2.0772110670805002E-2</v>
      </c>
      <c r="B1347">
        <v>8.2158380934479993</v>
      </c>
      <c r="C1347">
        <v>0.45673635601997398</v>
      </c>
      <c r="D1347">
        <v>12.6955722341942</v>
      </c>
    </row>
    <row r="1348" spans="1:4" x14ac:dyDescent="0.35">
      <c r="A1348">
        <v>2.1106183528900001E-2</v>
      </c>
      <c r="B1348">
        <v>8.1947989917470903</v>
      </c>
      <c r="C1348">
        <v>0.455416560173035</v>
      </c>
      <c r="D1348">
        <v>12.670245579912899</v>
      </c>
    </row>
    <row r="1349" spans="1:4" x14ac:dyDescent="0.35">
      <c r="A1349">
        <v>2.1486788988113001E-2</v>
      </c>
      <c r="B1349">
        <v>8.2075455941469908</v>
      </c>
      <c r="C1349">
        <v>0.454027980566025</v>
      </c>
      <c r="D1349">
        <v>12.669942446550699</v>
      </c>
    </row>
    <row r="1350" spans="1:4" x14ac:dyDescent="0.35">
      <c r="A1350">
        <v>2.2336773574352001E-2</v>
      </c>
      <c r="B1350">
        <v>8.2481115713539204</v>
      </c>
      <c r="C1350">
        <v>0.453621476888657</v>
      </c>
      <c r="D1350">
        <v>12.6791407349107</v>
      </c>
    </row>
    <row r="1351" spans="1:4" x14ac:dyDescent="0.35">
      <c r="A1351">
        <v>2.2737549617887001E-2</v>
      </c>
      <c r="B1351">
        <v>8.2331151237955496</v>
      </c>
      <c r="C1351">
        <v>0.45182782411575301</v>
      </c>
      <c r="D1351">
        <v>12.630731041497</v>
      </c>
    </row>
    <row r="1352" spans="1:4" x14ac:dyDescent="0.35">
      <c r="A1352">
        <v>2.3088404908775999E-2</v>
      </c>
      <c r="B1352">
        <v>8.2541849966500909</v>
      </c>
      <c r="C1352">
        <v>0.45145425200462302</v>
      </c>
      <c r="D1352">
        <v>12.6982357389673</v>
      </c>
    </row>
    <row r="1353" spans="1:4" x14ac:dyDescent="0.35">
      <c r="A1353">
        <v>2.3753363639115999E-2</v>
      </c>
      <c r="B1353">
        <v>8.2686670980797601</v>
      </c>
      <c r="C1353">
        <v>0.45044448971748402</v>
      </c>
      <c r="D1353">
        <v>12.635743579403</v>
      </c>
    </row>
    <row r="1354" spans="1:4" x14ac:dyDescent="0.35">
      <c r="A1354">
        <v>2.4120138958097E-2</v>
      </c>
      <c r="B1354">
        <v>8.2918083395645006</v>
      </c>
      <c r="C1354">
        <v>0.44867819547653198</v>
      </c>
      <c r="D1354">
        <v>12.700057425947699</v>
      </c>
    </row>
    <row r="1355" spans="1:4" x14ac:dyDescent="0.35">
      <c r="A1355">
        <v>2.4647844955324998E-2</v>
      </c>
      <c r="B1355">
        <v>8.3077982317666503</v>
      </c>
      <c r="C1355">
        <v>0.44824600219726601</v>
      </c>
      <c r="D1355">
        <v>12.6598476972972</v>
      </c>
    </row>
    <row r="1356" spans="1:4" x14ac:dyDescent="0.35">
      <c r="A1356">
        <v>2.5185339152812999E-2</v>
      </c>
      <c r="B1356">
        <v>8.32388038612679</v>
      </c>
      <c r="C1356">
        <v>0.44712087512016302</v>
      </c>
      <c r="D1356">
        <v>12.652887275258999</v>
      </c>
    </row>
    <row r="1357" spans="1:4" x14ac:dyDescent="0.35">
      <c r="A1357">
        <v>2.5674410164355999E-2</v>
      </c>
      <c r="B1357">
        <v>8.3230440214346206</v>
      </c>
      <c r="C1357">
        <v>0.44597953557968101</v>
      </c>
      <c r="D1357">
        <v>12.668779806289599</v>
      </c>
    </row>
    <row r="1358" spans="1:4" x14ac:dyDescent="0.35">
      <c r="A1358">
        <v>2.6080159470438999E-2</v>
      </c>
      <c r="B1358">
        <v>8.3294297089575693</v>
      </c>
      <c r="C1358">
        <v>0.445996403694153</v>
      </c>
      <c r="D1358">
        <v>12.678074974662501</v>
      </c>
    </row>
    <row r="1359" spans="1:4" x14ac:dyDescent="0.35">
      <c r="A1359">
        <v>2.6665296405554002E-2</v>
      </c>
      <c r="B1359">
        <v>8.3741869452627604</v>
      </c>
      <c r="C1359">
        <v>0.44421428442001298</v>
      </c>
      <c r="D1359">
        <v>12.638173044143601</v>
      </c>
    </row>
    <row r="1360" spans="1:4" x14ac:dyDescent="0.35">
      <c r="A1360">
        <v>2.7119223028421E-2</v>
      </c>
      <c r="B1360">
        <v>8.3557069964965809</v>
      </c>
      <c r="C1360">
        <v>0.44280248880386402</v>
      </c>
      <c r="D1360">
        <v>12.629995566072401</v>
      </c>
    </row>
    <row r="1361" spans="1:4" x14ac:dyDescent="0.35">
      <c r="A1361">
        <v>2.7733957394958E-2</v>
      </c>
      <c r="B1361">
        <v>8.3773479899850596</v>
      </c>
      <c r="C1361">
        <v>0.44307380914688099</v>
      </c>
      <c r="D1361">
        <v>12.654738067165599</v>
      </c>
    </row>
    <row r="1362" spans="1:4" x14ac:dyDescent="0.35">
      <c r="A1362">
        <v>2.8061738237739001E-2</v>
      </c>
      <c r="B1362">
        <v>8.3843913129981296</v>
      </c>
      <c r="C1362">
        <v>0.44125404953956598</v>
      </c>
      <c r="D1362">
        <v>12.6778258605032</v>
      </c>
    </row>
    <row r="1363" spans="1:4" x14ac:dyDescent="0.35">
      <c r="A1363">
        <v>2.8634151443839E-2</v>
      </c>
      <c r="B1363">
        <v>8.3881218087475595</v>
      </c>
      <c r="C1363">
        <v>0.43971630930900601</v>
      </c>
      <c r="D1363">
        <v>12.6049249900055</v>
      </c>
    </row>
    <row r="1364" spans="1:4" x14ac:dyDescent="0.35">
      <c r="A1364">
        <v>2.9158977791666998E-2</v>
      </c>
      <c r="B1364">
        <v>8.41501538945273</v>
      </c>
      <c r="C1364">
        <v>0.43957853317260698</v>
      </c>
      <c r="D1364">
        <v>12.636953202935899</v>
      </c>
    </row>
    <row r="1365" spans="1:4" x14ac:dyDescent="0.35">
      <c r="A1365">
        <v>2.9568037018180001E-2</v>
      </c>
      <c r="B1365">
        <v>8.4345133870312203</v>
      </c>
      <c r="C1365">
        <v>0.43809324502944902</v>
      </c>
      <c r="D1365">
        <v>12.667575118401301</v>
      </c>
    </row>
    <row r="1366" spans="1:4" x14ac:dyDescent="0.35">
      <c r="A1366">
        <v>3.0060851946473E-2</v>
      </c>
      <c r="B1366">
        <v>8.4477629265155993</v>
      </c>
      <c r="C1366">
        <v>0.43740689754486101</v>
      </c>
      <c r="D1366">
        <v>12.5641317134312</v>
      </c>
    </row>
    <row r="1367" spans="1:4" x14ac:dyDescent="0.35">
      <c r="A1367">
        <v>3.0485965311526999E-2</v>
      </c>
      <c r="B1367">
        <v>8.42994023486788</v>
      </c>
      <c r="C1367">
        <v>0.436050355434418</v>
      </c>
      <c r="D1367">
        <v>12.634859754669799</v>
      </c>
    </row>
    <row r="1368" spans="1:4" x14ac:dyDescent="0.35">
      <c r="A1368">
        <v>3.0917724594473998E-2</v>
      </c>
      <c r="B1368">
        <v>8.4645943238767902</v>
      </c>
      <c r="C1368">
        <v>0.43502855300903298</v>
      </c>
      <c r="D1368">
        <v>12.5704574346271</v>
      </c>
    </row>
    <row r="1369" spans="1:4" x14ac:dyDescent="0.35">
      <c r="A1369">
        <v>3.1552739441395E-2</v>
      </c>
      <c r="B1369">
        <v>8.4849939718046397</v>
      </c>
      <c r="C1369">
        <v>0.43439400196075401</v>
      </c>
      <c r="D1369">
        <v>12.6634865491529</v>
      </c>
    </row>
    <row r="1370" spans="1:4" x14ac:dyDescent="0.35">
      <c r="A1370">
        <v>3.2111119478940998E-2</v>
      </c>
      <c r="B1370">
        <v>8.4838626127334997</v>
      </c>
      <c r="C1370">
        <v>0.43382766842842102</v>
      </c>
      <c r="D1370">
        <v>12.5801913900759</v>
      </c>
    </row>
    <row r="1371" spans="1:4" x14ac:dyDescent="0.35">
      <c r="A1371">
        <v>3.2514315098524003E-2</v>
      </c>
      <c r="B1371">
        <v>8.4776066975249904</v>
      </c>
      <c r="C1371">
        <v>0.43184500932693498</v>
      </c>
      <c r="D1371">
        <v>12.624978831122601</v>
      </c>
    </row>
    <row r="1372" spans="1:4" x14ac:dyDescent="0.35">
      <c r="A1372">
        <v>3.3120803534984998E-2</v>
      </c>
      <c r="B1372">
        <v>8.5010371892435401</v>
      </c>
      <c r="C1372">
        <v>0.431680768728256</v>
      </c>
      <c r="D1372">
        <v>12.5649679509409</v>
      </c>
    </row>
    <row r="1373" spans="1:4" x14ac:dyDescent="0.35">
      <c r="A1373">
        <v>3.3465068787336003E-2</v>
      </c>
      <c r="B1373">
        <v>8.5235105225772401</v>
      </c>
      <c r="C1373">
        <v>0.42996945977210999</v>
      </c>
      <c r="D1373">
        <v>12.6117974674936</v>
      </c>
    </row>
    <row r="1374" spans="1:4" x14ac:dyDescent="0.35">
      <c r="A1374">
        <v>3.4289248287678001E-2</v>
      </c>
      <c r="B1374">
        <v>8.5327052335052702</v>
      </c>
      <c r="C1374">
        <v>0.42925864458084101</v>
      </c>
      <c r="D1374">
        <v>12.587962567119799</v>
      </c>
    </row>
    <row r="1375" spans="1:4" x14ac:dyDescent="0.35">
      <c r="A1375">
        <v>3.4652758389710998E-2</v>
      </c>
      <c r="B1375">
        <v>8.5487374051003204</v>
      </c>
      <c r="C1375">
        <v>0.42851611971855202</v>
      </c>
      <c r="D1375">
        <v>12.6129687412063</v>
      </c>
    </row>
    <row r="1376" spans="1:4" x14ac:dyDescent="0.35">
      <c r="A1376">
        <v>3.5186946392059E-2</v>
      </c>
      <c r="B1376">
        <v>8.5505903520475108</v>
      </c>
      <c r="C1376">
        <v>0.42694604396820102</v>
      </c>
      <c r="D1376">
        <v>12.571519452243299</v>
      </c>
    </row>
    <row r="1377" spans="1:4" x14ac:dyDescent="0.35">
      <c r="A1377">
        <v>3.5823844373225999E-2</v>
      </c>
      <c r="B1377">
        <v>8.5661196555084995</v>
      </c>
      <c r="C1377">
        <v>0.42565336823463401</v>
      </c>
      <c r="D1377">
        <v>12.651979932228301</v>
      </c>
    </row>
    <row r="1378" spans="1:4" x14ac:dyDescent="0.35">
      <c r="A1378">
        <v>3.6195248365402E-2</v>
      </c>
      <c r="B1378">
        <v>8.5831297995457803</v>
      </c>
      <c r="C1378">
        <v>0.42550119757652299</v>
      </c>
      <c r="D1378">
        <v>12.6037162408832</v>
      </c>
    </row>
    <row r="1379" spans="1:4" x14ac:dyDescent="0.35">
      <c r="A1379">
        <v>3.6492932587862001E-2</v>
      </c>
      <c r="B1379">
        <v>8.5834310997952095</v>
      </c>
      <c r="C1379">
        <v>0.423818320035934</v>
      </c>
      <c r="D1379">
        <v>12.6188670583405</v>
      </c>
    </row>
    <row r="1380" spans="1:4" x14ac:dyDescent="0.35">
      <c r="A1380">
        <v>3.7226472049951997E-2</v>
      </c>
      <c r="B1380">
        <v>8.6177203335840904</v>
      </c>
      <c r="C1380">
        <v>0.42325547337531999</v>
      </c>
      <c r="D1380">
        <v>12.5972850402779</v>
      </c>
    </row>
    <row r="1381" spans="1:4" x14ac:dyDescent="0.35">
      <c r="A1381">
        <v>3.7732452154159997E-2</v>
      </c>
      <c r="B1381">
        <v>8.5999861215916606</v>
      </c>
      <c r="C1381">
        <v>0.42275899648666398</v>
      </c>
      <c r="D1381">
        <v>12.547219026853099</v>
      </c>
    </row>
    <row r="1382" spans="1:4" x14ac:dyDescent="0.35">
      <c r="A1382">
        <v>3.8045056164264998E-2</v>
      </c>
      <c r="B1382">
        <v>8.5917393764759993</v>
      </c>
      <c r="C1382">
        <v>0.42070633172988903</v>
      </c>
      <c r="D1382">
        <v>12.5330358225303</v>
      </c>
    </row>
    <row r="1383" spans="1:4" x14ac:dyDescent="0.35">
      <c r="A1383">
        <v>3.8737077265977998E-2</v>
      </c>
      <c r="B1383">
        <v>8.6149896085751294</v>
      </c>
      <c r="C1383">
        <v>0.42060658335685702</v>
      </c>
      <c r="D1383">
        <v>12.551092116410301</v>
      </c>
    </row>
    <row r="1384" spans="1:4" x14ac:dyDescent="0.35">
      <c r="A1384">
        <v>3.9140246808528997E-2</v>
      </c>
      <c r="B1384">
        <v>8.6681947537191597</v>
      </c>
      <c r="C1384">
        <v>0.419594436883926</v>
      </c>
      <c r="D1384">
        <v>12.585674050607899</v>
      </c>
    </row>
    <row r="1385" spans="1:4" x14ac:dyDescent="0.35">
      <c r="A1385">
        <v>3.9533630013465999E-2</v>
      </c>
      <c r="B1385">
        <v>8.6611687814759097</v>
      </c>
      <c r="C1385">
        <v>0.41746336221694902</v>
      </c>
      <c r="D1385">
        <v>12.5613611454205</v>
      </c>
    </row>
    <row r="1386" spans="1:4" x14ac:dyDescent="0.35">
      <c r="A1386">
        <v>4.0171690285206001E-2</v>
      </c>
      <c r="B1386">
        <v>8.6756398837261806</v>
      </c>
      <c r="C1386">
        <v>0.41803294420242298</v>
      </c>
      <c r="D1386">
        <v>12.5319649504649</v>
      </c>
    </row>
    <row r="1387" spans="1:4" x14ac:dyDescent="0.35">
      <c r="A1387">
        <v>4.0631748735904999E-2</v>
      </c>
      <c r="B1387">
        <v>8.6869013790716796</v>
      </c>
      <c r="C1387">
        <v>0.416316628456116</v>
      </c>
      <c r="D1387">
        <v>12.5717391418254</v>
      </c>
    </row>
    <row r="1388" spans="1:4" x14ac:dyDescent="0.35">
      <c r="A1388">
        <v>4.1032563894987002E-2</v>
      </c>
      <c r="B1388">
        <v>8.6977372728511106</v>
      </c>
      <c r="C1388">
        <v>0.41474336385726901</v>
      </c>
      <c r="D1388">
        <v>12.6015087890444</v>
      </c>
    </row>
    <row r="1389" spans="1:4" x14ac:dyDescent="0.35">
      <c r="A1389">
        <v>4.1583869606255999E-2</v>
      </c>
      <c r="B1389">
        <v>8.7469683922808503</v>
      </c>
      <c r="C1389">
        <v>0.414724111557007</v>
      </c>
      <c r="D1389">
        <v>12.598926448653801</v>
      </c>
    </row>
    <row r="1390" spans="1:4" x14ac:dyDescent="0.35">
      <c r="A1390">
        <v>4.2054541409016002E-2</v>
      </c>
      <c r="B1390">
        <v>8.7233279822842196</v>
      </c>
      <c r="C1390">
        <v>0.41289970278739901</v>
      </c>
      <c r="D1390">
        <v>12.4722043153636</v>
      </c>
    </row>
    <row r="1391" spans="1:4" x14ac:dyDescent="0.35">
      <c r="A1391">
        <v>4.2549826204777E-2</v>
      </c>
      <c r="B1391">
        <v>8.7210205957393807</v>
      </c>
      <c r="C1391">
        <v>0.41227480769157399</v>
      </c>
      <c r="D1391">
        <v>12.561933512256701</v>
      </c>
    </row>
    <row r="1392" spans="1:4" x14ac:dyDescent="0.35">
      <c r="A1392">
        <v>4.2995974421501E-2</v>
      </c>
      <c r="B1392">
        <v>8.7517221997845205</v>
      </c>
      <c r="C1392">
        <v>0.41138374805450401</v>
      </c>
      <c r="D1392">
        <v>12.5501191984948</v>
      </c>
    </row>
    <row r="1393" spans="1:4" x14ac:dyDescent="0.35">
      <c r="A1393">
        <v>4.3671119958162002E-2</v>
      </c>
      <c r="B1393">
        <v>8.7673769582203995</v>
      </c>
      <c r="C1393">
        <v>0.41002804040908802</v>
      </c>
      <c r="D1393">
        <v>12.543581277210199</v>
      </c>
    </row>
    <row r="1394" spans="1:4" x14ac:dyDescent="0.35">
      <c r="A1394">
        <v>4.4122938066720997E-2</v>
      </c>
      <c r="B1394">
        <v>8.7683736657862994</v>
      </c>
      <c r="C1394">
        <v>0.409408450126648</v>
      </c>
      <c r="D1394">
        <v>12.5380778057205</v>
      </c>
    </row>
    <row r="1395" spans="1:4" x14ac:dyDescent="0.35">
      <c r="A1395">
        <v>4.4607322663069E-2</v>
      </c>
      <c r="B1395">
        <v>8.7850507974275391</v>
      </c>
      <c r="C1395">
        <v>0.40834552049636802</v>
      </c>
      <c r="D1395">
        <v>12.5573004985427</v>
      </c>
    </row>
    <row r="1396" spans="1:4" x14ac:dyDescent="0.35">
      <c r="A1396">
        <v>4.5169316232204E-2</v>
      </c>
      <c r="B1396">
        <v>8.7915698505614799</v>
      </c>
      <c r="C1396">
        <v>0.40694722533226002</v>
      </c>
      <c r="D1396">
        <v>12.4441390178156</v>
      </c>
    </row>
    <row r="1397" spans="1:4" x14ac:dyDescent="0.35">
      <c r="A1397">
        <v>4.5562688261271002E-2</v>
      </c>
      <c r="B1397">
        <v>8.8180831531021404</v>
      </c>
      <c r="C1397">
        <v>0.40679356455802901</v>
      </c>
      <c r="D1397">
        <v>12.5324562789217</v>
      </c>
    </row>
    <row r="1398" spans="1:4" x14ac:dyDescent="0.35">
      <c r="A1398">
        <v>4.5886009931563998E-2</v>
      </c>
      <c r="B1398">
        <v>8.7941302678972004</v>
      </c>
      <c r="C1398">
        <v>0.40516012907028198</v>
      </c>
      <c r="D1398">
        <v>12.536683269967799</v>
      </c>
    </row>
    <row r="1399" spans="1:4" x14ac:dyDescent="0.35">
      <c r="A1399">
        <v>4.6782605350017999E-2</v>
      </c>
      <c r="B1399">
        <v>8.8162025090262404</v>
      </c>
      <c r="C1399">
        <v>0.40367472171783397</v>
      </c>
      <c r="D1399">
        <v>12.4953640676141</v>
      </c>
    </row>
    <row r="1400" spans="1:4" x14ac:dyDescent="0.35">
      <c r="A1400">
        <v>4.7112710773945E-2</v>
      </c>
      <c r="B1400">
        <v>8.8254042499601493</v>
      </c>
      <c r="C1400">
        <v>0.40377229452133201</v>
      </c>
      <c r="D1400">
        <v>12.530252646959401</v>
      </c>
    </row>
    <row r="1401" spans="1:4" x14ac:dyDescent="0.35">
      <c r="A1401">
        <v>4.7663878649473003E-2</v>
      </c>
      <c r="B1401">
        <v>8.8633995025176908</v>
      </c>
      <c r="C1401">
        <v>0.40199750661849998</v>
      </c>
      <c r="D1401">
        <v>12.5113596831658</v>
      </c>
    </row>
    <row r="1402" spans="1:4" x14ac:dyDescent="0.35">
      <c r="A1402">
        <v>4.8226479440927998E-2</v>
      </c>
      <c r="B1402">
        <v>8.87027623213209</v>
      </c>
      <c r="C1402">
        <v>0.40113827586174</v>
      </c>
      <c r="D1402">
        <v>12.470723071987299</v>
      </c>
    </row>
    <row r="1403" spans="1:4" x14ac:dyDescent="0.35">
      <c r="A1403">
        <v>4.865925014019E-2</v>
      </c>
      <c r="B1403">
        <v>8.8893755100463192</v>
      </c>
      <c r="C1403">
        <v>0.40073835849762002</v>
      </c>
      <c r="D1403">
        <v>12.5278713056614</v>
      </c>
    </row>
    <row r="1404" spans="1:4" x14ac:dyDescent="0.35">
      <c r="A1404">
        <v>4.9087587743997997E-2</v>
      </c>
      <c r="B1404">
        <v>8.8583238883043904</v>
      </c>
      <c r="C1404">
        <v>0.39901769161224399</v>
      </c>
      <c r="D1404">
        <v>12.519232264741801</v>
      </c>
    </row>
    <row r="1405" spans="1:4" x14ac:dyDescent="0.35">
      <c r="A1405">
        <v>4.9683164805173999E-2</v>
      </c>
      <c r="B1405">
        <v>8.9082362814131493</v>
      </c>
      <c r="C1405">
        <v>0.39831012487411499</v>
      </c>
      <c r="D1405">
        <v>12.447972074427801</v>
      </c>
    </row>
    <row r="1406" spans="1:4" x14ac:dyDescent="0.35">
      <c r="A1406">
        <v>5.0093594938516998E-2</v>
      </c>
      <c r="B1406">
        <v>8.9413203422256302</v>
      </c>
      <c r="C1406">
        <v>0.39757704734802202</v>
      </c>
      <c r="D1406">
        <v>12.489845064465699</v>
      </c>
    </row>
    <row r="1407" spans="1:4" x14ac:dyDescent="0.35">
      <c r="A1407">
        <v>5.0561137497425003E-2</v>
      </c>
      <c r="B1407">
        <v>8.9252970367564899</v>
      </c>
      <c r="C1407">
        <v>0.39554026722907998</v>
      </c>
      <c r="D1407">
        <v>12.489294467935499</v>
      </c>
    </row>
    <row r="1408" spans="1:4" x14ac:dyDescent="0.35">
      <c r="A1408">
        <v>5.1118612289429002E-2</v>
      </c>
      <c r="B1408">
        <v>8.9519300498835896</v>
      </c>
      <c r="C1408">
        <v>0.39573833346366899</v>
      </c>
      <c r="D1408">
        <v>12.4697136016556</v>
      </c>
    </row>
    <row r="1409" spans="1:4" x14ac:dyDescent="0.35">
      <c r="A1409">
        <v>5.1617927849292998E-2</v>
      </c>
      <c r="B1409">
        <v>8.9511033812707996</v>
      </c>
      <c r="C1409">
        <v>0.39457386732101402</v>
      </c>
      <c r="D1409">
        <v>12.4216368515859</v>
      </c>
    </row>
    <row r="1410" spans="1:4" x14ac:dyDescent="0.35">
      <c r="A1410">
        <v>5.1975321024655997E-2</v>
      </c>
      <c r="B1410">
        <v>8.9904628332878307</v>
      </c>
      <c r="C1410">
        <v>0.39279377460479697</v>
      </c>
      <c r="D1410">
        <v>12.4217715478727</v>
      </c>
    </row>
    <row r="1411" spans="1:4" x14ac:dyDescent="0.35">
      <c r="A1411">
        <v>5.2405793219805E-2</v>
      </c>
      <c r="B1411">
        <v>9.0020470128467593</v>
      </c>
      <c r="C1411">
        <v>0.39228361845016502</v>
      </c>
      <c r="D1411">
        <v>12.4645905637304</v>
      </c>
    </row>
    <row r="1412" spans="1:4" x14ac:dyDescent="0.35">
      <c r="A1412">
        <v>5.3109697997570003E-2</v>
      </c>
      <c r="B1412">
        <v>8.9602834479133495</v>
      </c>
      <c r="C1412">
        <v>0.39125880599021901</v>
      </c>
      <c r="D1412">
        <v>12.548397139094</v>
      </c>
    </row>
    <row r="1413" spans="1:4" x14ac:dyDescent="0.35">
      <c r="A1413">
        <v>5.3501613438129002E-2</v>
      </c>
      <c r="B1413">
        <v>8.9548091016656102</v>
      </c>
      <c r="C1413">
        <v>0.38975504040718101</v>
      </c>
      <c r="D1413">
        <v>12.434151200057199</v>
      </c>
    </row>
    <row r="1414" spans="1:4" x14ac:dyDescent="0.35">
      <c r="A1414">
        <v>5.3828831762075001E-2</v>
      </c>
      <c r="B1414">
        <v>9.0009691987660592</v>
      </c>
      <c r="C1414">
        <v>0.38975450396537797</v>
      </c>
      <c r="D1414">
        <v>12.4634178432536</v>
      </c>
    </row>
    <row r="1415" spans="1:4" x14ac:dyDescent="0.35">
      <c r="A1415">
        <v>5.4559946060180997E-2</v>
      </c>
      <c r="B1415">
        <v>9.0003806711785401</v>
      </c>
      <c r="C1415">
        <v>0.38764768838882402</v>
      </c>
      <c r="D1415">
        <v>12.507216702880401</v>
      </c>
    </row>
    <row r="1416" spans="1:4" x14ac:dyDescent="0.35">
      <c r="A1416">
        <v>5.4981712251902001E-2</v>
      </c>
      <c r="B1416">
        <v>8.9990661679124404</v>
      </c>
      <c r="C1416">
        <v>0.38708335161209101</v>
      </c>
      <c r="D1416">
        <v>12.433056980841</v>
      </c>
    </row>
    <row r="1417" spans="1:4" x14ac:dyDescent="0.35">
      <c r="A1417">
        <v>5.5592745542526002E-2</v>
      </c>
      <c r="B1417">
        <v>8.9711283540487798</v>
      </c>
      <c r="C1417">
        <v>0.38640865683555597</v>
      </c>
      <c r="D1417">
        <v>12.367153392546699</v>
      </c>
    </row>
    <row r="1418" spans="1:4" x14ac:dyDescent="0.35">
      <c r="A1418">
        <v>5.6213993579149003E-2</v>
      </c>
      <c r="B1418">
        <v>9.0094513823567208</v>
      </c>
      <c r="C1418">
        <v>0.38533091545105003</v>
      </c>
      <c r="D1418">
        <v>12.4185014525657</v>
      </c>
    </row>
    <row r="1419" spans="1:4" x14ac:dyDescent="0.35">
      <c r="A1419">
        <v>5.6623023003340003E-2</v>
      </c>
      <c r="B1419">
        <v>9.0473662558417107</v>
      </c>
      <c r="C1419">
        <v>0.38438037037849399</v>
      </c>
      <c r="D1419">
        <v>12.412410157070299</v>
      </c>
    </row>
    <row r="1420" spans="1:4" x14ac:dyDescent="0.35">
      <c r="A1420">
        <v>5.7115010917187001E-2</v>
      </c>
      <c r="B1420">
        <v>9.0928631634576806</v>
      </c>
      <c r="C1420">
        <v>0.38359642028808599</v>
      </c>
      <c r="D1420">
        <v>12.4087232132506</v>
      </c>
    </row>
    <row r="1421" spans="1:4" x14ac:dyDescent="0.35">
      <c r="A1421">
        <v>5.7611133903264999E-2</v>
      </c>
      <c r="B1421">
        <v>9.0776267882337898</v>
      </c>
      <c r="C1421">
        <v>0.38183677196502702</v>
      </c>
      <c r="D1421">
        <v>12.4077819188054</v>
      </c>
    </row>
    <row r="1422" spans="1:4" x14ac:dyDescent="0.35">
      <c r="A1422">
        <v>5.8020360767840999E-2</v>
      </c>
      <c r="B1422">
        <v>9.0831757857619593</v>
      </c>
      <c r="C1422">
        <v>0.38216221332549999</v>
      </c>
      <c r="D1422">
        <v>12.423062612132</v>
      </c>
    </row>
    <row r="1423" spans="1:4" x14ac:dyDescent="0.35">
      <c r="A1423">
        <v>5.8626823127270002E-2</v>
      </c>
      <c r="B1423">
        <v>9.1016044661885491</v>
      </c>
      <c r="C1423">
        <v>0.38012751936912498</v>
      </c>
      <c r="D1423">
        <v>12.439802496861899</v>
      </c>
    </row>
    <row r="1424" spans="1:4" x14ac:dyDescent="0.35">
      <c r="A1424">
        <v>5.9180252254008997E-2</v>
      </c>
      <c r="B1424">
        <v>9.1113798950518294</v>
      </c>
      <c r="C1424">
        <v>0.37894684076309199</v>
      </c>
      <c r="D1424">
        <v>12.341186110352</v>
      </c>
    </row>
    <row r="1425" spans="1:4" x14ac:dyDescent="0.35">
      <c r="A1425">
        <v>5.9532083570957003E-2</v>
      </c>
      <c r="B1425">
        <v>9.1396569768045399</v>
      </c>
      <c r="C1425">
        <v>0.37890440225601202</v>
      </c>
      <c r="D1425">
        <v>12.41834203837</v>
      </c>
    </row>
    <row r="1426" spans="1:4" x14ac:dyDescent="0.35">
      <c r="A1426">
        <v>6.0106627643108E-2</v>
      </c>
      <c r="B1426">
        <v>9.1631347639445906</v>
      </c>
      <c r="C1426">
        <v>0.37720641493797302</v>
      </c>
      <c r="D1426">
        <v>12.4155747783519</v>
      </c>
    </row>
    <row r="1427" spans="1:4" x14ac:dyDescent="0.35">
      <c r="A1427">
        <v>6.0652572661638003E-2</v>
      </c>
      <c r="B1427">
        <v>9.1523784437050892</v>
      </c>
      <c r="C1427">
        <v>0.37626925110817</v>
      </c>
      <c r="D1427">
        <v>12.367641008568199</v>
      </c>
    </row>
    <row r="1428" spans="1:4" x14ac:dyDescent="0.35">
      <c r="A1428">
        <v>6.1081979423761E-2</v>
      </c>
      <c r="B1428">
        <v>9.1836650317005706</v>
      </c>
      <c r="C1428">
        <v>0.375327378511429</v>
      </c>
      <c r="D1428">
        <v>12.430011036900501</v>
      </c>
    </row>
    <row r="1429" spans="1:4" x14ac:dyDescent="0.35">
      <c r="A1429">
        <v>6.1626799404620999E-2</v>
      </c>
      <c r="B1429">
        <v>9.2119625582758395</v>
      </c>
      <c r="C1429">
        <v>0.37414231896400502</v>
      </c>
      <c r="D1429">
        <v>12.371309297666899</v>
      </c>
    </row>
    <row r="1430" spans="1:4" x14ac:dyDescent="0.35">
      <c r="A1430">
        <v>6.2115680426359003E-2</v>
      </c>
      <c r="B1430">
        <v>9.2295354823657796</v>
      </c>
      <c r="C1430">
        <v>0.37313973903656</v>
      </c>
      <c r="D1430">
        <v>12.216512384119399</v>
      </c>
    </row>
    <row r="1431" spans="1:4" x14ac:dyDescent="0.35">
      <c r="A1431">
        <v>6.2613978981972004E-2</v>
      </c>
      <c r="B1431">
        <v>9.1781840335934408</v>
      </c>
      <c r="C1431">
        <v>0.37310594320297202</v>
      </c>
      <c r="D1431">
        <v>12.388198642143699</v>
      </c>
    </row>
    <row r="1432" spans="1:4" x14ac:dyDescent="0.35">
      <c r="A1432">
        <v>6.3165195286273998E-2</v>
      </c>
      <c r="B1432">
        <v>9.14220982051833</v>
      </c>
      <c r="C1432">
        <v>0.37019392848014798</v>
      </c>
      <c r="D1432">
        <v>12.3220256183986</v>
      </c>
    </row>
    <row r="1433" spans="1:4" x14ac:dyDescent="0.35">
      <c r="A1433">
        <v>6.3619114458560999E-2</v>
      </c>
      <c r="B1433">
        <v>9.1772704709808295</v>
      </c>
      <c r="C1433">
        <v>0.36988312005996699</v>
      </c>
      <c r="D1433">
        <v>12.3211887474995</v>
      </c>
    </row>
    <row r="1434" spans="1:4" x14ac:dyDescent="0.35">
      <c r="A1434">
        <v>6.4067587256431996E-2</v>
      </c>
      <c r="B1434">
        <v>9.2255854983811307</v>
      </c>
      <c r="C1434">
        <v>0.36994460225105302</v>
      </c>
      <c r="D1434">
        <v>12.3398645854104</v>
      </c>
    </row>
    <row r="1435" spans="1:4" x14ac:dyDescent="0.35">
      <c r="A1435">
        <v>6.4591147005558E-2</v>
      </c>
      <c r="B1435">
        <v>9.2157454054578398</v>
      </c>
      <c r="C1435">
        <v>0.36791744828224199</v>
      </c>
      <c r="D1435">
        <v>12.3603079084064</v>
      </c>
    </row>
    <row r="1436" spans="1:4" x14ac:dyDescent="0.35">
      <c r="A1436">
        <v>6.4943313598633007E-2</v>
      </c>
      <c r="B1436">
        <v>9.2605668740874894</v>
      </c>
      <c r="C1436">
        <v>0.36709526181221003</v>
      </c>
      <c r="D1436">
        <v>12.304289772664401</v>
      </c>
    </row>
    <row r="1437" spans="1:4" x14ac:dyDescent="0.35">
      <c r="A1437">
        <v>6.5570697188377006E-2</v>
      </c>
      <c r="B1437">
        <v>9.2642757950103292</v>
      </c>
      <c r="C1437">
        <v>0.366754710674286</v>
      </c>
      <c r="D1437">
        <v>12.3594801340705</v>
      </c>
    </row>
    <row r="1438" spans="1:4" x14ac:dyDescent="0.35">
      <c r="A1438">
        <v>6.5975710749625993E-2</v>
      </c>
      <c r="B1438">
        <v>9.2830521323507398</v>
      </c>
      <c r="C1438">
        <v>0.36509579420089699</v>
      </c>
      <c r="D1438">
        <v>12.2928067229061</v>
      </c>
    </row>
    <row r="1439" spans="1:4" x14ac:dyDescent="0.35">
      <c r="A1439">
        <v>6.6552624106406999E-2</v>
      </c>
      <c r="B1439">
        <v>9.2786250013711307</v>
      </c>
      <c r="C1439">
        <v>0.36437213420867898</v>
      </c>
      <c r="D1439">
        <v>12.2920462151059</v>
      </c>
    </row>
    <row r="1440" spans="1:4" x14ac:dyDescent="0.35">
      <c r="A1440">
        <v>6.7144885659218001E-2</v>
      </c>
      <c r="B1440">
        <v>9.3059946007323493</v>
      </c>
      <c r="C1440">
        <v>0.36301416158676098</v>
      </c>
      <c r="D1440">
        <v>12.302017241795699</v>
      </c>
    </row>
    <row r="1441" spans="1:4" x14ac:dyDescent="0.35">
      <c r="A1441">
        <v>6.7543178796767994E-2</v>
      </c>
      <c r="B1441">
        <v>9.3537292909798797</v>
      </c>
      <c r="C1441">
        <v>0.362132698297501</v>
      </c>
      <c r="D1441">
        <v>12.341614639252001</v>
      </c>
    </row>
    <row r="1442" spans="1:4" x14ac:dyDescent="0.35">
      <c r="A1442">
        <v>6.7841589450836001E-2</v>
      </c>
      <c r="B1442">
        <v>9.3700506862132205</v>
      </c>
      <c r="C1442">
        <v>0.36159905791282698</v>
      </c>
      <c r="D1442">
        <v>12.333005738620001</v>
      </c>
    </row>
    <row r="1443" spans="1:4" x14ac:dyDescent="0.35">
      <c r="A1443">
        <v>6.8652719259262002E-2</v>
      </c>
      <c r="B1443">
        <v>9.3631378101640994</v>
      </c>
      <c r="C1443">
        <v>0.36024141311645502</v>
      </c>
      <c r="D1443">
        <v>12.332388462083999</v>
      </c>
    </row>
    <row r="1444" spans="1:4" x14ac:dyDescent="0.35">
      <c r="A1444">
        <v>6.8948991596698997E-2</v>
      </c>
      <c r="B1444">
        <v>9.3970128339894803</v>
      </c>
      <c r="C1444">
        <v>0.35940107703208901</v>
      </c>
      <c r="D1444">
        <v>12.3385772820836</v>
      </c>
    </row>
    <row r="1445" spans="1:4" x14ac:dyDescent="0.35">
      <c r="A1445">
        <v>6.9395899772644001E-2</v>
      </c>
      <c r="B1445">
        <v>9.4056047617716896</v>
      </c>
      <c r="C1445">
        <v>0.35880798101425199</v>
      </c>
      <c r="D1445">
        <v>12.327590479582501</v>
      </c>
    </row>
    <row r="1446" spans="1:4" x14ac:dyDescent="0.35">
      <c r="A1446">
        <v>6.9929204881191004E-2</v>
      </c>
      <c r="B1446">
        <v>9.4223268271665699</v>
      </c>
      <c r="C1446">
        <v>0.35674265027046198</v>
      </c>
      <c r="D1446">
        <v>12.277316360416</v>
      </c>
    </row>
    <row r="1447" spans="1:4" x14ac:dyDescent="0.35">
      <c r="A1447">
        <v>7.0454455912112995E-2</v>
      </c>
      <c r="B1447">
        <v>9.4003037868292196</v>
      </c>
      <c r="C1447">
        <v>0.35661640763282798</v>
      </c>
      <c r="D1447">
        <v>12.300127303636501</v>
      </c>
    </row>
    <row r="1448" spans="1:4" x14ac:dyDescent="0.35">
      <c r="A1448">
        <v>7.1067497134208998E-2</v>
      </c>
      <c r="B1448">
        <v>9.3915008342378297</v>
      </c>
      <c r="C1448">
        <v>0.355260580778122</v>
      </c>
      <c r="D1448">
        <v>12.240832353697201</v>
      </c>
    </row>
    <row r="1449" spans="1:4" x14ac:dyDescent="0.35">
      <c r="A1449">
        <v>7.1678370237350006E-2</v>
      </c>
      <c r="B1449">
        <v>9.4210975695401302</v>
      </c>
      <c r="C1449">
        <v>0.353952646255493</v>
      </c>
      <c r="D1449">
        <v>12.2694693448155</v>
      </c>
    </row>
    <row r="1450" spans="1:4" x14ac:dyDescent="0.35">
      <c r="A1450">
        <v>7.2182610630989005E-2</v>
      </c>
      <c r="B1450">
        <v>9.4420823608531705</v>
      </c>
      <c r="C1450">
        <v>0.35332027077674899</v>
      </c>
      <c r="D1450">
        <v>12.2546439322262</v>
      </c>
    </row>
    <row r="1451" spans="1:4" x14ac:dyDescent="0.35">
      <c r="A1451">
        <v>7.2643041610717995E-2</v>
      </c>
      <c r="B1451">
        <v>9.4283982254780891</v>
      </c>
      <c r="C1451">
        <v>0.352185308933258</v>
      </c>
      <c r="D1451">
        <v>12.284708854425901</v>
      </c>
    </row>
    <row r="1452" spans="1:4" x14ac:dyDescent="0.35">
      <c r="A1452">
        <v>7.3053263127803997E-2</v>
      </c>
      <c r="B1452">
        <v>9.4257156195321894</v>
      </c>
      <c r="C1452">
        <v>0.35130462050437899</v>
      </c>
      <c r="D1452">
        <v>12.3239616794156</v>
      </c>
    </row>
    <row r="1453" spans="1:4" x14ac:dyDescent="0.35">
      <c r="A1453">
        <v>7.3469556868076005E-2</v>
      </c>
      <c r="B1453">
        <v>9.4690715541210793</v>
      </c>
      <c r="C1453">
        <v>0.35037449002265902</v>
      </c>
      <c r="D1453">
        <v>12.2500761138285</v>
      </c>
    </row>
    <row r="1454" spans="1:4" x14ac:dyDescent="0.35">
      <c r="A1454">
        <v>7.4032612144946996E-2</v>
      </c>
      <c r="B1454">
        <v>9.4510572096775007</v>
      </c>
      <c r="C1454">
        <v>0.34898051619529702</v>
      </c>
      <c r="D1454">
        <v>12.2537499975599</v>
      </c>
    </row>
    <row r="1455" spans="1:4" x14ac:dyDescent="0.35">
      <c r="A1455">
        <v>7.4628531932831005E-2</v>
      </c>
      <c r="B1455">
        <v>9.4817030303460292</v>
      </c>
      <c r="C1455">
        <v>0.347951620817184</v>
      </c>
      <c r="D1455">
        <v>12.272462143400899</v>
      </c>
    </row>
    <row r="1456" spans="1:4" x14ac:dyDescent="0.35">
      <c r="A1456">
        <v>7.5095161795615997E-2</v>
      </c>
      <c r="B1456">
        <v>9.5175742010371902</v>
      </c>
      <c r="C1456">
        <v>0.34776696562767001</v>
      </c>
      <c r="D1456">
        <v>12.270176460685599</v>
      </c>
    </row>
    <row r="1457" spans="1:4" x14ac:dyDescent="0.35">
      <c r="A1457">
        <v>7.5591102242469996E-2</v>
      </c>
      <c r="B1457">
        <v>9.5152934675824401</v>
      </c>
      <c r="C1457">
        <v>0.345830619335175</v>
      </c>
      <c r="D1457">
        <v>12.2857158519225</v>
      </c>
    </row>
    <row r="1458" spans="1:4" x14ac:dyDescent="0.35">
      <c r="A1458">
        <v>7.6022848486899997E-2</v>
      </c>
      <c r="B1458">
        <v>9.5217843483298807</v>
      </c>
      <c r="C1458">
        <v>0.345930725336075</v>
      </c>
      <c r="D1458">
        <v>12.2490685080865</v>
      </c>
    </row>
    <row r="1459" spans="1:4" x14ac:dyDescent="0.35">
      <c r="A1459">
        <v>7.6569572091103003E-2</v>
      </c>
      <c r="B1459">
        <v>9.5176476598685902</v>
      </c>
      <c r="C1459">
        <v>0.34416440129280101</v>
      </c>
      <c r="D1459">
        <v>12.254999338168499</v>
      </c>
    </row>
    <row r="1460" spans="1:4" x14ac:dyDescent="0.35">
      <c r="A1460">
        <v>7.7046826481819E-2</v>
      </c>
      <c r="B1460">
        <v>9.5556440871088206</v>
      </c>
      <c r="C1460">
        <v>0.342883050441742</v>
      </c>
      <c r="D1460">
        <v>12.328336632543699</v>
      </c>
    </row>
    <row r="1461" spans="1:4" x14ac:dyDescent="0.35">
      <c r="A1461">
        <v>7.7569432556629E-2</v>
      </c>
      <c r="B1461">
        <v>9.5318943395862306</v>
      </c>
      <c r="C1461">
        <v>0.34300172328949002</v>
      </c>
      <c r="D1461">
        <v>12.262130172890201</v>
      </c>
    </row>
    <row r="1462" spans="1:4" x14ac:dyDescent="0.35">
      <c r="A1462">
        <v>7.8219242393970004E-2</v>
      </c>
      <c r="B1462">
        <v>9.5929817272567099</v>
      </c>
      <c r="C1462">
        <v>0.34071043133735701</v>
      </c>
      <c r="D1462">
        <v>12.3016594984932</v>
      </c>
    </row>
    <row r="1463" spans="1:4" x14ac:dyDescent="0.35">
      <c r="A1463">
        <v>7.8509680926799996E-2</v>
      </c>
      <c r="B1463">
        <v>9.6031779333698193</v>
      </c>
      <c r="C1463">
        <v>0.33980014920234702</v>
      </c>
      <c r="D1463">
        <v>12.1985263050407</v>
      </c>
    </row>
    <row r="1464" spans="1:4" x14ac:dyDescent="0.35">
      <c r="A1464">
        <v>7.9048268496989996E-2</v>
      </c>
      <c r="B1464">
        <v>9.61929278507281</v>
      </c>
      <c r="C1464">
        <v>0.33967497944831798</v>
      </c>
      <c r="D1464">
        <v>12.149982161972</v>
      </c>
    </row>
    <row r="1465" spans="1:4" x14ac:dyDescent="0.35">
      <c r="A1465">
        <v>7.9702317714690996E-2</v>
      </c>
      <c r="B1465">
        <v>9.5982945634852097</v>
      </c>
      <c r="C1465">
        <v>0.33821421861648598</v>
      </c>
      <c r="D1465">
        <v>12.2201193548836</v>
      </c>
    </row>
    <row r="1466" spans="1:4" x14ac:dyDescent="0.35">
      <c r="A1466">
        <v>8.0236792564392007E-2</v>
      </c>
      <c r="B1466">
        <v>9.6428331214715204</v>
      </c>
      <c r="C1466">
        <v>0.33752045035362199</v>
      </c>
      <c r="D1466">
        <v>12.214171190687299</v>
      </c>
    </row>
    <row r="1467" spans="1:4" x14ac:dyDescent="0.35">
      <c r="A1467">
        <v>8.0484934151172999E-2</v>
      </c>
      <c r="B1467">
        <v>9.6251185931807797</v>
      </c>
      <c r="C1467">
        <v>0.33635121583938599</v>
      </c>
      <c r="D1467">
        <v>12.221828756614601</v>
      </c>
    </row>
    <row r="1468" spans="1:4" x14ac:dyDescent="0.35">
      <c r="A1468">
        <v>8.1166259944439004E-2</v>
      </c>
      <c r="B1468">
        <v>9.6320500342002298</v>
      </c>
      <c r="C1468">
        <v>0.33498933911323497</v>
      </c>
      <c r="D1468">
        <v>12.1825369474287</v>
      </c>
    </row>
    <row r="1469" spans="1:4" x14ac:dyDescent="0.35">
      <c r="A1469">
        <v>8.1620164215565005E-2</v>
      </c>
      <c r="B1469">
        <v>9.6047815249938004</v>
      </c>
      <c r="C1469">
        <v>0.33454161882400502</v>
      </c>
      <c r="D1469">
        <v>12.1613694731869</v>
      </c>
    </row>
    <row r="1470" spans="1:4" x14ac:dyDescent="0.35">
      <c r="A1470">
        <v>8.2047596573829998E-2</v>
      </c>
      <c r="B1470">
        <v>9.6255312266215292</v>
      </c>
      <c r="C1470">
        <v>0.33354958891868602</v>
      </c>
      <c r="D1470">
        <v>12.1683008195872</v>
      </c>
    </row>
    <row r="1471" spans="1:4" x14ac:dyDescent="0.35">
      <c r="A1471">
        <v>8.2630544900893999E-2</v>
      </c>
      <c r="B1471">
        <v>9.6341181164797103</v>
      </c>
      <c r="C1471">
        <v>0.33200520277023299</v>
      </c>
      <c r="D1471">
        <v>12.1677669123229</v>
      </c>
    </row>
    <row r="1472" spans="1:4" x14ac:dyDescent="0.35">
      <c r="A1472">
        <v>8.2956016063690005E-2</v>
      </c>
      <c r="B1472">
        <v>9.66562226283739</v>
      </c>
      <c r="C1472">
        <v>0.33165302872657798</v>
      </c>
      <c r="D1472">
        <v>12.024665483938501</v>
      </c>
    </row>
    <row r="1473" spans="1:4" x14ac:dyDescent="0.35">
      <c r="A1473">
        <v>8.3580330014229001E-2</v>
      </c>
      <c r="B1473">
        <v>9.6838491082311293</v>
      </c>
      <c r="C1473">
        <v>0.329521805047989</v>
      </c>
      <c r="D1473">
        <v>12.170652433468099</v>
      </c>
    </row>
    <row r="1474" spans="1:4" x14ac:dyDescent="0.35">
      <c r="A1474">
        <v>8.4124207496642997E-2</v>
      </c>
      <c r="B1474">
        <v>9.7080113484988395</v>
      </c>
      <c r="C1474">
        <v>0.32990777492523199</v>
      </c>
      <c r="D1474">
        <v>12.1733013073721</v>
      </c>
    </row>
    <row r="1475" spans="1:4" x14ac:dyDescent="0.35">
      <c r="A1475">
        <v>8.4582142531872004E-2</v>
      </c>
      <c r="B1475">
        <v>9.7205172736003096</v>
      </c>
      <c r="C1475">
        <v>0.32865512371063199</v>
      </c>
      <c r="D1475">
        <v>12.194095984591099</v>
      </c>
    </row>
    <row r="1476" spans="1:4" x14ac:dyDescent="0.35">
      <c r="A1476">
        <v>8.4954328835011E-2</v>
      </c>
      <c r="B1476">
        <v>9.6857967817532504</v>
      </c>
      <c r="C1476">
        <v>0.32692810893058799</v>
      </c>
      <c r="D1476">
        <v>12.213260458495199</v>
      </c>
    </row>
    <row r="1477" spans="1:4" x14ac:dyDescent="0.35">
      <c r="A1477">
        <v>8.5566237568854994E-2</v>
      </c>
      <c r="B1477">
        <v>9.7353696323196797</v>
      </c>
      <c r="C1477">
        <v>0.32629364728927601</v>
      </c>
      <c r="D1477">
        <v>12.177388399578</v>
      </c>
    </row>
    <row r="1478" spans="1:4" x14ac:dyDescent="0.35">
      <c r="A1478">
        <v>8.5905306041240997E-2</v>
      </c>
      <c r="B1478">
        <v>9.7623923446737901</v>
      </c>
      <c r="C1478">
        <v>0.32543867826461798</v>
      </c>
      <c r="D1478">
        <v>12.1002407287772</v>
      </c>
    </row>
    <row r="1479" spans="1:4" x14ac:dyDescent="0.35">
      <c r="A1479">
        <v>8.6545549333095995E-2</v>
      </c>
      <c r="B1479">
        <v>9.7597624434477996</v>
      </c>
      <c r="C1479">
        <v>0.32400315999984702</v>
      </c>
      <c r="D1479">
        <v>12.0435245662998</v>
      </c>
    </row>
    <row r="1480" spans="1:4" x14ac:dyDescent="0.35">
      <c r="A1480">
        <v>8.7080083787441004E-2</v>
      </c>
      <c r="B1480">
        <v>9.7766871492733998</v>
      </c>
      <c r="C1480">
        <v>0.32378908991813699</v>
      </c>
      <c r="D1480">
        <v>11.9928389788156</v>
      </c>
    </row>
    <row r="1481" spans="1:4" x14ac:dyDescent="0.35">
      <c r="A1481">
        <v>8.7571732699870994E-2</v>
      </c>
      <c r="B1481">
        <v>9.7721364531333705</v>
      </c>
      <c r="C1481">
        <v>0.32196977734565702</v>
      </c>
      <c r="D1481">
        <v>11.8934302453598</v>
      </c>
    </row>
    <row r="1482" spans="1:4" x14ac:dyDescent="0.35">
      <c r="A1482">
        <v>8.7931327521800995E-2</v>
      </c>
      <c r="B1482">
        <v>9.8091333482473697</v>
      </c>
      <c r="C1482">
        <v>0.32113495469093301</v>
      </c>
      <c r="D1482">
        <v>11.9468357166387</v>
      </c>
    </row>
    <row r="1483" spans="1:4" x14ac:dyDescent="0.35">
      <c r="A1483">
        <v>8.8534794747828993E-2</v>
      </c>
      <c r="B1483">
        <v>9.8391656840516895</v>
      </c>
      <c r="C1483">
        <v>0.32049199938774098</v>
      </c>
      <c r="D1483">
        <v>11.982810324608099</v>
      </c>
    </row>
    <row r="1484" spans="1:4" x14ac:dyDescent="0.35">
      <c r="A1484">
        <v>8.8982760906218997E-2</v>
      </c>
      <c r="B1484">
        <v>9.8610914513572698</v>
      </c>
      <c r="C1484">
        <v>0.31892582774162298</v>
      </c>
      <c r="D1484">
        <v>11.880947713174301</v>
      </c>
    </row>
    <row r="1485" spans="1:4" x14ac:dyDescent="0.35">
      <c r="A1485">
        <v>8.9498080313205997E-2</v>
      </c>
      <c r="B1485">
        <v>9.8123789651857507</v>
      </c>
      <c r="C1485">
        <v>0.31858360767364502</v>
      </c>
      <c r="D1485">
        <v>11.8647725326139</v>
      </c>
    </row>
    <row r="1486" spans="1:4" x14ac:dyDescent="0.35">
      <c r="A1486">
        <v>9.0119265019893993E-2</v>
      </c>
      <c r="B1486">
        <v>9.7881187610995397</v>
      </c>
      <c r="C1486">
        <v>0.31703689694404602</v>
      </c>
      <c r="D1486">
        <v>11.9512449135569</v>
      </c>
    </row>
    <row r="1487" spans="1:4" x14ac:dyDescent="0.35">
      <c r="A1487">
        <v>9.0474411845207006E-2</v>
      </c>
      <c r="B1487">
        <v>9.8538366427840707</v>
      </c>
      <c r="C1487">
        <v>0.31586682796478299</v>
      </c>
      <c r="D1487">
        <v>12.027334389793699</v>
      </c>
    </row>
    <row r="1488" spans="1:4" x14ac:dyDescent="0.35">
      <c r="A1488">
        <v>9.0993970632553003E-2</v>
      </c>
      <c r="B1488">
        <v>9.8847143795079102</v>
      </c>
      <c r="C1488">
        <v>0.31614157557487499</v>
      </c>
      <c r="D1488">
        <v>11.9366962689522</v>
      </c>
    </row>
    <row r="1489" spans="1:4" x14ac:dyDescent="0.35">
      <c r="A1489">
        <v>9.1543205082417006E-2</v>
      </c>
      <c r="B1489">
        <v>9.8737070811457901</v>
      </c>
      <c r="C1489">
        <v>0.31331947445869401</v>
      </c>
      <c r="D1489">
        <v>11.8615116747487</v>
      </c>
    </row>
    <row r="1490" spans="1:4" x14ac:dyDescent="0.35">
      <c r="A1490">
        <v>9.2034898698329995E-2</v>
      </c>
      <c r="B1490">
        <v>9.9196003735720097</v>
      </c>
      <c r="C1490">
        <v>0.313161730766296</v>
      </c>
      <c r="D1490">
        <v>11.8773219369078</v>
      </c>
    </row>
    <row r="1491" spans="1:4" x14ac:dyDescent="0.35">
      <c r="A1491">
        <v>9.2539623379707003E-2</v>
      </c>
      <c r="B1491">
        <v>9.9359979609134896</v>
      </c>
      <c r="C1491">
        <v>0.31261008977889998</v>
      </c>
      <c r="D1491">
        <v>11.838902482524</v>
      </c>
    </row>
    <row r="1492" spans="1:4" x14ac:dyDescent="0.35">
      <c r="A1492">
        <v>9.3177847564219998E-2</v>
      </c>
      <c r="B1492">
        <v>9.9710996508518708</v>
      </c>
      <c r="C1492">
        <v>0.31102842092513999</v>
      </c>
      <c r="D1492">
        <v>11.843081979745699</v>
      </c>
    </row>
    <row r="1493" spans="1:4" x14ac:dyDescent="0.35">
      <c r="A1493">
        <v>9.3471556901931999E-2</v>
      </c>
      <c r="B1493">
        <v>9.9508697706044504</v>
      </c>
      <c r="C1493">
        <v>0.31059771776199302</v>
      </c>
      <c r="D1493">
        <v>11.872416520339</v>
      </c>
    </row>
    <row r="1494" spans="1:4" x14ac:dyDescent="0.35">
      <c r="A1494">
        <v>9.3977227807044997E-2</v>
      </c>
      <c r="B1494">
        <v>9.9824566948127806</v>
      </c>
      <c r="C1494">
        <v>0.30920475721359297</v>
      </c>
      <c r="D1494">
        <v>11.881410677784899</v>
      </c>
    </row>
    <row r="1495" spans="1:4" x14ac:dyDescent="0.35">
      <c r="A1495">
        <v>9.4447046518326E-2</v>
      </c>
      <c r="B1495">
        <v>9.9436481875148797</v>
      </c>
      <c r="C1495">
        <v>0.30810475349426297</v>
      </c>
      <c r="D1495">
        <v>11.8356367772609</v>
      </c>
    </row>
    <row r="1496" spans="1:4" x14ac:dyDescent="0.35">
      <c r="A1496">
        <v>9.4849817454814994E-2</v>
      </c>
      <c r="B1496">
        <v>9.9798563576571997</v>
      </c>
      <c r="C1496">
        <v>0.30793526768684398</v>
      </c>
      <c r="D1496">
        <v>11.801573371422499</v>
      </c>
    </row>
    <row r="1497" spans="1:4" x14ac:dyDescent="0.35">
      <c r="A1497">
        <v>9.5564201474189994E-2</v>
      </c>
      <c r="B1497">
        <v>9.99771072547599</v>
      </c>
      <c r="C1497">
        <v>0.30579289793968201</v>
      </c>
      <c r="D1497">
        <v>11.855190157524801</v>
      </c>
    </row>
    <row r="1498" spans="1:4" x14ac:dyDescent="0.35">
      <c r="A1498">
        <v>9.6077218651772003E-2</v>
      </c>
      <c r="B1498">
        <v>10.0300591193964</v>
      </c>
      <c r="C1498">
        <v>0.30547177791595498</v>
      </c>
      <c r="D1498">
        <v>11.8365129216775</v>
      </c>
    </row>
    <row r="1499" spans="1:4" x14ac:dyDescent="0.35">
      <c r="A1499">
        <v>9.6520528197288999E-2</v>
      </c>
      <c r="B1499">
        <v>10.029179930921901</v>
      </c>
      <c r="C1499">
        <v>0.30433675646781899</v>
      </c>
      <c r="D1499">
        <v>11.832882422733899</v>
      </c>
    </row>
    <row r="1500" spans="1:4" x14ac:dyDescent="0.35">
      <c r="A1500">
        <v>9.7160793840884996E-2</v>
      </c>
      <c r="B1500">
        <v>10.0419857286123</v>
      </c>
      <c r="C1500">
        <v>0.30301278829574602</v>
      </c>
      <c r="D1500">
        <v>11.8087588016268</v>
      </c>
    </row>
    <row r="1501" spans="1:4" x14ac:dyDescent="0.35">
      <c r="A1501">
        <v>9.7573220729828006E-2</v>
      </c>
      <c r="B1501">
        <v>10.065634514945099</v>
      </c>
      <c r="C1501">
        <v>0.30235597491264299</v>
      </c>
      <c r="D1501">
        <v>11.817220669457001</v>
      </c>
    </row>
    <row r="1502" spans="1:4" x14ac:dyDescent="0.35">
      <c r="A1502">
        <v>9.8166920244694006E-2</v>
      </c>
      <c r="B1502">
        <v>10.0571663786966</v>
      </c>
      <c r="C1502">
        <v>0.30139395594596902</v>
      </c>
      <c r="D1502">
        <v>11.799617427227499</v>
      </c>
    </row>
    <row r="1503" spans="1:4" x14ac:dyDescent="0.35">
      <c r="A1503">
        <v>9.8553597927094005E-2</v>
      </c>
      <c r="B1503">
        <v>10.0288256535889</v>
      </c>
      <c r="C1503">
        <v>0.30007961392402599</v>
      </c>
      <c r="D1503">
        <v>11.875013005719101</v>
      </c>
    </row>
    <row r="1504" spans="1:4" x14ac:dyDescent="0.35">
      <c r="A1504">
        <v>9.9232360720634002E-2</v>
      </c>
      <c r="B1504">
        <v>10.0506247424502</v>
      </c>
      <c r="C1504">
        <v>0.29984399676322898</v>
      </c>
      <c r="D1504">
        <v>11.8475840341357</v>
      </c>
    </row>
    <row r="1505" spans="1:4" x14ac:dyDescent="0.35">
      <c r="A1505">
        <v>9.9552750587463004E-2</v>
      </c>
      <c r="B1505">
        <v>10.0881797741533</v>
      </c>
      <c r="C1505">
        <v>0.29735749959945701</v>
      </c>
      <c r="D1505">
        <v>11.875282056669599</v>
      </c>
    </row>
    <row r="1506" spans="1:4" x14ac:dyDescent="0.35">
      <c r="A1506">
        <v>0.100176699459553</v>
      </c>
      <c r="B1506">
        <v>10.0275806025808</v>
      </c>
      <c r="C1506">
        <v>0.297653317451477</v>
      </c>
      <c r="D1506">
        <v>11.8717055343804</v>
      </c>
    </row>
    <row r="1507" spans="1:4" x14ac:dyDescent="0.35">
      <c r="A1507">
        <v>0.100551150739193</v>
      </c>
      <c r="B1507">
        <v>10.089442253959399</v>
      </c>
      <c r="C1507">
        <v>0.29651522636413602</v>
      </c>
      <c r="D1507">
        <v>11.816283212308701</v>
      </c>
    </row>
    <row r="1508" spans="1:4" x14ac:dyDescent="0.35">
      <c r="A1508">
        <v>0.10089884698391</v>
      </c>
      <c r="B1508">
        <v>10.1038513122318</v>
      </c>
      <c r="C1508">
        <v>0.29472029209137002</v>
      </c>
      <c r="D1508">
        <v>11.8346533022595</v>
      </c>
    </row>
    <row r="1509" spans="1:4" x14ac:dyDescent="0.35">
      <c r="A1509">
        <v>0.101435296237469</v>
      </c>
      <c r="B1509">
        <v>10.152357293945</v>
      </c>
      <c r="C1509">
        <v>0.29463043808937101</v>
      </c>
      <c r="D1509">
        <v>11.841751846839101</v>
      </c>
    </row>
    <row r="1510" spans="1:4" x14ac:dyDescent="0.35">
      <c r="A1510">
        <v>0.10201726853847499</v>
      </c>
      <c r="B1510">
        <v>10.154005149323201</v>
      </c>
      <c r="C1510">
        <v>0.29311740398406999</v>
      </c>
      <c r="D1510">
        <v>11.8015362212327</v>
      </c>
    </row>
    <row r="1511" spans="1:4" x14ac:dyDescent="0.35">
      <c r="A1511">
        <v>0.102397128939629</v>
      </c>
      <c r="B1511">
        <v>10.155530950485799</v>
      </c>
      <c r="C1511">
        <v>0.29170867800712602</v>
      </c>
      <c r="D1511">
        <v>11.8207536636695</v>
      </c>
    </row>
    <row r="1512" spans="1:4" x14ac:dyDescent="0.35">
      <c r="A1512">
        <v>0.103092312812805</v>
      </c>
      <c r="B1512">
        <v>10.2148651281229</v>
      </c>
      <c r="C1512">
        <v>0.291652411222458</v>
      </c>
      <c r="D1512">
        <v>11.822845350984799</v>
      </c>
    </row>
    <row r="1513" spans="1:4" x14ac:dyDescent="0.35">
      <c r="A1513">
        <v>0.103499345481396</v>
      </c>
      <c r="B1513">
        <v>10.1953076016749</v>
      </c>
      <c r="C1513">
        <v>0.28983190655708302</v>
      </c>
      <c r="D1513">
        <v>11.8105389827209</v>
      </c>
    </row>
    <row r="1514" spans="1:4" x14ac:dyDescent="0.35">
      <c r="A1514">
        <v>0.1039944216609</v>
      </c>
      <c r="B1514">
        <v>10.2090836606005</v>
      </c>
      <c r="C1514">
        <v>0.28944504261016801</v>
      </c>
      <c r="D1514">
        <v>11.833245360114701</v>
      </c>
    </row>
    <row r="1515" spans="1:4" x14ac:dyDescent="0.35">
      <c r="A1515">
        <v>0.104520596563816</v>
      </c>
      <c r="B1515">
        <v>10.1869115433208</v>
      </c>
      <c r="C1515">
        <v>0.288478404283524</v>
      </c>
      <c r="D1515">
        <v>11.8042483644524</v>
      </c>
    </row>
    <row r="1516" spans="1:4" x14ac:dyDescent="0.35">
      <c r="A1516">
        <v>0.105071760714054</v>
      </c>
      <c r="B1516">
        <v>10.190354353019901</v>
      </c>
      <c r="C1516">
        <v>0.28718808293342601</v>
      </c>
      <c r="D1516">
        <v>11.7176625765411</v>
      </c>
    </row>
    <row r="1517" spans="1:4" x14ac:dyDescent="0.35">
      <c r="A1517">
        <v>0.10558906942606</v>
      </c>
      <c r="B1517">
        <v>10.216243549153999</v>
      </c>
      <c r="C1517">
        <v>0.286430984735489</v>
      </c>
      <c r="D1517">
        <v>11.7068366589516</v>
      </c>
    </row>
    <row r="1518" spans="1:4" x14ac:dyDescent="0.35">
      <c r="A1518">
        <v>0.106094755232334</v>
      </c>
      <c r="B1518">
        <v>10.2520494157587</v>
      </c>
      <c r="C1518">
        <v>0.28527402877807601</v>
      </c>
      <c r="D1518">
        <v>11.676310830743599</v>
      </c>
    </row>
    <row r="1519" spans="1:4" x14ac:dyDescent="0.35">
      <c r="A1519">
        <v>0.10649121552705799</v>
      </c>
      <c r="B1519">
        <v>10.275893488778101</v>
      </c>
      <c r="C1519">
        <v>0.28391575813293501</v>
      </c>
      <c r="D1519">
        <v>11.667975687289999</v>
      </c>
    </row>
    <row r="1520" spans="1:4" x14ac:dyDescent="0.35">
      <c r="A1520">
        <v>0.106999948620796</v>
      </c>
      <c r="B1520">
        <v>10.2919988744069</v>
      </c>
      <c r="C1520">
        <v>0.28342139720916698</v>
      </c>
      <c r="D1520">
        <v>11.668372927028701</v>
      </c>
    </row>
    <row r="1521" spans="1:4" x14ac:dyDescent="0.35">
      <c r="A1521">
        <v>0.107692137360573</v>
      </c>
      <c r="B1521">
        <v>10.287993055160699</v>
      </c>
      <c r="C1521">
        <v>0.28203299641609197</v>
      </c>
      <c r="D1521">
        <v>11.69973020055</v>
      </c>
    </row>
    <row r="1522" spans="1:4" x14ac:dyDescent="0.35">
      <c r="A1522">
        <v>0.107969112694263</v>
      </c>
      <c r="B1522">
        <v>10.296999758829401</v>
      </c>
      <c r="C1522">
        <v>0.28185668587684598</v>
      </c>
      <c r="D1522">
        <v>11.5526418468956</v>
      </c>
    </row>
    <row r="1523" spans="1:4" x14ac:dyDescent="0.35">
      <c r="A1523">
        <v>0.108503445982933</v>
      </c>
      <c r="B1523">
        <v>10.3110352973414</v>
      </c>
      <c r="C1523">
        <v>0.279986292123795</v>
      </c>
      <c r="D1523">
        <v>11.5435827889364</v>
      </c>
    </row>
    <row r="1524" spans="1:4" x14ac:dyDescent="0.35">
      <c r="A1524">
        <v>0.109113790094852</v>
      </c>
      <c r="B1524">
        <v>10.2992370316177</v>
      </c>
      <c r="C1524">
        <v>0.27876117825508101</v>
      </c>
      <c r="D1524">
        <v>11.6360836620249</v>
      </c>
    </row>
    <row r="1525" spans="1:4" x14ac:dyDescent="0.35">
      <c r="A1525">
        <v>0.109548643231392</v>
      </c>
      <c r="B1525">
        <v>10.3408455083974</v>
      </c>
      <c r="C1525">
        <v>0.27883437275886502</v>
      </c>
      <c r="D1525">
        <v>11.6206696987339</v>
      </c>
    </row>
    <row r="1526" spans="1:4" x14ac:dyDescent="0.35">
      <c r="A1526">
        <v>0.11011492460966101</v>
      </c>
      <c r="B1526">
        <v>10.368197698258999</v>
      </c>
      <c r="C1526">
        <v>0.27715581655502303</v>
      </c>
      <c r="D1526">
        <v>11.609905356073501</v>
      </c>
    </row>
    <row r="1527" spans="1:4" x14ac:dyDescent="0.35">
      <c r="A1527">
        <v>0.110569596290588</v>
      </c>
      <c r="B1527">
        <v>10.3492862823576</v>
      </c>
      <c r="C1527">
        <v>0.27583652734756497</v>
      </c>
      <c r="D1527">
        <v>11.575148226391001</v>
      </c>
    </row>
    <row r="1528" spans="1:4" x14ac:dyDescent="0.35">
      <c r="A1528">
        <v>0.11099472641944901</v>
      </c>
      <c r="B1528">
        <v>10.343541054515599</v>
      </c>
      <c r="C1528">
        <v>0.27585488557815602</v>
      </c>
      <c r="D1528">
        <v>11.5743203351101</v>
      </c>
    </row>
    <row r="1529" spans="1:4" x14ac:dyDescent="0.35">
      <c r="A1529">
        <v>0.111621268093586</v>
      </c>
      <c r="B1529">
        <v>10.3739482436208</v>
      </c>
      <c r="C1529">
        <v>0.27408614754676802</v>
      </c>
      <c r="D1529">
        <v>11.5920013330158</v>
      </c>
    </row>
    <row r="1530" spans="1:4" x14ac:dyDescent="0.35">
      <c r="A1530">
        <v>0.11196810752153399</v>
      </c>
      <c r="B1530">
        <v>10.3972008630594</v>
      </c>
      <c r="C1530">
        <v>0.27370849251747098</v>
      </c>
      <c r="D1530">
        <v>11.6103436951784</v>
      </c>
    </row>
    <row r="1531" spans="1:4" x14ac:dyDescent="0.35">
      <c r="A1531">
        <v>0.11248204857110999</v>
      </c>
      <c r="B1531">
        <v>10.4255652611585</v>
      </c>
      <c r="C1531">
        <v>0.27229556441307101</v>
      </c>
      <c r="D1531">
        <v>11.6086738438045</v>
      </c>
    </row>
    <row r="1532" spans="1:4" x14ac:dyDescent="0.35">
      <c r="A1532">
        <v>0.11285969614982599</v>
      </c>
      <c r="B1532">
        <v>10.423881219322499</v>
      </c>
      <c r="C1532">
        <v>0.27099382877349898</v>
      </c>
      <c r="D1532">
        <v>11.518640708798699</v>
      </c>
    </row>
    <row r="1533" spans="1:4" x14ac:dyDescent="0.35">
      <c r="A1533">
        <v>0.113315306603909</v>
      </c>
      <c r="B1533">
        <v>10.451472008819501</v>
      </c>
      <c r="C1533">
        <v>0.270424485206604</v>
      </c>
      <c r="D1533">
        <v>11.480191182908801</v>
      </c>
    </row>
    <row r="1534" spans="1:4" x14ac:dyDescent="0.35">
      <c r="A1534">
        <v>0.11406479030847499</v>
      </c>
      <c r="B1534">
        <v>10.494217874963001</v>
      </c>
      <c r="C1534">
        <v>0.268884927034378</v>
      </c>
      <c r="D1534">
        <v>11.5542385576067</v>
      </c>
    </row>
    <row r="1535" spans="1:4" x14ac:dyDescent="0.35">
      <c r="A1535">
        <v>0.11445809900760701</v>
      </c>
      <c r="B1535">
        <v>10.5148260350317</v>
      </c>
      <c r="C1535">
        <v>0.26788923144340498</v>
      </c>
      <c r="D1535">
        <v>11.598459217748401</v>
      </c>
    </row>
    <row r="1536" spans="1:4" x14ac:dyDescent="0.35">
      <c r="A1536">
        <v>0.11486211419105501</v>
      </c>
      <c r="B1536">
        <v>10.4828568033584</v>
      </c>
      <c r="C1536">
        <v>0.26772350072860701</v>
      </c>
      <c r="D1536">
        <v>11.4595536779269</v>
      </c>
    </row>
    <row r="1537" spans="1:4" x14ac:dyDescent="0.35">
      <c r="A1537">
        <v>0.115591503679752</v>
      </c>
      <c r="B1537">
        <v>10.4924186178787</v>
      </c>
      <c r="C1537">
        <v>0.26572683453559898</v>
      </c>
      <c r="D1537">
        <v>11.481961765989199</v>
      </c>
    </row>
    <row r="1538" spans="1:4" x14ac:dyDescent="0.35">
      <c r="A1538">
        <v>0.116053737699986</v>
      </c>
      <c r="B1538">
        <v>10.4918530296522</v>
      </c>
      <c r="C1538">
        <v>0.26545944809913602</v>
      </c>
      <c r="D1538">
        <v>11.401890293657599</v>
      </c>
    </row>
    <row r="1539" spans="1:4" x14ac:dyDescent="0.35">
      <c r="A1539">
        <v>0.11644586175680199</v>
      </c>
      <c r="B1539">
        <v>10.521596262298999</v>
      </c>
      <c r="C1539">
        <v>0.26428726315498402</v>
      </c>
      <c r="D1539">
        <v>11.482304644196301</v>
      </c>
    </row>
    <row r="1540" spans="1:4" x14ac:dyDescent="0.35">
      <c r="A1540">
        <v>0.117169849574566</v>
      </c>
      <c r="B1540">
        <v>10.522008603788301</v>
      </c>
      <c r="C1540">
        <v>0.26313000917434698</v>
      </c>
      <c r="D1540">
        <v>11.473686595638799</v>
      </c>
    </row>
    <row r="1541" spans="1:4" x14ac:dyDescent="0.35">
      <c r="A1541">
        <v>0.11760590225458099</v>
      </c>
      <c r="B1541">
        <v>10.5317396924719</v>
      </c>
      <c r="C1541">
        <v>0.262906074523926</v>
      </c>
      <c r="D1541">
        <v>11.485055706461401</v>
      </c>
    </row>
    <row r="1542" spans="1:4" x14ac:dyDescent="0.35">
      <c r="A1542">
        <v>0.118110746145248</v>
      </c>
      <c r="B1542">
        <v>10.5540259454548</v>
      </c>
      <c r="C1542">
        <v>0.26065179705619801</v>
      </c>
      <c r="D1542">
        <v>11.5249467739457</v>
      </c>
    </row>
    <row r="1543" spans="1:4" x14ac:dyDescent="0.35">
      <c r="A1543">
        <v>0.11864563077688201</v>
      </c>
      <c r="B1543">
        <v>10.570127139212699</v>
      </c>
      <c r="C1543">
        <v>0.260217905044556</v>
      </c>
      <c r="D1543">
        <v>11.422157208388199</v>
      </c>
    </row>
    <row r="1544" spans="1:4" x14ac:dyDescent="0.35">
      <c r="A1544">
        <v>0.119081579148769</v>
      </c>
      <c r="B1544">
        <v>10.592078882847501</v>
      </c>
      <c r="C1544">
        <v>0.25980207324027998</v>
      </c>
      <c r="D1544">
        <v>11.4600384221072</v>
      </c>
    </row>
    <row r="1545" spans="1:4" x14ac:dyDescent="0.35">
      <c r="A1545">
        <v>0.119406141340733</v>
      </c>
      <c r="B1545">
        <v>10.594808051157299</v>
      </c>
      <c r="C1545">
        <v>0.25786215066909801</v>
      </c>
      <c r="D1545">
        <v>11.424492353855699</v>
      </c>
    </row>
    <row r="1546" spans="1:4" x14ac:dyDescent="0.35">
      <c r="A1546">
        <v>0.120179511606693</v>
      </c>
      <c r="B1546">
        <v>10.606077448255</v>
      </c>
      <c r="C1546">
        <v>0.257192432880402</v>
      </c>
      <c r="D1546">
        <v>11.3883815303736</v>
      </c>
    </row>
    <row r="1547" spans="1:4" x14ac:dyDescent="0.35">
      <c r="A1547">
        <v>0.120592258870602</v>
      </c>
      <c r="B1547">
        <v>10.6173655964541</v>
      </c>
      <c r="C1547">
        <v>0.25630244612693798</v>
      </c>
      <c r="D1547">
        <v>11.404255932462799</v>
      </c>
    </row>
    <row r="1548" spans="1:4" x14ac:dyDescent="0.35">
      <c r="A1548">
        <v>0.12092639505863199</v>
      </c>
      <c r="B1548">
        <v>10.65192762525</v>
      </c>
      <c r="C1548">
        <v>0.25513559579849199</v>
      </c>
      <c r="D1548">
        <v>11.282874750030301</v>
      </c>
    </row>
    <row r="1549" spans="1:4" x14ac:dyDescent="0.35">
      <c r="A1549">
        <v>0.121529199182987</v>
      </c>
      <c r="B1549">
        <v>10.652673953330799</v>
      </c>
      <c r="C1549">
        <v>0.25469207763671903</v>
      </c>
      <c r="D1549">
        <v>11.2714398629476</v>
      </c>
    </row>
    <row r="1550" spans="1:4" x14ac:dyDescent="0.35">
      <c r="A1550">
        <v>0.122161172330379</v>
      </c>
      <c r="B1550">
        <v>10.6247538909042</v>
      </c>
      <c r="C1550">
        <v>0.25276145339012102</v>
      </c>
      <c r="D1550">
        <v>11.350072681473099</v>
      </c>
    </row>
    <row r="1551" spans="1:4" x14ac:dyDescent="0.35">
      <c r="A1551">
        <v>0.122457250952721</v>
      </c>
      <c r="B1551">
        <v>10.653595204191999</v>
      </c>
      <c r="C1551">
        <v>0.25249934196472201</v>
      </c>
      <c r="D1551">
        <v>11.386528788021501</v>
      </c>
    </row>
    <row r="1552" spans="1:4" x14ac:dyDescent="0.35">
      <c r="A1552">
        <v>0.12289379537105601</v>
      </c>
      <c r="B1552">
        <v>10.6827691943312</v>
      </c>
      <c r="C1552">
        <v>0.25089007616043102</v>
      </c>
      <c r="D1552">
        <v>11.4396052121318</v>
      </c>
    </row>
    <row r="1553" spans="1:4" x14ac:dyDescent="0.35">
      <c r="A1553">
        <v>0.123630538582802</v>
      </c>
      <c r="B1553">
        <v>10.6827803093007</v>
      </c>
      <c r="C1553">
        <v>0.250163733959198</v>
      </c>
      <c r="D1553">
        <v>11.388665035165101</v>
      </c>
    </row>
    <row r="1554" spans="1:4" x14ac:dyDescent="0.35">
      <c r="A1554">
        <v>0.124062247574329</v>
      </c>
      <c r="B1554">
        <v>10.701921870389301</v>
      </c>
      <c r="C1554">
        <v>0.24961815774440799</v>
      </c>
      <c r="D1554">
        <v>11.358770588413501</v>
      </c>
    </row>
    <row r="1555" spans="1:4" x14ac:dyDescent="0.35">
      <c r="A1555">
        <v>0.124434269964695</v>
      </c>
      <c r="B1555">
        <v>10.7010301712081</v>
      </c>
      <c r="C1555">
        <v>0.248194664716721</v>
      </c>
      <c r="D1555">
        <v>11.366950927455299</v>
      </c>
    </row>
    <row r="1556" spans="1:4" x14ac:dyDescent="0.35">
      <c r="A1556">
        <v>0.125045657157898</v>
      </c>
      <c r="B1556">
        <v>10.6926839443035</v>
      </c>
      <c r="C1556">
        <v>0.247527271509171</v>
      </c>
      <c r="D1556">
        <v>11.207002815148799</v>
      </c>
    </row>
    <row r="1557" spans="1:4" x14ac:dyDescent="0.35">
      <c r="A1557">
        <v>0.12548585236072499</v>
      </c>
      <c r="B1557">
        <v>10.7499998655938</v>
      </c>
      <c r="C1557">
        <v>0.24530602991580999</v>
      </c>
      <c r="D1557">
        <v>11.2262865969732</v>
      </c>
    </row>
    <row r="1558" spans="1:4" x14ac:dyDescent="0.35">
      <c r="A1558">
        <v>0.12595248222351099</v>
      </c>
      <c r="B1558">
        <v>10.7287016080047</v>
      </c>
      <c r="C1558">
        <v>0.24568885564804099</v>
      </c>
      <c r="D1558">
        <v>11.3195870258676</v>
      </c>
    </row>
    <row r="1559" spans="1:4" x14ac:dyDescent="0.35">
      <c r="A1559">
        <v>0.12642516195774101</v>
      </c>
      <c r="B1559">
        <v>10.734054934568499</v>
      </c>
      <c r="C1559">
        <v>0.24372209608554801</v>
      </c>
      <c r="D1559">
        <v>11.180284269838101</v>
      </c>
    </row>
    <row r="1560" spans="1:4" x14ac:dyDescent="0.35">
      <c r="A1560">
        <v>0.127051576972008</v>
      </c>
      <c r="B1560">
        <v>10.7238017358367</v>
      </c>
      <c r="C1560">
        <v>0.24313120543956801</v>
      </c>
      <c r="D1560">
        <v>11.1837432217414</v>
      </c>
    </row>
    <row r="1561" spans="1:4" x14ac:dyDescent="0.35">
      <c r="A1561">
        <v>0.12754863500595101</v>
      </c>
      <c r="B1561">
        <v>10.7543430891028</v>
      </c>
      <c r="C1561">
        <v>0.24226239323616</v>
      </c>
      <c r="D1561">
        <v>11.2008278170977</v>
      </c>
    </row>
    <row r="1562" spans="1:4" x14ac:dyDescent="0.35">
      <c r="A1562">
        <v>0.12787328660488101</v>
      </c>
      <c r="B1562">
        <v>10.7604196563461</v>
      </c>
      <c r="C1562">
        <v>0.241017460823059</v>
      </c>
      <c r="D1562">
        <v>11.2602099940817</v>
      </c>
    </row>
    <row r="1563" spans="1:4" x14ac:dyDescent="0.35">
      <c r="A1563">
        <v>0.12842683494091001</v>
      </c>
      <c r="B1563">
        <v>10.7582233152773</v>
      </c>
      <c r="C1563">
        <v>0.240499287843704</v>
      </c>
      <c r="D1563">
        <v>11.278172385072899</v>
      </c>
    </row>
    <row r="1564" spans="1:4" x14ac:dyDescent="0.35">
      <c r="A1564">
        <v>0.12906803190708199</v>
      </c>
      <c r="B1564">
        <v>10.809551420184199</v>
      </c>
      <c r="C1564">
        <v>0.23877227306366</v>
      </c>
      <c r="D1564">
        <v>11.2645241796011</v>
      </c>
    </row>
    <row r="1565" spans="1:4" x14ac:dyDescent="0.35">
      <c r="A1565">
        <v>0.12947395443916301</v>
      </c>
      <c r="B1565">
        <v>10.7863262563802</v>
      </c>
      <c r="C1565">
        <v>0.238239705562592</v>
      </c>
      <c r="D1565">
        <v>11.2035594272896</v>
      </c>
    </row>
    <row r="1566" spans="1:4" x14ac:dyDescent="0.35">
      <c r="A1566">
        <v>0.130022287368774</v>
      </c>
      <c r="B1566">
        <v>10.832894108510301</v>
      </c>
      <c r="C1566">
        <v>0.23696252703666701</v>
      </c>
      <c r="D1566">
        <v>11.1970136761294</v>
      </c>
    </row>
    <row r="1567" spans="1:4" x14ac:dyDescent="0.35">
      <c r="A1567">
        <v>0.130686581134796</v>
      </c>
      <c r="B1567">
        <v>10.8240010781103</v>
      </c>
      <c r="C1567">
        <v>0.23649232089519501</v>
      </c>
      <c r="D1567">
        <v>11.180921780494799</v>
      </c>
    </row>
    <row r="1568" spans="1:4" x14ac:dyDescent="0.35">
      <c r="A1568">
        <v>0.131035506725311</v>
      </c>
      <c r="B1568">
        <v>10.837326172483399</v>
      </c>
      <c r="C1568">
        <v>0.235434889793396</v>
      </c>
      <c r="D1568">
        <v>11.099111276920899</v>
      </c>
    </row>
    <row r="1569" spans="1:4" x14ac:dyDescent="0.35">
      <c r="A1569">
        <v>0.13151185214519501</v>
      </c>
      <c r="B1569">
        <v>10.8515550395636</v>
      </c>
      <c r="C1569">
        <v>0.23355618119239799</v>
      </c>
      <c r="D1569">
        <v>11.1755091170575</v>
      </c>
    </row>
    <row r="1570" spans="1:4" x14ac:dyDescent="0.35">
      <c r="A1570">
        <v>0.13219431042671201</v>
      </c>
      <c r="B1570">
        <v>10.8577619194163</v>
      </c>
      <c r="C1570">
        <v>0.233784139156342</v>
      </c>
      <c r="D1570">
        <v>11.1604693612476</v>
      </c>
    </row>
    <row r="1571" spans="1:4" x14ac:dyDescent="0.35">
      <c r="A1571">
        <v>0.13247655332088501</v>
      </c>
      <c r="B1571">
        <v>10.8889395030063</v>
      </c>
      <c r="C1571">
        <v>0.23195962607860601</v>
      </c>
      <c r="D1571">
        <v>11.1707045797119</v>
      </c>
    </row>
    <row r="1572" spans="1:4" x14ac:dyDescent="0.35">
      <c r="A1572">
        <v>0.133073300123215</v>
      </c>
      <c r="B1572">
        <v>10.881420014073401</v>
      </c>
      <c r="C1572">
        <v>0.23134651780128501</v>
      </c>
      <c r="D1572">
        <v>11.213662107514301</v>
      </c>
    </row>
    <row r="1573" spans="1:4" x14ac:dyDescent="0.35">
      <c r="A1573">
        <v>0.13357166945934301</v>
      </c>
      <c r="B1573">
        <v>10.8670602189096</v>
      </c>
      <c r="C1573">
        <v>0.230161532759666</v>
      </c>
      <c r="D1573">
        <v>11.103358531401801</v>
      </c>
    </row>
    <row r="1574" spans="1:4" x14ac:dyDescent="0.35">
      <c r="A1574">
        <v>0.134001970291138</v>
      </c>
      <c r="B1574">
        <v>10.9043188112751</v>
      </c>
      <c r="C1574">
        <v>0.22913783788681</v>
      </c>
      <c r="D1574">
        <v>11.109087701639901</v>
      </c>
    </row>
    <row r="1575" spans="1:4" x14ac:dyDescent="0.35">
      <c r="A1575">
        <v>0.13449624180793801</v>
      </c>
      <c r="B1575">
        <v>10.9517682080778</v>
      </c>
      <c r="C1575">
        <v>0.22853530943393699</v>
      </c>
      <c r="D1575">
        <v>11.2329401791135</v>
      </c>
    </row>
    <row r="1576" spans="1:4" x14ac:dyDescent="0.35">
      <c r="A1576">
        <v>0.13501635193824801</v>
      </c>
      <c r="B1576">
        <v>10.970198828040701</v>
      </c>
      <c r="C1576">
        <v>0.22696736454963701</v>
      </c>
      <c r="D1576">
        <v>11.181681165723401</v>
      </c>
    </row>
    <row r="1577" spans="1:4" x14ac:dyDescent="0.35">
      <c r="A1577">
        <v>0.13549368083477001</v>
      </c>
      <c r="B1577">
        <v>10.9758761836869</v>
      </c>
      <c r="C1577">
        <v>0.22627793252468101</v>
      </c>
      <c r="D1577">
        <v>11.137691261991201</v>
      </c>
    </row>
    <row r="1578" spans="1:4" x14ac:dyDescent="0.35">
      <c r="A1578">
        <v>0.13592086732387501</v>
      </c>
      <c r="B1578">
        <v>10.9847156043302</v>
      </c>
      <c r="C1578">
        <v>0.22502392530441301</v>
      </c>
      <c r="D1578">
        <v>10.955755964767301</v>
      </c>
    </row>
    <row r="1579" spans="1:4" x14ac:dyDescent="0.35">
      <c r="A1579">
        <v>0.13639155030250499</v>
      </c>
      <c r="B1579">
        <v>11.0026878754711</v>
      </c>
      <c r="C1579">
        <v>0.2242771089077</v>
      </c>
      <c r="D1579">
        <v>10.9307201424035</v>
      </c>
    </row>
    <row r="1580" spans="1:4" x14ac:dyDescent="0.35">
      <c r="A1580">
        <v>0.13696525990962999</v>
      </c>
      <c r="B1580">
        <v>10.9682484431414</v>
      </c>
      <c r="C1580">
        <v>0.223593935370445</v>
      </c>
      <c r="D1580">
        <v>10.9617451697164</v>
      </c>
    </row>
    <row r="1581" spans="1:4" x14ac:dyDescent="0.35">
      <c r="A1581">
        <v>0.13748237490654</v>
      </c>
      <c r="B1581">
        <v>10.9738321755281</v>
      </c>
      <c r="C1581">
        <v>0.22207587957382199</v>
      </c>
      <c r="D1581">
        <v>10.9553900515847</v>
      </c>
    </row>
    <row r="1582" spans="1:4" x14ac:dyDescent="0.35">
      <c r="A1582">
        <v>0.13800066709518399</v>
      </c>
      <c r="B1582">
        <v>10.978260449006701</v>
      </c>
      <c r="C1582">
        <v>0.22177590429782901</v>
      </c>
      <c r="D1582">
        <v>11.0310541267367</v>
      </c>
    </row>
    <row r="1583" spans="1:4" x14ac:dyDescent="0.35">
      <c r="A1583">
        <v>0.13860614597797399</v>
      </c>
      <c r="B1583">
        <v>10.977614240492599</v>
      </c>
      <c r="C1583">
        <v>0.21994045376777599</v>
      </c>
      <c r="D1583">
        <v>10.9621408993938</v>
      </c>
    </row>
    <row r="1584" spans="1:4" x14ac:dyDescent="0.35">
      <c r="A1584">
        <v>0.138897895812988</v>
      </c>
      <c r="B1584">
        <v>11.009379061162401</v>
      </c>
      <c r="C1584">
        <v>0.21944378316402399</v>
      </c>
      <c r="D1584">
        <v>10.9662229993636</v>
      </c>
    </row>
    <row r="1585" spans="1:4" x14ac:dyDescent="0.35">
      <c r="A1585">
        <v>0.139447912573814</v>
      </c>
      <c r="B1585">
        <v>11.027614330147699</v>
      </c>
      <c r="C1585">
        <v>0.218381062150002</v>
      </c>
      <c r="D1585">
        <v>10.954255661666</v>
      </c>
    </row>
    <row r="1586" spans="1:4" x14ac:dyDescent="0.35">
      <c r="A1586">
        <v>0.140059784054756</v>
      </c>
      <c r="B1586">
        <v>11.0642248515476</v>
      </c>
      <c r="C1586">
        <v>0.21693299710750599</v>
      </c>
      <c r="D1586">
        <v>10.990417427418301</v>
      </c>
    </row>
    <row r="1587" spans="1:4" x14ac:dyDescent="0.35">
      <c r="A1587">
        <v>0.140432849526405</v>
      </c>
      <c r="B1587">
        <v>11.090808658544001</v>
      </c>
      <c r="C1587">
        <v>0.21679922938346899</v>
      </c>
      <c r="D1587">
        <v>10.9920728415612</v>
      </c>
    </row>
    <row r="1588" spans="1:4" x14ac:dyDescent="0.35">
      <c r="A1588">
        <v>0.14096803963184401</v>
      </c>
      <c r="B1588">
        <v>11.097007773493701</v>
      </c>
      <c r="C1588">
        <v>0.214732855558395</v>
      </c>
      <c r="D1588">
        <v>11.008617786290401</v>
      </c>
    </row>
    <row r="1589" spans="1:4" x14ac:dyDescent="0.35">
      <c r="A1589">
        <v>0.14164021611213701</v>
      </c>
      <c r="B1589">
        <v>11.1303376815452</v>
      </c>
      <c r="C1589">
        <v>0.21469242870807601</v>
      </c>
      <c r="D1589">
        <v>11.086239388557299</v>
      </c>
    </row>
    <row r="1590" spans="1:4" x14ac:dyDescent="0.35">
      <c r="A1590">
        <v>0.14199863374233199</v>
      </c>
      <c r="B1590">
        <v>11.131395016316599</v>
      </c>
      <c r="C1590">
        <v>0.21317553520202601</v>
      </c>
      <c r="D1590">
        <v>10.8976450724142</v>
      </c>
    </row>
    <row r="1591" spans="1:4" x14ac:dyDescent="0.35">
      <c r="A1591">
        <v>0.142503246665001</v>
      </c>
      <c r="B1591">
        <v>11.0844500520812</v>
      </c>
      <c r="C1591">
        <v>0.212300360202789</v>
      </c>
      <c r="D1591">
        <v>10.9361625161237</v>
      </c>
    </row>
    <row r="1592" spans="1:4" x14ac:dyDescent="0.35">
      <c r="A1592">
        <v>0.143060833215714</v>
      </c>
      <c r="B1592">
        <v>11.1306430565522</v>
      </c>
      <c r="C1592">
        <v>0.21197050809860199</v>
      </c>
      <c r="D1592">
        <v>10.841267551628899</v>
      </c>
    </row>
    <row r="1593" spans="1:4" x14ac:dyDescent="0.35">
      <c r="A1593">
        <v>0.143429860472679</v>
      </c>
      <c r="B1593">
        <v>11.1527701134469</v>
      </c>
      <c r="C1593">
        <v>0.209328979253769</v>
      </c>
      <c r="D1593">
        <v>10.835912354780399</v>
      </c>
    </row>
    <row r="1594" spans="1:4" x14ac:dyDescent="0.35">
      <c r="A1594">
        <v>0.143883571028709</v>
      </c>
      <c r="B1594">
        <v>11.1802351736542</v>
      </c>
      <c r="C1594">
        <v>0.209967792034149</v>
      </c>
      <c r="D1594">
        <v>10.8735752032165</v>
      </c>
    </row>
    <row r="1595" spans="1:4" x14ac:dyDescent="0.35">
      <c r="A1595">
        <v>0.14456301927566501</v>
      </c>
      <c r="B1595">
        <v>11.198434932654701</v>
      </c>
      <c r="C1595">
        <v>0.20778018236160301</v>
      </c>
      <c r="D1595">
        <v>10.8595082703422</v>
      </c>
    </row>
    <row r="1596" spans="1:4" x14ac:dyDescent="0.35">
      <c r="A1596">
        <v>0.145044505596161</v>
      </c>
      <c r="B1596">
        <v>11.1638039478074</v>
      </c>
      <c r="C1596">
        <v>0.20764122903346999</v>
      </c>
      <c r="D1596">
        <v>10.954641454813</v>
      </c>
    </row>
    <row r="1597" spans="1:4" x14ac:dyDescent="0.35">
      <c r="A1597">
        <v>0.14554919302463501</v>
      </c>
      <c r="B1597">
        <v>11.192963368748501</v>
      </c>
      <c r="C1597">
        <v>0.20648066699504899</v>
      </c>
      <c r="D1597">
        <v>10.958376539529</v>
      </c>
    </row>
    <row r="1598" spans="1:4" x14ac:dyDescent="0.35">
      <c r="A1598">
        <v>0.14605969190597501</v>
      </c>
      <c r="B1598">
        <v>11.210467335575</v>
      </c>
      <c r="C1598">
        <v>0.20462423563003501</v>
      </c>
      <c r="D1598">
        <v>10.7865828959363</v>
      </c>
    </row>
    <row r="1599" spans="1:4" x14ac:dyDescent="0.35">
      <c r="A1599">
        <v>0.146537065505981</v>
      </c>
      <c r="B1599">
        <v>11.2600278288732</v>
      </c>
      <c r="C1599">
        <v>0.20510634779930101</v>
      </c>
      <c r="D1599">
        <v>10.739661401807201</v>
      </c>
    </row>
    <row r="1600" spans="1:4" x14ac:dyDescent="0.35">
      <c r="A1600">
        <v>0.147177308797836</v>
      </c>
      <c r="B1600">
        <v>11.205227356022901</v>
      </c>
      <c r="C1600">
        <v>0.202835664153099</v>
      </c>
      <c r="D1600">
        <v>10.7994496900776</v>
      </c>
    </row>
    <row r="1601" spans="1:4" x14ac:dyDescent="0.35">
      <c r="A1601">
        <v>0.147490158677101</v>
      </c>
      <c r="B1601">
        <v>11.244436279306999</v>
      </c>
      <c r="C1601">
        <v>0.202314168214798</v>
      </c>
      <c r="D1601">
        <v>10.7251651637054</v>
      </c>
    </row>
    <row r="1602" spans="1:4" x14ac:dyDescent="0.35">
      <c r="A1602">
        <v>0.14820466935634599</v>
      </c>
      <c r="B1602">
        <v>11.251571193770999</v>
      </c>
      <c r="C1602">
        <v>0.20158071815967599</v>
      </c>
      <c r="D1602">
        <v>10.7508550674674</v>
      </c>
    </row>
    <row r="1603" spans="1:4" x14ac:dyDescent="0.35">
      <c r="A1603">
        <v>0.14866466820240001</v>
      </c>
      <c r="B1603">
        <v>11.2804726988485</v>
      </c>
      <c r="C1603">
        <v>0.200005397200584</v>
      </c>
      <c r="D1603">
        <v>10.752469430756801</v>
      </c>
    </row>
    <row r="1604" spans="1:4" x14ac:dyDescent="0.35">
      <c r="A1604">
        <v>0.14905387163162201</v>
      </c>
      <c r="B1604">
        <v>11.1844809166098</v>
      </c>
      <c r="C1604">
        <v>0.199867263436317</v>
      </c>
      <c r="D1604">
        <v>10.8061797878054</v>
      </c>
    </row>
    <row r="1605" spans="1:4" x14ac:dyDescent="0.35">
      <c r="A1605">
        <v>0.14958301186561601</v>
      </c>
      <c r="B1605">
        <v>11.2528471286141</v>
      </c>
      <c r="C1605">
        <v>0.19737133383750899</v>
      </c>
      <c r="D1605">
        <v>10.8349077530216</v>
      </c>
    </row>
    <row r="1606" spans="1:4" x14ac:dyDescent="0.35">
      <c r="A1606">
        <v>0.15021267533302299</v>
      </c>
      <c r="B1606">
        <v>11.297169208485601</v>
      </c>
      <c r="C1606">
        <v>0.19765117764473</v>
      </c>
      <c r="D1606">
        <v>10.7381008944075</v>
      </c>
    </row>
    <row r="1607" spans="1:4" x14ac:dyDescent="0.35">
      <c r="A1607">
        <v>0.150357961654663</v>
      </c>
      <c r="B1607">
        <v>11.265450371489299</v>
      </c>
      <c r="C1607">
        <v>0.19636780023574801</v>
      </c>
      <c r="D1607">
        <v>10.745338889669799</v>
      </c>
    </row>
    <row r="1608" spans="1:4" x14ac:dyDescent="0.35">
      <c r="A1608">
        <v>0.15106709301471699</v>
      </c>
      <c r="B1608">
        <v>11.285667339006601</v>
      </c>
      <c r="C1608">
        <v>0.19518816471099901</v>
      </c>
      <c r="D1608">
        <v>10.6511718184499</v>
      </c>
    </row>
    <row r="1609" spans="1:4" x14ac:dyDescent="0.35">
      <c r="A1609">
        <v>0.15142230689525599</v>
      </c>
      <c r="B1609">
        <v>11.3379697956616</v>
      </c>
      <c r="C1609">
        <v>0.19489954411983501</v>
      </c>
      <c r="D1609">
        <v>10.750097892145201</v>
      </c>
    </row>
    <row r="1610" spans="1:4" x14ac:dyDescent="0.35">
      <c r="A1610">
        <v>0.15189060568809501</v>
      </c>
      <c r="B1610">
        <v>11.367480955601801</v>
      </c>
      <c r="C1610">
        <v>0.19268462061882</v>
      </c>
      <c r="D1610">
        <v>10.769445002059101</v>
      </c>
    </row>
    <row r="1611" spans="1:4" x14ac:dyDescent="0.35">
      <c r="A1611">
        <v>0.152402728796005</v>
      </c>
      <c r="B1611">
        <v>11.3851077034999</v>
      </c>
      <c r="C1611">
        <v>0.19280546903610199</v>
      </c>
      <c r="D1611">
        <v>10.8826195287229</v>
      </c>
    </row>
    <row r="1612" spans="1:4" x14ac:dyDescent="0.35">
      <c r="A1612">
        <v>0.152779281139374</v>
      </c>
      <c r="B1612">
        <v>11.385483081249999</v>
      </c>
      <c r="C1612">
        <v>0.190951213240623</v>
      </c>
      <c r="D1612">
        <v>10.750866290233899</v>
      </c>
    </row>
    <row r="1613" spans="1:4" x14ac:dyDescent="0.35">
      <c r="A1613">
        <v>0.15347476303577401</v>
      </c>
      <c r="B1613">
        <v>11.414372460065699</v>
      </c>
      <c r="C1613">
        <v>0.190236210823059</v>
      </c>
      <c r="D1613">
        <v>10.668201350444599</v>
      </c>
    </row>
    <row r="1614" spans="1:4" x14ac:dyDescent="0.35">
      <c r="A1614">
        <v>0.154129832983017</v>
      </c>
      <c r="B1614">
        <v>11.4367152760873</v>
      </c>
      <c r="C1614">
        <v>0.18974602222442599</v>
      </c>
      <c r="D1614">
        <v>10.692745133689799</v>
      </c>
    </row>
    <row r="1615" spans="1:4" x14ac:dyDescent="0.35">
      <c r="A1615">
        <v>0.15444275736808799</v>
      </c>
      <c r="B1615">
        <v>11.426701866855099</v>
      </c>
      <c r="C1615">
        <v>0.18770931661129001</v>
      </c>
      <c r="D1615">
        <v>10.6226653437734</v>
      </c>
    </row>
    <row r="1616" spans="1:4" x14ac:dyDescent="0.35">
      <c r="A1616">
        <v>0.15506590902805301</v>
      </c>
      <c r="B1616">
        <v>11.424162418880099</v>
      </c>
      <c r="C1616">
        <v>0.18749640882015201</v>
      </c>
      <c r="D1616">
        <v>10.6902858059187</v>
      </c>
    </row>
    <row r="1617" spans="1:4" x14ac:dyDescent="0.35">
      <c r="A1617">
        <v>0.15540827810764299</v>
      </c>
      <c r="B1617">
        <v>11.4200198982253</v>
      </c>
      <c r="C1617">
        <v>0.18544340133667001</v>
      </c>
      <c r="D1617">
        <v>10.660634993735901</v>
      </c>
    </row>
    <row r="1618" spans="1:4" x14ac:dyDescent="0.35">
      <c r="A1618">
        <v>0.15595771372318301</v>
      </c>
      <c r="B1618">
        <v>11.4645166515452</v>
      </c>
      <c r="C1618">
        <v>0.18557070195674899</v>
      </c>
      <c r="D1618">
        <v>10.6982228995046</v>
      </c>
    </row>
    <row r="1619" spans="1:4" x14ac:dyDescent="0.35">
      <c r="A1619">
        <v>0.156514242291451</v>
      </c>
      <c r="B1619">
        <v>11.4803699320632</v>
      </c>
      <c r="C1619">
        <v>0.18455865979194599</v>
      </c>
      <c r="D1619">
        <v>10.6396151109493</v>
      </c>
    </row>
    <row r="1620" spans="1:4" x14ac:dyDescent="0.35">
      <c r="A1620">
        <v>0.157072693109512</v>
      </c>
      <c r="B1620">
        <v>11.406131758714899</v>
      </c>
      <c r="C1620">
        <v>0.18303108215332001</v>
      </c>
      <c r="D1620">
        <v>10.591550983484</v>
      </c>
    </row>
    <row r="1621" spans="1:4" x14ac:dyDescent="0.35">
      <c r="A1621">
        <v>0.15742065012455</v>
      </c>
      <c r="B1621">
        <v>11.4688739869364</v>
      </c>
      <c r="C1621">
        <v>0.18230344355106401</v>
      </c>
      <c r="D1621">
        <v>10.668160056496699</v>
      </c>
    </row>
    <row r="1622" spans="1:4" x14ac:dyDescent="0.35">
      <c r="A1622">
        <v>0.15809682011604301</v>
      </c>
      <c r="B1622">
        <v>11.472854918288901</v>
      </c>
      <c r="C1622">
        <v>0.18088503181934401</v>
      </c>
      <c r="D1622">
        <v>10.6265440392812</v>
      </c>
    </row>
    <row r="1623" spans="1:4" x14ac:dyDescent="0.35">
      <c r="A1623">
        <v>0.158422186970711</v>
      </c>
      <c r="B1623">
        <v>11.5166709046748</v>
      </c>
      <c r="C1623">
        <v>0.18021209537982899</v>
      </c>
      <c r="D1623">
        <v>10.5960848418434</v>
      </c>
    </row>
    <row r="1624" spans="1:4" x14ac:dyDescent="0.35">
      <c r="A1624">
        <v>0.158951386809349</v>
      </c>
      <c r="B1624">
        <v>11.541414356650501</v>
      </c>
      <c r="C1624">
        <v>0.17928847670555101</v>
      </c>
      <c r="D1624">
        <v>10.636381645509701</v>
      </c>
    </row>
    <row r="1625" spans="1:4" x14ac:dyDescent="0.35">
      <c r="A1625">
        <v>0.15951447188854201</v>
      </c>
      <c r="B1625">
        <v>11.570945283375201</v>
      </c>
      <c r="C1625">
        <v>0.17793592810630801</v>
      </c>
      <c r="D1625">
        <v>10.5123178894177</v>
      </c>
    </row>
    <row r="1626" spans="1:4" x14ac:dyDescent="0.35">
      <c r="A1626">
        <v>0.16005067527294201</v>
      </c>
      <c r="B1626">
        <v>11.5036067215341</v>
      </c>
      <c r="C1626">
        <v>0.17736108601093301</v>
      </c>
      <c r="D1626">
        <v>10.61430640883</v>
      </c>
    </row>
    <row r="1627" spans="1:4" x14ac:dyDescent="0.35">
      <c r="A1627">
        <v>0.16050562262535101</v>
      </c>
      <c r="B1627">
        <v>11.5158646787857</v>
      </c>
      <c r="C1627">
        <v>0.17610281705856301</v>
      </c>
      <c r="D1627">
        <v>10.442886177852801</v>
      </c>
    </row>
    <row r="1628" spans="1:4" x14ac:dyDescent="0.35">
      <c r="A1628">
        <v>0.16109311580658001</v>
      </c>
      <c r="B1628">
        <v>11.565320307116</v>
      </c>
      <c r="C1628">
        <v>0.17559030652046201</v>
      </c>
      <c r="D1628">
        <v>10.477026090353499</v>
      </c>
    </row>
    <row r="1629" spans="1:4" x14ac:dyDescent="0.35">
      <c r="A1629">
        <v>0.16151598095893899</v>
      </c>
      <c r="B1629">
        <v>11.582884654968501</v>
      </c>
      <c r="C1629">
        <v>0.174334421753883</v>
      </c>
      <c r="D1629">
        <v>10.4277759260852</v>
      </c>
    </row>
    <row r="1630" spans="1:4" x14ac:dyDescent="0.35">
      <c r="A1630">
        <v>0.162089362740517</v>
      </c>
      <c r="B1630">
        <v>11.5965897669216</v>
      </c>
      <c r="C1630">
        <v>0.17236444354057301</v>
      </c>
      <c r="D1630">
        <v>10.3987134688486</v>
      </c>
    </row>
    <row r="1631" spans="1:4" x14ac:dyDescent="0.35">
      <c r="A1631">
        <v>0.162488013505936</v>
      </c>
      <c r="B1631">
        <v>11.6087133438745</v>
      </c>
      <c r="C1631">
        <v>0.172693431377411</v>
      </c>
      <c r="D1631">
        <v>10.4479112698611</v>
      </c>
    </row>
    <row r="1632" spans="1:4" x14ac:dyDescent="0.35">
      <c r="A1632">
        <v>0.163005501031876</v>
      </c>
      <c r="B1632">
        <v>11.6230596918562</v>
      </c>
      <c r="C1632">
        <v>0.17065548896789601</v>
      </c>
      <c r="D1632">
        <v>10.5689613668406</v>
      </c>
    </row>
    <row r="1633" spans="1:4" x14ac:dyDescent="0.35">
      <c r="A1633">
        <v>0.163593769073486</v>
      </c>
      <c r="B1633">
        <v>11.619787665778</v>
      </c>
      <c r="C1633">
        <v>0.17063695192337</v>
      </c>
      <c r="D1633">
        <v>10.510447680758499</v>
      </c>
    </row>
    <row r="1634" spans="1:4" x14ac:dyDescent="0.35">
      <c r="A1634">
        <v>0.16395522654056499</v>
      </c>
      <c r="B1634">
        <v>11.6816842744464</v>
      </c>
      <c r="C1634">
        <v>0.16895389556884799</v>
      </c>
      <c r="D1634">
        <v>10.320187159442</v>
      </c>
    </row>
    <row r="1635" spans="1:4" x14ac:dyDescent="0.35">
      <c r="A1635">
        <v>0.164471685886383</v>
      </c>
      <c r="B1635">
        <v>11.673372027127099</v>
      </c>
      <c r="C1635">
        <v>0.16796839237213099</v>
      </c>
      <c r="D1635">
        <v>10.428220577638999</v>
      </c>
    </row>
    <row r="1636" spans="1:4" x14ac:dyDescent="0.35">
      <c r="A1636">
        <v>0.16498465836048101</v>
      </c>
      <c r="B1636">
        <v>11.7095431960679</v>
      </c>
      <c r="C1636">
        <v>0.16806809604167899</v>
      </c>
      <c r="D1636">
        <v>10.474455550158501</v>
      </c>
    </row>
    <row r="1637" spans="1:4" x14ac:dyDescent="0.35">
      <c r="A1637">
        <v>0.165386542677879</v>
      </c>
      <c r="B1637">
        <v>11.7430262289054</v>
      </c>
      <c r="C1637">
        <v>0.16515506803989399</v>
      </c>
      <c r="D1637">
        <v>10.5226733932538</v>
      </c>
    </row>
    <row r="1638" spans="1:4" x14ac:dyDescent="0.35">
      <c r="A1638">
        <v>0.16592085361480699</v>
      </c>
      <c r="B1638">
        <v>11.737451750806301</v>
      </c>
      <c r="C1638">
        <v>0.165399134159088</v>
      </c>
      <c r="D1638">
        <v>10.4850857680381</v>
      </c>
    </row>
    <row r="1639" spans="1:4" x14ac:dyDescent="0.35">
      <c r="A1639">
        <v>0.16642460227012601</v>
      </c>
      <c r="B1639">
        <v>11.754956275362</v>
      </c>
      <c r="C1639">
        <v>0.16415788233280201</v>
      </c>
      <c r="D1639">
        <v>10.283379042361901</v>
      </c>
    </row>
    <row r="1640" spans="1:4" x14ac:dyDescent="0.35">
      <c r="A1640">
        <v>0.166840255260468</v>
      </c>
      <c r="B1640">
        <v>11.7964233899996</v>
      </c>
      <c r="C1640">
        <v>0.16302597522735601</v>
      </c>
      <c r="D1640">
        <v>10.3653979554242</v>
      </c>
    </row>
    <row r="1641" spans="1:4" x14ac:dyDescent="0.35">
      <c r="A1641">
        <v>0.167487516999245</v>
      </c>
      <c r="B1641">
        <v>11.8009248918449</v>
      </c>
      <c r="C1641">
        <v>0.16294471919536599</v>
      </c>
      <c r="D1641">
        <v>10.4044768462762</v>
      </c>
    </row>
    <row r="1642" spans="1:4" x14ac:dyDescent="0.35">
      <c r="A1642">
        <v>0.167821779847145</v>
      </c>
      <c r="B1642">
        <v>11.8314171415101</v>
      </c>
      <c r="C1642">
        <v>0.160536229610443</v>
      </c>
      <c r="D1642">
        <v>10.308894645690099</v>
      </c>
    </row>
    <row r="1643" spans="1:4" x14ac:dyDescent="0.35">
      <c r="A1643">
        <v>0.16818845272064201</v>
      </c>
      <c r="B1643">
        <v>11.816933822540699</v>
      </c>
      <c r="C1643">
        <v>0.16042724251747101</v>
      </c>
      <c r="D1643">
        <v>10.3084088647912</v>
      </c>
    </row>
    <row r="1644" spans="1:4" x14ac:dyDescent="0.35">
      <c r="A1644">
        <v>0.16892211139202101</v>
      </c>
      <c r="B1644">
        <v>11.8423168866401</v>
      </c>
      <c r="C1644">
        <v>0.15931202471256301</v>
      </c>
      <c r="D1644">
        <v>10.3120746903005</v>
      </c>
    </row>
    <row r="1645" spans="1:4" x14ac:dyDescent="0.35">
      <c r="A1645">
        <v>0.16963224112987499</v>
      </c>
      <c r="B1645">
        <v>11.8273270127162</v>
      </c>
      <c r="C1645">
        <v>0.157792404294014</v>
      </c>
      <c r="D1645">
        <v>10.4074919251215</v>
      </c>
    </row>
    <row r="1646" spans="1:4" x14ac:dyDescent="0.35">
      <c r="A1646">
        <v>0.16992719471454601</v>
      </c>
      <c r="B1646">
        <v>11.841868171035101</v>
      </c>
      <c r="C1646">
        <v>0.15777808427810699</v>
      </c>
      <c r="D1646">
        <v>10.3341626021619</v>
      </c>
    </row>
    <row r="1647" spans="1:4" x14ac:dyDescent="0.35">
      <c r="A1647">
        <v>0.17047926783561701</v>
      </c>
      <c r="B1647">
        <v>11.8770159463886</v>
      </c>
      <c r="C1647">
        <v>0.15585798025131201</v>
      </c>
      <c r="D1647">
        <v>10.4180580676662</v>
      </c>
    </row>
    <row r="1648" spans="1:4" x14ac:dyDescent="0.35">
      <c r="A1648">
        <v>0.170890837907791</v>
      </c>
      <c r="B1648">
        <v>11.903228402426899</v>
      </c>
      <c r="C1648">
        <v>0.15542241930961601</v>
      </c>
      <c r="D1648">
        <v>10.347034642151399</v>
      </c>
    </row>
    <row r="1649" spans="1:4" x14ac:dyDescent="0.35">
      <c r="A1649">
        <v>0.171486511826515</v>
      </c>
      <c r="B1649">
        <v>11.889750678085001</v>
      </c>
      <c r="C1649">
        <v>0.15446300804615001</v>
      </c>
      <c r="D1649">
        <v>10.1800946541426</v>
      </c>
    </row>
    <row r="1650" spans="1:4" x14ac:dyDescent="0.35">
      <c r="A1650">
        <v>0.171970039606094</v>
      </c>
      <c r="B1650">
        <v>11.914193817124699</v>
      </c>
      <c r="C1650">
        <v>0.15321731567382799</v>
      </c>
      <c r="D1650">
        <v>10.222095851774201</v>
      </c>
    </row>
    <row r="1651" spans="1:4" x14ac:dyDescent="0.35">
      <c r="A1651">
        <v>0.17251157760620101</v>
      </c>
      <c r="B1651">
        <v>11.9226173366257</v>
      </c>
      <c r="C1651">
        <v>0.15249091386795</v>
      </c>
      <c r="D1651">
        <v>10.189992469696801</v>
      </c>
    </row>
    <row r="1652" spans="1:4" x14ac:dyDescent="0.35">
      <c r="A1652">
        <v>0.17306409776210799</v>
      </c>
      <c r="B1652">
        <v>11.9572899698905</v>
      </c>
      <c r="C1652">
        <v>0.150482773780823</v>
      </c>
      <c r="D1652">
        <v>10.243074012901801</v>
      </c>
    </row>
    <row r="1653" spans="1:4" x14ac:dyDescent="0.35">
      <c r="A1653">
        <v>0.173496589064598</v>
      </c>
      <c r="B1653">
        <v>11.9645898764051</v>
      </c>
      <c r="C1653">
        <v>0.150500223040581</v>
      </c>
      <c r="D1653">
        <v>9.9927734074826002</v>
      </c>
    </row>
    <row r="1654" spans="1:4" x14ac:dyDescent="0.35">
      <c r="A1654">
        <v>0.17393115162849401</v>
      </c>
      <c r="B1654">
        <v>11.944353231681699</v>
      </c>
      <c r="C1654">
        <v>0.14882470667362199</v>
      </c>
      <c r="D1654">
        <v>10.059020793966599</v>
      </c>
    </row>
    <row r="1655" spans="1:4" x14ac:dyDescent="0.35">
      <c r="A1655">
        <v>0.174559742212296</v>
      </c>
      <c r="B1655">
        <v>11.994960318658601</v>
      </c>
      <c r="C1655">
        <v>0.14800439774990101</v>
      </c>
      <c r="D1655">
        <v>10.1401480512727</v>
      </c>
    </row>
    <row r="1656" spans="1:4" x14ac:dyDescent="0.35">
      <c r="A1656">
        <v>0.17502214014530201</v>
      </c>
      <c r="B1656">
        <v>12.0131994062953</v>
      </c>
      <c r="C1656">
        <v>0.14765670895576499</v>
      </c>
      <c r="D1656">
        <v>10.065030672171501</v>
      </c>
    </row>
    <row r="1657" spans="1:4" x14ac:dyDescent="0.35">
      <c r="A1657">
        <v>0.175460085272789</v>
      </c>
      <c r="B1657">
        <v>12.0067756957062</v>
      </c>
      <c r="C1657">
        <v>0.14590953290462499</v>
      </c>
      <c r="D1657">
        <v>10.084702328597601</v>
      </c>
    </row>
    <row r="1658" spans="1:4" x14ac:dyDescent="0.35">
      <c r="A1658">
        <v>0.17609599232673601</v>
      </c>
      <c r="B1658">
        <v>12.0127885810442</v>
      </c>
      <c r="C1658">
        <v>0.14541518688201899</v>
      </c>
      <c r="D1658">
        <v>10.0712631852707</v>
      </c>
    </row>
    <row r="1659" spans="1:4" x14ac:dyDescent="0.35">
      <c r="A1659">
        <v>0.17642059922218301</v>
      </c>
      <c r="B1659">
        <v>12.026977702923601</v>
      </c>
      <c r="C1659">
        <v>0.143957614898682</v>
      </c>
      <c r="D1659">
        <v>10.1228972762224</v>
      </c>
    </row>
    <row r="1660" spans="1:4" x14ac:dyDescent="0.35">
      <c r="A1660">
        <v>0.17684988677501701</v>
      </c>
      <c r="B1660">
        <v>12.018185468770399</v>
      </c>
      <c r="C1660">
        <v>0.143134385347366</v>
      </c>
      <c r="D1660">
        <v>10.201605637027599</v>
      </c>
    </row>
    <row r="1661" spans="1:4" x14ac:dyDescent="0.35">
      <c r="A1661">
        <v>0.177588701248169</v>
      </c>
      <c r="B1661">
        <v>12.047728242912299</v>
      </c>
      <c r="C1661">
        <v>0.14284269511699699</v>
      </c>
      <c r="D1661">
        <v>10.0855883689468</v>
      </c>
    </row>
    <row r="1662" spans="1:4" x14ac:dyDescent="0.35">
      <c r="A1662">
        <v>0.17798419296741499</v>
      </c>
      <c r="B1662">
        <v>12.032961113676301</v>
      </c>
      <c r="C1662">
        <v>0.140976697206497</v>
      </c>
      <c r="D1662">
        <v>10.0685474523831</v>
      </c>
    </row>
    <row r="1663" spans="1:4" x14ac:dyDescent="0.35">
      <c r="A1663">
        <v>0.17845591902732799</v>
      </c>
      <c r="B1663">
        <v>12.071234527205799</v>
      </c>
      <c r="C1663">
        <v>0.14083559811115301</v>
      </c>
      <c r="D1663">
        <v>9.9274456899366506</v>
      </c>
    </row>
    <row r="1664" spans="1:4" x14ac:dyDescent="0.35">
      <c r="A1664">
        <v>0.17914913594722701</v>
      </c>
      <c r="B1664">
        <v>12.058755221810801</v>
      </c>
      <c r="C1664">
        <v>0.13874365389347099</v>
      </c>
      <c r="D1664">
        <v>9.9713492585935501</v>
      </c>
    </row>
    <row r="1665" spans="1:4" x14ac:dyDescent="0.35">
      <c r="A1665">
        <v>0.179654955863953</v>
      </c>
      <c r="B1665">
        <v>12.059991004786999</v>
      </c>
      <c r="C1665">
        <v>0.137934640049934</v>
      </c>
      <c r="D1665">
        <v>9.9090031237483291</v>
      </c>
    </row>
    <row r="1666" spans="1:4" x14ac:dyDescent="0.35">
      <c r="A1666">
        <v>0.179983630776405</v>
      </c>
      <c r="B1666">
        <v>12.0664656233774</v>
      </c>
      <c r="C1666">
        <v>0.137504607439041</v>
      </c>
      <c r="D1666">
        <v>9.9329587865776006</v>
      </c>
    </row>
    <row r="1667" spans="1:4" x14ac:dyDescent="0.35">
      <c r="A1667">
        <v>0.1805350035429</v>
      </c>
      <c r="B1667">
        <v>12.0994309444494</v>
      </c>
      <c r="C1667">
        <v>0.13612075150013001</v>
      </c>
      <c r="D1667">
        <v>9.9737148260141506</v>
      </c>
    </row>
    <row r="1668" spans="1:4" x14ac:dyDescent="0.35">
      <c r="A1668">
        <v>0.18112012743949901</v>
      </c>
      <c r="B1668">
        <v>12.092275872871699</v>
      </c>
      <c r="C1668">
        <v>0.13584122061729401</v>
      </c>
      <c r="D1668">
        <v>9.9372341009627299</v>
      </c>
    </row>
    <row r="1669" spans="1:4" x14ac:dyDescent="0.35">
      <c r="A1669">
        <v>0.18151974678039601</v>
      </c>
      <c r="B1669">
        <v>12.1177278432195</v>
      </c>
      <c r="C1669">
        <v>0.133441641926765</v>
      </c>
      <c r="D1669">
        <v>10.002648346970499</v>
      </c>
    </row>
    <row r="1670" spans="1:4" x14ac:dyDescent="0.35">
      <c r="A1670">
        <v>0.18190786242484999</v>
      </c>
      <c r="B1670">
        <v>12.1382331992516</v>
      </c>
      <c r="C1670">
        <v>0.133655980229378</v>
      </c>
      <c r="D1670">
        <v>9.9349775962096096</v>
      </c>
    </row>
    <row r="1671" spans="1:4" x14ac:dyDescent="0.35">
      <c r="A1671">
        <v>0.182532459497452</v>
      </c>
      <c r="B1671">
        <v>12.154655100712899</v>
      </c>
      <c r="C1671">
        <v>0.13210816681384999</v>
      </c>
      <c r="D1671">
        <v>10.040008792610999</v>
      </c>
    </row>
    <row r="1672" spans="1:4" x14ac:dyDescent="0.35">
      <c r="A1672">
        <v>0.18293289840221399</v>
      </c>
      <c r="B1672">
        <v>12.1335958331904</v>
      </c>
      <c r="C1672">
        <v>0.13156303763389601</v>
      </c>
      <c r="D1672">
        <v>9.9697248107734602</v>
      </c>
    </row>
    <row r="1673" spans="1:4" x14ac:dyDescent="0.35">
      <c r="A1673">
        <v>0.183477833867073</v>
      </c>
      <c r="B1673">
        <v>12.182093361190899</v>
      </c>
      <c r="C1673">
        <v>0.13094975054264099</v>
      </c>
      <c r="D1673">
        <v>9.8136027460724904</v>
      </c>
    </row>
    <row r="1674" spans="1:4" x14ac:dyDescent="0.35">
      <c r="A1674">
        <v>0.183749184012413</v>
      </c>
      <c r="B1674">
        <v>12.189673267279501</v>
      </c>
      <c r="C1674">
        <v>0.128921449184418</v>
      </c>
      <c r="D1674">
        <v>9.8798681214115192</v>
      </c>
    </row>
    <row r="1675" spans="1:4" x14ac:dyDescent="0.35">
      <c r="A1675">
        <v>0.18449541926384</v>
      </c>
      <c r="B1675">
        <v>12.222669245932799</v>
      </c>
      <c r="C1675">
        <v>0.12882046401500699</v>
      </c>
      <c r="D1675">
        <v>9.9147007627083106</v>
      </c>
    </row>
    <row r="1676" spans="1:4" x14ac:dyDescent="0.35">
      <c r="A1676">
        <v>0.184888780117035</v>
      </c>
      <c r="B1676">
        <v>12.2598693066547</v>
      </c>
      <c r="C1676">
        <v>0.126409396529198</v>
      </c>
      <c r="D1676">
        <v>9.8979320196534601</v>
      </c>
    </row>
    <row r="1677" spans="1:4" x14ac:dyDescent="0.35">
      <c r="A1677">
        <v>0.185393527150154</v>
      </c>
      <c r="B1677">
        <v>12.2579067575367</v>
      </c>
      <c r="C1677">
        <v>0.12673492729663799</v>
      </c>
      <c r="D1677">
        <v>9.8960929910983797</v>
      </c>
    </row>
    <row r="1678" spans="1:4" x14ac:dyDescent="0.35">
      <c r="A1678">
        <v>0.18590015172958399</v>
      </c>
      <c r="B1678">
        <v>12.2667014379513</v>
      </c>
      <c r="C1678">
        <v>0.12517458200454701</v>
      </c>
      <c r="D1678">
        <v>9.9797304382395495</v>
      </c>
    </row>
    <row r="1679" spans="1:4" x14ac:dyDescent="0.35">
      <c r="A1679">
        <v>0.18652373552322399</v>
      </c>
      <c r="B1679">
        <v>12.316682276208599</v>
      </c>
      <c r="C1679">
        <v>0.12404164671897901</v>
      </c>
      <c r="D1679">
        <v>9.8875278330340208</v>
      </c>
    </row>
    <row r="1680" spans="1:4" x14ac:dyDescent="0.35">
      <c r="A1680">
        <v>0.18697515130042999</v>
      </c>
      <c r="B1680">
        <v>12.2998448535372</v>
      </c>
      <c r="C1680">
        <v>0.123903915286064</v>
      </c>
      <c r="D1680">
        <v>9.9662331705973894</v>
      </c>
    </row>
    <row r="1681" spans="1:4" x14ac:dyDescent="0.35">
      <c r="A1681">
        <v>0.18748301267623901</v>
      </c>
      <c r="B1681">
        <v>12.285117962641401</v>
      </c>
      <c r="C1681">
        <v>0.121483989059925</v>
      </c>
      <c r="D1681">
        <v>9.9760658933226605</v>
      </c>
    </row>
    <row r="1682" spans="1:4" x14ac:dyDescent="0.35">
      <c r="A1682">
        <v>0.187979191541672</v>
      </c>
      <c r="B1682">
        <v>12.3069362766448</v>
      </c>
      <c r="C1682">
        <v>0.122011266648769</v>
      </c>
      <c r="D1682">
        <v>9.9210501741062895</v>
      </c>
    </row>
    <row r="1683" spans="1:4" x14ac:dyDescent="0.35">
      <c r="A1683">
        <v>0.188480630517006</v>
      </c>
      <c r="B1683">
        <v>12.327925642961301</v>
      </c>
      <c r="C1683">
        <v>0.11973787099123</v>
      </c>
      <c r="D1683">
        <v>9.8502546852657602</v>
      </c>
    </row>
    <row r="1684" spans="1:4" x14ac:dyDescent="0.35">
      <c r="A1684">
        <v>0.188970476388931</v>
      </c>
      <c r="B1684">
        <v>12.310243436502899</v>
      </c>
      <c r="C1684">
        <v>0.119263686239719</v>
      </c>
      <c r="D1684">
        <v>9.7809296165120898</v>
      </c>
    </row>
    <row r="1685" spans="1:4" x14ac:dyDescent="0.35">
      <c r="A1685">
        <v>0.18935011327266699</v>
      </c>
      <c r="B1685">
        <v>12.292208881280599</v>
      </c>
      <c r="C1685">
        <v>0.118838287889957</v>
      </c>
      <c r="D1685">
        <v>9.7410437457984997</v>
      </c>
    </row>
    <row r="1686" spans="1:4" x14ac:dyDescent="0.35">
      <c r="A1686">
        <v>0.18995304405689201</v>
      </c>
      <c r="B1686">
        <v>12.330302970839501</v>
      </c>
      <c r="C1686">
        <v>0.11690334230661401</v>
      </c>
      <c r="D1686">
        <v>9.8020423679511897</v>
      </c>
    </row>
    <row r="1687" spans="1:4" x14ac:dyDescent="0.35">
      <c r="A1687">
        <v>0.190591335296631</v>
      </c>
      <c r="B1687">
        <v>12.337728595995801</v>
      </c>
      <c r="C1687">
        <v>0.116844795644283</v>
      </c>
      <c r="D1687">
        <v>9.8622904482949707</v>
      </c>
    </row>
    <row r="1688" spans="1:4" x14ac:dyDescent="0.35">
      <c r="A1688">
        <v>0.19096329808235199</v>
      </c>
      <c r="B1688">
        <v>12.319399568982501</v>
      </c>
      <c r="C1688">
        <v>0.1142268627882</v>
      </c>
      <c r="D1688">
        <v>9.8233182779594497</v>
      </c>
    </row>
    <row r="1689" spans="1:4" x14ac:dyDescent="0.35">
      <c r="A1689">
        <v>0.19145853817462899</v>
      </c>
      <c r="B1689">
        <v>12.379156296587</v>
      </c>
      <c r="C1689">
        <v>0.11465398967266099</v>
      </c>
      <c r="D1689">
        <v>9.6793612051074902</v>
      </c>
    </row>
    <row r="1690" spans="1:4" x14ac:dyDescent="0.35">
      <c r="A1690">
        <v>0.192103251814842</v>
      </c>
      <c r="B1690">
        <v>12.3901564218855</v>
      </c>
      <c r="C1690">
        <v>0.112976148724556</v>
      </c>
      <c r="D1690">
        <v>9.76228042729241</v>
      </c>
    </row>
    <row r="1691" spans="1:4" x14ac:dyDescent="0.35">
      <c r="A1691">
        <v>0.19221685826778401</v>
      </c>
      <c r="B1691">
        <v>12.3878600574225</v>
      </c>
      <c r="C1691">
        <v>0.11231313645839699</v>
      </c>
      <c r="D1691">
        <v>9.7831859613779901</v>
      </c>
    </row>
    <row r="1692" spans="1:4" x14ac:dyDescent="0.35">
      <c r="A1692">
        <v>0.19286733865737901</v>
      </c>
      <c r="B1692">
        <v>12.4001699067232</v>
      </c>
      <c r="C1692">
        <v>0.111739307641983</v>
      </c>
      <c r="D1692">
        <v>9.6637420011107498</v>
      </c>
    </row>
    <row r="1693" spans="1:4" x14ac:dyDescent="0.35">
      <c r="A1693">
        <v>0.193576529622078</v>
      </c>
      <c r="B1693">
        <v>12.430585806345601</v>
      </c>
      <c r="C1693">
        <v>0.10927385836839699</v>
      </c>
      <c r="D1693">
        <v>9.5304341599017608</v>
      </c>
    </row>
    <row r="1694" spans="1:4" x14ac:dyDescent="0.35">
      <c r="A1694">
        <v>0.19378568232059501</v>
      </c>
      <c r="B1694">
        <v>12.3566895692298</v>
      </c>
      <c r="C1694">
        <v>0.109871834516525</v>
      </c>
      <c r="D1694">
        <v>9.6191275068491997</v>
      </c>
    </row>
    <row r="1695" spans="1:4" x14ac:dyDescent="0.35">
      <c r="A1695">
        <v>0.194600939750671</v>
      </c>
      <c r="B1695">
        <v>12.3842835284476</v>
      </c>
      <c r="C1695">
        <v>0.108067706227303</v>
      </c>
      <c r="D1695">
        <v>9.5981387173274992</v>
      </c>
    </row>
    <row r="1696" spans="1:4" x14ac:dyDescent="0.35">
      <c r="A1696">
        <v>0.194917902350426</v>
      </c>
      <c r="B1696">
        <v>12.377250472837799</v>
      </c>
      <c r="C1696">
        <v>0.107647620141506</v>
      </c>
      <c r="D1696">
        <v>9.6927562383677497</v>
      </c>
    </row>
    <row r="1697" spans="1:4" x14ac:dyDescent="0.35">
      <c r="A1697">
        <v>0.19532202184200301</v>
      </c>
      <c r="B1697">
        <v>12.4376978142841</v>
      </c>
      <c r="C1697">
        <v>0.10645209997892401</v>
      </c>
      <c r="D1697">
        <v>9.7070753881937595</v>
      </c>
    </row>
    <row r="1698" spans="1:4" x14ac:dyDescent="0.35">
      <c r="A1698">
        <v>0.19605433940887501</v>
      </c>
      <c r="B1698">
        <v>12.471980069269801</v>
      </c>
      <c r="C1698">
        <v>0.104911744594574</v>
      </c>
      <c r="D1698">
        <v>9.5960961923850405</v>
      </c>
    </row>
    <row r="1699" spans="1:4" x14ac:dyDescent="0.35">
      <c r="A1699">
        <v>0.19657704234123199</v>
      </c>
      <c r="B1699">
        <v>12.472113162572899</v>
      </c>
      <c r="C1699">
        <v>0.10474864393472701</v>
      </c>
      <c r="D1699">
        <v>9.7083331572008102</v>
      </c>
    </row>
    <row r="1700" spans="1:4" x14ac:dyDescent="0.35">
      <c r="A1700">
        <v>0.196987494826317</v>
      </c>
      <c r="B1700">
        <v>12.503385309302599</v>
      </c>
      <c r="C1700">
        <v>0.102847367525101</v>
      </c>
      <c r="D1700">
        <v>9.5424502760744492</v>
      </c>
    </row>
    <row r="1701" spans="1:4" x14ac:dyDescent="0.35">
      <c r="A1701">
        <v>0.197599187493324</v>
      </c>
      <c r="B1701">
        <v>12.5170624351495</v>
      </c>
      <c r="C1701">
        <v>0.102758258581161</v>
      </c>
      <c r="D1701">
        <v>9.5803923681095</v>
      </c>
    </row>
    <row r="1702" spans="1:4" x14ac:dyDescent="0.35">
      <c r="A1702">
        <v>0.19797421991825101</v>
      </c>
      <c r="B1702">
        <v>12.519724170047001</v>
      </c>
      <c r="C1702">
        <v>0.101355850696564</v>
      </c>
      <c r="D1702">
        <v>9.5999830177565499</v>
      </c>
    </row>
    <row r="1703" spans="1:4" x14ac:dyDescent="0.35">
      <c r="A1703">
        <v>0.19845874607562999</v>
      </c>
      <c r="B1703">
        <v>12.548176263699499</v>
      </c>
      <c r="C1703">
        <v>0.100063756108284</v>
      </c>
      <c r="D1703">
        <v>9.6098205221280306</v>
      </c>
    </row>
    <row r="1704" spans="1:4" x14ac:dyDescent="0.35">
      <c r="A1704">
        <v>0.199037611484528</v>
      </c>
      <c r="B1704">
        <v>12.5430202616646</v>
      </c>
      <c r="C1704">
        <v>9.9789246916771004E-2</v>
      </c>
      <c r="D1704">
        <v>9.5172916248500101</v>
      </c>
    </row>
    <row r="1705" spans="1:4" x14ac:dyDescent="0.35">
      <c r="A1705">
        <v>0.19946397840976701</v>
      </c>
      <c r="B1705">
        <v>12.5909300007489</v>
      </c>
      <c r="C1705">
        <v>9.7892247140408006E-2</v>
      </c>
      <c r="D1705">
        <v>9.59964800032615</v>
      </c>
    </row>
    <row r="1706" spans="1:4" x14ac:dyDescent="0.35">
      <c r="A1706">
        <v>0.200193166732788</v>
      </c>
      <c r="B1706">
        <v>12.5607871364979</v>
      </c>
      <c r="C1706">
        <v>9.7979232668876995E-2</v>
      </c>
      <c r="D1706">
        <v>9.5586838526317504</v>
      </c>
    </row>
    <row r="1707" spans="1:4" x14ac:dyDescent="0.35">
      <c r="A1707">
        <v>0.20062242448329901</v>
      </c>
      <c r="B1707">
        <v>12.584857001516299</v>
      </c>
      <c r="C1707">
        <v>9.5957301557064001E-2</v>
      </c>
      <c r="D1707">
        <v>9.5272887815453604</v>
      </c>
    </row>
    <row r="1708" spans="1:4" x14ac:dyDescent="0.35">
      <c r="A1708">
        <v>0.20093427598476399</v>
      </c>
      <c r="B1708">
        <v>12.604284015247799</v>
      </c>
      <c r="C1708">
        <v>9.5165915787220001E-2</v>
      </c>
      <c r="D1708">
        <v>9.63525887318605</v>
      </c>
    </row>
    <row r="1709" spans="1:4" x14ac:dyDescent="0.35">
      <c r="A1709">
        <v>0.201506763696671</v>
      </c>
      <c r="B1709">
        <v>12.581844023394</v>
      </c>
      <c r="C1709">
        <v>9.4586566090583996E-2</v>
      </c>
      <c r="D1709">
        <v>9.5530600296652306</v>
      </c>
    </row>
    <row r="1710" spans="1:4" x14ac:dyDescent="0.35">
      <c r="A1710">
        <v>0.202033370733261</v>
      </c>
      <c r="B1710">
        <v>12.6084033563261</v>
      </c>
      <c r="C1710">
        <v>9.2772684991360002E-2</v>
      </c>
      <c r="D1710">
        <v>9.5270743190532201</v>
      </c>
    </row>
    <row r="1711" spans="1:4" x14ac:dyDescent="0.35">
      <c r="A1711">
        <v>0.20246724784374201</v>
      </c>
      <c r="B1711">
        <v>12.620070418280299</v>
      </c>
      <c r="C1711">
        <v>9.2996820807456998E-2</v>
      </c>
      <c r="D1711">
        <v>9.3512174533269299</v>
      </c>
    </row>
    <row r="1712" spans="1:4" x14ac:dyDescent="0.35">
      <c r="A1712">
        <v>0.203019574284554</v>
      </c>
      <c r="B1712">
        <v>12.6270639276837</v>
      </c>
      <c r="C1712">
        <v>9.0584211051463998E-2</v>
      </c>
      <c r="D1712">
        <v>9.3985206059683897</v>
      </c>
    </row>
    <row r="1713" spans="1:4" x14ac:dyDescent="0.35">
      <c r="A1713">
        <v>0.203579217195511</v>
      </c>
      <c r="B1713">
        <v>12.6438065258923</v>
      </c>
      <c r="C1713">
        <v>9.0676493942737996E-2</v>
      </c>
      <c r="D1713">
        <v>9.4165433993386003</v>
      </c>
    </row>
    <row r="1714" spans="1:4" x14ac:dyDescent="0.35">
      <c r="A1714">
        <v>0.203939840197563</v>
      </c>
      <c r="B1714">
        <v>12.711588034756099</v>
      </c>
      <c r="C1714">
        <v>8.9354678988457004E-2</v>
      </c>
      <c r="D1714">
        <v>9.3596012122859094</v>
      </c>
    </row>
    <row r="1715" spans="1:4" x14ac:dyDescent="0.35">
      <c r="A1715">
        <v>0.204464390873909</v>
      </c>
      <c r="B1715">
        <v>12.7314063434202</v>
      </c>
      <c r="C1715">
        <v>8.8095508515835003E-2</v>
      </c>
      <c r="D1715">
        <v>9.2878844148242194</v>
      </c>
    </row>
    <row r="1716" spans="1:4" x14ac:dyDescent="0.35">
      <c r="A1716">
        <v>0.20489180088043199</v>
      </c>
      <c r="B1716">
        <v>12.771814408284801</v>
      </c>
      <c r="C1716">
        <v>8.7308175861834994E-2</v>
      </c>
      <c r="D1716">
        <v>9.4041696128928098</v>
      </c>
    </row>
    <row r="1717" spans="1:4" x14ac:dyDescent="0.35">
      <c r="A1717">
        <v>0.205497041344643</v>
      </c>
      <c r="B1717">
        <v>12.734382728979799</v>
      </c>
      <c r="C1717">
        <v>8.5321441292763006E-2</v>
      </c>
      <c r="D1717">
        <v>9.1677308082821707</v>
      </c>
    </row>
    <row r="1718" spans="1:4" x14ac:dyDescent="0.35">
      <c r="A1718">
        <v>0.20613196492195099</v>
      </c>
      <c r="B1718">
        <v>12.7559694231027</v>
      </c>
      <c r="C1718">
        <v>8.5977025330067E-2</v>
      </c>
      <c r="D1718">
        <v>9.1251652717319391</v>
      </c>
    </row>
    <row r="1719" spans="1:4" x14ac:dyDescent="0.35">
      <c r="A1719">
        <v>0.20638120174408001</v>
      </c>
      <c r="B1719">
        <v>12.790304872890299</v>
      </c>
      <c r="C1719">
        <v>8.4075860679150002E-2</v>
      </c>
      <c r="D1719">
        <v>9.1739121486502597</v>
      </c>
    </row>
    <row r="1720" spans="1:4" x14ac:dyDescent="0.35">
      <c r="A1720">
        <v>0.207081824541092</v>
      </c>
      <c r="B1720">
        <v>12.8040480440654</v>
      </c>
      <c r="C1720">
        <v>8.3661235868930997E-2</v>
      </c>
      <c r="D1720">
        <v>9.3057319292039207</v>
      </c>
    </row>
    <row r="1721" spans="1:4" x14ac:dyDescent="0.35">
      <c r="A1721">
        <v>0.20754843950271601</v>
      </c>
      <c r="B1721">
        <v>12.829549786646201</v>
      </c>
      <c r="C1721">
        <v>8.2091599702835E-2</v>
      </c>
      <c r="D1721">
        <v>9.2717112816299903</v>
      </c>
    </row>
    <row r="1722" spans="1:4" x14ac:dyDescent="0.35">
      <c r="A1722">
        <v>0.20782725512981401</v>
      </c>
      <c r="B1722">
        <v>12.8223443622479</v>
      </c>
      <c r="C1722">
        <v>8.0915823578835006E-2</v>
      </c>
      <c r="D1722">
        <v>9.2855673056875805</v>
      </c>
    </row>
    <row r="1723" spans="1:4" x14ac:dyDescent="0.35">
      <c r="A1723">
        <v>0.208357274532318</v>
      </c>
      <c r="B1723">
        <v>12.838315497240901</v>
      </c>
      <c r="C1723">
        <v>8.0553017556666995E-2</v>
      </c>
      <c r="D1723">
        <v>9.2626713128968099</v>
      </c>
    </row>
    <row r="1724" spans="1:4" x14ac:dyDescent="0.35">
      <c r="A1724">
        <v>0.208917170763016</v>
      </c>
      <c r="B1724">
        <v>12.8436089916306</v>
      </c>
      <c r="C1724">
        <v>7.9004310071468006E-2</v>
      </c>
      <c r="D1724">
        <v>9.2164030433063004</v>
      </c>
    </row>
    <row r="1725" spans="1:4" x14ac:dyDescent="0.35">
      <c r="A1725">
        <v>0.20932598412036901</v>
      </c>
      <c r="B1725">
        <v>12.8272102423691</v>
      </c>
      <c r="C1725">
        <v>7.8803718090056998E-2</v>
      </c>
      <c r="D1725">
        <v>9.1294974884081395</v>
      </c>
    </row>
    <row r="1726" spans="1:4" x14ac:dyDescent="0.35">
      <c r="A1726">
        <v>0.20992197096347801</v>
      </c>
      <c r="B1726">
        <v>12.8915375159968</v>
      </c>
      <c r="C1726">
        <v>7.6962895691395E-2</v>
      </c>
      <c r="D1726">
        <v>9.0900282857319592</v>
      </c>
    </row>
    <row r="1727" spans="1:4" x14ac:dyDescent="0.35">
      <c r="A1727">
        <v>0.210180044174194</v>
      </c>
      <c r="B1727">
        <v>12.922019976333001</v>
      </c>
      <c r="C1727">
        <v>7.6376549899577997E-2</v>
      </c>
      <c r="D1727">
        <v>9.1474230446030091</v>
      </c>
    </row>
    <row r="1728" spans="1:4" x14ac:dyDescent="0.35">
      <c r="A1728">
        <v>0.21093358099460599</v>
      </c>
      <c r="B1728">
        <v>12.9185543692554</v>
      </c>
      <c r="C1728">
        <v>7.5103551149367995E-2</v>
      </c>
      <c r="D1728">
        <v>9.1509073734285398</v>
      </c>
    </row>
    <row r="1729" spans="1:4" x14ac:dyDescent="0.35">
      <c r="A1729">
        <v>0.211590886116028</v>
      </c>
      <c r="B1729">
        <v>12.9282334042624</v>
      </c>
      <c r="C1729">
        <v>7.3987558484076996E-2</v>
      </c>
      <c r="D1729">
        <v>9.1902345157435903</v>
      </c>
    </row>
    <row r="1730" spans="1:4" x14ac:dyDescent="0.35">
      <c r="A1730">
        <v>0.211831510066986</v>
      </c>
      <c r="B1730">
        <v>12.960320239744201</v>
      </c>
      <c r="C1730">
        <v>7.3677800595759999E-2</v>
      </c>
      <c r="D1730">
        <v>9.1400259649845506</v>
      </c>
    </row>
    <row r="1731" spans="1:4" x14ac:dyDescent="0.35">
      <c r="A1731">
        <v>0.212482139468193</v>
      </c>
      <c r="B1731">
        <v>12.9779882731998</v>
      </c>
      <c r="C1731">
        <v>7.1974240243435003E-2</v>
      </c>
      <c r="D1731">
        <v>9.1655276115859099</v>
      </c>
    </row>
    <row r="1732" spans="1:4" x14ac:dyDescent="0.35">
      <c r="A1732">
        <v>0.213055819272995</v>
      </c>
      <c r="B1732">
        <v>13.0044367581242</v>
      </c>
      <c r="C1732">
        <v>7.1595393121242995E-2</v>
      </c>
      <c r="D1732">
        <v>9.2090268837739</v>
      </c>
    </row>
    <row r="1733" spans="1:4" x14ac:dyDescent="0.35">
      <c r="A1733">
        <v>0.21339434385299699</v>
      </c>
      <c r="B1733">
        <v>13.001729201587301</v>
      </c>
      <c r="C1733">
        <v>7.0162743330001998E-2</v>
      </c>
      <c r="D1733">
        <v>9.2242355548613109</v>
      </c>
    </row>
    <row r="1734" spans="1:4" x14ac:dyDescent="0.35">
      <c r="A1734">
        <v>0.21405558288097401</v>
      </c>
      <c r="B1734">
        <v>13.0253784760167</v>
      </c>
      <c r="C1734">
        <v>6.9206401705741993E-2</v>
      </c>
      <c r="D1734">
        <v>9.2255149319530094</v>
      </c>
    </row>
    <row r="1735" spans="1:4" x14ac:dyDescent="0.35">
      <c r="A1735">
        <v>0.21458685398101801</v>
      </c>
      <c r="B1735">
        <v>13.0148719423137</v>
      </c>
      <c r="C1735">
        <v>6.8242117762566001E-2</v>
      </c>
      <c r="D1735">
        <v>9.0419268075397206</v>
      </c>
    </row>
    <row r="1736" spans="1:4" x14ac:dyDescent="0.35">
      <c r="A1736">
        <v>0.214870020747185</v>
      </c>
      <c r="B1736">
        <v>13.0701719287168</v>
      </c>
      <c r="C1736">
        <v>6.6673934459686002E-2</v>
      </c>
      <c r="D1736">
        <v>8.9963296889343098</v>
      </c>
    </row>
    <row r="1737" spans="1:4" x14ac:dyDescent="0.35">
      <c r="A1737">
        <v>0.21568809449672699</v>
      </c>
      <c r="B1737">
        <v>12.9929091186044</v>
      </c>
      <c r="C1737">
        <v>6.6433399915694996E-2</v>
      </c>
      <c r="D1737">
        <v>8.9759821742640291</v>
      </c>
    </row>
    <row r="1738" spans="1:4" x14ac:dyDescent="0.35">
      <c r="A1738">
        <v>0.21599146723747301</v>
      </c>
      <c r="B1738">
        <v>13.0617477926398</v>
      </c>
      <c r="C1738">
        <v>6.5107367932796006E-2</v>
      </c>
      <c r="D1738">
        <v>8.9497142835166201</v>
      </c>
    </row>
    <row r="1739" spans="1:4" x14ac:dyDescent="0.35">
      <c r="A1739">
        <v>0.216465249657631</v>
      </c>
      <c r="B1739">
        <v>13.09248839736</v>
      </c>
      <c r="C1739">
        <v>6.4256586134433996E-2</v>
      </c>
      <c r="D1739">
        <v>8.9291451397647794</v>
      </c>
    </row>
    <row r="1740" spans="1:4" x14ac:dyDescent="0.35">
      <c r="A1740">
        <v>0.21701964735984799</v>
      </c>
      <c r="B1740">
        <v>13.0585136292898</v>
      </c>
      <c r="C1740">
        <v>6.2966622412205006E-2</v>
      </c>
      <c r="D1740">
        <v>8.9445270575791707</v>
      </c>
    </row>
    <row r="1741" spans="1:4" x14ac:dyDescent="0.35">
      <c r="A1741">
        <v>0.21755936741828899</v>
      </c>
      <c r="B1741">
        <v>13.0657036493234</v>
      </c>
      <c r="C1741">
        <v>6.1741020530462001E-2</v>
      </c>
      <c r="D1741">
        <v>8.9207898952290403</v>
      </c>
    </row>
    <row r="1742" spans="1:4" x14ac:dyDescent="0.35">
      <c r="A1742">
        <v>0.21798349916935</v>
      </c>
      <c r="B1742">
        <v>13.0685477904244</v>
      </c>
      <c r="C1742">
        <v>6.1631042510271003E-2</v>
      </c>
      <c r="D1742">
        <v>8.9328800958884909</v>
      </c>
    </row>
    <row r="1743" spans="1:4" x14ac:dyDescent="0.35">
      <c r="A1743">
        <v>0.21850395202636699</v>
      </c>
      <c r="B1743">
        <v>13.092341153125901</v>
      </c>
      <c r="C1743">
        <v>5.9999417513609002E-2</v>
      </c>
      <c r="D1743">
        <v>8.8753666839452805</v>
      </c>
    </row>
    <row r="1744" spans="1:4" x14ac:dyDescent="0.35">
      <c r="A1744">
        <v>0.218968510627747</v>
      </c>
      <c r="B1744">
        <v>13.0869341979501</v>
      </c>
      <c r="C1744">
        <v>5.9644114226103002E-2</v>
      </c>
      <c r="D1744">
        <v>8.8340681334128295</v>
      </c>
    </row>
    <row r="1745" spans="1:4" x14ac:dyDescent="0.35">
      <c r="A1745">
        <v>0.219488739967346</v>
      </c>
      <c r="B1745">
        <v>13.062611450337901</v>
      </c>
      <c r="C1745">
        <v>5.8047566562891E-2</v>
      </c>
      <c r="D1745">
        <v>8.8119114226643305</v>
      </c>
    </row>
    <row r="1746" spans="1:4" x14ac:dyDescent="0.35">
      <c r="A1746">
        <v>0.220022052526474</v>
      </c>
      <c r="B1746">
        <v>13.0706806648843</v>
      </c>
      <c r="C1746">
        <v>5.6811697781086003E-2</v>
      </c>
      <c r="D1746">
        <v>8.8220314896126109</v>
      </c>
    </row>
    <row r="1747" spans="1:4" x14ac:dyDescent="0.35">
      <c r="A1747">
        <v>0.22029156982898701</v>
      </c>
      <c r="B1747">
        <v>13.120179932390601</v>
      </c>
      <c r="C1747">
        <v>5.6431926786899997E-2</v>
      </c>
      <c r="D1747">
        <v>8.8461712533703398</v>
      </c>
    </row>
    <row r="1748" spans="1:4" x14ac:dyDescent="0.35">
      <c r="A1748">
        <v>0.22102814912796001</v>
      </c>
      <c r="B1748">
        <v>13.1473230158444</v>
      </c>
      <c r="C1748">
        <v>5.5185463279486001E-2</v>
      </c>
      <c r="D1748">
        <v>8.8833381615619906</v>
      </c>
    </row>
    <row r="1749" spans="1:4" x14ac:dyDescent="0.35">
      <c r="A1749">
        <v>0.22141288220882399</v>
      </c>
      <c r="B1749">
        <v>13.1835376674983</v>
      </c>
      <c r="C1749">
        <v>5.4718688130379001E-2</v>
      </c>
      <c r="D1749">
        <v>8.8490209330658303</v>
      </c>
    </row>
    <row r="1750" spans="1:4" x14ac:dyDescent="0.35">
      <c r="A1750">
        <v>0.22186593711376201</v>
      </c>
      <c r="B1750">
        <v>13.191484393255999</v>
      </c>
      <c r="C1750">
        <v>5.2955940365791002E-2</v>
      </c>
      <c r="D1750">
        <v>8.7546809232545399</v>
      </c>
    </row>
    <row r="1751" spans="1:4" x14ac:dyDescent="0.35">
      <c r="A1751">
        <v>0.22249443829059601</v>
      </c>
      <c r="B1751">
        <v>13.2143891590405</v>
      </c>
      <c r="C1751">
        <v>5.2332881838082997E-2</v>
      </c>
      <c r="D1751">
        <v>8.7567988401330492</v>
      </c>
    </row>
    <row r="1752" spans="1:4" x14ac:dyDescent="0.35">
      <c r="A1752">
        <v>0.22304217517375899</v>
      </c>
      <c r="B1752">
        <v>13.2200187112214</v>
      </c>
      <c r="C1752">
        <v>5.1643349230289001E-2</v>
      </c>
      <c r="D1752">
        <v>8.7693296090825203</v>
      </c>
    </row>
    <row r="1753" spans="1:4" x14ac:dyDescent="0.35">
      <c r="A1753">
        <v>0.22328832745552099</v>
      </c>
      <c r="B1753">
        <v>13.2312341826094</v>
      </c>
      <c r="C1753">
        <v>4.9972131848335002E-2</v>
      </c>
      <c r="D1753">
        <v>8.7377284861517808</v>
      </c>
    </row>
    <row r="1754" spans="1:4" x14ac:dyDescent="0.35">
      <c r="A1754">
        <v>0.223910838365555</v>
      </c>
      <c r="B1754">
        <v>13.204923751106101</v>
      </c>
      <c r="C1754">
        <v>5.0018165260552999E-2</v>
      </c>
      <c r="D1754">
        <v>8.7191840753471705</v>
      </c>
    </row>
    <row r="1755" spans="1:4" x14ac:dyDescent="0.35">
      <c r="A1755">
        <v>0.22446599602699299</v>
      </c>
      <c r="B1755">
        <v>13.226754653425299</v>
      </c>
      <c r="C1755">
        <v>4.7697763890028E-2</v>
      </c>
      <c r="D1755">
        <v>8.7528219385681503</v>
      </c>
    </row>
    <row r="1756" spans="1:4" x14ac:dyDescent="0.35">
      <c r="A1756">
        <v>0.22480128705501601</v>
      </c>
      <c r="B1756">
        <v>13.270681578562799</v>
      </c>
      <c r="C1756">
        <v>4.7960154712199998E-2</v>
      </c>
      <c r="D1756">
        <v>8.6189194885095706</v>
      </c>
    </row>
    <row r="1757" spans="1:4" x14ac:dyDescent="0.35">
      <c r="A1757">
        <v>0.225359112024307</v>
      </c>
      <c r="B1757">
        <v>13.278655092016299</v>
      </c>
      <c r="C1757">
        <v>4.6102646738291002E-2</v>
      </c>
      <c r="D1757">
        <v>8.6763985578872393</v>
      </c>
    </row>
    <row r="1758" spans="1:4" x14ac:dyDescent="0.35">
      <c r="A1758">
        <v>0.225680887699127</v>
      </c>
      <c r="B1758">
        <v>13.312476993273201</v>
      </c>
      <c r="C1758">
        <v>4.5157551765441999E-2</v>
      </c>
      <c r="D1758">
        <v>8.7006563884419101</v>
      </c>
    </row>
    <row r="1759" spans="1:4" x14ac:dyDescent="0.35">
      <c r="A1759">
        <v>0.22634698450565299</v>
      </c>
      <c r="B1759">
        <v>13.3162583883308</v>
      </c>
      <c r="C1759">
        <v>4.4610060751438002E-2</v>
      </c>
      <c r="D1759">
        <v>8.5709084948937999</v>
      </c>
    </row>
    <row r="1760" spans="1:4" x14ac:dyDescent="0.35">
      <c r="A1760">
        <v>0.22703102231025701</v>
      </c>
      <c r="B1760">
        <v>13.301181322626899</v>
      </c>
      <c r="C1760">
        <v>4.2550034821032999E-2</v>
      </c>
      <c r="D1760">
        <v>8.5905291796459107</v>
      </c>
    </row>
    <row r="1761" spans="1:4" x14ac:dyDescent="0.35">
      <c r="A1761">
        <v>0.227343559265137</v>
      </c>
      <c r="B1761">
        <v>13.3656157263507</v>
      </c>
      <c r="C1761">
        <v>4.3238412588834998E-2</v>
      </c>
      <c r="D1761">
        <v>8.6397494374239692</v>
      </c>
    </row>
    <row r="1762" spans="1:4" x14ac:dyDescent="0.35">
      <c r="A1762">
        <v>0.22778779268264801</v>
      </c>
      <c r="B1762">
        <v>13.3639317651654</v>
      </c>
      <c r="C1762">
        <v>4.0902469307183997E-2</v>
      </c>
      <c r="D1762">
        <v>8.5405146700684806</v>
      </c>
    </row>
    <row r="1763" spans="1:4" x14ac:dyDescent="0.35">
      <c r="A1763">
        <v>0.22835725545883201</v>
      </c>
      <c r="B1763">
        <v>13.412150778924101</v>
      </c>
      <c r="C1763">
        <v>4.0408577769994999E-2</v>
      </c>
      <c r="D1763">
        <v>8.5739860830574095</v>
      </c>
    </row>
    <row r="1764" spans="1:4" x14ac:dyDescent="0.35">
      <c r="A1764">
        <v>0.228940695524216</v>
      </c>
      <c r="B1764">
        <v>13.412946614536001</v>
      </c>
      <c r="C1764">
        <v>3.9245452731847999E-2</v>
      </c>
      <c r="D1764">
        <v>8.4268323047928302</v>
      </c>
    </row>
    <row r="1765" spans="1:4" x14ac:dyDescent="0.35">
      <c r="A1765">
        <v>0.229354783892632</v>
      </c>
      <c r="B1765">
        <v>13.4295507123008</v>
      </c>
      <c r="C1765">
        <v>3.8222562521696E-2</v>
      </c>
      <c r="D1765">
        <v>8.4988059010243404</v>
      </c>
    </row>
    <row r="1766" spans="1:4" x14ac:dyDescent="0.35">
      <c r="A1766">
        <v>0.23011256754398299</v>
      </c>
      <c r="B1766">
        <v>13.4329367909483</v>
      </c>
      <c r="C1766">
        <v>3.7977769970893999E-2</v>
      </c>
      <c r="D1766">
        <v>8.4811336852021402</v>
      </c>
    </row>
    <row r="1767" spans="1:4" x14ac:dyDescent="0.35">
      <c r="A1767">
        <v>0.23044982552528401</v>
      </c>
      <c r="B1767">
        <v>13.462155830768801</v>
      </c>
      <c r="C1767">
        <v>3.5704415291547997E-2</v>
      </c>
      <c r="D1767">
        <v>8.4644957753151893</v>
      </c>
    </row>
    <row r="1768" spans="1:4" x14ac:dyDescent="0.35">
      <c r="A1768">
        <v>0.23089918494224501</v>
      </c>
      <c r="B1768">
        <v>13.4980774349842</v>
      </c>
      <c r="C1768">
        <v>3.5683203488588E-2</v>
      </c>
      <c r="D1768">
        <v>8.4150939166945307</v>
      </c>
    </row>
    <row r="1769" spans="1:4" x14ac:dyDescent="0.35">
      <c r="A1769">
        <v>0.23138581216335299</v>
      </c>
      <c r="B1769">
        <v>13.4912020484257</v>
      </c>
      <c r="C1769">
        <v>3.3841598778962999E-2</v>
      </c>
      <c r="D1769">
        <v>8.4713726786467394</v>
      </c>
    </row>
    <row r="1770" spans="1:4" x14ac:dyDescent="0.35">
      <c r="A1770">
        <v>0.23197489976882901</v>
      </c>
      <c r="B1770">
        <v>13.4581319360128</v>
      </c>
      <c r="C1770">
        <v>3.3423662185669001E-2</v>
      </c>
      <c r="D1770">
        <v>8.4946281413060696</v>
      </c>
    </row>
    <row r="1771" spans="1:4" x14ac:dyDescent="0.35">
      <c r="A1771">
        <v>0.23248627781868</v>
      </c>
      <c r="B1771">
        <v>13.4805268543062</v>
      </c>
      <c r="C1771">
        <v>3.2392509281635E-2</v>
      </c>
      <c r="D1771">
        <v>8.4848771460021801</v>
      </c>
    </row>
    <row r="1772" spans="1:4" x14ac:dyDescent="0.35">
      <c r="A1772">
        <v>0.23311927914619399</v>
      </c>
      <c r="B1772">
        <v>13.4797360155817</v>
      </c>
      <c r="C1772">
        <v>3.1096003949642001E-2</v>
      </c>
      <c r="D1772">
        <v>8.3514768721875097</v>
      </c>
    </row>
    <row r="1773" spans="1:4" x14ac:dyDescent="0.35">
      <c r="A1773">
        <v>0.23346896469593001</v>
      </c>
      <c r="B1773">
        <v>13.533132221474199</v>
      </c>
      <c r="C1773">
        <v>3.0904175713658E-2</v>
      </c>
      <c r="D1773">
        <v>8.2763221134653406</v>
      </c>
    </row>
    <row r="1774" spans="1:4" x14ac:dyDescent="0.35">
      <c r="A1774">
        <v>0.23392173647880601</v>
      </c>
      <c r="B1774">
        <v>13.554821778890799</v>
      </c>
      <c r="C1774">
        <v>2.8779333457351002E-2</v>
      </c>
      <c r="D1774">
        <v>8.3663365646881207</v>
      </c>
    </row>
    <row r="1775" spans="1:4" x14ac:dyDescent="0.35">
      <c r="A1775">
        <v>0.23442326486110701</v>
      </c>
      <c r="B1775">
        <v>13.5581446880656</v>
      </c>
      <c r="C1775">
        <v>2.8564883396029001E-2</v>
      </c>
      <c r="D1775">
        <v>8.2936850447539996</v>
      </c>
    </row>
    <row r="1776" spans="1:4" x14ac:dyDescent="0.35">
      <c r="A1776">
        <v>0.23499135673046101</v>
      </c>
      <c r="B1776">
        <v>13.558269940426401</v>
      </c>
      <c r="C1776">
        <v>2.6692686602472999E-2</v>
      </c>
      <c r="D1776">
        <v>8.3406980297462905</v>
      </c>
    </row>
    <row r="1777" spans="1:4" x14ac:dyDescent="0.35">
      <c r="A1777">
        <v>0.23548018932342499</v>
      </c>
      <c r="B1777">
        <v>13.590706426091</v>
      </c>
      <c r="C1777">
        <v>2.7157261967659E-2</v>
      </c>
      <c r="D1777">
        <v>8.3507553320146393</v>
      </c>
    </row>
    <row r="1778" spans="1:4" x14ac:dyDescent="0.35">
      <c r="A1778">
        <v>0.235966697335243</v>
      </c>
      <c r="B1778">
        <v>13.580488899848399</v>
      </c>
      <c r="C1778">
        <v>2.5463188067079E-2</v>
      </c>
      <c r="D1778">
        <v>8.3360952639308294</v>
      </c>
    </row>
    <row r="1779" spans="1:4" x14ac:dyDescent="0.35">
      <c r="A1779">
        <v>0.236458614468575</v>
      </c>
      <c r="B1779">
        <v>13.613503748438299</v>
      </c>
      <c r="C1779">
        <v>2.4146698415279E-2</v>
      </c>
      <c r="D1779">
        <v>8.3098092810357294</v>
      </c>
    </row>
    <row r="1780" spans="1:4" x14ac:dyDescent="0.35">
      <c r="A1780">
        <v>0.23693883419036901</v>
      </c>
      <c r="B1780">
        <v>13.645557851781399</v>
      </c>
      <c r="C1780">
        <v>2.3770231753588E-2</v>
      </c>
      <c r="D1780">
        <v>8.3346979462622492</v>
      </c>
    </row>
    <row r="1781" spans="1:4" x14ac:dyDescent="0.35">
      <c r="A1781">
        <v>0.237437054514885</v>
      </c>
      <c r="B1781">
        <v>13.648523680185599</v>
      </c>
      <c r="C1781">
        <v>2.1410826593637002E-2</v>
      </c>
      <c r="D1781">
        <v>8.1940511801283602</v>
      </c>
    </row>
    <row r="1782" spans="1:4" x14ac:dyDescent="0.35">
      <c r="A1782">
        <v>0.23788131773471799</v>
      </c>
      <c r="B1782">
        <v>13.655042333291499</v>
      </c>
      <c r="C1782">
        <v>2.1716287359595E-2</v>
      </c>
      <c r="D1782">
        <v>8.1440565474966604</v>
      </c>
    </row>
    <row r="1783" spans="1:4" x14ac:dyDescent="0.35">
      <c r="A1783">
        <v>0.23862200975418099</v>
      </c>
      <c r="B1783">
        <v>13.7034733870934</v>
      </c>
      <c r="C1783">
        <v>1.9636061042547E-2</v>
      </c>
      <c r="D1783">
        <v>8.1065834277237201</v>
      </c>
    </row>
    <row r="1784" spans="1:4" x14ac:dyDescent="0.35">
      <c r="A1784">
        <v>0.23892655968666099</v>
      </c>
      <c r="B1784">
        <v>13.543223683588799</v>
      </c>
      <c r="C1784">
        <v>1.9985070452093998E-2</v>
      </c>
      <c r="D1784">
        <v>8.0821852957774105</v>
      </c>
    </row>
    <row r="1785" spans="1:4" x14ac:dyDescent="0.35">
      <c r="A1785">
        <v>0.23950017988681799</v>
      </c>
      <c r="B1785">
        <v>13.6412835259984</v>
      </c>
      <c r="C1785">
        <v>1.7843041568995001E-2</v>
      </c>
      <c r="D1785">
        <v>8.0597678877744592</v>
      </c>
    </row>
    <row r="1786" spans="1:4" x14ac:dyDescent="0.35">
      <c r="A1786">
        <v>0.240093499422073</v>
      </c>
      <c r="B1786">
        <v>13.6614234687042</v>
      </c>
      <c r="C1786">
        <v>1.7027486115694001E-2</v>
      </c>
      <c r="D1786">
        <v>8.0613079163051804</v>
      </c>
    </row>
    <row r="1787" spans="1:4" x14ac:dyDescent="0.35">
      <c r="A1787">
        <v>0.24042563140392301</v>
      </c>
      <c r="B1787">
        <v>13.663214370499</v>
      </c>
      <c r="C1787">
        <v>1.6512993723153999E-2</v>
      </c>
      <c r="D1787">
        <v>7.9996165411226796</v>
      </c>
    </row>
    <row r="1788" spans="1:4" x14ac:dyDescent="0.35">
      <c r="A1788">
        <v>0.240806460380554</v>
      </c>
      <c r="B1788">
        <v>13.697764440658901</v>
      </c>
      <c r="C1788">
        <v>1.456212438643E-2</v>
      </c>
      <c r="D1788">
        <v>8.10262865434877</v>
      </c>
    </row>
    <row r="1789" spans="1:4" x14ac:dyDescent="0.35">
      <c r="A1789">
        <v>0.24133192002773299</v>
      </c>
      <c r="B1789">
        <v>13.669796570013901</v>
      </c>
      <c r="C1789">
        <v>1.5125424601138001E-2</v>
      </c>
      <c r="D1789">
        <v>8.1155453699628897</v>
      </c>
    </row>
    <row r="1790" spans="1:4" x14ac:dyDescent="0.35">
      <c r="A1790">
        <v>0.24190665781498</v>
      </c>
      <c r="B1790">
        <v>13.724450941672</v>
      </c>
      <c r="C1790">
        <v>1.2268614955245999E-2</v>
      </c>
      <c r="D1790">
        <v>8.0260942768512606</v>
      </c>
    </row>
    <row r="1791" spans="1:4" x14ac:dyDescent="0.35">
      <c r="A1791">
        <v>0.24236243963241599</v>
      </c>
      <c r="B1791">
        <v>13.7231909148458</v>
      </c>
      <c r="C1791">
        <v>1.2813880108297E-2</v>
      </c>
      <c r="D1791">
        <v>7.8889823688044203</v>
      </c>
    </row>
    <row r="1792" spans="1:4" x14ac:dyDescent="0.35">
      <c r="A1792">
        <v>0.24282258749008201</v>
      </c>
      <c r="B1792">
        <v>13.7768318799219</v>
      </c>
      <c r="C1792">
        <v>1.1047445237637E-2</v>
      </c>
      <c r="D1792">
        <v>7.9746533906277204</v>
      </c>
    </row>
    <row r="1793" spans="1:4" x14ac:dyDescent="0.35">
      <c r="A1793">
        <v>0.24335163831710799</v>
      </c>
      <c r="B1793">
        <v>13.8090751985381</v>
      </c>
      <c r="C1793">
        <v>1.0089674964546999E-2</v>
      </c>
      <c r="D1793">
        <v>7.9332141579129196</v>
      </c>
    </row>
    <row r="1794" spans="1:4" x14ac:dyDescent="0.35">
      <c r="A1794">
        <v>0.243822395801544</v>
      </c>
      <c r="B1794">
        <v>13.793825903066599</v>
      </c>
      <c r="C1794">
        <v>9.7437044605609997E-3</v>
      </c>
      <c r="D1794">
        <v>7.9347187423632404</v>
      </c>
    </row>
    <row r="1795" spans="1:4" x14ac:dyDescent="0.35">
      <c r="A1795">
        <v>0.24436412751674699</v>
      </c>
      <c r="B1795">
        <v>13.804820942177001</v>
      </c>
      <c r="C1795">
        <v>7.8619364649060008E-3</v>
      </c>
      <c r="D1795">
        <v>7.9682105184810501</v>
      </c>
    </row>
    <row r="1796" spans="1:4" x14ac:dyDescent="0.35">
      <c r="A1796">
        <v>0.24487064778804801</v>
      </c>
      <c r="B1796">
        <v>13.8342297100449</v>
      </c>
      <c r="C1796">
        <v>7.9011879861350005E-3</v>
      </c>
      <c r="D1796">
        <v>7.9704570865706303</v>
      </c>
    </row>
    <row r="1797" spans="1:4" x14ac:dyDescent="0.35">
      <c r="A1797">
        <v>0.24531394243240401</v>
      </c>
      <c r="B1797">
        <v>13.878590204991299</v>
      </c>
      <c r="C1797">
        <v>5.5951466783879999E-3</v>
      </c>
      <c r="D1797">
        <v>7.8169168497628903</v>
      </c>
    </row>
    <row r="1798" spans="1:4" x14ac:dyDescent="0.35">
      <c r="A1798">
        <v>0.2458516061306</v>
      </c>
      <c r="B1798">
        <v>13.9069164918296</v>
      </c>
      <c r="C1798">
        <v>5.7901404798030003E-3</v>
      </c>
      <c r="D1798">
        <v>7.8861237199864096</v>
      </c>
    </row>
    <row r="1799" spans="1:4" x14ac:dyDescent="0.35">
      <c r="A1799">
        <v>0.24628917872905701</v>
      </c>
      <c r="B1799">
        <v>13.883160198067401</v>
      </c>
      <c r="C1799">
        <v>4.2295674793420002E-3</v>
      </c>
      <c r="D1799">
        <v>7.7945677948514103</v>
      </c>
    </row>
    <row r="1800" spans="1:4" x14ac:dyDescent="0.35">
      <c r="A1800">
        <v>0.24682047963142401</v>
      </c>
      <c r="B1800">
        <v>13.898932835159201</v>
      </c>
      <c r="C1800">
        <v>2.921663457528E-3</v>
      </c>
      <c r="D1800">
        <v>7.8172733157734697</v>
      </c>
    </row>
    <row r="1801" spans="1:4" x14ac:dyDescent="0.35">
      <c r="A1801">
        <v>0.24747136235237099</v>
      </c>
      <c r="B1801">
        <v>13.897727187402401</v>
      </c>
      <c r="C1801">
        <v>2.8261889237910002E-3</v>
      </c>
      <c r="D1801">
        <v>7.8197708133975796</v>
      </c>
    </row>
    <row r="1802" spans="1:4" x14ac:dyDescent="0.35">
      <c r="A1802">
        <v>0.24797594547271701</v>
      </c>
      <c r="B1802">
        <v>13.8704298303503</v>
      </c>
      <c r="C1802">
        <v>1.88195044757E-4</v>
      </c>
      <c r="D1802">
        <v>7.6971996206578099</v>
      </c>
    </row>
    <row r="1803" spans="1:4" x14ac:dyDescent="0.35">
      <c r="A1803">
        <v>0.24843923747539501</v>
      </c>
      <c r="B1803">
        <v>13.921064609769999</v>
      </c>
      <c r="C1803">
        <v>9.9626148585199993E-4</v>
      </c>
      <c r="D1803">
        <v>7.5673309659958203</v>
      </c>
    </row>
    <row r="1804" spans="1:4" x14ac:dyDescent="0.35">
      <c r="A1804">
        <v>0.24892595410346999</v>
      </c>
      <c r="B1804">
        <v>13.960519927816399</v>
      </c>
      <c r="C1804">
        <v>-1.2026719050480001E-3</v>
      </c>
      <c r="D1804">
        <v>7.6316101970974097</v>
      </c>
    </row>
    <row r="1805" spans="1:4" x14ac:dyDescent="0.35">
      <c r="A1805">
        <v>0.24934686720371199</v>
      </c>
      <c r="B1805">
        <v>13.9677177918489</v>
      </c>
      <c r="C1805">
        <v>-1.2007125187670001E-3</v>
      </c>
      <c r="D1805">
        <v>7.6742868578122696</v>
      </c>
    </row>
    <row r="1806" spans="1:4" x14ac:dyDescent="0.35">
      <c r="A1806">
        <v>0.24991104006767301</v>
      </c>
      <c r="B1806">
        <v>13.9780646033694</v>
      </c>
      <c r="C1806">
        <v>-3.3191861584779998E-3</v>
      </c>
      <c r="D1806">
        <v>7.6030251738820498</v>
      </c>
    </row>
    <row r="1807" spans="1:4" x14ac:dyDescent="0.35">
      <c r="A1807">
        <v>0.250377267599106</v>
      </c>
      <c r="B1807">
        <v>13.987581876422</v>
      </c>
      <c r="C1807">
        <v>-4.057522397488E-3</v>
      </c>
      <c r="D1807">
        <v>7.6371164689424704</v>
      </c>
    </row>
    <row r="1808" spans="1:4" x14ac:dyDescent="0.35">
      <c r="A1808">
        <v>0.25089037418365501</v>
      </c>
      <c r="B1808">
        <v>13.9910837129986</v>
      </c>
      <c r="C1808">
        <v>-4.2718099430200003E-3</v>
      </c>
      <c r="D1808">
        <v>7.6358788144813801</v>
      </c>
    </row>
    <row r="1809" spans="1:4" x14ac:dyDescent="0.35">
      <c r="A1809">
        <v>0.251501023769379</v>
      </c>
      <c r="B1809">
        <v>13.8168900467189</v>
      </c>
      <c r="C1809">
        <v>-6.2578576616940003E-3</v>
      </c>
      <c r="D1809">
        <v>7.6783812271825704</v>
      </c>
    </row>
    <row r="1810" spans="1:4" x14ac:dyDescent="0.35">
      <c r="A1810">
        <v>0.25190281867981001</v>
      </c>
      <c r="B1810">
        <v>13.796055158119101</v>
      </c>
      <c r="C1810">
        <v>-5.8588087558749998E-3</v>
      </c>
      <c r="D1810">
        <v>7.6052589779172504</v>
      </c>
    </row>
    <row r="1811" spans="1:4" x14ac:dyDescent="0.35">
      <c r="A1811">
        <v>0.25239366292953502</v>
      </c>
      <c r="B1811">
        <v>13.830520086040099</v>
      </c>
      <c r="C1811">
        <v>-8.3274338394400006E-3</v>
      </c>
      <c r="D1811">
        <v>7.5441388077067</v>
      </c>
    </row>
    <row r="1812" spans="1:4" x14ac:dyDescent="0.35">
      <c r="A1812">
        <v>0.252868562936783</v>
      </c>
      <c r="B1812">
        <v>13.877873095782601</v>
      </c>
      <c r="C1812">
        <v>-8.8768647983669992E-3</v>
      </c>
      <c r="D1812">
        <v>7.5506084139419301</v>
      </c>
    </row>
    <row r="1813" spans="1:4" x14ac:dyDescent="0.35">
      <c r="A1813">
        <v>0.25331160426139798</v>
      </c>
      <c r="B1813">
        <v>13.8923265896471</v>
      </c>
      <c r="C1813">
        <v>-9.8804086446760003E-3</v>
      </c>
      <c r="D1813">
        <v>7.5787480961615499</v>
      </c>
    </row>
    <row r="1814" spans="1:4" x14ac:dyDescent="0.35">
      <c r="A1814">
        <v>0.254000693559647</v>
      </c>
      <c r="B1814">
        <v>13.907577186711499</v>
      </c>
      <c r="C1814">
        <v>-1.0945024900138E-2</v>
      </c>
      <c r="D1814">
        <v>7.6076371326109999</v>
      </c>
    </row>
    <row r="1815" spans="1:4" x14ac:dyDescent="0.35">
      <c r="A1815">
        <v>0.25439524650573703</v>
      </c>
      <c r="B1815">
        <v>13.9347591269104</v>
      </c>
      <c r="C1815">
        <v>-1.1305099353194001E-2</v>
      </c>
      <c r="D1815">
        <v>7.4888625038441496</v>
      </c>
    </row>
    <row r="1816" spans="1:4" x14ac:dyDescent="0.35">
      <c r="A1816">
        <v>0.25489234924316401</v>
      </c>
      <c r="B1816">
        <v>13.9733721903561</v>
      </c>
      <c r="C1816">
        <v>-1.3213484548031999E-2</v>
      </c>
      <c r="D1816">
        <v>7.4841118199269498</v>
      </c>
    </row>
    <row r="1817" spans="1:4" x14ac:dyDescent="0.35">
      <c r="A1817">
        <v>0.25521481037139898</v>
      </c>
      <c r="B1817">
        <v>13.9591748559771</v>
      </c>
      <c r="C1817">
        <v>-1.3344010338186999E-2</v>
      </c>
      <c r="D1817">
        <v>7.3888700671023404</v>
      </c>
    </row>
    <row r="1818" spans="1:4" x14ac:dyDescent="0.35">
      <c r="A1818">
        <v>0.255837082862854</v>
      </c>
      <c r="B1818">
        <v>13.998792151278</v>
      </c>
      <c r="C1818">
        <v>-1.5518708154559E-2</v>
      </c>
      <c r="D1818">
        <v>7.3869109213264599</v>
      </c>
    </row>
    <row r="1819" spans="1:4" x14ac:dyDescent="0.35">
      <c r="A1819">
        <v>0.256330966949463</v>
      </c>
      <c r="B1819">
        <v>14.010188978477901</v>
      </c>
      <c r="C1819">
        <v>-1.5665166079997999E-2</v>
      </c>
      <c r="D1819">
        <v>7.3944527254674997</v>
      </c>
    </row>
    <row r="1820" spans="1:4" x14ac:dyDescent="0.35">
      <c r="A1820">
        <v>0.25706017017364502</v>
      </c>
      <c r="B1820">
        <v>14.045061856561899</v>
      </c>
      <c r="C1820">
        <v>-1.6439506784081001E-2</v>
      </c>
      <c r="D1820">
        <v>7.4167069417460096</v>
      </c>
    </row>
    <row r="1821" spans="1:4" x14ac:dyDescent="0.35">
      <c r="A1821">
        <v>0.25743168592452997</v>
      </c>
      <c r="B1821">
        <v>14.0030571102454</v>
      </c>
      <c r="C1821">
        <v>-1.8400305882095999E-2</v>
      </c>
      <c r="D1821">
        <v>7.2266734937956496</v>
      </c>
    </row>
    <row r="1822" spans="1:4" x14ac:dyDescent="0.35">
      <c r="A1822">
        <v>0.25792968273162797</v>
      </c>
      <c r="B1822">
        <v>14.020247441242599</v>
      </c>
      <c r="C1822">
        <v>-1.7946941778064E-2</v>
      </c>
      <c r="D1822">
        <v>7.2388214010462804</v>
      </c>
    </row>
    <row r="1823" spans="1:4" x14ac:dyDescent="0.35">
      <c r="A1823">
        <v>0.25851136445999101</v>
      </c>
      <c r="B1823">
        <v>14.042591202709399</v>
      </c>
      <c r="C1823">
        <v>-2.0200142636894999E-2</v>
      </c>
      <c r="D1823">
        <v>7.3466912041505399</v>
      </c>
    </row>
    <row r="1824" spans="1:4" x14ac:dyDescent="0.35">
      <c r="A1824">
        <v>0.25881934165954601</v>
      </c>
      <c r="B1824">
        <v>14.0502711343977</v>
      </c>
      <c r="C1824">
        <v>-2.0004587247968001E-2</v>
      </c>
      <c r="D1824">
        <v>7.22564930805434</v>
      </c>
    </row>
    <row r="1825" spans="1:4" x14ac:dyDescent="0.35">
      <c r="A1825">
        <v>0.25943490862846402</v>
      </c>
      <c r="B1825">
        <v>14.078645810802399</v>
      </c>
      <c r="C1825">
        <v>-2.2113876417279001E-2</v>
      </c>
      <c r="D1825">
        <v>7.23083377169106</v>
      </c>
    </row>
    <row r="1826" spans="1:4" x14ac:dyDescent="0.35">
      <c r="A1826">
        <v>0.25995358824729897</v>
      </c>
      <c r="B1826">
        <v>14.0739421779704</v>
      </c>
      <c r="C1826">
        <v>-2.2548951208591E-2</v>
      </c>
      <c r="D1826">
        <v>7.2983509483754103</v>
      </c>
    </row>
    <row r="1827" spans="1:4" x14ac:dyDescent="0.35">
      <c r="A1827">
        <v>0.26056095957755998</v>
      </c>
      <c r="B1827">
        <v>14.0918432571489</v>
      </c>
      <c r="C1827">
        <v>-2.3751795291900999E-2</v>
      </c>
      <c r="D1827">
        <v>7.2512213328817197</v>
      </c>
    </row>
    <row r="1828" spans="1:4" x14ac:dyDescent="0.35">
      <c r="A1828">
        <v>0.26100078225135798</v>
      </c>
      <c r="B1828">
        <v>14.122424663363599</v>
      </c>
      <c r="C1828">
        <v>-2.5085255503654001E-2</v>
      </c>
      <c r="D1828">
        <v>7.3095434244936399</v>
      </c>
    </row>
    <row r="1829" spans="1:4" x14ac:dyDescent="0.35">
      <c r="A1829">
        <v>0.26139324903488198</v>
      </c>
      <c r="B1829">
        <v>14.111139517686199</v>
      </c>
      <c r="C1829">
        <v>-2.4901732802391E-2</v>
      </c>
      <c r="D1829">
        <v>7.2610942847840398</v>
      </c>
    </row>
    <row r="1830" spans="1:4" x14ac:dyDescent="0.35">
      <c r="A1830">
        <v>0.26187244057655301</v>
      </c>
      <c r="B1830">
        <v>14.1543944076084</v>
      </c>
      <c r="C1830">
        <v>-2.7830678969621998E-2</v>
      </c>
      <c r="D1830">
        <v>7.2518927047729402</v>
      </c>
    </row>
    <row r="1831" spans="1:4" x14ac:dyDescent="0.35">
      <c r="A1831">
        <v>0.262535840272903</v>
      </c>
      <c r="B1831">
        <v>14.1566512544708</v>
      </c>
      <c r="C1831">
        <v>-2.7321320027112999E-2</v>
      </c>
      <c r="D1831">
        <v>7.2121533901308803</v>
      </c>
    </row>
    <row r="1832" spans="1:4" x14ac:dyDescent="0.35">
      <c r="A1832">
        <v>0.26291462779045099</v>
      </c>
      <c r="B1832">
        <v>14.1670412729357</v>
      </c>
      <c r="C1832">
        <v>-2.9145047068596001E-2</v>
      </c>
      <c r="D1832">
        <v>7.1410114273157204</v>
      </c>
    </row>
    <row r="1833" spans="1:4" x14ac:dyDescent="0.35">
      <c r="A1833">
        <v>0.26339480280876199</v>
      </c>
      <c r="B1833">
        <v>14.198219885268999</v>
      </c>
      <c r="C1833">
        <v>-2.9571641236543999E-2</v>
      </c>
      <c r="D1833">
        <v>7.0632443609343101</v>
      </c>
    </row>
    <row r="1834" spans="1:4" x14ac:dyDescent="0.35">
      <c r="A1834">
        <v>0.26398313045501698</v>
      </c>
      <c r="B1834">
        <v>14.1935403777742</v>
      </c>
      <c r="C1834">
        <v>-3.0325742438435999E-2</v>
      </c>
      <c r="D1834">
        <v>7.0939617277382796</v>
      </c>
    </row>
    <row r="1835" spans="1:4" x14ac:dyDescent="0.35">
      <c r="A1835">
        <v>0.26442316174507102</v>
      </c>
      <c r="B1835">
        <v>14.2247956874719</v>
      </c>
      <c r="C1835">
        <v>-3.2047465443610999E-2</v>
      </c>
      <c r="D1835">
        <v>7.1348251524433497</v>
      </c>
    </row>
    <row r="1836" spans="1:4" x14ac:dyDescent="0.35">
      <c r="A1836">
        <v>0.26488548517227201</v>
      </c>
      <c r="B1836">
        <v>14.2515413890783</v>
      </c>
      <c r="C1836">
        <v>-3.2173972576857002E-2</v>
      </c>
      <c r="D1836">
        <v>7.0735265106474401</v>
      </c>
    </row>
    <row r="1837" spans="1:4" x14ac:dyDescent="0.35">
      <c r="A1837">
        <v>0.26538151502609297</v>
      </c>
      <c r="B1837">
        <v>14.2715495502779</v>
      </c>
      <c r="C1837">
        <v>-3.4800320863723998E-2</v>
      </c>
      <c r="D1837">
        <v>7.0409992852691001</v>
      </c>
    </row>
    <row r="1838" spans="1:4" x14ac:dyDescent="0.35">
      <c r="A1838">
        <v>0.26603877544403098</v>
      </c>
      <c r="B1838">
        <v>14.2858965875376</v>
      </c>
      <c r="C1838">
        <v>-3.3699426800012998E-2</v>
      </c>
      <c r="D1838">
        <v>6.9748791851560101</v>
      </c>
    </row>
    <row r="1839" spans="1:4" x14ac:dyDescent="0.35">
      <c r="A1839">
        <v>0.26639705896377602</v>
      </c>
      <c r="B1839">
        <v>14.305251781782699</v>
      </c>
      <c r="C1839">
        <v>-3.5855840891600002E-2</v>
      </c>
      <c r="D1839">
        <v>6.9987880488443803</v>
      </c>
    </row>
    <row r="1840" spans="1:4" x14ac:dyDescent="0.35">
      <c r="A1840">
        <v>0.26692083477973899</v>
      </c>
      <c r="B1840">
        <v>14.2959329014395</v>
      </c>
      <c r="C1840">
        <v>-3.6560233682394E-2</v>
      </c>
      <c r="D1840">
        <v>6.8107098335235001</v>
      </c>
    </row>
    <row r="1841" spans="1:4" x14ac:dyDescent="0.35">
      <c r="A1841">
        <v>0.2674380838871</v>
      </c>
      <c r="B1841">
        <v>14.288755198125401</v>
      </c>
      <c r="C1841">
        <v>-3.7470228970050999E-2</v>
      </c>
      <c r="D1841">
        <v>6.79397293036285</v>
      </c>
    </row>
    <row r="1842" spans="1:4" x14ac:dyDescent="0.35">
      <c r="A1842">
        <v>0.267983049154282</v>
      </c>
      <c r="B1842">
        <v>14.2943506378121</v>
      </c>
      <c r="C1842">
        <v>-3.9571925997734E-2</v>
      </c>
      <c r="D1842">
        <v>6.8553590422625401</v>
      </c>
    </row>
    <row r="1843" spans="1:4" x14ac:dyDescent="0.35">
      <c r="A1843">
        <v>0.26839455962181102</v>
      </c>
      <c r="B1843">
        <v>14.311009989891801</v>
      </c>
      <c r="C1843">
        <v>-3.9244178682566001E-2</v>
      </c>
      <c r="D1843">
        <v>6.8970922925966498</v>
      </c>
    </row>
    <row r="1844" spans="1:4" x14ac:dyDescent="0.35">
      <c r="A1844">
        <v>0.26898381114005998</v>
      </c>
      <c r="B1844">
        <v>14.348544876350999</v>
      </c>
      <c r="C1844">
        <v>-4.1196051985025003E-2</v>
      </c>
      <c r="D1844">
        <v>6.8109526859765301</v>
      </c>
    </row>
    <row r="1845" spans="1:4" x14ac:dyDescent="0.35">
      <c r="A1845">
        <v>0.269466131925583</v>
      </c>
      <c r="B1845">
        <v>14.318782102163301</v>
      </c>
      <c r="C1845">
        <v>-4.0928721427917002E-2</v>
      </c>
      <c r="D1845">
        <v>6.7422540970067901</v>
      </c>
    </row>
    <row r="1846" spans="1:4" x14ac:dyDescent="0.35">
      <c r="A1846">
        <v>0.26993706822395303</v>
      </c>
      <c r="B1846">
        <v>14.3382373475027</v>
      </c>
      <c r="C1846">
        <v>-4.3326623737812001E-2</v>
      </c>
      <c r="D1846">
        <v>6.7672183718339101</v>
      </c>
    </row>
    <row r="1847" spans="1:4" x14ac:dyDescent="0.35">
      <c r="A1847">
        <v>0.270396798849106</v>
      </c>
      <c r="B1847">
        <v>14.3523128862739</v>
      </c>
      <c r="C1847">
        <v>-4.3989211320876999E-2</v>
      </c>
      <c r="D1847">
        <v>6.7784685315223996</v>
      </c>
    </row>
    <row r="1848" spans="1:4" x14ac:dyDescent="0.35">
      <c r="A1848">
        <v>0.27085486054420499</v>
      </c>
      <c r="B1848">
        <v>14.3805246335899</v>
      </c>
      <c r="C1848">
        <v>-4.4390235096216001E-2</v>
      </c>
      <c r="D1848">
        <v>6.82721522186442</v>
      </c>
    </row>
    <row r="1849" spans="1:4" x14ac:dyDescent="0.35">
      <c r="A1849">
        <v>0.271365135908127</v>
      </c>
      <c r="B1849">
        <v>14.3326386789876</v>
      </c>
      <c r="C1849">
        <v>-4.6410024166106997E-2</v>
      </c>
      <c r="D1849">
        <v>6.7691834337654697</v>
      </c>
    </row>
    <row r="1850" spans="1:4" x14ac:dyDescent="0.35">
      <c r="A1850">
        <v>0.27177616953849798</v>
      </c>
      <c r="B1850">
        <v>14.3679138701754</v>
      </c>
      <c r="C1850">
        <v>-4.5833993703126998E-2</v>
      </c>
      <c r="D1850">
        <v>6.7389634799237799</v>
      </c>
    </row>
    <row r="1851" spans="1:4" x14ac:dyDescent="0.35">
      <c r="A1851">
        <v>0.27237507700920099</v>
      </c>
      <c r="B1851">
        <v>14.386610646522501</v>
      </c>
      <c r="C1851">
        <v>-4.8312969505787E-2</v>
      </c>
      <c r="D1851">
        <v>6.7639919069294097</v>
      </c>
    </row>
    <row r="1852" spans="1:4" x14ac:dyDescent="0.35">
      <c r="A1852">
        <v>0.272803455591202</v>
      </c>
      <c r="B1852">
        <v>14.4299972473141</v>
      </c>
      <c r="C1852">
        <v>-4.8582598567009E-2</v>
      </c>
      <c r="D1852">
        <v>6.7181898137520397</v>
      </c>
    </row>
    <row r="1853" spans="1:4" x14ac:dyDescent="0.35">
      <c r="A1853">
        <v>0.27342694997787498</v>
      </c>
      <c r="B1853">
        <v>14.4475600500443</v>
      </c>
      <c r="C1853">
        <v>-4.9965031445026002E-2</v>
      </c>
      <c r="D1853">
        <v>6.7239745994262297</v>
      </c>
    </row>
    <row r="1854" spans="1:4" x14ac:dyDescent="0.35">
      <c r="A1854">
        <v>0.27370342612266502</v>
      </c>
      <c r="B1854">
        <v>14.4182791536157</v>
      </c>
      <c r="C1854">
        <v>-5.0667122006416002E-2</v>
      </c>
      <c r="D1854">
        <v>6.7600566049672404</v>
      </c>
    </row>
    <row r="1855" spans="1:4" x14ac:dyDescent="0.35">
      <c r="A1855">
        <v>0.27414280176162698</v>
      </c>
      <c r="B1855">
        <v>14.4621745936235</v>
      </c>
      <c r="C1855">
        <v>-5.1485016942024002E-2</v>
      </c>
      <c r="D1855">
        <v>6.72596398363999</v>
      </c>
    </row>
    <row r="1856" spans="1:4" x14ac:dyDescent="0.35">
      <c r="A1856">
        <v>0.27482095360755898</v>
      </c>
      <c r="B1856">
        <v>14.440381290797401</v>
      </c>
      <c r="C1856">
        <v>-5.32141700387E-2</v>
      </c>
      <c r="D1856">
        <v>6.6662869398423696</v>
      </c>
    </row>
    <row r="1857" spans="1:4" x14ac:dyDescent="0.35">
      <c r="A1857">
        <v>0.27542179822921797</v>
      </c>
      <c r="B1857">
        <v>14.4579536310736</v>
      </c>
      <c r="C1857">
        <v>-5.3205683827399999E-2</v>
      </c>
      <c r="D1857">
        <v>6.6319723460146403</v>
      </c>
    </row>
    <row r="1858" spans="1:4" x14ac:dyDescent="0.35">
      <c r="A1858">
        <v>0.27572184801101701</v>
      </c>
      <c r="B1858">
        <v>14.473168639530099</v>
      </c>
      <c r="C1858">
        <v>-5.5305920541285997E-2</v>
      </c>
      <c r="D1858">
        <v>6.6412887758966797</v>
      </c>
    </row>
    <row r="1859" spans="1:4" x14ac:dyDescent="0.35">
      <c r="A1859">
        <v>0.276355981826782</v>
      </c>
      <c r="B1859">
        <v>14.496951524447301</v>
      </c>
      <c r="C1859">
        <v>-5.5159728974103997E-2</v>
      </c>
      <c r="D1859">
        <v>6.6200219648054803</v>
      </c>
    </row>
    <row r="1860" spans="1:4" x14ac:dyDescent="0.35">
      <c r="A1860">
        <v>0.27675032615661599</v>
      </c>
      <c r="B1860">
        <v>14.478350147531</v>
      </c>
      <c r="C1860">
        <v>-5.6738104671239999E-2</v>
      </c>
      <c r="D1860">
        <v>6.6724775717505702</v>
      </c>
    </row>
    <row r="1861" spans="1:4" x14ac:dyDescent="0.35">
      <c r="A1861">
        <v>0.27732509374618503</v>
      </c>
      <c r="B1861">
        <v>14.447725144427</v>
      </c>
      <c r="C1861">
        <v>-5.8098223060368999E-2</v>
      </c>
      <c r="D1861">
        <v>6.6207374316532004</v>
      </c>
    </row>
    <row r="1862" spans="1:4" x14ac:dyDescent="0.35">
      <c r="A1862">
        <v>0.27797693014144897</v>
      </c>
      <c r="B1862">
        <v>14.475244546934</v>
      </c>
      <c r="C1862">
        <v>-5.8494973927735998E-2</v>
      </c>
      <c r="D1862">
        <v>6.6167535596967797</v>
      </c>
    </row>
    <row r="1863" spans="1:4" x14ac:dyDescent="0.35">
      <c r="A1863">
        <v>0.27838310599327099</v>
      </c>
      <c r="B1863">
        <v>14.4981641059588</v>
      </c>
      <c r="C1863">
        <v>-6.0075789690017999E-2</v>
      </c>
      <c r="D1863">
        <v>6.54611409154497</v>
      </c>
    </row>
    <row r="1864" spans="1:4" x14ac:dyDescent="0.35">
      <c r="A1864">
        <v>0.27892568707466098</v>
      </c>
      <c r="B1864">
        <v>14.4930436753548</v>
      </c>
      <c r="C1864">
        <v>-6.0306865721941001E-2</v>
      </c>
      <c r="D1864">
        <v>6.5064512751925196</v>
      </c>
    </row>
    <row r="1865" spans="1:4" x14ac:dyDescent="0.35">
      <c r="A1865">
        <v>0.27941560745239302</v>
      </c>
      <c r="B1865">
        <v>14.5176905618015</v>
      </c>
      <c r="C1865">
        <v>-6.2149453908204998E-2</v>
      </c>
      <c r="D1865">
        <v>6.4936723573124002</v>
      </c>
    </row>
    <row r="1866" spans="1:4" x14ac:dyDescent="0.35">
      <c r="A1866">
        <v>0.27982905507087702</v>
      </c>
      <c r="B1866">
        <v>14.516646662304201</v>
      </c>
      <c r="C1866">
        <v>-6.2788136303425002E-2</v>
      </c>
      <c r="D1866">
        <v>6.4630873681659002</v>
      </c>
    </row>
    <row r="1867" spans="1:4" x14ac:dyDescent="0.35">
      <c r="A1867">
        <v>0.28026810288429299</v>
      </c>
      <c r="B1867">
        <v>14.5000726032151</v>
      </c>
      <c r="C1867">
        <v>-6.4047344028950001E-2</v>
      </c>
      <c r="D1867">
        <v>6.4461429513406596</v>
      </c>
    </row>
    <row r="1868" spans="1:4" x14ac:dyDescent="0.35">
      <c r="A1868">
        <v>0.280942112207413</v>
      </c>
      <c r="B1868">
        <v>14.521354138788301</v>
      </c>
      <c r="C1868">
        <v>-6.4983844757079995E-2</v>
      </c>
      <c r="D1868">
        <v>6.2613339213204497</v>
      </c>
    </row>
    <row r="1869" spans="1:4" x14ac:dyDescent="0.35">
      <c r="A1869">
        <v>0.28142654895782498</v>
      </c>
      <c r="B1869">
        <v>14.557736072512499</v>
      </c>
      <c r="C1869">
        <v>-6.5145298838615001E-2</v>
      </c>
      <c r="D1869">
        <v>6.2412505836167496</v>
      </c>
    </row>
    <row r="1870" spans="1:4" x14ac:dyDescent="0.35">
      <c r="A1870">
        <v>0.281904727220535</v>
      </c>
      <c r="B1870">
        <v>14.5366270121055</v>
      </c>
      <c r="C1870">
        <v>-6.7435562610625999E-2</v>
      </c>
      <c r="D1870">
        <v>6.2500893846368104</v>
      </c>
    </row>
    <row r="1871" spans="1:4" x14ac:dyDescent="0.35">
      <c r="A1871">
        <v>0.28246033191680903</v>
      </c>
      <c r="B1871">
        <v>14.528167031535</v>
      </c>
      <c r="C1871">
        <v>-6.7765548825264005E-2</v>
      </c>
      <c r="D1871">
        <v>6.3339314129705198</v>
      </c>
    </row>
    <row r="1872" spans="1:4" x14ac:dyDescent="0.35">
      <c r="A1872">
        <v>0.28285270929336498</v>
      </c>
      <c r="B1872">
        <v>14.514352462441201</v>
      </c>
      <c r="C1872">
        <v>-6.8862445652485005E-2</v>
      </c>
      <c r="D1872">
        <v>6.3168698831252703</v>
      </c>
    </row>
    <row r="1873" spans="1:4" x14ac:dyDescent="0.35">
      <c r="A1873">
        <v>0.28330838680267301</v>
      </c>
      <c r="B1873">
        <v>14.548956016425199</v>
      </c>
      <c r="C1873">
        <v>-7.0211604237556E-2</v>
      </c>
      <c r="D1873">
        <v>6.2870578032244397</v>
      </c>
    </row>
    <row r="1874" spans="1:4" x14ac:dyDescent="0.35">
      <c r="A1874">
        <v>0.28388401865959201</v>
      </c>
      <c r="B1874">
        <v>14.553330514275901</v>
      </c>
      <c r="C1874">
        <v>-7.0094071328639998E-2</v>
      </c>
      <c r="D1874">
        <v>6.1979658789096899</v>
      </c>
    </row>
    <row r="1875" spans="1:4" x14ac:dyDescent="0.35">
      <c r="A1875">
        <v>0.28442040085792503</v>
      </c>
      <c r="B1875">
        <v>14.5554413623674</v>
      </c>
      <c r="C1875">
        <v>-7.2078064084052998E-2</v>
      </c>
      <c r="D1875">
        <v>6.11998895395452</v>
      </c>
    </row>
    <row r="1876" spans="1:4" x14ac:dyDescent="0.35">
      <c r="A1876">
        <v>0.28471219539642301</v>
      </c>
      <c r="B1876">
        <v>14.561991403559199</v>
      </c>
      <c r="C1876">
        <v>-7.2532907128334004E-2</v>
      </c>
      <c r="D1876">
        <v>6.1993115774193797</v>
      </c>
    </row>
    <row r="1877" spans="1:4" x14ac:dyDescent="0.35">
      <c r="A1877">
        <v>0.28535360097885099</v>
      </c>
      <c r="B1877">
        <v>14.579275995153299</v>
      </c>
      <c r="C1877">
        <v>-7.4028678238392001E-2</v>
      </c>
      <c r="D1877">
        <v>6.1421993506600003</v>
      </c>
    </row>
    <row r="1878" spans="1:4" x14ac:dyDescent="0.35">
      <c r="A1878">
        <v>0.28576907515525801</v>
      </c>
      <c r="B1878">
        <v>14.592044290046401</v>
      </c>
      <c r="C1878">
        <v>-7.4793532490729994E-2</v>
      </c>
      <c r="D1878">
        <v>6.1752736766127603</v>
      </c>
    </row>
    <row r="1879" spans="1:4" x14ac:dyDescent="0.35">
      <c r="A1879">
        <v>0.28620833158492998</v>
      </c>
      <c r="B1879">
        <v>14.588732502394301</v>
      </c>
      <c r="C1879">
        <v>-7.5424723327160006E-2</v>
      </c>
      <c r="D1879">
        <v>6.1073507325685599</v>
      </c>
    </row>
    <row r="1880" spans="1:4" x14ac:dyDescent="0.35">
      <c r="A1880">
        <v>0.286859780550003</v>
      </c>
      <c r="B1880">
        <v>14.5795662367587</v>
      </c>
      <c r="C1880">
        <v>-7.7153891324997004E-2</v>
      </c>
      <c r="D1880">
        <v>6.1555235847976402</v>
      </c>
    </row>
    <row r="1881" spans="1:4" x14ac:dyDescent="0.35">
      <c r="A1881">
        <v>0.28748854994773898</v>
      </c>
      <c r="B1881">
        <v>14.6164629588758</v>
      </c>
      <c r="C1881">
        <v>-7.7395744621753998E-2</v>
      </c>
      <c r="D1881">
        <v>6.1269181060356699</v>
      </c>
    </row>
    <row r="1882" spans="1:4" x14ac:dyDescent="0.35">
      <c r="A1882">
        <v>0.28792330622673001</v>
      </c>
      <c r="B1882">
        <v>14.612986187711201</v>
      </c>
      <c r="C1882">
        <v>-7.9836033284664001E-2</v>
      </c>
      <c r="D1882">
        <v>6.0949890200469099</v>
      </c>
    </row>
    <row r="1883" spans="1:4" x14ac:dyDescent="0.35">
      <c r="A1883">
        <v>0.288525551557541</v>
      </c>
      <c r="B1883">
        <v>14.598089726780101</v>
      </c>
      <c r="C1883">
        <v>-7.9072915017604994E-2</v>
      </c>
      <c r="D1883">
        <v>6.1115547258234004</v>
      </c>
    </row>
    <row r="1884" spans="1:4" x14ac:dyDescent="0.35">
      <c r="A1884">
        <v>0.28883817791938798</v>
      </c>
      <c r="B1884">
        <v>14.6008167707501</v>
      </c>
      <c r="C1884">
        <v>-8.0924056470393996E-2</v>
      </c>
      <c r="D1884">
        <v>6.0359774493043803</v>
      </c>
    </row>
    <row r="1885" spans="1:4" x14ac:dyDescent="0.35">
      <c r="A1885">
        <v>0.28937163949012801</v>
      </c>
      <c r="B1885">
        <v>14.619135132941199</v>
      </c>
      <c r="C1885">
        <v>-8.1604652106762002E-2</v>
      </c>
      <c r="D1885">
        <v>5.9885157320479303</v>
      </c>
    </row>
    <row r="1886" spans="1:4" x14ac:dyDescent="0.35">
      <c r="A1886">
        <v>0.28993543982505798</v>
      </c>
      <c r="B1886">
        <v>14.635251519215</v>
      </c>
      <c r="C1886">
        <v>-8.3210147917270993E-2</v>
      </c>
      <c r="D1886">
        <v>5.9613708466998103</v>
      </c>
    </row>
    <row r="1887" spans="1:4" x14ac:dyDescent="0.35">
      <c r="A1887">
        <v>0.29034811258316001</v>
      </c>
      <c r="B1887">
        <v>14.639910194859301</v>
      </c>
      <c r="C1887">
        <v>-8.3809554576874001E-2</v>
      </c>
      <c r="D1887">
        <v>5.84459644539153</v>
      </c>
    </row>
    <row r="1888" spans="1:4" x14ac:dyDescent="0.35">
      <c r="A1888">
        <v>0.29094582796096802</v>
      </c>
      <c r="B1888">
        <v>14.637773881226201</v>
      </c>
      <c r="C1888">
        <v>-8.4404639899731002E-2</v>
      </c>
      <c r="D1888">
        <v>5.8252069773499002</v>
      </c>
    </row>
    <row r="1889" spans="1:4" x14ac:dyDescent="0.35">
      <c r="A1889">
        <v>0.29156616330146801</v>
      </c>
      <c r="B1889">
        <v>14.657386075426601</v>
      </c>
      <c r="C1889">
        <v>-8.6393684148787994E-2</v>
      </c>
      <c r="D1889">
        <v>5.94124400191577</v>
      </c>
    </row>
    <row r="1890" spans="1:4" x14ac:dyDescent="0.35">
      <c r="A1890">
        <v>0.29181426763534501</v>
      </c>
      <c r="B1890">
        <v>14.642797859932699</v>
      </c>
      <c r="C1890">
        <v>-8.6106486618518996E-2</v>
      </c>
      <c r="D1890">
        <v>5.8321013672149</v>
      </c>
    </row>
    <row r="1891" spans="1:4" x14ac:dyDescent="0.35">
      <c r="A1891">
        <v>0.292361080646515</v>
      </c>
      <c r="B1891">
        <v>14.6640546865854</v>
      </c>
      <c r="C1891">
        <v>-8.8171631097793995E-2</v>
      </c>
      <c r="D1891">
        <v>5.7987374615500302</v>
      </c>
    </row>
    <row r="1892" spans="1:4" x14ac:dyDescent="0.35">
      <c r="A1892">
        <v>0.29310712218284601</v>
      </c>
      <c r="B1892">
        <v>14.6667978902674</v>
      </c>
      <c r="C1892">
        <v>-8.8381752371787997E-2</v>
      </c>
      <c r="D1892">
        <v>5.8616043259527801</v>
      </c>
    </row>
    <row r="1893" spans="1:4" x14ac:dyDescent="0.35">
      <c r="A1893">
        <v>0.29340648651123002</v>
      </c>
      <c r="B1893">
        <v>14.6649347090001</v>
      </c>
      <c r="C1893">
        <v>-9.0052492916584001E-2</v>
      </c>
      <c r="D1893">
        <v>5.8520533886588098</v>
      </c>
    </row>
    <row r="1894" spans="1:4" x14ac:dyDescent="0.35">
      <c r="A1894">
        <v>0.29392370581626898</v>
      </c>
      <c r="B1894">
        <v>14.683556351763499</v>
      </c>
      <c r="C1894">
        <v>-9.0998739004134993E-2</v>
      </c>
      <c r="D1894">
        <v>5.8027783921219402</v>
      </c>
    </row>
    <row r="1895" spans="1:4" x14ac:dyDescent="0.35">
      <c r="A1895">
        <v>0.29447281360626198</v>
      </c>
      <c r="B1895">
        <v>14.679047433393</v>
      </c>
      <c r="C1895">
        <v>-9.1166503727435996E-2</v>
      </c>
      <c r="D1895">
        <v>5.8003250521644301</v>
      </c>
    </row>
    <row r="1896" spans="1:4" x14ac:dyDescent="0.35">
      <c r="A1896">
        <v>0.29484629631042503</v>
      </c>
      <c r="B1896">
        <v>14.652493446102399</v>
      </c>
      <c r="C1896">
        <v>-9.3169197440146997E-2</v>
      </c>
      <c r="D1896">
        <v>5.7649382497684796</v>
      </c>
    </row>
    <row r="1897" spans="1:4" x14ac:dyDescent="0.35">
      <c r="A1897">
        <v>0.29529026150703402</v>
      </c>
      <c r="B1897">
        <v>14.6991072708028</v>
      </c>
      <c r="C1897">
        <v>-9.3448296189308E-2</v>
      </c>
      <c r="D1897">
        <v>5.7147823653594001</v>
      </c>
    </row>
    <row r="1898" spans="1:4" x14ac:dyDescent="0.35">
      <c r="A1898">
        <v>0.29607352614402799</v>
      </c>
      <c r="B1898">
        <v>14.6540922163961</v>
      </c>
      <c r="C1898">
        <v>-9.5523178577422999E-2</v>
      </c>
      <c r="D1898">
        <v>5.7009335578088702</v>
      </c>
    </row>
    <row r="1899" spans="1:4" x14ac:dyDescent="0.35">
      <c r="A1899">
        <v>0.296400487422943</v>
      </c>
      <c r="B1899">
        <v>14.666015098903401</v>
      </c>
      <c r="C1899">
        <v>-9.5588289201260002E-2</v>
      </c>
      <c r="D1899">
        <v>5.6444098084716599</v>
      </c>
    </row>
    <row r="1900" spans="1:4" x14ac:dyDescent="0.35">
      <c r="A1900">
        <v>0.29693141579628002</v>
      </c>
      <c r="B1900">
        <v>14.687084147812801</v>
      </c>
      <c r="C1900">
        <v>-9.6506558358669003E-2</v>
      </c>
      <c r="D1900">
        <v>5.5844095551503896</v>
      </c>
    </row>
    <row r="1901" spans="1:4" x14ac:dyDescent="0.35">
      <c r="A1901">
        <v>0.29749104380607599</v>
      </c>
      <c r="B1901">
        <v>14.7129698595545</v>
      </c>
      <c r="C1901">
        <v>-9.8343908786774001E-2</v>
      </c>
      <c r="D1901">
        <v>5.62547992037012</v>
      </c>
    </row>
    <row r="1902" spans="1:4" x14ac:dyDescent="0.35">
      <c r="A1902">
        <v>0.29778614640235901</v>
      </c>
      <c r="B1902">
        <v>14.736206218097699</v>
      </c>
      <c r="C1902">
        <v>-9.8312921822071006E-2</v>
      </c>
      <c r="D1902">
        <v>5.6197601443732603</v>
      </c>
    </row>
    <row r="1903" spans="1:4" x14ac:dyDescent="0.35">
      <c r="A1903">
        <v>0.29832661151885997</v>
      </c>
      <c r="B1903">
        <v>14.755360641064801</v>
      </c>
      <c r="C1903">
        <v>-0.100702121853828</v>
      </c>
      <c r="D1903">
        <v>5.5876591917240397</v>
      </c>
    </row>
    <row r="1904" spans="1:4" x14ac:dyDescent="0.35">
      <c r="A1904">
        <v>0.298948705196381</v>
      </c>
      <c r="B1904">
        <v>14.7632330056143</v>
      </c>
      <c r="C1904">
        <v>-0.100182212889194</v>
      </c>
      <c r="D1904">
        <v>5.59767932960641</v>
      </c>
    </row>
    <row r="1905" spans="1:4" x14ac:dyDescent="0.35">
      <c r="A1905">
        <v>0.29934012889862099</v>
      </c>
      <c r="B1905">
        <v>14.753789399701001</v>
      </c>
      <c r="C1905">
        <v>-0.101954966783524</v>
      </c>
      <c r="D1905">
        <v>5.5800140787614696</v>
      </c>
    </row>
    <row r="1906" spans="1:4" x14ac:dyDescent="0.35">
      <c r="A1906">
        <v>0.30000278353691101</v>
      </c>
      <c r="B1906">
        <v>14.768240992907</v>
      </c>
      <c r="C1906">
        <v>-0.102557525038719</v>
      </c>
      <c r="D1906">
        <v>5.57176730905638</v>
      </c>
    </row>
    <row r="1907" spans="1:4" x14ac:dyDescent="0.35">
      <c r="A1907">
        <v>0.30050188302993802</v>
      </c>
      <c r="B1907">
        <v>14.7614377254188</v>
      </c>
      <c r="C1907">
        <v>-0.103721663355827</v>
      </c>
      <c r="D1907">
        <v>5.5355716133322703</v>
      </c>
    </row>
    <row r="1908" spans="1:4" x14ac:dyDescent="0.35">
      <c r="A1908">
        <v>0.30069184303283703</v>
      </c>
      <c r="B1908">
        <v>14.780673834852999</v>
      </c>
      <c r="C1908">
        <v>-0.105345383286476</v>
      </c>
      <c r="D1908">
        <v>5.4844983809244798</v>
      </c>
    </row>
    <row r="1909" spans="1:4" x14ac:dyDescent="0.35">
      <c r="A1909">
        <v>0.30136701464652998</v>
      </c>
      <c r="B1909">
        <v>14.7714080739834</v>
      </c>
      <c r="C1909">
        <v>-0.10538877546787299</v>
      </c>
      <c r="D1909">
        <v>5.5228731872783596</v>
      </c>
    </row>
    <row r="1910" spans="1:4" x14ac:dyDescent="0.35">
      <c r="A1910">
        <v>0.30202084779739402</v>
      </c>
      <c r="B1910">
        <v>14.817403851077399</v>
      </c>
      <c r="C1910">
        <v>-0.106953598558903</v>
      </c>
      <c r="D1910">
        <v>5.5159107996132999</v>
      </c>
    </row>
    <row r="1911" spans="1:4" x14ac:dyDescent="0.35">
      <c r="A1911">
        <v>0.30240502953529402</v>
      </c>
      <c r="B1911">
        <v>14.8072681880315</v>
      </c>
      <c r="C1911">
        <v>-0.10739278793335</v>
      </c>
      <c r="D1911">
        <v>5.4519772886668401</v>
      </c>
    </row>
    <row r="1912" spans="1:4" x14ac:dyDescent="0.35">
      <c r="A1912">
        <v>0.302956223487854</v>
      </c>
      <c r="B1912">
        <v>14.8314421715541</v>
      </c>
      <c r="C1912">
        <v>-0.108734592795372</v>
      </c>
      <c r="D1912">
        <v>5.4097502984362</v>
      </c>
    </row>
    <row r="1913" spans="1:4" x14ac:dyDescent="0.35">
      <c r="A1913">
        <v>0.303593069314957</v>
      </c>
      <c r="B1913">
        <v>14.810626491233799</v>
      </c>
      <c r="C1913">
        <v>-0.110163658857346</v>
      </c>
      <c r="D1913">
        <v>5.3814699545479501</v>
      </c>
    </row>
    <row r="1914" spans="1:4" x14ac:dyDescent="0.35">
      <c r="A1914">
        <v>0.30372163653373702</v>
      </c>
      <c r="B1914">
        <v>14.7995703316207</v>
      </c>
      <c r="C1914">
        <v>-0.110168427228928</v>
      </c>
      <c r="D1914">
        <v>5.3852707961205803</v>
      </c>
    </row>
    <row r="1915" spans="1:4" x14ac:dyDescent="0.35">
      <c r="A1915">
        <v>0.30439144372940102</v>
      </c>
      <c r="B1915">
        <v>14.7906391743371</v>
      </c>
      <c r="C1915">
        <v>-0.1120370849967</v>
      </c>
      <c r="D1915">
        <v>5.35096739239874</v>
      </c>
    </row>
    <row r="1916" spans="1:4" x14ac:dyDescent="0.35">
      <c r="A1916">
        <v>0.30501368641853299</v>
      </c>
      <c r="B1916">
        <v>14.816097147716899</v>
      </c>
      <c r="C1916">
        <v>-0.112360633909702</v>
      </c>
      <c r="D1916">
        <v>5.4289171333080803</v>
      </c>
    </row>
    <row r="1917" spans="1:4" x14ac:dyDescent="0.35">
      <c r="A1917">
        <v>0.30550283193588301</v>
      </c>
      <c r="B1917">
        <v>14.8069760778599</v>
      </c>
      <c r="C1917">
        <v>-0.114110998809338</v>
      </c>
      <c r="D1917">
        <v>5.4268055703749898</v>
      </c>
    </row>
    <row r="1918" spans="1:4" x14ac:dyDescent="0.35">
      <c r="A1918">
        <v>0.30590358376503002</v>
      </c>
      <c r="B1918">
        <v>14.8258803930842</v>
      </c>
      <c r="C1918">
        <v>-0.11454169452190401</v>
      </c>
      <c r="D1918">
        <v>5.3678557733952497</v>
      </c>
    </row>
    <row r="1919" spans="1:4" x14ac:dyDescent="0.35">
      <c r="A1919">
        <v>0.30632540583610501</v>
      </c>
      <c r="B1919">
        <v>14.834819808457199</v>
      </c>
      <c r="C1919">
        <v>-0.115763895213604</v>
      </c>
      <c r="D1919">
        <v>5.3550178475332197</v>
      </c>
    </row>
    <row r="1920" spans="1:4" x14ac:dyDescent="0.35">
      <c r="A1920">
        <v>0.306777983903885</v>
      </c>
      <c r="B1920">
        <v>14.814411571395</v>
      </c>
      <c r="C1920">
        <v>-0.117170430719852</v>
      </c>
      <c r="D1920">
        <v>5.2899317952850602</v>
      </c>
    </row>
    <row r="1921" spans="1:4" x14ac:dyDescent="0.35">
      <c r="A1921">
        <v>0.30743616819381703</v>
      </c>
      <c r="B1921">
        <v>14.8157056080004</v>
      </c>
      <c r="C1921">
        <v>-0.11762812733650201</v>
      </c>
      <c r="D1921">
        <v>5.2826854808423098</v>
      </c>
    </row>
    <row r="1922" spans="1:4" x14ac:dyDescent="0.35">
      <c r="A1922">
        <v>0.30790492892265298</v>
      </c>
      <c r="B1922">
        <v>14.8246901772815</v>
      </c>
      <c r="C1922">
        <v>-0.11890805512666699</v>
      </c>
      <c r="D1922">
        <v>5.3119445469895696</v>
      </c>
    </row>
    <row r="1923" spans="1:4" x14ac:dyDescent="0.35">
      <c r="A1923">
        <v>0.30834060907363903</v>
      </c>
      <c r="B1923">
        <v>14.8455138548139</v>
      </c>
      <c r="C1923">
        <v>-0.119705811142921</v>
      </c>
      <c r="D1923">
        <v>5.2922642935320603</v>
      </c>
    </row>
    <row r="1924" spans="1:4" x14ac:dyDescent="0.35">
      <c r="A1924">
        <v>0.30902126431465099</v>
      </c>
      <c r="B1924">
        <v>14.861702483100199</v>
      </c>
      <c r="C1924">
        <v>-0.120701886713505</v>
      </c>
      <c r="D1924">
        <v>5.3446142335948901</v>
      </c>
    </row>
    <row r="1925" spans="1:4" x14ac:dyDescent="0.35">
      <c r="A1925">
        <v>0.30934256315231301</v>
      </c>
      <c r="B1925">
        <v>14.8444765070596</v>
      </c>
      <c r="C1925">
        <v>-0.12241517752408999</v>
      </c>
      <c r="D1925">
        <v>5.2786777028121596</v>
      </c>
    </row>
    <row r="1926" spans="1:4" x14ac:dyDescent="0.35">
      <c r="A1926">
        <v>0.30982163548469499</v>
      </c>
      <c r="B1926">
        <v>14.866290544108001</v>
      </c>
      <c r="C1926">
        <v>-0.12213008105754899</v>
      </c>
      <c r="D1926">
        <v>5.1821457172995098</v>
      </c>
    </row>
    <row r="1927" spans="1:4" x14ac:dyDescent="0.35">
      <c r="A1927">
        <v>0.31033360958099399</v>
      </c>
      <c r="B1927">
        <v>14.901716832839501</v>
      </c>
      <c r="C1927">
        <v>-0.124148555099964</v>
      </c>
      <c r="D1927">
        <v>5.1314708509717102</v>
      </c>
    </row>
    <row r="1928" spans="1:4" x14ac:dyDescent="0.35">
      <c r="A1928">
        <v>0.31086698174476601</v>
      </c>
      <c r="B1928">
        <v>14.9021878090381</v>
      </c>
      <c r="C1928">
        <v>-0.12473625689744899</v>
      </c>
      <c r="D1928">
        <v>5.1264244061823403</v>
      </c>
    </row>
    <row r="1929" spans="1:4" x14ac:dyDescent="0.35">
      <c r="A1929">
        <v>0.31137061119079601</v>
      </c>
      <c r="B1929">
        <v>14.9161396666311</v>
      </c>
      <c r="C1929">
        <v>-0.12522511184215501</v>
      </c>
      <c r="D1929">
        <v>5.1086918734100202</v>
      </c>
    </row>
    <row r="1930" spans="1:4" x14ac:dyDescent="0.35">
      <c r="A1930">
        <v>0.31193560361862199</v>
      </c>
      <c r="B1930">
        <v>14.8640227543024</v>
      </c>
      <c r="C1930">
        <v>-0.12746044993400599</v>
      </c>
      <c r="D1930">
        <v>5.0581440348994402</v>
      </c>
    </row>
    <row r="1931" spans="1:4" x14ac:dyDescent="0.35">
      <c r="A1931">
        <v>0.31219238042831399</v>
      </c>
      <c r="B1931">
        <v>14.873231606612</v>
      </c>
      <c r="C1931">
        <v>-0.12722626328468301</v>
      </c>
      <c r="D1931">
        <v>5.0429268546227597</v>
      </c>
    </row>
    <row r="1932" spans="1:4" x14ac:dyDescent="0.35">
      <c r="A1932">
        <v>0.31272211670875499</v>
      </c>
      <c r="B1932">
        <v>14.904261746194001</v>
      </c>
      <c r="C1932">
        <v>-0.12935934960842099</v>
      </c>
      <c r="D1932">
        <v>5.0133635390419897</v>
      </c>
    </row>
    <row r="1933" spans="1:4" x14ac:dyDescent="0.35">
      <c r="A1933">
        <v>0.31330618262290999</v>
      </c>
      <c r="B1933">
        <v>14.9076495117537</v>
      </c>
      <c r="C1933">
        <v>-0.129132330417633</v>
      </c>
      <c r="D1933">
        <v>5.0486661416162697</v>
      </c>
    </row>
    <row r="1934" spans="1:4" x14ac:dyDescent="0.35">
      <c r="A1934">
        <v>0.31380480527877802</v>
      </c>
      <c r="B1934">
        <v>14.9430616187014</v>
      </c>
      <c r="C1934">
        <v>-0.13034576177596999</v>
      </c>
      <c r="D1934">
        <v>5.0410976259750502</v>
      </c>
    </row>
    <row r="1935" spans="1:4" x14ac:dyDescent="0.35">
      <c r="A1935">
        <v>0.31437715888023399</v>
      </c>
      <c r="B1935">
        <v>14.9253649425973</v>
      </c>
      <c r="C1935">
        <v>-0.132077187299728</v>
      </c>
      <c r="D1935">
        <v>4.9960132874386902</v>
      </c>
    </row>
    <row r="1936" spans="1:4" x14ac:dyDescent="0.35">
      <c r="A1936">
        <v>0.31495475769043002</v>
      </c>
      <c r="B1936">
        <v>14.922625749016101</v>
      </c>
      <c r="C1936">
        <v>-0.13238698244094799</v>
      </c>
      <c r="D1936">
        <v>4.9576658309326103</v>
      </c>
    </row>
    <row r="1937" spans="1:4" x14ac:dyDescent="0.35">
      <c r="A1937">
        <v>0.31533744931221003</v>
      </c>
      <c r="B1937">
        <v>14.9532037197866</v>
      </c>
      <c r="C1937">
        <v>-0.13473454117774999</v>
      </c>
      <c r="D1937">
        <v>5.0500715623693004</v>
      </c>
    </row>
    <row r="1938" spans="1:4" x14ac:dyDescent="0.35">
      <c r="A1938">
        <v>0.31571501493454002</v>
      </c>
      <c r="B1938">
        <v>14.941648934724</v>
      </c>
      <c r="C1938">
        <v>-0.13376283645629899</v>
      </c>
      <c r="D1938">
        <v>5.0197091384368404</v>
      </c>
    </row>
    <row r="1939" spans="1:4" x14ac:dyDescent="0.35">
      <c r="A1939">
        <v>0.31632897257804898</v>
      </c>
      <c r="B1939">
        <v>14.978401934641999</v>
      </c>
      <c r="C1939">
        <v>-0.13555882871151001</v>
      </c>
      <c r="D1939">
        <v>4.7964841245208802</v>
      </c>
    </row>
    <row r="1940" spans="1:4" x14ac:dyDescent="0.35">
      <c r="A1940">
        <v>0.31692466139793402</v>
      </c>
      <c r="B1940">
        <v>14.984859158943999</v>
      </c>
      <c r="C1940">
        <v>-0.13697502017021199</v>
      </c>
      <c r="D1940">
        <v>4.8558179402810602</v>
      </c>
    </row>
    <row r="1941" spans="1:4" x14ac:dyDescent="0.35">
      <c r="A1941">
        <v>0.31740182638168302</v>
      </c>
      <c r="B1941">
        <v>14.991485746863701</v>
      </c>
      <c r="C1941">
        <v>-0.137438759207726</v>
      </c>
      <c r="D1941">
        <v>4.8383450237547203</v>
      </c>
    </row>
    <row r="1942" spans="1:4" x14ac:dyDescent="0.35">
      <c r="A1942">
        <v>0.31784376502036998</v>
      </c>
      <c r="B1942">
        <v>14.980880621125801</v>
      </c>
      <c r="C1942">
        <v>-0.13917730748653401</v>
      </c>
      <c r="D1942">
        <v>4.6975901046476602</v>
      </c>
    </row>
    <row r="1943" spans="1:4" x14ac:dyDescent="0.35">
      <c r="A1943">
        <v>0.31840029358863797</v>
      </c>
      <c r="B1943">
        <v>14.9546611222711</v>
      </c>
      <c r="C1943">
        <v>-0.13937400281429299</v>
      </c>
      <c r="D1943">
        <v>4.7292015419495099</v>
      </c>
    </row>
    <row r="1944" spans="1:4" x14ac:dyDescent="0.35">
      <c r="A1944">
        <v>0.31880655884742698</v>
      </c>
      <c r="B1944">
        <v>14.954658564061701</v>
      </c>
      <c r="C1944">
        <v>-0.140768557786942</v>
      </c>
      <c r="D1944">
        <v>4.7368728585380797</v>
      </c>
    </row>
    <row r="1945" spans="1:4" x14ac:dyDescent="0.35">
      <c r="A1945">
        <v>0.31937792897224399</v>
      </c>
      <c r="B1945">
        <v>14.9701930875512</v>
      </c>
      <c r="C1945">
        <v>-0.142403289675713</v>
      </c>
      <c r="D1945">
        <v>4.7520354643828497</v>
      </c>
    </row>
    <row r="1946" spans="1:4" x14ac:dyDescent="0.35">
      <c r="A1946">
        <v>0.31998836994171098</v>
      </c>
      <c r="B1946">
        <v>14.987519543627</v>
      </c>
      <c r="C1946">
        <v>-0.14231897890567799</v>
      </c>
      <c r="D1946">
        <v>4.7756369746185099</v>
      </c>
    </row>
    <row r="1947" spans="1:4" x14ac:dyDescent="0.35">
      <c r="A1947">
        <v>0.32037004828453097</v>
      </c>
      <c r="B1947">
        <v>15.002402204491601</v>
      </c>
      <c r="C1947">
        <v>-0.14393301308155099</v>
      </c>
      <c r="D1947">
        <v>4.6278000375300303</v>
      </c>
    </row>
    <row r="1948" spans="1:4" x14ac:dyDescent="0.35">
      <c r="A1948">
        <v>0.32088017463684099</v>
      </c>
      <c r="B1948">
        <v>14.997461067499501</v>
      </c>
      <c r="C1948">
        <v>-0.144741520285606</v>
      </c>
      <c r="D1948">
        <v>4.6125594899135196</v>
      </c>
    </row>
    <row r="1949" spans="1:4" x14ac:dyDescent="0.35">
      <c r="A1949">
        <v>0.32142055034637501</v>
      </c>
      <c r="B1949">
        <v>14.985356312218901</v>
      </c>
      <c r="C1949">
        <v>-0.14588810503482799</v>
      </c>
      <c r="D1949">
        <v>4.6701605512001203</v>
      </c>
    </row>
    <row r="1950" spans="1:4" x14ac:dyDescent="0.35">
      <c r="A1950">
        <v>0.32185941934585599</v>
      </c>
      <c r="B1950">
        <v>15.004877490127299</v>
      </c>
      <c r="C1950">
        <v>-0.146943628787994</v>
      </c>
      <c r="D1950">
        <v>4.68384007702576</v>
      </c>
    </row>
    <row r="1951" spans="1:4" x14ac:dyDescent="0.35">
      <c r="A1951">
        <v>0.32237699627876298</v>
      </c>
      <c r="B1951">
        <v>15.0228568439037</v>
      </c>
      <c r="C1951">
        <v>-0.14743478596210499</v>
      </c>
      <c r="D1951">
        <v>4.67192299831882</v>
      </c>
    </row>
    <row r="1952" spans="1:4" x14ac:dyDescent="0.35">
      <c r="A1952">
        <v>0.32295051217079201</v>
      </c>
      <c r="B1952">
        <v>15.062641903404799</v>
      </c>
      <c r="C1952">
        <v>-0.149219110608101</v>
      </c>
      <c r="D1952">
        <v>4.6099652584115898</v>
      </c>
    </row>
    <row r="1953" spans="1:4" x14ac:dyDescent="0.35">
      <c r="A1953">
        <v>0.32332375645637501</v>
      </c>
      <c r="B1953">
        <v>15.0659873065366</v>
      </c>
      <c r="C1953">
        <v>-0.14986737072467801</v>
      </c>
      <c r="D1953">
        <v>4.5753717345312701</v>
      </c>
    </row>
    <row r="1954" spans="1:4" x14ac:dyDescent="0.35">
      <c r="A1954">
        <v>0.32395455241203303</v>
      </c>
      <c r="B1954">
        <v>15.0728584542208</v>
      </c>
      <c r="C1954">
        <v>-0.15074138343334201</v>
      </c>
      <c r="D1954">
        <v>4.6126046615836902</v>
      </c>
    </row>
    <row r="1955" spans="1:4" x14ac:dyDescent="0.35">
      <c r="A1955">
        <v>0.32437515258789101</v>
      </c>
      <c r="B1955">
        <v>15.0251406798647</v>
      </c>
      <c r="C1955">
        <v>-0.15170675516128501</v>
      </c>
      <c r="D1955">
        <v>4.5461302675153101</v>
      </c>
    </row>
    <row r="1956" spans="1:4" x14ac:dyDescent="0.35">
      <c r="A1956">
        <v>0.32481965422630299</v>
      </c>
      <c r="B1956">
        <v>15.0104060066217</v>
      </c>
      <c r="C1956">
        <v>-0.15237401425838501</v>
      </c>
      <c r="D1956">
        <v>4.54813235883283</v>
      </c>
    </row>
    <row r="1957" spans="1:4" x14ac:dyDescent="0.35">
      <c r="A1957">
        <v>0.32553493976593001</v>
      </c>
      <c r="B1957">
        <v>15.024793705215201</v>
      </c>
      <c r="C1957">
        <v>-0.15435563027858701</v>
      </c>
      <c r="D1957">
        <v>4.5526174418813996</v>
      </c>
    </row>
    <row r="1958" spans="1:4" x14ac:dyDescent="0.35">
      <c r="A1958">
        <v>0.32592293620109603</v>
      </c>
      <c r="B1958">
        <v>15.031979173553101</v>
      </c>
      <c r="C1958">
        <v>-0.15475560724735299</v>
      </c>
      <c r="D1958">
        <v>4.4921280281164</v>
      </c>
    </row>
    <row r="1959" spans="1:4" x14ac:dyDescent="0.35">
      <c r="A1959">
        <v>0.326277285814285</v>
      </c>
      <c r="B1959">
        <v>15.0582082646609</v>
      </c>
      <c r="C1959">
        <v>-0.15547372400760701</v>
      </c>
      <c r="D1959">
        <v>4.4837438503977802</v>
      </c>
    </row>
    <row r="1960" spans="1:4" x14ac:dyDescent="0.35">
      <c r="A1960">
        <v>0.327018052339554</v>
      </c>
      <c r="B1960">
        <v>15.073231546834601</v>
      </c>
      <c r="C1960">
        <v>-0.15708832442760501</v>
      </c>
      <c r="D1960">
        <v>4.4276845139513696</v>
      </c>
    </row>
    <row r="1961" spans="1:4" x14ac:dyDescent="0.35">
      <c r="A1961">
        <v>0.327470242977142</v>
      </c>
      <c r="B1961">
        <v>15.0849940763818</v>
      </c>
      <c r="C1961">
        <v>-0.15685024857521099</v>
      </c>
      <c r="D1961">
        <v>4.4794297215258396</v>
      </c>
    </row>
    <row r="1962" spans="1:4" x14ac:dyDescent="0.35">
      <c r="A1962">
        <v>0.32781887054443398</v>
      </c>
      <c r="B1962">
        <v>15.0890477842658</v>
      </c>
      <c r="C1962">
        <v>-0.15978918969631201</v>
      </c>
      <c r="D1962">
        <v>4.4387945040487997</v>
      </c>
    </row>
    <row r="1963" spans="1:4" x14ac:dyDescent="0.35">
      <c r="A1963">
        <v>0.32839977741241499</v>
      </c>
      <c r="B1963">
        <v>15.065073785688799</v>
      </c>
      <c r="C1963">
        <v>-0.15940184891223899</v>
      </c>
      <c r="D1963">
        <v>4.4356270645168197</v>
      </c>
    </row>
    <row r="1964" spans="1:4" x14ac:dyDescent="0.35">
      <c r="A1964">
        <v>0.32879060506820701</v>
      </c>
      <c r="B1964">
        <v>15.0665376124022</v>
      </c>
      <c r="C1964">
        <v>-0.160801246762276</v>
      </c>
      <c r="D1964">
        <v>4.4248786142093</v>
      </c>
    </row>
    <row r="1965" spans="1:4" x14ac:dyDescent="0.35">
      <c r="A1965">
        <v>0.32935068011283902</v>
      </c>
      <c r="B1965">
        <v>15.0693169065321</v>
      </c>
      <c r="C1965">
        <v>-0.16199582815170299</v>
      </c>
      <c r="D1965">
        <v>4.3825236287951297</v>
      </c>
    </row>
    <row r="1966" spans="1:4" x14ac:dyDescent="0.35">
      <c r="A1966">
        <v>0.32998570799827598</v>
      </c>
      <c r="B1966">
        <v>15.089480592033199</v>
      </c>
      <c r="C1966">
        <v>-0.16185994446277599</v>
      </c>
      <c r="D1966">
        <v>4.2791419181384498</v>
      </c>
    </row>
    <row r="1967" spans="1:4" x14ac:dyDescent="0.35">
      <c r="A1967">
        <v>0.33019557595253002</v>
      </c>
      <c r="B1967">
        <v>15.116270216723599</v>
      </c>
      <c r="C1967">
        <v>-0.164273336529732</v>
      </c>
      <c r="D1967">
        <v>4.3227192870996101</v>
      </c>
    </row>
    <row r="1968" spans="1:4" x14ac:dyDescent="0.35">
      <c r="A1968">
        <v>0.33072903752326999</v>
      </c>
      <c r="B1968">
        <v>15.1028401739717</v>
      </c>
      <c r="C1968">
        <v>-0.16461817920207999</v>
      </c>
      <c r="D1968">
        <v>4.2880173458083597</v>
      </c>
    </row>
    <row r="1969" spans="1:4" x14ac:dyDescent="0.35">
      <c r="A1969">
        <v>0.33143267035484297</v>
      </c>
      <c r="B1969">
        <v>15.0766182130406</v>
      </c>
      <c r="C1969">
        <v>-0.16560676693916301</v>
      </c>
      <c r="D1969">
        <v>4.2015618160092396</v>
      </c>
    </row>
    <row r="1970" spans="1:4" x14ac:dyDescent="0.35">
      <c r="A1970">
        <v>0.33170506358146701</v>
      </c>
      <c r="B1970">
        <v>15.1195323831951</v>
      </c>
      <c r="C1970">
        <v>-0.16685563325882</v>
      </c>
      <c r="D1970">
        <v>4.2052554582767598</v>
      </c>
    </row>
    <row r="1971" spans="1:4" x14ac:dyDescent="0.35">
      <c r="A1971">
        <v>0.33227461576461798</v>
      </c>
      <c r="B1971">
        <v>15.112505723519201</v>
      </c>
      <c r="C1971">
        <v>-0.16730409860611001</v>
      </c>
      <c r="D1971">
        <v>4.2372709168238503</v>
      </c>
    </row>
    <row r="1972" spans="1:4" x14ac:dyDescent="0.35">
      <c r="A1972">
        <v>0.33291783928871199</v>
      </c>
      <c r="B1972">
        <v>15.112596383166</v>
      </c>
      <c r="C1972">
        <v>-0.16899082064628601</v>
      </c>
      <c r="D1972">
        <v>4.2588354520249299</v>
      </c>
    </row>
    <row r="1973" spans="1:4" x14ac:dyDescent="0.35">
      <c r="A1973">
        <v>0.33321058750152599</v>
      </c>
      <c r="B1973">
        <v>15.1291409348961</v>
      </c>
      <c r="C1973">
        <v>-0.16988247632980299</v>
      </c>
      <c r="D1973">
        <v>4.1977017169263702</v>
      </c>
    </row>
    <row r="1974" spans="1:4" x14ac:dyDescent="0.35">
      <c r="A1974">
        <v>0.33369427919387801</v>
      </c>
      <c r="B1974">
        <v>15.1215372151535</v>
      </c>
      <c r="C1974">
        <v>-0.170245781540871</v>
      </c>
      <c r="D1974">
        <v>4.16730907400484</v>
      </c>
    </row>
    <row r="1975" spans="1:4" x14ac:dyDescent="0.35">
      <c r="A1975">
        <v>0.33442768454551702</v>
      </c>
      <c r="B1975">
        <v>15.1346030101155</v>
      </c>
      <c r="C1975">
        <v>-0.17170961201190901</v>
      </c>
      <c r="D1975">
        <v>4.1479867275613396</v>
      </c>
    </row>
    <row r="1976" spans="1:4" x14ac:dyDescent="0.35">
      <c r="A1976">
        <v>0.33478185534477201</v>
      </c>
      <c r="B1976">
        <v>15.158900821932701</v>
      </c>
      <c r="C1976">
        <v>-0.17234197258949299</v>
      </c>
      <c r="D1976">
        <v>4.1271943030238196</v>
      </c>
    </row>
    <row r="1977" spans="1:4" x14ac:dyDescent="0.35">
      <c r="A1977">
        <v>0.33525887131691001</v>
      </c>
      <c r="B1977">
        <v>15.163783903733799</v>
      </c>
      <c r="C1977">
        <v>-0.173934265971184</v>
      </c>
      <c r="D1977">
        <v>4.1131198652138199</v>
      </c>
    </row>
    <row r="1978" spans="1:4" x14ac:dyDescent="0.35">
      <c r="A1978">
        <v>0.33579635620117199</v>
      </c>
      <c r="B1978">
        <v>15.1871927033422</v>
      </c>
      <c r="C1978">
        <v>-0.17483770847320601</v>
      </c>
      <c r="D1978">
        <v>4.1073347135731204</v>
      </c>
    </row>
    <row r="1979" spans="1:4" x14ac:dyDescent="0.35">
      <c r="A1979">
        <v>0.33630946278572099</v>
      </c>
      <c r="B1979">
        <v>15.1184094416524</v>
      </c>
      <c r="C1979">
        <v>-0.17573450505733501</v>
      </c>
      <c r="D1979">
        <v>4.0540970235515301</v>
      </c>
    </row>
    <row r="1980" spans="1:4" x14ac:dyDescent="0.35">
      <c r="A1980">
        <v>0.33681190013885498</v>
      </c>
      <c r="B1980">
        <v>15.1613887621856</v>
      </c>
      <c r="C1980">
        <v>-0.17684130370616899</v>
      </c>
      <c r="D1980">
        <v>4.03546865471617</v>
      </c>
    </row>
    <row r="1981" spans="1:4" x14ac:dyDescent="0.35">
      <c r="A1981">
        <v>0.33735343813896201</v>
      </c>
      <c r="B1981">
        <v>15.150298351050401</v>
      </c>
      <c r="C1981">
        <v>-0.177552744746208</v>
      </c>
      <c r="D1981">
        <v>4.0365552308433097</v>
      </c>
    </row>
    <row r="1982" spans="1:4" x14ac:dyDescent="0.35">
      <c r="A1982">
        <v>0.337829560041428</v>
      </c>
      <c r="B1982">
        <v>15.1353788457245</v>
      </c>
      <c r="C1982">
        <v>-0.17889365553855899</v>
      </c>
      <c r="D1982">
        <v>4.05031145924558</v>
      </c>
    </row>
    <row r="1983" spans="1:4" x14ac:dyDescent="0.35">
      <c r="A1983">
        <v>0.33822301030159002</v>
      </c>
      <c r="B1983">
        <v>15.1658452588351</v>
      </c>
      <c r="C1983">
        <v>-0.17986004054546401</v>
      </c>
      <c r="D1983">
        <v>4.0209006754468701</v>
      </c>
    </row>
    <row r="1984" spans="1:4" x14ac:dyDescent="0.35">
      <c r="A1984">
        <v>0.33890587091445901</v>
      </c>
      <c r="B1984">
        <v>15.1727689612548</v>
      </c>
      <c r="C1984">
        <v>-0.18050079047679901</v>
      </c>
      <c r="D1984">
        <v>3.9527237745083998</v>
      </c>
    </row>
    <row r="1985" spans="1:4" x14ac:dyDescent="0.35">
      <c r="A1985">
        <v>0.33935427665710399</v>
      </c>
      <c r="B1985">
        <v>15.193902562463199</v>
      </c>
      <c r="C1985">
        <v>-0.182165697216988</v>
      </c>
      <c r="D1985">
        <v>3.9270360357127698</v>
      </c>
    </row>
    <row r="1986" spans="1:4" x14ac:dyDescent="0.35">
      <c r="A1986">
        <v>0.33979964256286599</v>
      </c>
      <c r="B1986">
        <v>15.1960765527813</v>
      </c>
      <c r="C1986">
        <v>-0.18249621987342801</v>
      </c>
      <c r="D1986">
        <v>3.9570246794776498</v>
      </c>
    </row>
    <row r="1987" spans="1:4" x14ac:dyDescent="0.35">
      <c r="A1987">
        <v>0.34034228324890098</v>
      </c>
      <c r="B1987">
        <v>15.2008441640518</v>
      </c>
      <c r="C1987">
        <v>-0.18415720760822299</v>
      </c>
      <c r="D1987">
        <v>3.9336324899071502</v>
      </c>
    </row>
    <row r="1988" spans="1:4" x14ac:dyDescent="0.35">
      <c r="A1988">
        <v>0.34064227342605602</v>
      </c>
      <c r="B1988">
        <v>15.195335393012799</v>
      </c>
      <c r="C1988">
        <v>-0.18473985791206399</v>
      </c>
      <c r="D1988">
        <v>3.9235033782334199</v>
      </c>
    </row>
    <row r="1989" spans="1:4" x14ac:dyDescent="0.35">
      <c r="A1989">
        <v>0.34118500351905801</v>
      </c>
      <c r="B1989">
        <v>15.207919642085299</v>
      </c>
      <c r="C1989">
        <v>-0.18526498973369601</v>
      </c>
      <c r="D1989">
        <v>3.93361210301086</v>
      </c>
    </row>
    <row r="1990" spans="1:4" x14ac:dyDescent="0.35">
      <c r="A1990">
        <v>0.34191727638244601</v>
      </c>
      <c r="B1990">
        <v>15.247390466725101</v>
      </c>
      <c r="C1990">
        <v>-0.187073335051537</v>
      </c>
      <c r="D1990">
        <v>3.9218611312188201</v>
      </c>
    </row>
    <row r="1991" spans="1:4" x14ac:dyDescent="0.35">
      <c r="A1991">
        <v>0.34221044182777399</v>
      </c>
      <c r="B1991">
        <v>15.2438304599302</v>
      </c>
      <c r="C1991">
        <v>-0.18728056550025901</v>
      </c>
      <c r="D1991">
        <v>3.8881705905931199</v>
      </c>
    </row>
    <row r="1992" spans="1:4" x14ac:dyDescent="0.35">
      <c r="A1992">
        <v>0.34279307723045299</v>
      </c>
      <c r="B1992">
        <v>15.2246037895606</v>
      </c>
      <c r="C1992">
        <v>-0.189749389886856</v>
      </c>
      <c r="D1992">
        <v>3.8886935528915201</v>
      </c>
    </row>
    <row r="1993" spans="1:4" x14ac:dyDescent="0.35">
      <c r="A1993">
        <v>0.34320318698883101</v>
      </c>
      <c r="B1993">
        <v>15.2114484317205</v>
      </c>
      <c r="C1993">
        <v>-0.18893969058990501</v>
      </c>
      <c r="D1993">
        <v>3.8344571300883801</v>
      </c>
    </row>
    <row r="1994" spans="1:4" x14ac:dyDescent="0.35">
      <c r="A1994">
        <v>0.34371998906135598</v>
      </c>
      <c r="B1994">
        <v>15.232912086813601</v>
      </c>
      <c r="C1994">
        <v>-0.19081310927867901</v>
      </c>
      <c r="D1994">
        <v>3.8347926901776201</v>
      </c>
    </row>
    <row r="1995" spans="1:4" x14ac:dyDescent="0.35">
      <c r="A1995">
        <v>0.34424152970313998</v>
      </c>
      <c r="B1995">
        <v>15.2719824528525</v>
      </c>
      <c r="C1995">
        <v>-0.191889628767967</v>
      </c>
      <c r="D1995">
        <v>3.8370383732468398</v>
      </c>
    </row>
    <row r="1996" spans="1:4" x14ac:dyDescent="0.35">
      <c r="A1996">
        <v>0.344768106937408</v>
      </c>
      <c r="B1996">
        <v>15.229648268465301</v>
      </c>
      <c r="C1996">
        <v>-0.192616522312164</v>
      </c>
      <c r="D1996">
        <v>3.8242819728178601</v>
      </c>
    </row>
    <row r="1997" spans="1:4" x14ac:dyDescent="0.35">
      <c r="A1997">
        <v>0.345174580812454</v>
      </c>
      <c r="B1997">
        <v>15.2280704296846</v>
      </c>
      <c r="C1997">
        <v>-0.194282397627831</v>
      </c>
      <c r="D1997">
        <v>3.7746963496166499</v>
      </c>
    </row>
    <row r="1998" spans="1:4" x14ac:dyDescent="0.35">
      <c r="A1998">
        <v>0.34583264589309698</v>
      </c>
      <c r="B1998">
        <v>15.2638930481695</v>
      </c>
      <c r="C1998">
        <v>-0.19397968053817699</v>
      </c>
      <c r="D1998">
        <v>3.8028433622578999</v>
      </c>
    </row>
    <row r="1999" spans="1:4" x14ac:dyDescent="0.35">
      <c r="A1999">
        <v>0.346124857664108</v>
      </c>
      <c r="B1999">
        <v>15.247028530341399</v>
      </c>
      <c r="C1999">
        <v>-0.19645671546459201</v>
      </c>
      <c r="D1999">
        <v>3.7431558402567799</v>
      </c>
    </row>
    <row r="2000" spans="1:4" x14ac:dyDescent="0.35">
      <c r="A2000">
        <v>0.34662246704101601</v>
      </c>
      <c r="B2000">
        <v>15.2651739005137</v>
      </c>
      <c r="C2000">
        <v>-0.19645307958126099</v>
      </c>
      <c r="D2000">
        <v>3.7598665000476599</v>
      </c>
    </row>
    <row r="2001" spans="1:4" x14ac:dyDescent="0.35">
      <c r="A2001">
        <v>0.34736996889114402</v>
      </c>
      <c r="B2001">
        <v>15.2428046210406</v>
      </c>
      <c r="C2001">
        <v>-0.19810947775840801</v>
      </c>
      <c r="D2001">
        <v>3.68951542758189</v>
      </c>
    </row>
    <row r="2002" spans="1:4" x14ac:dyDescent="0.35">
      <c r="A2002">
        <v>0.34792634844780002</v>
      </c>
      <c r="B2002">
        <v>15.279126043339</v>
      </c>
      <c r="C2002">
        <v>-0.198858767747879</v>
      </c>
      <c r="D2002">
        <v>3.6786825144651001</v>
      </c>
    </row>
    <row r="2003" spans="1:4" x14ac:dyDescent="0.35">
      <c r="A2003">
        <v>0.34830608963966397</v>
      </c>
      <c r="B2003">
        <v>15.281883740087199</v>
      </c>
      <c r="C2003">
        <v>-0.19924563169479401</v>
      </c>
      <c r="D2003">
        <v>3.6444342848036499</v>
      </c>
    </row>
    <row r="2004" spans="1:4" x14ac:dyDescent="0.35">
      <c r="A2004">
        <v>0.34883093833923301</v>
      </c>
      <c r="B2004">
        <v>15.2555814058256</v>
      </c>
      <c r="C2004">
        <v>-0.20161551237106301</v>
      </c>
      <c r="D2004">
        <v>3.6510409600880398</v>
      </c>
    </row>
    <row r="2005" spans="1:4" x14ac:dyDescent="0.35">
      <c r="A2005">
        <v>0.349283337593079</v>
      </c>
      <c r="B2005">
        <v>15.2702084460112</v>
      </c>
      <c r="C2005">
        <v>-0.201160073280334</v>
      </c>
      <c r="D2005">
        <v>3.5999020319284099</v>
      </c>
    </row>
    <row r="2006" spans="1:4" x14ac:dyDescent="0.35">
      <c r="A2006">
        <v>0.34973183274269098</v>
      </c>
      <c r="B2006">
        <v>15.2740207351646</v>
      </c>
      <c r="C2006">
        <v>-0.20318552851676899</v>
      </c>
      <c r="D2006">
        <v>3.6184718740200301</v>
      </c>
    </row>
    <row r="2007" spans="1:4" x14ac:dyDescent="0.35">
      <c r="A2007">
        <v>0.35027268528938299</v>
      </c>
      <c r="B2007">
        <v>15.292228220291401</v>
      </c>
      <c r="C2007">
        <v>-0.20373898744583099</v>
      </c>
      <c r="D2007">
        <v>3.6025581722508102</v>
      </c>
    </row>
    <row r="2008" spans="1:4" x14ac:dyDescent="0.35">
      <c r="A2008">
        <v>0.35083436965942399</v>
      </c>
      <c r="B2008">
        <v>15.2800915902714</v>
      </c>
      <c r="C2008">
        <v>-0.20451264083385501</v>
      </c>
      <c r="D2008">
        <v>3.5969285328281102</v>
      </c>
    </row>
    <row r="2009" spans="1:4" x14ac:dyDescent="0.35">
      <c r="A2009">
        <v>0.351311504840851</v>
      </c>
      <c r="B2009">
        <v>15.2977075023284</v>
      </c>
      <c r="C2009">
        <v>-0.20636484026908899</v>
      </c>
      <c r="D2009">
        <v>3.5831665155081498</v>
      </c>
    </row>
    <row r="2010" spans="1:4" x14ac:dyDescent="0.35">
      <c r="A2010">
        <v>0.351878792047501</v>
      </c>
      <c r="B2010">
        <v>15.3052954659808</v>
      </c>
      <c r="C2010">
        <v>-0.206139951944351</v>
      </c>
      <c r="D2010">
        <v>3.5471025476859599</v>
      </c>
    </row>
    <row r="2011" spans="1:4" x14ac:dyDescent="0.35">
      <c r="A2011">
        <v>0.352326780557632</v>
      </c>
      <c r="B2011">
        <v>15.306943530489599</v>
      </c>
      <c r="C2011">
        <v>-0.20825628936290699</v>
      </c>
      <c r="D2011">
        <v>3.56027385426684</v>
      </c>
    </row>
    <row r="2012" spans="1:4" x14ac:dyDescent="0.35">
      <c r="A2012">
        <v>0.35271090269088701</v>
      </c>
      <c r="B2012">
        <v>15.284862417156299</v>
      </c>
      <c r="C2012">
        <v>-0.20923216640949199</v>
      </c>
      <c r="D2012">
        <v>3.50733357343938</v>
      </c>
    </row>
    <row r="2013" spans="1:4" x14ac:dyDescent="0.35">
      <c r="A2013">
        <v>0.35347941517829901</v>
      </c>
      <c r="B2013">
        <v>15.3102764833985</v>
      </c>
      <c r="C2013">
        <v>-0.20922379195690199</v>
      </c>
      <c r="D2013">
        <v>3.4852719557706799</v>
      </c>
    </row>
    <row r="2014" spans="1:4" x14ac:dyDescent="0.35">
      <c r="A2014">
        <v>0.35376989841461198</v>
      </c>
      <c r="B2014">
        <v>15.331457566268</v>
      </c>
      <c r="C2014">
        <v>-0.21120995283126801</v>
      </c>
      <c r="D2014">
        <v>3.45718238594608</v>
      </c>
    </row>
    <row r="2015" spans="1:4" x14ac:dyDescent="0.35">
      <c r="A2015">
        <v>0.354266107082367</v>
      </c>
      <c r="B2015">
        <v>15.3265581854914</v>
      </c>
      <c r="C2015">
        <v>-0.21110782027244601</v>
      </c>
      <c r="D2015">
        <v>3.4606347713282801</v>
      </c>
    </row>
    <row r="2016" spans="1:4" x14ac:dyDescent="0.35">
      <c r="A2016">
        <v>0.35483410954475397</v>
      </c>
      <c r="B2016">
        <v>15.3406417543543</v>
      </c>
      <c r="C2016">
        <v>-0.21369199454784399</v>
      </c>
      <c r="D2016">
        <v>3.4553254017603998</v>
      </c>
    </row>
    <row r="2017" spans="1:4" x14ac:dyDescent="0.35">
      <c r="A2017">
        <v>0.35522860288620001</v>
      </c>
      <c r="B2017">
        <v>15.335059470589799</v>
      </c>
      <c r="C2017">
        <v>-0.21360035240650199</v>
      </c>
      <c r="D2017">
        <v>3.39774999665828</v>
      </c>
    </row>
    <row r="2018" spans="1:4" x14ac:dyDescent="0.35">
      <c r="A2018">
        <v>0.35545885562896701</v>
      </c>
      <c r="B2018">
        <v>15.306187228153499</v>
      </c>
      <c r="C2018">
        <v>-0.214502453804016</v>
      </c>
      <c r="D2018">
        <v>3.3518721387611601</v>
      </c>
    </row>
    <row r="2019" spans="1:4" x14ac:dyDescent="0.35">
      <c r="A2019">
        <v>0.35635340213775601</v>
      </c>
      <c r="B2019">
        <v>15.3192855911939</v>
      </c>
      <c r="C2019">
        <v>-0.21595264971256301</v>
      </c>
      <c r="D2019">
        <v>3.3669676183311701</v>
      </c>
    </row>
    <row r="2020" spans="1:4" x14ac:dyDescent="0.35">
      <c r="A2020">
        <v>0.35679450631141701</v>
      </c>
      <c r="B2020">
        <v>15.351248843020899</v>
      </c>
      <c r="C2020">
        <v>-0.21637906134128601</v>
      </c>
      <c r="D2020">
        <v>3.3769859199564398</v>
      </c>
    </row>
    <row r="2021" spans="1:4" x14ac:dyDescent="0.35">
      <c r="A2021">
        <v>0.35708189010620101</v>
      </c>
      <c r="B2021">
        <v>15.3666242570738</v>
      </c>
      <c r="C2021">
        <v>-0.21873304247856101</v>
      </c>
      <c r="D2021">
        <v>3.34610218994978</v>
      </c>
    </row>
    <row r="2022" spans="1:4" x14ac:dyDescent="0.35">
      <c r="A2022">
        <v>0.35783427953720098</v>
      </c>
      <c r="B2022">
        <v>15.3270524481887</v>
      </c>
      <c r="C2022">
        <v>-0.21846029162406899</v>
      </c>
      <c r="D2022">
        <v>3.3739647489646001</v>
      </c>
    </row>
    <row r="2023" spans="1:4" x14ac:dyDescent="0.35">
      <c r="A2023">
        <v>0.35827624797821001</v>
      </c>
      <c r="B2023">
        <v>15.3419412350421</v>
      </c>
      <c r="C2023">
        <v>-0.21985645592212699</v>
      </c>
      <c r="D2023">
        <v>3.2926066509054501</v>
      </c>
    </row>
    <row r="2024" spans="1:4" x14ac:dyDescent="0.35">
      <c r="A2024">
        <v>0.35864770412445102</v>
      </c>
      <c r="B2024">
        <v>15.3606644169717</v>
      </c>
      <c r="C2024">
        <v>-0.22087393701076499</v>
      </c>
      <c r="D2024">
        <v>3.3149250988743701</v>
      </c>
    </row>
    <row r="2025" spans="1:4" x14ac:dyDescent="0.35">
      <c r="A2025">
        <v>0.35925182700157199</v>
      </c>
      <c r="B2025">
        <v>15.340158691462699</v>
      </c>
      <c r="C2025">
        <v>-0.22145727276802099</v>
      </c>
      <c r="D2025">
        <v>3.2426747893934502</v>
      </c>
    </row>
    <row r="2026" spans="1:4" x14ac:dyDescent="0.35">
      <c r="A2026">
        <v>0.35981675982475297</v>
      </c>
      <c r="B2026">
        <v>15.345120065712599</v>
      </c>
      <c r="C2026">
        <v>-0.22331477701663999</v>
      </c>
      <c r="D2026">
        <v>3.2637829150449802</v>
      </c>
    </row>
    <row r="2027" spans="1:4" x14ac:dyDescent="0.35">
      <c r="A2027">
        <v>0.36005899310112</v>
      </c>
      <c r="B2027">
        <v>15.337449972533699</v>
      </c>
      <c r="C2027">
        <v>-0.22343464195728299</v>
      </c>
      <c r="D2027">
        <v>3.26941076843221</v>
      </c>
    </row>
    <row r="2028" spans="1:4" x14ac:dyDescent="0.35">
      <c r="A2028">
        <v>0.36080169677734403</v>
      </c>
      <c r="B2028">
        <v>15.3547215539921</v>
      </c>
      <c r="C2028">
        <v>-0.225146800279617</v>
      </c>
      <c r="D2028">
        <v>3.24392067635385</v>
      </c>
    </row>
    <row r="2029" spans="1:4" x14ac:dyDescent="0.35">
      <c r="A2029">
        <v>0.36122465133666998</v>
      </c>
      <c r="B2029">
        <v>15.3664166429002</v>
      </c>
      <c r="C2029">
        <v>-0.22570057213306399</v>
      </c>
      <c r="D2029">
        <v>3.25084500306555</v>
      </c>
    </row>
    <row r="2030" spans="1:4" x14ac:dyDescent="0.35">
      <c r="A2030">
        <v>0.36170005798339799</v>
      </c>
      <c r="B2030">
        <v>15.3707818296756</v>
      </c>
      <c r="C2030">
        <v>-0.22664259374141699</v>
      </c>
      <c r="D2030">
        <v>3.1815229804456502</v>
      </c>
    </row>
    <row r="2031" spans="1:4" x14ac:dyDescent="0.35">
      <c r="A2031">
        <v>0.362315833568573</v>
      </c>
      <c r="B2031">
        <v>15.3783961724544</v>
      </c>
      <c r="C2031">
        <v>-0.22794528305530501</v>
      </c>
      <c r="D2031">
        <v>3.1404248543211102</v>
      </c>
    </row>
    <row r="2032" spans="1:4" x14ac:dyDescent="0.35">
      <c r="A2032">
        <v>0.36285653710365301</v>
      </c>
      <c r="B2032">
        <v>15.3500091450419</v>
      </c>
      <c r="C2032">
        <v>-0.22846934199333199</v>
      </c>
      <c r="D2032">
        <v>3.16614567714733</v>
      </c>
    </row>
    <row r="2033" spans="1:4" x14ac:dyDescent="0.35">
      <c r="A2033">
        <v>0.36319997906684898</v>
      </c>
      <c r="B2033">
        <v>15.379789924447</v>
      </c>
      <c r="C2033">
        <v>-0.22985793650150299</v>
      </c>
      <c r="D2033">
        <v>3.1646653356121202</v>
      </c>
    </row>
    <row r="2034" spans="1:4" x14ac:dyDescent="0.35">
      <c r="A2034">
        <v>0.363840192556381</v>
      </c>
      <c r="B2034">
        <v>15.386236943999499</v>
      </c>
      <c r="C2034">
        <v>-0.231029734015465</v>
      </c>
      <c r="D2034">
        <v>3.0967687205375301</v>
      </c>
    </row>
    <row r="2035" spans="1:4" x14ac:dyDescent="0.35">
      <c r="A2035">
        <v>0.36430999636650102</v>
      </c>
      <c r="B2035">
        <v>15.378066645096601</v>
      </c>
      <c r="C2035">
        <v>-0.23138551414012901</v>
      </c>
      <c r="D2035">
        <v>3.0836766749235598</v>
      </c>
    </row>
    <row r="2036" spans="1:4" x14ac:dyDescent="0.35">
      <c r="A2036">
        <v>0.36471059918403598</v>
      </c>
      <c r="B2036">
        <v>15.378640071577101</v>
      </c>
      <c r="C2036">
        <v>-0.233524650335312</v>
      </c>
      <c r="D2036">
        <v>3.09261619080005</v>
      </c>
    </row>
    <row r="2037" spans="1:4" x14ac:dyDescent="0.35">
      <c r="A2037">
        <v>0.36526933312416099</v>
      </c>
      <c r="B2037">
        <v>15.3667913230979</v>
      </c>
      <c r="C2037">
        <v>-0.23344033956527699</v>
      </c>
      <c r="D2037">
        <v>3.0661239541021201</v>
      </c>
    </row>
    <row r="2038" spans="1:4" x14ac:dyDescent="0.35">
      <c r="A2038">
        <v>0.36591371893882801</v>
      </c>
      <c r="B2038">
        <v>15.3888059751532</v>
      </c>
      <c r="C2038">
        <v>-0.23507933318615001</v>
      </c>
      <c r="D2038">
        <v>3.0618557533408999</v>
      </c>
    </row>
    <row r="2039" spans="1:4" x14ac:dyDescent="0.35">
      <c r="A2039">
        <v>0.36626705527305597</v>
      </c>
      <c r="B2039">
        <v>15.396512709711301</v>
      </c>
      <c r="C2039">
        <v>-0.23641151189804099</v>
      </c>
      <c r="D2039">
        <v>3.0201371638457801</v>
      </c>
    </row>
    <row r="2040" spans="1:4" x14ac:dyDescent="0.35">
      <c r="A2040">
        <v>0.36687877774238598</v>
      </c>
      <c r="B2040">
        <v>15.4049357625747</v>
      </c>
      <c r="C2040">
        <v>-0.23595663905143699</v>
      </c>
      <c r="D2040">
        <v>3.0145627850563699</v>
      </c>
    </row>
    <row r="2041" spans="1:4" x14ac:dyDescent="0.35">
      <c r="A2041">
        <v>0.36733466386795</v>
      </c>
      <c r="B2041">
        <v>15.394853595834601</v>
      </c>
      <c r="C2041">
        <v>-0.23814922571182301</v>
      </c>
      <c r="D2041">
        <v>2.9993161887498099</v>
      </c>
    </row>
    <row r="2042" spans="1:4" x14ac:dyDescent="0.35">
      <c r="A2042">
        <v>0.36766973137855502</v>
      </c>
      <c r="B2042">
        <v>15.4059707023795</v>
      </c>
      <c r="C2042">
        <v>-0.23849734663963301</v>
      </c>
      <c r="D2042">
        <v>2.9806322890311199</v>
      </c>
    </row>
    <row r="2043" spans="1:4" x14ac:dyDescent="0.35">
      <c r="A2043">
        <v>0.36835747957229598</v>
      </c>
      <c r="B2043">
        <v>15.4069831050203</v>
      </c>
      <c r="C2043">
        <v>-0.24041634798049899</v>
      </c>
      <c r="D2043">
        <v>2.9879196091954601</v>
      </c>
    </row>
    <row r="2044" spans="1:4" x14ac:dyDescent="0.35">
      <c r="A2044">
        <v>0.368836790323257</v>
      </c>
      <c r="B2044">
        <v>15.402944601574101</v>
      </c>
      <c r="C2044">
        <v>-0.24090735614299799</v>
      </c>
      <c r="D2044">
        <v>2.94529442633621</v>
      </c>
    </row>
    <row r="2045" spans="1:4" x14ac:dyDescent="0.35">
      <c r="A2045">
        <v>0.36925631761550898</v>
      </c>
      <c r="B2045">
        <v>15.401793445305399</v>
      </c>
      <c r="C2045">
        <v>-0.24120138585567499</v>
      </c>
      <c r="D2045">
        <v>2.9645125571442801</v>
      </c>
    </row>
    <row r="2046" spans="1:4" x14ac:dyDescent="0.35">
      <c r="A2046">
        <v>0.36978444457054099</v>
      </c>
      <c r="B2046">
        <v>15.4101971591714</v>
      </c>
      <c r="C2046">
        <v>-0.243001818656921</v>
      </c>
      <c r="D2046">
        <v>2.9325261793623398</v>
      </c>
    </row>
    <row r="2047" spans="1:4" x14ac:dyDescent="0.35">
      <c r="A2047">
        <v>0.37029236555099498</v>
      </c>
      <c r="B2047">
        <v>15.3766027116564</v>
      </c>
      <c r="C2047">
        <v>-0.243364423513412</v>
      </c>
      <c r="D2047">
        <v>2.9438116022724099</v>
      </c>
    </row>
    <row r="2048" spans="1:4" x14ac:dyDescent="0.35">
      <c r="A2048">
        <v>0.37065279483795199</v>
      </c>
      <c r="B2048">
        <v>15.4024236627476</v>
      </c>
      <c r="C2048">
        <v>-0.245616540312767</v>
      </c>
      <c r="D2048">
        <v>2.9259037476402301</v>
      </c>
    </row>
    <row r="2049" spans="1:4" x14ac:dyDescent="0.35">
      <c r="A2049">
        <v>0.37120720744133001</v>
      </c>
      <c r="B2049">
        <v>15.4027869313952</v>
      </c>
      <c r="C2049">
        <v>-0.245765075087547</v>
      </c>
      <c r="D2049">
        <v>2.8614867333668501</v>
      </c>
    </row>
    <row r="2050" spans="1:4" x14ac:dyDescent="0.35">
      <c r="A2050">
        <v>0.371783286333084</v>
      </c>
      <c r="B2050">
        <v>15.417840444838101</v>
      </c>
      <c r="C2050">
        <v>-0.246367603540421</v>
      </c>
      <c r="D2050">
        <v>2.83652410624072</v>
      </c>
    </row>
    <row r="2051" spans="1:4" x14ac:dyDescent="0.35">
      <c r="A2051">
        <v>0.37229037284851102</v>
      </c>
      <c r="B2051">
        <v>15.417346221543299</v>
      </c>
      <c r="C2051">
        <v>-0.24830172955989799</v>
      </c>
      <c r="D2051">
        <v>2.8144375210868899</v>
      </c>
    </row>
    <row r="2052" spans="1:4" x14ac:dyDescent="0.35">
      <c r="A2052">
        <v>0.372672230005264</v>
      </c>
      <c r="B2052">
        <v>15.3939702977491</v>
      </c>
      <c r="C2052">
        <v>-0.248060688376427</v>
      </c>
      <c r="D2052">
        <v>2.7732799796768299</v>
      </c>
    </row>
    <row r="2053" spans="1:4" x14ac:dyDescent="0.35">
      <c r="A2053">
        <v>0.37316548824310303</v>
      </c>
      <c r="B2053">
        <v>15.396362623744899</v>
      </c>
      <c r="C2053">
        <v>-0.25012606382370001</v>
      </c>
      <c r="D2053">
        <v>2.77587731856209</v>
      </c>
    </row>
    <row r="2054" spans="1:4" x14ac:dyDescent="0.35">
      <c r="A2054">
        <v>0.37363600730896002</v>
      </c>
      <c r="B2054">
        <v>15.424218275919101</v>
      </c>
      <c r="C2054">
        <v>-0.25085490942001298</v>
      </c>
      <c r="D2054">
        <v>2.7584339323708602</v>
      </c>
    </row>
    <row r="2055" spans="1:4" x14ac:dyDescent="0.35">
      <c r="A2055">
        <v>0.37426239252090499</v>
      </c>
      <c r="B2055">
        <v>15.430812850914601</v>
      </c>
      <c r="C2055">
        <v>-0.251546591520309</v>
      </c>
      <c r="D2055">
        <v>2.7437624969486998</v>
      </c>
    </row>
    <row r="2056" spans="1:4" x14ac:dyDescent="0.35">
      <c r="A2056">
        <v>0.37476164102554299</v>
      </c>
      <c r="B2056">
        <v>15.433414122727701</v>
      </c>
      <c r="C2056">
        <v>-0.25357252359390298</v>
      </c>
      <c r="D2056">
        <v>2.7427151796409599</v>
      </c>
    </row>
    <row r="2057" spans="1:4" x14ac:dyDescent="0.35">
      <c r="A2057">
        <v>0.375324696302414</v>
      </c>
      <c r="B2057">
        <v>15.4112091357024</v>
      </c>
      <c r="C2057">
        <v>-0.25353562831878701</v>
      </c>
      <c r="D2057">
        <v>2.7114482935050601</v>
      </c>
    </row>
    <row r="2058" spans="1:4" x14ac:dyDescent="0.35">
      <c r="A2058">
        <v>0.37578606605529802</v>
      </c>
      <c r="B2058">
        <v>15.427539133556699</v>
      </c>
      <c r="C2058">
        <v>-0.25519272685050998</v>
      </c>
      <c r="D2058">
        <v>2.67412641838916</v>
      </c>
    </row>
    <row r="2059" spans="1:4" x14ac:dyDescent="0.35">
      <c r="A2059">
        <v>0.37625905871391302</v>
      </c>
      <c r="B2059">
        <v>15.4355747065208</v>
      </c>
      <c r="C2059">
        <v>-0.25571402907371499</v>
      </c>
      <c r="D2059">
        <v>2.7023497034643</v>
      </c>
    </row>
    <row r="2060" spans="1:4" x14ac:dyDescent="0.35">
      <c r="A2060">
        <v>0.37677708268165599</v>
      </c>
      <c r="B2060">
        <v>15.415122242479599</v>
      </c>
      <c r="C2060">
        <v>-0.25684648752212502</v>
      </c>
      <c r="D2060">
        <v>2.6492773303387298</v>
      </c>
    </row>
    <row r="2061" spans="1:4" x14ac:dyDescent="0.35">
      <c r="A2061">
        <v>0.37733799219131497</v>
      </c>
      <c r="B2061">
        <v>15.4124553067119</v>
      </c>
      <c r="C2061">
        <v>-0.258049637079239</v>
      </c>
      <c r="D2061">
        <v>2.6626742973865598</v>
      </c>
    </row>
    <row r="2062" spans="1:4" x14ac:dyDescent="0.35">
      <c r="A2062">
        <v>0.377736836671829</v>
      </c>
      <c r="B2062">
        <v>15.417225405520201</v>
      </c>
      <c r="C2062">
        <v>-0.25845256447792098</v>
      </c>
      <c r="D2062">
        <v>2.63944948766712</v>
      </c>
    </row>
    <row r="2063" spans="1:4" x14ac:dyDescent="0.35">
      <c r="A2063">
        <v>0.37824431061744701</v>
      </c>
      <c r="B2063">
        <v>15.4271360690203</v>
      </c>
      <c r="C2063">
        <v>-0.260098427534103</v>
      </c>
      <c r="D2063">
        <v>2.63371660057072</v>
      </c>
    </row>
    <row r="2064" spans="1:4" x14ac:dyDescent="0.35">
      <c r="A2064">
        <v>0.378814667463303</v>
      </c>
      <c r="B2064">
        <v>15.4181219161469</v>
      </c>
      <c r="C2064">
        <v>-0.26102188229560902</v>
      </c>
      <c r="D2064">
        <v>2.5768395921003502</v>
      </c>
    </row>
    <row r="2065" spans="1:4" x14ac:dyDescent="0.35">
      <c r="A2065">
        <v>0.37928244471549999</v>
      </c>
      <c r="B2065">
        <v>15.429556919216999</v>
      </c>
      <c r="C2065">
        <v>-0.26112264394760099</v>
      </c>
      <c r="D2065">
        <v>2.5888825996823699</v>
      </c>
    </row>
    <row r="2066" spans="1:4" x14ac:dyDescent="0.35">
      <c r="A2066">
        <v>0.37978795170784002</v>
      </c>
      <c r="B2066">
        <v>15.446951399510199</v>
      </c>
      <c r="C2066">
        <v>-0.26320067048072798</v>
      </c>
      <c r="D2066">
        <v>2.5965508071550398</v>
      </c>
    </row>
    <row r="2067" spans="1:4" x14ac:dyDescent="0.35">
      <c r="A2067">
        <v>0.38022577762603799</v>
      </c>
      <c r="B2067">
        <v>15.4229106872616</v>
      </c>
      <c r="C2067">
        <v>-0.26310321688652</v>
      </c>
      <c r="D2067">
        <v>2.56029675554195</v>
      </c>
    </row>
    <row r="2068" spans="1:4" x14ac:dyDescent="0.35">
      <c r="A2068">
        <v>0.380910754203796</v>
      </c>
      <c r="B2068">
        <v>15.408004950451</v>
      </c>
      <c r="C2068">
        <v>-0.264938443899155</v>
      </c>
      <c r="D2068">
        <v>2.5367854764763398</v>
      </c>
    </row>
    <row r="2069" spans="1:4" x14ac:dyDescent="0.35">
      <c r="A2069">
        <v>0.38131049275398299</v>
      </c>
      <c r="B2069">
        <v>15.4199913702651</v>
      </c>
      <c r="C2069">
        <v>-0.265957921743393</v>
      </c>
      <c r="D2069">
        <v>2.5341466391037</v>
      </c>
    </row>
    <row r="2070" spans="1:4" x14ac:dyDescent="0.35">
      <c r="A2070">
        <v>0.38176423311233498</v>
      </c>
      <c r="B2070">
        <v>15.4170551240572</v>
      </c>
      <c r="C2070">
        <v>-0.26638224720954901</v>
      </c>
      <c r="D2070">
        <v>2.5285575573735799</v>
      </c>
    </row>
    <row r="2071" spans="1:4" x14ac:dyDescent="0.35">
      <c r="A2071">
        <v>0.38220852613449102</v>
      </c>
      <c r="B2071">
        <v>15.4298596437435</v>
      </c>
      <c r="C2071">
        <v>-0.268742024898529</v>
      </c>
      <c r="D2071">
        <v>2.4933203019057402</v>
      </c>
    </row>
    <row r="2072" spans="1:4" x14ac:dyDescent="0.35">
      <c r="A2072">
        <v>0.38270336389541598</v>
      </c>
      <c r="B2072">
        <v>15.414044299757199</v>
      </c>
      <c r="C2072">
        <v>-0.26786741614341703</v>
      </c>
      <c r="D2072">
        <v>2.49735272151967</v>
      </c>
    </row>
    <row r="2073" spans="1:4" x14ac:dyDescent="0.35">
      <c r="A2073">
        <v>0.38324609398841902</v>
      </c>
      <c r="B2073">
        <v>15.4218991470775</v>
      </c>
      <c r="C2073">
        <v>-0.26986593008041398</v>
      </c>
      <c r="D2073">
        <v>2.4748588361316801</v>
      </c>
    </row>
    <row r="2074" spans="1:4" x14ac:dyDescent="0.35">
      <c r="A2074">
        <v>0.38376352190971402</v>
      </c>
      <c r="B2074">
        <v>15.4295522027034</v>
      </c>
      <c r="C2074">
        <v>-0.27105838060379001</v>
      </c>
      <c r="D2074">
        <v>2.4868033720715799</v>
      </c>
    </row>
    <row r="2075" spans="1:4" x14ac:dyDescent="0.35">
      <c r="A2075">
        <v>0.38420885801315302</v>
      </c>
      <c r="B2075">
        <v>15.401723521722801</v>
      </c>
      <c r="C2075">
        <v>-0.27145639061927801</v>
      </c>
      <c r="D2075">
        <v>2.4140572849012401</v>
      </c>
    </row>
    <row r="2076" spans="1:4" x14ac:dyDescent="0.35">
      <c r="A2076">
        <v>0.384832262992859</v>
      </c>
      <c r="B2076">
        <v>15.401640798112</v>
      </c>
      <c r="C2076">
        <v>-0.27320080995559698</v>
      </c>
      <c r="D2076">
        <v>2.4225701481794699</v>
      </c>
    </row>
    <row r="2077" spans="1:4" x14ac:dyDescent="0.35">
      <c r="A2077">
        <v>0.38515046238899198</v>
      </c>
      <c r="B2077">
        <v>15.4339078181597</v>
      </c>
      <c r="C2077">
        <v>-0.27328187227249101</v>
      </c>
      <c r="D2077">
        <v>2.3903702788531098</v>
      </c>
    </row>
    <row r="2078" spans="1:4" x14ac:dyDescent="0.35">
      <c r="A2078">
        <v>0.385708928108215</v>
      </c>
      <c r="B2078">
        <v>15.411367602819301</v>
      </c>
      <c r="C2078">
        <v>-0.27498769760131803</v>
      </c>
      <c r="D2078">
        <v>2.4063803387251501</v>
      </c>
    </row>
    <row r="2079" spans="1:4" x14ac:dyDescent="0.35">
      <c r="A2079">
        <v>0.386191546916962</v>
      </c>
      <c r="B2079">
        <v>15.4033994113954</v>
      </c>
      <c r="C2079">
        <v>-0.27647602558135997</v>
      </c>
      <c r="D2079">
        <v>2.3744440990567899</v>
      </c>
    </row>
    <row r="2080" spans="1:4" x14ac:dyDescent="0.35">
      <c r="A2080">
        <v>0.38671824336051902</v>
      </c>
      <c r="B2080">
        <v>15.3842677608681</v>
      </c>
      <c r="C2080">
        <v>-0.27618741989135698</v>
      </c>
      <c r="D2080">
        <v>2.3726834910524999</v>
      </c>
    </row>
    <row r="2081" spans="1:4" x14ac:dyDescent="0.35">
      <c r="A2081">
        <v>0.38714763522148099</v>
      </c>
      <c r="B2081">
        <v>15.404442900234001</v>
      </c>
      <c r="C2081">
        <v>-0.27786993980407698</v>
      </c>
      <c r="D2081">
        <v>2.36553420175448</v>
      </c>
    </row>
    <row r="2082" spans="1:4" x14ac:dyDescent="0.35">
      <c r="A2082">
        <v>0.38776913285255399</v>
      </c>
      <c r="B2082">
        <v>15.3950339340397</v>
      </c>
      <c r="C2082">
        <v>-0.27823382616043102</v>
      </c>
      <c r="D2082">
        <v>2.3154297517035798</v>
      </c>
    </row>
    <row r="2083" spans="1:4" x14ac:dyDescent="0.35">
      <c r="A2083">
        <v>0.38824051618576</v>
      </c>
      <c r="B2083">
        <v>15.407287999871199</v>
      </c>
      <c r="C2083">
        <v>-0.27962252497673001</v>
      </c>
      <c r="D2083">
        <v>2.3194380870298299</v>
      </c>
    </row>
    <row r="2084" spans="1:4" x14ac:dyDescent="0.35">
      <c r="A2084">
        <v>0.38876301050186202</v>
      </c>
      <c r="B2084">
        <v>15.3921576342123</v>
      </c>
      <c r="C2084">
        <v>-0.28093680739402799</v>
      </c>
      <c r="D2084">
        <v>2.3009936533208299</v>
      </c>
    </row>
    <row r="2085" spans="1:4" x14ac:dyDescent="0.35">
      <c r="A2085">
        <v>0.38929438591003401</v>
      </c>
      <c r="B2085">
        <v>15.389845887473999</v>
      </c>
      <c r="C2085">
        <v>-0.28150892257690402</v>
      </c>
      <c r="D2085">
        <v>2.2875769860844399</v>
      </c>
    </row>
    <row r="2086" spans="1:4" x14ac:dyDescent="0.35">
      <c r="A2086">
        <v>0.389949411153793</v>
      </c>
      <c r="B2086">
        <v>15.39560449995</v>
      </c>
      <c r="C2086">
        <v>-0.28292268514633201</v>
      </c>
      <c r="D2086">
        <v>2.2401023375222899</v>
      </c>
    </row>
    <row r="2087" spans="1:4" x14ac:dyDescent="0.35">
      <c r="A2087">
        <v>0.39020931720733598</v>
      </c>
      <c r="B2087">
        <v>15.392011667557201</v>
      </c>
      <c r="C2087">
        <v>-0.28373953700065602</v>
      </c>
      <c r="D2087">
        <v>2.2267498946783899</v>
      </c>
    </row>
    <row r="2088" spans="1:4" x14ac:dyDescent="0.35">
      <c r="A2088">
        <v>0.39084759354591397</v>
      </c>
      <c r="B2088">
        <v>15.382482715243199</v>
      </c>
      <c r="C2088">
        <v>-0.28490161895751998</v>
      </c>
      <c r="D2088">
        <v>2.2369240198384399</v>
      </c>
    </row>
    <row r="2089" spans="1:4" x14ac:dyDescent="0.35">
      <c r="A2089">
        <v>0.391415745019913</v>
      </c>
      <c r="B2089">
        <v>15.3511700668389</v>
      </c>
      <c r="C2089">
        <v>-0.28593966364860501</v>
      </c>
      <c r="D2089">
        <v>2.2293212479672899</v>
      </c>
    </row>
    <row r="2090" spans="1:4" x14ac:dyDescent="0.35">
      <c r="A2090">
        <v>0.39174976944923401</v>
      </c>
      <c r="B2090">
        <v>15.371655253598201</v>
      </c>
      <c r="C2090">
        <v>-0.28664934635162398</v>
      </c>
      <c r="D2090">
        <v>2.2173884644677799</v>
      </c>
    </row>
    <row r="2091" spans="1:4" x14ac:dyDescent="0.35">
      <c r="A2091">
        <v>0.39223748445510898</v>
      </c>
      <c r="B2091">
        <v>15.3582995824463</v>
      </c>
      <c r="C2091">
        <v>-0.28834456205367998</v>
      </c>
      <c r="D2091">
        <v>2.18328946453031</v>
      </c>
    </row>
    <row r="2092" spans="1:4" x14ac:dyDescent="0.35">
      <c r="A2092">
        <v>0.39286184310913103</v>
      </c>
      <c r="B2092">
        <v>15.3470785453632</v>
      </c>
      <c r="C2092">
        <v>-0.28867450356483498</v>
      </c>
      <c r="D2092">
        <v>2.1665221106190602</v>
      </c>
    </row>
    <row r="2093" spans="1:4" x14ac:dyDescent="0.35">
      <c r="A2093">
        <v>0.39325726032257102</v>
      </c>
      <c r="B2093">
        <v>15.3559371856235</v>
      </c>
      <c r="C2093">
        <v>-0.28927683830261203</v>
      </c>
      <c r="D2093">
        <v>2.1383442405889799</v>
      </c>
    </row>
    <row r="2094" spans="1:4" x14ac:dyDescent="0.35">
      <c r="A2094">
        <v>0.39377999305725098</v>
      </c>
      <c r="B2094">
        <v>15.3699778766601</v>
      </c>
      <c r="C2094">
        <v>-0.29164692759513899</v>
      </c>
      <c r="D2094">
        <v>2.1377823970036598</v>
      </c>
    </row>
    <row r="2095" spans="1:4" x14ac:dyDescent="0.35">
      <c r="A2095">
        <v>0.39444443583488498</v>
      </c>
      <c r="B2095">
        <v>15.369306524046999</v>
      </c>
      <c r="C2095">
        <v>-0.29122143983840898</v>
      </c>
      <c r="D2095">
        <v>2.0841849992755099</v>
      </c>
    </row>
    <row r="2096" spans="1:4" x14ac:dyDescent="0.35">
      <c r="A2096">
        <v>0.39482206106185902</v>
      </c>
      <c r="B2096">
        <v>15.3629062732579</v>
      </c>
      <c r="C2096">
        <v>-0.29319044947624201</v>
      </c>
      <c r="D2096">
        <v>2.11572425911509</v>
      </c>
    </row>
    <row r="2097" spans="1:4" x14ac:dyDescent="0.35">
      <c r="A2097">
        <v>0.395224750041962</v>
      </c>
      <c r="B2097">
        <v>15.3541220808606</v>
      </c>
      <c r="C2097">
        <v>-0.29338365793228099</v>
      </c>
      <c r="D2097">
        <v>2.0959509937307601</v>
      </c>
    </row>
    <row r="2098" spans="1:4" x14ac:dyDescent="0.35">
      <c r="A2098">
        <v>0.39588540792465199</v>
      </c>
      <c r="B2098">
        <v>15.317123181978999</v>
      </c>
      <c r="C2098">
        <v>-0.29441082477569602</v>
      </c>
      <c r="D2098">
        <v>2.07826532003733</v>
      </c>
    </row>
    <row r="2099" spans="1:4" x14ac:dyDescent="0.35">
      <c r="A2099">
        <v>0.39639323949813798</v>
      </c>
      <c r="B2099">
        <v>15.344243773871799</v>
      </c>
      <c r="C2099">
        <v>-0.29634854197502097</v>
      </c>
      <c r="D2099">
        <v>2.0873433305712701</v>
      </c>
    </row>
    <row r="2100" spans="1:4" x14ac:dyDescent="0.35">
      <c r="A2100">
        <v>0.396727085113525</v>
      </c>
      <c r="B2100">
        <v>15.328513350066499</v>
      </c>
      <c r="C2100">
        <v>-0.29621586203575101</v>
      </c>
      <c r="D2100">
        <v>2.0493501656808899</v>
      </c>
    </row>
    <row r="2101" spans="1:4" x14ac:dyDescent="0.35">
      <c r="A2101">
        <v>0.39743518829345698</v>
      </c>
      <c r="B2101">
        <v>15.323208031908401</v>
      </c>
      <c r="C2101">
        <v>-0.298361986875534</v>
      </c>
      <c r="D2101">
        <v>2.0197550890601002</v>
      </c>
    </row>
    <row r="2102" spans="1:4" x14ac:dyDescent="0.35">
      <c r="A2102">
        <v>0.39773231744766202</v>
      </c>
      <c r="B2102">
        <v>15.3373126219581</v>
      </c>
      <c r="C2102">
        <v>-0.29839211702346802</v>
      </c>
      <c r="D2102">
        <v>1.9981972915691699</v>
      </c>
    </row>
    <row r="2103" spans="1:4" x14ac:dyDescent="0.35">
      <c r="A2103">
        <v>0.39846542477607699</v>
      </c>
      <c r="B2103">
        <v>15.291159038037501</v>
      </c>
      <c r="C2103">
        <v>-0.29970178008079501</v>
      </c>
      <c r="D2103">
        <v>1.9783907048759499</v>
      </c>
    </row>
    <row r="2104" spans="1:4" x14ac:dyDescent="0.35">
      <c r="A2104">
        <v>0.398939609527588</v>
      </c>
      <c r="B2104">
        <v>15.2869478240909</v>
      </c>
      <c r="C2104">
        <v>-0.30077111721038802</v>
      </c>
      <c r="D2104">
        <v>1.95997072448641</v>
      </c>
    </row>
    <row r="2105" spans="1:4" x14ac:dyDescent="0.35">
      <c r="A2105">
        <v>0.39940831065177901</v>
      </c>
      <c r="B2105">
        <v>15.2982012299743</v>
      </c>
      <c r="C2105">
        <v>-0.30142247676849399</v>
      </c>
      <c r="D2105">
        <v>1.933799961898</v>
      </c>
    </row>
    <row r="2106" spans="1:4" x14ac:dyDescent="0.35">
      <c r="A2106">
        <v>0.39985305070877097</v>
      </c>
      <c r="B2106">
        <v>15.2945415503898</v>
      </c>
      <c r="C2106">
        <v>-0.30336910486221302</v>
      </c>
      <c r="D2106">
        <v>1.9248094435635199</v>
      </c>
    </row>
    <row r="2107" spans="1:4" x14ac:dyDescent="0.35">
      <c r="A2107">
        <v>0.400324046611786</v>
      </c>
      <c r="B2107">
        <v>15.298863172511799</v>
      </c>
      <c r="C2107">
        <v>-0.303237795829773</v>
      </c>
      <c r="D2107">
        <v>1.89405556199687</v>
      </c>
    </row>
    <row r="2108" spans="1:4" x14ac:dyDescent="0.35">
      <c r="A2108">
        <v>0.40080979466438299</v>
      </c>
      <c r="B2108">
        <v>15.305076908255799</v>
      </c>
      <c r="C2108">
        <v>-0.30490836501121499</v>
      </c>
      <c r="D2108">
        <v>1.8989609403672101</v>
      </c>
    </row>
    <row r="2109" spans="1:4" x14ac:dyDescent="0.35">
      <c r="A2109">
        <v>0.40138956904411299</v>
      </c>
      <c r="B2109">
        <v>15.301469219016999</v>
      </c>
      <c r="C2109">
        <v>-0.30599677562713601</v>
      </c>
      <c r="D2109">
        <v>1.87125630890899</v>
      </c>
    </row>
    <row r="2110" spans="1:4" x14ac:dyDescent="0.35">
      <c r="A2110">
        <v>0.40181607007980302</v>
      </c>
      <c r="B2110">
        <v>15.2853155864751</v>
      </c>
      <c r="C2110">
        <v>-0.30611395835876498</v>
      </c>
      <c r="D2110">
        <v>1.8606590708267401</v>
      </c>
    </row>
    <row r="2111" spans="1:4" x14ac:dyDescent="0.35">
      <c r="A2111">
        <v>0.402452021837234</v>
      </c>
      <c r="B2111">
        <v>15.2768433861965</v>
      </c>
      <c r="C2111">
        <v>-0.30820432305335999</v>
      </c>
      <c r="D2111">
        <v>1.83676951410943</v>
      </c>
    </row>
    <row r="2112" spans="1:4" x14ac:dyDescent="0.35">
      <c r="A2112">
        <v>0.402793198823929</v>
      </c>
      <c r="B2112">
        <v>15.2704083618375</v>
      </c>
      <c r="C2112">
        <v>-0.30818846821785001</v>
      </c>
      <c r="D2112">
        <v>1.8297361342644201</v>
      </c>
    </row>
    <row r="2113" spans="1:4" x14ac:dyDescent="0.35">
      <c r="A2113">
        <v>0.40327975153923001</v>
      </c>
      <c r="B2113">
        <v>15.256932238190201</v>
      </c>
      <c r="C2113">
        <v>-0.31019338965415999</v>
      </c>
      <c r="D2113">
        <v>1.8263130625647701</v>
      </c>
    </row>
    <row r="2114" spans="1:4" x14ac:dyDescent="0.35">
      <c r="A2114">
        <v>0.40378659963607799</v>
      </c>
      <c r="B2114">
        <v>15.257473975334401</v>
      </c>
      <c r="C2114">
        <v>-0.31088611483573902</v>
      </c>
      <c r="D2114">
        <v>1.7932796224902501</v>
      </c>
    </row>
    <row r="2115" spans="1:4" x14ac:dyDescent="0.35">
      <c r="A2115">
        <v>0.40442469716072099</v>
      </c>
      <c r="B2115">
        <v>15.2617401373669</v>
      </c>
      <c r="C2115">
        <v>-0.31117159128189098</v>
      </c>
      <c r="D2115">
        <v>1.7706366959175499</v>
      </c>
    </row>
    <row r="2116" spans="1:4" x14ac:dyDescent="0.35">
      <c r="A2116">
        <v>0.40485823154449502</v>
      </c>
      <c r="B2116">
        <v>15.2453722574958</v>
      </c>
      <c r="C2116">
        <v>-0.31331965327262901</v>
      </c>
      <c r="D2116">
        <v>1.7637173365465599</v>
      </c>
    </row>
    <row r="2117" spans="1:4" x14ac:dyDescent="0.35">
      <c r="A2117">
        <v>0.40536516904830899</v>
      </c>
      <c r="B2117">
        <v>15.238917615686599</v>
      </c>
      <c r="C2117">
        <v>-0.31366556882858299</v>
      </c>
      <c r="D2117">
        <v>1.7531026997077599</v>
      </c>
    </row>
    <row r="2118" spans="1:4" x14ac:dyDescent="0.35">
      <c r="A2118">
        <v>0.40583997964858998</v>
      </c>
      <c r="B2118">
        <v>15.223519520282199</v>
      </c>
      <c r="C2118">
        <v>-0.31544446945190402</v>
      </c>
      <c r="D2118">
        <v>1.7554923021234801</v>
      </c>
    </row>
    <row r="2119" spans="1:4" x14ac:dyDescent="0.35">
      <c r="A2119">
        <v>0.40624186396598799</v>
      </c>
      <c r="B2119">
        <v>15.217676982773201</v>
      </c>
      <c r="C2119">
        <v>-0.31554317474365201</v>
      </c>
      <c r="D2119">
        <v>1.7234951495064199</v>
      </c>
    </row>
    <row r="2120" spans="1:4" x14ac:dyDescent="0.35">
      <c r="A2120">
        <v>0.40679213404655501</v>
      </c>
      <c r="B2120">
        <v>15.224284039903999</v>
      </c>
      <c r="C2120">
        <v>-0.31661581993103</v>
      </c>
      <c r="D2120">
        <v>1.7120687628951301</v>
      </c>
    </row>
    <row r="2121" spans="1:4" x14ac:dyDescent="0.35">
      <c r="A2121">
        <v>0.40732526779174799</v>
      </c>
      <c r="B2121">
        <v>15.2207732395752</v>
      </c>
      <c r="C2121">
        <v>-0.31811991333961498</v>
      </c>
      <c r="D2121">
        <v>1.71433559984086</v>
      </c>
    </row>
    <row r="2122" spans="1:4" x14ac:dyDescent="0.35">
      <c r="A2122">
        <v>0.40775573253631597</v>
      </c>
      <c r="B2122">
        <v>15.219628122763</v>
      </c>
      <c r="C2122">
        <v>-0.31880515813827498</v>
      </c>
      <c r="D2122">
        <v>1.7017471742003201</v>
      </c>
    </row>
    <row r="2123" spans="1:4" x14ac:dyDescent="0.35">
      <c r="A2123">
        <v>0.408315479755402</v>
      </c>
      <c r="B2123">
        <v>15.198858128692301</v>
      </c>
      <c r="C2123">
        <v>-0.31958809494972201</v>
      </c>
      <c r="D2123">
        <v>1.68466069903136</v>
      </c>
    </row>
    <row r="2124" spans="1:4" x14ac:dyDescent="0.35">
      <c r="A2124">
        <v>0.40876197814941401</v>
      </c>
      <c r="B2124">
        <v>15.2033439895588</v>
      </c>
      <c r="C2124">
        <v>-0.32082614302635198</v>
      </c>
      <c r="D2124">
        <v>1.65987967068983</v>
      </c>
    </row>
    <row r="2125" spans="1:4" x14ac:dyDescent="0.35">
      <c r="A2125">
        <v>0.409085243940353</v>
      </c>
      <c r="B2125">
        <v>15.1905136258087</v>
      </c>
      <c r="C2125">
        <v>-0.32159411907196001</v>
      </c>
      <c r="D2125">
        <v>1.6564479521734301</v>
      </c>
    </row>
    <row r="2126" spans="1:4" x14ac:dyDescent="0.35">
      <c r="A2126">
        <v>0.40983653068542503</v>
      </c>
      <c r="B2126">
        <v>15.180179322333201</v>
      </c>
      <c r="C2126">
        <v>-0.32334551215171797</v>
      </c>
      <c r="D2126">
        <v>1.65162753596536</v>
      </c>
    </row>
    <row r="2127" spans="1:4" x14ac:dyDescent="0.35">
      <c r="A2127">
        <v>0.41036060452461198</v>
      </c>
      <c r="B2127">
        <v>15.179252494210701</v>
      </c>
      <c r="C2127">
        <v>-0.32369139790535001</v>
      </c>
      <c r="D2127">
        <v>1.64280518918859</v>
      </c>
    </row>
    <row r="2128" spans="1:4" x14ac:dyDescent="0.35">
      <c r="A2128">
        <v>0.41083636879920998</v>
      </c>
      <c r="B2128">
        <v>15.1597618122266</v>
      </c>
      <c r="C2128">
        <v>-0.32500892877578702</v>
      </c>
      <c r="D2128">
        <v>1.63018639510379</v>
      </c>
    </row>
    <row r="2129" spans="1:4" x14ac:dyDescent="0.35">
      <c r="A2129">
        <v>0.41131573915481601</v>
      </c>
      <c r="B2129">
        <v>15.181456187133399</v>
      </c>
      <c r="C2129">
        <v>-0.32549583911895802</v>
      </c>
      <c r="D2129">
        <v>1.6013661448402099</v>
      </c>
    </row>
    <row r="2130" spans="1:4" x14ac:dyDescent="0.35">
      <c r="A2130">
        <v>0.41171562671661399</v>
      </c>
      <c r="B2130">
        <v>15.192816299512399</v>
      </c>
      <c r="C2130">
        <v>-0.32657259702682501</v>
      </c>
      <c r="D2130">
        <v>1.58624545246251</v>
      </c>
    </row>
    <row r="2131" spans="1:4" x14ac:dyDescent="0.35">
      <c r="A2131">
        <v>0.412245273590088</v>
      </c>
      <c r="B2131">
        <v>15.1676497294748</v>
      </c>
      <c r="C2131">
        <v>-0.32816594839096103</v>
      </c>
      <c r="D2131">
        <v>1.5819674217528401</v>
      </c>
    </row>
    <row r="2132" spans="1:4" x14ac:dyDescent="0.35">
      <c r="A2132">
        <v>0.41275316476821899</v>
      </c>
      <c r="B2132">
        <v>15.191139754143901</v>
      </c>
      <c r="C2132">
        <v>-0.32825163006782498</v>
      </c>
      <c r="D2132">
        <v>1.54849880723682</v>
      </c>
    </row>
    <row r="2133" spans="1:4" x14ac:dyDescent="0.35">
      <c r="A2133">
        <v>0.41327300667762801</v>
      </c>
      <c r="B2133">
        <v>15.183579399912899</v>
      </c>
      <c r="C2133">
        <v>-0.33042553067207298</v>
      </c>
      <c r="D2133">
        <v>1.51581036505011</v>
      </c>
    </row>
    <row r="2134" spans="1:4" x14ac:dyDescent="0.35">
      <c r="A2134">
        <v>0.413715749979019</v>
      </c>
      <c r="B2134">
        <v>15.190721720413601</v>
      </c>
      <c r="C2134">
        <v>-0.33036631345748901</v>
      </c>
      <c r="D2134">
        <v>1.4990261878331701</v>
      </c>
    </row>
    <row r="2135" spans="1:4" x14ac:dyDescent="0.35">
      <c r="A2135">
        <v>0.41429993510246299</v>
      </c>
      <c r="B2135">
        <v>15.1874693837843</v>
      </c>
      <c r="C2135">
        <v>-0.33138239383697499</v>
      </c>
      <c r="D2135">
        <v>1.50751516371968</v>
      </c>
    </row>
    <row r="2136" spans="1:4" x14ac:dyDescent="0.35">
      <c r="A2136">
        <v>0.41473591327667197</v>
      </c>
      <c r="B2136">
        <v>15.1853996421037</v>
      </c>
      <c r="C2136">
        <v>-0.33312320709228499</v>
      </c>
      <c r="D2136">
        <v>1.48753100993155</v>
      </c>
    </row>
    <row r="2137" spans="1:4" x14ac:dyDescent="0.35">
      <c r="A2137">
        <v>0.41525804996490501</v>
      </c>
      <c r="B2137">
        <v>15.1932520917356</v>
      </c>
      <c r="C2137">
        <v>-0.33332175016403198</v>
      </c>
      <c r="D2137">
        <v>1.4741576480312499</v>
      </c>
    </row>
    <row r="2138" spans="1:4" x14ac:dyDescent="0.35">
      <c r="A2138">
        <v>0.41571301221847501</v>
      </c>
      <c r="B2138">
        <v>15.175217800550699</v>
      </c>
      <c r="C2138">
        <v>-0.335478246212006</v>
      </c>
      <c r="D2138">
        <v>1.4698172339380999</v>
      </c>
    </row>
    <row r="2139" spans="1:4" x14ac:dyDescent="0.35">
      <c r="A2139">
        <v>0.41625607013702398</v>
      </c>
      <c r="B2139">
        <v>15.179523552698701</v>
      </c>
      <c r="C2139">
        <v>-0.335667103528976</v>
      </c>
      <c r="D2139">
        <v>1.4698006785803901</v>
      </c>
    </row>
    <row r="2140" spans="1:4" x14ac:dyDescent="0.35">
      <c r="A2140">
        <v>0.41684556007385298</v>
      </c>
      <c r="B2140">
        <v>15.1960379925782</v>
      </c>
      <c r="C2140">
        <v>-0.33633962273597701</v>
      </c>
      <c r="D2140">
        <v>1.41475922743755</v>
      </c>
    </row>
    <row r="2141" spans="1:4" x14ac:dyDescent="0.35">
      <c r="A2141">
        <v>0.41725888848304699</v>
      </c>
      <c r="B2141">
        <v>15.1668536675545</v>
      </c>
      <c r="C2141">
        <v>-0.33827564120292702</v>
      </c>
      <c r="D2141">
        <v>1.4198411366281001</v>
      </c>
    </row>
    <row r="2142" spans="1:4" x14ac:dyDescent="0.35">
      <c r="A2142">
        <v>0.41778975725174</v>
      </c>
      <c r="B2142">
        <v>15.185722349529801</v>
      </c>
      <c r="C2142">
        <v>-0.33837416768074002</v>
      </c>
      <c r="D2142">
        <v>1.4318526912626901</v>
      </c>
    </row>
    <row r="2143" spans="1:4" x14ac:dyDescent="0.35">
      <c r="A2143">
        <v>0.41821604967117298</v>
      </c>
      <c r="B2143">
        <v>15.1800606511921</v>
      </c>
      <c r="C2143">
        <v>-0.33992096781730702</v>
      </c>
      <c r="D2143">
        <v>1.4144394367894</v>
      </c>
    </row>
    <row r="2144" spans="1:4" x14ac:dyDescent="0.35">
      <c r="A2144">
        <v>0.41873568296432501</v>
      </c>
      <c r="B2144">
        <v>15.186644777488301</v>
      </c>
      <c r="C2144">
        <v>-0.34099978208541898</v>
      </c>
      <c r="D2144">
        <v>1.4059862809363199</v>
      </c>
    </row>
    <row r="2145" spans="1:4" x14ac:dyDescent="0.35">
      <c r="A2145">
        <v>0.41930812597274802</v>
      </c>
      <c r="B2145">
        <v>15.1938830671562</v>
      </c>
      <c r="C2145">
        <v>-0.34141778945922902</v>
      </c>
      <c r="D2145">
        <v>1.3945065500279901</v>
      </c>
    </row>
    <row r="2146" spans="1:4" x14ac:dyDescent="0.35">
      <c r="A2146">
        <v>0.41985550522804299</v>
      </c>
      <c r="B2146">
        <v>15.1936733650712</v>
      </c>
      <c r="C2146">
        <v>-0.34320932626724199</v>
      </c>
      <c r="D2146">
        <v>1.3786352162419899</v>
      </c>
    </row>
    <row r="2147" spans="1:4" x14ac:dyDescent="0.35">
      <c r="A2147">
        <v>0.42033633589744601</v>
      </c>
      <c r="B2147">
        <v>15.1705738175352</v>
      </c>
      <c r="C2147">
        <v>-0.34369221329688998</v>
      </c>
      <c r="D2147">
        <v>1.3376938942345</v>
      </c>
    </row>
    <row r="2148" spans="1:4" x14ac:dyDescent="0.35">
      <c r="A2148">
        <v>0.42075383663177501</v>
      </c>
      <c r="B2148">
        <v>15.179425993408501</v>
      </c>
      <c r="C2148">
        <v>-0.34489414095878601</v>
      </c>
      <c r="D2148">
        <v>1.2996694732393801</v>
      </c>
    </row>
    <row r="2149" spans="1:4" x14ac:dyDescent="0.35">
      <c r="A2149">
        <v>0.42118057608604398</v>
      </c>
      <c r="B2149">
        <v>15.1778647190726</v>
      </c>
      <c r="C2149">
        <v>-0.34603661298751798</v>
      </c>
      <c r="D2149">
        <v>1.3060801565442499</v>
      </c>
    </row>
    <row r="2150" spans="1:4" x14ac:dyDescent="0.35">
      <c r="A2150">
        <v>0.421644628047943</v>
      </c>
      <c r="B2150">
        <v>15.182474387214</v>
      </c>
      <c r="C2150">
        <v>-0.34640899300575301</v>
      </c>
      <c r="D2150">
        <v>1.2994028874891601</v>
      </c>
    </row>
    <row r="2151" spans="1:4" x14ac:dyDescent="0.35">
      <c r="A2151">
        <v>0.42217391729354897</v>
      </c>
      <c r="B2151">
        <v>15.183948841981801</v>
      </c>
      <c r="C2151">
        <v>-0.34809377789497398</v>
      </c>
      <c r="D2151">
        <v>1.3001278544391099</v>
      </c>
    </row>
    <row r="2152" spans="1:4" x14ac:dyDescent="0.35">
      <c r="A2152">
        <v>0.42272210121154802</v>
      </c>
      <c r="B2152">
        <v>15.194748967131799</v>
      </c>
      <c r="C2152">
        <v>-0.34867277741432201</v>
      </c>
      <c r="D2152">
        <v>1.2852323122078499</v>
      </c>
    </row>
    <row r="2153" spans="1:4" x14ac:dyDescent="0.35">
      <c r="A2153">
        <v>0.42338526248931901</v>
      </c>
      <c r="B2153">
        <v>15.192382242785699</v>
      </c>
      <c r="C2153">
        <v>-0.349294453859329</v>
      </c>
      <c r="D2153">
        <v>1.275009733366</v>
      </c>
    </row>
    <row r="2154" spans="1:4" x14ac:dyDescent="0.35">
      <c r="A2154">
        <v>0.42377224564552302</v>
      </c>
      <c r="B2154">
        <v>15.175237562040399</v>
      </c>
      <c r="C2154">
        <v>-0.351656764745712</v>
      </c>
      <c r="D2154">
        <v>1.24591692111229</v>
      </c>
    </row>
    <row r="2155" spans="1:4" x14ac:dyDescent="0.35">
      <c r="A2155">
        <v>0.42417666316032399</v>
      </c>
      <c r="B2155">
        <v>15.1816785722771</v>
      </c>
      <c r="C2155">
        <v>-0.35120287537574801</v>
      </c>
      <c r="D2155">
        <v>1.24890939420892</v>
      </c>
    </row>
    <row r="2156" spans="1:4" x14ac:dyDescent="0.35">
      <c r="A2156">
        <v>0.42478492856025701</v>
      </c>
      <c r="B2156">
        <v>15.170560536969401</v>
      </c>
      <c r="C2156">
        <v>-0.35331812500953702</v>
      </c>
      <c r="D2156">
        <v>1.22736004917532</v>
      </c>
    </row>
    <row r="2157" spans="1:4" x14ac:dyDescent="0.35">
      <c r="A2157">
        <v>0.42528417706489602</v>
      </c>
      <c r="B2157">
        <v>15.187775254879201</v>
      </c>
      <c r="C2157">
        <v>-0.35361942648887601</v>
      </c>
      <c r="D2157">
        <v>1.22140560470931</v>
      </c>
    </row>
    <row r="2158" spans="1:4" x14ac:dyDescent="0.35">
      <c r="A2158">
        <v>0.42560863494873002</v>
      </c>
      <c r="B2158">
        <v>15.196407343292</v>
      </c>
      <c r="C2158">
        <v>-0.35444474220275901</v>
      </c>
      <c r="D2158">
        <v>1.1984412984952799</v>
      </c>
    </row>
    <row r="2159" spans="1:4" x14ac:dyDescent="0.35">
      <c r="A2159">
        <v>0.42618122696876498</v>
      </c>
      <c r="B2159">
        <v>15.1912407595254</v>
      </c>
      <c r="C2159">
        <v>-0.35621395707130399</v>
      </c>
      <c r="D2159">
        <v>1.17011166522925</v>
      </c>
    </row>
    <row r="2160" spans="1:4" x14ac:dyDescent="0.35">
      <c r="A2160">
        <v>0.42675861716270402</v>
      </c>
      <c r="B2160">
        <v>15.1817053103006</v>
      </c>
      <c r="C2160">
        <v>-0.35609433054924</v>
      </c>
      <c r="D2160">
        <v>1.15510258644278</v>
      </c>
    </row>
    <row r="2161" spans="1:4" x14ac:dyDescent="0.35">
      <c r="A2161">
        <v>0.42716592550277699</v>
      </c>
      <c r="B2161">
        <v>15.1482224839797</v>
      </c>
      <c r="C2161">
        <v>-0.35826891660690302</v>
      </c>
      <c r="D2161">
        <v>1.15277406929769</v>
      </c>
    </row>
    <row r="2162" spans="1:4" x14ac:dyDescent="0.35">
      <c r="A2162">
        <v>0.42770570516586298</v>
      </c>
      <c r="B2162">
        <v>15.1459149278644</v>
      </c>
      <c r="C2162">
        <v>-0.35913360118866</v>
      </c>
      <c r="D2162">
        <v>1.14797513093068</v>
      </c>
    </row>
    <row r="2163" spans="1:4" x14ac:dyDescent="0.35">
      <c r="A2163">
        <v>0.42833194136619601</v>
      </c>
      <c r="B2163">
        <v>15.166071133555301</v>
      </c>
      <c r="C2163">
        <v>-0.35940945148468001</v>
      </c>
      <c r="D2163">
        <v>1.1296723650498399</v>
      </c>
    </row>
    <row r="2164" spans="1:4" x14ac:dyDescent="0.35">
      <c r="A2164">
        <v>0.42877730727195701</v>
      </c>
      <c r="B2164">
        <v>15.1588866249581</v>
      </c>
      <c r="C2164">
        <v>-0.36161702871322599</v>
      </c>
      <c r="D2164">
        <v>1.1054551493756499</v>
      </c>
    </row>
    <row r="2165" spans="1:4" x14ac:dyDescent="0.35">
      <c r="A2165">
        <v>0.42943537235259999</v>
      </c>
      <c r="B2165">
        <v>15.1633449939706</v>
      </c>
      <c r="C2165">
        <v>-0.36113435029983498</v>
      </c>
      <c r="D2165">
        <v>1.09093880044091</v>
      </c>
    </row>
    <row r="2166" spans="1:4" x14ac:dyDescent="0.35">
      <c r="A2166">
        <v>0.42985326051711997</v>
      </c>
      <c r="B2166">
        <v>15.176029258477699</v>
      </c>
      <c r="C2166">
        <v>-0.36276468634605402</v>
      </c>
      <c r="D2166">
        <v>1.0712952262498801</v>
      </c>
    </row>
    <row r="2167" spans="1:4" x14ac:dyDescent="0.35">
      <c r="A2167">
        <v>0.43015465140342701</v>
      </c>
      <c r="B2167">
        <v>15.1881606170863</v>
      </c>
      <c r="C2167">
        <v>-0.36415985226631198</v>
      </c>
      <c r="D2167">
        <v>1.0737711101527101</v>
      </c>
    </row>
    <row r="2168" spans="1:4" x14ac:dyDescent="0.35">
      <c r="A2168">
        <v>0.43067821860313399</v>
      </c>
      <c r="B2168">
        <v>15.173203902793601</v>
      </c>
      <c r="C2168">
        <v>-0.364311963319778</v>
      </c>
      <c r="D2168">
        <v>1.0661926596808</v>
      </c>
    </row>
    <row r="2169" spans="1:4" x14ac:dyDescent="0.35">
      <c r="A2169">
        <v>0.43134289979934698</v>
      </c>
      <c r="B2169">
        <v>15.1632726695501</v>
      </c>
      <c r="C2169">
        <v>-0.36599400639534002</v>
      </c>
      <c r="D2169">
        <v>1.0580597498945901</v>
      </c>
    </row>
    <row r="2170" spans="1:4" x14ac:dyDescent="0.35">
      <c r="A2170">
        <v>0.43166741728782698</v>
      </c>
      <c r="B2170">
        <v>15.1606776255264</v>
      </c>
      <c r="C2170">
        <v>-0.36690416932106001</v>
      </c>
      <c r="D2170">
        <v>1.0319696836166099</v>
      </c>
    </row>
    <row r="2171" spans="1:4" x14ac:dyDescent="0.35">
      <c r="A2171">
        <v>0.43223038315772999</v>
      </c>
      <c r="B2171">
        <v>15.162410621886099</v>
      </c>
      <c r="C2171">
        <v>-0.36762973666191101</v>
      </c>
      <c r="D2171">
        <v>1.0180424882518799</v>
      </c>
    </row>
    <row r="2172" spans="1:4" x14ac:dyDescent="0.35">
      <c r="A2172">
        <v>0.43282181024551403</v>
      </c>
      <c r="B2172">
        <v>15.160284130220001</v>
      </c>
      <c r="C2172">
        <v>-0.36929106712341297</v>
      </c>
      <c r="D2172">
        <v>1.01275267331182</v>
      </c>
    </row>
    <row r="2173" spans="1:4" x14ac:dyDescent="0.35">
      <c r="A2173">
        <v>0.433242857456207</v>
      </c>
      <c r="B2173">
        <v>15.1647959745353</v>
      </c>
      <c r="C2173">
        <v>-0.36992645263671903</v>
      </c>
      <c r="D2173">
        <v>0.97222312441210901</v>
      </c>
    </row>
    <row r="2174" spans="1:4" x14ac:dyDescent="0.35">
      <c r="A2174">
        <v>0.43372184038162198</v>
      </c>
      <c r="B2174">
        <v>15.1656139049221</v>
      </c>
      <c r="C2174">
        <v>-0.37090566754341098</v>
      </c>
      <c r="D2174">
        <v>0.98019485181910304</v>
      </c>
    </row>
    <row r="2175" spans="1:4" x14ac:dyDescent="0.35">
      <c r="A2175">
        <v>0.434348255395889</v>
      </c>
      <c r="B2175">
        <v>15.165700588879099</v>
      </c>
      <c r="C2175">
        <v>-0.372765272855759</v>
      </c>
      <c r="D2175">
        <v>0.983382000076504</v>
      </c>
    </row>
    <row r="2176" spans="1:4" x14ac:dyDescent="0.35">
      <c r="A2176">
        <v>0.43466112017631497</v>
      </c>
      <c r="B2176">
        <v>15.171430245723901</v>
      </c>
      <c r="C2176">
        <v>-0.37191137671470598</v>
      </c>
      <c r="D2176">
        <v>0.94756892352931199</v>
      </c>
    </row>
    <row r="2177" spans="1:4" x14ac:dyDescent="0.35">
      <c r="A2177">
        <v>0.43521013855934099</v>
      </c>
      <c r="B2177">
        <v>15.1402829213774</v>
      </c>
      <c r="C2177">
        <v>-0.37472993135452298</v>
      </c>
      <c r="D2177">
        <v>0.94273485076746999</v>
      </c>
    </row>
    <row r="2178" spans="1:4" x14ac:dyDescent="0.35">
      <c r="A2178">
        <v>0.435760587453842</v>
      </c>
      <c r="B2178">
        <v>15.1619463458161</v>
      </c>
      <c r="C2178">
        <v>-0.37486645579338101</v>
      </c>
      <c r="D2178">
        <v>0.93221995700330296</v>
      </c>
    </row>
    <row r="2179" spans="1:4" x14ac:dyDescent="0.35">
      <c r="A2179">
        <v>0.43613198399543801</v>
      </c>
      <c r="B2179">
        <v>15.170402177128899</v>
      </c>
      <c r="C2179">
        <v>-0.37553510069847101</v>
      </c>
      <c r="D2179">
        <v>0.910971968150456</v>
      </c>
    </row>
    <row r="2180" spans="1:4" x14ac:dyDescent="0.35">
      <c r="A2180">
        <v>0.43658643960952798</v>
      </c>
      <c r="B2180">
        <v>15.162462441046801</v>
      </c>
      <c r="C2180">
        <v>-0.377437144517899</v>
      </c>
      <c r="D2180">
        <v>0.90878126708707796</v>
      </c>
    </row>
    <row r="2181" spans="1:4" x14ac:dyDescent="0.35">
      <c r="A2181">
        <v>0.43730208277702298</v>
      </c>
      <c r="B2181">
        <v>15.156063599562099</v>
      </c>
      <c r="C2181">
        <v>-0.37766420841217002</v>
      </c>
      <c r="D2181">
        <v>0.89781087853359098</v>
      </c>
    </row>
    <row r="2182" spans="1:4" x14ac:dyDescent="0.35">
      <c r="A2182">
        <v>0.43778097629547102</v>
      </c>
      <c r="B2182">
        <v>15.150360952519</v>
      </c>
      <c r="C2182">
        <v>-0.37892228364944502</v>
      </c>
      <c r="D2182">
        <v>0.89373058420927598</v>
      </c>
    </row>
    <row r="2183" spans="1:4" x14ac:dyDescent="0.35">
      <c r="A2183">
        <v>0.43816679716110202</v>
      </c>
      <c r="B2183">
        <v>15.1600340584317</v>
      </c>
      <c r="C2183">
        <v>-0.38020119071006803</v>
      </c>
      <c r="D2183">
        <v>0.87383619637236498</v>
      </c>
    </row>
    <row r="2184" spans="1:4" x14ac:dyDescent="0.35">
      <c r="A2184">
        <v>0.43875631690025302</v>
      </c>
      <c r="B2184">
        <v>15.1587459796001</v>
      </c>
      <c r="C2184">
        <v>-0.38042870163917503</v>
      </c>
      <c r="D2184">
        <v>0.87581763912264798</v>
      </c>
    </row>
    <row r="2185" spans="1:4" x14ac:dyDescent="0.35">
      <c r="A2185">
        <v>0.439227104187012</v>
      </c>
      <c r="B2185">
        <v>15.156374947533999</v>
      </c>
      <c r="C2185">
        <v>-0.382125943899155</v>
      </c>
      <c r="D2185">
        <v>0.85579565381818501</v>
      </c>
    </row>
    <row r="2186" spans="1:4" x14ac:dyDescent="0.35">
      <c r="A2186">
        <v>0.43965885043144198</v>
      </c>
      <c r="B2186">
        <v>15.1553661544558</v>
      </c>
      <c r="C2186">
        <v>-0.38276991248130798</v>
      </c>
      <c r="D2186">
        <v>0.84950810937210797</v>
      </c>
    </row>
    <row r="2187" spans="1:4" x14ac:dyDescent="0.35">
      <c r="A2187">
        <v>0.44014304876327498</v>
      </c>
      <c r="B2187">
        <v>15.151930752467701</v>
      </c>
      <c r="C2187">
        <v>-0.38355705142021201</v>
      </c>
      <c r="D2187">
        <v>0.83032393315118103</v>
      </c>
    </row>
    <row r="2188" spans="1:4" x14ac:dyDescent="0.35">
      <c r="A2188">
        <v>0.44074958562851002</v>
      </c>
      <c r="B2188">
        <v>15.173416353043701</v>
      </c>
      <c r="C2188">
        <v>-0.38473773002624501</v>
      </c>
      <c r="D2188">
        <v>0.82517437553291195</v>
      </c>
    </row>
    <row r="2189" spans="1:4" x14ac:dyDescent="0.35">
      <c r="A2189">
        <v>0.44117158651351901</v>
      </c>
      <c r="B2189">
        <v>15.161014190771599</v>
      </c>
      <c r="C2189">
        <v>-0.385905772447586</v>
      </c>
      <c r="D2189">
        <v>0.80031273178805495</v>
      </c>
    </row>
    <row r="2190" spans="1:4" x14ac:dyDescent="0.35">
      <c r="A2190">
        <v>0.44172802567482</v>
      </c>
      <c r="B2190">
        <v>15.160461562758099</v>
      </c>
      <c r="C2190">
        <v>-0.38693746924400302</v>
      </c>
      <c r="D2190">
        <v>0.80319834207838103</v>
      </c>
    </row>
    <row r="2191" spans="1:4" x14ac:dyDescent="0.35">
      <c r="A2191">
        <v>0.44215768575668302</v>
      </c>
      <c r="B2191">
        <v>15.1575400184804</v>
      </c>
      <c r="C2191">
        <v>-0.38834670186042802</v>
      </c>
      <c r="D2191">
        <v>0.790622374061281</v>
      </c>
    </row>
    <row r="2192" spans="1:4" x14ac:dyDescent="0.35">
      <c r="A2192">
        <v>0.44285187125205999</v>
      </c>
      <c r="B2192">
        <v>15.159423462073899</v>
      </c>
      <c r="C2192">
        <v>-0.38814938068389898</v>
      </c>
      <c r="D2192">
        <v>0.77168677757878501</v>
      </c>
    </row>
    <row r="2193" spans="1:4" x14ac:dyDescent="0.35">
      <c r="A2193">
        <v>0.44325342774391202</v>
      </c>
      <c r="B2193">
        <v>15.1455063525461</v>
      </c>
      <c r="C2193">
        <v>-0.39031332731246898</v>
      </c>
      <c r="D2193">
        <v>0.75800100345805799</v>
      </c>
    </row>
    <row r="2194" spans="1:4" x14ac:dyDescent="0.35">
      <c r="A2194">
        <v>0.44376254081726102</v>
      </c>
      <c r="B2194">
        <v>15.1581332607819</v>
      </c>
      <c r="C2194">
        <v>-0.39079937338829002</v>
      </c>
      <c r="D2194">
        <v>0.74623852239964705</v>
      </c>
    </row>
    <row r="2195" spans="1:4" x14ac:dyDescent="0.35">
      <c r="A2195">
        <v>0.44435933232307401</v>
      </c>
      <c r="B2195">
        <v>15.163651270968399</v>
      </c>
      <c r="C2195">
        <v>-0.39181035757064803</v>
      </c>
      <c r="D2195">
        <v>0.74266880289251902</v>
      </c>
    </row>
    <row r="2196" spans="1:4" x14ac:dyDescent="0.35">
      <c r="A2196">
        <v>0.44476008415222201</v>
      </c>
      <c r="B2196">
        <v>15.1435785540859</v>
      </c>
      <c r="C2196">
        <v>-0.39359247684478799</v>
      </c>
      <c r="D2196">
        <v>0.72387319500568303</v>
      </c>
    </row>
    <row r="2197" spans="1:4" x14ac:dyDescent="0.35">
      <c r="A2197">
        <v>0.44521069526672402</v>
      </c>
      <c r="B2197">
        <v>15.1563293746971</v>
      </c>
      <c r="C2197">
        <v>-0.39374101161956798</v>
      </c>
      <c r="D2197">
        <v>0.71591349807417903</v>
      </c>
    </row>
    <row r="2198" spans="1:4" x14ac:dyDescent="0.35">
      <c r="A2198">
        <v>0.44580543041229198</v>
      </c>
      <c r="B2198">
        <v>15.160993562077</v>
      </c>
      <c r="C2198">
        <v>-0.39450582861900302</v>
      </c>
      <c r="D2198">
        <v>0.72195074544317195</v>
      </c>
    </row>
    <row r="2199" spans="1:4" x14ac:dyDescent="0.35">
      <c r="A2199">
        <v>0.44640433788299599</v>
      </c>
      <c r="B2199">
        <v>15.1601011686507</v>
      </c>
      <c r="C2199">
        <v>-0.39665192365646401</v>
      </c>
      <c r="D2199">
        <v>0.68584283099061905</v>
      </c>
    </row>
    <row r="2200" spans="1:4" x14ac:dyDescent="0.35">
      <c r="A2200">
        <v>0.44679981470107999</v>
      </c>
      <c r="B2200">
        <v>15.150092271100201</v>
      </c>
      <c r="C2200">
        <v>-0.39656779170036299</v>
      </c>
      <c r="D2200">
        <v>0.69048950903204898</v>
      </c>
    </row>
    <row r="2201" spans="1:4" x14ac:dyDescent="0.35">
      <c r="A2201">
        <v>0.44726869463920599</v>
      </c>
      <c r="B2201">
        <v>15.148696831078899</v>
      </c>
      <c r="C2201">
        <v>-0.39829939603805498</v>
      </c>
      <c r="D2201">
        <v>0.678845150702023</v>
      </c>
    </row>
    <row r="2202" spans="1:4" x14ac:dyDescent="0.35">
      <c r="A2202">
        <v>0.44788116216659501</v>
      </c>
      <c r="B2202">
        <v>15.122038629474501</v>
      </c>
      <c r="C2202">
        <v>-0.39877358078956598</v>
      </c>
      <c r="D2202">
        <v>0.65971807883269395</v>
      </c>
    </row>
    <row r="2203" spans="1:4" x14ac:dyDescent="0.35">
      <c r="A2203">
        <v>0.448369681835175</v>
      </c>
      <c r="B2203">
        <v>15.103343745177501</v>
      </c>
      <c r="C2203">
        <v>-0.39933833479881298</v>
      </c>
      <c r="D2203">
        <v>0.6458332055471</v>
      </c>
    </row>
    <row r="2204" spans="1:4" x14ac:dyDescent="0.35">
      <c r="A2204">
        <v>0.44869750738143899</v>
      </c>
      <c r="B2204">
        <v>15.1254913401718</v>
      </c>
      <c r="C2204">
        <v>-0.40115410089492798</v>
      </c>
      <c r="D2204">
        <v>0.65198242076780799</v>
      </c>
    </row>
    <row r="2205" spans="1:4" x14ac:dyDescent="0.35">
      <c r="A2205">
        <v>0.449408829212189</v>
      </c>
      <c r="B2205">
        <v>15.1303845435034</v>
      </c>
      <c r="C2205">
        <v>-0.40191698074340798</v>
      </c>
      <c r="D2205">
        <v>0.63972389224487602</v>
      </c>
    </row>
    <row r="2206" spans="1:4" x14ac:dyDescent="0.35">
      <c r="A2206">
        <v>0.44981479644775402</v>
      </c>
      <c r="B2206">
        <v>15.1420894514018</v>
      </c>
      <c r="C2206">
        <v>-0.402440845966339</v>
      </c>
      <c r="D2206">
        <v>0.63369334923151799</v>
      </c>
    </row>
    <row r="2207" spans="1:4" x14ac:dyDescent="0.35">
      <c r="A2207">
        <v>0.450218915939331</v>
      </c>
      <c r="B2207">
        <v>15.138279996644799</v>
      </c>
      <c r="C2207">
        <v>-0.40441823005676297</v>
      </c>
      <c r="D2207">
        <v>0.61271484784373798</v>
      </c>
    </row>
    <row r="2208" spans="1:4" x14ac:dyDescent="0.35">
      <c r="A2208">
        <v>0.450874984264374</v>
      </c>
      <c r="B2208">
        <v>15.114945163845499</v>
      </c>
      <c r="C2208">
        <v>-0.40451368689536998</v>
      </c>
      <c r="D2208">
        <v>0.60289979133976002</v>
      </c>
    </row>
    <row r="2209" spans="1:4" x14ac:dyDescent="0.35">
      <c r="A2209">
        <v>0.451478481292725</v>
      </c>
      <c r="B2209">
        <v>15.1377992248688</v>
      </c>
      <c r="C2209">
        <v>-0.40646991133689903</v>
      </c>
      <c r="D2209">
        <v>0.60268883264749695</v>
      </c>
    </row>
    <row r="2210" spans="1:4" x14ac:dyDescent="0.35">
      <c r="A2210">
        <v>0.451707363128662</v>
      </c>
      <c r="B2210">
        <v>15.120160839688699</v>
      </c>
      <c r="C2210">
        <v>-0.40637415647506703</v>
      </c>
      <c r="D2210">
        <v>0.57627575606439996</v>
      </c>
    </row>
    <row r="2211" spans="1:4" x14ac:dyDescent="0.35">
      <c r="A2211">
        <v>0.45218124985694902</v>
      </c>
      <c r="B2211">
        <v>15.125854027827501</v>
      </c>
      <c r="C2211">
        <v>-0.40766543149948098</v>
      </c>
      <c r="D2211">
        <v>0.560557913072953</v>
      </c>
    </row>
    <row r="2212" spans="1:4" x14ac:dyDescent="0.35">
      <c r="A2212">
        <v>0.45302468538284302</v>
      </c>
      <c r="B2212">
        <v>15.117864211462299</v>
      </c>
      <c r="C2212">
        <v>-0.40909329056739802</v>
      </c>
      <c r="D2212">
        <v>0.55540915937384605</v>
      </c>
    </row>
    <row r="2213" spans="1:4" x14ac:dyDescent="0.35">
      <c r="A2213">
        <v>0.45324459671974199</v>
      </c>
      <c r="B2213">
        <v>15.133036617245899</v>
      </c>
      <c r="C2213">
        <v>-0.40915957093238797</v>
      </c>
      <c r="D2213">
        <v>0.55127048430896297</v>
      </c>
    </row>
    <row r="2214" spans="1:4" x14ac:dyDescent="0.35">
      <c r="A2214">
        <v>0.453717231750488</v>
      </c>
      <c r="B2214">
        <v>15.1368624686424</v>
      </c>
      <c r="C2214">
        <v>-0.41159158945083602</v>
      </c>
      <c r="D2214">
        <v>0.54228673879925904</v>
      </c>
    </row>
    <row r="2215" spans="1:4" x14ac:dyDescent="0.35">
      <c r="A2215">
        <v>0.45433086156845098</v>
      </c>
      <c r="B2215">
        <v>15.1259444397942</v>
      </c>
      <c r="C2215">
        <v>-0.41127339005470298</v>
      </c>
      <c r="D2215">
        <v>0.53598055198330397</v>
      </c>
    </row>
    <row r="2216" spans="1:4" x14ac:dyDescent="0.35">
      <c r="A2216">
        <v>0.45489522814750699</v>
      </c>
      <c r="B2216">
        <v>15.1235698939372</v>
      </c>
      <c r="C2216">
        <v>-0.41266512870788602</v>
      </c>
      <c r="D2216">
        <v>0.52849075813032198</v>
      </c>
    </row>
    <row r="2217" spans="1:4" x14ac:dyDescent="0.35">
      <c r="A2217">
        <v>0.45519077777862499</v>
      </c>
      <c r="B2217">
        <v>15.1258597138604</v>
      </c>
      <c r="C2217">
        <v>-0.41453313827514598</v>
      </c>
      <c r="D2217">
        <v>0.52189931284043201</v>
      </c>
    </row>
    <row r="2218" spans="1:4" x14ac:dyDescent="0.35">
      <c r="A2218">
        <v>0.45591914653778098</v>
      </c>
      <c r="B2218">
        <v>15.117727643712</v>
      </c>
      <c r="C2218">
        <v>-0.41415274143219</v>
      </c>
      <c r="D2218">
        <v>0.51192813181954799</v>
      </c>
    </row>
    <row r="2219" spans="1:4" x14ac:dyDescent="0.35">
      <c r="A2219">
        <v>0.45630943775177002</v>
      </c>
      <c r="B2219">
        <v>15.128709259290201</v>
      </c>
      <c r="C2219">
        <v>-0.41596958041191101</v>
      </c>
      <c r="D2219">
        <v>0.49784582916728098</v>
      </c>
    </row>
    <row r="2220" spans="1:4" x14ac:dyDescent="0.35">
      <c r="A2220">
        <v>0.456788569688797</v>
      </c>
      <c r="B2220">
        <v>15.131486004788901</v>
      </c>
      <c r="C2220">
        <v>-0.41688090562820401</v>
      </c>
      <c r="D2220">
        <v>0.485702541305366</v>
      </c>
    </row>
    <row r="2221" spans="1:4" x14ac:dyDescent="0.35">
      <c r="A2221">
        <v>0.45722848176956199</v>
      </c>
      <c r="B2221">
        <v>15.1114392386188</v>
      </c>
      <c r="C2221">
        <v>-0.41760012507438699</v>
      </c>
      <c r="D2221">
        <v>0.48747391937324203</v>
      </c>
    </row>
    <row r="2222" spans="1:4" x14ac:dyDescent="0.35">
      <c r="A2222">
        <v>0.45779997110366799</v>
      </c>
      <c r="B2222">
        <v>15.113526684889001</v>
      </c>
      <c r="C2222">
        <v>-0.41885569691657998</v>
      </c>
      <c r="D2222">
        <v>0.46556415117000599</v>
      </c>
    </row>
    <row r="2223" spans="1:4" x14ac:dyDescent="0.35">
      <c r="A2223">
        <v>0.45825791358947798</v>
      </c>
      <c r="B2223">
        <v>15.1018340574356</v>
      </c>
      <c r="C2223">
        <v>-0.419598698616028</v>
      </c>
      <c r="D2223">
        <v>0.45250656292634001</v>
      </c>
    </row>
    <row r="2224" spans="1:4" x14ac:dyDescent="0.35">
      <c r="A2224">
        <v>0.45876556634902999</v>
      </c>
      <c r="B2224">
        <v>15.093774296950899</v>
      </c>
      <c r="C2224">
        <v>-0.42122071981430098</v>
      </c>
      <c r="D2224">
        <v>0.44007990518496598</v>
      </c>
    </row>
    <row r="2225" spans="1:4" x14ac:dyDescent="0.35">
      <c r="A2225">
        <v>0.45925959944724998</v>
      </c>
      <c r="B2225">
        <v>15.1067707773388</v>
      </c>
      <c r="C2225">
        <v>-0.42251056432723999</v>
      </c>
      <c r="D2225">
        <v>0.44006898889214102</v>
      </c>
    </row>
    <row r="2226" spans="1:4" x14ac:dyDescent="0.35">
      <c r="A2226">
        <v>0.45979207754135099</v>
      </c>
      <c r="B2226">
        <v>15.110755575939001</v>
      </c>
      <c r="C2226">
        <v>-0.42244488000869801</v>
      </c>
      <c r="D2226">
        <v>0.42106547391012</v>
      </c>
    </row>
    <row r="2227" spans="1:4" x14ac:dyDescent="0.35">
      <c r="A2227">
        <v>0.46024975180625899</v>
      </c>
      <c r="B2227">
        <v>15.0926741100555</v>
      </c>
      <c r="C2227">
        <v>-0.42388445138931302</v>
      </c>
      <c r="D2227">
        <v>0.41262954998902102</v>
      </c>
    </row>
    <row r="2228" spans="1:4" x14ac:dyDescent="0.35">
      <c r="A2228">
        <v>0.46081387996673601</v>
      </c>
      <c r="B2228">
        <v>15.103920086672201</v>
      </c>
      <c r="C2228">
        <v>-0.424915581941605</v>
      </c>
      <c r="D2228">
        <v>0.40731075450818099</v>
      </c>
    </row>
    <row r="2229" spans="1:4" x14ac:dyDescent="0.35">
      <c r="A2229">
        <v>0.461281597614288</v>
      </c>
      <c r="B2229">
        <v>15.1002257727811</v>
      </c>
      <c r="C2229">
        <v>-0.425776988267899</v>
      </c>
      <c r="D2229">
        <v>0.40024763991922802</v>
      </c>
    </row>
    <row r="2230" spans="1:4" x14ac:dyDescent="0.35">
      <c r="A2230">
        <v>0.46184214949607799</v>
      </c>
      <c r="B2230">
        <v>15.079445760416499</v>
      </c>
      <c r="C2230">
        <v>-0.42744556069374101</v>
      </c>
      <c r="D2230">
        <v>0.39050991035749499</v>
      </c>
    </row>
    <row r="2231" spans="1:4" x14ac:dyDescent="0.35">
      <c r="A2231">
        <v>0.46220910549163802</v>
      </c>
      <c r="B2231">
        <v>15.083308803926</v>
      </c>
      <c r="C2231">
        <v>-0.427029818296432</v>
      </c>
      <c r="D2231">
        <v>0.38124760455614498</v>
      </c>
    </row>
    <row r="2232" spans="1:4" x14ac:dyDescent="0.35">
      <c r="A2232">
        <v>0.46277314424514798</v>
      </c>
      <c r="B2232">
        <v>15.069540604506599</v>
      </c>
      <c r="C2232">
        <v>-0.42935961484909102</v>
      </c>
      <c r="D2232">
        <v>0.37431681050652199</v>
      </c>
    </row>
    <row r="2233" spans="1:4" x14ac:dyDescent="0.35">
      <c r="A2233">
        <v>0.46340167522430398</v>
      </c>
      <c r="B2233">
        <v>15.080436357397099</v>
      </c>
      <c r="C2233">
        <v>-0.42983570694923401</v>
      </c>
      <c r="D2233">
        <v>0.36429970156319602</v>
      </c>
    </row>
    <row r="2234" spans="1:4" x14ac:dyDescent="0.35">
      <c r="A2234">
        <v>0.46379697322845498</v>
      </c>
      <c r="B2234">
        <v>15.06786725345</v>
      </c>
      <c r="C2234">
        <v>-0.43080633878707902</v>
      </c>
      <c r="D2234">
        <v>0.35838865845113999</v>
      </c>
    </row>
    <row r="2235" spans="1:4" x14ac:dyDescent="0.35">
      <c r="A2235">
        <v>0.46430167555808999</v>
      </c>
      <c r="B2235">
        <v>15.065967965050101</v>
      </c>
      <c r="C2235">
        <v>-0.432151138782501</v>
      </c>
      <c r="D2235">
        <v>0.35171828821970802</v>
      </c>
    </row>
    <row r="2236" spans="1:4" x14ac:dyDescent="0.35">
      <c r="A2236">
        <v>0.46487072110176098</v>
      </c>
      <c r="B2236">
        <v>15.0605510274818</v>
      </c>
      <c r="C2236">
        <v>-0.43234455585479697</v>
      </c>
      <c r="D2236">
        <v>0.33647016649353301</v>
      </c>
    </row>
    <row r="2237" spans="1:4" x14ac:dyDescent="0.35">
      <c r="A2237">
        <v>0.46530887484550498</v>
      </c>
      <c r="B2237">
        <v>15.058776695502701</v>
      </c>
      <c r="C2237">
        <v>-0.43457001447677601</v>
      </c>
      <c r="D2237">
        <v>0.32720068096494898</v>
      </c>
    </row>
    <row r="2238" spans="1:4" x14ac:dyDescent="0.35">
      <c r="A2238">
        <v>0.46567261219024703</v>
      </c>
      <c r="B2238">
        <v>15.059498734507001</v>
      </c>
      <c r="C2238">
        <v>-0.435047537088394</v>
      </c>
      <c r="D2238">
        <v>0.31911774174569901</v>
      </c>
    </row>
    <row r="2239" spans="1:4" x14ac:dyDescent="0.35">
      <c r="A2239">
        <v>0.46619957685470598</v>
      </c>
      <c r="B2239">
        <v>15.0585740099269</v>
      </c>
      <c r="C2239">
        <v>-0.43550896644592302</v>
      </c>
      <c r="D2239">
        <v>0.31263691118471398</v>
      </c>
    </row>
    <row r="2240" spans="1:4" x14ac:dyDescent="0.35">
      <c r="A2240">
        <v>0.466803729534149</v>
      </c>
      <c r="B2240">
        <v>15.051009716721801</v>
      </c>
      <c r="C2240">
        <v>-0.437351614236832</v>
      </c>
      <c r="D2240">
        <v>0.30674856874468698</v>
      </c>
    </row>
    <row r="2241" spans="1:4" x14ac:dyDescent="0.35">
      <c r="A2241">
        <v>0.46726271510124201</v>
      </c>
      <c r="B2241">
        <v>15.0430191522514</v>
      </c>
      <c r="C2241">
        <v>-0.43750444054603599</v>
      </c>
      <c r="D2241">
        <v>0.294094375051279</v>
      </c>
    </row>
    <row r="2242" spans="1:4" x14ac:dyDescent="0.35">
      <c r="A2242">
        <v>0.467776119709015</v>
      </c>
      <c r="B2242">
        <v>15.038731195355901</v>
      </c>
      <c r="C2242">
        <v>-0.43898478150367698</v>
      </c>
      <c r="D2242">
        <v>0.28136140124306502</v>
      </c>
    </row>
    <row r="2243" spans="1:4" x14ac:dyDescent="0.35">
      <c r="A2243">
        <v>0.468358904123306</v>
      </c>
      <c r="B2243">
        <v>15.030705175382399</v>
      </c>
      <c r="C2243">
        <v>-0.440156489610672</v>
      </c>
      <c r="D2243">
        <v>0.281417880295187</v>
      </c>
    </row>
    <row r="2244" spans="1:4" x14ac:dyDescent="0.35">
      <c r="A2244">
        <v>0.46870669722557101</v>
      </c>
      <c r="B2244">
        <v>15.0336081277933</v>
      </c>
      <c r="C2244">
        <v>-0.44094261527061501</v>
      </c>
      <c r="D2244">
        <v>0.26869464709329299</v>
      </c>
    </row>
    <row r="2245" spans="1:4" x14ac:dyDescent="0.35">
      <c r="A2245">
        <v>0.46924617886543302</v>
      </c>
      <c r="B2245">
        <v>15.031539638490299</v>
      </c>
      <c r="C2245">
        <v>-0.44187712669372597</v>
      </c>
      <c r="D2245">
        <v>0.266388562335654</v>
      </c>
    </row>
    <row r="2246" spans="1:4" x14ac:dyDescent="0.35">
      <c r="A2246">
        <v>0.46985363960266102</v>
      </c>
      <c r="B2246">
        <v>15.016277280973201</v>
      </c>
      <c r="C2246">
        <v>-0.442781001329422</v>
      </c>
      <c r="D2246">
        <v>0.25440177678217402</v>
      </c>
    </row>
    <row r="2247" spans="1:4" x14ac:dyDescent="0.35">
      <c r="A2247">
        <v>0.47028928995132402</v>
      </c>
      <c r="B2247">
        <v>15.018158772961</v>
      </c>
      <c r="C2247">
        <v>-0.44385668635368303</v>
      </c>
      <c r="D2247">
        <v>0.248934064248333</v>
      </c>
    </row>
    <row r="2248" spans="1:4" x14ac:dyDescent="0.35">
      <c r="A2248">
        <v>0.47064238786697399</v>
      </c>
      <c r="B2248">
        <v>15.012636822639999</v>
      </c>
      <c r="C2248">
        <v>-0.44573643803596502</v>
      </c>
      <c r="D2248">
        <v>0.23609909184497099</v>
      </c>
    </row>
    <row r="2249" spans="1:4" x14ac:dyDescent="0.35">
      <c r="A2249">
        <v>0.47130727767944303</v>
      </c>
      <c r="B2249">
        <v>15.015480197037601</v>
      </c>
      <c r="C2249">
        <v>-0.44554674625396701</v>
      </c>
      <c r="D2249">
        <v>0.23062154571326801</v>
      </c>
    </row>
    <row r="2250" spans="1:4" x14ac:dyDescent="0.35">
      <c r="A2250">
        <v>0.47160109877586398</v>
      </c>
      <c r="B2250">
        <v>15.0133473203775</v>
      </c>
      <c r="C2250">
        <v>-0.44675800204277</v>
      </c>
      <c r="D2250">
        <v>0.22070191989608401</v>
      </c>
    </row>
    <row r="2251" spans="1:4" x14ac:dyDescent="0.35">
      <c r="A2251">
        <v>0.47216719388961798</v>
      </c>
      <c r="B2251">
        <v>15.0004925053129</v>
      </c>
      <c r="C2251">
        <v>-0.447944015264511</v>
      </c>
      <c r="D2251">
        <v>0.21386588940276099</v>
      </c>
    </row>
    <row r="2252" spans="1:4" x14ac:dyDescent="0.35">
      <c r="A2252">
        <v>0.47277325391769398</v>
      </c>
      <c r="B2252">
        <v>14.987926952003701</v>
      </c>
      <c r="C2252">
        <v>-0.44813790917396501</v>
      </c>
      <c r="D2252">
        <v>0.20828520355685801</v>
      </c>
    </row>
    <row r="2253" spans="1:4" x14ac:dyDescent="0.35">
      <c r="A2253">
        <v>0.47331395745277399</v>
      </c>
      <c r="B2253">
        <v>14.9972476965378</v>
      </c>
      <c r="C2253">
        <v>-0.45053139328956598</v>
      </c>
      <c r="D2253">
        <v>0.20150381152629701</v>
      </c>
    </row>
    <row r="2254" spans="1:4" x14ac:dyDescent="0.35">
      <c r="A2254">
        <v>0.47350057959556602</v>
      </c>
      <c r="B2254">
        <v>14.989875176313401</v>
      </c>
      <c r="C2254">
        <v>-0.45032262802124001</v>
      </c>
      <c r="D2254">
        <v>0.19438542727081101</v>
      </c>
    </row>
    <row r="2255" spans="1:4" x14ac:dyDescent="0.35">
      <c r="A2255">
        <v>0.47422578930854797</v>
      </c>
      <c r="B2255">
        <v>14.994036991887899</v>
      </c>
      <c r="C2255">
        <v>-0.451605975627899</v>
      </c>
      <c r="D2255">
        <v>0.184688015796456</v>
      </c>
    </row>
    <row r="2256" spans="1:4" x14ac:dyDescent="0.35">
      <c r="A2256">
        <v>0.47466579079628002</v>
      </c>
      <c r="B2256">
        <v>14.9908982132188</v>
      </c>
      <c r="C2256">
        <v>-0.45371285080909701</v>
      </c>
      <c r="D2256">
        <v>0.180942540455484</v>
      </c>
    </row>
    <row r="2257" spans="1:4" x14ac:dyDescent="0.35">
      <c r="A2257">
        <v>0.475010335445404</v>
      </c>
      <c r="B2257">
        <v>14.982276940137901</v>
      </c>
      <c r="C2257">
        <v>-0.45343816280365001</v>
      </c>
      <c r="D2257">
        <v>0.170519421495513</v>
      </c>
    </row>
    <row r="2258" spans="1:4" x14ac:dyDescent="0.35">
      <c r="A2258">
        <v>0.47564527392387401</v>
      </c>
      <c r="B2258">
        <v>14.972486760866801</v>
      </c>
      <c r="C2258">
        <v>-0.45474177598953203</v>
      </c>
      <c r="D2258">
        <v>0.16325773628874701</v>
      </c>
    </row>
    <row r="2259" spans="1:4" x14ac:dyDescent="0.35">
      <c r="A2259">
        <v>0.47627079486846902</v>
      </c>
      <c r="B2259">
        <v>14.988440318876201</v>
      </c>
      <c r="C2259">
        <v>-0.45627292990684498</v>
      </c>
      <c r="D2259">
        <v>0.15937087476839601</v>
      </c>
    </row>
    <row r="2260" spans="1:4" x14ac:dyDescent="0.35">
      <c r="A2260">
        <v>0.47659313678741499</v>
      </c>
      <c r="B2260">
        <v>14.9729457829675</v>
      </c>
      <c r="C2260">
        <v>-0.456241846084595</v>
      </c>
      <c r="D2260">
        <v>0.15476115235632801</v>
      </c>
    </row>
    <row r="2261" spans="1:4" x14ac:dyDescent="0.35">
      <c r="A2261">
        <v>0.47712951898574801</v>
      </c>
      <c r="B2261">
        <v>14.965116700550301</v>
      </c>
      <c r="C2261">
        <v>-0.458301842212677</v>
      </c>
      <c r="D2261">
        <v>0.14668884631830401</v>
      </c>
    </row>
    <row r="2262" spans="1:4" x14ac:dyDescent="0.35">
      <c r="A2262">
        <v>0.47757178544998202</v>
      </c>
      <c r="B2262">
        <v>14.9590958533873</v>
      </c>
      <c r="C2262">
        <v>-0.458847045898438</v>
      </c>
      <c r="D2262">
        <v>0.13457329083334801</v>
      </c>
    </row>
    <row r="2263" spans="1:4" x14ac:dyDescent="0.35">
      <c r="A2263">
        <v>0.47816622257232699</v>
      </c>
      <c r="B2263">
        <v>14.972470623927</v>
      </c>
      <c r="C2263">
        <v>-0.46005973219871499</v>
      </c>
      <c r="D2263">
        <v>0.12869915301531901</v>
      </c>
    </row>
    <row r="2264" spans="1:4" x14ac:dyDescent="0.35">
      <c r="A2264">
        <v>0.47862195968627902</v>
      </c>
      <c r="B2264">
        <v>14.9549746001807</v>
      </c>
      <c r="C2264">
        <v>-0.46140688657760598</v>
      </c>
      <c r="D2264">
        <v>0.122240008022321</v>
      </c>
    </row>
    <row r="2265" spans="1:4" x14ac:dyDescent="0.35">
      <c r="A2265">
        <v>0.47914898395538302</v>
      </c>
      <c r="B2265">
        <v>14.9707757813472</v>
      </c>
      <c r="C2265">
        <v>-0.461355000734329</v>
      </c>
      <c r="D2265">
        <v>0.113835542611972</v>
      </c>
    </row>
    <row r="2266" spans="1:4" x14ac:dyDescent="0.35">
      <c r="A2266">
        <v>0.47962707281112699</v>
      </c>
      <c r="B2266">
        <v>14.948218774212799</v>
      </c>
      <c r="C2266">
        <v>-0.46311217546463002</v>
      </c>
      <c r="D2266">
        <v>0.110838779325571</v>
      </c>
    </row>
    <row r="2267" spans="1:4" x14ac:dyDescent="0.35">
      <c r="A2267">
        <v>0.48023685812950101</v>
      </c>
      <c r="B2267">
        <v>14.943717052883599</v>
      </c>
      <c r="C2267">
        <v>-0.46422696113586398</v>
      </c>
      <c r="D2267">
        <v>0.102987732498257</v>
      </c>
    </row>
    <row r="2268" spans="1:4" x14ac:dyDescent="0.35">
      <c r="A2268">
        <v>0.48061636090278598</v>
      </c>
      <c r="B2268">
        <v>14.9334147024956</v>
      </c>
      <c r="C2268">
        <v>-0.46465733647346502</v>
      </c>
      <c r="D2268">
        <v>9.2214367788529997E-2</v>
      </c>
    </row>
    <row r="2269" spans="1:4" x14ac:dyDescent="0.35">
      <c r="A2269">
        <v>0.48130863904952997</v>
      </c>
      <c r="B2269">
        <v>14.9393229734426</v>
      </c>
      <c r="C2269">
        <v>-0.466088056564331</v>
      </c>
      <c r="D2269">
        <v>8.8905955976306003E-2</v>
      </c>
    </row>
    <row r="2270" spans="1:4" x14ac:dyDescent="0.35">
      <c r="A2270">
        <v>0.48172518610954301</v>
      </c>
      <c r="B2270">
        <v>14.9356994648557</v>
      </c>
      <c r="C2270">
        <v>-0.46655520796775801</v>
      </c>
      <c r="D2270">
        <v>8.3677051777948E-2</v>
      </c>
    </row>
    <row r="2271" spans="1:4" x14ac:dyDescent="0.35">
      <c r="A2271">
        <v>0.48219069838523898</v>
      </c>
      <c r="B2271">
        <v>14.931696606052499</v>
      </c>
      <c r="C2271">
        <v>-0.46858015656471302</v>
      </c>
      <c r="D2271">
        <v>7.3851378609400997E-2</v>
      </c>
    </row>
    <row r="2272" spans="1:4" x14ac:dyDescent="0.35">
      <c r="A2272">
        <v>0.48265817761421198</v>
      </c>
      <c r="B2272">
        <v>14.9381393553563</v>
      </c>
      <c r="C2272">
        <v>-0.46943962574005099</v>
      </c>
      <c r="D2272">
        <v>6.8619874154710006E-2</v>
      </c>
    </row>
    <row r="2273" spans="1:4" x14ac:dyDescent="0.35">
      <c r="A2273">
        <v>0.48325505852699302</v>
      </c>
      <c r="B2273">
        <v>14.935438908671999</v>
      </c>
      <c r="C2273">
        <v>-0.469489455223083</v>
      </c>
      <c r="D2273">
        <v>6.1594692808534003E-2</v>
      </c>
    </row>
    <row r="2274" spans="1:4" x14ac:dyDescent="0.35">
      <c r="A2274">
        <v>0.48369508981704701</v>
      </c>
      <c r="B2274">
        <v>14.8997132587783</v>
      </c>
      <c r="C2274">
        <v>-0.471644908189774</v>
      </c>
      <c r="D2274">
        <v>5.5269748920648003E-2</v>
      </c>
    </row>
    <row r="2275" spans="1:4" x14ac:dyDescent="0.35">
      <c r="A2275">
        <v>0.48420476913452098</v>
      </c>
      <c r="B2275">
        <v>14.9302323884824</v>
      </c>
      <c r="C2275">
        <v>-0.471879482269287</v>
      </c>
      <c r="D2275">
        <v>5.1687160033031997E-2</v>
      </c>
    </row>
    <row r="2276" spans="1:4" x14ac:dyDescent="0.35">
      <c r="A2276">
        <v>0.48474565148353599</v>
      </c>
      <c r="B2276">
        <v>14.923656568663899</v>
      </c>
      <c r="C2276">
        <v>-0.47316628694534302</v>
      </c>
      <c r="D2276">
        <v>4.7754823878555001E-2</v>
      </c>
    </row>
    <row r="2277" spans="1:4" x14ac:dyDescent="0.35">
      <c r="A2277">
        <v>0.48531287908554099</v>
      </c>
      <c r="B2277">
        <v>14.911512968948699</v>
      </c>
      <c r="C2277">
        <v>-0.47427165508270303</v>
      </c>
      <c r="D2277">
        <v>4.4553224045755999E-2</v>
      </c>
    </row>
    <row r="2278" spans="1:4" x14ac:dyDescent="0.35">
      <c r="A2278">
        <v>0.48561185598373402</v>
      </c>
      <c r="B2278">
        <v>14.9214426382481</v>
      </c>
      <c r="C2278">
        <v>-0.474312543869019</v>
      </c>
      <c r="D2278">
        <v>3.7777547375146998E-2</v>
      </c>
    </row>
    <row r="2279" spans="1:4" x14ac:dyDescent="0.35">
      <c r="A2279">
        <v>0.48625642061233498</v>
      </c>
      <c r="B2279">
        <v>14.8812143744798</v>
      </c>
      <c r="C2279">
        <v>-0.476402878761292</v>
      </c>
      <c r="D2279">
        <v>2.8106999518697998E-2</v>
      </c>
    </row>
    <row r="2280" spans="1:4" x14ac:dyDescent="0.35">
      <c r="A2280">
        <v>0.48675781488418601</v>
      </c>
      <c r="B2280">
        <v>14.904266875041399</v>
      </c>
      <c r="C2280">
        <v>-0.47713905572891202</v>
      </c>
      <c r="D2280">
        <v>2.3279464105226001E-2</v>
      </c>
    </row>
    <row r="2281" spans="1:4" x14ac:dyDescent="0.35">
      <c r="A2281">
        <v>0.487084239721298</v>
      </c>
      <c r="B2281">
        <v>14.903333055192901</v>
      </c>
      <c r="C2281">
        <v>-0.47760891914367698</v>
      </c>
      <c r="D2281">
        <v>1.5871822826228E-2</v>
      </c>
    </row>
    <row r="2282" spans="1:4" x14ac:dyDescent="0.35">
      <c r="A2282">
        <v>0.48761439323425299</v>
      </c>
      <c r="B2282">
        <v>14.906559173542</v>
      </c>
      <c r="C2282">
        <v>-0.47969457507133501</v>
      </c>
      <c r="D2282">
        <v>9.8836056956940008E-3</v>
      </c>
    </row>
    <row r="2283" spans="1:4" x14ac:dyDescent="0.35">
      <c r="A2283">
        <v>0.48827061057090798</v>
      </c>
      <c r="B2283">
        <v>14.8835636269052</v>
      </c>
      <c r="C2283">
        <v>-0.47974357008933999</v>
      </c>
      <c r="D2283">
        <v>5.5301596760100004E-3</v>
      </c>
    </row>
    <row r="2284" spans="1:4" x14ac:dyDescent="0.35">
      <c r="A2284">
        <v>0.48857066035270702</v>
      </c>
      <c r="B2284">
        <v>14.895960580295601</v>
      </c>
      <c r="C2284">
        <v>-0.48093777894973799</v>
      </c>
      <c r="D2284">
        <v>-5.6556318846000004E-4</v>
      </c>
    </row>
    <row r="2285" spans="1:4" x14ac:dyDescent="0.35">
      <c r="A2285">
        <v>0.48904991149902299</v>
      </c>
      <c r="B2285">
        <v>14.886751630493301</v>
      </c>
      <c r="C2285">
        <v>-0.48040312528610202</v>
      </c>
      <c r="D2285">
        <v>-2.1541263492760002E-3</v>
      </c>
    </row>
    <row r="2286" spans="1:4" x14ac:dyDescent="0.35">
      <c r="A2286">
        <v>0.48967838287353499</v>
      </c>
      <c r="B2286">
        <v>14.886444845539399</v>
      </c>
      <c r="C2286">
        <v>-0.48095166683196999</v>
      </c>
      <c r="D2286">
        <v>-3.815187809814E-3</v>
      </c>
    </row>
    <row r="2287" spans="1:4" x14ac:dyDescent="0.35">
      <c r="A2287">
        <v>0.49013561010360701</v>
      </c>
      <c r="B2287">
        <v>14.8788069295657</v>
      </c>
      <c r="C2287">
        <v>-0.48278906941413902</v>
      </c>
      <c r="D2287">
        <v>-7.8436701539489999E-3</v>
      </c>
    </row>
    <row r="2288" spans="1:4" x14ac:dyDescent="0.35">
      <c r="A2288">
        <v>0.49058598279952997</v>
      </c>
      <c r="B2288">
        <v>14.8781973277519</v>
      </c>
      <c r="C2288">
        <v>-0.48384562134742698</v>
      </c>
      <c r="D2288">
        <v>-1.1603360027854E-2</v>
      </c>
    </row>
    <row r="2289" spans="1:4" x14ac:dyDescent="0.35">
      <c r="A2289">
        <v>0.49123805761337302</v>
      </c>
      <c r="B2289">
        <v>14.8614590452803</v>
      </c>
      <c r="C2289">
        <v>-0.48369923233985901</v>
      </c>
      <c r="D2289">
        <v>-1.9206471091294999E-2</v>
      </c>
    </row>
    <row r="2290" spans="1:4" x14ac:dyDescent="0.35">
      <c r="A2290">
        <v>0.49156683683395402</v>
      </c>
      <c r="B2290">
        <v>14.8680267625192</v>
      </c>
      <c r="C2290">
        <v>-0.48538920283317599</v>
      </c>
      <c r="D2290">
        <v>-2.410133089963E-2</v>
      </c>
    </row>
    <row r="2291" spans="1:4" x14ac:dyDescent="0.35">
      <c r="A2291">
        <v>0.49227982759475702</v>
      </c>
      <c r="B2291">
        <v>14.8702751085501</v>
      </c>
      <c r="C2291">
        <v>-0.48610094189643899</v>
      </c>
      <c r="D2291">
        <v>-2.8467833467272E-2</v>
      </c>
    </row>
    <row r="2292" spans="1:4" x14ac:dyDescent="0.35">
      <c r="A2292">
        <v>0.49253460764884899</v>
      </c>
      <c r="B2292">
        <v>14.855493622452499</v>
      </c>
      <c r="C2292">
        <v>-0.48768308758735701</v>
      </c>
      <c r="D2292">
        <v>-3.0872246290327001E-2</v>
      </c>
    </row>
    <row r="2293" spans="1:4" x14ac:dyDescent="0.35">
      <c r="A2293">
        <v>0.49308794736862199</v>
      </c>
      <c r="B2293">
        <v>14.8582595356774</v>
      </c>
      <c r="C2293">
        <v>-0.48849099874496499</v>
      </c>
      <c r="D2293">
        <v>-4.0021440669143003E-2</v>
      </c>
    </row>
    <row r="2294" spans="1:4" x14ac:dyDescent="0.35">
      <c r="A2294">
        <v>0.49378845095634499</v>
      </c>
      <c r="B2294">
        <v>14.856409323812899</v>
      </c>
      <c r="C2294">
        <v>-0.48909986019134499</v>
      </c>
      <c r="D2294">
        <v>-4.2972871295388002E-2</v>
      </c>
    </row>
    <row r="2295" spans="1:4" x14ac:dyDescent="0.35">
      <c r="A2295">
        <v>0.49424859881401101</v>
      </c>
      <c r="B2295">
        <v>14.837202530639001</v>
      </c>
      <c r="C2295">
        <v>-0.49060717225074801</v>
      </c>
      <c r="D2295">
        <v>-4.5763848594135001E-2</v>
      </c>
    </row>
    <row r="2296" spans="1:4" x14ac:dyDescent="0.35">
      <c r="A2296">
        <v>0.49472489953041099</v>
      </c>
      <c r="B2296">
        <v>14.846035353705799</v>
      </c>
      <c r="C2296">
        <v>-0.49153771996498102</v>
      </c>
      <c r="D2296">
        <v>-5.2152706369868997E-2</v>
      </c>
    </row>
    <row r="2297" spans="1:4" x14ac:dyDescent="0.35">
      <c r="A2297">
        <v>0.49529927968978898</v>
      </c>
      <c r="B2297">
        <v>14.835844496140099</v>
      </c>
      <c r="C2297">
        <v>-0.492032080888748</v>
      </c>
      <c r="D2297">
        <v>-5.5466578875351003E-2</v>
      </c>
    </row>
    <row r="2298" spans="1:4" x14ac:dyDescent="0.35">
      <c r="A2298">
        <v>0.49575075507164001</v>
      </c>
      <c r="B2298">
        <v>14.832176794921599</v>
      </c>
      <c r="C2298">
        <v>-0.49390655755996699</v>
      </c>
      <c r="D2298">
        <v>-6.2659872747491005E-2</v>
      </c>
    </row>
    <row r="2299" spans="1:4" x14ac:dyDescent="0.35">
      <c r="A2299">
        <v>0.49606919288635298</v>
      </c>
      <c r="B2299">
        <v>14.836308309947899</v>
      </c>
      <c r="C2299">
        <v>-0.49378767609596302</v>
      </c>
      <c r="D2299">
        <v>-6.8204846171440001E-2</v>
      </c>
    </row>
    <row r="2300" spans="1:4" x14ac:dyDescent="0.35">
      <c r="A2300">
        <v>0.496722161769867</v>
      </c>
      <c r="B2300">
        <v>14.8269501283342</v>
      </c>
      <c r="C2300">
        <v>-0.49537718296050998</v>
      </c>
      <c r="D2300">
        <v>-7.1536731943702997E-2</v>
      </c>
    </row>
    <row r="2301" spans="1:4" x14ac:dyDescent="0.35">
      <c r="A2301">
        <v>0.497270077466965</v>
      </c>
      <c r="B2301">
        <v>14.8223142725919</v>
      </c>
      <c r="C2301">
        <v>-0.49654799699783297</v>
      </c>
      <c r="D2301">
        <v>-7.5668357968859998E-2</v>
      </c>
    </row>
    <row r="2302" spans="1:4" x14ac:dyDescent="0.35">
      <c r="A2302">
        <v>0.497590601444244</v>
      </c>
      <c r="B2302">
        <v>14.814720374783199</v>
      </c>
      <c r="C2302">
        <v>-0.496706932783127</v>
      </c>
      <c r="D2302">
        <v>-8.1564064366871997E-2</v>
      </c>
    </row>
    <row r="2303" spans="1:4" x14ac:dyDescent="0.35">
      <c r="A2303">
        <v>0.49825814366340598</v>
      </c>
      <c r="B2303">
        <v>14.812673441760699</v>
      </c>
      <c r="C2303">
        <v>-0.49906527996063199</v>
      </c>
      <c r="D2303">
        <v>-8.0832353633481999E-2</v>
      </c>
    </row>
    <row r="2304" spans="1:4" x14ac:dyDescent="0.35">
      <c r="A2304">
        <v>0.49887830018997198</v>
      </c>
      <c r="B2304">
        <v>14.7978542129877</v>
      </c>
      <c r="C2304">
        <v>-0.499088555574417</v>
      </c>
      <c r="D2304">
        <v>-8.3732165547929005E-2</v>
      </c>
    </row>
    <row r="2305" spans="1:4" x14ac:dyDescent="0.35">
      <c r="A2305">
        <v>0.49925905466079701</v>
      </c>
      <c r="B2305">
        <v>14.7957768725049</v>
      </c>
      <c r="C2305">
        <v>-0.49992674589157099</v>
      </c>
      <c r="D2305">
        <v>-8.4637755688403996E-2</v>
      </c>
    </row>
    <row r="2306" spans="1:4" x14ac:dyDescent="0.35">
      <c r="A2306">
        <v>0.49961283802986101</v>
      </c>
      <c r="B2306">
        <v>14.798309257898399</v>
      </c>
      <c r="C2306">
        <v>-0.501933753490448</v>
      </c>
      <c r="D2306">
        <v>-9.1191183369861997E-2</v>
      </c>
    </row>
    <row r="2307" spans="1:4" x14ac:dyDescent="0.35">
      <c r="A2307">
        <v>0.50036358833312999</v>
      </c>
      <c r="B2307">
        <v>14.7932577139161</v>
      </c>
      <c r="C2307">
        <v>-0.50272196531295799</v>
      </c>
      <c r="D2307">
        <v>-9.8510849769400999E-2</v>
      </c>
    </row>
    <row r="2308" spans="1:4" x14ac:dyDescent="0.35">
      <c r="A2308">
        <v>0.50080478191375699</v>
      </c>
      <c r="B2308">
        <v>14.7859384663869</v>
      </c>
      <c r="C2308">
        <v>-0.50297230482101396</v>
      </c>
      <c r="D2308">
        <v>-0.100648029314836</v>
      </c>
    </row>
    <row r="2309" spans="1:4" x14ac:dyDescent="0.35">
      <c r="A2309">
        <v>0.50130891799926802</v>
      </c>
      <c r="B2309">
        <v>14.787007607785499</v>
      </c>
      <c r="C2309">
        <v>-0.50464099645614602</v>
      </c>
      <c r="D2309">
        <v>-0.10711248144216499</v>
      </c>
    </row>
    <row r="2310" spans="1:4" x14ac:dyDescent="0.35">
      <c r="A2310">
        <v>0.50171202421188399</v>
      </c>
      <c r="B2310">
        <v>14.756332527598399</v>
      </c>
      <c r="C2310">
        <v>-0.50482982397079501</v>
      </c>
      <c r="D2310">
        <v>-0.106951157999497</v>
      </c>
    </row>
    <row r="2311" spans="1:4" x14ac:dyDescent="0.35">
      <c r="A2311">
        <v>0.50232177972793601</v>
      </c>
      <c r="B2311">
        <v>14.765616486953601</v>
      </c>
      <c r="C2311">
        <v>-0.506749987602234</v>
      </c>
      <c r="D2311">
        <v>-0.10725147882094201</v>
      </c>
    </row>
    <row r="2312" spans="1:4" x14ac:dyDescent="0.35">
      <c r="A2312">
        <v>0.50278723239898704</v>
      </c>
      <c r="B2312">
        <v>14.771060784408901</v>
      </c>
      <c r="C2312">
        <v>-0.50769639015197798</v>
      </c>
      <c r="D2312">
        <v>-0.108944707575858</v>
      </c>
    </row>
    <row r="2313" spans="1:4" x14ac:dyDescent="0.35">
      <c r="A2313">
        <v>0.50327783823013295</v>
      </c>
      <c r="B2313">
        <v>14.7592758494617</v>
      </c>
      <c r="C2313">
        <v>-0.50772911310195901</v>
      </c>
      <c r="D2313">
        <v>-0.115222988844184</v>
      </c>
    </row>
    <row r="2314" spans="1:4" x14ac:dyDescent="0.35">
      <c r="A2314">
        <v>0.50388216972351096</v>
      </c>
      <c r="B2314">
        <v>14.759057989387401</v>
      </c>
      <c r="C2314">
        <v>-0.51008808612823497</v>
      </c>
      <c r="D2314">
        <v>-0.119114086348811</v>
      </c>
    </row>
    <row r="2315" spans="1:4" x14ac:dyDescent="0.35">
      <c r="A2315">
        <v>0.50423961877822898</v>
      </c>
      <c r="B2315">
        <v>14.7338048389903</v>
      </c>
      <c r="C2315">
        <v>-0.51097208261489901</v>
      </c>
      <c r="D2315">
        <v>-0.121255308551019</v>
      </c>
    </row>
    <row r="2316" spans="1:4" x14ac:dyDescent="0.35">
      <c r="A2316">
        <v>0.504663586616516</v>
      </c>
      <c r="B2316">
        <v>14.737369784344899</v>
      </c>
      <c r="C2316">
        <v>-0.51077896356582597</v>
      </c>
      <c r="D2316">
        <v>-0.121173699854839</v>
      </c>
    </row>
    <row r="2317" spans="1:4" x14ac:dyDescent="0.35">
      <c r="A2317">
        <v>0.50520962476730302</v>
      </c>
      <c r="B2317">
        <v>14.7395451891152</v>
      </c>
      <c r="C2317">
        <v>-0.51251316070556596</v>
      </c>
      <c r="D2317">
        <v>-0.126394259714292</v>
      </c>
    </row>
    <row r="2318" spans="1:4" x14ac:dyDescent="0.35">
      <c r="A2318">
        <v>0.50586348772048995</v>
      </c>
      <c r="B2318">
        <v>14.7343307075291</v>
      </c>
      <c r="C2318">
        <v>-0.51302045583724998</v>
      </c>
      <c r="D2318">
        <v>-0.13055287476719099</v>
      </c>
    </row>
    <row r="2319" spans="1:4" x14ac:dyDescent="0.35">
      <c r="A2319">
        <v>0.50632894039154097</v>
      </c>
      <c r="B2319">
        <v>14.7396800719507</v>
      </c>
      <c r="C2319">
        <v>-0.51492369174957298</v>
      </c>
      <c r="D2319">
        <v>-0.13064895772712501</v>
      </c>
    </row>
    <row r="2320" spans="1:4" x14ac:dyDescent="0.35">
      <c r="A2320">
        <v>0.50668329000473</v>
      </c>
      <c r="B2320">
        <v>14.7271443740021</v>
      </c>
      <c r="C2320">
        <v>-0.51550072431564298</v>
      </c>
      <c r="D2320">
        <v>-0.13299447175277501</v>
      </c>
    </row>
    <row r="2321" spans="1:4" x14ac:dyDescent="0.35">
      <c r="A2321">
        <v>0.50715410709381104</v>
      </c>
      <c r="B2321">
        <v>14.720633992638501</v>
      </c>
      <c r="C2321">
        <v>-0.51584017276763905</v>
      </c>
      <c r="D2321">
        <v>-0.134198984614048</v>
      </c>
    </row>
    <row r="2322" spans="1:4" x14ac:dyDescent="0.35">
      <c r="A2322">
        <v>0.50772100687027</v>
      </c>
      <c r="B2322">
        <v>14.711395570962599</v>
      </c>
      <c r="C2322">
        <v>-0.51792019605636597</v>
      </c>
      <c r="D2322">
        <v>-0.135627202463249</v>
      </c>
    </row>
    <row r="2323" spans="1:4" x14ac:dyDescent="0.35">
      <c r="A2323">
        <v>0.50831347703933705</v>
      </c>
      <c r="B2323">
        <v>14.7048572987139</v>
      </c>
      <c r="C2323">
        <v>-0.51835751533508301</v>
      </c>
      <c r="D2323">
        <v>-0.13865193022201699</v>
      </c>
    </row>
    <row r="2324" spans="1:4" x14ac:dyDescent="0.35">
      <c r="A2324">
        <v>0.50871115922927901</v>
      </c>
      <c r="B2324">
        <v>14.7065812028788</v>
      </c>
      <c r="C2324">
        <v>-0.51914960145950295</v>
      </c>
      <c r="D2324">
        <v>-0.14054955215676701</v>
      </c>
    </row>
    <row r="2325" spans="1:4" x14ac:dyDescent="0.35">
      <c r="A2325">
        <v>0.50926142930984497</v>
      </c>
      <c r="B2325">
        <v>14.6948626747922</v>
      </c>
      <c r="C2325">
        <v>-0.52085894346237205</v>
      </c>
      <c r="D2325">
        <v>-0.14075292428094899</v>
      </c>
    </row>
    <row r="2326" spans="1:4" x14ac:dyDescent="0.35">
      <c r="A2326">
        <v>0.50975543260574296</v>
      </c>
      <c r="B2326">
        <v>14.6944002674781</v>
      </c>
      <c r="C2326">
        <v>-0.52081757783889804</v>
      </c>
      <c r="D2326">
        <v>-0.144109867266736</v>
      </c>
    </row>
    <row r="2327" spans="1:4" x14ac:dyDescent="0.35">
      <c r="A2327">
        <v>0.51016891002654996</v>
      </c>
      <c r="B2327">
        <v>14.698175581024801</v>
      </c>
      <c r="C2327">
        <v>-0.52295625209808305</v>
      </c>
      <c r="D2327">
        <v>-0.14482249024018401</v>
      </c>
    </row>
    <row r="2328" spans="1:4" x14ac:dyDescent="0.35">
      <c r="A2328">
        <v>0.51054221391677901</v>
      </c>
      <c r="B2328">
        <v>14.68715884231</v>
      </c>
      <c r="C2328">
        <v>-0.52325540781021096</v>
      </c>
      <c r="D2328">
        <v>-0.145069973529909</v>
      </c>
    </row>
    <row r="2329" spans="1:4" x14ac:dyDescent="0.35">
      <c r="A2329">
        <v>0.51127243041992199</v>
      </c>
      <c r="B2329">
        <v>14.6711615237478</v>
      </c>
      <c r="C2329">
        <v>-0.52424716949462902</v>
      </c>
      <c r="D2329">
        <v>-0.146169271556361</v>
      </c>
    </row>
    <row r="2330" spans="1:4" x14ac:dyDescent="0.35">
      <c r="A2330">
        <v>0.511671543121338</v>
      </c>
      <c r="B2330">
        <v>14.6886406033029</v>
      </c>
      <c r="C2330">
        <v>-0.52643781900405895</v>
      </c>
      <c r="D2330">
        <v>-0.14994681837398</v>
      </c>
    </row>
    <row r="2331" spans="1:4" x14ac:dyDescent="0.35">
      <c r="A2331">
        <v>0.51219481229782104</v>
      </c>
      <c r="B2331">
        <v>14.670905956422899</v>
      </c>
      <c r="C2331">
        <v>-0.52559345960617099</v>
      </c>
      <c r="D2331">
        <v>-0.14636020682293399</v>
      </c>
    </row>
    <row r="2332" spans="1:4" x14ac:dyDescent="0.35">
      <c r="A2332">
        <v>0.51263475418090798</v>
      </c>
      <c r="B2332">
        <v>14.668161029583899</v>
      </c>
      <c r="C2332">
        <v>-0.52694469690322898</v>
      </c>
      <c r="D2332">
        <v>-0.15468192429965799</v>
      </c>
    </row>
    <row r="2333" spans="1:4" x14ac:dyDescent="0.35">
      <c r="A2333">
        <v>0.51306015253067005</v>
      </c>
      <c r="B2333">
        <v>14.665650202821</v>
      </c>
      <c r="C2333">
        <v>-0.52883851528167702</v>
      </c>
      <c r="D2333">
        <v>-0.152774269436426</v>
      </c>
    </row>
    <row r="2334" spans="1:4" x14ac:dyDescent="0.35">
      <c r="A2334">
        <v>0.51351267099380504</v>
      </c>
      <c r="B2334">
        <v>14.641919660527799</v>
      </c>
      <c r="C2334">
        <v>-0.52886724472045898</v>
      </c>
      <c r="D2334">
        <v>-0.151261208511039</v>
      </c>
    </row>
    <row r="2335" spans="1:4" x14ac:dyDescent="0.35">
      <c r="A2335">
        <v>0.514218389987946</v>
      </c>
      <c r="B2335">
        <v>14.6493314372019</v>
      </c>
      <c r="C2335">
        <v>-0.53059208393096902</v>
      </c>
      <c r="D2335">
        <v>-0.15316880777900699</v>
      </c>
    </row>
    <row r="2336" spans="1:4" x14ac:dyDescent="0.35">
      <c r="A2336">
        <v>0.51468974351882901</v>
      </c>
      <c r="B2336">
        <v>14.6539873144342</v>
      </c>
      <c r="C2336">
        <v>-0.53124696016311601</v>
      </c>
      <c r="D2336">
        <v>-0.15078240018106001</v>
      </c>
    </row>
    <row r="2337" spans="1:4" x14ac:dyDescent="0.35">
      <c r="A2337">
        <v>0.51512908935546897</v>
      </c>
      <c r="B2337">
        <v>14.6439258842185</v>
      </c>
      <c r="C2337">
        <v>-0.53218460083007801</v>
      </c>
      <c r="D2337">
        <v>-0.15281104718389699</v>
      </c>
    </row>
    <row r="2338" spans="1:4" x14ac:dyDescent="0.35">
      <c r="A2338">
        <v>0.51562446355819702</v>
      </c>
      <c r="B2338">
        <v>14.6386776071831</v>
      </c>
      <c r="C2338">
        <v>-0.53434848785400402</v>
      </c>
      <c r="D2338">
        <v>-0.15915860292606501</v>
      </c>
    </row>
    <row r="2339" spans="1:4" x14ac:dyDescent="0.35">
      <c r="A2339">
        <v>0.51606780290603604</v>
      </c>
      <c r="B2339">
        <v>14.632537082462401</v>
      </c>
      <c r="C2339">
        <v>-0.53419446945190396</v>
      </c>
      <c r="D2339">
        <v>-0.158296129375918</v>
      </c>
    </row>
    <row r="2340" spans="1:4" x14ac:dyDescent="0.35">
      <c r="A2340">
        <v>0.51651781797409102</v>
      </c>
      <c r="B2340">
        <v>14.6402493546885</v>
      </c>
      <c r="C2340">
        <v>-0.53540503978729204</v>
      </c>
      <c r="D2340">
        <v>-0.158456064611737</v>
      </c>
    </row>
    <row r="2341" spans="1:4" x14ac:dyDescent="0.35">
      <c r="A2341">
        <v>0.51705998182296797</v>
      </c>
      <c r="B2341">
        <v>14.6318815596441</v>
      </c>
      <c r="C2341">
        <v>-0.53669464588165305</v>
      </c>
      <c r="D2341">
        <v>-0.158731502946723</v>
      </c>
    </row>
    <row r="2342" spans="1:4" x14ac:dyDescent="0.35">
      <c r="A2342">
        <v>0.51764595508575395</v>
      </c>
      <c r="B2342">
        <v>14.6258361508843</v>
      </c>
      <c r="C2342">
        <v>-0.53692257404327404</v>
      </c>
      <c r="D2342">
        <v>-0.161171718248455</v>
      </c>
    </row>
    <row r="2343" spans="1:4" x14ac:dyDescent="0.35">
      <c r="A2343">
        <v>0.51815938949585005</v>
      </c>
      <c r="B2343">
        <v>14.6146304264277</v>
      </c>
      <c r="C2343">
        <v>-0.53871589899063099</v>
      </c>
      <c r="D2343">
        <v>-0.157971050851862</v>
      </c>
    </row>
    <row r="2344" spans="1:4" x14ac:dyDescent="0.35">
      <c r="A2344">
        <v>0.518632292747498</v>
      </c>
      <c r="B2344">
        <v>14.6173265522803</v>
      </c>
      <c r="C2344">
        <v>-0.539570152759552</v>
      </c>
      <c r="D2344">
        <v>-0.16069752663065301</v>
      </c>
    </row>
    <row r="2345" spans="1:4" x14ac:dyDescent="0.35">
      <c r="A2345">
        <v>0.51910501718521096</v>
      </c>
      <c r="B2345">
        <v>14.6131773586728</v>
      </c>
      <c r="C2345">
        <v>-0.53950726985931396</v>
      </c>
      <c r="D2345">
        <v>-0.159591883030023</v>
      </c>
    </row>
    <row r="2346" spans="1:4" x14ac:dyDescent="0.35">
      <c r="A2346">
        <v>0.51966756582260099</v>
      </c>
      <c r="B2346">
        <v>14.606199674967201</v>
      </c>
      <c r="C2346">
        <v>-0.54204672574996904</v>
      </c>
      <c r="D2346">
        <v>-0.15870469013990099</v>
      </c>
    </row>
    <row r="2347" spans="1:4" x14ac:dyDescent="0.35">
      <c r="A2347">
        <v>0.52018827199935902</v>
      </c>
      <c r="B2347">
        <v>14.6008326105647</v>
      </c>
      <c r="C2347">
        <v>-0.54240542650222801</v>
      </c>
      <c r="D2347">
        <v>-0.159600528025753</v>
      </c>
    </row>
    <row r="2348" spans="1:4" x14ac:dyDescent="0.35">
      <c r="A2348">
        <v>0.52064126729965199</v>
      </c>
      <c r="B2348">
        <v>14.5977550641195</v>
      </c>
      <c r="C2348">
        <v>-0.54329752922058105</v>
      </c>
      <c r="D2348">
        <v>-0.16040202006273499</v>
      </c>
    </row>
    <row r="2349" spans="1:4" x14ac:dyDescent="0.35">
      <c r="A2349">
        <v>0.52112674713134799</v>
      </c>
      <c r="B2349">
        <v>14.591994180271</v>
      </c>
      <c r="C2349">
        <v>-0.54480153322219804</v>
      </c>
      <c r="D2349">
        <v>-0.16404403055217401</v>
      </c>
    </row>
    <row r="2350" spans="1:4" x14ac:dyDescent="0.35">
      <c r="A2350">
        <v>0.52171599864959695</v>
      </c>
      <c r="B2350">
        <v>14.5872975313277</v>
      </c>
      <c r="C2350">
        <v>-0.54486757516860995</v>
      </c>
      <c r="D2350">
        <v>-0.16102815824054501</v>
      </c>
    </row>
    <row r="2351" spans="1:4" x14ac:dyDescent="0.35">
      <c r="A2351">
        <v>0.52227455377578702</v>
      </c>
      <c r="B2351">
        <v>14.584258977714001</v>
      </c>
      <c r="C2351">
        <v>-0.54637384414672896</v>
      </c>
      <c r="D2351">
        <v>-0.16283540815854899</v>
      </c>
    </row>
    <row r="2352" spans="1:4" x14ac:dyDescent="0.35">
      <c r="A2352">
        <v>0.52265006303787198</v>
      </c>
      <c r="B2352">
        <v>14.5831716508236</v>
      </c>
      <c r="C2352">
        <v>-0.54767137765884399</v>
      </c>
      <c r="D2352">
        <v>-0.159994743868457</v>
      </c>
    </row>
    <row r="2353" spans="1:4" x14ac:dyDescent="0.35">
      <c r="A2353">
        <v>0.52312076091766402</v>
      </c>
      <c r="B2353">
        <v>14.5694893388384</v>
      </c>
      <c r="C2353">
        <v>-0.54789417982101396</v>
      </c>
      <c r="D2353">
        <v>-0.161937553495894</v>
      </c>
    </row>
    <row r="2354" spans="1:4" x14ac:dyDescent="0.35">
      <c r="A2354">
        <v>0.52376109361648604</v>
      </c>
      <c r="B2354">
        <v>14.5726429998198</v>
      </c>
      <c r="C2354">
        <v>-0.54938876628875699</v>
      </c>
      <c r="D2354">
        <v>-0.16046776975147301</v>
      </c>
    </row>
    <row r="2355" spans="1:4" x14ac:dyDescent="0.35">
      <c r="A2355">
        <v>0.52429229021072399</v>
      </c>
      <c r="B2355">
        <v>14.573449819516499</v>
      </c>
      <c r="C2355">
        <v>-0.55068308115005504</v>
      </c>
      <c r="D2355">
        <v>-0.160928857027827</v>
      </c>
    </row>
    <row r="2356" spans="1:4" x14ac:dyDescent="0.35">
      <c r="A2356">
        <v>0.52469480037689198</v>
      </c>
      <c r="B2356">
        <v>14.557497930795501</v>
      </c>
      <c r="C2356">
        <v>-0.55149078369140603</v>
      </c>
      <c r="D2356">
        <v>-0.16238268914144999</v>
      </c>
    </row>
    <row r="2357" spans="1:4" x14ac:dyDescent="0.35">
      <c r="A2357">
        <v>0.52533942461013805</v>
      </c>
      <c r="B2357">
        <v>14.5537268493651</v>
      </c>
      <c r="C2357">
        <v>-0.55327045917510997</v>
      </c>
      <c r="D2357">
        <v>-0.163421341260476</v>
      </c>
    </row>
    <row r="2358" spans="1:4" x14ac:dyDescent="0.35">
      <c r="A2358">
        <v>0.525593280792236</v>
      </c>
      <c r="B2358">
        <v>14.5590512980051</v>
      </c>
      <c r="C2358">
        <v>-0.55311685800552401</v>
      </c>
      <c r="D2358">
        <v>-0.16437575382113701</v>
      </c>
    </row>
    <row r="2359" spans="1:4" x14ac:dyDescent="0.35">
      <c r="A2359">
        <v>0.52610385417938199</v>
      </c>
      <c r="B2359">
        <v>14.5538067409316</v>
      </c>
      <c r="C2359">
        <v>-0.55412650108337402</v>
      </c>
      <c r="D2359">
        <v>-0.16401292669642201</v>
      </c>
    </row>
    <row r="2360" spans="1:4" x14ac:dyDescent="0.35">
      <c r="A2360">
        <v>0.52691280841827404</v>
      </c>
      <c r="B2360">
        <v>14.5440850630751</v>
      </c>
      <c r="C2360">
        <v>-0.55601590871810902</v>
      </c>
      <c r="D2360">
        <v>-0.163412429279752</v>
      </c>
    </row>
    <row r="2361" spans="1:4" x14ac:dyDescent="0.35">
      <c r="A2361">
        <v>0.52723437547683705</v>
      </c>
      <c r="B2361">
        <v>14.550580795692801</v>
      </c>
      <c r="C2361">
        <v>-0.556338131427765</v>
      </c>
      <c r="D2361">
        <v>-0.16329519560646499</v>
      </c>
    </row>
    <row r="2362" spans="1:4" x14ac:dyDescent="0.35">
      <c r="A2362">
        <v>0.52754670381545998</v>
      </c>
      <c r="B2362">
        <v>14.548594453261501</v>
      </c>
      <c r="C2362">
        <v>-0.55735576152801503</v>
      </c>
      <c r="D2362">
        <v>-0.16411143647544199</v>
      </c>
    </row>
    <row r="2363" spans="1:4" x14ac:dyDescent="0.35">
      <c r="A2363">
        <v>0.52825492620468095</v>
      </c>
      <c r="B2363">
        <v>14.544437148988001</v>
      </c>
      <c r="C2363">
        <v>-0.55828917026519798</v>
      </c>
      <c r="D2363">
        <v>-0.16650778792030099</v>
      </c>
    </row>
    <row r="2364" spans="1:4" x14ac:dyDescent="0.35">
      <c r="A2364">
        <v>0.52885419130325295</v>
      </c>
      <c r="B2364">
        <v>14.5405329298405</v>
      </c>
      <c r="C2364">
        <v>-0.55909246206283603</v>
      </c>
      <c r="D2364">
        <v>-0.16145368950972999</v>
      </c>
    </row>
    <row r="2365" spans="1:4" x14ac:dyDescent="0.35">
      <c r="A2365">
        <v>0.52919501066207897</v>
      </c>
      <c r="B2365">
        <v>14.529278704564801</v>
      </c>
      <c r="C2365">
        <v>-0.56070578098297097</v>
      </c>
      <c r="D2365">
        <v>-0.162129572959716</v>
      </c>
    </row>
    <row r="2366" spans="1:4" x14ac:dyDescent="0.35">
      <c r="A2366">
        <v>0.52965861558914196</v>
      </c>
      <c r="B2366">
        <v>14.5362016172068</v>
      </c>
      <c r="C2366">
        <v>-0.56127429008483898</v>
      </c>
      <c r="D2366">
        <v>-0.15859383675838401</v>
      </c>
    </row>
    <row r="2367" spans="1:4" x14ac:dyDescent="0.35">
      <c r="A2367">
        <v>0.53043383359909102</v>
      </c>
      <c r="B2367">
        <v>14.5222422033141</v>
      </c>
      <c r="C2367">
        <v>-0.561839818954468</v>
      </c>
      <c r="D2367">
        <v>-0.16357650044067801</v>
      </c>
    </row>
    <row r="2368" spans="1:4" x14ac:dyDescent="0.35">
      <c r="A2368">
        <v>0.53075772523880005</v>
      </c>
      <c r="B2368">
        <v>14.5266264294936</v>
      </c>
      <c r="C2368">
        <v>-0.56380915641784701</v>
      </c>
      <c r="D2368">
        <v>-0.16370084007885899</v>
      </c>
    </row>
    <row r="2369" spans="1:4" x14ac:dyDescent="0.35">
      <c r="A2369">
        <v>0.53108036518096902</v>
      </c>
      <c r="B2369">
        <v>14.522579908259299</v>
      </c>
      <c r="C2369">
        <v>-0.56443142890930198</v>
      </c>
      <c r="D2369">
        <v>-0.16158250544602401</v>
      </c>
    </row>
    <row r="2370" spans="1:4" x14ac:dyDescent="0.35">
      <c r="A2370">
        <v>0.53181260824203502</v>
      </c>
      <c r="B2370">
        <v>14.5157083344684</v>
      </c>
      <c r="C2370">
        <v>-0.56501591205596902</v>
      </c>
      <c r="D2370">
        <v>-0.15943241185436799</v>
      </c>
    </row>
    <row r="2371" spans="1:4" x14ac:dyDescent="0.35">
      <c r="A2371">
        <v>0.53237479925155595</v>
      </c>
      <c r="B2371">
        <v>14.507874553059001</v>
      </c>
      <c r="C2371">
        <v>-0.56698787212371804</v>
      </c>
      <c r="D2371">
        <v>-0.162172419247644</v>
      </c>
    </row>
    <row r="2372" spans="1:4" x14ac:dyDescent="0.35">
      <c r="A2372">
        <v>0.53258275985717796</v>
      </c>
      <c r="B2372">
        <v>14.509945316455299</v>
      </c>
      <c r="C2372">
        <v>-0.56692326068878196</v>
      </c>
      <c r="D2372">
        <v>-0.16755555284649501</v>
      </c>
    </row>
    <row r="2373" spans="1:4" x14ac:dyDescent="0.35">
      <c r="A2373">
        <v>0.53321111202240001</v>
      </c>
      <c r="B2373">
        <v>14.5123898845256</v>
      </c>
      <c r="C2373">
        <v>-0.56847733259201005</v>
      </c>
      <c r="D2373">
        <v>-0.163944142363256</v>
      </c>
    </row>
    <row r="2374" spans="1:4" x14ac:dyDescent="0.35">
      <c r="A2374">
        <v>0.53379821777343806</v>
      </c>
      <c r="B2374">
        <v>14.502085872869401</v>
      </c>
      <c r="C2374">
        <v>-0.56992018222808805</v>
      </c>
      <c r="D2374">
        <v>-0.16612158013272099</v>
      </c>
    </row>
    <row r="2375" spans="1:4" x14ac:dyDescent="0.35">
      <c r="A2375">
        <v>0.53416532278060902</v>
      </c>
      <c r="B2375">
        <v>14.4998635736622</v>
      </c>
      <c r="C2375">
        <v>-0.56981116533279397</v>
      </c>
      <c r="D2375">
        <v>-0.16118167635227401</v>
      </c>
    </row>
    <row r="2376" spans="1:4" x14ac:dyDescent="0.35">
      <c r="A2376">
        <v>0.534662365913391</v>
      </c>
      <c r="B2376">
        <v>14.4975781564145</v>
      </c>
      <c r="C2376">
        <v>-0.57162511348724399</v>
      </c>
      <c r="D2376">
        <v>-0.16257991713258499</v>
      </c>
    </row>
    <row r="2377" spans="1:4" x14ac:dyDescent="0.35">
      <c r="A2377">
        <v>0.53526264429092396</v>
      </c>
      <c r="B2377">
        <v>14.494719449483201</v>
      </c>
      <c r="C2377">
        <v>-0.57242476940154996</v>
      </c>
      <c r="D2377">
        <v>-0.162482419336581</v>
      </c>
    </row>
    <row r="2378" spans="1:4" x14ac:dyDescent="0.35">
      <c r="A2378">
        <v>0.53569298982620195</v>
      </c>
      <c r="B2378">
        <v>14.4998197120879</v>
      </c>
      <c r="C2378">
        <v>-0.57294178009033203</v>
      </c>
      <c r="D2378">
        <v>-0.162777759174981</v>
      </c>
    </row>
    <row r="2379" spans="1:4" x14ac:dyDescent="0.35">
      <c r="A2379">
        <v>0.53614032268524203</v>
      </c>
      <c r="B2379">
        <v>14.4728616103785</v>
      </c>
      <c r="C2379">
        <v>-0.57507580518722501</v>
      </c>
      <c r="D2379">
        <v>-0.16594622850885599</v>
      </c>
    </row>
    <row r="2380" spans="1:4" x14ac:dyDescent="0.35">
      <c r="A2380">
        <v>0.53656876087188698</v>
      </c>
      <c r="B2380">
        <v>14.494426880913901</v>
      </c>
      <c r="C2380">
        <v>-0.57524353265762296</v>
      </c>
      <c r="D2380">
        <v>-0.1612989084806</v>
      </c>
    </row>
    <row r="2381" spans="1:4" x14ac:dyDescent="0.35">
      <c r="A2381">
        <v>0.53719514608383201</v>
      </c>
      <c r="B2381">
        <v>14.487318849935299</v>
      </c>
      <c r="C2381">
        <v>-0.57631272077560403</v>
      </c>
      <c r="D2381">
        <v>-0.16383121736892001</v>
      </c>
    </row>
    <row r="2382" spans="1:4" x14ac:dyDescent="0.35">
      <c r="A2382">
        <v>0.53769242763519298</v>
      </c>
      <c r="B2382">
        <v>14.484293157024499</v>
      </c>
      <c r="C2382">
        <v>-0.57792621850967396</v>
      </c>
      <c r="D2382">
        <v>-0.16351119602732</v>
      </c>
    </row>
    <row r="2383" spans="1:4" x14ac:dyDescent="0.35">
      <c r="A2383">
        <v>0.53819042444229104</v>
      </c>
      <c r="B2383">
        <v>14.479749486097001</v>
      </c>
      <c r="C2383">
        <v>-0.57819926738739003</v>
      </c>
      <c r="D2383">
        <v>-0.16347581969716199</v>
      </c>
    </row>
    <row r="2384" spans="1:4" x14ac:dyDescent="0.35">
      <c r="A2384">
        <v>0.53868895769119296</v>
      </c>
      <c r="B2384">
        <v>14.4669855872678</v>
      </c>
      <c r="C2384">
        <v>-0.57944959402084395</v>
      </c>
      <c r="D2384">
        <v>-0.16103479277554</v>
      </c>
    </row>
    <row r="2385" spans="1:4" x14ac:dyDescent="0.35">
      <c r="A2385">
        <v>0.53935456275939897</v>
      </c>
      <c r="B2385">
        <v>14.47211718848</v>
      </c>
      <c r="C2385">
        <v>-0.58051455020904497</v>
      </c>
      <c r="D2385">
        <v>-0.16030397900743601</v>
      </c>
    </row>
    <row r="2386" spans="1:4" x14ac:dyDescent="0.35">
      <c r="A2386">
        <v>0.53957730531692505</v>
      </c>
      <c r="B2386">
        <v>14.475121293979001</v>
      </c>
      <c r="C2386">
        <v>-0.58026003837585405</v>
      </c>
      <c r="D2386">
        <v>-0.166621425601849</v>
      </c>
    </row>
    <row r="2387" spans="1:4" x14ac:dyDescent="0.35">
      <c r="A2387">
        <v>0.54012769460678101</v>
      </c>
      <c r="B2387">
        <v>14.4596482398921</v>
      </c>
      <c r="C2387">
        <v>-0.58324515819549605</v>
      </c>
      <c r="D2387">
        <v>-0.16477423314791001</v>
      </c>
    </row>
    <row r="2388" spans="1:4" x14ac:dyDescent="0.35">
      <c r="A2388">
        <v>0.54085367918014504</v>
      </c>
      <c r="B2388">
        <v>14.473171835432201</v>
      </c>
      <c r="C2388">
        <v>-0.58367496728897095</v>
      </c>
      <c r="D2388">
        <v>-0.16605497047841999</v>
      </c>
    </row>
    <row r="2389" spans="1:4" x14ac:dyDescent="0.35">
      <c r="A2389">
        <v>0.54129076004028298</v>
      </c>
      <c r="B2389">
        <v>14.456540132187</v>
      </c>
      <c r="C2389">
        <v>-0.58370453119277999</v>
      </c>
      <c r="D2389">
        <v>-0.162814037777158</v>
      </c>
    </row>
    <row r="2390" spans="1:4" x14ac:dyDescent="0.35">
      <c r="A2390">
        <v>0.54163515567779497</v>
      </c>
      <c r="B2390">
        <v>14.445204383671699</v>
      </c>
      <c r="C2390">
        <v>-0.58562737703323398</v>
      </c>
      <c r="D2390">
        <v>-0.16459788470011599</v>
      </c>
    </row>
    <row r="2391" spans="1:4" x14ac:dyDescent="0.35">
      <c r="A2391">
        <v>0.54232078790664695</v>
      </c>
      <c r="B2391">
        <v>14.4549700289489</v>
      </c>
      <c r="C2391">
        <v>-0.58625453710555997</v>
      </c>
      <c r="D2391">
        <v>-0.15988014560540101</v>
      </c>
    </row>
    <row r="2392" spans="1:4" x14ac:dyDescent="0.35">
      <c r="A2392">
        <v>0.54274159669876099</v>
      </c>
      <c r="B2392">
        <v>14.4351139933427</v>
      </c>
      <c r="C2392">
        <v>-0.58734637498855602</v>
      </c>
      <c r="D2392">
        <v>-0.16607225388310101</v>
      </c>
    </row>
    <row r="2393" spans="1:4" x14ac:dyDescent="0.35">
      <c r="A2393">
        <v>0.54314583539962802</v>
      </c>
      <c r="B2393">
        <v>14.438727369372399</v>
      </c>
      <c r="C2393">
        <v>-0.588273465633392</v>
      </c>
      <c r="D2393">
        <v>-0.163309150683352</v>
      </c>
    </row>
    <row r="2394" spans="1:4" x14ac:dyDescent="0.35">
      <c r="A2394">
        <v>0.54379439353942904</v>
      </c>
      <c r="B2394">
        <v>14.440135208453601</v>
      </c>
      <c r="C2394">
        <v>-0.58935350179672197</v>
      </c>
      <c r="D2394">
        <v>-0.16662800540997799</v>
      </c>
    </row>
    <row r="2395" spans="1:4" x14ac:dyDescent="0.35">
      <c r="A2395">
        <v>0.54431951045990001</v>
      </c>
      <c r="B2395">
        <v>14.433185783037899</v>
      </c>
      <c r="C2395">
        <v>-0.59035909175872803</v>
      </c>
      <c r="D2395">
        <v>-0.165348559330359</v>
      </c>
    </row>
    <row r="2396" spans="1:4" x14ac:dyDescent="0.35">
      <c r="A2396">
        <v>0.54477316141128496</v>
      </c>
      <c r="B2396">
        <v>14.4314229586133</v>
      </c>
      <c r="C2396">
        <v>-0.59177213907241799</v>
      </c>
      <c r="D2396">
        <v>-0.16467753146910299</v>
      </c>
    </row>
    <row r="2397" spans="1:4" x14ac:dyDescent="0.35">
      <c r="A2397">
        <v>0.54517924785614003</v>
      </c>
      <c r="B2397">
        <v>14.4239561750252</v>
      </c>
      <c r="C2397">
        <v>-0.59150189161300704</v>
      </c>
      <c r="D2397">
        <v>-0.16562019924089699</v>
      </c>
    </row>
    <row r="2398" spans="1:4" x14ac:dyDescent="0.35">
      <c r="A2398">
        <v>0.54568707942962602</v>
      </c>
      <c r="B2398">
        <v>14.425319597470599</v>
      </c>
      <c r="C2398">
        <v>-0.59342628717422496</v>
      </c>
      <c r="D2398">
        <v>-0.16584653033267699</v>
      </c>
    </row>
    <row r="2399" spans="1:4" x14ac:dyDescent="0.35">
      <c r="A2399">
        <v>0.54621046781539895</v>
      </c>
      <c r="B2399">
        <v>14.416106009431299</v>
      </c>
      <c r="C2399">
        <v>-0.59454727172851596</v>
      </c>
      <c r="D2399">
        <v>-0.16641135207418201</v>
      </c>
    </row>
    <row r="2400" spans="1:4" x14ac:dyDescent="0.35">
      <c r="A2400">
        <v>0.54666107892990101</v>
      </c>
      <c r="B2400">
        <v>14.424392206737201</v>
      </c>
      <c r="C2400">
        <v>-0.59496575593948398</v>
      </c>
      <c r="D2400">
        <v>-0.164785096474097</v>
      </c>
    </row>
    <row r="2401" spans="1:4" x14ac:dyDescent="0.35">
      <c r="A2401">
        <v>0.54723268747329701</v>
      </c>
      <c r="B2401">
        <v>14.410730690621399</v>
      </c>
      <c r="C2401">
        <v>-0.59688639640808105</v>
      </c>
      <c r="D2401">
        <v>-0.162352809675892</v>
      </c>
    </row>
    <row r="2402" spans="1:4" x14ac:dyDescent="0.35">
      <c r="A2402">
        <v>0.54775321483612105</v>
      </c>
      <c r="B2402">
        <v>14.413489286584401</v>
      </c>
      <c r="C2402">
        <v>-0.59728527069091797</v>
      </c>
      <c r="D2402">
        <v>-0.162327804016134</v>
      </c>
    </row>
    <row r="2403" spans="1:4" x14ac:dyDescent="0.35">
      <c r="A2403">
        <v>0.54830431938171398</v>
      </c>
      <c r="B2403">
        <v>14.412938795112099</v>
      </c>
      <c r="C2403">
        <v>-0.59798008203506503</v>
      </c>
      <c r="D2403">
        <v>-0.168035436560176</v>
      </c>
    </row>
    <row r="2404" spans="1:4" x14ac:dyDescent="0.35">
      <c r="A2404">
        <v>0.54862898588180498</v>
      </c>
      <c r="B2404">
        <v>14.418040648633699</v>
      </c>
      <c r="C2404">
        <v>-0.59992456436157204</v>
      </c>
      <c r="D2404">
        <v>-0.168789261552034</v>
      </c>
    </row>
    <row r="2405" spans="1:4" x14ac:dyDescent="0.35">
      <c r="A2405">
        <v>0.54920643568038896</v>
      </c>
      <c r="B2405">
        <v>14.404423063740699</v>
      </c>
      <c r="C2405">
        <v>-0.600341737270355</v>
      </c>
      <c r="D2405">
        <v>-0.165678390641401</v>
      </c>
    </row>
    <row r="2406" spans="1:4" x14ac:dyDescent="0.35">
      <c r="A2406">
        <v>0.54971659183502197</v>
      </c>
      <c r="B2406">
        <v>14.4000999120776</v>
      </c>
      <c r="C2406">
        <v>-0.600366830825806</v>
      </c>
      <c r="D2406">
        <v>-0.16647191125388899</v>
      </c>
    </row>
    <row r="2407" spans="1:4" x14ac:dyDescent="0.35">
      <c r="A2407">
        <v>0.55017578601837203</v>
      </c>
      <c r="B2407">
        <v>14.405179017308599</v>
      </c>
      <c r="C2407">
        <v>-0.60028088092803999</v>
      </c>
      <c r="D2407">
        <v>-0.16477402417807099</v>
      </c>
    </row>
    <row r="2408" spans="1:4" x14ac:dyDescent="0.35">
      <c r="A2408">
        <v>0.55062699317932096</v>
      </c>
      <c r="B2408">
        <v>14.3994641932362</v>
      </c>
      <c r="C2408">
        <v>-0.60179185867309604</v>
      </c>
      <c r="D2408">
        <v>-0.16606127883602101</v>
      </c>
    </row>
    <row r="2409" spans="1:4" x14ac:dyDescent="0.35">
      <c r="A2409">
        <v>0.55145072937011697</v>
      </c>
      <c r="B2409">
        <v>14.392965690828699</v>
      </c>
      <c r="C2409">
        <v>-0.60108286142349199</v>
      </c>
      <c r="D2409">
        <v>-0.16555590915541599</v>
      </c>
    </row>
    <row r="2410" spans="1:4" x14ac:dyDescent="0.35">
      <c r="A2410">
        <v>0.55158805847168002</v>
      </c>
      <c r="B2410">
        <v>14.3782714988868</v>
      </c>
    </row>
    <row r="2411" spans="1:4" x14ac:dyDescent="0.35">
      <c r="A2411">
        <v>0.552079558372498</v>
      </c>
      <c r="B2411">
        <v>14.394389837542301</v>
      </c>
    </row>
    <row r="2412" spans="1:4" x14ac:dyDescent="0.35">
      <c r="A2412">
        <v>0.552615106105804</v>
      </c>
      <c r="B2412">
        <v>14.393456117424501</v>
      </c>
    </row>
    <row r="2413" spans="1:4" x14ac:dyDescent="0.35">
      <c r="A2413">
        <v>0.55327028036117598</v>
      </c>
      <c r="B2413">
        <v>14.387152462450301</v>
      </c>
    </row>
    <row r="2414" spans="1:4" x14ac:dyDescent="0.35">
      <c r="A2414">
        <v>0.55364221334457397</v>
      </c>
      <c r="B2414">
        <v>14.366291725447599</v>
      </c>
    </row>
    <row r="2415" spans="1:4" x14ac:dyDescent="0.35">
      <c r="A2415">
        <v>0.55416506528854403</v>
      </c>
      <c r="B2415">
        <v>14.388725451254601</v>
      </c>
    </row>
    <row r="2416" spans="1:4" x14ac:dyDescent="0.35">
      <c r="A2416">
        <v>0.55460071563720703</v>
      </c>
      <c r="B2416">
        <v>14.3793534908329</v>
      </c>
    </row>
    <row r="2417" spans="1:2" x14ac:dyDescent="0.35">
      <c r="A2417">
        <v>0.55507981777191195</v>
      </c>
      <c r="B2417">
        <v>14.3796481337682</v>
      </c>
    </row>
    <row r="2418" spans="1:2" x14ac:dyDescent="0.35">
      <c r="A2418">
        <v>0.55565226078033403</v>
      </c>
      <c r="B2418">
        <v>14.376337184563299</v>
      </c>
    </row>
    <row r="2419" spans="1:2" x14ac:dyDescent="0.35">
      <c r="A2419">
        <v>0.556199431419373</v>
      </c>
      <c r="B2419">
        <v>14.355690560049901</v>
      </c>
    </row>
    <row r="2420" spans="1:2" x14ac:dyDescent="0.35">
      <c r="A2420">
        <v>0.55678665637970004</v>
      </c>
      <c r="B2420">
        <v>14.369892829725901</v>
      </c>
    </row>
    <row r="2421" spans="1:2" x14ac:dyDescent="0.35">
      <c r="A2421">
        <v>0.55706965923309304</v>
      </c>
      <c r="B2421">
        <v>14.360229129238</v>
      </c>
    </row>
    <row r="2422" spans="1:2" x14ac:dyDescent="0.35">
      <c r="A2422">
        <v>0.55757641792297397</v>
      </c>
      <c r="B2422">
        <v>14.3723744697628</v>
      </c>
    </row>
    <row r="2423" spans="1:2" x14ac:dyDescent="0.35">
      <c r="A2423">
        <v>0.55819648504257202</v>
      </c>
      <c r="B2423">
        <v>14.358610655137801</v>
      </c>
    </row>
    <row r="2424" spans="1:2" x14ac:dyDescent="0.35">
      <c r="A2424">
        <v>0.55870670080184903</v>
      </c>
      <c r="B2424">
        <v>14.358422737343499</v>
      </c>
    </row>
    <row r="2425" spans="1:2" x14ac:dyDescent="0.35">
      <c r="A2425">
        <v>0.55926012992858898</v>
      </c>
      <c r="B2425">
        <v>14.361823397299901</v>
      </c>
    </row>
    <row r="2426" spans="1:2" x14ac:dyDescent="0.35">
      <c r="A2426">
        <v>0.55967557430267301</v>
      </c>
      <c r="B2426">
        <v>14.3583124918321</v>
      </c>
    </row>
    <row r="2427" spans="1:2" x14ac:dyDescent="0.35">
      <c r="A2427">
        <v>0.56026369333267201</v>
      </c>
      <c r="B2427">
        <v>14.353404989767601</v>
      </c>
    </row>
    <row r="2428" spans="1:2" x14ac:dyDescent="0.35">
      <c r="A2428">
        <v>0.56066572666168202</v>
      </c>
      <c r="B2428">
        <v>14.349187792119601</v>
      </c>
    </row>
    <row r="2429" spans="1:2" x14ac:dyDescent="0.35">
      <c r="A2429">
        <v>0.56120830774307295</v>
      </c>
      <c r="B2429">
        <v>14.341592190697</v>
      </c>
    </row>
    <row r="2430" spans="1:2" x14ac:dyDescent="0.35">
      <c r="A2430">
        <v>0.56157439947128296</v>
      </c>
      <c r="B2430">
        <v>14.3484000425053</v>
      </c>
    </row>
    <row r="2431" spans="1:2" x14ac:dyDescent="0.35">
      <c r="A2431">
        <v>0.56222629547119096</v>
      </c>
      <c r="B2431">
        <v>14.341715776944101</v>
      </c>
    </row>
    <row r="2432" spans="1:2" x14ac:dyDescent="0.35">
      <c r="A2432">
        <v>0.56265032291412398</v>
      </c>
      <c r="B2432">
        <v>14.336735318898199</v>
      </c>
    </row>
    <row r="2433" spans="1:2" x14ac:dyDescent="0.35">
      <c r="A2433">
        <v>0.56314194202423096</v>
      </c>
      <c r="B2433">
        <v>14.3274292073783</v>
      </c>
    </row>
    <row r="2434" spans="1:2" x14ac:dyDescent="0.35">
      <c r="A2434">
        <v>0.56363296508789096</v>
      </c>
      <c r="B2434">
        <v>14.326574094702201</v>
      </c>
    </row>
    <row r="2435" spans="1:2" x14ac:dyDescent="0.35">
      <c r="A2435">
        <v>0.56414437294006303</v>
      </c>
      <c r="B2435">
        <v>14.3280408939629</v>
      </c>
    </row>
    <row r="2436" spans="1:2" x14ac:dyDescent="0.35">
      <c r="A2436">
        <v>0.56447350978851296</v>
      </c>
      <c r="B2436">
        <v>14.3202431367764</v>
      </c>
    </row>
    <row r="2437" spans="1:2" x14ac:dyDescent="0.35">
      <c r="A2437">
        <v>0.56514477729797397</v>
      </c>
      <c r="B2437">
        <v>14.3159021631712</v>
      </c>
    </row>
    <row r="2438" spans="1:2" x14ac:dyDescent="0.35">
      <c r="A2438">
        <v>0.56560981273651101</v>
      </c>
      <c r="B2438">
        <v>14.3242819232741</v>
      </c>
    </row>
    <row r="2439" spans="1:2" x14ac:dyDescent="0.35">
      <c r="A2439">
        <v>0.56603187322616599</v>
      </c>
      <c r="B2439">
        <v>14.3186748781972</v>
      </c>
    </row>
    <row r="2440" spans="1:2" x14ac:dyDescent="0.35">
      <c r="A2440">
        <v>0.56658226251602195</v>
      </c>
      <c r="B2440">
        <v>14.302333928156999</v>
      </c>
    </row>
    <row r="2441" spans="1:2" x14ac:dyDescent="0.35">
      <c r="A2441">
        <v>0.56699383258819602</v>
      </c>
      <c r="B2441">
        <v>14.3054960645281</v>
      </c>
    </row>
    <row r="2442" spans="1:2" x14ac:dyDescent="0.35">
      <c r="A2442">
        <v>0.56749731302261397</v>
      </c>
      <c r="B2442">
        <v>14.2993742196517</v>
      </c>
    </row>
    <row r="2443" spans="1:2" x14ac:dyDescent="0.35">
      <c r="A2443">
        <v>0.56821590662002597</v>
      </c>
      <c r="B2443">
        <v>14.306839484296001</v>
      </c>
    </row>
    <row r="2444" spans="1:2" x14ac:dyDescent="0.35">
      <c r="A2444">
        <v>0.56852179765701305</v>
      </c>
      <c r="B2444">
        <v>14.2810976339265</v>
      </c>
    </row>
    <row r="2445" spans="1:2" x14ac:dyDescent="0.35">
      <c r="A2445">
        <v>0.56901097297668501</v>
      </c>
      <c r="B2445">
        <v>14.2888780033914</v>
      </c>
    </row>
    <row r="2446" spans="1:2" x14ac:dyDescent="0.35">
      <c r="A2446">
        <v>0.56961429119110096</v>
      </c>
      <c r="B2446">
        <v>14.2863555029128</v>
      </c>
    </row>
    <row r="2447" spans="1:2" x14ac:dyDescent="0.35">
      <c r="A2447">
        <v>0.56994438171386697</v>
      </c>
      <c r="B2447">
        <v>14.283875216626299</v>
      </c>
    </row>
    <row r="2448" spans="1:2" x14ac:dyDescent="0.35">
      <c r="A2448">
        <v>0.570467948913574</v>
      </c>
      <c r="B2448">
        <v>14.286292505919899</v>
      </c>
    </row>
    <row r="2449" spans="1:2" x14ac:dyDescent="0.35">
      <c r="A2449">
        <v>0.57115775346756004</v>
      </c>
      <c r="B2449">
        <v>14.271424660283101</v>
      </c>
    </row>
    <row r="2450" spans="1:2" x14ac:dyDescent="0.35">
      <c r="A2450">
        <v>0.57154518365859996</v>
      </c>
      <c r="B2450">
        <v>14.2731603518268</v>
      </c>
    </row>
    <row r="2451" spans="1:2" x14ac:dyDescent="0.35">
      <c r="A2451">
        <v>0.57218080759048495</v>
      </c>
      <c r="B2451">
        <v>14.269119596103501</v>
      </c>
    </row>
    <row r="2452" spans="1:2" x14ac:dyDescent="0.35">
      <c r="A2452">
        <v>0.57264739274978604</v>
      </c>
      <c r="B2452">
        <v>14.263420537136399</v>
      </c>
    </row>
    <row r="2453" spans="1:2" x14ac:dyDescent="0.35">
      <c r="A2453">
        <v>0.57312792539596602</v>
      </c>
      <c r="B2453">
        <v>14.262571274702699</v>
      </c>
    </row>
    <row r="2454" spans="1:2" x14ac:dyDescent="0.35">
      <c r="A2454">
        <v>0.57359617948532104</v>
      </c>
      <c r="B2454">
        <v>14.263374522483801</v>
      </c>
    </row>
    <row r="2455" spans="1:2" x14ac:dyDescent="0.35">
      <c r="A2455">
        <v>0.57412421703338601</v>
      </c>
      <c r="B2455">
        <v>14.257547561892901</v>
      </c>
    </row>
    <row r="2456" spans="1:2" x14ac:dyDescent="0.35">
      <c r="A2456">
        <v>0.57474559545517001</v>
      </c>
      <c r="B2456">
        <v>14.258836272607001</v>
      </c>
    </row>
    <row r="2457" spans="1:2" x14ac:dyDescent="0.35">
      <c r="A2457">
        <v>0.57515352964401201</v>
      </c>
      <c r="B2457">
        <v>14.237314930507001</v>
      </c>
    </row>
    <row r="2458" spans="1:2" x14ac:dyDescent="0.35">
      <c r="A2458">
        <v>0.575567126274109</v>
      </c>
      <c r="B2458">
        <v>14.251994107500799</v>
      </c>
    </row>
    <row r="2459" spans="1:2" x14ac:dyDescent="0.35">
      <c r="A2459">
        <v>0.57626789808273304</v>
      </c>
      <c r="B2459">
        <v>14.2493367026833</v>
      </c>
    </row>
    <row r="2460" spans="1:2" x14ac:dyDescent="0.35">
      <c r="A2460">
        <v>0.57677859067916903</v>
      </c>
      <c r="B2460">
        <v>14.2414820468531</v>
      </c>
    </row>
    <row r="2461" spans="1:2" x14ac:dyDescent="0.35">
      <c r="A2461">
        <v>0.57707452774047896</v>
      </c>
      <c r="B2461">
        <v>14.241620171793199</v>
      </c>
    </row>
    <row r="2462" spans="1:2" x14ac:dyDescent="0.35">
      <c r="A2462">
        <v>0.57764714956283603</v>
      </c>
      <c r="B2462">
        <v>14.228136499605499</v>
      </c>
    </row>
    <row r="2463" spans="1:2" x14ac:dyDescent="0.35">
      <c r="A2463">
        <v>0.57831627130508401</v>
      </c>
      <c r="B2463">
        <v>14.2353487639291</v>
      </c>
    </row>
    <row r="2464" spans="1:2" x14ac:dyDescent="0.35">
      <c r="A2464">
        <v>0.57865005731582597</v>
      </c>
      <c r="B2464">
        <v>14.2251335892973</v>
      </c>
    </row>
    <row r="2465" spans="1:2" x14ac:dyDescent="0.35">
      <c r="A2465">
        <v>0.57924109697341897</v>
      </c>
      <c r="B2465">
        <v>14.233274213809599</v>
      </c>
    </row>
    <row r="2466" spans="1:2" x14ac:dyDescent="0.35">
      <c r="A2466">
        <v>0.57978302240371704</v>
      </c>
      <c r="B2466">
        <v>14.2359043646575</v>
      </c>
    </row>
    <row r="2467" spans="1:2" x14ac:dyDescent="0.35">
      <c r="A2467">
        <v>0.58025723695755005</v>
      </c>
      <c r="B2467">
        <v>14.2319088818043</v>
      </c>
    </row>
    <row r="2468" spans="1:2" x14ac:dyDescent="0.35">
      <c r="A2468">
        <v>0.58059644699096702</v>
      </c>
      <c r="B2468">
        <v>14.216377522736799</v>
      </c>
    </row>
    <row r="2469" spans="1:2" x14ac:dyDescent="0.35">
      <c r="A2469">
        <v>0.58125889301300004</v>
      </c>
      <c r="B2469">
        <v>14.2272623096519</v>
      </c>
    </row>
    <row r="2470" spans="1:2" x14ac:dyDescent="0.35">
      <c r="A2470">
        <v>0.58165431022643999</v>
      </c>
      <c r="B2470">
        <v>14.2102746419153</v>
      </c>
    </row>
    <row r="2471" spans="1:2" x14ac:dyDescent="0.35">
      <c r="A2471">
        <v>0.58219099044799805</v>
      </c>
      <c r="B2471">
        <v>14.2076741817823</v>
      </c>
    </row>
    <row r="2472" spans="1:2" x14ac:dyDescent="0.35">
      <c r="A2472">
        <v>0.58264589309692405</v>
      </c>
      <c r="B2472">
        <v>14.214397709090299</v>
      </c>
    </row>
    <row r="2473" spans="1:2" x14ac:dyDescent="0.35">
      <c r="A2473">
        <v>0.583113193511963</v>
      </c>
      <c r="B2473">
        <v>14.20261438138</v>
      </c>
    </row>
    <row r="2474" spans="1:2" x14ac:dyDescent="0.35">
      <c r="A2474">
        <v>0.58373647928237904</v>
      </c>
      <c r="B2474">
        <v>14.173503715013799</v>
      </c>
    </row>
    <row r="2475" spans="1:2" x14ac:dyDescent="0.35">
      <c r="A2475">
        <v>0.58429914712905895</v>
      </c>
      <c r="B2475">
        <v>14.1882868183732</v>
      </c>
    </row>
    <row r="2476" spans="1:2" x14ac:dyDescent="0.35">
      <c r="A2476">
        <v>0.58454322814941395</v>
      </c>
      <c r="B2476">
        <v>14.199168066193399</v>
      </c>
    </row>
    <row r="2477" spans="1:2" x14ac:dyDescent="0.35">
      <c r="A2477">
        <v>0.58517426252365101</v>
      </c>
      <c r="B2477">
        <v>14.200367652300701</v>
      </c>
    </row>
    <row r="2478" spans="1:2" x14ac:dyDescent="0.35">
      <c r="A2478">
        <v>0.58558559417724598</v>
      </c>
      <c r="B2478">
        <v>14.1908163124103</v>
      </c>
    </row>
    <row r="2479" spans="1:2" x14ac:dyDescent="0.35">
      <c r="A2479">
        <v>0.58614939451217696</v>
      </c>
      <c r="B2479">
        <v>14.195082061276899</v>
      </c>
    </row>
    <row r="2480" spans="1:2" x14ac:dyDescent="0.35">
      <c r="A2480">
        <v>0.58667623996734597</v>
      </c>
      <c r="B2480">
        <v>14.1850422787191</v>
      </c>
    </row>
    <row r="2481" spans="1:2" x14ac:dyDescent="0.35">
      <c r="A2481">
        <v>0.58710360527038596</v>
      </c>
      <c r="B2481">
        <v>14.1826086953957</v>
      </c>
    </row>
    <row r="2482" spans="1:2" x14ac:dyDescent="0.35">
      <c r="A2482">
        <v>0.58756685256957997</v>
      </c>
      <c r="B2482">
        <v>14.186173666437901</v>
      </c>
    </row>
    <row r="2483" spans="1:2" x14ac:dyDescent="0.35">
      <c r="A2483">
        <v>0.58808219432830799</v>
      </c>
      <c r="B2483">
        <v>14.1592728765681</v>
      </c>
    </row>
    <row r="2484" spans="1:2" x14ac:dyDescent="0.35">
      <c r="A2484">
        <v>0.58868741989135698</v>
      </c>
      <c r="B2484">
        <v>14.1729679461711</v>
      </c>
    </row>
    <row r="2485" spans="1:2" x14ac:dyDescent="0.35">
      <c r="A2485">
        <v>0.58921104669570901</v>
      </c>
      <c r="B2485">
        <v>14.162169976911899</v>
      </c>
    </row>
    <row r="2486" spans="1:2" x14ac:dyDescent="0.35">
      <c r="A2486">
        <v>0.58950394392013505</v>
      </c>
      <c r="B2486">
        <v>14.153920377644001</v>
      </c>
    </row>
    <row r="2487" spans="1:2" x14ac:dyDescent="0.35">
      <c r="A2487">
        <v>0.59006315469741799</v>
      </c>
      <c r="B2487">
        <v>14.1655123715322</v>
      </c>
    </row>
    <row r="2488" spans="1:2" x14ac:dyDescent="0.35">
      <c r="A2488">
        <v>0.59061884880065896</v>
      </c>
      <c r="B2488">
        <v>14.1582095738235</v>
      </c>
    </row>
    <row r="2489" spans="1:2" x14ac:dyDescent="0.35">
      <c r="A2489">
        <v>0.59101563692092896</v>
      </c>
      <c r="B2489">
        <v>14.142979897077</v>
      </c>
    </row>
    <row r="2490" spans="1:2" x14ac:dyDescent="0.35">
      <c r="A2490">
        <v>0.59144377708435103</v>
      </c>
      <c r="B2490">
        <v>14.151399279704799</v>
      </c>
    </row>
    <row r="2491" spans="1:2" x14ac:dyDescent="0.35">
      <c r="A2491">
        <v>0.59205889701843295</v>
      </c>
      <c r="B2491">
        <v>14.1440118269326</v>
      </c>
    </row>
    <row r="2492" spans="1:2" x14ac:dyDescent="0.35">
      <c r="A2492">
        <v>0.59267747402191195</v>
      </c>
      <c r="B2492">
        <v>14.138702647622701</v>
      </c>
    </row>
    <row r="2493" spans="1:2" x14ac:dyDescent="0.35">
      <c r="A2493">
        <v>0.59304767847061202</v>
      </c>
      <c r="B2493">
        <v>14.143541769256</v>
      </c>
    </row>
    <row r="2494" spans="1:2" x14ac:dyDescent="0.35">
      <c r="A2494">
        <v>0.593572437763214</v>
      </c>
      <c r="B2494">
        <v>14.131258432605801</v>
      </c>
    </row>
    <row r="2495" spans="1:2" x14ac:dyDescent="0.35">
      <c r="A2495">
        <v>0.59406125545501698</v>
      </c>
      <c r="B2495">
        <v>14.1414197858448</v>
      </c>
    </row>
    <row r="2496" spans="1:2" x14ac:dyDescent="0.35">
      <c r="A2496">
        <v>0.59459149837493896</v>
      </c>
      <c r="B2496">
        <v>14.126053659751101</v>
      </c>
    </row>
    <row r="2497" spans="1:2" x14ac:dyDescent="0.35">
      <c r="A2497">
        <v>0.59506618976592995</v>
      </c>
      <c r="B2497">
        <v>14.1111453973555</v>
      </c>
    </row>
    <row r="2498" spans="1:2" x14ac:dyDescent="0.35">
      <c r="A2498">
        <v>0.595511734485626</v>
      </c>
      <c r="B2498">
        <v>14.1209522217908</v>
      </c>
    </row>
    <row r="2499" spans="1:2" x14ac:dyDescent="0.35">
      <c r="A2499">
        <v>0.59615093469619795</v>
      </c>
      <c r="B2499">
        <v>14.115229816348601</v>
      </c>
    </row>
    <row r="2500" spans="1:2" x14ac:dyDescent="0.35">
      <c r="A2500">
        <v>0.59659206867217995</v>
      </c>
      <c r="B2500">
        <v>14.109742862204801</v>
      </c>
    </row>
    <row r="2501" spans="1:2" x14ac:dyDescent="0.35">
      <c r="A2501">
        <v>0.59710824489593495</v>
      </c>
      <c r="B2501">
        <v>14.100376858296499</v>
      </c>
    </row>
    <row r="2502" spans="1:2" x14ac:dyDescent="0.35">
      <c r="A2502">
        <v>0.597642481327057</v>
      </c>
      <c r="B2502">
        <v>14.1002551049109</v>
      </c>
    </row>
    <row r="2503" spans="1:2" x14ac:dyDescent="0.35">
      <c r="A2503">
        <v>0.59818845987319902</v>
      </c>
      <c r="B2503">
        <v>14.0973964488406</v>
      </c>
    </row>
    <row r="2504" spans="1:2" x14ac:dyDescent="0.35">
      <c r="A2504">
        <v>0.59860414266586304</v>
      </c>
      <c r="B2504">
        <v>14.0941306761906</v>
      </c>
    </row>
    <row r="2505" spans="1:2" x14ac:dyDescent="0.35">
      <c r="A2505">
        <v>0.59911018610000599</v>
      </c>
      <c r="B2505">
        <v>14.101768290710501</v>
      </c>
    </row>
    <row r="2506" spans="1:2" x14ac:dyDescent="0.35">
      <c r="A2506">
        <v>0.59987962245941195</v>
      </c>
      <c r="B2506">
        <v>14.1026870388347</v>
      </c>
    </row>
    <row r="2507" spans="1:2" x14ac:dyDescent="0.35">
      <c r="A2507">
        <v>0.59902077913284302</v>
      </c>
      <c r="B2507">
        <v>14.0849284240202</v>
      </c>
    </row>
    <row r="2508" spans="1:2" x14ac:dyDescent="0.35">
      <c r="A2508">
        <v>0.59856808185577404</v>
      </c>
      <c r="B2508">
        <v>14.080876606503899</v>
      </c>
    </row>
    <row r="2509" spans="1:2" x14ac:dyDescent="0.35">
      <c r="A2509">
        <v>0.59815877676010099</v>
      </c>
      <c r="B2509">
        <v>14.0634065992709</v>
      </c>
    </row>
    <row r="2510" spans="1:2" x14ac:dyDescent="0.35">
      <c r="A2510">
        <v>0.59753340482711803</v>
      </c>
      <c r="B2510">
        <v>14.0637154579809</v>
      </c>
    </row>
    <row r="2511" spans="1:2" x14ac:dyDescent="0.35">
      <c r="A2511">
        <v>0.59720754623413097</v>
      </c>
      <c r="B2511">
        <v>14.0480394960941</v>
      </c>
    </row>
    <row r="2512" spans="1:2" x14ac:dyDescent="0.35">
      <c r="A2512">
        <v>0.596629679203033</v>
      </c>
      <c r="B2512">
        <v>14.0502499392292</v>
      </c>
    </row>
    <row r="2513" spans="1:2" x14ac:dyDescent="0.35">
      <c r="A2513">
        <v>0.59605443477630604</v>
      </c>
      <c r="B2513">
        <v>14.0561396649772</v>
      </c>
    </row>
    <row r="2514" spans="1:2" x14ac:dyDescent="0.35">
      <c r="A2514">
        <v>0.59539085626602195</v>
      </c>
      <c r="B2514">
        <v>14.0472053444793</v>
      </c>
    </row>
    <row r="2515" spans="1:2" x14ac:dyDescent="0.35">
      <c r="A2515">
        <v>0.595092833042145</v>
      </c>
      <c r="B2515">
        <v>14.037848349072499</v>
      </c>
    </row>
    <row r="2516" spans="1:2" x14ac:dyDescent="0.35">
      <c r="A2516">
        <v>0.59459787607193004</v>
      </c>
      <c r="B2516">
        <v>14.031793796463999</v>
      </c>
    </row>
    <row r="2517" spans="1:2" x14ac:dyDescent="0.35">
      <c r="A2517">
        <v>0.59423059225082397</v>
      </c>
      <c r="B2517">
        <v>14.043406868090701</v>
      </c>
    </row>
    <row r="2518" spans="1:2" x14ac:dyDescent="0.35">
      <c r="A2518">
        <v>0.59360039234161399</v>
      </c>
      <c r="B2518">
        <v>14.030472165485</v>
      </c>
    </row>
    <row r="2519" spans="1:2" x14ac:dyDescent="0.35">
      <c r="A2519">
        <v>0.59315496683120705</v>
      </c>
      <c r="B2519">
        <v>14.0353485330351</v>
      </c>
    </row>
    <row r="2520" spans="1:2" x14ac:dyDescent="0.35">
      <c r="A2520">
        <v>0.59256756305694602</v>
      </c>
      <c r="B2520">
        <v>14.0170684146198</v>
      </c>
    </row>
    <row r="2521" spans="1:2" x14ac:dyDescent="0.35">
      <c r="A2521">
        <v>0.59211283922195401</v>
      </c>
      <c r="B2521">
        <v>14.0291114533344</v>
      </c>
    </row>
    <row r="2522" spans="1:2" x14ac:dyDescent="0.35">
      <c r="A2522">
        <v>0.59173721075057995</v>
      </c>
      <c r="B2522">
        <v>14.0259092950777</v>
      </c>
    </row>
    <row r="2523" spans="1:2" x14ac:dyDescent="0.35">
      <c r="A2523">
        <v>0.59113955497741699</v>
      </c>
      <c r="B2523">
        <v>14.005683275386</v>
      </c>
    </row>
    <row r="2524" spans="1:2" x14ac:dyDescent="0.35">
      <c r="A2524">
        <v>0.59052360057830799</v>
      </c>
      <c r="B2524">
        <v>14.0170294623516</v>
      </c>
    </row>
    <row r="2525" spans="1:2" x14ac:dyDescent="0.35">
      <c r="A2525">
        <v>0.59016072750091597</v>
      </c>
      <c r="B2525">
        <v>14.016554352922901</v>
      </c>
    </row>
    <row r="2526" spans="1:2" x14ac:dyDescent="0.35">
      <c r="A2526">
        <v>0.58964079618454002</v>
      </c>
      <c r="B2526">
        <v>14.008852074048701</v>
      </c>
    </row>
    <row r="2527" spans="1:2" x14ac:dyDescent="0.35">
      <c r="A2527">
        <v>0.58913594484329201</v>
      </c>
      <c r="B2527">
        <v>14.004608850653099</v>
      </c>
    </row>
    <row r="2528" spans="1:2" x14ac:dyDescent="0.35">
      <c r="A2528">
        <v>0.58853060007095304</v>
      </c>
      <c r="B2528">
        <v>14.0086939595825</v>
      </c>
    </row>
    <row r="2529" spans="1:2" x14ac:dyDescent="0.35">
      <c r="A2529">
        <v>0.58811795711517301</v>
      </c>
      <c r="B2529">
        <v>14.0038605841626</v>
      </c>
    </row>
    <row r="2530" spans="1:2" x14ac:dyDescent="0.35">
      <c r="A2530">
        <v>0.58761554956436202</v>
      </c>
      <c r="B2530">
        <v>14.0050289835042</v>
      </c>
    </row>
    <row r="2531" spans="1:2" x14ac:dyDescent="0.35">
      <c r="A2531">
        <v>0.58711504936218295</v>
      </c>
      <c r="B2531">
        <v>14.0052987572085</v>
      </c>
    </row>
    <row r="2532" spans="1:2" x14ac:dyDescent="0.35">
      <c r="A2532">
        <v>0.586536705493927</v>
      </c>
      <c r="B2532">
        <v>13.999906320253</v>
      </c>
    </row>
    <row r="2533" spans="1:2" x14ac:dyDescent="0.35">
      <c r="A2533">
        <v>0.58619403839111295</v>
      </c>
      <c r="B2533">
        <v>13.993334793088099</v>
      </c>
    </row>
    <row r="2534" spans="1:2" x14ac:dyDescent="0.35">
      <c r="A2534">
        <v>0.58541911840438798</v>
      </c>
      <c r="B2534">
        <v>13.988510518510701</v>
      </c>
    </row>
    <row r="2535" spans="1:2" x14ac:dyDescent="0.35">
      <c r="A2535">
        <v>0.58493572473526001</v>
      </c>
      <c r="B2535">
        <v>13.9826226377672</v>
      </c>
    </row>
    <row r="2536" spans="1:2" x14ac:dyDescent="0.35">
      <c r="A2536">
        <v>0.58450621366500899</v>
      </c>
      <c r="B2536">
        <v>13.9890317850118</v>
      </c>
    </row>
    <row r="2537" spans="1:2" x14ac:dyDescent="0.35">
      <c r="A2537">
        <v>0.58390867710113503</v>
      </c>
      <c r="B2537">
        <v>13.9788146625114</v>
      </c>
    </row>
    <row r="2538" spans="1:2" x14ac:dyDescent="0.35">
      <c r="A2538">
        <v>0.58353173732757602</v>
      </c>
      <c r="B2538">
        <v>13.9961805801852</v>
      </c>
    </row>
    <row r="2539" spans="1:2" x14ac:dyDescent="0.35">
      <c r="A2539">
        <v>0.58315980434417702</v>
      </c>
      <c r="B2539">
        <v>13.989645146542101</v>
      </c>
    </row>
    <row r="2540" spans="1:2" x14ac:dyDescent="0.35">
      <c r="A2540">
        <v>0.58267807960510298</v>
      </c>
      <c r="B2540">
        <v>13.9751982350526</v>
      </c>
    </row>
    <row r="2541" spans="1:2" x14ac:dyDescent="0.35">
      <c r="A2541">
        <v>0.58207106590270996</v>
      </c>
      <c r="B2541">
        <v>13.9729145141952</v>
      </c>
    </row>
    <row r="2542" spans="1:2" x14ac:dyDescent="0.35">
      <c r="A2542">
        <v>0.581620573997498</v>
      </c>
      <c r="B2542">
        <v>13.934890363431</v>
      </c>
    </row>
    <row r="2543" spans="1:2" x14ac:dyDescent="0.35">
      <c r="A2543">
        <v>0.58103621006011996</v>
      </c>
      <c r="B2543">
        <v>13.9764995751828</v>
      </c>
    </row>
    <row r="2544" spans="1:2" x14ac:dyDescent="0.35">
      <c r="A2544">
        <v>0.58059561252594005</v>
      </c>
      <c r="B2544">
        <v>13.973657548424301</v>
      </c>
    </row>
    <row r="2545" spans="1:2" x14ac:dyDescent="0.35">
      <c r="A2545">
        <v>0.58006113767623901</v>
      </c>
      <c r="B2545">
        <v>13.959224678007001</v>
      </c>
    </row>
    <row r="2546" spans="1:2" x14ac:dyDescent="0.35">
      <c r="A2546">
        <v>0.57964658737182595</v>
      </c>
      <c r="B2546">
        <v>13.9564786081745</v>
      </c>
    </row>
    <row r="2547" spans="1:2" x14ac:dyDescent="0.35">
      <c r="A2547">
        <v>0.57909214496612504</v>
      </c>
      <c r="B2547">
        <v>13.9606634229281</v>
      </c>
    </row>
    <row r="2548" spans="1:2" x14ac:dyDescent="0.35">
      <c r="A2548">
        <v>0.57865643501281705</v>
      </c>
      <c r="B2548">
        <v>13.966712965374301</v>
      </c>
    </row>
    <row r="2549" spans="1:2" x14ac:dyDescent="0.35">
      <c r="A2549">
        <v>0.57818239927291903</v>
      </c>
      <c r="B2549">
        <v>13.956855380335</v>
      </c>
    </row>
    <row r="2550" spans="1:2" x14ac:dyDescent="0.35">
      <c r="A2550">
        <v>0.57764935493469205</v>
      </c>
      <c r="B2550">
        <v>13.950494641125299</v>
      </c>
    </row>
    <row r="2551" spans="1:2" x14ac:dyDescent="0.35">
      <c r="A2551">
        <v>0.57713937759399403</v>
      </c>
      <c r="B2551">
        <v>13.9544997076875</v>
      </c>
    </row>
    <row r="2552" spans="1:2" x14ac:dyDescent="0.35">
      <c r="A2552">
        <v>0.57674384117126498</v>
      </c>
      <c r="B2552">
        <v>13.941768068705599</v>
      </c>
    </row>
    <row r="2553" spans="1:2" x14ac:dyDescent="0.35">
      <c r="A2553">
        <v>0.57605910301208496</v>
      </c>
      <c r="B2553">
        <v>13.9505562620307</v>
      </c>
    </row>
    <row r="2554" spans="1:2" x14ac:dyDescent="0.35">
      <c r="A2554">
        <v>0.57546228170394897</v>
      </c>
      <c r="B2554">
        <v>13.937619314032199</v>
      </c>
    </row>
    <row r="2555" spans="1:2" x14ac:dyDescent="0.35">
      <c r="A2555">
        <v>0.57501381635665905</v>
      </c>
      <c r="B2555">
        <v>13.9485893198824</v>
      </c>
    </row>
    <row r="2556" spans="1:2" x14ac:dyDescent="0.35">
      <c r="A2556">
        <v>0.574704170227051</v>
      </c>
      <c r="B2556">
        <v>13.943401107533299</v>
      </c>
    </row>
    <row r="2557" spans="1:2" x14ac:dyDescent="0.35">
      <c r="A2557">
        <v>0.57397890090942405</v>
      </c>
      <c r="B2557">
        <v>13.9346114392772</v>
      </c>
    </row>
    <row r="2558" spans="1:2" x14ac:dyDescent="0.35">
      <c r="A2558">
        <v>0.57338678836822499</v>
      </c>
      <c r="B2558">
        <v>13.9343286206143</v>
      </c>
    </row>
    <row r="2559" spans="1:2" x14ac:dyDescent="0.35">
      <c r="A2559">
        <v>0.57300287485122703</v>
      </c>
      <c r="B2559">
        <v>13.9354053216717</v>
      </c>
    </row>
    <row r="2560" spans="1:2" x14ac:dyDescent="0.35">
      <c r="A2560">
        <v>0.57247328758239702</v>
      </c>
      <c r="B2560">
        <v>13.932684608222701</v>
      </c>
    </row>
    <row r="2561" spans="1:2" x14ac:dyDescent="0.35">
      <c r="A2561">
        <v>0.57180678844451904</v>
      </c>
      <c r="B2561">
        <v>13.9301894682586</v>
      </c>
    </row>
    <row r="2562" spans="1:2" x14ac:dyDescent="0.35">
      <c r="A2562">
        <v>0.57168680429458596</v>
      </c>
      <c r="B2562">
        <v>13.9199139870005</v>
      </c>
    </row>
    <row r="2563" spans="1:2" x14ac:dyDescent="0.35">
      <c r="A2563">
        <v>0.57093310356140103</v>
      </c>
      <c r="B2563">
        <v>13.914269897352</v>
      </c>
    </row>
    <row r="2564" spans="1:2" x14ac:dyDescent="0.35">
      <c r="A2564">
        <v>0.57045727968215898</v>
      </c>
      <c r="B2564">
        <v>13.911289963643201</v>
      </c>
    </row>
    <row r="2565" spans="1:2" x14ac:dyDescent="0.35">
      <c r="A2565">
        <v>0.57018339633941695</v>
      </c>
      <c r="B2565">
        <v>13.925710408605999</v>
      </c>
    </row>
    <row r="2566" spans="1:2" x14ac:dyDescent="0.35">
      <c r="A2566">
        <v>0.569599509239197</v>
      </c>
      <c r="B2566">
        <v>13.920311945196399</v>
      </c>
    </row>
    <row r="2567" spans="1:2" x14ac:dyDescent="0.35">
      <c r="A2567">
        <v>0.56888818740844704</v>
      </c>
      <c r="B2567">
        <v>13.9110556541516</v>
      </c>
    </row>
    <row r="2568" spans="1:2" x14ac:dyDescent="0.35">
      <c r="A2568">
        <v>0.56867092847824097</v>
      </c>
      <c r="B2568">
        <v>13.9093678002664</v>
      </c>
    </row>
    <row r="2569" spans="1:2" x14ac:dyDescent="0.35">
      <c r="A2569">
        <v>0.56812399625778198</v>
      </c>
      <c r="B2569">
        <v>13.8967499065729</v>
      </c>
    </row>
    <row r="2570" spans="1:2" x14ac:dyDescent="0.35">
      <c r="A2570">
        <v>0.56766462326049805</v>
      </c>
      <c r="B2570">
        <v>13.895279191936099</v>
      </c>
    </row>
    <row r="2571" spans="1:2" x14ac:dyDescent="0.35">
      <c r="A2571">
        <v>0.56706148386001598</v>
      </c>
      <c r="B2571">
        <v>13.891725837370201</v>
      </c>
    </row>
    <row r="2572" spans="1:2" x14ac:dyDescent="0.35">
      <c r="A2572">
        <v>0.56662714481353804</v>
      </c>
      <c r="B2572">
        <v>13.883104598830601</v>
      </c>
    </row>
    <row r="2573" spans="1:2" x14ac:dyDescent="0.35">
      <c r="A2573">
        <v>0.56625682115554798</v>
      </c>
      <c r="B2573">
        <v>13.883987442633099</v>
      </c>
    </row>
    <row r="2574" spans="1:2" x14ac:dyDescent="0.35">
      <c r="A2574">
        <v>0.56562709808349598</v>
      </c>
      <c r="B2574">
        <v>13.8815792416462</v>
      </c>
    </row>
    <row r="2575" spans="1:2" x14ac:dyDescent="0.35">
      <c r="A2575">
        <v>0.56512379646301303</v>
      </c>
      <c r="B2575">
        <v>13.8795566167346</v>
      </c>
    </row>
    <row r="2576" spans="1:2" x14ac:dyDescent="0.35">
      <c r="A2576">
        <v>0.56464892625808705</v>
      </c>
      <c r="B2576">
        <v>13.876945663854</v>
      </c>
    </row>
    <row r="2577" spans="1:2" x14ac:dyDescent="0.35">
      <c r="A2577">
        <v>0.56403791904449496</v>
      </c>
      <c r="B2577">
        <v>13.8698470536554</v>
      </c>
    </row>
    <row r="2578" spans="1:2" x14ac:dyDescent="0.35">
      <c r="A2578">
        <v>0.56357580423355103</v>
      </c>
      <c r="B2578">
        <v>13.866766428149599</v>
      </c>
    </row>
    <row r="2579" spans="1:2" x14ac:dyDescent="0.35">
      <c r="A2579">
        <v>0.56307214498519897</v>
      </c>
      <c r="B2579">
        <v>13.865374921688501</v>
      </c>
    </row>
    <row r="2580" spans="1:2" x14ac:dyDescent="0.35">
      <c r="A2580">
        <v>0.56256240606307995</v>
      </c>
      <c r="B2580">
        <v>13.8648669032938</v>
      </c>
    </row>
    <row r="2581" spans="1:2" x14ac:dyDescent="0.35">
      <c r="A2581">
        <v>0.56191349029541005</v>
      </c>
      <c r="B2581">
        <v>13.8563710777787</v>
      </c>
    </row>
    <row r="2582" spans="1:2" x14ac:dyDescent="0.35">
      <c r="A2582">
        <v>0.56148952245712302</v>
      </c>
      <c r="B2582">
        <v>13.8414464949708</v>
      </c>
    </row>
    <row r="2583" spans="1:2" x14ac:dyDescent="0.35">
      <c r="A2583">
        <v>0.56115627288818404</v>
      </c>
      <c r="B2583">
        <v>13.862516870778499</v>
      </c>
    </row>
    <row r="2584" spans="1:2" x14ac:dyDescent="0.35">
      <c r="A2584">
        <v>0.56043368577957198</v>
      </c>
      <c r="B2584">
        <v>13.847764220202301</v>
      </c>
    </row>
    <row r="2585" spans="1:2" x14ac:dyDescent="0.35">
      <c r="A2585">
        <v>0.56001806259155296</v>
      </c>
      <c r="B2585">
        <v>13.8475790368202</v>
      </c>
    </row>
    <row r="2586" spans="1:2" x14ac:dyDescent="0.35">
      <c r="A2586">
        <v>0.55976241827011097</v>
      </c>
      <c r="B2586">
        <v>13.8441948515134</v>
      </c>
    </row>
    <row r="2587" spans="1:2" x14ac:dyDescent="0.35">
      <c r="A2587">
        <v>0.55911248922348</v>
      </c>
      <c r="B2587">
        <v>13.837294048438</v>
      </c>
    </row>
    <row r="2588" spans="1:2" x14ac:dyDescent="0.35">
      <c r="A2588">
        <v>0.55862623453140303</v>
      </c>
      <c r="B2588">
        <v>13.8384545711704</v>
      </c>
    </row>
    <row r="2589" spans="1:2" x14ac:dyDescent="0.35">
      <c r="A2589">
        <v>0.55814796686172496</v>
      </c>
      <c r="B2589">
        <v>13.8406640172088</v>
      </c>
    </row>
    <row r="2590" spans="1:2" x14ac:dyDescent="0.35">
      <c r="A2590">
        <v>0.55766850709915206</v>
      </c>
      <c r="B2590">
        <v>13.829478036751601</v>
      </c>
    </row>
    <row r="2591" spans="1:2" x14ac:dyDescent="0.35">
      <c r="A2591">
        <v>0.55724436044693004</v>
      </c>
      <c r="B2591">
        <v>13.8323565040643</v>
      </c>
    </row>
    <row r="2592" spans="1:2" x14ac:dyDescent="0.35">
      <c r="A2592">
        <v>0.55672729015350297</v>
      </c>
      <c r="B2592">
        <v>13.826478154977901</v>
      </c>
    </row>
    <row r="2593" spans="1:2" x14ac:dyDescent="0.35">
      <c r="A2593">
        <v>0.55617380142211903</v>
      </c>
      <c r="B2593">
        <v>13.819454107976799</v>
      </c>
    </row>
    <row r="2594" spans="1:2" x14ac:dyDescent="0.35">
      <c r="A2594">
        <v>0.55556863546371504</v>
      </c>
      <c r="B2594">
        <v>13.821689694590599</v>
      </c>
    </row>
    <row r="2595" spans="1:2" x14ac:dyDescent="0.35">
      <c r="A2595">
        <v>0.55505460500717196</v>
      </c>
      <c r="B2595">
        <v>13.822480671015301</v>
      </c>
    </row>
    <row r="2596" spans="1:2" x14ac:dyDescent="0.35">
      <c r="A2596">
        <v>0.55463147163391102</v>
      </c>
      <c r="B2596">
        <v>13.816832718901299</v>
      </c>
    </row>
    <row r="2597" spans="1:2" x14ac:dyDescent="0.35">
      <c r="A2597">
        <v>0.55408436059951804</v>
      </c>
      <c r="B2597">
        <v>13.8109367696307</v>
      </c>
    </row>
    <row r="2598" spans="1:2" x14ac:dyDescent="0.35">
      <c r="A2598">
        <v>0.55358839035034202</v>
      </c>
      <c r="B2598">
        <v>13.8180450922651</v>
      </c>
    </row>
    <row r="2599" spans="1:2" x14ac:dyDescent="0.35">
      <c r="A2599">
        <v>0.55317455530166604</v>
      </c>
      <c r="B2599">
        <v>13.806307200854899</v>
      </c>
    </row>
    <row r="2600" spans="1:2" x14ac:dyDescent="0.35">
      <c r="A2600">
        <v>0.55260974168777499</v>
      </c>
      <c r="B2600">
        <v>13.8057718530344</v>
      </c>
    </row>
    <row r="2601" spans="1:2" x14ac:dyDescent="0.35">
      <c r="A2601">
        <v>0.55199384689331099</v>
      </c>
      <c r="B2601">
        <v>13.800442910195301</v>
      </c>
    </row>
    <row r="2602" spans="1:2" x14ac:dyDescent="0.35">
      <c r="A2602">
        <v>0.55155056715011597</v>
      </c>
      <c r="B2602">
        <v>13.8034231036556</v>
      </c>
    </row>
    <row r="2603" spans="1:2" x14ac:dyDescent="0.35">
      <c r="A2603">
        <v>0.55104523897170998</v>
      </c>
      <c r="B2603">
        <v>13.8090329156646</v>
      </c>
    </row>
    <row r="2604" spans="1:2" x14ac:dyDescent="0.35">
      <c r="A2604">
        <v>0.55059945583343495</v>
      </c>
      <c r="B2604">
        <v>13.8002154511162</v>
      </c>
    </row>
    <row r="2605" spans="1:2" x14ac:dyDescent="0.35">
      <c r="A2605">
        <v>0.55000835657119795</v>
      </c>
      <c r="B2605">
        <v>13.802465117430501</v>
      </c>
    </row>
    <row r="2606" spans="1:2" x14ac:dyDescent="0.35">
      <c r="A2606">
        <v>0.54955041408538796</v>
      </c>
      <c r="B2606">
        <v>13.799586982478401</v>
      </c>
    </row>
    <row r="2607" spans="1:2" x14ac:dyDescent="0.35">
      <c r="A2607">
        <v>0.54906994104385398</v>
      </c>
      <c r="B2607">
        <v>13.795863266145799</v>
      </c>
    </row>
    <row r="2608" spans="1:2" x14ac:dyDescent="0.35">
      <c r="A2608">
        <v>0.54859161376953103</v>
      </c>
      <c r="B2608">
        <v>13.799549414013301</v>
      </c>
    </row>
    <row r="2609" spans="1:2" x14ac:dyDescent="0.35">
      <c r="A2609">
        <v>0.54807990789413497</v>
      </c>
      <c r="B2609">
        <v>13.793685183933199</v>
      </c>
    </row>
    <row r="2610" spans="1:2" x14ac:dyDescent="0.35">
      <c r="A2610">
        <v>0.54761207103729204</v>
      </c>
      <c r="B2610">
        <v>13.782692400213801</v>
      </c>
    </row>
    <row r="2611" spans="1:2" x14ac:dyDescent="0.35">
      <c r="A2611">
        <v>0.54714596271514904</v>
      </c>
      <c r="B2611">
        <v>13.7925257333694</v>
      </c>
    </row>
    <row r="2612" spans="1:2" x14ac:dyDescent="0.35">
      <c r="A2612">
        <v>0.54670035839080799</v>
      </c>
      <c r="B2612">
        <v>13.7866185071396</v>
      </c>
    </row>
    <row r="2613" spans="1:2" x14ac:dyDescent="0.35">
      <c r="A2613">
        <v>0.54616498947143599</v>
      </c>
      <c r="B2613">
        <v>13.7880663975999</v>
      </c>
    </row>
    <row r="2614" spans="1:2" x14ac:dyDescent="0.35">
      <c r="A2614">
        <v>0.54553437232971203</v>
      </c>
      <c r="B2614">
        <v>13.7807573561889</v>
      </c>
    </row>
    <row r="2615" spans="1:2" x14ac:dyDescent="0.35">
      <c r="A2615">
        <v>0.54522246122360196</v>
      </c>
      <c r="B2615">
        <v>13.776505767504499</v>
      </c>
    </row>
    <row r="2616" spans="1:2" x14ac:dyDescent="0.35">
      <c r="A2616">
        <v>0.54471057653427102</v>
      </c>
      <c r="B2616">
        <v>13.784352717755899</v>
      </c>
    </row>
    <row r="2617" spans="1:2" x14ac:dyDescent="0.35">
      <c r="A2617">
        <v>0.54417514801025402</v>
      </c>
      <c r="B2617">
        <v>13.781412614619301</v>
      </c>
    </row>
    <row r="2618" spans="1:2" x14ac:dyDescent="0.35">
      <c r="A2618">
        <v>0.54363781213760398</v>
      </c>
      <c r="B2618">
        <v>13.776640219276601</v>
      </c>
    </row>
    <row r="2619" spans="1:2" x14ac:dyDescent="0.35">
      <c r="A2619">
        <v>0.54308348894119296</v>
      </c>
      <c r="B2619">
        <v>13.7737835921355</v>
      </c>
    </row>
    <row r="2620" spans="1:2" x14ac:dyDescent="0.35">
      <c r="A2620">
        <v>0.54256671667098999</v>
      </c>
      <c r="B2620">
        <v>13.7733131980865</v>
      </c>
    </row>
    <row r="2621" spans="1:2" x14ac:dyDescent="0.35">
      <c r="A2621">
        <v>0.54225713014602706</v>
      </c>
      <c r="B2621">
        <v>13.768129502940299</v>
      </c>
    </row>
    <row r="2622" spans="1:2" x14ac:dyDescent="0.35">
      <c r="A2622">
        <v>0.54156720638275102</v>
      </c>
      <c r="B2622">
        <v>13.7649873733401</v>
      </c>
    </row>
    <row r="2623" spans="1:2" x14ac:dyDescent="0.35">
      <c r="A2623">
        <v>0.54120260477065996</v>
      </c>
      <c r="B2623">
        <v>13.762828103548401</v>
      </c>
    </row>
    <row r="2624" spans="1:2" x14ac:dyDescent="0.35">
      <c r="A2624">
        <v>0.54058670997619596</v>
      </c>
      <c r="B2624">
        <v>13.754505336508499</v>
      </c>
    </row>
    <row r="2625" spans="1:2" x14ac:dyDescent="0.35">
      <c r="A2625">
        <v>0.53997623920440696</v>
      </c>
      <c r="B2625">
        <v>13.758039229838801</v>
      </c>
    </row>
    <row r="2626" spans="1:2" x14ac:dyDescent="0.35">
      <c r="A2626">
        <v>0.53954309225082397</v>
      </c>
      <c r="B2626">
        <v>13.7443957673991</v>
      </c>
    </row>
    <row r="2627" spans="1:2" x14ac:dyDescent="0.35">
      <c r="A2627">
        <v>0.539115130901337</v>
      </c>
      <c r="B2627">
        <v>13.759200268617301</v>
      </c>
    </row>
    <row r="2628" spans="1:2" x14ac:dyDescent="0.35">
      <c r="A2628">
        <v>0.53842836618423495</v>
      </c>
      <c r="B2628">
        <v>13.7481957094022</v>
      </c>
    </row>
    <row r="2629" spans="1:2" x14ac:dyDescent="0.35">
      <c r="A2629">
        <v>0.53806334733963002</v>
      </c>
      <c r="B2629">
        <v>13.741382892211501</v>
      </c>
    </row>
    <row r="2630" spans="1:2" x14ac:dyDescent="0.35">
      <c r="A2630">
        <v>0.53762042522430398</v>
      </c>
      <c r="B2630">
        <v>13.742647484132601</v>
      </c>
    </row>
    <row r="2631" spans="1:2" x14ac:dyDescent="0.35">
      <c r="A2631">
        <v>0.53709965944290206</v>
      </c>
      <c r="B2631">
        <v>13.7321340338393</v>
      </c>
    </row>
    <row r="2632" spans="1:2" x14ac:dyDescent="0.35">
      <c r="A2632">
        <v>0.53646278381347701</v>
      </c>
      <c r="B2632">
        <v>13.731795737324701</v>
      </c>
    </row>
    <row r="2633" spans="1:2" x14ac:dyDescent="0.35">
      <c r="A2633">
        <v>0.53635036945342995</v>
      </c>
      <c r="B2633">
        <v>13.7380825109637</v>
      </c>
    </row>
    <row r="2634" spans="1:2" x14ac:dyDescent="0.35">
      <c r="A2634">
        <v>0.53576397895812999</v>
      </c>
      <c r="B2634">
        <v>13.7238095439319</v>
      </c>
    </row>
    <row r="2635" spans="1:2" x14ac:dyDescent="0.35">
      <c r="A2635">
        <v>0.53515952825546298</v>
      </c>
      <c r="B2635">
        <v>13.7295376448116</v>
      </c>
    </row>
    <row r="2636" spans="1:2" x14ac:dyDescent="0.35">
      <c r="A2636">
        <v>0.53469526767730702</v>
      </c>
      <c r="B2636">
        <v>13.7325619865187</v>
      </c>
    </row>
    <row r="2637" spans="1:2" x14ac:dyDescent="0.35">
      <c r="A2637">
        <v>0.53425556421279896</v>
      </c>
      <c r="B2637">
        <v>13.713299931240501</v>
      </c>
    </row>
    <row r="2638" spans="1:2" x14ac:dyDescent="0.35">
      <c r="A2638">
        <v>0.53377300500869795</v>
      </c>
      <c r="B2638">
        <v>13.7288143426292</v>
      </c>
    </row>
    <row r="2639" spans="1:2" x14ac:dyDescent="0.35">
      <c r="A2639">
        <v>0.53317499160766602</v>
      </c>
      <c r="B2639">
        <v>13.7245531293915</v>
      </c>
    </row>
    <row r="2640" spans="1:2" x14ac:dyDescent="0.35">
      <c r="A2640">
        <v>0.53255510330200195</v>
      </c>
      <c r="B2640">
        <v>13.718595574869999</v>
      </c>
    </row>
    <row r="2641" spans="1:2" x14ac:dyDescent="0.35">
      <c r="A2641">
        <v>0.53212994337081898</v>
      </c>
      <c r="B2641">
        <v>13.708204865896199</v>
      </c>
    </row>
    <row r="2642" spans="1:2" x14ac:dyDescent="0.35">
      <c r="A2642">
        <v>0.53169292211532604</v>
      </c>
      <c r="B2642">
        <v>13.7171004396535</v>
      </c>
    </row>
    <row r="2643" spans="1:2" x14ac:dyDescent="0.35">
      <c r="A2643">
        <v>0.53116703033447299</v>
      </c>
      <c r="B2643">
        <v>13.695575476013101</v>
      </c>
    </row>
    <row r="2644" spans="1:2" x14ac:dyDescent="0.35">
      <c r="A2644">
        <v>0.53063064813613903</v>
      </c>
      <c r="B2644">
        <v>13.713251471570899</v>
      </c>
    </row>
    <row r="2645" spans="1:2" x14ac:dyDescent="0.35">
      <c r="A2645">
        <v>0.53005844354629505</v>
      </c>
      <c r="B2645">
        <v>13.702342824224701</v>
      </c>
    </row>
    <row r="2646" spans="1:2" x14ac:dyDescent="0.35">
      <c r="A2646">
        <v>0.52964156866073597</v>
      </c>
      <c r="B2646">
        <v>13.707195500102999</v>
      </c>
    </row>
    <row r="2647" spans="1:2" x14ac:dyDescent="0.35">
      <c r="A2647">
        <v>0.52911472320556596</v>
      </c>
      <c r="B2647">
        <v>13.684706483364501</v>
      </c>
    </row>
    <row r="2648" spans="1:2" x14ac:dyDescent="0.35">
      <c r="A2648">
        <v>0.52870786190033003</v>
      </c>
      <c r="B2648">
        <v>13.694192695330299</v>
      </c>
    </row>
    <row r="2649" spans="1:2" x14ac:dyDescent="0.35">
      <c r="A2649">
        <v>0.528092741966248</v>
      </c>
      <c r="B2649">
        <v>13.700296594774001</v>
      </c>
    </row>
    <row r="2650" spans="1:2" x14ac:dyDescent="0.35">
      <c r="A2650">
        <v>0.52764320373535201</v>
      </c>
      <c r="B2650">
        <v>13.7115509232055</v>
      </c>
    </row>
    <row r="2651" spans="1:2" x14ac:dyDescent="0.35">
      <c r="A2651">
        <v>0.52736288309097301</v>
      </c>
      <c r="B2651">
        <v>13.6797067037663</v>
      </c>
    </row>
    <row r="2652" spans="1:2" x14ac:dyDescent="0.35">
      <c r="A2652">
        <v>0.52661168575286899</v>
      </c>
      <c r="B2652">
        <v>13.6943181841509</v>
      </c>
    </row>
    <row r="2653" spans="1:2" x14ac:dyDescent="0.35">
      <c r="A2653">
        <v>0.52619099617004395</v>
      </c>
      <c r="B2653">
        <v>13.684727463981901</v>
      </c>
    </row>
    <row r="2654" spans="1:2" x14ac:dyDescent="0.35">
      <c r="A2654">
        <v>0.52568209171295199</v>
      </c>
      <c r="B2654">
        <v>13.699810751406799</v>
      </c>
    </row>
    <row r="2655" spans="1:2" x14ac:dyDescent="0.35">
      <c r="A2655">
        <v>0.52518379688262895</v>
      </c>
      <c r="B2655">
        <v>13.6921375101573</v>
      </c>
    </row>
    <row r="2656" spans="1:2" x14ac:dyDescent="0.35">
      <c r="A2656">
        <v>0.52476823329925504</v>
      </c>
      <c r="B2656">
        <v>13.685633324170899</v>
      </c>
    </row>
    <row r="2657" spans="1:2" x14ac:dyDescent="0.35">
      <c r="A2657">
        <v>0.52409827709197998</v>
      </c>
      <c r="B2657">
        <v>13.6911590358475</v>
      </c>
    </row>
    <row r="2658" spans="1:2" x14ac:dyDescent="0.35">
      <c r="A2658">
        <v>0.52364438772201505</v>
      </c>
      <c r="B2658">
        <v>13.6838943915029</v>
      </c>
    </row>
    <row r="2659" spans="1:2" x14ac:dyDescent="0.35">
      <c r="A2659">
        <v>0.523168325424194</v>
      </c>
      <c r="B2659">
        <v>13.680989370581599</v>
      </c>
    </row>
    <row r="2660" spans="1:2" x14ac:dyDescent="0.35">
      <c r="A2660">
        <v>0.52258765697479204</v>
      </c>
      <c r="B2660">
        <v>13.6762541258675</v>
      </c>
    </row>
    <row r="2661" spans="1:2" x14ac:dyDescent="0.35">
      <c r="A2661">
        <v>0.522161304950714</v>
      </c>
      <c r="B2661">
        <v>13.661466343217199</v>
      </c>
    </row>
    <row r="2662" spans="1:2" x14ac:dyDescent="0.35">
      <c r="A2662">
        <v>0.52169376611709595</v>
      </c>
      <c r="B2662">
        <v>13.6745188195893</v>
      </c>
    </row>
    <row r="2663" spans="1:2" x14ac:dyDescent="0.35">
      <c r="A2663">
        <v>0.52112865447998002</v>
      </c>
      <c r="B2663">
        <v>13.6724020639281</v>
      </c>
    </row>
    <row r="2664" spans="1:2" x14ac:dyDescent="0.35">
      <c r="A2664">
        <v>0.520663142204285</v>
      </c>
      <c r="B2664">
        <v>13.6647722589643</v>
      </c>
    </row>
    <row r="2665" spans="1:2" x14ac:dyDescent="0.35">
      <c r="A2665">
        <v>0.52008873224258401</v>
      </c>
      <c r="B2665">
        <v>13.6457675620904</v>
      </c>
    </row>
    <row r="2666" spans="1:2" x14ac:dyDescent="0.35">
      <c r="A2666">
        <v>0.51962983608245805</v>
      </c>
      <c r="B2666">
        <v>13.667780442508199</v>
      </c>
    </row>
    <row r="2667" spans="1:2" x14ac:dyDescent="0.35">
      <c r="A2667">
        <v>0.51912796497345004</v>
      </c>
      <c r="B2667">
        <v>13.66305390152</v>
      </c>
    </row>
    <row r="2668" spans="1:2" x14ac:dyDescent="0.35">
      <c r="A2668">
        <v>0.51867139339446999</v>
      </c>
      <c r="B2668">
        <v>13.6561623099223</v>
      </c>
    </row>
    <row r="2669" spans="1:2" x14ac:dyDescent="0.35">
      <c r="A2669">
        <v>0.51824712753295898</v>
      </c>
      <c r="B2669">
        <v>13.653059022294499</v>
      </c>
    </row>
    <row r="2670" spans="1:2" x14ac:dyDescent="0.35">
      <c r="A2670">
        <v>0.517772436141968</v>
      </c>
      <c r="B2670">
        <v>13.648741319341999</v>
      </c>
    </row>
    <row r="2671" spans="1:2" x14ac:dyDescent="0.35">
      <c r="A2671">
        <v>0.51704394817352295</v>
      </c>
      <c r="B2671">
        <v>13.650006963573199</v>
      </c>
    </row>
    <row r="2672" spans="1:2" x14ac:dyDescent="0.35">
      <c r="A2672">
        <v>0.51677232980728105</v>
      </c>
      <c r="B2672">
        <v>13.6472347843821</v>
      </c>
    </row>
    <row r="2673" spans="1:2" x14ac:dyDescent="0.35">
      <c r="A2673">
        <v>0.51626056432723999</v>
      </c>
      <c r="B2673">
        <v>13.635021454697499</v>
      </c>
    </row>
    <row r="2674" spans="1:2" x14ac:dyDescent="0.35">
      <c r="A2674">
        <v>0.51565945148467995</v>
      </c>
      <c r="B2674">
        <v>13.629107976265701</v>
      </c>
    </row>
    <row r="2675" spans="1:2" x14ac:dyDescent="0.35">
      <c r="A2675">
        <v>0.51507532596588101</v>
      </c>
      <c r="B2675">
        <v>13.6413601221838</v>
      </c>
    </row>
    <row r="2676" spans="1:2" x14ac:dyDescent="0.35">
      <c r="A2676">
        <v>0.51467120647430398</v>
      </c>
      <c r="B2676">
        <v>13.6387226155897</v>
      </c>
    </row>
    <row r="2677" spans="1:2" x14ac:dyDescent="0.35">
      <c r="A2677">
        <v>0.51398098468780495</v>
      </c>
      <c r="B2677">
        <v>13.6329015461342</v>
      </c>
    </row>
    <row r="2678" spans="1:2" x14ac:dyDescent="0.35">
      <c r="A2678">
        <v>0.51345980167388905</v>
      </c>
      <c r="B2678">
        <v>13.6382026030085</v>
      </c>
    </row>
    <row r="2679" spans="1:2" x14ac:dyDescent="0.35">
      <c r="A2679">
        <v>0.51318508386611905</v>
      </c>
      <c r="B2679">
        <v>13.634123297092801</v>
      </c>
    </row>
    <row r="2680" spans="1:2" x14ac:dyDescent="0.35">
      <c r="A2680">
        <v>0.51265799999237105</v>
      </c>
      <c r="B2680">
        <v>13.626872341310101</v>
      </c>
    </row>
    <row r="2681" spans="1:2" x14ac:dyDescent="0.35">
      <c r="A2681">
        <v>0.51209735870361295</v>
      </c>
      <c r="B2681">
        <v>13.6298246828965</v>
      </c>
    </row>
    <row r="2682" spans="1:2" x14ac:dyDescent="0.35">
      <c r="A2682">
        <v>0.51162016391754195</v>
      </c>
      <c r="B2682">
        <v>13.6259732516373</v>
      </c>
    </row>
    <row r="2683" spans="1:2" x14ac:dyDescent="0.35">
      <c r="A2683">
        <v>0.51117479801178001</v>
      </c>
      <c r="B2683">
        <v>13.6199051341427</v>
      </c>
    </row>
    <row r="2684" spans="1:2" x14ac:dyDescent="0.35">
      <c r="A2684">
        <v>0.51062679290771495</v>
      </c>
      <c r="B2684">
        <v>13.624958730118999</v>
      </c>
    </row>
    <row r="2685" spans="1:2" x14ac:dyDescent="0.35">
      <c r="A2685">
        <v>0.51007658243179299</v>
      </c>
      <c r="B2685">
        <v>13.6292914285814</v>
      </c>
    </row>
    <row r="2686" spans="1:2" x14ac:dyDescent="0.35">
      <c r="A2686">
        <v>0.509646356105804</v>
      </c>
      <c r="B2686">
        <v>13.6219601918938</v>
      </c>
    </row>
    <row r="2687" spans="1:2" x14ac:dyDescent="0.35">
      <c r="A2687">
        <v>0.50924015045166005</v>
      </c>
      <c r="B2687">
        <v>13.6027200195484</v>
      </c>
    </row>
    <row r="2688" spans="1:2" x14ac:dyDescent="0.35">
      <c r="A2688">
        <v>0.508603096008301</v>
      </c>
      <c r="B2688">
        <v>13.6143361441764</v>
      </c>
    </row>
    <row r="2689" spans="1:2" x14ac:dyDescent="0.35">
      <c r="A2689">
        <v>0.508134424686432</v>
      </c>
      <c r="B2689">
        <v>13.614394346978999</v>
      </c>
    </row>
    <row r="2690" spans="1:2" x14ac:dyDescent="0.35">
      <c r="A2690">
        <v>0.50775921344757102</v>
      </c>
      <c r="B2690">
        <v>13.6186589793952</v>
      </c>
    </row>
    <row r="2691" spans="1:2" x14ac:dyDescent="0.35">
      <c r="A2691">
        <v>0.50703120231628396</v>
      </c>
      <c r="B2691">
        <v>13.610321764918</v>
      </c>
    </row>
    <row r="2692" spans="1:2" x14ac:dyDescent="0.35">
      <c r="A2692">
        <v>0.50666302442550704</v>
      </c>
      <c r="B2692">
        <v>13.606082440737501</v>
      </c>
    </row>
    <row r="2693" spans="1:2" x14ac:dyDescent="0.35">
      <c r="A2693">
        <v>0.50622731447219804</v>
      </c>
      <c r="B2693">
        <v>13.608542656857701</v>
      </c>
    </row>
    <row r="2694" spans="1:2" x14ac:dyDescent="0.35">
      <c r="A2694">
        <v>0.50545883178710904</v>
      </c>
      <c r="B2694">
        <v>13.5973701235233</v>
      </c>
    </row>
    <row r="2695" spans="1:2" x14ac:dyDescent="0.35">
      <c r="A2695">
        <v>0.50495362281799305</v>
      </c>
      <c r="B2695">
        <v>13.6150676289835</v>
      </c>
    </row>
    <row r="2696" spans="1:2" x14ac:dyDescent="0.35">
      <c r="A2696">
        <v>0.50464034080505404</v>
      </c>
      <c r="B2696">
        <v>13.6076533615353</v>
      </c>
    </row>
    <row r="2697" spans="1:2" x14ac:dyDescent="0.35">
      <c r="A2697">
        <v>0.50417780876159701</v>
      </c>
      <c r="B2697">
        <v>13.602647684772601</v>
      </c>
    </row>
    <row r="2698" spans="1:2" x14ac:dyDescent="0.35">
      <c r="A2698">
        <v>0.50354421138763406</v>
      </c>
      <c r="B2698">
        <v>13.6041723594718</v>
      </c>
    </row>
    <row r="2699" spans="1:2" x14ac:dyDescent="0.35">
      <c r="A2699">
        <v>0.50315403938293501</v>
      </c>
      <c r="B2699">
        <v>13.5885884671405</v>
      </c>
    </row>
    <row r="2700" spans="1:2" x14ac:dyDescent="0.35">
      <c r="A2700">
        <v>0.50270235538482699</v>
      </c>
      <c r="B2700">
        <v>13.5975957119808</v>
      </c>
    </row>
    <row r="2701" spans="1:2" x14ac:dyDescent="0.35">
      <c r="A2701">
        <v>0.50208199024200395</v>
      </c>
      <c r="B2701">
        <v>13.600316053282</v>
      </c>
    </row>
    <row r="2702" spans="1:2" x14ac:dyDescent="0.35">
      <c r="A2702">
        <v>0.501650631427765</v>
      </c>
      <c r="B2702">
        <v>13.597346003119601</v>
      </c>
    </row>
    <row r="2703" spans="1:2" x14ac:dyDescent="0.35">
      <c r="A2703">
        <v>0.50125294923782304</v>
      </c>
      <c r="B2703">
        <v>13.5903046215803</v>
      </c>
    </row>
    <row r="2704" spans="1:2" x14ac:dyDescent="0.35">
      <c r="A2704">
        <v>0.50071561336517301</v>
      </c>
      <c r="B2704">
        <v>13.5967357738778</v>
      </c>
    </row>
    <row r="2705" spans="1:2" x14ac:dyDescent="0.35">
      <c r="A2705">
        <v>0.50019925832748402</v>
      </c>
      <c r="B2705">
        <v>13.588664567682599</v>
      </c>
    </row>
    <row r="2706" spans="1:2" x14ac:dyDescent="0.35">
      <c r="A2706">
        <v>0.49975928664207497</v>
      </c>
      <c r="B2706">
        <v>13.589974739914499</v>
      </c>
    </row>
    <row r="2707" spans="1:2" x14ac:dyDescent="0.35">
      <c r="A2707">
        <v>0.49918481707572898</v>
      </c>
      <c r="B2707">
        <v>13.574764001533399</v>
      </c>
    </row>
    <row r="2708" spans="1:2" x14ac:dyDescent="0.35">
      <c r="A2708">
        <v>0.49867901206016502</v>
      </c>
      <c r="B2708">
        <v>13.582891396689201</v>
      </c>
    </row>
    <row r="2709" spans="1:2" x14ac:dyDescent="0.35">
      <c r="A2709">
        <v>0.49822941422462502</v>
      </c>
      <c r="B2709">
        <v>13.5758574153163</v>
      </c>
    </row>
    <row r="2710" spans="1:2" x14ac:dyDescent="0.35">
      <c r="A2710">
        <v>0.49763393402099598</v>
      </c>
      <c r="B2710">
        <v>13.5800198954386</v>
      </c>
    </row>
    <row r="2711" spans="1:2" x14ac:dyDescent="0.35">
      <c r="A2711">
        <v>0.49716532230377197</v>
      </c>
      <c r="B2711">
        <v>13.5780821084292</v>
      </c>
    </row>
    <row r="2712" spans="1:2" x14ac:dyDescent="0.35">
      <c r="A2712">
        <v>0.49650380015373202</v>
      </c>
      <c r="B2712">
        <v>13.567659293735501</v>
      </c>
    </row>
    <row r="2713" spans="1:2" x14ac:dyDescent="0.35">
      <c r="A2713">
        <v>0.4958855509758</v>
      </c>
      <c r="B2713">
        <v>13.570408977558101</v>
      </c>
    </row>
    <row r="2714" spans="1:2" x14ac:dyDescent="0.35">
      <c r="A2714">
        <v>0.495638698339462</v>
      </c>
      <c r="B2714">
        <v>13.5644309767194</v>
      </c>
    </row>
    <row r="2715" spans="1:2" x14ac:dyDescent="0.35">
      <c r="A2715">
        <v>0.49514237046241799</v>
      </c>
      <c r="B2715">
        <v>13.564903123622701</v>
      </c>
    </row>
    <row r="2716" spans="1:2" x14ac:dyDescent="0.35">
      <c r="A2716">
        <v>0.49450922012329102</v>
      </c>
      <c r="B2716">
        <v>13.570615632316599</v>
      </c>
    </row>
    <row r="2717" spans="1:2" x14ac:dyDescent="0.35">
      <c r="A2717">
        <v>0.49416953325271601</v>
      </c>
      <c r="B2717">
        <v>13.5693845934492</v>
      </c>
    </row>
    <row r="2718" spans="1:2" x14ac:dyDescent="0.35">
      <c r="A2718">
        <v>0.493703603744507</v>
      </c>
      <c r="B2718">
        <v>13.561508933969</v>
      </c>
    </row>
    <row r="2719" spans="1:2" x14ac:dyDescent="0.35">
      <c r="A2719">
        <v>0.49318414926528897</v>
      </c>
      <c r="B2719">
        <v>13.5545252774199</v>
      </c>
    </row>
    <row r="2720" spans="1:2" x14ac:dyDescent="0.35">
      <c r="A2720">
        <v>0.49267566204071001</v>
      </c>
      <c r="B2720">
        <v>13.5412446215653</v>
      </c>
    </row>
    <row r="2721" spans="1:2" x14ac:dyDescent="0.35">
      <c r="A2721">
        <v>0.49231404066085799</v>
      </c>
      <c r="B2721">
        <v>13.5466079015502</v>
      </c>
    </row>
    <row r="2722" spans="1:2" x14ac:dyDescent="0.35">
      <c r="A2722">
        <v>0.49160563945770303</v>
      </c>
      <c r="B2722">
        <v>13.5558985464885</v>
      </c>
    </row>
    <row r="2723" spans="1:2" x14ac:dyDescent="0.35">
      <c r="A2723">
        <v>0.49114474654197698</v>
      </c>
      <c r="B2723">
        <v>13.5478382195408</v>
      </c>
    </row>
    <row r="2724" spans="1:2" x14ac:dyDescent="0.35">
      <c r="A2724">
        <v>0.49075141549110401</v>
      </c>
      <c r="B2724">
        <v>13.5456748258121</v>
      </c>
    </row>
    <row r="2725" spans="1:2" x14ac:dyDescent="0.35">
      <c r="A2725">
        <v>0.49015960097312899</v>
      </c>
      <c r="B2725">
        <v>13.536147840736</v>
      </c>
    </row>
    <row r="2726" spans="1:2" x14ac:dyDescent="0.35">
      <c r="A2726">
        <v>0.489675253629684</v>
      </c>
      <c r="B2726">
        <v>13.5384204147133</v>
      </c>
    </row>
    <row r="2727" spans="1:2" x14ac:dyDescent="0.35">
      <c r="A2727">
        <v>0.48928087949752802</v>
      </c>
      <c r="B2727">
        <v>13.530529875601699</v>
      </c>
    </row>
    <row r="2728" spans="1:2" x14ac:dyDescent="0.35">
      <c r="A2728">
        <v>0.48871141672134399</v>
      </c>
      <c r="B2728">
        <v>13.544533012596901</v>
      </c>
    </row>
    <row r="2729" spans="1:2" x14ac:dyDescent="0.35">
      <c r="A2729">
        <v>0.48813074827194203</v>
      </c>
      <c r="B2729">
        <v>13.5276864289046</v>
      </c>
    </row>
    <row r="2730" spans="1:2" x14ac:dyDescent="0.35">
      <c r="A2730">
        <v>0.48758688569068898</v>
      </c>
      <c r="B2730">
        <v>13.523219300044101</v>
      </c>
    </row>
    <row r="2731" spans="1:2" x14ac:dyDescent="0.35">
      <c r="A2731">
        <v>0.487133949995041</v>
      </c>
      <c r="B2731">
        <v>13.5319037427462</v>
      </c>
    </row>
    <row r="2732" spans="1:2" x14ac:dyDescent="0.35">
      <c r="A2732">
        <v>0.48666021227836598</v>
      </c>
      <c r="B2732">
        <v>13.527614452089599</v>
      </c>
    </row>
    <row r="2733" spans="1:2" x14ac:dyDescent="0.35">
      <c r="A2733">
        <v>0.486242234706879</v>
      </c>
      <c r="B2733">
        <v>13.520581458505299</v>
      </c>
    </row>
    <row r="2734" spans="1:2" x14ac:dyDescent="0.35">
      <c r="A2734">
        <v>0.48566675186157199</v>
      </c>
      <c r="B2734">
        <v>13.519707053772599</v>
      </c>
    </row>
    <row r="2735" spans="1:2" x14ac:dyDescent="0.35">
      <c r="A2735">
        <v>0.48525047302246099</v>
      </c>
      <c r="B2735">
        <v>13.5188402052601</v>
      </c>
    </row>
    <row r="2736" spans="1:2" x14ac:dyDescent="0.35">
      <c r="A2736">
        <v>0.48461177945137002</v>
      </c>
      <c r="B2736">
        <v>13.509659513590799</v>
      </c>
    </row>
    <row r="2737" spans="1:2" x14ac:dyDescent="0.35">
      <c r="A2737">
        <v>0.484229266643524</v>
      </c>
      <c r="B2737">
        <v>13.515291962743101</v>
      </c>
    </row>
    <row r="2738" spans="1:2" x14ac:dyDescent="0.35">
      <c r="A2738">
        <v>0.48362532258033802</v>
      </c>
      <c r="B2738">
        <v>13.5135401880153</v>
      </c>
    </row>
    <row r="2739" spans="1:2" x14ac:dyDescent="0.35">
      <c r="A2739">
        <v>0.48334822058677701</v>
      </c>
      <c r="B2739">
        <v>13.512773569114801</v>
      </c>
    </row>
    <row r="2740" spans="1:2" x14ac:dyDescent="0.35">
      <c r="A2740">
        <v>0.48275899887085</v>
      </c>
      <c r="B2740">
        <v>13.5111478411694</v>
      </c>
    </row>
    <row r="2741" spans="1:2" x14ac:dyDescent="0.35">
      <c r="A2741">
        <v>0.48227646946906999</v>
      </c>
      <c r="B2741">
        <v>13.4905280599432</v>
      </c>
    </row>
    <row r="2742" spans="1:2" x14ac:dyDescent="0.35">
      <c r="A2742">
        <v>0.48175287246704102</v>
      </c>
      <c r="B2742">
        <v>13.495001917444499</v>
      </c>
    </row>
    <row r="2743" spans="1:2" x14ac:dyDescent="0.35">
      <c r="A2743">
        <v>0.48120895028114302</v>
      </c>
      <c r="B2743">
        <v>13.503237581674499</v>
      </c>
    </row>
    <row r="2744" spans="1:2" x14ac:dyDescent="0.35">
      <c r="A2744">
        <v>0.48072010278701799</v>
      </c>
      <c r="B2744">
        <v>13.4930935607262</v>
      </c>
    </row>
    <row r="2745" spans="1:2" x14ac:dyDescent="0.35">
      <c r="A2745">
        <v>0.48020166158676098</v>
      </c>
      <c r="B2745">
        <v>13.5012520525312</v>
      </c>
    </row>
    <row r="2746" spans="1:2" x14ac:dyDescent="0.35">
      <c r="A2746">
        <v>0.479682296514511</v>
      </c>
      <c r="B2746">
        <v>13.4840370710517</v>
      </c>
    </row>
    <row r="2747" spans="1:2" x14ac:dyDescent="0.35">
      <c r="A2747">
        <v>0.47915756702423101</v>
      </c>
      <c r="B2747">
        <v>13.4893495751042</v>
      </c>
    </row>
    <row r="2748" spans="1:2" x14ac:dyDescent="0.35">
      <c r="A2748">
        <v>0.47862017154693598</v>
      </c>
      <c r="B2748">
        <v>13.491233778586199</v>
      </c>
    </row>
    <row r="2749" spans="1:2" x14ac:dyDescent="0.35">
      <c r="A2749">
        <v>0.47825014591217002</v>
      </c>
      <c r="B2749">
        <v>13.484955678939</v>
      </c>
    </row>
    <row r="2750" spans="1:2" x14ac:dyDescent="0.35">
      <c r="A2750">
        <v>0.47763407230377197</v>
      </c>
      <c r="B2750">
        <v>13.475822880424699</v>
      </c>
    </row>
    <row r="2751" spans="1:2" x14ac:dyDescent="0.35">
      <c r="A2751">
        <v>0.47709688544273399</v>
      </c>
      <c r="B2751">
        <v>13.4850757817904</v>
      </c>
    </row>
    <row r="2752" spans="1:2" x14ac:dyDescent="0.35">
      <c r="A2752">
        <v>0.476695716381073</v>
      </c>
      <c r="B2752">
        <v>13.4836954699058</v>
      </c>
    </row>
    <row r="2753" spans="1:2" x14ac:dyDescent="0.35">
      <c r="A2753">
        <v>0.47620478272437999</v>
      </c>
      <c r="B2753">
        <v>13.475394312189399</v>
      </c>
    </row>
    <row r="2754" spans="1:2" x14ac:dyDescent="0.35">
      <c r="A2754">
        <v>0.47572383284568798</v>
      </c>
      <c r="B2754">
        <v>13.471251930028901</v>
      </c>
    </row>
    <row r="2755" spans="1:2" x14ac:dyDescent="0.35">
      <c r="A2755">
        <v>0.47529837489128102</v>
      </c>
      <c r="B2755">
        <v>13.475286204413401</v>
      </c>
    </row>
    <row r="2756" spans="1:2" x14ac:dyDescent="0.35">
      <c r="A2756">
        <v>0.47473245859146102</v>
      </c>
      <c r="B2756">
        <v>13.4672341354058</v>
      </c>
    </row>
    <row r="2757" spans="1:2" x14ac:dyDescent="0.35">
      <c r="A2757">
        <v>0.47417184710502602</v>
      </c>
      <c r="B2757">
        <v>13.465809180048399</v>
      </c>
    </row>
    <row r="2758" spans="1:2" x14ac:dyDescent="0.35">
      <c r="A2758">
        <v>0.47360143065452598</v>
      </c>
      <c r="B2758">
        <v>13.474142449317499</v>
      </c>
    </row>
    <row r="2759" spans="1:2" x14ac:dyDescent="0.35">
      <c r="A2759">
        <v>0.47325745224952698</v>
      </c>
      <c r="B2759">
        <v>13.472257962173201</v>
      </c>
    </row>
    <row r="2760" spans="1:2" x14ac:dyDescent="0.35">
      <c r="A2760">
        <v>0.47262948751449602</v>
      </c>
      <c r="B2760">
        <v>13.464612813264401</v>
      </c>
    </row>
    <row r="2761" spans="1:2" x14ac:dyDescent="0.35">
      <c r="A2761">
        <v>0.47227296233177202</v>
      </c>
      <c r="B2761">
        <v>13.4658227030014</v>
      </c>
    </row>
    <row r="2762" spans="1:2" x14ac:dyDescent="0.35">
      <c r="A2762">
        <v>0.47175666689872697</v>
      </c>
      <c r="B2762">
        <v>13.465212515037001</v>
      </c>
    </row>
    <row r="2763" spans="1:2" x14ac:dyDescent="0.35">
      <c r="A2763">
        <v>0.47106051445007302</v>
      </c>
      <c r="B2763">
        <v>13.4597822714546</v>
      </c>
    </row>
    <row r="2764" spans="1:2" x14ac:dyDescent="0.35">
      <c r="A2764">
        <v>0.47051501274108898</v>
      </c>
      <c r="B2764">
        <v>13.452872222722</v>
      </c>
    </row>
    <row r="2765" spans="1:2" x14ac:dyDescent="0.35">
      <c r="A2765">
        <v>0.46998625993728599</v>
      </c>
      <c r="B2765">
        <v>13.464538941388099</v>
      </c>
    </row>
    <row r="2766" spans="1:2" x14ac:dyDescent="0.35">
      <c r="A2766">
        <v>0.469515651464462</v>
      </c>
      <c r="B2766">
        <v>13.4474804284927</v>
      </c>
    </row>
    <row r="2767" spans="1:2" x14ac:dyDescent="0.35">
      <c r="A2767">
        <v>0.46927917003631597</v>
      </c>
      <c r="B2767">
        <v>13.453208456314099</v>
      </c>
    </row>
    <row r="2768" spans="1:2" x14ac:dyDescent="0.35">
      <c r="A2768">
        <v>0.46865785121917702</v>
      </c>
      <c r="B2768">
        <v>13.4462261660119</v>
      </c>
    </row>
    <row r="2769" spans="1:2" x14ac:dyDescent="0.35">
      <c r="A2769">
        <v>0.46819981932640098</v>
      </c>
      <c r="B2769">
        <v>13.442475222600001</v>
      </c>
    </row>
    <row r="2770" spans="1:2" x14ac:dyDescent="0.35">
      <c r="A2770">
        <v>0.46779802441597002</v>
      </c>
      <c r="B2770">
        <v>13.4519046249368</v>
      </c>
    </row>
    <row r="2771" spans="1:2" x14ac:dyDescent="0.35">
      <c r="A2771">
        <v>0.46723088622093201</v>
      </c>
      <c r="B2771">
        <v>13.4408262023957</v>
      </c>
    </row>
    <row r="2772" spans="1:2" x14ac:dyDescent="0.35">
      <c r="A2772">
        <v>0.46670308709144598</v>
      </c>
      <c r="B2772">
        <v>13.442279533833601</v>
      </c>
    </row>
    <row r="2773" spans="1:2" x14ac:dyDescent="0.35">
      <c r="A2773">
        <v>0.46617090702056901</v>
      </c>
      <c r="B2773">
        <v>13.436216096365699</v>
      </c>
    </row>
    <row r="2774" spans="1:2" x14ac:dyDescent="0.35">
      <c r="A2774">
        <v>0.46580484509468101</v>
      </c>
      <c r="B2774">
        <v>13.4374875741238</v>
      </c>
    </row>
    <row r="2775" spans="1:2" x14ac:dyDescent="0.35">
      <c r="A2775">
        <v>0.46521762013435403</v>
      </c>
      <c r="B2775">
        <v>13.434664449127199</v>
      </c>
    </row>
    <row r="2776" spans="1:2" x14ac:dyDescent="0.35">
      <c r="A2776">
        <v>0.46466013789176902</v>
      </c>
      <c r="B2776">
        <v>13.4288922460675</v>
      </c>
    </row>
    <row r="2777" spans="1:2" x14ac:dyDescent="0.35">
      <c r="A2777">
        <v>0.46422946453094499</v>
      </c>
      <c r="B2777">
        <v>13.435710969306401</v>
      </c>
    </row>
    <row r="2778" spans="1:2" x14ac:dyDescent="0.35">
      <c r="A2778">
        <v>0.46360656619071999</v>
      </c>
      <c r="B2778">
        <v>13.432058545514201</v>
      </c>
    </row>
    <row r="2779" spans="1:2" x14ac:dyDescent="0.35">
      <c r="A2779">
        <v>0.463062644004822</v>
      </c>
      <c r="B2779">
        <v>13.4252883871865</v>
      </c>
    </row>
    <row r="2780" spans="1:2" x14ac:dyDescent="0.35">
      <c r="A2780">
        <v>0.462666034698486</v>
      </c>
      <c r="B2780">
        <v>13.423523149578401</v>
      </c>
    </row>
    <row r="2781" spans="1:2" x14ac:dyDescent="0.35">
      <c r="A2781">
        <v>0.462126404047012</v>
      </c>
      <c r="B2781">
        <v>13.4280094956521</v>
      </c>
    </row>
    <row r="2782" spans="1:2" x14ac:dyDescent="0.35">
      <c r="A2782">
        <v>0.46162664890289301</v>
      </c>
      <c r="B2782">
        <v>13.4051074152563</v>
      </c>
    </row>
    <row r="2783" spans="1:2" x14ac:dyDescent="0.35">
      <c r="A2783">
        <v>0.46102684736251798</v>
      </c>
      <c r="B2783">
        <v>13.348812238285401</v>
      </c>
    </row>
    <row r="2784" spans="1:2" x14ac:dyDescent="0.35">
      <c r="A2784">
        <v>0.46061590313911399</v>
      </c>
      <c r="B2784">
        <v>13.412130332194399</v>
      </c>
    </row>
    <row r="2785" spans="1:2" x14ac:dyDescent="0.35">
      <c r="A2785">
        <v>0.46022537350654602</v>
      </c>
      <c r="B2785">
        <v>13.4095331240883</v>
      </c>
    </row>
    <row r="2786" spans="1:2" x14ac:dyDescent="0.35">
      <c r="A2786">
        <v>0.45953446626663202</v>
      </c>
      <c r="B2786">
        <v>13.4021267093216</v>
      </c>
    </row>
    <row r="2787" spans="1:2" x14ac:dyDescent="0.35">
      <c r="A2787">
        <v>0.459227025508881</v>
      </c>
      <c r="B2787">
        <v>13.409128089972199</v>
      </c>
    </row>
    <row r="2788" spans="1:2" x14ac:dyDescent="0.35">
      <c r="A2788">
        <v>0.45876136422157299</v>
      </c>
      <c r="B2788">
        <v>13.418146175119199</v>
      </c>
    </row>
    <row r="2789" spans="1:2" x14ac:dyDescent="0.35">
      <c r="A2789">
        <v>0.45820701122283902</v>
      </c>
      <c r="B2789">
        <v>13.4136837165673</v>
      </c>
    </row>
    <row r="2790" spans="1:2" x14ac:dyDescent="0.35">
      <c r="A2790">
        <v>0.45780503749847401</v>
      </c>
      <c r="B2790">
        <v>13.3991818280864</v>
      </c>
    </row>
    <row r="2791" spans="1:2" x14ac:dyDescent="0.35">
      <c r="A2791">
        <v>0.45727506279945401</v>
      </c>
      <c r="B2791">
        <v>13.402022167480901</v>
      </c>
    </row>
    <row r="2792" spans="1:2" x14ac:dyDescent="0.35">
      <c r="A2792">
        <v>0.45676732063293501</v>
      </c>
      <c r="B2792">
        <v>13.4045294208802</v>
      </c>
    </row>
    <row r="2793" spans="1:2" x14ac:dyDescent="0.35">
      <c r="A2793">
        <v>0.456226617097855</v>
      </c>
      <c r="B2793">
        <v>13.3736441189478</v>
      </c>
    </row>
    <row r="2794" spans="1:2" x14ac:dyDescent="0.35">
      <c r="A2794">
        <v>0.455682843923569</v>
      </c>
      <c r="B2794">
        <v>13.389443807315899</v>
      </c>
    </row>
    <row r="2795" spans="1:2" x14ac:dyDescent="0.35">
      <c r="A2795">
        <v>0.45523738861084001</v>
      </c>
      <c r="B2795">
        <v>13.396360961020401</v>
      </c>
    </row>
    <row r="2796" spans="1:2" x14ac:dyDescent="0.35">
      <c r="A2796">
        <v>0.45466598868370101</v>
      </c>
      <c r="B2796">
        <v>13.3991629748398</v>
      </c>
    </row>
    <row r="2797" spans="1:2" x14ac:dyDescent="0.35">
      <c r="A2797">
        <v>0.45406723022460899</v>
      </c>
      <c r="B2797">
        <v>13.4012099842622</v>
      </c>
    </row>
    <row r="2798" spans="1:2" x14ac:dyDescent="0.35">
      <c r="A2798">
        <v>0.45370140671730003</v>
      </c>
      <c r="B2798">
        <v>13.3904408086603</v>
      </c>
    </row>
    <row r="2799" spans="1:2" x14ac:dyDescent="0.35">
      <c r="A2799">
        <v>0.45319363474845897</v>
      </c>
      <c r="B2799">
        <v>13.3905082733776</v>
      </c>
    </row>
    <row r="2800" spans="1:2" x14ac:dyDescent="0.35">
      <c r="A2800">
        <v>0.45264336466789201</v>
      </c>
      <c r="B2800">
        <v>13.390110335689201</v>
      </c>
    </row>
    <row r="2801" spans="1:2" x14ac:dyDescent="0.35">
      <c r="A2801">
        <v>0.45206138491630599</v>
      </c>
      <c r="B2801">
        <v>13.3804419818995</v>
      </c>
    </row>
    <row r="2802" spans="1:2" x14ac:dyDescent="0.35">
      <c r="A2802">
        <v>0.45178532600402799</v>
      </c>
      <c r="B2802">
        <v>13.389806540773501</v>
      </c>
    </row>
    <row r="2803" spans="1:2" x14ac:dyDescent="0.35">
      <c r="A2803">
        <v>0.45137637853622398</v>
      </c>
      <c r="B2803">
        <v>13.381074245410099</v>
      </c>
    </row>
    <row r="2804" spans="1:2" x14ac:dyDescent="0.35">
      <c r="A2804">
        <v>0.45079988241195701</v>
      </c>
      <c r="B2804">
        <v>13.380343037719999</v>
      </c>
    </row>
    <row r="2805" spans="1:2" x14ac:dyDescent="0.35">
      <c r="A2805">
        <v>0.45026096701621998</v>
      </c>
      <c r="B2805">
        <v>13.380293149832299</v>
      </c>
    </row>
    <row r="2806" spans="1:2" x14ac:dyDescent="0.35">
      <c r="A2806">
        <v>0.44967204332351701</v>
      </c>
      <c r="B2806">
        <v>13.382364696728899</v>
      </c>
    </row>
    <row r="2807" spans="1:2" x14ac:dyDescent="0.35">
      <c r="A2807">
        <v>0.44928362965583801</v>
      </c>
      <c r="B2807">
        <v>13.3780821850337</v>
      </c>
    </row>
    <row r="2808" spans="1:2" x14ac:dyDescent="0.35">
      <c r="A2808">
        <v>0.44873556494712802</v>
      </c>
      <c r="B2808">
        <v>13.373103400077101</v>
      </c>
    </row>
    <row r="2809" spans="1:2" x14ac:dyDescent="0.35">
      <c r="A2809">
        <v>0.448245078325272</v>
      </c>
      <c r="B2809">
        <v>13.372403923709101</v>
      </c>
    </row>
    <row r="2810" spans="1:2" x14ac:dyDescent="0.35">
      <c r="A2810">
        <v>0.447695553302765</v>
      </c>
      <c r="B2810">
        <v>13.3649401912702</v>
      </c>
    </row>
    <row r="2811" spans="1:2" x14ac:dyDescent="0.35">
      <c r="A2811">
        <v>0.44713881611824002</v>
      </c>
      <c r="B2811">
        <v>13.3667777433797</v>
      </c>
    </row>
    <row r="2812" spans="1:2" x14ac:dyDescent="0.35">
      <c r="A2812">
        <v>0.44665881991386402</v>
      </c>
      <c r="B2812">
        <v>13.3663410157013</v>
      </c>
    </row>
    <row r="2813" spans="1:2" x14ac:dyDescent="0.35">
      <c r="A2813">
        <v>0.44624948501586897</v>
      </c>
      <c r="B2813">
        <v>13.3599688180595</v>
      </c>
    </row>
    <row r="2814" spans="1:2" x14ac:dyDescent="0.35">
      <c r="A2814">
        <v>0.44566115736961398</v>
      </c>
      <c r="B2814">
        <v>13.358198574291499</v>
      </c>
    </row>
    <row r="2815" spans="1:2" x14ac:dyDescent="0.35">
      <c r="A2815">
        <v>0.44522878527641302</v>
      </c>
      <c r="B2815">
        <v>13.3466509650286</v>
      </c>
    </row>
    <row r="2816" spans="1:2" x14ac:dyDescent="0.35">
      <c r="A2816">
        <v>0.44469964504241899</v>
      </c>
      <c r="B2816">
        <v>13.3683460263354</v>
      </c>
    </row>
    <row r="2817" spans="1:2" x14ac:dyDescent="0.35">
      <c r="A2817">
        <v>0.44415375590324402</v>
      </c>
      <c r="B2817">
        <v>13.3554935305811</v>
      </c>
    </row>
    <row r="2818" spans="1:2" x14ac:dyDescent="0.35">
      <c r="A2818">
        <v>0.44376045465469399</v>
      </c>
      <c r="B2818">
        <v>13.352733194642299</v>
      </c>
    </row>
    <row r="2819" spans="1:2" x14ac:dyDescent="0.35">
      <c r="A2819">
        <v>0.44321331381797802</v>
      </c>
      <c r="B2819">
        <v>13.365610611757599</v>
      </c>
    </row>
    <row r="2820" spans="1:2" x14ac:dyDescent="0.35">
      <c r="A2820">
        <v>0.44277325272560097</v>
      </c>
      <c r="B2820">
        <v>13.3392861558977</v>
      </c>
    </row>
    <row r="2821" spans="1:2" x14ac:dyDescent="0.35">
      <c r="A2821">
        <v>0.44241258502006497</v>
      </c>
      <c r="B2821">
        <v>13.3540697443122</v>
      </c>
    </row>
    <row r="2822" spans="1:2" x14ac:dyDescent="0.35">
      <c r="A2822">
        <v>0.441741973161697</v>
      </c>
      <c r="B2822">
        <v>13.3458983816223</v>
      </c>
    </row>
    <row r="2823" spans="1:2" x14ac:dyDescent="0.35">
      <c r="A2823">
        <v>0.44131571054458602</v>
      </c>
      <c r="B2823">
        <v>13.3502975939785</v>
      </c>
    </row>
    <row r="2824" spans="1:2" x14ac:dyDescent="0.35">
      <c r="A2824">
        <v>0.44071552157402</v>
      </c>
      <c r="B2824">
        <v>13.3426020895908</v>
      </c>
    </row>
    <row r="2825" spans="1:2" x14ac:dyDescent="0.35">
      <c r="A2825">
        <v>0.44024401903152499</v>
      </c>
      <c r="B2825">
        <v>13.331040446486901</v>
      </c>
    </row>
    <row r="2826" spans="1:2" x14ac:dyDescent="0.35">
      <c r="A2826">
        <v>0.43980494141578702</v>
      </c>
      <c r="B2826">
        <v>13.3362840391174</v>
      </c>
    </row>
    <row r="2827" spans="1:2" x14ac:dyDescent="0.35">
      <c r="A2827">
        <v>0.43926417827606201</v>
      </c>
      <c r="B2827">
        <v>13.3280576945729</v>
      </c>
    </row>
    <row r="2828" spans="1:2" x14ac:dyDescent="0.35">
      <c r="A2828">
        <v>0.43865156173706099</v>
      </c>
      <c r="B2828">
        <v>13.324698151931299</v>
      </c>
    </row>
    <row r="2829" spans="1:2" x14ac:dyDescent="0.35">
      <c r="A2829">
        <v>0.43817871809005698</v>
      </c>
      <c r="B2829">
        <v>13.3230990015493</v>
      </c>
    </row>
    <row r="2830" spans="1:2" x14ac:dyDescent="0.35">
      <c r="A2830">
        <v>0.437878757715225</v>
      </c>
      <c r="B2830">
        <v>13.3286002125826</v>
      </c>
    </row>
    <row r="2831" spans="1:2" x14ac:dyDescent="0.35">
      <c r="A2831">
        <v>0.43725204467773399</v>
      </c>
      <c r="B2831">
        <v>13.3230800978658</v>
      </c>
    </row>
    <row r="2832" spans="1:2" x14ac:dyDescent="0.35">
      <c r="A2832">
        <v>0.43674322962760898</v>
      </c>
      <c r="B2832">
        <v>13.3152457314835</v>
      </c>
    </row>
    <row r="2833" spans="1:2" x14ac:dyDescent="0.35">
      <c r="A2833">
        <v>0.436304301023483</v>
      </c>
      <c r="B2833">
        <v>13.3224080107664</v>
      </c>
    </row>
    <row r="2834" spans="1:2" x14ac:dyDescent="0.35">
      <c r="A2834">
        <v>0.43571281433105502</v>
      </c>
      <c r="B2834">
        <v>13.318313485737599</v>
      </c>
    </row>
    <row r="2835" spans="1:2" x14ac:dyDescent="0.35">
      <c r="A2835">
        <v>0.43514356017112699</v>
      </c>
      <c r="B2835">
        <v>13.312670890207499</v>
      </c>
    </row>
    <row r="2836" spans="1:2" x14ac:dyDescent="0.35">
      <c r="A2836">
        <v>0.43468570709228499</v>
      </c>
      <c r="B2836">
        <v>13.298396779386399</v>
      </c>
    </row>
    <row r="2837" spans="1:2" x14ac:dyDescent="0.35">
      <c r="A2837">
        <v>0.43435469269752502</v>
      </c>
      <c r="B2837">
        <v>13.3043793259606</v>
      </c>
    </row>
    <row r="2838" spans="1:2" x14ac:dyDescent="0.35">
      <c r="A2838">
        <v>0.43373331427574202</v>
      </c>
      <c r="B2838">
        <v>13.2928960977308</v>
      </c>
    </row>
    <row r="2839" spans="1:2" x14ac:dyDescent="0.35">
      <c r="A2839">
        <v>0.433106929063797</v>
      </c>
      <c r="B2839">
        <v>13.2974801849254</v>
      </c>
    </row>
    <row r="2840" spans="1:2" x14ac:dyDescent="0.35">
      <c r="A2840">
        <v>0.43276244401931802</v>
      </c>
      <c r="B2840">
        <v>13.304875546461201</v>
      </c>
    </row>
    <row r="2841" spans="1:2" x14ac:dyDescent="0.35">
      <c r="A2841">
        <v>0.432177484035492</v>
      </c>
      <c r="B2841">
        <v>13.292270212565001</v>
      </c>
    </row>
    <row r="2842" spans="1:2" x14ac:dyDescent="0.35">
      <c r="A2842">
        <v>0.43173512816429099</v>
      </c>
      <c r="B2842">
        <v>13.2917602137794</v>
      </c>
    </row>
    <row r="2843" spans="1:2" x14ac:dyDescent="0.35">
      <c r="A2843">
        <v>0.43129855394363398</v>
      </c>
      <c r="B2843">
        <v>13.285950143148</v>
      </c>
    </row>
    <row r="2844" spans="1:2" x14ac:dyDescent="0.35">
      <c r="A2844">
        <v>0.43086677789688099</v>
      </c>
      <c r="B2844">
        <v>13.2847065251421</v>
      </c>
    </row>
    <row r="2845" spans="1:2" x14ac:dyDescent="0.35">
      <c r="A2845">
        <v>0.43024432659149198</v>
      </c>
      <c r="B2845">
        <v>13.2842744482</v>
      </c>
    </row>
    <row r="2846" spans="1:2" x14ac:dyDescent="0.35">
      <c r="A2846">
        <v>0.42968487739562999</v>
      </c>
      <c r="B2846">
        <v>13.276454242432401</v>
      </c>
    </row>
    <row r="2847" spans="1:2" x14ac:dyDescent="0.35">
      <c r="A2847">
        <v>0.42929172515869102</v>
      </c>
      <c r="B2847">
        <v>13.272688791691101</v>
      </c>
    </row>
    <row r="2848" spans="1:2" x14ac:dyDescent="0.35">
      <c r="A2848">
        <v>0.428826153278351</v>
      </c>
      <c r="B2848">
        <v>13.2689696112836</v>
      </c>
    </row>
    <row r="2849" spans="1:2" x14ac:dyDescent="0.35">
      <c r="A2849">
        <v>0.42817437648773199</v>
      </c>
      <c r="B2849">
        <v>13.266627557010899</v>
      </c>
    </row>
    <row r="2850" spans="1:2" x14ac:dyDescent="0.35">
      <c r="A2850">
        <v>0.42788782715797402</v>
      </c>
      <c r="B2850">
        <v>13.2460815174065</v>
      </c>
    </row>
    <row r="2851" spans="1:2" x14ac:dyDescent="0.35">
      <c r="A2851">
        <v>0.42728158831596402</v>
      </c>
      <c r="B2851">
        <v>13.269543111028501</v>
      </c>
    </row>
    <row r="2852" spans="1:2" x14ac:dyDescent="0.35">
      <c r="A2852">
        <v>0.42682254314422602</v>
      </c>
      <c r="B2852">
        <v>13.2589513030658</v>
      </c>
    </row>
    <row r="2853" spans="1:2" x14ac:dyDescent="0.35">
      <c r="A2853">
        <v>0.42631888389587402</v>
      </c>
      <c r="B2853">
        <v>13.2540667505773</v>
      </c>
    </row>
    <row r="2854" spans="1:2" x14ac:dyDescent="0.35">
      <c r="A2854">
        <v>0.425808995962143</v>
      </c>
      <c r="B2854">
        <v>13.2506128564335</v>
      </c>
    </row>
    <row r="2855" spans="1:2" x14ac:dyDescent="0.35">
      <c r="A2855">
        <v>0.42537859082222002</v>
      </c>
      <c r="B2855">
        <v>13.2446721709888</v>
      </c>
    </row>
    <row r="2856" spans="1:2" x14ac:dyDescent="0.35">
      <c r="A2856">
        <v>0.42476794123649603</v>
      </c>
      <c r="B2856">
        <v>13.250242628708699</v>
      </c>
    </row>
    <row r="2857" spans="1:2" x14ac:dyDescent="0.35">
      <c r="A2857">
        <v>0.42419961094856301</v>
      </c>
      <c r="B2857">
        <v>13.2486239352531</v>
      </c>
    </row>
    <row r="2858" spans="1:2" x14ac:dyDescent="0.35">
      <c r="A2858">
        <v>0.42364838719367998</v>
      </c>
      <c r="B2858">
        <v>13.236020521924299</v>
      </c>
    </row>
    <row r="2859" spans="1:2" x14ac:dyDescent="0.35">
      <c r="A2859">
        <v>0.42327532172203097</v>
      </c>
      <c r="B2859">
        <v>13.2432973719401</v>
      </c>
    </row>
    <row r="2860" spans="1:2" x14ac:dyDescent="0.35">
      <c r="A2860">
        <v>0.42277705669403098</v>
      </c>
      <c r="B2860">
        <v>13.231584209372</v>
      </c>
    </row>
    <row r="2861" spans="1:2" x14ac:dyDescent="0.35">
      <c r="A2861">
        <v>0.42216196656227101</v>
      </c>
      <c r="B2861">
        <v>13.237825962101001</v>
      </c>
    </row>
    <row r="2862" spans="1:2" x14ac:dyDescent="0.35">
      <c r="A2862">
        <v>0.42169156670570401</v>
      </c>
      <c r="B2862">
        <v>13.238615520039</v>
      </c>
    </row>
    <row r="2863" spans="1:2" x14ac:dyDescent="0.35">
      <c r="A2863">
        <v>0.42126300930976901</v>
      </c>
      <c r="B2863">
        <v>13.2410615991526</v>
      </c>
    </row>
    <row r="2864" spans="1:2" x14ac:dyDescent="0.35">
      <c r="A2864">
        <v>0.420749962329865</v>
      </c>
      <c r="B2864">
        <v>13.225338369788</v>
      </c>
    </row>
    <row r="2865" spans="1:2" x14ac:dyDescent="0.35">
      <c r="A2865">
        <v>0.42012256383895902</v>
      </c>
      <c r="B2865">
        <v>13.235612227327501</v>
      </c>
    </row>
    <row r="2866" spans="1:2" x14ac:dyDescent="0.35">
      <c r="A2866">
        <v>0.41974893212318398</v>
      </c>
      <c r="B2866">
        <v>13.2260907266951</v>
      </c>
    </row>
    <row r="2867" spans="1:2" x14ac:dyDescent="0.35">
      <c r="A2867">
        <v>0.41933667659759499</v>
      </c>
      <c r="B2867">
        <v>13.230336862305901</v>
      </c>
    </row>
    <row r="2868" spans="1:2" x14ac:dyDescent="0.35">
      <c r="A2868">
        <v>0.41872832179069502</v>
      </c>
      <c r="B2868">
        <v>13.213823052878301</v>
      </c>
    </row>
    <row r="2869" spans="1:2" x14ac:dyDescent="0.35">
      <c r="A2869">
        <v>0.41824978590011602</v>
      </c>
      <c r="B2869">
        <v>13.2140371697496</v>
      </c>
    </row>
    <row r="2870" spans="1:2" x14ac:dyDescent="0.35">
      <c r="A2870">
        <v>0.41776046156883201</v>
      </c>
      <c r="B2870">
        <v>13.2243733615623</v>
      </c>
    </row>
    <row r="2871" spans="1:2" x14ac:dyDescent="0.35">
      <c r="A2871">
        <v>0.41727161407470698</v>
      </c>
      <c r="B2871">
        <v>13.2150395598063</v>
      </c>
    </row>
    <row r="2872" spans="1:2" x14ac:dyDescent="0.35">
      <c r="A2872">
        <v>0.41672241687774703</v>
      </c>
      <c r="B2872">
        <v>13.2147213966953</v>
      </c>
    </row>
    <row r="2873" spans="1:2" x14ac:dyDescent="0.35">
      <c r="A2873">
        <v>0.41633757948875399</v>
      </c>
      <c r="B2873">
        <v>13.202412392458299</v>
      </c>
    </row>
    <row r="2874" spans="1:2" x14ac:dyDescent="0.35">
      <c r="A2874">
        <v>0.415753453969955</v>
      </c>
      <c r="B2874">
        <v>13.205337049437601</v>
      </c>
    </row>
    <row r="2875" spans="1:2" x14ac:dyDescent="0.35">
      <c r="A2875">
        <v>0.415227681398392</v>
      </c>
      <c r="B2875">
        <v>13.2146113988127</v>
      </c>
    </row>
    <row r="2876" spans="1:2" x14ac:dyDescent="0.35">
      <c r="A2876">
        <v>0.41481482982635498</v>
      </c>
      <c r="B2876">
        <v>13.2030617404629</v>
      </c>
    </row>
    <row r="2877" spans="1:2" x14ac:dyDescent="0.35">
      <c r="A2877">
        <v>0.41429713368415799</v>
      </c>
      <c r="B2877">
        <v>13.197936817004701</v>
      </c>
    </row>
    <row r="2878" spans="1:2" x14ac:dyDescent="0.35">
      <c r="A2878">
        <v>0.41383257508277899</v>
      </c>
      <c r="B2878">
        <v>13.200147361579001</v>
      </c>
    </row>
    <row r="2879" spans="1:2" x14ac:dyDescent="0.35">
      <c r="A2879">
        <v>0.41332995891571001</v>
      </c>
      <c r="B2879">
        <v>13.1990462488024</v>
      </c>
    </row>
    <row r="2880" spans="1:2" x14ac:dyDescent="0.35">
      <c r="A2880">
        <v>0.412750244140625</v>
      </c>
      <c r="B2880">
        <v>13.191200149258</v>
      </c>
    </row>
    <row r="2881" spans="1:2" x14ac:dyDescent="0.35">
      <c r="A2881">
        <v>0.412236869335175</v>
      </c>
      <c r="B2881">
        <v>13.1783339933042</v>
      </c>
    </row>
    <row r="2882" spans="1:2" x14ac:dyDescent="0.35">
      <c r="A2882">
        <v>0.41176167130470298</v>
      </c>
      <c r="B2882">
        <v>13.1837546942399</v>
      </c>
    </row>
    <row r="2883" spans="1:2" x14ac:dyDescent="0.35">
      <c r="A2883">
        <v>0.411157876253128</v>
      </c>
      <c r="B2883">
        <v>13.188708151087001</v>
      </c>
    </row>
    <row r="2884" spans="1:2" x14ac:dyDescent="0.35">
      <c r="A2884">
        <v>0.41075801849365201</v>
      </c>
      <c r="B2884">
        <v>13.1727436419793</v>
      </c>
    </row>
    <row r="2885" spans="1:2" x14ac:dyDescent="0.35">
      <c r="A2885">
        <v>0.41031271219253501</v>
      </c>
      <c r="B2885">
        <v>13.1779663704078</v>
      </c>
    </row>
    <row r="2886" spans="1:2" x14ac:dyDescent="0.35">
      <c r="A2886">
        <v>0.409719198942184</v>
      </c>
      <c r="B2886">
        <v>13.176215020012201</v>
      </c>
    </row>
    <row r="2887" spans="1:2" x14ac:dyDescent="0.35">
      <c r="A2887">
        <v>0.409263044595718</v>
      </c>
      <c r="B2887">
        <v>13.1602858459296</v>
      </c>
    </row>
    <row r="2888" spans="1:2" x14ac:dyDescent="0.35">
      <c r="A2888">
        <v>0.408621937036514</v>
      </c>
      <c r="B2888">
        <v>13.169995222094901</v>
      </c>
    </row>
    <row r="2889" spans="1:2" x14ac:dyDescent="0.35">
      <c r="A2889">
        <v>0.40830925107002303</v>
      </c>
      <c r="B2889">
        <v>13.161784954486601</v>
      </c>
    </row>
    <row r="2890" spans="1:2" x14ac:dyDescent="0.35">
      <c r="A2890">
        <v>0.40780135989189098</v>
      </c>
      <c r="B2890">
        <v>13.1642044421155</v>
      </c>
    </row>
    <row r="2891" spans="1:2" x14ac:dyDescent="0.35">
      <c r="A2891">
        <v>0.40721938014030501</v>
      </c>
      <c r="B2891">
        <v>13.155653396712401</v>
      </c>
    </row>
    <row r="2892" spans="1:2" x14ac:dyDescent="0.35">
      <c r="A2892">
        <v>0.40670412778854398</v>
      </c>
      <c r="B2892">
        <v>13.1350195011255</v>
      </c>
    </row>
    <row r="2893" spans="1:2" x14ac:dyDescent="0.35">
      <c r="A2893">
        <v>0.40630450844764698</v>
      </c>
      <c r="B2893">
        <v>13.147311874842201</v>
      </c>
    </row>
    <row r="2894" spans="1:2" x14ac:dyDescent="0.35">
      <c r="A2894">
        <v>0.40585678815841703</v>
      </c>
      <c r="B2894">
        <v>13.145978123700001</v>
      </c>
    </row>
    <row r="2895" spans="1:2" x14ac:dyDescent="0.35">
      <c r="A2895">
        <v>0.40519556403160101</v>
      </c>
      <c r="B2895">
        <v>13.145454866628199</v>
      </c>
    </row>
    <row r="2896" spans="1:2" x14ac:dyDescent="0.35">
      <c r="A2896">
        <v>0.40489777922630299</v>
      </c>
      <c r="B2896">
        <v>13.137399134398301</v>
      </c>
    </row>
    <row r="2897" spans="1:2" x14ac:dyDescent="0.35">
      <c r="A2897">
        <v>0.40433460474014299</v>
      </c>
      <c r="B2897">
        <v>13.1243984913589</v>
      </c>
    </row>
    <row r="2898" spans="1:2" x14ac:dyDescent="0.35">
      <c r="A2898">
        <v>0.40370392799377403</v>
      </c>
      <c r="B2898">
        <v>13.137867479484701</v>
      </c>
    </row>
    <row r="2899" spans="1:2" x14ac:dyDescent="0.35">
      <c r="A2899">
        <v>0.40320780873298601</v>
      </c>
      <c r="B2899">
        <v>13.132474767514401</v>
      </c>
    </row>
    <row r="2900" spans="1:2" x14ac:dyDescent="0.35">
      <c r="A2900">
        <v>0.40286299586296098</v>
      </c>
      <c r="B2900">
        <v>13.130706871088099</v>
      </c>
    </row>
    <row r="2901" spans="1:2" x14ac:dyDescent="0.35">
      <c r="A2901">
        <v>0.40238085389137301</v>
      </c>
      <c r="B2901">
        <v>13.1274955230163</v>
      </c>
    </row>
    <row r="2902" spans="1:2" x14ac:dyDescent="0.35">
      <c r="A2902">
        <v>0.40176177024841297</v>
      </c>
      <c r="B2902">
        <v>13.115856693530199</v>
      </c>
    </row>
    <row r="2903" spans="1:2" x14ac:dyDescent="0.35">
      <c r="A2903">
        <v>0.401344895362854</v>
      </c>
      <c r="B2903">
        <v>13.1289459292618</v>
      </c>
    </row>
    <row r="2904" spans="1:2" x14ac:dyDescent="0.35">
      <c r="A2904">
        <v>0.40066349506378202</v>
      </c>
      <c r="B2904">
        <v>13.112304845925999</v>
      </c>
    </row>
    <row r="2905" spans="1:2" x14ac:dyDescent="0.35">
      <c r="A2905">
        <v>0.40016293525695801</v>
      </c>
      <c r="B2905">
        <v>13.1182180842215</v>
      </c>
    </row>
    <row r="2906" spans="1:2" x14ac:dyDescent="0.35">
      <c r="A2906">
        <v>0.39962127804756198</v>
      </c>
      <c r="B2906">
        <v>13.119312002503101</v>
      </c>
    </row>
    <row r="2907" spans="1:2" x14ac:dyDescent="0.35">
      <c r="A2907">
        <v>0.39926195144653298</v>
      </c>
      <c r="B2907">
        <v>13.102367949156401</v>
      </c>
    </row>
    <row r="2908" spans="1:2" x14ac:dyDescent="0.35">
      <c r="A2908">
        <v>0.39874109625816301</v>
      </c>
      <c r="B2908">
        <v>13.1081932449419</v>
      </c>
    </row>
    <row r="2909" spans="1:2" x14ac:dyDescent="0.35">
      <c r="A2909">
        <v>0.39819422364234902</v>
      </c>
      <c r="B2909">
        <v>13.1083222081486</v>
      </c>
    </row>
    <row r="2910" spans="1:2" x14ac:dyDescent="0.35">
      <c r="A2910">
        <v>0.39772242307663003</v>
      </c>
      <c r="B2910">
        <v>13.1037885996749</v>
      </c>
    </row>
    <row r="2911" spans="1:2" x14ac:dyDescent="0.35">
      <c r="A2911">
        <v>0.39746576547622697</v>
      </c>
      <c r="B2911">
        <v>13.098031303094899</v>
      </c>
    </row>
    <row r="2912" spans="1:2" x14ac:dyDescent="0.35">
      <c r="A2912">
        <v>0.39663484692573497</v>
      </c>
      <c r="B2912">
        <v>13.101649705992999</v>
      </c>
    </row>
    <row r="2913" spans="1:2" x14ac:dyDescent="0.35">
      <c r="A2913">
        <v>0.39614927768707298</v>
      </c>
      <c r="B2913">
        <v>13.098637210298</v>
      </c>
    </row>
    <row r="2914" spans="1:2" x14ac:dyDescent="0.35">
      <c r="A2914">
        <v>0.39586520195007302</v>
      </c>
      <c r="B2914">
        <v>13.090250867878501</v>
      </c>
    </row>
    <row r="2915" spans="1:2" x14ac:dyDescent="0.35">
      <c r="A2915">
        <v>0.39528506994247398</v>
      </c>
      <c r="B2915">
        <v>13.0937745981077</v>
      </c>
    </row>
    <row r="2916" spans="1:2" x14ac:dyDescent="0.35">
      <c r="A2916">
        <v>0.39472329616546598</v>
      </c>
      <c r="B2916">
        <v>13.082423168443301</v>
      </c>
    </row>
    <row r="2917" spans="1:2" x14ac:dyDescent="0.35">
      <c r="A2917">
        <v>0.39425784349441501</v>
      </c>
      <c r="B2917">
        <v>13.0866045827036</v>
      </c>
    </row>
    <row r="2918" spans="1:2" x14ac:dyDescent="0.35">
      <c r="A2918">
        <v>0.39382964372634899</v>
      </c>
      <c r="B2918">
        <v>13.072385221674701</v>
      </c>
    </row>
    <row r="2919" spans="1:2" x14ac:dyDescent="0.35">
      <c r="A2919">
        <v>0.393341034650803</v>
      </c>
      <c r="B2919">
        <v>13.0725232126949</v>
      </c>
    </row>
    <row r="2920" spans="1:2" x14ac:dyDescent="0.35">
      <c r="A2920">
        <v>0.39283654093742398</v>
      </c>
      <c r="B2920">
        <v>13.0766155434927</v>
      </c>
    </row>
    <row r="2921" spans="1:2" x14ac:dyDescent="0.35">
      <c r="A2921">
        <v>0.39238911867141701</v>
      </c>
      <c r="B2921">
        <v>13.0839836376758</v>
      </c>
    </row>
    <row r="2922" spans="1:2" x14ac:dyDescent="0.35">
      <c r="A2922">
        <v>0.39184918999671903</v>
      </c>
      <c r="B2922">
        <v>13.0738606742519</v>
      </c>
    </row>
    <row r="2923" spans="1:2" x14ac:dyDescent="0.35">
      <c r="A2923">
        <v>0.39116990566253701</v>
      </c>
      <c r="B2923">
        <v>13.0692488976409</v>
      </c>
    </row>
    <row r="2924" spans="1:2" x14ac:dyDescent="0.35">
      <c r="A2924">
        <v>0.39080592989921598</v>
      </c>
      <c r="B2924">
        <v>13.0610142752897</v>
      </c>
    </row>
    <row r="2925" spans="1:2" x14ac:dyDescent="0.35">
      <c r="A2925">
        <v>0.39041882753372198</v>
      </c>
      <c r="B2925">
        <v>13.056057265518501</v>
      </c>
    </row>
    <row r="2926" spans="1:2" x14ac:dyDescent="0.35">
      <c r="A2926">
        <v>0.38988077640533397</v>
      </c>
      <c r="B2926">
        <v>13.0440879740817</v>
      </c>
    </row>
    <row r="2927" spans="1:2" x14ac:dyDescent="0.35">
      <c r="A2927">
        <v>0.38934102654457098</v>
      </c>
      <c r="B2927">
        <v>13.041348517616999</v>
      </c>
    </row>
    <row r="2928" spans="1:2" x14ac:dyDescent="0.35">
      <c r="A2928">
        <v>0.38865417242050199</v>
      </c>
      <c r="B2928">
        <v>13.050437253860499</v>
      </c>
    </row>
    <row r="2929" spans="1:2" x14ac:dyDescent="0.35">
      <c r="A2929">
        <v>0.388101816177368</v>
      </c>
      <c r="B2929">
        <v>13.0404380459581</v>
      </c>
    </row>
    <row r="2930" spans="1:2" x14ac:dyDescent="0.35">
      <c r="A2930">
        <v>0.387705087661743</v>
      </c>
      <c r="B2930">
        <v>13.0415248950377</v>
      </c>
    </row>
    <row r="2931" spans="1:2" x14ac:dyDescent="0.35">
      <c r="A2931">
        <v>0.38726747035980202</v>
      </c>
      <c r="B2931">
        <v>13.038448443046001</v>
      </c>
    </row>
    <row r="2932" spans="1:2" x14ac:dyDescent="0.35">
      <c r="A2932">
        <v>0.38683044910430903</v>
      </c>
      <c r="B2932">
        <v>13.0261366501558</v>
      </c>
    </row>
    <row r="2933" spans="1:2" x14ac:dyDescent="0.35">
      <c r="A2933">
        <v>0.38623917102813698</v>
      </c>
      <c r="B2933">
        <v>13.023494512311901</v>
      </c>
    </row>
    <row r="2934" spans="1:2" x14ac:dyDescent="0.35">
      <c r="A2934">
        <v>0.38573864102363598</v>
      </c>
      <c r="B2934">
        <v>13.026427583972101</v>
      </c>
    </row>
    <row r="2935" spans="1:2" x14ac:dyDescent="0.35">
      <c r="A2935">
        <v>0.38525697588920599</v>
      </c>
      <c r="B2935">
        <v>13.0136341019191</v>
      </c>
    </row>
    <row r="2936" spans="1:2" x14ac:dyDescent="0.35">
      <c r="A2936">
        <v>0.38477715849876398</v>
      </c>
      <c r="B2936">
        <v>13.012671158161099</v>
      </c>
    </row>
    <row r="2937" spans="1:2" x14ac:dyDescent="0.35">
      <c r="A2937">
        <v>0.384256631135941</v>
      </c>
      <c r="B2937">
        <v>13.0149391069783</v>
      </c>
    </row>
    <row r="2938" spans="1:2" x14ac:dyDescent="0.35">
      <c r="A2938">
        <v>0.38361078500747697</v>
      </c>
      <c r="B2938">
        <v>12.992376476798199</v>
      </c>
    </row>
    <row r="2939" spans="1:2" x14ac:dyDescent="0.35">
      <c r="A2939">
        <v>0.38311186432838401</v>
      </c>
      <c r="B2939">
        <v>13.005644559787999</v>
      </c>
    </row>
    <row r="2940" spans="1:2" x14ac:dyDescent="0.35">
      <c r="A2940">
        <v>0.38278403878211997</v>
      </c>
      <c r="B2940">
        <v>13.0040414998566</v>
      </c>
    </row>
    <row r="2941" spans="1:2" x14ac:dyDescent="0.35">
      <c r="A2941">
        <v>0.382218718528748</v>
      </c>
      <c r="B2941">
        <v>13.002908567658601</v>
      </c>
    </row>
    <row r="2942" spans="1:2" x14ac:dyDescent="0.35">
      <c r="A2942">
        <v>0.381690174341202</v>
      </c>
      <c r="B2942">
        <v>12.9934707878281</v>
      </c>
    </row>
    <row r="2943" spans="1:2" x14ac:dyDescent="0.35">
      <c r="A2943">
        <v>0.38126483559608498</v>
      </c>
      <c r="B2943">
        <v>12.9853052235605</v>
      </c>
    </row>
    <row r="2944" spans="1:2" x14ac:dyDescent="0.35">
      <c r="A2944">
        <v>0.38085564970970198</v>
      </c>
      <c r="B2944">
        <v>12.986433209504501</v>
      </c>
    </row>
    <row r="2945" spans="1:2" x14ac:dyDescent="0.35">
      <c r="A2945">
        <v>0.38034588098526001</v>
      </c>
      <c r="B2945">
        <v>12.9809084457737</v>
      </c>
    </row>
    <row r="2946" spans="1:2" x14ac:dyDescent="0.35">
      <c r="A2946">
        <v>0.379867434501648</v>
      </c>
      <c r="B2946">
        <v>12.983432256220301</v>
      </c>
    </row>
    <row r="2947" spans="1:2" x14ac:dyDescent="0.35">
      <c r="A2947">
        <v>0.37927073240280201</v>
      </c>
      <c r="B2947">
        <v>12.970222458097499</v>
      </c>
    </row>
    <row r="2948" spans="1:2" x14ac:dyDescent="0.35">
      <c r="A2948">
        <v>0.37889420986175498</v>
      </c>
      <c r="B2948">
        <v>12.9573984414767</v>
      </c>
    </row>
    <row r="2949" spans="1:2" x14ac:dyDescent="0.35">
      <c r="A2949">
        <v>0.37840864062309298</v>
      </c>
      <c r="B2949">
        <v>12.9764312516012</v>
      </c>
    </row>
    <row r="2950" spans="1:2" x14ac:dyDescent="0.35">
      <c r="A2950">
        <v>0.37780672311782798</v>
      </c>
      <c r="B2950">
        <v>12.9667008997345</v>
      </c>
    </row>
    <row r="2951" spans="1:2" x14ac:dyDescent="0.35">
      <c r="A2951">
        <v>0.37723952531814597</v>
      </c>
      <c r="B2951">
        <v>12.9627035797993</v>
      </c>
    </row>
    <row r="2952" spans="1:2" x14ac:dyDescent="0.35">
      <c r="A2952">
        <v>0.376657634973526</v>
      </c>
      <c r="B2952">
        <v>12.960515228790801</v>
      </c>
    </row>
    <row r="2953" spans="1:2" x14ac:dyDescent="0.35">
      <c r="A2953">
        <v>0.37619739770889299</v>
      </c>
      <c r="B2953">
        <v>12.9360074407467</v>
      </c>
    </row>
    <row r="2954" spans="1:2" x14ac:dyDescent="0.35">
      <c r="A2954">
        <v>0.37578487396240201</v>
      </c>
      <c r="B2954">
        <v>12.9498375858826</v>
      </c>
    </row>
    <row r="2955" spans="1:2" x14ac:dyDescent="0.35">
      <c r="A2955">
        <v>0.375253915786743</v>
      </c>
      <c r="B2955">
        <v>12.947246964347899</v>
      </c>
    </row>
    <row r="2956" spans="1:2" x14ac:dyDescent="0.35">
      <c r="A2956">
        <v>0.37475103139877303</v>
      </c>
      <c r="B2956">
        <v>12.9363476597574</v>
      </c>
    </row>
    <row r="2957" spans="1:2" x14ac:dyDescent="0.35">
      <c r="A2957">
        <v>0.37432745099067699</v>
      </c>
      <c r="B2957">
        <v>12.926493727236601</v>
      </c>
    </row>
    <row r="2958" spans="1:2" x14ac:dyDescent="0.35">
      <c r="A2958">
        <v>0.37367632985115101</v>
      </c>
      <c r="B2958">
        <v>12.9349616051987</v>
      </c>
    </row>
    <row r="2959" spans="1:2" x14ac:dyDescent="0.35">
      <c r="A2959">
        <v>0.37325409054756198</v>
      </c>
      <c r="B2959">
        <v>12.9393357561566</v>
      </c>
    </row>
    <row r="2960" spans="1:2" x14ac:dyDescent="0.35">
      <c r="A2960">
        <v>0.37267902493476901</v>
      </c>
      <c r="B2960">
        <v>12.9063368060978</v>
      </c>
    </row>
    <row r="2961" spans="1:2" x14ac:dyDescent="0.35">
      <c r="A2961">
        <v>0.37225583195686301</v>
      </c>
      <c r="B2961">
        <v>12.9001434119655</v>
      </c>
    </row>
    <row r="2962" spans="1:2" x14ac:dyDescent="0.35">
      <c r="A2962">
        <v>0.37160041928291299</v>
      </c>
      <c r="B2962">
        <v>12.925058722613899</v>
      </c>
    </row>
    <row r="2963" spans="1:2" x14ac:dyDescent="0.35">
      <c r="A2963">
        <v>0.37116202712058999</v>
      </c>
      <c r="B2963">
        <v>12.901704834432699</v>
      </c>
    </row>
    <row r="2964" spans="1:2" x14ac:dyDescent="0.35">
      <c r="A2964">
        <v>0.37090402841567999</v>
      </c>
      <c r="B2964">
        <v>12.9096679957091</v>
      </c>
    </row>
    <row r="2965" spans="1:2" x14ac:dyDescent="0.35">
      <c r="A2965">
        <v>0.37027737498283397</v>
      </c>
      <c r="B2965">
        <v>12.910318990475499</v>
      </c>
    </row>
    <row r="2966" spans="1:2" x14ac:dyDescent="0.35">
      <c r="A2966">
        <v>0.36967453360557601</v>
      </c>
      <c r="B2966">
        <v>12.90608579937</v>
      </c>
    </row>
    <row r="2967" spans="1:2" x14ac:dyDescent="0.35">
      <c r="A2967">
        <v>0.36948761343955999</v>
      </c>
      <c r="B2967">
        <v>12.85890099829</v>
      </c>
    </row>
    <row r="2968" spans="1:2" x14ac:dyDescent="0.35">
      <c r="A2968">
        <v>0.368881195783615</v>
      </c>
      <c r="B2968">
        <v>12.8828174030961</v>
      </c>
    </row>
    <row r="2969" spans="1:2" x14ac:dyDescent="0.35">
      <c r="A2969">
        <v>0.36828231811523399</v>
      </c>
      <c r="B2969">
        <v>12.890193711609699</v>
      </c>
    </row>
    <row r="2970" spans="1:2" x14ac:dyDescent="0.35">
      <c r="A2970">
        <v>0.36775749921798701</v>
      </c>
      <c r="B2970">
        <v>12.8900900224924</v>
      </c>
    </row>
    <row r="2971" spans="1:2" x14ac:dyDescent="0.35">
      <c r="A2971">
        <v>0.36729198694229098</v>
      </c>
      <c r="B2971">
        <v>12.8789260142172</v>
      </c>
    </row>
    <row r="2972" spans="1:2" x14ac:dyDescent="0.35">
      <c r="A2972">
        <v>0.36689141392707803</v>
      </c>
      <c r="B2972">
        <v>12.881635802476</v>
      </c>
    </row>
    <row r="2973" spans="1:2" x14ac:dyDescent="0.35">
      <c r="A2973">
        <v>0.36645129323005698</v>
      </c>
      <c r="B2973">
        <v>12.8696692467256</v>
      </c>
    </row>
    <row r="2974" spans="1:2" x14ac:dyDescent="0.35">
      <c r="A2974">
        <v>0.36578339338302601</v>
      </c>
      <c r="B2974">
        <v>12.8577673359733</v>
      </c>
    </row>
    <row r="2975" spans="1:2" x14ac:dyDescent="0.35">
      <c r="A2975">
        <v>0.36518567800521901</v>
      </c>
      <c r="B2975">
        <v>12.8586636422166</v>
      </c>
    </row>
    <row r="2976" spans="1:2" x14ac:dyDescent="0.35">
      <c r="A2976">
        <v>0.36473625898361201</v>
      </c>
      <c r="B2976">
        <v>12.8559663753246</v>
      </c>
    </row>
    <row r="2977" spans="1:2" x14ac:dyDescent="0.35">
      <c r="A2977">
        <v>0.36427477002143899</v>
      </c>
      <c r="B2977">
        <v>12.8533609348447</v>
      </c>
    </row>
    <row r="2978" spans="1:2" x14ac:dyDescent="0.35">
      <c r="A2978">
        <v>0.363787472248077</v>
      </c>
      <c r="B2978">
        <v>12.8468773275087</v>
      </c>
    </row>
    <row r="2979" spans="1:2" x14ac:dyDescent="0.35">
      <c r="A2979">
        <v>0.36322119832038902</v>
      </c>
      <c r="B2979">
        <v>12.849845176862701</v>
      </c>
    </row>
    <row r="2980" spans="1:2" x14ac:dyDescent="0.35">
      <c r="A2980">
        <v>0.36280438303947399</v>
      </c>
      <c r="B2980">
        <v>12.841862212728699</v>
      </c>
    </row>
    <row r="2981" spans="1:2" x14ac:dyDescent="0.35">
      <c r="A2981">
        <v>0.36228615045547502</v>
      </c>
      <c r="B2981">
        <v>12.819576598941699</v>
      </c>
    </row>
    <row r="2982" spans="1:2" x14ac:dyDescent="0.35">
      <c r="A2982">
        <v>0.36177402734756497</v>
      </c>
      <c r="B2982">
        <v>12.833198731129</v>
      </c>
    </row>
    <row r="2983" spans="1:2" x14ac:dyDescent="0.35">
      <c r="A2983">
        <v>0.361028552055359</v>
      </c>
      <c r="B2983">
        <v>12.8275144134978</v>
      </c>
    </row>
    <row r="2984" spans="1:2" x14ac:dyDescent="0.35">
      <c r="A2984">
        <v>0.360813468694687</v>
      </c>
      <c r="B2984">
        <v>12.827640570004601</v>
      </c>
    </row>
    <row r="2985" spans="1:2" x14ac:dyDescent="0.35">
      <c r="A2985">
        <v>0.36040648818016102</v>
      </c>
      <c r="B2985">
        <v>12.8217524238735</v>
      </c>
    </row>
    <row r="2986" spans="1:2" x14ac:dyDescent="0.35">
      <c r="A2986">
        <v>0.35964208841323902</v>
      </c>
      <c r="B2986">
        <v>12.813879924241199</v>
      </c>
    </row>
    <row r="2987" spans="1:2" x14ac:dyDescent="0.35">
      <c r="A2987">
        <v>0.35919722914695701</v>
      </c>
      <c r="B2987">
        <v>12.8095734368524</v>
      </c>
    </row>
    <row r="2988" spans="1:2" x14ac:dyDescent="0.35">
      <c r="A2988">
        <v>0.35888418555259699</v>
      </c>
      <c r="B2988">
        <v>12.8122770708587</v>
      </c>
    </row>
    <row r="2989" spans="1:2" x14ac:dyDescent="0.35">
      <c r="A2989">
        <v>0.35834449529647799</v>
      </c>
      <c r="B2989">
        <v>12.803072411553501</v>
      </c>
    </row>
    <row r="2990" spans="1:2" x14ac:dyDescent="0.35">
      <c r="A2990">
        <v>0.35778999328613298</v>
      </c>
      <c r="B2990">
        <v>12.782539281739201</v>
      </c>
    </row>
    <row r="2991" spans="1:2" x14ac:dyDescent="0.35">
      <c r="A2991">
        <v>0.35741454362869302</v>
      </c>
      <c r="B2991">
        <v>12.7900322658921</v>
      </c>
    </row>
    <row r="2992" spans="1:2" x14ac:dyDescent="0.35">
      <c r="A2992">
        <v>0.356851845979691</v>
      </c>
      <c r="B2992">
        <v>12.793857650666901</v>
      </c>
    </row>
    <row r="2993" spans="1:2" x14ac:dyDescent="0.35">
      <c r="A2993">
        <v>0.35629200935363797</v>
      </c>
      <c r="B2993">
        <v>12.7920270105136</v>
      </c>
    </row>
    <row r="2994" spans="1:2" x14ac:dyDescent="0.35">
      <c r="A2994">
        <v>0.35587128996849099</v>
      </c>
      <c r="B2994">
        <v>12.786395802990199</v>
      </c>
    </row>
    <row r="2995" spans="1:2" x14ac:dyDescent="0.35">
      <c r="A2995">
        <v>0.355318903923035</v>
      </c>
      <c r="B2995">
        <v>12.776281251986701</v>
      </c>
    </row>
    <row r="2996" spans="1:2" x14ac:dyDescent="0.35">
      <c r="A2996">
        <v>0.35490438342094399</v>
      </c>
      <c r="B2996">
        <v>12.752124187513299</v>
      </c>
    </row>
    <row r="2997" spans="1:2" x14ac:dyDescent="0.35">
      <c r="A2997">
        <v>0.35430002212524397</v>
      </c>
      <c r="B2997">
        <v>12.7544509742819</v>
      </c>
    </row>
    <row r="2998" spans="1:2" x14ac:dyDescent="0.35">
      <c r="A2998">
        <v>0.35375297069549599</v>
      </c>
      <c r="B2998">
        <v>12.753171459058899</v>
      </c>
    </row>
    <row r="2999" spans="1:2" x14ac:dyDescent="0.35">
      <c r="A2999">
        <v>0.35324528813362099</v>
      </c>
      <c r="B2999">
        <v>12.7599853859105</v>
      </c>
    </row>
    <row r="3000" spans="1:2" x14ac:dyDescent="0.35">
      <c r="A3000">
        <v>0.35274693369865401</v>
      </c>
      <c r="B3000">
        <v>12.740957519573699</v>
      </c>
    </row>
    <row r="3001" spans="1:2" x14ac:dyDescent="0.35">
      <c r="A3001">
        <v>0.35236945748329201</v>
      </c>
      <c r="B3001">
        <v>12.735196888443401</v>
      </c>
    </row>
    <row r="3002" spans="1:2" x14ac:dyDescent="0.35">
      <c r="A3002">
        <v>0.35173979401588401</v>
      </c>
      <c r="B3002">
        <v>12.738522966033001</v>
      </c>
    </row>
    <row r="3003" spans="1:2" x14ac:dyDescent="0.35">
      <c r="A3003">
        <v>0.35135596990585299</v>
      </c>
      <c r="B3003">
        <v>12.729049441367099</v>
      </c>
    </row>
    <row r="3004" spans="1:2" x14ac:dyDescent="0.35">
      <c r="A3004">
        <v>0.35084497928619401</v>
      </c>
      <c r="B3004">
        <v>12.728850572667399</v>
      </c>
    </row>
    <row r="3005" spans="1:2" x14ac:dyDescent="0.35">
      <c r="A3005">
        <v>0.35028308629989602</v>
      </c>
      <c r="B3005">
        <v>12.7215828147087</v>
      </c>
    </row>
    <row r="3006" spans="1:2" x14ac:dyDescent="0.35">
      <c r="A3006">
        <v>0.349675953388214</v>
      </c>
      <c r="B3006">
        <v>12.713466022456201</v>
      </c>
    </row>
    <row r="3007" spans="1:2" x14ac:dyDescent="0.35">
      <c r="A3007">
        <v>0.3492431640625</v>
      </c>
      <c r="B3007">
        <v>12.7120700915826</v>
      </c>
    </row>
    <row r="3008" spans="1:2" x14ac:dyDescent="0.35">
      <c r="A3008">
        <v>0.348685652017593</v>
      </c>
      <c r="B3008">
        <v>12.702724254203501</v>
      </c>
    </row>
    <row r="3009" spans="1:2" x14ac:dyDescent="0.35">
      <c r="A3009">
        <v>0.34830629825592002</v>
      </c>
      <c r="B3009">
        <v>12.700879831108599</v>
      </c>
    </row>
    <row r="3010" spans="1:2" x14ac:dyDescent="0.35">
      <c r="A3010">
        <v>0.34783738851547202</v>
      </c>
      <c r="B3010">
        <v>12.699332178896899</v>
      </c>
    </row>
    <row r="3011" spans="1:2" x14ac:dyDescent="0.35">
      <c r="A3011">
        <v>0.34745880961418202</v>
      </c>
      <c r="B3011">
        <v>12.695461021768301</v>
      </c>
    </row>
    <row r="3012" spans="1:2" x14ac:dyDescent="0.35">
      <c r="A3012">
        <v>0.34686928987503102</v>
      </c>
      <c r="B3012">
        <v>12.6843161346739</v>
      </c>
    </row>
    <row r="3013" spans="1:2" x14ac:dyDescent="0.35">
      <c r="A3013">
        <v>0.34637135267257702</v>
      </c>
      <c r="B3013">
        <v>12.6861975045527</v>
      </c>
    </row>
    <row r="3014" spans="1:2" x14ac:dyDescent="0.35">
      <c r="A3014">
        <v>0.34576055407524098</v>
      </c>
      <c r="B3014">
        <v>12.667368528862299</v>
      </c>
    </row>
    <row r="3015" spans="1:2" x14ac:dyDescent="0.35">
      <c r="A3015">
        <v>0.345483869314194</v>
      </c>
      <c r="B3015">
        <v>12.6739575048462</v>
      </c>
    </row>
    <row r="3016" spans="1:2" x14ac:dyDescent="0.35">
      <c r="A3016">
        <v>0.34469416737556502</v>
      </c>
      <c r="B3016">
        <v>12.6791913556679</v>
      </c>
    </row>
    <row r="3017" spans="1:2" x14ac:dyDescent="0.35">
      <c r="A3017">
        <v>0.34417784214019798</v>
      </c>
      <c r="B3017">
        <v>12.669591557718199</v>
      </c>
    </row>
    <row r="3018" spans="1:2" x14ac:dyDescent="0.35">
      <c r="A3018">
        <v>0.34386843442916898</v>
      </c>
      <c r="B3018">
        <v>12.655449350284901</v>
      </c>
    </row>
    <row r="3019" spans="1:2" x14ac:dyDescent="0.35">
      <c r="A3019">
        <v>0.34347483515739402</v>
      </c>
      <c r="B3019">
        <v>12.6464472690497</v>
      </c>
    </row>
    <row r="3020" spans="1:2" x14ac:dyDescent="0.35">
      <c r="A3020">
        <v>0.34263950586318997</v>
      </c>
      <c r="B3020">
        <v>12.612534899410999</v>
      </c>
    </row>
    <row r="3021" spans="1:2" x14ac:dyDescent="0.35">
      <c r="A3021">
        <v>0.34233215451240501</v>
      </c>
      <c r="B3021">
        <v>12.6231769376112</v>
      </c>
    </row>
    <row r="3022" spans="1:2" x14ac:dyDescent="0.35">
      <c r="A3022">
        <v>0.34179237484931901</v>
      </c>
      <c r="B3022">
        <v>12.6218153707315</v>
      </c>
    </row>
    <row r="3023" spans="1:2" x14ac:dyDescent="0.35">
      <c r="A3023">
        <v>0.34124767780303999</v>
      </c>
      <c r="B3023">
        <v>12.605762574816399</v>
      </c>
    </row>
    <row r="3024" spans="1:2" x14ac:dyDescent="0.35">
      <c r="A3024">
        <v>0.34069857001304599</v>
      </c>
      <c r="B3024">
        <v>12.5922078418387</v>
      </c>
    </row>
    <row r="3025" spans="1:2" x14ac:dyDescent="0.35">
      <c r="A3025">
        <v>0.34034660458564803</v>
      </c>
      <c r="B3025">
        <v>12.593357899499001</v>
      </c>
    </row>
    <row r="3026" spans="1:2" x14ac:dyDescent="0.35">
      <c r="A3026">
        <v>0.33991050720214799</v>
      </c>
      <c r="B3026">
        <v>12.595659306519901</v>
      </c>
    </row>
    <row r="3027" spans="1:2" x14ac:dyDescent="0.35">
      <c r="A3027">
        <v>0.33936455845832803</v>
      </c>
      <c r="B3027">
        <v>12.5873074352417</v>
      </c>
    </row>
    <row r="3028" spans="1:2" x14ac:dyDescent="0.35">
      <c r="A3028">
        <v>0.33883172273635898</v>
      </c>
      <c r="B3028">
        <v>12.58219706137</v>
      </c>
    </row>
    <row r="3029" spans="1:2" x14ac:dyDescent="0.35">
      <c r="A3029">
        <v>0.33852693438530002</v>
      </c>
      <c r="B3029">
        <v>12.5670620278344</v>
      </c>
    </row>
    <row r="3030" spans="1:2" x14ac:dyDescent="0.35">
      <c r="A3030">
        <v>0.337779730558395</v>
      </c>
      <c r="B3030">
        <v>12.5744699053307</v>
      </c>
    </row>
    <row r="3031" spans="1:2" x14ac:dyDescent="0.35">
      <c r="A3031">
        <v>0.33733472228050199</v>
      </c>
      <c r="B3031">
        <v>12.5739290022966</v>
      </c>
    </row>
    <row r="3032" spans="1:2" x14ac:dyDescent="0.35">
      <c r="A3032">
        <v>0.33690816164016701</v>
      </c>
      <c r="B3032">
        <v>12.5573870906236</v>
      </c>
    </row>
    <row r="3033" spans="1:2" x14ac:dyDescent="0.35">
      <c r="A3033">
        <v>0.33621948957443198</v>
      </c>
      <c r="B3033">
        <v>12.5551534579188</v>
      </c>
    </row>
    <row r="3034" spans="1:2" x14ac:dyDescent="0.35">
      <c r="A3034">
        <v>0.335779368877411</v>
      </c>
      <c r="B3034">
        <v>12.547972096014901</v>
      </c>
    </row>
    <row r="3035" spans="1:2" x14ac:dyDescent="0.35">
      <c r="A3035">
        <v>0.33535292744636502</v>
      </c>
      <c r="B3035">
        <v>12.5553978527056</v>
      </c>
    </row>
    <row r="3036" spans="1:2" x14ac:dyDescent="0.35">
      <c r="A3036">
        <v>0.334902584552765</v>
      </c>
      <c r="B3036">
        <v>12.5337861211876</v>
      </c>
    </row>
    <row r="3037" spans="1:2" x14ac:dyDescent="0.35">
      <c r="A3037">
        <v>0.33438315987586997</v>
      </c>
      <c r="B3037">
        <v>12.526322724479799</v>
      </c>
    </row>
    <row r="3038" spans="1:2" x14ac:dyDescent="0.35">
      <c r="A3038">
        <v>0.33394709229469299</v>
      </c>
      <c r="B3038">
        <v>12.525364655952</v>
      </c>
    </row>
    <row r="3039" spans="1:2" x14ac:dyDescent="0.35">
      <c r="A3039">
        <v>0.33325412869453402</v>
      </c>
      <c r="B3039">
        <v>12.4952655568165</v>
      </c>
    </row>
    <row r="3040" spans="1:2" x14ac:dyDescent="0.35">
      <c r="A3040">
        <v>0.33270284533500699</v>
      </c>
      <c r="B3040">
        <v>12.516125764535801</v>
      </c>
    </row>
    <row r="3041" spans="1:2" x14ac:dyDescent="0.35">
      <c r="A3041">
        <v>0.33236584067344699</v>
      </c>
      <c r="B3041">
        <v>12.465528624427</v>
      </c>
    </row>
    <row r="3042" spans="1:2" x14ac:dyDescent="0.35">
      <c r="A3042">
        <v>0.33181554079055797</v>
      </c>
      <c r="B3042">
        <v>12.472764885653801</v>
      </c>
    </row>
    <row r="3043" spans="1:2" x14ac:dyDescent="0.35">
      <c r="A3043">
        <v>0.33128544688224798</v>
      </c>
      <c r="B3043">
        <v>12.4733425756437</v>
      </c>
    </row>
    <row r="3044" spans="1:2" x14ac:dyDescent="0.35">
      <c r="A3044">
        <v>0.33081257343292197</v>
      </c>
      <c r="B3044">
        <v>12.466859099750399</v>
      </c>
    </row>
    <row r="3045" spans="1:2" x14ac:dyDescent="0.35">
      <c r="A3045">
        <v>0.33030655980110202</v>
      </c>
      <c r="B3045">
        <v>12.4549429404994</v>
      </c>
    </row>
    <row r="3046" spans="1:2" x14ac:dyDescent="0.35">
      <c r="A3046">
        <v>0.32977348566055298</v>
      </c>
      <c r="B3046">
        <v>12.458973035445</v>
      </c>
    </row>
    <row r="3047" spans="1:2" x14ac:dyDescent="0.35">
      <c r="A3047">
        <v>0.329109996557236</v>
      </c>
      <c r="B3047">
        <v>12.462152374185999</v>
      </c>
    </row>
    <row r="3048" spans="1:2" x14ac:dyDescent="0.35">
      <c r="A3048">
        <v>0.32884261012077298</v>
      </c>
      <c r="B3048">
        <v>12.4556718614775</v>
      </c>
    </row>
    <row r="3049" spans="1:2" x14ac:dyDescent="0.35">
      <c r="A3049">
        <v>0.32839444279670699</v>
      </c>
      <c r="B3049">
        <v>12.449890076812499</v>
      </c>
    </row>
    <row r="3050" spans="1:2" x14ac:dyDescent="0.35">
      <c r="A3050">
        <v>0.32777103781700101</v>
      </c>
      <c r="B3050">
        <v>12.435625481108699</v>
      </c>
    </row>
    <row r="3051" spans="1:2" x14ac:dyDescent="0.35">
      <c r="A3051">
        <v>0.32729575037956199</v>
      </c>
      <c r="B3051">
        <v>12.4193419475478</v>
      </c>
    </row>
    <row r="3052" spans="1:2" x14ac:dyDescent="0.35">
      <c r="A3052">
        <v>0.32674586772918701</v>
      </c>
      <c r="B3052">
        <v>12.4080527262104</v>
      </c>
    </row>
    <row r="3053" spans="1:2" x14ac:dyDescent="0.35">
      <c r="A3053">
        <v>0.326276034116745</v>
      </c>
      <c r="B3053">
        <v>12.3979524860776</v>
      </c>
    </row>
    <row r="3054" spans="1:2" x14ac:dyDescent="0.35">
      <c r="A3054">
        <v>0.32573524117469799</v>
      </c>
      <c r="B3054">
        <v>12.4140721067466</v>
      </c>
    </row>
    <row r="3055" spans="1:2" x14ac:dyDescent="0.35">
      <c r="A3055">
        <v>0.32522782683372498</v>
      </c>
      <c r="B3055">
        <v>12.4022973310908</v>
      </c>
    </row>
    <row r="3056" spans="1:2" x14ac:dyDescent="0.35">
      <c r="A3056">
        <v>0.32496044039726302</v>
      </c>
      <c r="B3056">
        <v>12.4025380006536</v>
      </c>
    </row>
    <row r="3057" spans="1:2" x14ac:dyDescent="0.35">
      <c r="A3057">
        <v>0.324360311031342</v>
      </c>
      <c r="B3057">
        <v>12.4012486668887</v>
      </c>
    </row>
    <row r="3058" spans="1:2" x14ac:dyDescent="0.35">
      <c r="A3058">
        <v>0.32379880547523499</v>
      </c>
      <c r="B3058">
        <v>12.3795649768656</v>
      </c>
    </row>
    <row r="3059" spans="1:2" x14ac:dyDescent="0.35">
      <c r="A3059">
        <v>0.323296189308167</v>
      </c>
      <c r="B3059">
        <v>12.381118489051</v>
      </c>
    </row>
    <row r="3060" spans="1:2" x14ac:dyDescent="0.35">
      <c r="A3060">
        <v>0.32288053631782498</v>
      </c>
      <c r="B3060">
        <v>12.374933853344199</v>
      </c>
    </row>
    <row r="3061" spans="1:2" x14ac:dyDescent="0.35">
      <c r="A3061">
        <v>0.32237598299980202</v>
      </c>
      <c r="B3061">
        <v>12.369486859853</v>
      </c>
    </row>
    <row r="3062" spans="1:2" x14ac:dyDescent="0.35">
      <c r="A3062">
        <v>0.32181921601295499</v>
      </c>
      <c r="B3062">
        <v>12.3479368163059</v>
      </c>
    </row>
    <row r="3063" spans="1:2" x14ac:dyDescent="0.35">
      <c r="A3063">
        <v>0.32130512595176702</v>
      </c>
      <c r="B3063">
        <v>12.356687232091801</v>
      </c>
    </row>
    <row r="3064" spans="1:2" x14ac:dyDescent="0.35">
      <c r="A3064">
        <v>0.32086613774299599</v>
      </c>
      <c r="B3064">
        <v>12.351724889305499</v>
      </c>
    </row>
    <row r="3065" spans="1:2" x14ac:dyDescent="0.35">
      <c r="A3065">
        <v>0.32046988606452897</v>
      </c>
      <c r="B3065">
        <v>12.351710475701299</v>
      </c>
    </row>
    <row r="3066" spans="1:2" x14ac:dyDescent="0.35">
      <c r="A3066">
        <v>0.31983900070190402</v>
      </c>
      <c r="B3066">
        <v>12.337367150177201</v>
      </c>
    </row>
    <row r="3067" spans="1:2" x14ac:dyDescent="0.35">
      <c r="A3067">
        <v>0.31928566098213201</v>
      </c>
      <c r="B3067">
        <v>12.326561590065401</v>
      </c>
    </row>
    <row r="3068" spans="1:2" x14ac:dyDescent="0.35">
      <c r="A3068">
        <v>0.318803340196609</v>
      </c>
      <c r="B3068">
        <v>12.318968925477</v>
      </c>
    </row>
    <row r="3069" spans="1:2" x14ac:dyDescent="0.35">
      <c r="A3069">
        <v>0.318330228328705</v>
      </c>
      <c r="B3069">
        <v>12.3235480018466</v>
      </c>
    </row>
    <row r="3070" spans="1:2" x14ac:dyDescent="0.35">
      <c r="A3070">
        <v>0.31770670413970897</v>
      </c>
      <c r="B3070">
        <v>12.3234926786296</v>
      </c>
    </row>
    <row r="3071" spans="1:2" x14ac:dyDescent="0.35">
      <c r="A3071">
        <v>0.31730830669403098</v>
      </c>
      <c r="B3071">
        <v>12.292334087248699</v>
      </c>
    </row>
    <row r="3072" spans="1:2" x14ac:dyDescent="0.35">
      <c r="A3072">
        <v>0.31692022085189803</v>
      </c>
      <c r="B3072">
        <v>12.2953221580094</v>
      </c>
    </row>
    <row r="3073" spans="1:2" x14ac:dyDescent="0.35">
      <c r="A3073">
        <v>0.31628537178039601</v>
      </c>
      <c r="B3073">
        <v>12.2995079102211</v>
      </c>
    </row>
    <row r="3074" spans="1:2" x14ac:dyDescent="0.35">
      <c r="A3074">
        <v>0.31564840674400302</v>
      </c>
      <c r="B3074">
        <v>12.2776351573558</v>
      </c>
    </row>
    <row r="3075" spans="1:2" x14ac:dyDescent="0.35">
      <c r="A3075">
        <v>0.31510993838310197</v>
      </c>
      <c r="B3075">
        <v>12.2814920850712</v>
      </c>
    </row>
    <row r="3076" spans="1:2" x14ac:dyDescent="0.35">
      <c r="A3076">
        <v>0.31466209888458302</v>
      </c>
      <c r="B3076">
        <v>12.2691700191279</v>
      </c>
    </row>
    <row r="3077" spans="1:2" x14ac:dyDescent="0.35">
      <c r="A3077">
        <v>0.31412807106971702</v>
      </c>
      <c r="B3077">
        <v>12.2635471843437</v>
      </c>
    </row>
    <row r="3078" spans="1:2" x14ac:dyDescent="0.35">
      <c r="A3078">
        <v>0.31378334760665899</v>
      </c>
      <c r="B3078">
        <v>12.261729588305601</v>
      </c>
    </row>
    <row r="3079" spans="1:2" x14ac:dyDescent="0.35">
      <c r="A3079">
        <v>0.31327983736991899</v>
      </c>
      <c r="B3079">
        <v>12.235892663169301</v>
      </c>
    </row>
    <row r="3080" spans="1:2" x14ac:dyDescent="0.35">
      <c r="A3080">
        <v>0.31283029913902299</v>
      </c>
      <c r="B3080">
        <v>12.2309234946465</v>
      </c>
    </row>
    <row r="3081" spans="1:2" x14ac:dyDescent="0.35">
      <c r="A3081">
        <v>0.312348783016205</v>
      </c>
      <c r="B3081">
        <v>12.224087282426</v>
      </c>
    </row>
    <row r="3082" spans="1:2" x14ac:dyDescent="0.35">
      <c r="A3082">
        <v>0.31175759434700001</v>
      </c>
      <c r="B3082">
        <v>12.2210887159215</v>
      </c>
    </row>
    <row r="3083" spans="1:2" x14ac:dyDescent="0.35">
      <c r="A3083">
        <v>0.31123396754264798</v>
      </c>
      <c r="B3083">
        <v>12.2282132137183</v>
      </c>
    </row>
    <row r="3084" spans="1:2" x14ac:dyDescent="0.35">
      <c r="A3084">
        <v>0.31085839867591902</v>
      </c>
      <c r="B3084">
        <v>12.2148592980166</v>
      </c>
    </row>
    <row r="3085" spans="1:2" x14ac:dyDescent="0.35">
      <c r="A3085">
        <v>0.310300022363663</v>
      </c>
      <c r="B3085">
        <v>12.185177402695199</v>
      </c>
    </row>
    <row r="3086" spans="1:2" x14ac:dyDescent="0.35">
      <c r="A3086">
        <v>0.30982896685600297</v>
      </c>
      <c r="B3086">
        <v>12.194795995880501</v>
      </c>
    </row>
    <row r="3087" spans="1:2" x14ac:dyDescent="0.35">
      <c r="A3087">
        <v>0.30928200483322099</v>
      </c>
      <c r="B3087">
        <v>12.1745268305385</v>
      </c>
    </row>
    <row r="3088" spans="1:2" x14ac:dyDescent="0.35">
      <c r="A3088">
        <v>0.30898714065551802</v>
      </c>
      <c r="B3088">
        <v>12.172173894150401</v>
      </c>
    </row>
    <row r="3089" spans="1:2" x14ac:dyDescent="0.35">
      <c r="A3089">
        <v>0.30832168459892301</v>
      </c>
      <c r="B3089">
        <v>12.173075652627499</v>
      </c>
    </row>
    <row r="3090" spans="1:2" x14ac:dyDescent="0.35">
      <c r="A3090">
        <v>0.30782863497734098</v>
      </c>
      <c r="B3090">
        <v>12.172895675297299</v>
      </c>
    </row>
    <row r="3091" spans="1:2" x14ac:dyDescent="0.35">
      <c r="A3091">
        <v>0.30737379193306003</v>
      </c>
      <c r="B3091">
        <v>12.1565880713542</v>
      </c>
    </row>
    <row r="3092" spans="1:2" x14ac:dyDescent="0.35">
      <c r="A3092">
        <v>0.30698668956756597</v>
      </c>
      <c r="B3092">
        <v>12.1521704860571</v>
      </c>
    </row>
    <row r="3093" spans="1:2" x14ac:dyDescent="0.35">
      <c r="A3093">
        <v>0.30620023608207703</v>
      </c>
      <c r="B3093">
        <v>12.1373241201679</v>
      </c>
    </row>
    <row r="3094" spans="1:2" x14ac:dyDescent="0.35">
      <c r="A3094">
        <v>0.30584058165550199</v>
      </c>
      <c r="B3094">
        <v>12.129653936616499</v>
      </c>
    </row>
    <row r="3095" spans="1:2" x14ac:dyDescent="0.35">
      <c r="A3095">
        <v>0.30541247129440302</v>
      </c>
      <c r="B3095">
        <v>12.1243572630869</v>
      </c>
    </row>
    <row r="3096" spans="1:2" x14ac:dyDescent="0.35">
      <c r="A3096">
        <v>0.30481359362602201</v>
      </c>
      <c r="B3096">
        <v>12.1220462271566</v>
      </c>
    </row>
    <row r="3097" spans="1:2" x14ac:dyDescent="0.35">
      <c r="A3097">
        <v>0.30440220236778298</v>
      </c>
      <c r="B3097">
        <v>12.1203247594655</v>
      </c>
    </row>
    <row r="3098" spans="1:2" x14ac:dyDescent="0.35">
      <c r="A3098">
        <v>0.30363690853118902</v>
      </c>
      <c r="B3098">
        <v>12.1245297913612</v>
      </c>
    </row>
    <row r="3099" spans="1:2" x14ac:dyDescent="0.35">
      <c r="A3099">
        <v>0.30311653017997697</v>
      </c>
      <c r="B3099">
        <v>12.0988086569355</v>
      </c>
    </row>
    <row r="3100" spans="1:2" x14ac:dyDescent="0.35">
      <c r="A3100">
        <v>0.30266654491424599</v>
      </c>
      <c r="B3100">
        <v>12.1079623737281</v>
      </c>
    </row>
    <row r="3101" spans="1:2" x14ac:dyDescent="0.35">
      <c r="A3101">
        <v>0.30227273702621499</v>
      </c>
      <c r="B3101">
        <v>12.108006696686299</v>
      </c>
    </row>
    <row r="3102" spans="1:2" x14ac:dyDescent="0.35">
      <c r="A3102">
        <v>0.30177932977676403</v>
      </c>
      <c r="B3102">
        <v>12.084258291140801</v>
      </c>
    </row>
    <row r="3103" spans="1:2" x14ac:dyDescent="0.35">
      <c r="A3103">
        <v>0.30123654007911699</v>
      </c>
      <c r="B3103">
        <v>12.087126730716401</v>
      </c>
    </row>
    <row r="3104" spans="1:2" x14ac:dyDescent="0.35">
      <c r="A3104">
        <v>0.30068340897560097</v>
      </c>
      <c r="B3104">
        <v>12.0634393117281</v>
      </c>
    </row>
    <row r="3105" spans="1:2" x14ac:dyDescent="0.35">
      <c r="A3105">
        <v>0.300256788730621</v>
      </c>
      <c r="B3105">
        <v>12.0583829900159</v>
      </c>
    </row>
    <row r="3106" spans="1:2" x14ac:dyDescent="0.35">
      <c r="A3106">
        <v>0.29956153035163902</v>
      </c>
      <c r="B3106">
        <v>12.056244254012199</v>
      </c>
    </row>
    <row r="3107" spans="1:2" x14ac:dyDescent="0.35">
      <c r="A3107">
        <v>0.29930615425109902</v>
      </c>
      <c r="B3107">
        <v>12.0565052745469</v>
      </c>
    </row>
    <row r="3108" spans="1:2" x14ac:dyDescent="0.35">
      <c r="A3108">
        <v>0.29883739352226302</v>
      </c>
      <c r="B3108">
        <v>12.0486825733143</v>
      </c>
    </row>
    <row r="3109" spans="1:2" x14ac:dyDescent="0.35">
      <c r="A3109">
        <v>0.29805746674537698</v>
      </c>
      <c r="B3109">
        <v>12.0453252816574</v>
      </c>
    </row>
    <row r="3110" spans="1:2" x14ac:dyDescent="0.35">
      <c r="A3110">
        <v>0.29775398969650302</v>
      </c>
      <c r="B3110">
        <v>12.003871086267701</v>
      </c>
    </row>
    <row r="3111" spans="1:2" x14ac:dyDescent="0.35">
      <c r="A3111">
        <v>0.29738926887512201</v>
      </c>
      <c r="B3111">
        <v>12.029839724571699</v>
      </c>
    </row>
    <row r="3112" spans="1:2" x14ac:dyDescent="0.35">
      <c r="A3112">
        <v>0.29683282971382102</v>
      </c>
      <c r="B3112">
        <v>12.0193218897763</v>
      </c>
    </row>
    <row r="3113" spans="1:2" x14ac:dyDescent="0.35">
      <c r="A3113">
        <v>0.29624018073081998</v>
      </c>
      <c r="B3113">
        <v>12.0128717770039</v>
      </c>
    </row>
    <row r="3114" spans="1:2" x14ac:dyDescent="0.35">
      <c r="A3114">
        <v>0.29580667614936801</v>
      </c>
      <c r="B3114">
        <v>11.9865786999324</v>
      </c>
    </row>
    <row r="3115" spans="1:2" x14ac:dyDescent="0.35">
      <c r="A3115">
        <v>0.295423924922943</v>
      </c>
      <c r="B3115">
        <v>11.9759229490018</v>
      </c>
    </row>
    <row r="3116" spans="1:2" x14ac:dyDescent="0.35">
      <c r="A3116">
        <v>0.29482698440551802</v>
      </c>
      <c r="B3116">
        <v>11.966468732676599</v>
      </c>
    </row>
    <row r="3117" spans="1:2" x14ac:dyDescent="0.35">
      <c r="A3117">
        <v>0.294347703456879</v>
      </c>
      <c r="B3117">
        <v>11.967102977314701</v>
      </c>
    </row>
    <row r="3118" spans="1:2" x14ac:dyDescent="0.35">
      <c r="A3118">
        <v>0.29381981492042503</v>
      </c>
      <c r="B3118">
        <v>11.969050600506399</v>
      </c>
    </row>
    <row r="3119" spans="1:2" x14ac:dyDescent="0.35">
      <c r="A3119">
        <v>0.293412625789642</v>
      </c>
      <c r="B3119">
        <v>11.943031091630701</v>
      </c>
    </row>
    <row r="3120" spans="1:2" x14ac:dyDescent="0.35">
      <c r="A3120">
        <v>0.29288363456726102</v>
      </c>
      <c r="B3120">
        <v>11.940162249237201</v>
      </c>
    </row>
    <row r="3121" spans="1:2" x14ac:dyDescent="0.35">
      <c r="A3121">
        <v>0.29248076677322399</v>
      </c>
      <c r="B3121">
        <v>11.9239789307829</v>
      </c>
    </row>
    <row r="3122" spans="1:2" x14ac:dyDescent="0.35">
      <c r="A3122">
        <v>0.29180538654327398</v>
      </c>
      <c r="B3122">
        <v>11.9229201466547</v>
      </c>
    </row>
    <row r="3123" spans="1:2" x14ac:dyDescent="0.35">
      <c r="A3123">
        <v>0.29136356711387601</v>
      </c>
      <c r="B3123">
        <v>11.9288339869304</v>
      </c>
    </row>
    <row r="3124" spans="1:2" x14ac:dyDescent="0.35">
      <c r="A3124">
        <v>0.290979564189911</v>
      </c>
      <c r="B3124">
        <v>11.9035401563034</v>
      </c>
    </row>
    <row r="3125" spans="1:2" x14ac:dyDescent="0.35">
      <c r="A3125">
        <v>0.290284484624863</v>
      </c>
      <c r="B3125">
        <v>11.9098021351843</v>
      </c>
    </row>
    <row r="3126" spans="1:2" x14ac:dyDescent="0.35">
      <c r="A3126">
        <v>0.28982856869697599</v>
      </c>
      <c r="B3126">
        <v>11.898642694458401</v>
      </c>
    </row>
    <row r="3127" spans="1:2" x14ac:dyDescent="0.35">
      <c r="A3127">
        <v>0.28953996300697299</v>
      </c>
      <c r="B3127">
        <v>11.872313414152099</v>
      </c>
    </row>
    <row r="3128" spans="1:2" x14ac:dyDescent="0.35">
      <c r="A3128">
        <v>0.28867512941360501</v>
      </c>
      <c r="B3128">
        <v>11.8775593341846</v>
      </c>
    </row>
    <row r="3129" spans="1:2" x14ac:dyDescent="0.35">
      <c r="A3129">
        <v>0.28821793198585499</v>
      </c>
      <c r="B3129">
        <v>11.8793192127617</v>
      </c>
    </row>
    <row r="3130" spans="1:2" x14ac:dyDescent="0.35">
      <c r="A3130">
        <v>0.28789770603179898</v>
      </c>
      <c r="B3130">
        <v>11.882178804452201</v>
      </c>
    </row>
    <row r="3131" spans="1:2" x14ac:dyDescent="0.35">
      <c r="A3131">
        <v>0.28736373782157898</v>
      </c>
      <c r="B3131">
        <v>11.868167582321799</v>
      </c>
    </row>
    <row r="3132" spans="1:2" x14ac:dyDescent="0.35">
      <c r="A3132">
        <v>0.28677618503570601</v>
      </c>
      <c r="B3132">
        <v>11.8317468688853</v>
      </c>
    </row>
    <row r="3133" spans="1:2" x14ac:dyDescent="0.35">
      <c r="A3133">
        <v>0.286308974027634</v>
      </c>
      <c r="B3133">
        <v>11.825476042531699</v>
      </c>
    </row>
    <row r="3134" spans="1:2" x14ac:dyDescent="0.35">
      <c r="A3134">
        <v>0.28575226664543202</v>
      </c>
      <c r="B3134">
        <v>11.831448642431001</v>
      </c>
    </row>
    <row r="3135" spans="1:2" x14ac:dyDescent="0.35">
      <c r="A3135">
        <v>0.28536394238472002</v>
      </c>
      <c r="B3135">
        <v>11.827074442974199</v>
      </c>
    </row>
    <row r="3136" spans="1:2" x14ac:dyDescent="0.35">
      <c r="A3136">
        <v>0.28481167554855302</v>
      </c>
      <c r="B3136">
        <v>11.8214916334104</v>
      </c>
    </row>
    <row r="3137" spans="1:2" x14ac:dyDescent="0.35">
      <c r="A3137">
        <v>0.28437715768814098</v>
      </c>
      <c r="B3137">
        <v>11.7980376341163</v>
      </c>
    </row>
    <row r="3138" spans="1:2" x14ac:dyDescent="0.35">
      <c r="A3138">
        <v>0.28380262851715099</v>
      </c>
      <c r="B3138">
        <v>11.7836795382765</v>
      </c>
    </row>
    <row r="3139" spans="1:2" x14ac:dyDescent="0.35">
      <c r="A3139">
        <v>0.28332868218421903</v>
      </c>
      <c r="B3139">
        <v>11.7884680503659</v>
      </c>
    </row>
    <row r="3140" spans="1:2" x14ac:dyDescent="0.35">
      <c r="A3140">
        <v>0.28284433484077498</v>
      </c>
      <c r="B3140">
        <v>11.781171989299899</v>
      </c>
    </row>
    <row r="3141" spans="1:2" x14ac:dyDescent="0.35">
      <c r="A3141">
        <v>0.282265305519104</v>
      </c>
      <c r="B3141">
        <v>11.769185890683699</v>
      </c>
    </row>
    <row r="3142" spans="1:2" x14ac:dyDescent="0.35">
      <c r="A3142">
        <v>0.28175750374794001</v>
      </c>
      <c r="B3142">
        <v>11.7718960447621</v>
      </c>
    </row>
    <row r="3143" spans="1:2" x14ac:dyDescent="0.35">
      <c r="A3143">
        <v>0.28140446543693498</v>
      </c>
      <c r="B3143">
        <v>11.756018850225599</v>
      </c>
    </row>
    <row r="3144" spans="1:2" x14ac:dyDescent="0.35">
      <c r="A3144">
        <v>0.28091797232627902</v>
      </c>
      <c r="B3144">
        <v>11.7449761471856</v>
      </c>
    </row>
    <row r="3145" spans="1:2" x14ac:dyDescent="0.35">
      <c r="A3145">
        <v>0.28027969598770103</v>
      </c>
      <c r="B3145">
        <v>11.727427640058499</v>
      </c>
    </row>
    <row r="3146" spans="1:2" x14ac:dyDescent="0.35">
      <c r="A3146">
        <v>0.27996903657913202</v>
      </c>
      <c r="B3146">
        <v>11.7089101328</v>
      </c>
    </row>
    <row r="3147" spans="1:2" x14ac:dyDescent="0.35">
      <c r="A3147">
        <v>0.27942934632301297</v>
      </c>
      <c r="B3147">
        <v>11.703128207448801</v>
      </c>
    </row>
    <row r="3148" spans="1:2" x14ac:dyDescent="0.35">
      <c r="A3148">
        <v>0.27881452441215498</v>
      </c>
      <c r="B3148">
        <v>11.7038794663159</v>
      </c>
    </row>
    <row r="3149" spans="1:2" x14ac:dyDescent="0.35">
      <c r="A3149">
        <v>0.27838724851608299</v>
      </c>
      <c r="B3149">
        <v>11.6979352904997</v>
      </c>
    </row>
    <row r="3150" spans="1:2" x14ac:dyDescent="0.35">
      <c r="A3150">
        <v>0.27783280611038202</v>
      </c>
      <c r="B3150">
        <v>11.698318931620999</v>
      </c>
    </row>
    <row r="3151" spans="1:2" x14ac:dyDescent="0.35">
      <c r="A3151">
        <v>0.27735248208045998</v>
      </c>
      <c r="B3151">
        <v>11.6627796896489</v>
      </c>
    </row>
    <row r="3152" spans="1:2" x14ac:dyDescent="0.35">
      <c r="A3152">
        <v>0.27688279747963002</v>
      </c>
      <c r="B3152">
        <v>11.6566358619745</v>
      </c>
    </row>
    <row r="3153" spans="1:2" x14ac:dyDescent="0.35">
      <c r="A3153">
        <v>0.27634021639823902</v>
      </c>
      <c r="B3153">
        <v>11.6499957049835</v>
      </c>
    </row>
    <row r="3154" spans="1:2" x14ac:dyDescent="0.35">
      <c r="A3154">
        <v>0.275888562202454</v>
      </c>
      <c r="B3154">
        <v>11.6557600470643</v>
      </c>
    </row>
    <row r="3155" spans="1:2" x14ac:dyDescent="0.35">
      <c r="A3155">
        <v>0.27540829777717601</v>
      </c>
      <c r="B3155">
        <v>11.6466206234939</v>
      </c>
    </row>
    <row r="3156" spans="1:2" x14ac:dyDescent="0.35">
      <c r="A3156">
        <v>0.274905025959015</v>
      </c>
      <c r="B3156">
        <v>11.649258002933999</v>
      </c>
    </row>
    <row r="3157" spans="1:2" x14ac:dyDescent="0.35">
      <c r="A3157">
        <v>0.27436614036560097</v>
      </c>
      <c r="B3157">
        <v>11.6542182655419</v>
      </c>
    </row>
    <row r="3158" spans="1:2" x14ac:dyDescent="0.35">
      <c r="A3158">
        <v>0.273864686489105</v>
      </c>
      <c r="B3158">
        <v>11.5953824042056</v>
      </c>
    </row>
    <row r="3159" spans="1:2" x14ac:dyDescent="0.35">
      <c r="A3159">
        <v>0.27333787083625799</v>
      </c>
      <c r="B3159">
        <v>11.603249200567101</v>
      </c>
    </row>
    <row r="3160" spans="1:2" x14ac:dyDescent="0.35">
      <c r="A3160">
        <v>0.27293580770492598</v>
      </c>
      <c r="B3160">
        <v>11.596465807960801</v>
      </c>
    </row>
    <row r="3161" spans="1:2" x14ac:dyDescent="0.35">
      <c r="A3161">
        <v>0.27237531542777998</v>
      </c>
      <c r="B3161">
        <v>11.6059831154626</v>
      </c>
    </row>
    <row r="3162" spans="1:2" x14ac:dyDescent="0.35">
      <c r="A3162">
        <v>0.27189803123474099</v>
      </c>
      <c r="B3162">
        <v>11.581941910367499</v>
      </c>
    </row>
    <row r="3163" spans="1:2" x14ac:dyDescent="0.35">
      <c r="A3163">
        <v>0.27149960398674</v>
      </c>
      <c r="B3163">
        <v>11.572823655560001</v>
      </c>
    </row>
    <row r="3164" spans="1:2" x14ac:dyDescent="0.35">
      <c r="A3164">
        <v>0.27076393365860002</v>
      </c>
      <c r="B3164">
        <v>11.567430540980901</v>
      </c>
    </row>
    <row r="3165" spans="1:2" x14ac:dyDescent="0.35">
      <c r="A3165">
        <v>0.27037256956100503</v>
      </c>
      <c r="B3165">
        <v>11.556886837458</v>
      </c>
    </row>
    <row r="3166" spans="1:2" x14ac:dyDescent="0.35">
      <c r="A3166">
        <v>0.26993370056152299</v>
      </c>
      <c r="B3166">
        <v>11.523162922479999</v>
      </c>
    </row>
    <row r="3167" spans="1:2" x14ac:dyDescent="0.35">
      <c r="A3167">
        <v>0.269443780183792</v>
      </c>
      <c r="B3167">
        <v>11.517990999176901</v>
      </c>
    </row>
    <row r="3168" spans="1:2" x14ac:dyDescent="0.35">
      <c r="A3168">
        <v>0.26887449622154203</v>
      </c>
      <c r="B3168">
        <v>11.533944113044599</v>
      </c>
    </row>
    <row r="3169" spans="1:2" x14ac:dyDescent="0.35">
      <c r="A3169">
        <v>0.26842504739761402</v>
      </c>
      <c r="B3169">
        <v>11.498985327433701</v>
      </c>
    </row>
    <row r="3170" spans="1:2" x14ac:dyDescent="0.35">
      <c r="A3170">
        <v>0.26778379082679699</v>
      </c>
      <c r="B3170">
        <v>11.4942772796106</v>
      </c>
    </row>
    <row r="3171" spans="1:2" x14ac:dyDescent="0.35">
      <c r="A3171">
        <v>0.26731809973716703</v>
      </c>
      <c r="B3171">
        <v>11.4814246755595</v>
      </c>
    </row>
    <row r="3172" spans="1:2" x14ac:dyDescent="0.35">
      <c r="A3172">
        <v>0.26686704158782998</v>
      </c>
      <c r="B3172">
        <v>11.493234456791599</v>
      </c>
    </row>
    <row r="3173" spans="1:2" x14ac:dyDescent="0.35">
      <c r="A3173">
        <v>0.26630270481109602</v>
      </c>
      <c r="B3173">
        <v>11.4944433439191</v>
      </c>
    </row>
    <row r="3174" spans="1:2" x14ac:dyDescent="0.35">
      <c r="A3174">
        <v>0.26579266786575301</v>
      </c>
      <c r="B3174">
        <v>11.473950243318299</v>
      </c>
    </row>
    <row r="3175" spans="1:2" x14ac:dyDescent="0.35">
      <c r="A3175">
        <v>0.26541313529014599</v>
      </c>
      <c r="B3175">
        <v>11.448861302731</v>
      </c>
    </row>
    <row r="3176" spans="1:2" x14ac:dyDescent="0.35">
      <c r="A3176">
        <v>0.264669209718704</v>
      </c>
      <c r="B3176">
        <v>11.444629607685901</v>
      </c>
    </row>
    <row r="3177" spans="1:2" x14ac:dyDescent="0.35">
      <c r="A3177">
        <v>0.26426368951797502</v>
      </c>
      <c r="B3177">
        <v>11.452118631995701</v>
      </c>
    </row>
    <row r="3178" spans="1:2" x14ac:dyDescent="0.35">
      <c r="A3178">
        <v>0.26389300823211698</v>
      </c>
      <c r="B3178">
        <v>11.445321347862199</v>
      </c>
    </row>
    <row r="3179" spans="1:2" x14ac:dyDescent="0.35">
      <c r="A3179">
        <v>0.26335456967353799</v>
      </c>
      <c r="B3179">
        <v>11.447382706666801</v>
      </c>
    </row>
    <row r="3180" spans="1:2" x14ac:dyDescent="0.35">
      <c r="A3180">
        <v>0.262767374515533</v>
      </c>
      <c r="B3180">
        <v>11.404190485685101</v>
      </c>
    </row>
    <row r="3181" spans="1:2" x14ac:dyDescent="0.35">
      <c r="A3181">
        <v>0.26217049360275302</v>
      </c>
      <c r="B3181">
        <v>11.4034451818293</v>
      </c>
    </row>
    <row r="3182" spans="1:2" x14ac:dyDescent="0.35">
      <c r="A3182">
        <v>0.26170566678047202</v>
      </c>
      <c r="B3182">
        <v>11.3965304106161</v>
      </c>
    </row>
    <row r="3183" spans="1:2" x14ac:dyDescent="0.35">
      <c r="A3183">
        <v>0.26117897033691401</v>
      </c>
      <c r="B3183">
        <v>11.3929871533546</v>
      </c>
    </row>
    <row r="3184" spans="1:2" x14ac:dyDescent="0.35">
      <c r="A3184">
        <v>0.26086342334747298</v>
      </c>
      <c r="B3184">
        <v>11.3966056460687</v>
      </c>
    </row>
    <row r="3185" spans="1:2" x14ac:dyDescent="0.35">
      <c r="A3185">
        <v>0.26034146547317499</v>
      </c>
      <c r="B3185">
        <v>11.385801949348201</v>
      </c>
    </row>
    <row r="3186" spans="1:2" x14ac:dyDescent="0.35">
      <c r="A3186">
        <v>0.25982749462127702</v>
      </c>
      <c r="B3186">
        <v>11.379086523452401</v>
      </c>
    </row>
    <row r="3187" spans="1:2" x14ac:dyDescent="0.35">
      <c r="A3187">
        <v>0.25937780737876898</v>
      </c>
      <c r="B3187">
        <v>11.3683763707915</v>
      </c>
    </row>
    <row r="3188" spans="1:2" x14ac:dyDescent="0.35">
      <c r="A3188">
        <v>0.25891128182411199</v>
      </c>
      <c r="B3188">
        <v>11.3418858402525</v>
      </c>
    </row>
    <row r="3189" spans="1:2" x14ac:dyDescent="0.35">
      <c r="A3189">
        <v>0.25822344422340399</v>
      </c>
      <c r="B3189">
        <v>11.343336921472099</v>
      </c>
    </row>
    <row r="3190" spans="1:2" x14ac:dyDescent="0.35">
      <c r="A3190">
        <v>0.25779396295547502</v>
      </c>
      <c r="B3190">
        <v>11.3313383910418</v>
      </c>
    </row>
    <row r="3191" spans="1:2" x14ac:dyDescent="0.35">
      <c r="A3191">
        <v>0.25740915536880499</v>
      </c>
      <c r="B3191">
        <v>11.3250556769715</v>
      </c>
    </row>
    <row r="3192" spans="1:2" x14ac:dyDescent="0.35">
      <c r="A3192">
        <v>0.25684106349945102</v>
      </c>
      <c r="B3192">
        <v>11.308669185873899</v>
      </c>
    </row>
    <row r="3193" spans="1:2" x14ac:dyDescent="0.35">
      <c r="A3193">
        <v>0.256461292505264</v>
      </c>
      <c r="B3193">
        <v>11.315726250144399</v>
      </c>
    </row>
    <row r="3194" spans="1:2" x14ac:dyDescent="0.35">
      <c r="A3194">
        <v>0.255885690450668</v>
      </c>
      <c r="B3194">
        <v>11.2934554308438</v>
      </c>
    </row>
    <row r="3195" spans="1:2" x14ac:dyDescent="0.35">
      <c r="A3195">
        <v>0.255400240421295</v>
      </c>
      <c r="B3195">
        <v>11.2783078573894</v>
      </c>
    </row>
    <row r="3196" spans="1:2" x14ac:dyDescent="0.35">
      <c r="A3196">
        <v>0.25493043661117598</v>
      </c>
      <c r="B3196">
        <v>11.273416071890299</v>
      </c>
    </row>
    <row r="3197" spans="1:2" x14ac:dyDescent="0.35">
      <c r="A3197">
        <v>0.254433333873749</v>
      </c>
      <c r="B3197">
        <v>11.2590800599245</v>
      </c>
    </row>
    <row r="3198" spans="1:2" x14ac:dyDescent="0.35">
      <c r="A3198">
        <v>0.25387367606163003</v>
      </c>
      <c r="B3198">
        <v>11.2419018654409</v>
      </c>
    </row>
    <row r="3199" spans="1:2" x14ac:dyDescent="0.35">
      <c r="A3199">
        <v>0.25340789556503301</v>
      </c>
      <c r="B3199">
        <v>11.2370466882447</v>
      </c>
    </row>
    <row r="3200" spans="1:2" x14ac:dyDescent="0.35">
      <c r="A3200">
        <v>0.252967149019241</v>
      </c>
      <c r="B3200">
        <v>11.235112859390499</v>
      </c>
    </row>
    <row r="3201" spans="1:2" x14ac:dyDescent="0.35">
      <c r="A3201">
        <v>0.25254613161086997</v>
      </c>
      <c r="B3201">
        <v>11.244132817340899</v>
      </c>
    </row>
    <row r="3202" spans="1:2" x14ac:dyDescent="0.35">
      <c r="A3202">
        <v>0.251892149448395</v>
      </c>
      <c r="B3202">
        <v>11.220471715495</v>
      </c>
    </row>
    <row r="3203" spans="1:2" x14ac:dyDescent="0.35">
      <c r="A3203">
        <v>0.25147798657417297</v>
      </c>
      <c r="B3203">
        <v>11.2036128963636</v>
      </c>
    </row>
    <row r="3204" spans="1:2" x14ac:dyDescent="0.35">
      <c r="A3204">
        <v>0.25110119581222501</v>
      </c>
      <c r="B3204">
        <v>11.1876527044729</v>
      </c>
    </row>
    <row r="3205" spans="1:2" x14ac:dyDescent="0.35">
      <c r="A3205">
        <v>0.25027760863304099</v>
      </c>
      <c r="B3205">
        <v>11.1893406127418</v>
      </c>
    </row>
    <row r="3206" spans="1:2" x14ac:dyDescent="0.35">
      <c r="A3206">
        <v>0.24987484514713301</v>
      </c>
      <c r="B3206">
        <v>11.1922760455989</v>
      </c>
    </row>
    <row r="3207" spans="1:2" x14ac:dyDescent="0.35">
      <c r="A3207">
        <v>0.24936991930007901</v>
      </c>
      <c r="B3207">
        <v>11.1866200088984</v>
      </c>
    </row>
    <row r="3208" spans="1:2" x14ac:dyDescent="0.35">
      <c r="A3208">
        <v>0.24904265999794001</v>
      </c>
      <c r="B3208">
        <v>11.1985480035968</v>
      </c>
    </row>
    <row r="3209" spans="1:2" x14ac:dyDescent="0.35">
      <c r="A3209">
        <v>0.24844475090503701</v>
      </c>
      <c r="B3209">
        <v>11.1805159339707</v>
      </c>
    </row>
    <row r="3210" spans="1:2" x14ac:dyDescent="0.35">
      <c r="A3210">
        <v>0.248032227158546</v>
      </c>
      <c r="B3210">
        <v>11.1529851409031</v>
      </c>
    </row>
    <row r="3211" spans="1:2" x14ac:dyDescent="0.35">
      <c r="A3211">
        <v>0.247234120965004</v>
      </c>
      <c r="B3211">
        <v>11.143336577371601</v>
      </c>
    </row>
    <row r="3212" spans="1:2" x14ac:dyDescent="0.35">
      <c r="A3212">
        <v>0.246842712163925</v>
      </c>
      <c r="B3212">
        <v>11.1386360933154</v>
      </c>
    </row>
    <row r="3213" spans="1:2" x14ac:dyDescent="0.35">
      <c r="A3213">
        <v>0.246486261487007</v>
      </c>
      <c r="B3213">
        <v>11.1413856115865</v>
      </c>
    </row>
    <row r="3214" spans="1:2" x14ac:dyDescent="0.35">
      <c r="A3214">
        <v>0.24592359364032701</v>
      </c>
      <c r="B3214">
        <v>11.1138369005876</v>
      </c>
    </row>
    <row r="3215" spans="1:2" x14ac:dyDescent="0.35">
      <c r="A3215">
        <v>0.245336338877678</v>
      </c>
      <c r="B3215">
        <v>11.0934950592102</v>
      </c>
    </row>
    <row r="3216" spans="1:2" x14ac:dyDescent="0.35">
      <c r="A3216">
        <v>0.244891032576561</v>
      </c>
      <c r="B3216">
        <v>11.097734691213301</v>
      </c>
    </row>
    <row r="3217" spans="1:2" x14ac:dyDescent="0.35">
      <c r="A3217">
        <v>0.244349360466003</v>
      </c>
      <c r="B3217">
        <v>11.087970444358</v>
      </c>
    </row>
    <row r="3218" spans="1:2" x14ac:dyDescent="0.35">
      <c r="A3218">
        <v>0.2437903881073</v>
      </c>
      <c r="B3218">
        <v>11.0602150501262</v>
      </c>
    </row>
    <row r="3219" spans="1:2" x14ac:dyDescent="0.35">
      <c r="A3219">
        <v>0.24332413077354401</v>
      </c>
      <c r="B3219">
        <v>11.050055138397401</v>
      </c>
    </row>
    <row r="3220" spans="1:2" x14ac:dyDescent="0.35">
      <c r="A3220">
        <v>0.24288408458232899</v>
      </c>
      <c r="B3220">
        <v>11.053260730856399</v>
      </c>
    </row>
    <row r="3221" spans="1:2" x14ac:dyDescent="0.35">
      <c r="A3221">
        <v>0.24228715896606401</v>
      </c>
      <c r="B3221">
        <v>11.0377905980513</v>
      </c>
    </row>
    <row r="3222" spans="1:2" x14ac:dyDescent="0.35">
      <c r="A3222">
        <v>0.24176678061485299</v>
      </c>
      <c r="B3222">
        <v>11.047199724239</v>
      </c>
    </row>
    <row r="3223" spans="1:2" x14ac:dyDescent="0.35">
      <c r="A3223">
        <v>0.24131105840206099</v>
      </c>
      <c r="B3223">
        <v>11.028510149206801</v>
      </c>
    </row>
    <row r="3224" spans="1:2" x14ac:dyDescent="0.35">
      <c r="A3224">
        <v>0.24070426821708699</v>
      </c>
      <c r="B3224">
        <v>11.0321690249281</v>
      </c>
    </row>
    <row r="3225" spans="1:2" x14ac:dyDescent="0.35">
      <c r="A3225">
        <v>0.24026891589164701</v>
      </c>
      <c r="B3225">
        <v>11.0436780251566</v>
      </c>
    </row>
    <row r="3226" spans="1:2" x14ac:dyDescent="0.35">
      <c r="A3226">
        <v>0.23990531265735601</v>
      </c>
      <c r="B3226">
        <v>11.0096357002079</v>
      </c>
    </row>
    <row r="3227" spans="1:2" x14ac:dyDescent="0.35">
      <c r="A3227">
        <v>0.23923721909522999</v>
      </c>
      <c r="B3227">
        <v>11.0082700151323</v>
      </c>
    </row>
    <row r="3228" spans="1:2" x14ac:dyDescent="0.35">
      <c r="A3228">
        <v>0.23889261484146099</v>
      </c>
      <c r="B3228">
        <v>10.9826997907396</v>
      </c>
    </row>
    <row r="3229" spans="1:2" x14ac:dyDescent="0.35">
      <c r="A3229">
        <v>0.238515079021454</v>
      </c>
      <c r="B3229">
        <v>11.009126174853201</v>
      </c>
    </row>
    <row r="3230" spans="1:2" x14ac:dyDescent="0.35">
      <c r="A3230">
        <v>0.23787388205528301</v>
      </c>
      <c r="B3230">
        <v>10.991294694776601</v>
      </c>
    </row>
    <row r="3231" spans="1:2" x14ac:dyDescent="0.35">
      <c r="A3231">
        <v>0.23737455904483801</v>
      </c>
      <c r="B3231">
        <v>10.971334408184999</v>
      </c>
    </row>
    <row r="3232" spans="1:2" x14ac:dyDescent="0.35">
      <c r="A3232">
        <v>0.236913457512856</v>
      </c>
      <c r="B3232">
        <v>10.956290592782601</v>
      </c>
    </row>
    <row r="3233" spans="1:2" x14ac:dyDescent="0.35">
      <c r="A3233">
        <v>0.23634631931781799</v>
      </c>
      <c r="B3233">
        <v>10.9135635943178</v>
      </c>
    </row>
    <row r="3234" spans="1:2" x14ac:dyDescent="0.35">
      <c r="A3234">
        <v>0.23604820668697399</v>
      </c>
      <c r="B3234">
        <v>10.926587994933501</v>
      </c>
    </row>
    <row r="3235" spans="1:2" x14ac:dyDescent="0.35">
      <c r="A3235">
        <v>0.23531998693942999</v>
      </c>
      <c r="B3235">
        <v>10.938963319279299</v>
      </c>
    </row>
    <row r="3236" spans="1:2" x14ac:dyDescent="0.35">
      <c r="A3236">
        <v>0.23490959405899001</v>
      </c>
      <c r="B3236">
        <v>10.9270181008312</v>
      </c>
    </row>
    <row r="3237" spans="1:2" x14ac:dyDescent="0.35">
      <c r="A3237">
        <v>0.234440922737122</v>
      </c>
      <c r="B3237">
        <v>10.9284293569031</v>
      </c>
    </row>
    <row r="3238" spans="1:2" x14ac:dyDescent="0.35">
      <c r="A3238">
        <v>0.234007462859154</v>
      </c>
      <c r="B3238">
        <v>10.8966139218614</v>
      </c>
    </row>
    <row r="3239" spans="1:2" x14ac:dyDescent="0.35">
      <c r="A3239">
        <v>0.233403220772743</v>
      </c>
      <c r="B3239">
        <v>10.878642063621101</v>
      </c>
    </row>
    <row r="3240" spans="1:2" x14ac:dyDescent="0.35">
      <c r="A3240">
        <v>0.23289225995540599</v>
      </c>
      <c r="B3240">
        <v>10.894564615765001</v>
      </c>
    </row>
    <row r="3241" spans="1:2" x14ac:dyDescent="0.35">
      <c r="A3241">
        <v>0.232270076870918</v>
      </c>
      <c r="B3241">
        <v>10.9002566883245</v>
      </c>
    </row>
    <row r="3242" spans="1:2" x14ac:dyDescent="0.35">
      <c r="A3242">
        <v>0.231846868991852</v>
      </c>
      <c r="B3242">
        <v>10.8774894712239</v>
      </c>
    </row>
    <row r="3243" spans="1:2" x14ac:dyDescent="0.35">
      <c r="A3243">
        <v>0.23142501711845401</v>
      </c>
      <c r="B3243">
        <v>10.8699359831162</v>
      </c>
    </row>
    <row r="3244" spans="1:2" x14ac:dyDescent="0.35">
      <c r="A3244">
        <v>0.230795308947563</v>
      </c>
      <c r="B3244">
        <v>10.8477154227028</v>
      </c>
    </row>
    <row r="3245" spans="1:2" x14ac:dyDescent="0.35">
      <c r="A3245">
        <v>0.23033612966537501</v>
      </c>
      <c r="B3245">
        <v>10.8517709716702</v>
      </c>
    </row>
    <row r="3246" spans="1:2" x14ac:dyDescent="0.35">
      <c r="A3246">
        <v>0.22989527881145499</v>
      </c>
      <c r="B3246">
        <v>10.851518805341099</v>
      </c>
    </row>
    <row r="3247" spans="1:2" x14ac:dyDescent="0.35">
      <c r="A3247">
        <v>0.22925725579261799</v>
      </c>
      <c r="B3247">
        <v>10.8235306217196</v>
      </c>
    </row>
    <row r="3248" spans="1:2" x14ac:dyDescent="0.35">
      <c r="A3248">
        <v>0.22867701947689101</v>
      </c>
      <c r="B3248">
        <v>10.8082151694949</v>
      </c>
    </row>
    <row r="3249" spans="1:2" x14ac:dyDescent="0.35">
      <c r="A3249">
        <v>0.22839203476905801</v>
      </c>
      <c r="B3249">
        <v>10.783101011871301</v>
      </c>
    </row>
    <row r="3250" spans="1:2" x14ac:dyDescent="0.35">
      <c r="A3250">
        <v>0.22787043452262901</v>
      </c>
      <c r="B3250">
        <v>10.7673290920618</v>
      </c>
    </row>
    <row r="3251" spans="1:2" x14ac:dyDescent="0.35">
      <c r="A3251">
        <v>0.22741046547889701</v>
      </c>
      <c r="B3251">
        <v>10.778542307716</v>
      </c>
    </row>
    <row r="3252" spans="1:2" x14ac:dyDescent="0.35">
      <c r="A3252">
        <v>0.2268156260252</v>
      </c>
      <c r="B3252">
        <v>10.7653749734079</v>
      </c>
    </row>
    <row r="3253" spans="1:2" x14ac:dyDescent="0.35">
      <c r="A3253">
        <v>0.22623477876186401</v>
      </c>
      <c r="B3253">
        <v>10.7551556607691</v>
      </c>
    </row>
    <row r="3254" spans="1:2" x14ac:dyDescent="0.35">
      <c r="A3254">
        <v>0.225732952356339</v>
      </c>
      <c r="B3254">
        <v>10.734714305607699</v>
      </c>
    </row>
    <row r="3255" spans="1:2" x14ac:dyDescent="0.35">
      <c r="A3255">
        <v>0.22542184591293299</v>
      </c>
      <c r="B3255">
        <v>10.733907517783599</v>
      </c>
    </row>
    <row r="3256" spans="1:2" x14ac:dyDescent="0.35">
      <c r="A3256">
        <v>0.22491148114204401</v>
      </c>
      <c r="B3256">
        <v>10.742440636463501</v>
      </c>
    </row>
    <row r="3257" spans="1:2" x14ac:dyDescent="0.35">
      <c r="A3257">
        <v>0.224395096302032</v>
      </c>
      <c r="B3257">
        <v>10.7159653747887</v>
      </c>
    </row>
    <row r="3258" spans="1:2" x14ac:dyDescent="0.35">
      <c r="A3258">
        <v>0.22382062673568701</v>
      </c>
      <c r="B3258">
        <v>10.700588289632099</v>
      </c>
    </row>
    <row r="3259" spans="1:2" x14ac:dyDescent="0.35">
      <c r="A3259">
        <v>0.22337530553340901</v>
      </c>
      <c r="B3259">
        <v>10.6873984225437</v>
      </c>
    </row>
    <row r="3260" spans="1:2" x14ac:dyDescent="0.35">
      <c r="A3260">
        <v>0.22302828729152699</v>
      </c>
      <c r="B3260">
        <v>10.7027951260509</v>
      </c>
    </row>
    <row r="3261" spans="1:2" x14ac:dyDescent="0.35">
      <c r="A3261">
        <v>0.22248727083206199</v>
      </c>
      <c r="B3261">
        <v>10.6866009257801</v>
      </c>
    </row>
    <row r="3262" spans="1:2" x14ac:dyDescent="0.35">
      <c r="A3262">
        <v>0.22193259000778201</v>
      </c>
      <c r="B3262">
        <v>10.667571544393301</v>
      </c>
    </row>
    <row r="3263" spans="1:2" x14ac:dyDescent="0.35">
      <c r="A3263">
        <v>0.22152321040630299</v>
      </c>
      <c r="B3263">
        <v>10.6699887873766</v>
      </c>
    </row>
    <row r="3264" spans="1:2" x14ac:dyDescent="0.35">
      <c r="A3264">
        <v>0.220992267131805</v>
      </c>
      <c r="B3264">
        <v>10.669114926676601</v>
      </c>
    </row>
    <row r="3265" spans="1:2" x14ac:dyDescent="0.35">
      <c r="A3265">
        <v>0.220332816243172</v>
      </c>
      <c r="B3265">
        <v>10.622337875300699</v>
      </c>
    </row>
    <row r="3266" spans="1:2" x14ac:dyDescent="0.35">
      <c r="A3266">
        <v>0.21997854113578799</v>
      </c>
      <c r="B3266">
        <v>10.62357259052</v>
      </c>
    </row>
    <row r="3267" spans="1:2" x14ac:dyDescent="0.35">
      <c r="A3267">
        <v>0.219498410820961</v>
      </c>
      <c r="B3267">
        <v>10.6274527002896</v>
      </c>
    </row>
    <row r="3268" spans="1:2" x14ac:dyDescent="0.35">
      <c r="A3268">
        <v>0.21892394125461601</v>
      </c>
      <c r="B3268">
        <v>10.612223622992801</v>
      </c>
    </row>
    <row r="3269" spans="1:2" x14ac:dyDescent="0.35">
      <c r="A3269">
        <v>0.21842560172080999</v>
      </c>
      <c r="B3269">
        <v>10.607394314601301</v>
      </c>
    </row>
    <row r="3270" spans="1:2" x14ac:dyDescent="0.35">
      <c r="A3270">
        <v>0.21788492798805201</v>
      </c>
      <c r="B3270">
        <v>10.6125854550636</v>
      </c>
    </row>
    <row r="3271" spans="1:2" x14ac:dyDescent="0.35">
      <c r="A3271">
        <v>0.21745674312114699</v>
      </c>
      <c r="B3271">
        <v>10.585595369675</v>
      </c>
    </row>
    <row r="3272" spans="1:2" x14ac:dyDescent="0.35">
      <c r="A3272">
        <v>0.21696360409259799</v>
      </c>
      <c r="B3272">
        <v>10.5762000207301</v>
      </c>
    </row>
    <row r="3273" spans="1:2" x14ac:dyDescent="0.35">
      <c r="A3273">
        <v>0.21643120050430301</v>
      </c>
      <c r="B3273">
        <v>10.5663099932877</v>
      </c>
    </row>
    <row r="3274" spans="1:2" x14ac:dyDescent="0.35">
      <c r="A3274">
        <v>0.21597668528556799</v>
      </c>
      <c r="B3274">
        <v>10.581516318373</v>
      </c>
    </row>
    <row r="3275" spans="1:2" x14ac:dyDescent="0.35">
      <c r="A3275">
        <v>0.215490072965622</v>
      </c>
      <c r="B3275">
        <v>10.599928448182499</v>
      </c>
    </row>
    <row r="3276" spans="1:2" x14ac:dyDescent="0.35">
      <c r="A3276">
        <v>0.21490113437175801</v>
      </c>
      <c r="B3276">
        <v>10.5879011897478</v>
      </c>
    </row>
    <row r="3277" spans="1:2" x14ac:dyDescent="0.35">
      <c r="A3277">
        <v>0.214453175663948</v>
      </c>
      <c r="B3277">
        <v>10.562274384714801</v>
      </c>
    </row>
    <row r="3278" spans="1:2" x14ac:dyDescent="0.35">
      <c r="A3278">
        <v>0.21384799480438199</v>
      </c>
      <c r="B3278">
        <v>10.5730276291925</v>
      </c>
    </row>
    <row r="3279" spans="1:2" x14ac:dyDescent="0.35">
      <c r="A3279">
        <v>0.213268637657166</v>
      </c>
      <c r="B3279">
        <v>10.5527892151706</v>
      </c>
    </row>
    <row r="3280" spans="1:2" x14ac:dyDescent="0.35">
      <c r="A3280">
        <v>0.212932914495468</v>
      </c>
      <c r="B3280">
        <v>10.5702458585613</v>
      </c>
    </row>
    <row r="3281" spans="1:2" x14ac:dyDescent="0.35">
      <c r="A3281">
        <v>0.21241119503974901</v>
      </c>
      <c r="B3281">
        <v>10.5713915132786</v>
      </c>
    </row>
    <row r="3282" spans="1:2" x14ac:dyDescent="0.35">
      <c r="A3282">
        <v>0.21183554828167001</v>
      </c>
      <c r="B3282">
        <v>10.5323754691697</v>
      </c>
    </row>
    <row r="3283" spans="1:2" x14ac:dyDescent="0.35">
      <c r="A3283">
        <v>0.21130773425102201</v>
      </c>
      <c r="B3283">
        <v>10.5019283732681</v>
      </c>
    </row>
    <row r="3284" spans="1:2" x14ac:dyDescent="0.35">
      <c r="A3284">
        <v>0.21075122058391599</v>
      </c>
      <c r="B3284">
        <v>10.521056725574001</v>
      </c>
    </row>
    <row r="3285" spans="1:2" x14ac:dyDescent="0.35">
      <c r="A3285">
        <v>0.21024425327777899</v>
      </c>
      <c r="B3285">
        <v>10.50113956531</v>
      </c>
    </row>
    <row r="3286" spans="1:2" x14ac:dyDescent="0.35">
      <c r="A3286">
        <v>0.209994167089462</v>
      </c>
      <c r="B3286">
        <v>10.452556414149299</v>
      </c>
    </row>
    <row r="3287" spans="1:2" x14ac:dyDescent="0.35">
      <c r="A3287">
        <v>0.20922109484672499</v>
      </c>
      <c r="B3287">
        <v>10.4882811585796</v>
      </c>
    </row>
    <row r="3288" spans="1:2" x14ac:dyDescent="0.35">
      <c r="A3288">
        <v>0.20885443687439001</v>
      </c>
      <c r="B3288">
        <v>10.475952128953001</v>
      </c>
    </row>
    <row r="3289" spans="1:2" x14ac:dyDescent="0.35">
      <c r="A3289">
        <v>0.208271458745003</v>
      </c>
      <c r="B3289">
        <v>10.4712844366707</v>
      </c>
    </row>
    <row r="3290" spans="1:2" x14ac:dyDescent="0.35">
      <c r="A3290">
        <v>0.20791852474212599</v>
      </c>
      <c r="B3290">
        <v>10.4645355327677</v>
      </c>
    </row>
    <row r="3291" spans="1:2" x14ac:dyDescent="0.35">
      <c r="A3291">
        <v>0.20743690431118</v>
      </c>
      <c r="B3291">
        <v>10.466158509963</v>
      </c>
    </row>
    <row r="3292" spans="1:2" x14ac:dyDescent="0.35">
      <c r="A3292">
        <v>0.20702680945396401</v>
      </c>
      <c r="B3292">
        <v>10.4505619417425</v>
      </c>
    </row>
    <row r="3293" spans="1:2" x14ac:dyDescent="0.35">
      <c r="A3293">
        <v>0.20637892186641699</v>
      </c>
      <c r="B3293">
        <v>10.4443493044686</v>
      </c>
    </row>
    <row r="3294" spans="1:2" x14ac:dyDescent="0.35">
      <c r="A3294">
        <v>0.20591351389884899</v>
      </c>
      <c r="B3294">
        <v>10.450701149745701</v>
      </c>
    </row>
    <row r="3295" spans="1:2" x14ac:dyDescent="0.35">
      <c r="A3295">
        <v>0.205456927418709</v>
      </c>
      <c r="B3295">
        <v>10.442141683011499</v>
      </c>
    </row>
    <row r="3296" spans="1:2" x14ac:dyDescent="0.35">
      <c r="A3296">
        <v>0.20478908717632299</v>
      </c>
      <c r="B3296">
        <v>10.430925063472101</v>
      </c>
    </row>
    <row r="3297" spans="1:2" x14ac:dyDescent="0.35">
      <c r="A3297">
        <v>0.20440071821212799</v>
      </c>
      <c r="B3297">
        <v>10.438671044427201</v>
      </c>
    </row>
    <row r="3298" spans="1:2" x14ac:dyDescent="0.35">
      <c r="A3298">
        <v>0.20390368998050701</v>
      </c>
      <c r="B3298">
        <v>10.4190538108989</v>
      </c>
    </row>
    <row r="3299" spans="1:2" x14ac:dyDescent="0.35">
      <c r="A3299">
        <v>0.203428760170937</v>
      </c>
      <c r="B3299">
        <v>10.388315907568099</v>
      </c>
    </row>
    <row r="3300" spans="1:2" x14ac:dyDescent="0.35">
      <c r="A3300">
        <v>0.202949479222298</v>
      </c>
      <c r="B3300">
        <v>10.3901708349945</v>
      </c>
    </row>
    <row r="3301" spans="1:2" x14ac:dyDescent="0.35">
      <c r="A3301">
        <v>0.20235052704811099</v>
      </c>
      <c r="B3301">
        <v>10.404133070990399</v>
      </c>
    </row>
    <row r="3302" spans="1:2" x14ac:dyDescent="0.35">
      <c r="A3302">
        <v>0.20171886682510401</v>
      </c>
      <c r="B3302">
        <v>10.392404243677399</v>
      </c>
    </row>
    <row r="3303" spans="1:2" x14ac:dyDescent="0.35">
      <c r="A3303">
        <v>0.20143450796604201</v>
      </c>
      <c r="B3303">
        <v>10.419583213864099</v>
      </c>
    </row>
    <row r="3304" spans="1:2" x14ac:dyDescent="0.35">
      <c r="A3304">
        <v>0.200921386480331</v>
      </c>
      <c r="B3304">
        <v>10.414283432981099</v>
      </c>
    </row>
    <row r="3305" spans="1:2" x14ac:dyDescent="0.35">
      <c r="A3305">
        <v>0.20038716495037101</v>
      </c>
      <c r="B3305">
        <v>10.421740348446599</v>
      </c>
    </row>
    <row r="3306" spans="1:2" x14ac:dyDescent="0.35">
      <c r="A3306">
        <v>0.19993554055690799</v>
      </c>
      <c r="B3306">
        <v>10.416304685415</v>
      </c>
    </row>
    <row r="3307" spans="1:2" x14ac:dyDescent="0.35">
      <c r="A3307">
        <v>0.19941276311874401</v>
      </c>
      <c r="B3307">
        <v>10.421155605724399</v>
      </c>
    </row>
    <row r="3308" spans="1:2" x14ac:dyDescent="0.35">
      <c r="A3308">
        <v>0.19878645241260501</v>
      </c>
      <c r="B3308">
        <v>10.4299855006496</v>
      </c>
    </row>
    <row r="3309" spans="1:2" x14ac:dyDescent="0.35">
      <c r="A3309">
        <v>0.19848731160163899</v>
      </c>
      <c r="B3309">
        <v>10.433098382734499</v>
      </c>
    </row>
    <row r="3310" spans="1:2" x14ac:dyDescent="0.35">
      <c r="A3310">
        <v>0.198018744587898</v>
      </c>
      <c r="B3310">
        <v>10.433052435969399</v>
      </c>
    </row>
    <row r="3311" spans="1:2" x14ac:dyDescent="0.35">
      <c r="A3311">
        <v>0.19746658205986001</v>
      </c>
      <c r="B3311">
        <v>10.4432969663343</v>
      </c>
    </row>
    <row r="3312" spans="1:2" x14ac:dyDescent="0.35">
      <c r="A3312">
        <v>0.19713763892650599</v>
      </c>
      <c r="B3312">
        <v>10.4270438674644</v>
      </c>
    </row>
    <row r="3313" spans="1:2" x14ac:dyDescent="0.35">
      <c r="A3313">
        <v>0.19648034870624501</v>
      </c>
      <c r="B3313">
        <v>10.4441944248084</v>
      </c>
    </row>
    <row r="3314" spans="1:2" x14ac:dyDescent="0.35">
      <c r="A3314">
        <v>0.19604060053825401</v>
      </c>
      <c r="B3314">
        <v>10.4537173400765</v>
      </c>
    </row>
    <row r="3315" spans="1:2" x14ac:dyDescent="0.35">
      <c r="A3315">
        <v>0.19560886919498399</v>
      </c>
      <c r="B3315">
        <v>10.452507085724701</v>
      </c>
    </row>
    <row r="3316" spans="1:2" x14ac:dyDescent="0.35">
      <c r="A3316">
        <v>0.194984465837479</v>
      </c>
      <c r="B3316">
        <v>10.4497984262296</v>
      </c>
    </row>
    <row r="3317" spans="1:2" x14ac:dyDescent="0.35">
      <c r="A3317">
        <v>0.19462129473686199</v>
      </c>
      <c r="B3317">
        <v>10.408450331293199</v>
      </c>
    </row>
    <row r="3318" spans="1:2" x14ac:dyDescent="0.35">
      <c r="A3318">
        <v>0.19404111802578</v>
      </c>
      <c r="B3318">
        <v>10.4029802758039</v>
      </c>
    </row>
    <row r="3319" spans="1:2" x14ac:dyDescent="0.35">
      <c r="A3319">
        <v>0.19348460435867301</v>
      </c>
      <c r="B3319">
        <v>10.4152654478514</v>
      </c>
    </row>
    <row r="3320" spans="1:2" x14ac:dyDescent="0.35">
      <c r="A3320">
        <v>0.19285690784454301</v>
      </c>
      <c r="B3320">
        <v>10.4147666814081</v>
      </c>
    </row>
    <row r="3321" spans="1:2" x14ac:dyDescent="0.35">
      <c r="A3321">
        <v>0.192645713686943</v>
      </c>
      <c r="B3321">
        <v>10.4311779854464</v>
      </c>
    </row>
    <row r="3322" spans="1:2" x14ac:dyDescent="0.35">
      <c r="A3322">
        <v>0.19193142652511599</v>
      </c>
      <c r="B3322">
        <v>10.4412823145083</v>
      </c>
    </row>
    <row r="3323" spans="1:2" x14ac:dyDescent="0.35">
      <c r="A3323">
        <v>0.191449269652367</v>
      </c>
      <c r="B3323">
        <v>10.428843005301999</v>
      </c>
    </row>
    <row r="3324" spans="1:2" x14ac:dyDescent="0.35">
      <c r="A3324">
        <v>0.191024899482727</v>
      </c>
      <c r="B3324">
        <v>10.4408355566929</v>
      </c>
    </row>
    <row r="3325" spans="1:2" x14ac:dyDescent="0.35">
      <c r="A3325">
        <v>0.19041325151920299</v>
      </c>
      <c r="B3325">
        <v>10.432275189864599</v>
      </c>
    </row>
    <row r="3326" spans="1:2" x14ac:dyDescent="0.35">
      <c r="A3326">
        <v>0.18992701172828699</v>
      </c>
      <c r="B3326">
        <v>10.450377052672</v>
      </c>
    </row>
    <row r="3327" spans="1:2" x14ac:dyDescent="0.35">
      <c r="A3327">
        <v>0.18950261175632499</v>
      </c>
      <c r="B3327">
        <v>10.452733881602301</v>
      </c>
    </row>
    <row r="3328" spans="1:2" x14ac:dyDescent="0.35">
      <c r="A3328">
        <v>0.18895126879215199</v>
      </c>
      <c r="B3328">
        <v>10.4400406036213</v>
      </c>
    </row>
    <row r="3329" spans="1:2" x14ac:dyDescent="0.35">
      <c r="A3329">
        <v>0.188466936349869</v>
      </c>
      <c r="B3329">
        <v>10.4668622196527</v>
      </c>
    </row>
    <row r="3330" spans="1:2" x14ac:dyDescent="0.35">
      <c r="A3330">
        <v>0.18794837594032299</v>
      </c>
      <c r="B3330">
        <v>10.4677779709967</v>
      </c>
    </row>
    <row r="3331" spans="1:2" x14ac:dyDescent="0.35">
      <c r="A3331">
        <v>0.187528505921364</v>
      </c>
      <c r="B3331">
        <v>10.4244025003381</v>
      </c>
    </row>
    <row r="3332" spans="1:2" x14ac:dyDescent="0.35">
      <c r="A3332">
        <v>0.187015801668167</v>
      </c>
      <c r="B3332">
        <v>10.466722301200701</v>
      </c>
    </row>
    <row r="3333" spans="1:2" x14ac:dyDescent="0.35">
      <c r="A3333">
        <v>0.18646542727947199</v>
      </c>
      <c r="B3333">
        <v>10.4405656105296</v>
      </c>
    </row>
    <row r="3334" spans="1:2" x14ac:dyDescent="0.35">
      <c r="A3334">
        <v>0.18589895963668801</v>
      </c>
      <c r="B3334">
        <v>10.439177664660299</v>
      </c>
    </row>
    <row r="3335" spans="1:2" x14ac:dyDescent="0.35">
      <c r="A3335">
        <v>0.18545725941658001</v>
      </c>
      <c r="B3335">
        <v>10.437930937209901</v>
      </c>
    </row>
    <row r="3336" spans="1:2" x14ac:dyDescent="0.35">
      <c r="A3336">
        <v>0.184942051768303</v>
      </c>
      <c r="B3336">
        <v>10.447253338153301</v>
      </c>
    </row>
    <row r="3337" spans="1:2" x14ac:dyDescent="0.35">
      <c r="A3337">
        <v>0.18441154062748</v>
      </c>
      <c r="B3337">
        <v>10.428561640176801</v>
      </c>
    </row>
    <row r="3338" spans="1:2" x14ac:dyDescent="0.35">
      <c r="A3338">
        <v>0.18399198353290599</v>
      </c>
      <c r="B3338">
        <v>10.4402903647124</v>
      </c>
    </row>
    <row r="3339" spans="1:2" x14ac:dyDescent="0.35">
      <c r="A3339">
        <v>0.18330638110637701</v>
      </c>
      <c r="B3339">
        <v>10.4432662399158</v>
      </c>
    </row>
    <row r="3340" spans="1:2" x14ac:dyDescent="0.35">
      <c r="A3340">
        <v>0.18289995193481401</v>
      </c>
      <c r="B3340">
        <v>10.42912017267</v>
      </c>
    </row>
    <row r="3341" spans="1:2" x14ac:dyDescent="0.35">
      <c r="A3341">
        <v>0.18244537711143499</v>
      </c>
      <c r="B3341">
        <v>10.430320893166501</v>
      </c>
    </row>
    <row r="3342" spans="1:2" x14ac:dyDescent="0.35">
      <c r="A3342">
        <v>0.18183988332748399</v>
      </c>
      <c r="B3342">
        <v>10.415627162492299</v>
      </c>
    </row>
    <row r="3343" spans="1:2" x14ac:dyDescent="0.35">
      <c r="A3343">
        <v>0.18149186670780201</v>
      </c>
      <c r="B3343">
        <v>10.4416415661376</v>
      </c>
    </row>
    <row r="3344" spans="1:2" x14ac:dyDescent="0.35">
      <c r="A3344">
        <v>0.180916607379913</v>
      </c>
      <c r="B3344">
        <v>10.4467122829184</v>
      </c>
    </row>
    <row r="3345" spans="1:2" x14ac:dyDescent="0.35">
      <c r="A3345">
        <v>0.18037918210029599</v>
      </c>
      <c r="B3345">
        <v>10.4626175857536</v>
      </c>
    </row>
    <row r="3346" spans="1:2" x14ac:dyDescent="0.35">
      <c r="A3346">
        <v>0.17977461218833901</v>
      </c>
      <c r="B3346">
        <v>10.4444762240909</v>
      </c>
    </row>
    <row r="3347" spans="1:2" x14ac:dyDescent="0.35">
      <c r="A3347">
        <v>0.17939297854900399</v>
      </c>
      <c r="B3347">
        <v>10.430222873794801</v>
      </c>
    </row>
    <row r="3348" spans="1:2" x14ac:dyDescent="0.35">
      <c r="A3348">
        <v>0.17887572944164301</v>
      </c>
      <c r="B3348">
        <v>10.437850018889799</v>
      </c>
    </row>
    <row r="3349" spans="1:2" x14ac:dyDescent="0.35">
      <c r="A3349">
        <v>0.178459227085114</v>
      </c>
      <c r="B3349">
        <v>10.4505065876114</v>
      </c>
    </row>
    <row r="3350" spans="1:2" x14ac:dyDescent="0.35">
      <c r="A3350">
        <v>0.17785908281803101</v>
      </c>
      <c r="B3350">
        <v>10.4221517579488</v>
      </c>
    </row>
    <row r="3351" spans="1:2" x14ac:dyDescent="0.35">
      <c r="A3351">
        <v>0.177438199520111</v>
      </c>
      <c r="B3351">
        <v>10.4181163377344</v>
      </c>
    </row>
    <row r="3352" spans="1:2" x14ac:dyDescent="0.35">
      <c r="A3352">
        <v>0.17695046961307501</v>
      </c>
      <c r="B3352">
        <v>10.4490039728733</v>
      </c>
    </row>
    <row r="3353" spans="1:2" x14ac:dyDescent="0.35">
      <c r="A3353">
        <v>0.17643405497074099</v>
      </c>
      <c r="B3353">
        <v>10.443463401231099</v>
      </c>
    </row>
    <row r="3354" spans="1:2" x14ac:dyDescent="0.35">
      <c r="A3354">
        <v>0.17595072090625799</v>
      </c>
      <c r="B3354">
        <v>10.4371676919449</v>
      </c>
    </row>
    <row r="3355" spans="1:2" x14ac:dyDescent="0.35">
      <c r="A3355">
        <v>0.17537844181060799</v>
      </c>
      <c r="B3355">
        <v>10.417858544391599</v>
      </c>
    </row>
    <row r="3356" spans="1:2" x14ac:dyDescent="0.35">
      <c r="A3356">
        <v>0.174892768263817</v>
      </c>
      <c r="B3356">
        <v>10.233764428050099</v>
      </c>
    </row>
    <row r="3357" spans="1:2" x14ac:dyDescent="0.35">
      <c r="A3357">
        <v>0.17446234822273299</v>
      </c>
      <c r="B3357">
        <v>10.263486109064299</v>
      </c>
    </row>
    <row r="3358" spans="1:2" x14ac:dyDescent="0.35">
      <c r="A3358">
        <v>0.173974573612213</v>
      </c>
      <c r="B3358">
        <v>10.2711441853154</v>
      </c>
    </row>
    <row r="3359" spans="1:2" x14ac:dyDescent="0.35">
      <c r="A3359">
        <v>0.173488169908524</v>
      </c>
      <c r="B3359">
        <v>10.283991380966601</v>
      </c>
    </row>
    <row r="3360" spans="1:2" x14ac:dyDescent="0.35">
      <c r="A3360">
        <v>0.173001453280449</v>
      </c>
      <c r="B3360">
        <v>10.298221401699401</v>
      </c>
    </row>
    <row r="3361" spans="1:2" x14ac:dyDescent="0.35">
      <c r="A3361">
        <v>0.17245982587337499</v>
      </c>
      <c r="B3361">
        <v>10.3108419697709</v>
      </c>
    </row>
    <row r="3362" spans="1:2" x14ac:dyDescent="0.35">
      <c r="A3362">
        <v>0.17199759185314201</v>
      </c>
      <c r="B3362">
        <v>10.285878619453401</v>
      </c>
    </row>
    <row r="3363" spans="1:2" x14ac:dyDescent="0.35">
      <c r="A3363">
        <v>0.171274423599243</v>
      </c>
      <c r="B3363">
        <v>10.299491701238599</v>
      </c>
    </row>
    <row r="3364" spans="1:2" x14ac:dyDescent="0.35">
      <c r="A3364">
        <v>0.170811042189598</v>
      </c>
      <c r="B3364">
        <v>10.3021000492233</v>
      </c>
    </row>
    <row r="3365" spans="1:2" x14ac:dyDescent="0.35">
      <c r="A3365">
        <v>0.17037995159625999</v>
      </c>
      <c r="B3365">
        <v>10.292246798108501</v>
      </c>
    </row>
    <row r="3366" spans="1:2" x14ac:dyDescent="0.35">
      <c r="A3366">
        <v>0.169850558042526</v>
      </c>
      <c r="B3366">
        <v>10.305075568835001</v>
      </c>
    </row>
    <row r="3367" spans="1:2" x14ac:dyDescent="0.35">
      <c r="A3367">
        <v>0.16943404078483601</v>
      </c>
      <c r="B3367">
        <v>10.3159672059748</v>
      </c>
    </row>
    <row r="3368" spans="1:2" x14ac:dyDescent="0.35">
      <c r="A3368">
        <v>0.16874942183494601</v>
      </c>
      <c r="B3368">
        <v>10.324567071890201</v>
      </c>
    </row>
    <row r="3369" spans="1:2" x14ac:dyDescent="0.35">
      <c r="A3369">
        <v>0.16826920211315199</v>
      </c>
      <c r="B3369">
        <v>10.303680136155799</v>
      </c>
    </row>
    <row r="3370" spans="1:2" x14ac:dyDescent="0.35">
      <c r="A3370">
        <v>0.168020769953728</v>
      </c>
      <c r="B3370">
        <v>10.307250473739799</v>
      </c>
    </row>
    <row r="3371" spans="1:2" x14ac:dyDescent="0.35">
      <c r="A3371">
        <v>0.167583867907524</v>
      </c>
      <c r="B3371">
        <v>10.2912221260225</v>
      </c>
    </row>
    <row r="3372" spans="1:2" x14ac:dyDescent="0.35">
      <c r="A3372">
        <v>0.16671705245971699</v>
      </c>
      <c r="B3372">
        <v>10.319411188990401</v>
      </c>
    </row>
    <row r="3373" spans="1:2" x14ac:dyDescent="0.35">
      <c r="A3373">
        <v>0.16638407111167899</v>
      </c>
      <c r="B3373">
        <v>10.3063728250215</v>
      </c>
    </row>
    <row r="3374" spans="1:2" x14ac:dyDescent="0.35">
      <c r="A3374">
        <v>0.16573211550712599</v>
      </c>
      <c r="B3374">
        <v>10.266736819759601</v>
      </c>
    </row>
    <row r="3375" spans="1:2" x14ac:dyDescent="0.35">
      <c r="A3375">
        <v>0.16529886424541501</v>
      </c>
      <c r="B3375">
        <v>10.290700526989401</v>
      </c>
    </row>
    <row r="3376" spans="1:2" x14ac:dyDescent="0.35">
      <c r="A3376">
        <v>0.1649559289217</v>
      </c>
      <c r="B3376">
        <v>10.280129510739</v>
      </c>
    </row>
    <row r="3377" spans="1:2" x14ac:dyDescent="0.35">
      <c r="A3377">
        <v>0.164504334330559</v>
      </c>
      <c r="B3377">
        <v>10.2920864143424</v>
      </c>
    </row>
    <row r="3378" spans="1:2" x14ac:dyDescent="0.35">
      <c r="A3378">
        <v>0.163895964622498</v>
      </c>
      <c r="B3378">
        <v>10.272794845480201</v>
      </c>
    </row>
    <row r="3379" spans="1:2" x14ac:dyDescent="0.35">
      <c r="A3379">
        <v>0.16353231668472301</v>
      </c>
      <c r="B3379">
        <v>10.2617913014141</v>
      </c>
    </row>
    <row r="3380" spans="1:2" x14ac:dyDescent="0.35">
      <c r="A3380">
        <v>0.162937492132187</v>
      </c>
      <c r="B3380">
        <v>10.266557775746501</v>
      </c>
    </row>
    <row r="3381" spans="1:2" x14ac:dyDescent="0.35">
      <c r="A3381">
        <v>0.16234824061393699</v>
      </c>
      <c r="B3381">
        <v>10.2839112003828</v>
      </c>
    </row>
    <row r="3382" spans="1:2" x14ac:dyDescent="0.35">
      <c r="A3382">
        <v>0.161964431405067</v>
      </c>
      <c r="B3382">
        <v>10.2726648911234</v>
      </c>
    </row>
    <row r="3383" spans="1:2" x14ac:dyDescent="0.35">
      <c r="A3383">
        <v>0.16152317821979501</v>
      </c>
      <c r="B3383">
        <v>10.2570495138614</v>
      </c>
    </row>
    <row r="3384" spans="1:2" x14ac:dyDescent="0.35">
      <c r="A3384">
        <v>0.16091811656951899</v>
      </c>
      <c r="B3384">
        <v>10.2742832796919</v>
      </c>
    </row>
    <row r="3385" spans="1:2" x14ac:dyDescent="0.35">
      <c r="A3385">
        <v>0.160403937101364</v>
      </c>
      <c r="B3385">
        <v>10.2714421503326</v>
      </c>
    </row>
    <row r="3386" spans="1:2" x14ac:dyDescent="0.35">
      <c r="A3386">
        <v>0.15984311699867201</v>
      </c>
      <c r="B3386">
        <v>10.296476227117299</v>
      </c>
    </row>
    <row r="3387" spans="1:2" x14ac:dyDescent="0.35">
      <c r="A3387">
        <v>0.15937718749046301</v>
      </c>
      <c r="B3387">
        <v>10.2631174030137</v>
      </c>
    </row>
    <row r="3388" spans="1:2" x14ac:dyDescent="0.35">
      <c r="A3388">
        <v>0.15906484425067899</v>
      </c>
      <c r="B3388">
        <v>10.259384517130499</v>
      </c>
    </row>
    <row r="3389" spans="1:2" x14ac:dyDescent="0.35">
      <c r="A3389">
        <v>0.15836513042450001</v>
      </c>
      <c r="B3389">
        <v>10.279860639386801</v>
      </c>
    </row>
    <row r="3390" spans="1:2" x14ac:dyDescent="0.35">
      <c r="A3390">
        <v>0.15785525739192999</v>
      </c>
      <c r="B3390">
        <v>10.267649807617101</v>
      </c>
    </row>
    <row r="3391" spans="1:2" x14ac:dyDescent="0.35">
      <c r="A3391">
        <v>0.157400608062744</v>
      </c>
      <c r="B3391">
        <v>10.2980360279566</v>
      </c>
    </row>
    <row r="3392" spans="1:2" x14ac:dyDescent="0.35">
      <c r="A3392">
        <v>0.15673701465129899</v>
      </c>
      <c r="B3392">
        <v>10.265759308442099</v>
      </c>
    </row>
    <row r="3393" spans="1:2" x14ac:dyDescent="0.35">
      <c r="A3393">
        <v>0.156338825821877</v>
      </c>
      <c r="B3393">
        <v>10.2846459212657</v>
      </c>
    </row>
    <row r="3394" spans="1:2" x14ac:dyDescent="0.35">
      <c r="A3394">
        <v>0.15599559247493699</v>
      </c>
      <c r="B3394">
        <v>10.299410678351</v>
      </c>
    </row>
    <row r="3395" spans="1:2" x14ac:dyDescent="0.35">
      <c r="A3395">
        <v>0.15546365082263899</v>
      </c>
      <c r="B3395">
        <v>10.299523104089401</v>
      </c>
    </row>
    <row r="3396" spans="1:2" x14ac:dyDescent="0.35">
      <c r="A3396">
        <v>0.154887706041336</v>
      </c>
      <c r="B3396">
        <v>10.2834555633937</v>
      </c>
    </row>
    <row r="3397" spans="1:2" x14ac:dyDescent="0.35">
      <c r="A3397">
        <v>0.15454238653183</v>
      </c>
      <c r="B3397">
        <v>10.2978229648549</v>
      </c>
    </row>
    <row r="3398" spans="1:2" x14ac:dyDescent="0.35">
      <c r="A3398">
        <v>0.153753727674484</v>
      </c>
      <c r="B3398">
        <v>10.302242129430899</v>
      </c>
    </row>
    <row r="3399" spans="1:2" x14ac:dyDescent="0.35">
      <c r="A3399">
        <v>0.153409689664841</v>
      </c>
      <c r="B3399">
        <v>10.2955578568964</v>
      </c>
    </row>
    <row r="3400" spans="1:2" x14ac:dyDescent="0.35">
      <c r="A3400">
        <v>0.15294888615608199</v>
      </c>
      <c r="B3400">
        <v>10.2946277862334</v>
      </c>
    </row>
    <row r="3401" spans="1:2" x14ac:dyDescent="0.35">
      <c r="A3401">
        <v>0.15244534611701999</v>
      </c>
      <c r="B3401">
        <v>10.296471932121101</v>
      </c>
    </row>
    <row r="3402" spans="1:2" x14ac:dyDescent="0.35">
      <c r="A3402">
        <v>0.152014926075935</v>
      </c>
      <c r="B3402">
        <v>10.306843654463099</v>
      </c>
    </row>
    <row r="3403" spans="1:2" x14ac:dyDescent="0.35">
      <c r="A3403">
        <v>0.15144123136997201</v>
      </c>
      <c r="B3403">
        <v>10.296323073588299</v>
      </c>
    </row>
    <row r="3404" spans="1:2" x14ac:dyDescent="0.35">
      <c r="A3404">
        <v>0.150839313864708</v>
      </c>
      <c r="B3404">
        <v>10.298244542503101</v>
      </c>
    </row>
    <row r="3405" spans="1:2" x14ac:dyDescent="0.35">
      <c r="A3405">
        <v>0.15052616596221899</v>
      </c>
      <c r="B3405">
        <v>10.299416037166999</v>
      </c>
    </row>
    <row r="3406" spans="1:2" x14ac:dyDescent="0.35">
      <c r="A3406">
        <v>0.150165870785713</v>
      </c>
      <c r="B3406">
        <v>10.2890364489422</v>
      </c>
    </row>
    <row r="3407" spans="1:2" x14ac:dyDescent="0.35">
      <c r="A3407">
        <v>0.14946423470973999</v>
      </c>
      <c r="B3407">
        <v>10.308564685818199</v>
      </c>
    </row>
    <row r="3408" spans="1:2" x14ac:dyDescent="0.35">
      <c r="A3408">
        <v>0.14897325634956399</v>
      </c>
      <c r="B3408">
        <v>10.301774526912601</v>
      </c>
    </row>
    <row r="3409" spans="1:2" x14ac:dyDescent="0.35">
      <c r="A3409">
        <v>0.14849208295345301</v>
      </c>
      <c r="B3409">
        <v>10.2828847042001</v>
      </c>
    </row>
    <row r="3410" spans="1:2" x14ac:dyDescent="0.35">
      <c r="A3410">
        <v>0.14797799289226499</v>
      </c>
      <c r="B3410">
        <v>10.2637839261875</v>
      </c>
    </row>
    <row r="3411" spans="1:2" x14ac:dyDescent="0.35">
      <c r="A3411">
        <v>0.147345900535583</v>
      </c>
      <c r="B3411">
        <v>10.2792595750493</v>
      </c>
    </row>
    <row r="3412" spans="1:2" x14ac:dyDescent="0.35">
      <c r="A3412">
        <v>0.14695078134536699</v>
      </c>
      <c r="B3412">
        <v>10.2606072260894</v>
      </c>
    </row>
    <row r="3413" spans="1:2" x14ac:dyDescent="0.35">
      <c r="A3413">
        <v>0.146467044949532</v>
      </c>
      <c r="B3413">
        <v>10.2568122167966</v>
      </c>
    </row>
    <row r="3414" spans="1:2" x14ac:dyDescent="0.35">
      <c r="A3414">
        <v>0.145963490009308</v>
      </c>
      <c r="B3414">
        <v>10.247980834123799</v>
      </c>
    </row>
    <row r="3415" spans="1:2" x14ac:dyDescent="0.35">
      <c r="A3415">
        <v>0.14544104039669001</v>
      </c>
      <c r="B3415">
        <v>10.2358178293644</v>
      </c>
    </row>
    <row r="3416" spans="1:2" x14ac:dyDescent="0.35">
      <c r="A3416">
        <v>0.14487779140472401</v>
      </c>
      <c r="B3416">
        <v>10.239306460270299</v>
      </c>
    </row>
    <row r="3417" spans="1:2" x14ac:dyDescent="0.35">
      <c r="A3417">
        <v>0.14443255960941301</v>
      </c>
      <c r="B3417">
        <v>10.231163501459701</v>
      </c>
    </row>
    <row r="3418" spans="1:2" x14ac:dyDescent="0.35">
      <c r="A3418">
        <v>0.14381799101829501</v>
      </c>
      <c r="B3418">
        <v>10.2213378818695</v>
      </c>
    </row>
    <row r="3419" spans="1:2" x14ac:dyDescent="0.35">
      <c r="A3419">
        <v>0.14346678555011699</v>
      </c>
      <c r="B3419">
        <v>10.204276534799201</v>
      </c>
    </row>
    <row r="3420" spans="1:2" x14ac:dyDescent="0.35">
      <c r="A3420">
        <v>0.142915785312653</v>
      </c>
      <c r="B3420">
        <v>10.165181631125201</v>
      </c>
    </row>
    <row r="3421" spans="1:2" x14ac:dyDescent="0.35">
      <c r="A3421">
        <v>0.142334744334221</v>
      </c>
      <c r="B3421">
        <v>10.165316903806801</v>
      </c>
    </row>
    <row r="3422" spans="1:2" x14ac:dyDescent="0.35">
      <c r="A3422">
        <v>0.14176839590072601</v>
      </c>
      <c r="B3422">
        <v>10.1742747426295</v>
      </c>
    </row>
    <row r="3423" spans="1:2" x14ac:dyDescent="0.35">
      <c r="A3423">
        <v>0.14142788946628601</v>
      </c>
      <c r="B3423">
        <v>10.1672780491014</v>
      </c>
    </row>
    <row r="3424" spans="1:2" x14ac:dyDescent="0.35">
      <c r="A3424">
        <v>0.14097997546196001</v>
      </c>
      <c r="B3424">
        <v>10.1603773689432</v>
      </c>
    </row>
    <row r="3425" spans="1:2" x14ac:dyDescent="0.35">
      <c r="A3425">
        <v>0.14044648408889801</v>
      </c>
      <c r="B3425">
        <v>10.1543951996176</v>
      </c>
    </row>
    <row r="3426" spans="1:2" x14ac:dyDescent="0.35">
      <c r="A3426">
        <v>0.13991320133209201</v>
      </c>
      <c r="B3426">
        <v>10.129591142439001</v>
      </c>
    </row>
    <row r="3427" spans="1:2" x14ac:dyDescent="0.35">
      <c r="A3427">
        <v>0.13932400941848799</v>
      </c>
      <c r="B3427">
        <v>10.132724431645199</v>
      </c>
    </row>
    <row r="3428" spans="1:2" x14ac:dyDescent="0.35">
      <c r="A3428">
        <v>0.13887959718704199</v>
      </c>
      <c r="B3428">
        <v>10.1310071966585</v>
      </c>
    </row>
    <row r="3429" spans="1:2" x14ac:dyDescent="0.35">
      <c r="A3429">
        <v>0.138385429978371</v>
      </c>
      <c r="B3429">
        <v>10.102793558621901</v>
      </c>
    </row>
    <row r="3430" spans="1:2" x14ac:dyDescent="0.35">
      <c r="A3430">
        <v>0.137961745262146</v>
      </c>
      <c r="B3430">
        <v>10.1204331842948</v>
      </c>
    </row>
    <row r="3431" spans="1:2" x14ac:dyDescent="0.35">
      <c r="A3431">
        <v>0.13745921850204501</v>
      </c>
      <c r="B3431">
        <v>10.088567123485699</v>
      </c>
    </row>
    <row r="3432" spans="1:2" x14ac:dyDescent="0.35">
      <c r="A3432">
        <v>0.13700120151042899</v>
      </c>
      <c r="B3432">
        <v>10.0803684192747</v>
      </c>
    </row>
    <row r="3433" spans="1:2" x14ac:dyDescent="0.35">
      <c r="A3433">
        <v>0.13645738363266</v>
      </c>
      <c r="B3433">
        <v>10.0798435430409</v>
      </c>
    </row>
    <row r="3434" spans="1:2" x14ac:dyDescent="0.35">
      <c r="A3434">
        <v>0.13591866195201899</v>
      </c>
      <c r="B3434">
        <v>10.066348466774899</v>
      </c>
    </row>
    <row r="3435" spans="1:2" x14ac:dyDescent="0.35">
      <c r="A3435">
        <v>0.135523021221161</v>
      </c>
      <c r="B3435">
        <v>10.0577435615059</v>
      </c>
    </row>
    <row r="3436" spans="1:2" x14ac:dyDescent="0.35">
      <c r="A3436">
        <v>0.13504183292388899</v>
      </c>
      <c r="B3436">
        <v>10.040750228164899</v>
      </c>
    </row>
    <row r="3437" spans="1:2" x14ac:dyDescent="0.35">
      <c r="A3437">
        <v>0.13455219566822099</v>
      </c>
      <c r="B3437">
        <v>10.003095117719299</v>
      </c>
    </row>
    <row r="3438" spans="1:2" x14ac:dyDescent="0.35">
      <c r="A3438">
        <v>0.133925661444664</v>
      </c>
      <c r="B3438">
        <v>10.0051745680826</v>
      </c>
    </row>
    <row r="3439" spans="1:2" x14ac:dyDescent="0.35">
      <c r="A3439">
        <v>0.133428454399109</v>
      </c>
      <c r="B3439">
        <v>10.0050716271419</v>
      </c>
    </row>
    <row r="3440" spans="1:2" x14ac:dyDescent="0.35">
      <c r="A3440">
        <v>0.132985308766365</v>
      </c>
      <c r="B3440">
        <v>10.0216791286022</v>
      </c>
    </row>
    <row r="3441" spans="1:2" x14ac:dyDescent="0.35">
      <c r="A3441">
        <v>0.13242250680923501</v>
      </c>
      <c r="B3441">
        <v>10.0067259868908</v>
      </c>
    </row>
    <row r="3442" spans="1:2" x14ac:dyDescent="0.35">
      <c r="A3442">
        <v>0.13200885057449299</v>
      </c>
      <c r="B3442">
        <v>9.9973595853453805</v>
      </c>
    </row>
    <row r="3443" spans="1:2" x14ac:dyDescent="0.35">
      <c r="A3443">
        <v>0.13145764172077201</v>
      </c>
      <c r="B3443">
        <v>9.9937194900466704</v>
      </c>
    </row>
    <row r="3444" spans="1:2" x14ac:dyDescent="0.35">
      <c r="A3444">
        <v>0.130912750959396</v>
      </c>
      <c r="B3444">
        <v>9.9569847590113998</v>
      </c>
    </row>
    <row r="3445" spans="1:2" x14ac:dyDescent="0.35">
      <c r="A3445">
        <v>0.130448088049889</v>
      </c>
      <c r="B3445">
        <v>9.9557043827302802</v>
      </c>
    </row>
    <row r="3446" spans="1:2" x14ac:dyDescent="0.35">
      <c r="A3446">
        <v>0.12972718477249101</v>
      </c>
      <c r="B3446">
        <v>9.9447015029303003</v>
      </c>
    </row>
    <row r="3447" spans="1:2" x14ac:dyDescent="0.35">
      <c r="A3447">
        <v>0.12935757637023901</v>
      </c>
      <c r="B3447">
        <v>9.9196498040742505</v>
      </c>
    </row>
    <row r="3448" spans="1:2" x14ac:dyDescent="0.35">
      <c r="A3448">
        <v>0.12904262542724601</v>
      </c>
      <c r="B3448">
        <v>9.9182277081038102</v>
      </c>
    </row>
    <row r="3449" spans="1:2" x14ac:dyDescent="0.35">
      <c r="A3449">
        <v>0.12832897901535001</v>
      </c>
      <c r="B3449">
        <v>9.9135038655867191</v>
      </c>
    </row>
    <row r="3450" spans="1:2" x14ac:dyDescent="0.35">
      <c r="A3450">
        <v>0.12778651714325001</v>
      </c>
      <c r="B3450">
        <v>9.8931697602268205</v>
      </c>
    </row>
    <row r="3451" spans="1:2" x14ac:dyDescent="0.35">
      <c r="A3451">
        <v>0.12750631570816001</v>
      </c>
      <c r="B3451">
        <v>9.8936902963783009</v>
      </c>
    </row>
    <row r="3452" spans="1:2" x14ac:dyDescent="0.35">
      <c r="A3452">
        <v>0.12686698138713801</v>
      </c>
      <c r="B3452">
        <v>9.8760424455096896</v>
      </c>
    </row>
    <row r="3453" spans="1:2" x14ac:dyDescent="0.35">
      <c r="A3453">
        <v>0.12625989317894001</v>
      </c>
      <c r="B3453">
        <v>9.8718200133627505</v>
      </c>
    </row>
    <row r="3454" spans="1:2" x14ac:dyDescent="0.35">
      <c r="A3454">
        <v>0.12600098550319699</v>
      </c>
      <c r="B3454">
        <v>9.8532161936713791</v>
      </c>
    </row>
    <row r="3455" spans="1:2" x14ac:dyDescent="0.35">
      <c r="A3455">
        <v>0.12560868263244601</v>
      </c>
      <c r="B3455">
        <v>9.8424829720712594</v>
      </c>
    </row>
    <row r="3456" spans="1:2" x14ac:dyDescent="0.35">
      <c r="A3456">
        <v>0.124730207026005</v>
      </c>
      <c r="B3456">
        <v>9.8484561955371195</v>
      </c>
    </row>
    <row r="3457" spans="1:2" x14ac:dyDescent="0.35">
      <c r="A3457">
        <v>0.124448865652084</v>
      </c>
      <c r="B3457">
        <v>9.8338551253391593</v>
      </c>
    </row>
    <row r="3458" spans="1:2" x14ac:dyDescent="0.35">
      <c r="A3458">
        <v>0.123776979744434</v>
      </c>
      <c r="B3458">
        <v>9.8286555326170895</v>
      </c>
    </row>
    <row r="3459" spans="1:2" x14ac:dyDescent="0.35">
      <c r="A3459">
        <v>0.123560726642609</v>
      </c>
      <c r="B3459">
        <v>9.8367107658879203</v>
      </c>
    </row>
    <row r="3460" spans="1:2" x14ac:dyDescent="0.35">
      <c r="A3460">
        <v>0.123032674193382</v>
      </c>
      <c r="B3460">
        <v>9.8426559372257696</v>
      </c>
    </row>
    <row r="3461" spans="1:2" x14ac:dyDescent="0.35">
      <c r="A3461">
        <v>0.122619181871414</v>
      </c>
      <c r="B3461">
        <v>9.7720050520028394</v>
      </c>
    </row>
    <row r="3462" spans="1:2" x14ac:dyDescent="0.35">
      <c r="A3462">
        <v>0.12204866111278501</v>
      </c>
      <c r="B3462">
        <v>9.7944104398104308</v>
      </c>
    </row>
    <row r="3463" spans="1:2" x14ac:dyDescent="0.35">
      <c r="A3463">
        <v>0.121515385806561</v>
      </c>
      <c r="B3463">
        <v>9.7687143596096604</v>
      </c>
    </row>
    <row r="3464" spans="1:2" x14ac:dyDescent="0.35">
      <c r="A3464">
        <v>0.12089004367590001</v>
      </c>
      <c r="B3464">
        <v>9.7640970945174406</v>
      </c>
    </row>
    <row r="3465" spans="1:2" x14ac:dyDescent="0.35">
      <c r="A3465">
        <v>0.120443865656853</v>
      </c>
      <c r="B3465">
        <v>9.7627094490273905</v>
      </c>
    </row>
    <row r="3466" spans="1:2" x14ac:dyDescent="0.35">
      <c r="A3466">
        <v>0.120028123259544</v>
      </c>
      <c r="B3466">
        <v>9.7473177594939902</v>
      </c>
    </row>
    <row r="3467" spans="1:2" x14ac:dyDescent="0.35">
      <c r="A3467">
        <v>0.119456931948662</v>
      </c>
      <c r="B3467">
        <v>9.7360744249145892</v>
      </c>
    </row>
    <row r="3468" spans="1:2" x14ac:dyDescent="0.35">
      <c r="A3468">
        <v>0.11894778162241</v>
      </c>
      <c r="B3468">
        <v>9.7267674781539402</v>
      </c>
    </row>
    <row r="3469" spans="1:2" x14ac:dyDescent="0.35">
      <c r="A3469">
        <v>0.118539698421955</v>
      </c>
      <c r="B3469">
        <v>9.7346694458928607</v>
      </c>
    </row>
    <row r="3470" spans="1:2" x14ac:dyDescent="0.35">
      <c r="A3470">
        <v>0.117938652634621</v>
      </c>
      <c r="B3470">
        <v>9.7152991241258899</v>
      </c>
    </row>
    <row r="3471" spans="1:2" x14ac:dyDescent="0.35">
      <c r="A3471">
        <v>0.117457322776318</v>
      </c>
      <c r="B3471">
        <v>9.6906151254865804</v>
      </c>
    </row>
    <row r="3472" spans="1:2" x14ac:dyDescent="0.35">
      <c r="A3472">
        <v>0.116992831230164</v>
      </c>
      <c r="B3472">
        <v>9.7028199262319905</v>
      </c>
    </row>
    <row r="3473" spans="1:2" x14ac:dyDescent="0.35">
      <c r="A3473">
        <v>0.11634536832571001</v>
      </c>
      <c r="B3473">
        <v>9.6967043962647903</v>
      </c>
    </row>
    <row r="3474" spans="1:2" x14ac:dyDescent="0.35">
      <c r="A3474">
        <v>0.115928523242474</v>
      </c>
      <c r="B3474">
        <v>9.6755322250423905</v>
      </c>
    </row>
    <row r="3475" spans="1:2" x14ac:dyDescent="0.35">
      <c r="A3475">
        <v>0.115474782884121</v>
      </c>
      <c r="B3475">
        <v>9.6727422889118397</v>
      </c>
    </row>
    <row r="3476" spans="1:2" x14ac:dyDescent="0.35">
      <c r="A3476">
        <v>0.114882454276085</v>
      </c>
      <c r="B3476">
        <v>9.6564372732129193</v>
      </c>
    </row>
    <row r="3477" spans="1:2" x14ac:dyDescent="0.35">
      <c r="A3477">
        <v>0.11436929553747199</v>
      </c>
      <c r="B3477">
        <v>9.6882123977536203</v>
      </c>
    </row>
    <row r="3478" spans="1:2" x14ac:dyDescent="0.35">
      <c r="A3478">
        <v>0.11409010738134399</v>
      </c>
      <c r="B3478">
        <v>9.6771088425369207</v>
      </c>
    </row>
    <row r="3479" spans="1:2" x14ac:dyDescent="0.35">
      <c r="A3479">
        <v>0.113513559103012</v>
      </c>
      <c r="B3479">
        <v>9.65334776920038</v>
      </c>
    </row>
    <row r="3480" spans="1:2" x14ac:dyDescent="0.35">
      <c r="A3480">
        <v>0.113020837306976</v>
      </c>
      <c r="B3480">
        <v>9.6355292772478904</v>
      </c>
    </row>
    <row r="3481" spans="1:2" x14ac:dyDescent="0.35">
      <c r="A3481">
        <v>0.112454488873482</v>
      </c>
      <c r="B3481">
        <v>9.6215223092306701</v>
      </c>
    </row>
    <row r="3482" spans="1:2" x14ac:dyDescent="0.35">
      <c r="A3482">
        <v>0.11196057498455</v>
      </c>
      <c r="B3482">
        <v>9.6153907215685592</v>
      </c>
    </row>
    <row r="3483" spans="1:2" x14ac:dyDescent="0.35">
      <c r="A3483">
        <v>0.111394643783569</v>
      </c>
      <c r="B3483">
        <v>9.5940305973216393</v>
      </c>
    </row>
    <row r="3484" spans="1:2" x14ac:dyDescent="0.35">
      <c r="A3484">
        <v>0.111176989972591</v>
      </c>
      <c r="B3484">
        <v>9.5962986395222298</v>
      </c>
    </row>
    <row r="3485" spans="1:2" x14ac:dyDescent="0.35">
      <c r="A3485">
        <v>0.11050151288509399</v>
      </c>
      <c r="B3485">
        <v>9.5989343429332195</v>
      </c>
    </row>
    <row r="3486" spans="1:2" x14ac:dyDescent="0.35">
      <c r="A3486">
        <v>0.110136099159718</v>
      </c>
      <c r="B3486">
        <v>9.6029491135612304</v>
      </c>
    </row>
    <row r="3487" spans="1:2" x14ac:dyDescent="0.35">
      <c r="A3487">
        <v>0.109583668410778</v>
      </c>
      <c r="B3487">
        <v>9.5443882441434305</v>
      </c>
    </row>
    <row r="3488" spans="1:2" x14ac:dyDescent="0.35">
      <c r="A3488">
        <v>0.10899306088686</v>
      </c>
      <c r="B3488">
        <v>9.5166585150657994</v>
      </c>
    </row>
    <row r="3489" spans="1:2" x14ac:dyDescent="0.35">
      <c r="A3489">
        <v>0.108449526131153</v>
      </c>
      <c r="B3489">
        <v>9.5328704421187407</v>
      </c>
    </row>
    <row r="3490" spans="1:2" x14ac:dyDescent="0.35">
      <c r="A3490">
        <v>0.108057148754597</v>
      </c>
      <c r="B3490">
        <v>9.5451354484570903</v>
      </c>
    </row>
    <row r="3491" spans="1:2" x14ac:dyDescent="0.35">
      <c r="A3491">
        <v>0.10751843452453599</v>
      </c>
      <c r="B3491">
        <v>9.5254283971545899</v>
      </c>
    </row>
    <row r="3492" spans="1:2" x14ac:dyDescent="0.35">
      <c r="A3492">
        <v>0.10698541253805199</v>
      </c>
      <c r="B3492">
        <v>9.4917453351015908</v>
      </c>
    </row>
    <row r="3493" spans="1:2" x14ac:dyDescent="0.35">
      <c r="A3493">
        <v>0.106523066759109</v>
      </c>
      <c r="B3493">
        <v>9.48856941601953</v>
      </c>
    </row>
    <row r="3494" spans="1:2" x14ac:dyDescent="0.35">
      <c r="A3494">
        <v>0.106061734259129</v>
      </c>
      <c r="B3494">
        <v>9.4842787130394495</v>
      </c>
    </row>
    <row r="3495" spans="1:2" x14ac:dyDescent="0.35">
      <c r="A3495">
        <v>0.10563366860151301</v>
      </c>
      <c r="B3495">
        <v>9.48010995874656</v>
      </c>
    </row>
    <row r="3496" spans="1:2" x14ac:dyDescent="0.35">
      <c r="A3496">
        <v>0.104917965829372</v>
      </c>
      <c r="B3496">
        <v>9.4552790570476901</v>
      </c>
    </row>
    <row r="3497" spans="1:2" x14ac:dyDescent="0.35">
      <c r="A3497">
        <v>0.1044737175107</v>
      </c>
      <c r="B3497">
        <v>9.4516513707578103</v>
      </c>
    </row>
    <row r="3498" spans="1:2" x14ac:dyDescent="0.35">
      <c r="A3498">
        <v>0.104122914373875</v>
      </c>
      <c r="B3498">
        <v>9.4690462527463506</v>
      </c>
    </row>
    <row r="3499" spans="1:2" x14ac:dyDescent="0.35">
      <c r="A3499">
        <v>0.103566184639931</v>
      </c>
      <c r="B3499">
        <v>9.4361142260607291</v>
      </c>
    </row>
    <row r="3500" spans="1:2" x14ac:dyDescent="0.35">
      <c r="A3500">
        <v>0.103024527430534</v>
      </c>
      <c r="B3500">
        <v>9.4303558339861908</v>
      </c>
    </row>
    <row r="3501" spans="1:2" x14ac:dyDescent="0.35">
      <c r="A3501">
        <v>0.102503970265388</v>
      </c>
      <c r="B3501">
        <v>9.3934048427840597</v>
      </c>
    </row>
    <row r="3502" spans="1:2" x14ac:dyDescent="0.35">
      <c r="A3502">
        <v>0.10210732370615</v>
      </c>
      <c r="B3502">
        <v>9.4166600444774193</v>
      </c>
    </row>
    <row r="3503" spans="1:2" x14ac:dyDescent="0.35">
      <c r="A3503">
        <v>0.101561427116394</v>
      </c>
      <c r="B3503">
        <v>9.3643763944065306</v>
      </c>
    </row>
    <row r="3504" spans="1:2" x14ac:dyDescent="0.35">
      <c r="A3504">
        <v>0.101014621555805</v>
      </c>
      <c r="B3504">
        <v>9.3875059458741408</v>
      </c>
    </row>
    <row r="3505" spans="1:2" x14ac:dyDescent="0.35">
      <c r="A3505">
        <v>0.10062324255704901</v>
      </c>
      <c r="B3505">
        <v>9.3730594298091994</v>
      </c>
    </row>
    <row r="3506" spans="1:2" x14ac:dyDescent="0.35">
      <c r="A3506">
        <v>0.100094117224216</v>
      </c>
      <c r="B3506">
        <v>9.3585721704337193</v>
      </c>
    </row>
    <row r="3507" spans="1:2" x14ac:dyDescent="0.35">
      <c r="A3507">
        <v>9.9469058215617995E-2</v>
      </c>
      <c r="B3507">
        <v>9.3315970654044307</v>
      </c>
    </row>
    <row r="3508" spans="1:2" x14ac:dyDescent="0.35">
      <c r="A3508">
        <v>9.8786145448684998E-2</v>
      </c>
      <c r="B3508">
        <v>9.3497857372135105</v>
      </c>
    </row>
    <row r="3509" spans="1:2" x14ac:dyDescent="0.35">
      <c r="A3509">
        <v>9.8615281283854994E-2</v>
      </c>
      <c r="B3509">
        <v>9.3411905569682805</v>
      </c>
    </row>
    <row r="3510" spans="1:2" x14ac:dyDescent="0.35">
      <c r="A3510">
        <v>9.8002783954143996E-2</v>
      </c>
      <c r="B3510">
        <v>9.3507175724718792</v>
      </c>
    </row>
    <row r="3511" spans="1:2" x14ac:dyDescent="0.35">
      <c r="A3511">
        <v>9.7525425255299003E-2</v>
      </c>
      <c r="B3511">
        <v>9.3348663074978298</v>
      </c>
    </row>
    <row r="3512" spans="1:2" x14ac:dyDescent="0.35">
      <c r="A3512">
        <v>9.7004786133765994E-2</v>
      </c>
      <c r="B3512">
        <v>9.3046068057559594</v>
      </c>
    </row>
    <row r="3513" spans="1:2" x14ac:dyDescent="0.35">
      <c r="A3513">
        <v>9.6444256603717998E-2</v>
      </c>
      <c r="B3513">
        <v>9.2837208640518298</v>
      </c>
    </row>
    <row r="3514" spans="1:2" x14ac:dyDescent="0.35">
      <c r="A3514">
        <v>9.5936849713326E-2</v>
      </c>
      <c r="B3514">
        <v>9.2982239892817393</v>
      </c>
    </row>
    <row r="3515" spans="1:2" x14ac:dyDescent="0.35">
      <c r="A3515">
        <v>9.5421120524406003E-2</v>
      </c>
      <c r="B3515">
        <v>9.2660919123185703</v>
      </c>
    </row>
    <row r="3516" spans="1:2" x14ac:dyDescent="0.35">
      <c r="A3516">
        <v>9.4866760075091996E-2</v>
      </c>
      <c r="B3516">
        <v>9.2719644800222802</v>
      </c>
    </row>
    <row r="3517" spans="1:2" x14ac:dyDescent="0.35">
      <c r="A3517">
        <v>9.4422847032546997E-2</v>
      </c>
      <c r="B3517">
        <v>9.2497688215140705</v>
      </c>
    </row>
    <row r="3518" spans="1:2" x14ac:dyDescent="0.35">
      <c r="A3518">
        <v>9.409261494875E-2</v>
      </c>
      <c r="B3518">
        <v>9.2146977882426295</v>
      </c>
    </row>
    <row r="3519" spans="1:2" x14ac:dyDescent="0.35">
      <c r="A3519">
        <v>9.3424916267395006E-2</v>
      </c>
      <c r="B3519">
        <v>9.2247178690783702</v>
      </c>
    </row>
    <row r="3520" spans="1:2" x14ac:dyDescent="0.35">
      <c r="A3520">
        <v>9.2986240983009005E-2</v>
      </c>
      <c r="B3520">
        <v>9.2322797915063806</v>
      </c>
    </row>
    <row r="3521" spans="1:2" x14ac:dyDescent="0.35">
      <c r="A3521">
        <v>9.2521637678146001E-2</v>
      </c>
      <c r="B3521">
        <v>9.21623948402328</v>
      </c>
    </row>
    <row r="3522" spans="1:2" x14ac:dyDescent="0.35">
      <c r="A3522">
        <v>9.2020101845264005E-2</v>
      </c>
      <c r="B3522">
        <v>9.1946005533906892</v>
      </c>
    </row>
    <row r="3523" spans="1:2" x14ac:dyDescent="0.35">
      <c r="A3523">
        <v>9.1456405818461997E-2</v>
      </c>
      <c r="B3523">
        <v>9.1915274842240802</v>
      </c>
    </row>
    <row r="3524" spans="1:2" x14ac:dyDescent="0.35">
      <c r="A3524">
        <v>9.0994998812675004E-2</v>
      </c>
      <c r="B3524">
        <v>9.1744021498071007</v>
      </c>
    </row>
    <row r="3525" spans="1:2" x14ac:dyDescent="0.35">
      <c r="A3525">
        <v>9.0435318648815002E-2</v>
      </c>
      <c r="B3525">
        <v>9.1770934874682997</v>
      </c>
    </row>
    <row r="3526" spans="1:2" x14ac:dyDescent="0.35">
      <c r="A3526">
        <v>8.9961484074593007E-2</v>
      </c>
      <c r="B3526">
        <v>9.1597292601265003</v>
      </c>
    </row>
    <row r="3527" spans="1:2" x14ac:dyDescent="0.35">
      <c r="A3527">
        <v>8.9584015309810999E-2</v>
      </c>
      <c r="B3527">
        <v>9.15190295934568</v>
      </c>
    </row>
    <row r="3528" spans="1:2" x14ac:dyDescent="0.35">
      <c r="A3528">
        <v>8.8978618383407995E-2</v>
      </c>
      <c r="B3528">
        <v>9.1431162988003205</v>
      </c>
    </row>
    <row r="3529" spans="1:2" x14ac:dyDescent="0.35">
      <c r="A3529">
        <v>8.8539682328701005E-2</v>
      </c>
      <c r="B3529">
        <v>9.1247088235509501</v>
      </c>
    </row>
    <row r="3530" spans="1:2" x14ac:dyDescent="0.35">
      <c r="A3530">
        <v>8.8035084307194006E-2</v>
      </c>
      <c r="B3530">
        <v>9.1327797998320808</v>
      </c>
    </row>
    <row r="3531" spans="1:2" x14ac:dyDescent="0.35">
      <c r="A3531">
        <v>8.7440498173237E-2</v>
      </c>
      <c r="B3531">
        <v>9.1219381365917993</v>
      </c>
    </row>
    <row r="3532" spans="1:2" x14ac:dyDescent="0.35">
      <c r="A3532">
        <v>8.6894519627094005E-2</v>
      </c>
      <c r="B3532">
        <v>9.1252495456075806</v>
      </c>
    </row>
    <row r="3533" spans="1:2" x14ac:dyDescent="0.35">
      <c r="A3533">
        <v>8.6399279534817006E-2</v>
      </c>
      <c r="B3533">
        <v>9.1066873457837492</v>
      </c>
    </row>
    <row r="3534" spans="1:2" x14ac:dyDescent="0.35">
      <c r="A3534">
        <v>8.5919179022311998E-2</v>
      </c>
      <c r="B3534">
        <v>9.0890728623443895</v>
      </c>
    </row>
    <row r="3535" spans="1:2" x14ac:dyDescent="0.35">
      <c r="A3535">
        <v>8.5503160953522006E-2</v>
      </c>
      <c r="B3535">
        <v>9.0922598710852203</v>
      </c>
    </row>
    <row r="3536" spans="1:2" x14ac:dyDescent="0.35">
      <c r="A3536">
        <v>8.4862977266312006E-2</v>
      </c>
      <c r="B3536">
        <v>9.0608204835808799</v>
      </c>
    </row>
    <row r="3537" spans="1:2" x14ac:dyDescent="0.35">
      <c r="A3537">
        <v>8.4314092993736003E-2</v>
      </c>
      <c r="B3537">
        <v>9.05932396677062</v>
      </c>
    </row>
    <row r="3538" spans="1:2" x14ac:dyDescent="0.35">
      <c r="A3538">
        <v>8.4013104438782002E-2</v>
      </c>
      <c r="B3538">
        <v>9.0494177180295203</v>
      </c>
    </row>
    <row r="3539" spans="1:2" x14ac:dyDescent="0.35">
      <c r="A3539">
        <v>8.3719111979007999E-2</v>
      </c>
      <c r="B3539">
        <v>9.0356593906948994</v>
      </c>
    </row>
    <row r="3540" spans="1:2" x14ac:dyDescent="0.35">
      <c r="A3540">
        <v>8.2796983420848999E-2</v>
      </c>
      <c r="B3540">
        <v>9.0411636655646692</v>
      </c>
    </row>
    <row r="3541" spans="1:2" x14ac:dyDescent="0.35">
      <c r="A3541">
        <v>8.2591027021407998E-2</v>
      </c>
      <c r="B3541">
        <v>9.0130072149486598</v>
      </c>
    </row>
    <row r="3542" spans="1:2" x14ac:dyDescent="0.35">
      <c r="A3542">
        <v>8.1929713487624997E-2</v>
      </c>
      <c r="B3542">
        <v>9.0203014083071391</v>
      </c>
    </row>
    <row r="3543" spans="1:2" x14ac:dyDescent="0.35">
      <c r="A3543">
        <v>8.1521607935428994E-2</v>
      </c>
      <c r="B3543">
        <v>9.0167030971838198</v>
      </c>
    </row>
    <row r="3544" spans="1:2" x14ac:dyDescent="0.35">
      <c r="A3544">
        <v>8.0959662795067E-2</v>
      </c>
      <c r="B3544">
        <v>9.0099703067885102</v>
      </c>
    </row>
    <row r="3545" spans="1:2" x14ac:dyDescent="0.35">
      <c r="A3545">
        <v>8.0581225454807004E-2</v>
      </c>
      <c r="B3545">
        <v>8.9645682810527791</v>
      </c>
    </row>
    <row r="3546" spans="1:2" x14ac:dyDescent="0.35">
      <c r="A3546">
        <v>8.0105081200600003E-2</v>
      </c>
      <c r="B3546">
        <v>8.9607719848318705</v>
      </c>
    </row>
    <row r="3547" spans="1:2" x14ac:dyDescent="0.35">
      <c r="A3547">
        <v>7.9639986157417006E-2</v>
      </c>
      <c r="B3547">
        <v>8.9676586102156097</v>
      </c>
    </row>
    <row r="3548" spans="1:2" x14ac:dyDescent="0.35">
      <c r="A3548">
        <v>7.9002737998962E-2</v>
      </c>
      <c r="B3548">
        <v>8.9497507847130109</v>
      </c>
    </row>
    <row r="3549" spans="1:2" x14ac:dyDescent="0.35">
      <c r="A3549">
        <v>7.8550003468990007E-2</v>
      </c>
      <c r="B3549">
        <v>8.9168989174813493</v>
      </c>
    </row>
    <row r="3550" spans="1:2" x14ac:dyDescent="0.35">
      <c r="A3550">
        <v>7.8042231500148995E-2</v>
      </c>
      <c r="B3550">
        <v>8.9248408026788102</v>
      </c>
    </row>
    <row r="3551" spans="1:2" x14ac:dyDescent="0.35">
      <c r="A3551">
        <v>7.7559806406497997E-2</v>
      </c>
      <c r="B3551">
        <v>8.9306388556399092</v>
      </c>
    </row>
    <row r="3552" spans="1:2" x14ac:dyDescent="0.35">
      <c r="A3552">
        <v>7.7027566730975994E-2</v>
      </c>
      <c r="B3552">
        <v>8.9149093142121902</v>
      </c>
    </row>
    <row r="3553" spans="1:2" x14ac:dyDescent="0.35">
      <c r="A3553">
        <v>7.6617285609244995E-2</v>
      </c>
      <c r="B3553">
        <v>8.8938257113858707</v>
      </c>
    </row>
    <row r="3554" spans="1:2" x14ac:dyDescent="0.35">
      <c r="A3554">
        <v>7.6058633625506994E-2</v>
      </c>
      <c r="B3554">
        <v>8.8968195193115491</v>
      </c>
    </row>
    <row r="3555" spans="1:2" x14ac:dyDescent="0.35">
      <c r="A3555">
        <v>7.5511686503886996E-2</v>
      </c>
      <c r="B3555">
        <v>8.8835626461569408</v>
      </c>
    </row>
    <row r="3556" spans="1:2" x14ac:dyDescent="0.35">
      <c r="A3556">
        <v>7.5100243091583002E-2</v>
      </c>
      <c r="B3556">
        <v>8.8416457075956902</v>
      </c>
    </row>
    <row r="3557" spans="1:2" x14ac:dyDescent="0.35">
      <c r="A3557">
        <v>7.4527904391288993E-2</v>
      </c>
      <c r="B3557">
        <v>8.8359538510816105</v>
      </c>
    </row>
    <row r="3558" spans="1:2" x14ac:dyDescent="0.35">
      <c r="A3558">
        <v>7.4109017848969005E-2</v>
      </c>
      <c r="B3558">
        <v>8.8337334368435005</v>
      </c>
    </row>
    <row r="3559" spans="1:2" x14ac:dyDescent="0.35">
      <c r="A3559">
        <v>7.3621377348899994E-2</v>
      </c>
      <c r="B3559">
        <v>8.8174920200581504</v>
      </c>
    </row>
    <row r="3560" spans="1:2" x14ac:dyDescent="0.35">
      <c r="A3560">
        <v>7.3058485984801996E-2</v>
      </c>
      <c r="B3560">
        <v>8.8146734637867006</v>
      </c>
    </row>
    <row r="3561" spans="1:2" x14ac:dyDescent="0.35">
      <c r="A3561">
        <v>7.2580248117446997E-2</v>
      </c>
      <c r="B3561">
        <v>8.7906308152021193</v>
      </c>
    </row>
    <row r="3562" spans="1:2" x14ac:dyDescent="0.35">
      <c r="A3562">
        <v>7.2085276246071001E-2</v>
      </c>
      <c r="B3562">
        <v>8.7834131906778392</v>
      </c>
    </row>
    <row r="3563" spans="1:2" x14ac:dyDescent="0.35">
      <c r="A3563">
        <v>7.1554221212864005E-2</v>
      </c>
      <c r="B3563">
        <v>8.7616524560484503</v>
      </c>
    </row>
    <row r="3564" spans="1:2" x14ac:dyDescent="0.35">
      <c r="A3564">
        <v>7.1178853511809997E-2</v>
      </c>
      <c r="B3564">
        <v>8.7739394491244695</v>
      </c>
    </row>
    <row r="3565" spans="1:2" x14ac:dyDescent="0.35">
      <c r="A3565">
        <v>7.0539683103560999E-2</v>
      </c>
      <c r="B3565">
        <v>8.7650945223804602</v>
      </c>
    </row>
    <row r="3566" spans="1:2" x14ac:dyDescent="0.35">
      <c r="A3566">
        <v>7.0109017193316997E-2</v>
      </c>
      <c r="B3566">
        <v>8.7362661274713709</v>
      </c>
    </row>
    <row r="3567" spans="1:2" x14ac:dyDescent="0.35">
      <c r="A3567">
        <v>6.9594889879227004E-2</v>
      </c>
      <c r="B3567">
        <v>8.7318401522869102</v>
      </c>
    </row>
    <row r="3568" spans="1:2" x14ac:dyDescent="0.35">
      <c r="A3568">
        <v>6.9128520786762002E-2</v>
      </c>
      <c r="B3568">
        <v>8.7129682222813791</v>
      </c>
    </row>
    <row r="3569" spans="1:2" x14ac:dyDescent="0.35">
      <c r="A3569">
        <v>6.8577207624911998E-2</v>
      </c>
      <c r="B3569">
        <v>8.7205389097583392</v>
      </c>
    </row>
    <row r="3570" spans="1:2" x14ac:dyDescent="0.35">
      <c r="A3570">
        <v>6.8094983696938005E-2</v>
      </c>
      <c r="B3570">
        <v>8.7221558716220606</v>
      </c>
    </row>
    <row r="3571" spans="1:2" x14ac:dyDescent="0.35">
      <c r="A3571">
        <v>6.7662544548512005E-2</v>
      </c>
      <c r="B3571">
        <v>8.6870407479226994</v>
      </c>
    </row>
    <row r="3572" spans="1:2" x14ac:dyDescent="0.35">
      <c r="A3572">
        <v>6.7130096256732996E-2</v>
      </c>
      <c r="B3572">
        <v>8.6856533021873101</v>
      </c>
    </row>
    <row r="3573" spans="1:2" x14ac:dyDescent="0.35">
      <c r="A3573">
        <v>6.6485546529293005E-2</v>
      </c>
      <c r="B3573">
        <v>8.6709423989616692</v>
      </c>
    </row>
    <row r="3574" spans="1:2" x14ac:dyDescent="0.35">
      <c r="A3574">
        <v>6.5931156277656999E-2</v>
      </c>
      <c r="B3574">
        <v>8.6689654657195696</v>
      </c>
    </row>
    <row r="3575" spans="1:2" x14ac:dyDescent="0.35">
      <c r="A3575">
        <v>6.5690517425536998E-2</v>
      </c>
      <c r="B3575">
        <v>8.66037447609461</v>
      </c>
    </row>
    <row r="3576" spans="1:2" x14ac:dyDescent="0.35">
      <c r="A3576">
        <v>6.4996041357517007E-2</v>
      </c>
      <c r="B3576">
        <v>8.6507447740333507</v>
      </c>
    </row>
    <row r="3577" spans="1:2" x14ac:dyDescent="0.35">
      <c r="A3577">
        <v>6.4442813396453996E-2</v>
      </c>
      <c r="B3577">
        <v>8.6347265309050805</v>
      </c>
    </row>
    <row r="3578" spans="1:2" x14ac:dyDescent="0.35">
      <c r="A3578">
        <v>6.4074836671351998E-2</v>
      </c>
      <c r="B3578">
        <v>8.63690349994115</v>
      </c>
    </row>
    <row r="3579" spans="1:2" x14ac:dyDescent="0.35">
      <c r="A3579">
        <v>6.3612565398215998E-2</v>
      </c>
      <c r="B3579">
        <v>8.6215420391975908</v>
      </c>
    </row>
    <row r="3580" spans="1:2" x14ac:dyDescent="0.35">
      <c r="A3580">
        <v>6.2940627336502006E-2</v>
      </c>
      <c r="B3580">
        <v>8.6093014963954797</v>
      </c>
    </row>
    <row r="3581" spans="1:2" x14ac:dyDescent="0.35">
      <c r="A3581">
        <v>6.2547028064728005E-2</v>
      </c>
      <c r="B3581">
        <v>8.6012496031327803</v>
      </c>
    </row>
    <row r="3582" spans="1:2" x14ac:dyDescent="0.35">
      <c r="A3582">
        <v>6.2083911150693998E-2</v>
      </c>
      <c r="B3582">
        <v>8.5922815565396409</v>
      </c>
    </row>
    <row r="3583" spans="1:2" x14ac:dyDescent="0.35">
      <c r="A3583">
        <v>6.1518885195255002E-2</v>
      </c>
      <c r="B3583">
        <v>8.5601217052685499</v>
      </c>
    </row>
    <row r="3584" spans="1:2" x14ac:dyDescent="0.35">
      <c r="A3584">
        <v>6.1021551489830003E-2</v>
      </c>
      <c r="B3584">
        <v>8.5530250900057201</v>
      </c>
    </row>
    <row r="3585" spans="1:2" x14ac:dyDescent="0.35">
      <c r="A3585">
        <v>6.0528557747601998E-2</v>
      </c>
      <c r="B3585">
        <v>8.5445966664958704</v>
      </c>
    </row>
    <row r="3586" spans="1:2" x14ac:dyDescent="0.35">
      <c r="A3586">
        <v>5.9897851198912E-2</v>
      </c>
      <c r="B3586">
        <v>8.5421521528867803</v>
      </c>
    </row>
    <row r="3587" spans="1:2" x14ac:dyDescent="0.35">
      <c r="A3587">
        <v>5.9463165700435999E-2</v>
      </c>
      <c r="B3587">
        <v>8.5187623101995094</v>
      </c>
    </row>
    <row r="3588" spans="1:2" x14ac:dyDescent="0.35">
      <c r="A3588">
        <v>5.9132520109414999E-2</v>
      </c>
      <c r="B3588">
        <v>8.5111772384581101</v>
      </c>
    </row>
    <row r="3589" spans="1:2" x14ac:dyDescent="0.35">
      <c r="A3589">
        <v>5.8484662324190001E-2</v>
      </c>
      <c r="B3589">
        <v>8.5168045176455003</v>
      </c>
    </row>
    <row r="3590" spans="1:2" x14ac:dyDescent="0.35">
      <c r="A3590">
        <v>5.8006465435028E-2</v>
      </c>
      <c r="B3590">
        <v>8.5202041654450493</v>
      </c>
    </row>
    <row r="3591" spans="1:2" x14ac:dyDescent="0.35">
      <c r="A3591">
        <v>5.7468704879284002E-2</v>
      </c>
      <c r="B3591">
        <v>8.4984850983552391</v>
      </c>
    </row>
    <row r="3592" spans="1:2" x14ac:dyDescent="0.35">
      <c r="A3592">
        <v>5.6833025068045002E-2</v>
      </c>
      <c r="B3592">
        <v>8.4859027796621902</v>
      </c>
    </row>
    <row r="3593" spans="1:2" x14ac:dyDescent="0.35">
      <c r="A3593">
        <v>5.6498773396015001E-2</v>
      </c>
      <c r="B3593">
        <v>8.4924954046236802</v>
      </c>
    </row>
    <row r="3594" spans="1:2" x14ac:dyDescent="0.35">
      <c r="A3594">
        <v>5.5923324078320999E-2</v>
      </c>
      <c r="B3594">
        <v>8.4637772798656492</v>
      </c>
    </row>
    <row r="3595" spans="1:2" x14ac:dyDescent="0.35">
      <c r="A3595">
        <v>5.5358391255139999E-2</v>
      </c>
      <c r="B3595">
        <v>8.4451138105726304</v>
      </c>
    </row>
    <row r="3596" spans="1:2" x14ac:dyDescent="0.35">
      <c r="A3596">
        <v>5.5078208446502998E-2</v>
      </c>
      <c r="B3596">
        <v>8.4633000022181708</v>
      </c>
    </row>
    <row r="3597" spans="1:2" x14ac:dyDescent="0.35">
      <c r="A3597">
        <v>5.4336059838532999E-2</v>
      </c>
      <c r="B3597">
        <v>8.4395406371346091</v>
      </c>
    </row>
    <row r="3598" spans="1:2" x14ac:dyDescent="0.35">
      <c r="A3598">
        <v>5.3915604948996998E-2</v>
      </c>
      <c r="B3598">
        <v>8.43745033136633</v>
      </c>
    </row>
    <row r="3599" spans="1:2" x14ac:dyDescent="0.35">
      <c r="A3599">
        <v>5.3568817675113997E-2</v>
      </c>
      <c r="B3599">
        <v>8.4276640247810999</v>
      </c>
    </row>
    <row r="3600" spans="1:2" x14ac:dyDescent="0.35">
      <c r="A3600">
        <v>5.3076889365910998E-2</v>
      </c>
      <c r="B3600">
        <v>8.3990802061264898</v>
      </c>
    </row>
    <row r="3601" spans="1:2" x14ac:dyDescent="0.35">
      <c r="A3601">
        <v>5.2414402365685002E-2</v>
      </c>
      <c r="B3601">
        <v>8.3976763888335704</v>
      </c>
    </row>
    <row r="3602" spans="1:2" x14ac:dyDescent="0.35">
      <c r="A3602">
        <v>5.1921308040619001E-2</v>
      </c>
      <c r="B3602">
        <v>8.3991583787191608</v>
      </c>
    </row>
    <row r="3603" spans="1:2" x14ac:dyDescent="0.35">
      <c r="A3603">
        <v>5.1483489573002E-2</v>
      </c>
      <c r="B3603">
        <v>8.3779570391112106</v>
      </c>
    </row>
    <row r="3604" spans="1:2" x14ac:dyDescent="0.35">
      <c r="A3604">
        <v>5.1059577614068999E-2</v>
      </c>
      <c r="B3604">
        <v>8.3623345641034508</v>
      </c>
    </row>
    <row r="3605" spans="1:2" x14ac:dyDescent="0.35">
      <c r="A3605">
        <v>5.0640743225813002E-2</v>
      </c>
      <c r="B3605">
        <v>8.3380912318950902</v>
      </c>
    </row>
    <row r="3606" spans="1:2" x14ac:dyDescent="0.35">
      <c r="A3606">
        <v>5.0126306712627001E-2</v>
      </c>
      <c r="B3606">
        <v>8.3277715813546198</v>
      </c>
    </row>
    <row r="3607" spans="1:2" x14ac:dyDescent="0.35">
      <c r="A3607">
        <v>4.9597457051277001E-2</v>
      </c>
      <c r="B3607">
        <v>8.3307947537299505</v>
      </c>
    </row>
    <row r="3608" spans="1:2" x14ac:dyDescent="0.35">
      <c r="A3608">
        <v>4.9100220203399998E-2</v>
      </c>
      <c r="B3608">
        <v>8.3299496712367205</v>
      </c>
    </row>
    <row r="3609" spans="1:2" x14ac:dyDescent="0.35">
      <c r="A3609">
        <v>4.8507727682589999E-2</v>
      </c>
      <c r="B3609">
        <v>8.3042279050031897</v>
      </c>
    </row>
    <row r="3610" spans="1:2" x14ac:dyDescent="0.35">
      <c r="A3610">
        <v>4.8130188137293001E-2</v>
      </c>
      <c r="B3610">
        <v>8.3099273091820898</v>
      </c>
    </row>
    <row r="3611" spans="1:2" x14ac:dyDescent="0.35">
      <c r="A3611">
        <v>4.7575682401657E-2</v>
      </c>
      <c r="B3611">
        <v>8.2839996927830803</v>
      </c>
    </row>
    <row r="3612" spans="1:2" x14ac:dyDescent="0.35">
      <c r="A3612">
        <v>4.6986449509859002E-2</v>
      </c>
      <c r="B3612">
        <v>8.2671853499212098</v>
      </c>
    </row>
    <row r="3613" spans="1:2" x14ac:dyDescent="0.35">
      <c r="A3613">
        <v>4.6726584434509E-2</v>
      </c>
      <c r="B3613">
        <v>8.2604630050403802</v>
      </c>
    </row>
    <row r="3614" spans="1:2" x14ac:dyDescent="0.35">
      <c r="A3614">
        <v>4.6014178544283003E-2</v>
      </c>
      <c r="B3614">
        <v>8.2448406329325508</v>
      </c>
    </row>
    <row r="3615" spans="1:2" x14ac:dyDescent="0.35">
      <c r="A3615">
        <v>4.5478843152522999E-2</v>
      </c>
      <c r="B3615">
        <v>8.2370995345002296</v>
      </c>
    </row>
    <row r="3616" spans="1:2" x14ac:dyDescent="0.35">
      <c r="A3616">
        <v>4.5073922723532001E-2</v>
      </c>
      <c r="B3616">
        <v>8.23198668516536</v>
      </c>
    </row>
    <row r="3617" spans="1:2" x14ac:dyDescent="0.35">
      <c r="A3617">
        <v>4.4589377939700997E-2</v>
      </c>
      <c r="B3617">
        <v>8.2360123910868293</v>
      </c>
    </row>
    <row r="3618" spans="1:2" x14ac:dyDescent="0.35">
      <c r="A3618">
        <v>4.4014740735291998E-2</v>
      </c>
      <c r="B3618">
        <v>8.2083843124733704</v>
      </c>
    </row>
    <row r="3619" spans="1:2" x14ac:dyDescent="0.35">
      <c r="A3619">
        <v>4.3606661260128E-2</v>
      </c>
      <c r="B3619">
        <v>8.1897002441616102</v>
      </c>
    </row>
    <row r="3620" spans="1:2" x14ac:dyDescent="0.35">
      <c r="A3620">
        <v>4.3154910206795002E-2</v>
      </c>
      <c r="B3620">
        <v>8.1693627136000906</v>
      </c>
    </row>
    <row r="3621" spans="1:2" x14ac:dyDescent="0.35">
      <c r="A3621">
        <v>4.2597256600857003E-2</v>
      </c>
      <c r="B3621">
        <v>8.1823845115951297</v>
      </c>
    </row>
    <row r="3622" spans="1:2" x14ac:dyDescent="0.35">
      <c r="A3622">
        <v>4.2190227657556999E-2</v>
      </c>
      <c r="B3622">
        <v>8.1428784664039604</v>
      </c>
    </row>
    <row r="3623" spans="1:2" x14ac:dyDescent="0.35">
      <c r="A3623">
        <v>4.1519194841384999E-2</v>
      </c>
      <c r="B3623">
        <v>8.1481620689668492</v>
      </c>
    </row>
    <row r="3624" spans="1:2" x14ac:dyDescent="0.35">
      <c r="A3624">
        <v>4.1085489094257001E-2</v>
      </c>
      <c r="B3624">
        <v>8.1389167250204704</v>
      </c>
    </row>
    <row r="3625" spans="1:2" x14ac:dyDescent="0.35">
      <c r="A3625">
        <v>4.062982276082E-2</v>
      </c>
      <c r="B3625">
        <v>8.12695449118619</v>
      </c>
    </row>
    <row r="3626" spans="1:2" x14ac:dyDescent="0.35">
      <c r="A3626">
        <v>4.0088031440972997E-2</v>
      </c>
      <c r="B3626">
        <v>8.0921741301713208</v>
      </c>
    </row>
    <row r="3627" spans="1:2" x14ac:dyDescent="0.35">
      <c r="A3627">
        <v>3.9507012814283003E-2</v>
      </c>
      <c r="B3627">
        <v>8.09723230868474</v>
      </c>
    </row>
    <row r="3628" spans="1:2" x14ac:dyDescent="0.35">
      <c r="A3628">
        <v>3.9197392761707001E-2</v>
      </c>
      <c r="B3628">
        <v>8.0787577402631605</v>
      </c>
    </row>
    <row r="3629" spans="1:2" x14ac:dyDescent="0.35">
      <c r="A3629">
        <v>3.8486290723085001E-2</v>
      </c>
      <c r="B3629">
        <v>8.0728778163216806</v>
      </c>
    </row>
    <row r="3630" spans="1:2" x14ac:dyDescent="0.35">
      <c r="A3630">
        <v>3.8083028048276998E-2</v>
      </c>
      <c r="B3630">
        <v>8.0702885900780306</v>
      </c>
    </row>
    <row r="3631" spans="1:2" x14ac:dyDescent="0.35">
      <c r="A3631">
        <v>3.7642266601323998E-2</v>
      </c>
      <c r="B3631">
        <v>8.0610294141104806</v>
      </c>
    </row>
    <row r="3632" spans="1:2" x14ac:dyDescent="0.35">
      <c r="A3632">
        <v>3.6900386214256002E-2</v>
      </c>
      <c r="B3632">
        <v>8.05972445629852</v>
      </c>
    </row>
    <row r="3633" spans="1:2" x14ac:dyDescent="0.35">
      <c r="A3633">
        <v>3.6618947982788003E-2</v>
      </c>
      <c r="B3633">
        <v>8.0325231783157207</v>
      </c>
    </row>
    <row r="3634" spans="1:2" x14ac:dyDescent="0.35">
      <c r="A3634">
        <v>3.5931948572397003E-2</v>
      </c>
      <c r="B3634">
        <v>8.0279308399704306</v>
      </c>
    </row>
    <row r="3635" spans="1:2" x14ac:dyDescent="0.35">
      <c r="A3635">
        <v>3.5496577620506002E-2</v>
      </c>
      <c r="B3635">
        <v>8.0180427918713502</v>
      </c>
    </row>
    <row r="3636" spans="1:2" x14ac:dyDescent="0.35">
      <c r="A3636">
        <v>3.5072170197963999E-2</v>
      </c>
      <c r="B3636">
        <v>8.0245560544927592</v>
      </c>
    </row>
    <row r="3637" spans="1:2" x14ac:dyDescent="0.35">
      <c r="A3637">
        <v>3.4507293254136998E-2</v>
      </c>
      <c r="B3637">
        <v>8.0201974536758698</v>
      </c>
    </row>
    <row r="3638" spans="1:2" x14ac:dyDescent="0.35">
      <c r="A3638">
        <v>3.4090898931026001E-2</v>
      </c>
      <c r="B3638">
        <v>8.0001279103710505</v>
      </c>
    </row>
    <row r="3639" spans="1:2" x14ac:dyDescent="0.35">
      <c r="A3639">
        <v>3.3576596528292001E-2</v>
      </c>
      <c r="B3639">
        <v>7.9967346337803002</v>
      </c>
    </row>
    <row r="3640" spans="1:2" x14ac:dyDescent="0.35">
      <c r="A3640">
        <v>3.3022034913301003E-2</v>
      </c>
      <c r="B3640">
        <v>7.9324148256752096</v>
      </c>
    </row>
    <row r="3641" spans="1:2" x14ac:dyDescent="0.35">
      <c r="A3641">
        <v>3.2430514693259999E-2</v>
      </c>
      <c r="B3641">
        <v>7.9323788089205998</v>
      </c>
    </row>
    <row r="3642" spans="1:2" x14ac:dyDescent="0.35">
      <c r="A3642">
        <v>3.2070059329270997E-2</v>
      </c>
      <c r="B3642">
        <v>7.9028691293714299</v>
      </c>
    </row>
    <row r="3643" spans="1:2" x14ac:dyDescent="0.35">
      <c r="A3643">
        <v>3.1601525843142998E-2</v>
      </c>
      <c r="B3643">
        <v>7.89835568254147</v>
      </c>
    </row>
    <row r="3644" spans="1:2" x14ac:dyDescent="0.35">
      <c r="A3644">
        <v>3.0980365350842001E-2</v>
      </c>
      <c r="B3644">
        <v>7.9054035101573996</v>
      </c>
    </row>
    <row r="3645" spans="1:2" x14ac:dyDescent="0.35">
      <c r="A3645">
        <v>3.0509671196342E-2</v>
      </c>
      <c r="B3645">
        <v>7.9209183489741397</v>
      </c>
    </row>
    <row r="3646" spans="1:2" x14ac:dyDescent="0.35">
      <c r="A3646">
        <v>3.0118269845842999E-2</v>
      </c>
      <c r="B3646">
        <v>7.9006766850050898</v>
      </c>
    </row>
    <row r="3647" spans="1:2" x14ac:dyDescent="0.35">
      <c r="A3647">
        <v>2.9462115839124E-2</v>
      </c>
      <c r="B3647">
        <v>7.8708186609672302</v>
      </c>
    </row>
    <row r="3648" spans="1:2" x14ac:dyDescent="0.35">
      <c r="A3648">
        <v>2.9110178351402002E-2</v>
      </c>
      <c r="B3648">
        <v>7.8890936350526797</v>
      </c>
    </row>
    <row r="3649" spans="1:2" x14ac:dyDescent="0.35">
      <c r="A3649">
        <v>2.8531290590762998E-2</v>
      </c>
      <c r="B3649">
        <v>7.8886636141787703</v>
      </c>
    </row>
    <row r="3650" spans="1:2" x14ac:dyDescent="0.35">
      <c r="A3650">
        <v>2.8081769123672998E-2</v>
      </c>
      <c r="B3650">
        <v>7.8379633107806903</v>
      </c>
    </row>
    <row r="3651" spans="1:2" x14ac:dyDescent="0.35">
      <c r="A3651">
        <v>2.7433177456260002E-2</v>
      </c>
      <c r="B3651">
        <v>7.8331041760817097</v>
      </c>
    </row>
    <row r="3652" spans="1:2" x14ac:dyDescent="0.35">
      <c r="A3652">
        <v>2.6869913563132002E-2</v>
      </c>
      <c r="B3652">
        <v>7.83483030394917</v>
      </c>
    </row>
    <row r="3653" spans="1:2" x14ac:dyDescent="0.35">
      <c r="A3653">
        <v>2.6421697810292001E-2</v>
      </c>
      <c r="B3653">
        <v>7.8200640292402301</v>
      </c>
    </row>
    <row r="3654" spans="1:2" x14ac:dyDescent="0.35">
      <c r="A3654">
        <v>2.6035899296403001E-2</v>
      </c>
      <c r="B3654">
        <v>7.8126135535782897</v>
      </c>
    </row>
    <row r="3655" spans="1:2" x14ac:dyDescent="0.35">
      <c r="A3655">
        <v>2.5485690683125999E-2</v>
      </c>
      <c r="B3655">
        <v>7.80447358975605</v>
      </c>
    </row>
    <row r="3656" spans="1:2" x14ac:dyDescent="0.35">
      <c r="A3656">
        <v>2.5066813454032E-2</v>
      </c>
      <c r="B3656">
        <v>7.7955661786132904</v>
      </c>
    </row>
    <row r="3657" spans="1:2" x14ac:dyDescent="0.35">
      <c r="A3657">
        <v>2.4397579953074001E-2</v>
      </c>
      <c r="B3657">
        <v>7.7915330498913997</v>
      </c>
    </row>
    <row r="3658" spans="1:2" x14ac:dyDescent="0.35">
      <c r="A3658">
        <v>2.4001879617572001E-2</v>
      </c>
      <c r="B3658">
        <v>7.77624441776487</v>
      </c>
    </row>
    <row r="3659" spans="1:2" x14ac:dyDescent="0.35">
      <c r="A3659">
        <v>2.3468362167478E-2</v>
      </c>
      <c r="B3659">
        <v>7.7658602413260098</v>
      </c>
    </row>
    <row r="3660" spans="1:2" x14ac:dyDescent="0.35">
      <c r="A3660">
        <v>2.3122398182750001E-2</v>
      </c>
      <c r="B3660">
        <v>7.7476253635679697</v>
      </c>
    </row>
    <row r="3661" spans="1:2" x14ac:dyDescent="0.35">
      <c r="A3661">
        <v>2.2569147869944999E-2</v>
      </c>
      <c r="B3661">
        <v>7.7374323924782296</v>
      </c>
    </row>
    <row r="3662" spans="1:2" x14ac:dyDescent="0.35">
      <c r="A3662">
        <v>2.1961797028780001E-2</v>
      </c>
      <c r="B3662">
        <v>7.7067078433938496</v>
      </c>
    </row>
    <row r="3663" spans="1:2" x14ac:dyDescent="0.35">
      <c r="A3663">
        <v>2.1485459059477002E-2</v>
      </c>
      <c r="B3663">
        <v>7.7000777019056601</v>
      </c>
    </row>
    <row r="3664" spans="1:2" x14ac:dyDescent="0.35">
      <c r="A3664">
        <v>2.1008195355535001E-2</v>
      </c>
      <c r="B3664">
        <v>7.7075818712763002</v>
      </c>
    </row>
    <row r="3665" spans="1:2" x14ac:dyDescent="0.35">
      <c r="A3665">
        <v>2.0611215382814001E-2</v>
      </c>
      <c r="B3665">
        <v>7.6837816943538799</v>
      </c>
    </row>
    <row r="3666" spans="1:2" x14ac:dyDescent="0.35">
      <c r="A3666">
        <v>2.0139263942838E-2</v>
      </c>
      <c r="B3666">
        <v>7.6721407536343396</v>
      </c>
    </row>
    <row r="3667" spans="1:2" x14ac:dyDescent="0.35">
      <c r="A3667">
        <v>1.9714044407009999E-2</v>
      </c>
      <c r="B3667">
        <v>7.6720745930715797</v>
      </c>
    </row>
    <row r="3668" spans="1:2" x14ac:dyDescent="0.35">
      <c r="A3668">
        <v>1.9112020730971999E-2</v>
      </c>
      <c r="B3668">
        <v>7.67666099664567</v>
      </c>
    </row>
    <row r="3669" spans="1:2" x14ac:dyDescent="0.35">
      <c r="A3669">
        <v>1.8519336357712999E-2</v>
      </c>
      <c r="B3669">
        <v>7.6570301146164299</v>
      </c>
    </row>
    <row r="3670" spans="1:2" x14ac:dyDescent="0.35">
      <c r="A3670">
        <v>1.7971010878682001E-2</v>
      </c>
      <c r="B3670">
        <v>7.6496080328973202</v>
      </c>
    </row>
    <row r="3671" spans="1:2" x14ac:dyDescent="0.35">
      <c r="A3671">
        <v>1.7645876854657998E-2</v>
      </c>
      <c r="B3671">
        <v>7.6326326167665997</v>
      </c>
    </row>
    <row r="3672" spans="1:2" x14ac:dyDescent="0.35">
      <c r="A3672">
        <v>1.7118960618973E-2</v>
      </c>
      <c r="B3672">
        <v>7.6271495058208698</v>
      </c>
    </row>
    <row r="3673" spans="1:2" x14ac:dyDescent="0.35">
      <c r="A3673">
        <v>1.6627764329313999E-2</v>
      </c>
      <c r="B3673">
        <v>7.6108498974049796</v>
      </c>
    </row>
    <row r="3674" spans="1:2" x14ac:dyDescent="0.35">
      <c r="A3674">
        <v>1.6051396727561999E-2</v>
      </c>
      <c r="B3674">
        <v>7.6047508366166898</v>
      </c>
    </row>
    <row r="3675" spans="1:2" x14ac:dyDescent="0.35">
      <c r="A3675">
        <v>1.5580588020383999E-2</v>
      </c>
      <c r="B3675">
        <v>7.5937378310898298</v>
      </c>
    </row>
    <row r="3676" spans="1:2" x14ac:dyDescent="0.35">
      <c r="A3676">
        <v>1.5124496072531E-2</v>
      </c>
      <c r="B3676">
        <v>7.5741399346179303</v>
      </c>
    </row>
    <row r="3677" spans="1:2" x14ac:dyDescent="0.35">
      <c r="A3677">
        <v>1.4563098549842999E-2</v>
      </c>
      <c r="B3677">
        <v>7.5698401947207801</v>
      </c>
    </row>
    <row r="3678" spans="1:2" x14ac:dyDescent="0.35">
      <c r="A3678">
        <v>1.4048814773560001E-2</v>
      </c>
      <c r="B3678">
        <v>7.5454351484901396</v>
      </c>
    </row>
    <row r="3679" spans="1:2" x14ac:dyDescent="0.35">
      <c r="A3679">
        <v>1.3529296964407E-2</v>
      </c>
      <c r="B3679">
        <v>7.5417643392814098</v>
      </c>
    </row>
    <row r="3680" spans="1:2" x14ac:dyDescent="0.35">
      <c r="A3680">
        <v>1.3150788843631999E-2</v>
      </c>
      <c r="B3680">
        <v>7.5444977472208299</v>
      </c>
    </row>
    <row r="3681" spans="1:2" x14ac:dyDescent="0.35">
      <c r="A3681">
        <v>1.2487045489252E-2</v>
      </c>
      <c r="B3681">
        <v>7.5218311771335404</v>
      </c>
    </row>
    <row r="3682" spans="1:2" x14ac:dyDescent="0.35">
      <c r="A3682">
        <v>1.2050336226821E-2</v>
      </c>
      <c r="B3682">
        <v>7.5077257824295902</v>
      </c>
    </row>
    <row r="3683" spans="1:2" x14ac:dyDescent="0.35">
      <c r="A3683">
        <v>1.1777015402913E-2</v>
      </c>
      <c r="B3683">
        <v>7.5015749354633998</v>
      </c>
    </row>
    <row r="3684" spans="1:2" x14ac:dyDescent="0.35">
      <c r="A3684">
        <v>1.1129106394947E-2</v>
      </c>
      <c r="B3684">
        <v>7.4714814220795196</v>
      </c>
    </row>
    <row r="3685" spans="1:2" x14ac:dyDescent="0.35">
      <c r="A3685">
        <v>1.0441149584948999E-2</v>
      </c>
      <c r="B3685">
        <v>7.4806819318423496</v>
      </c>
    </row>
    <row r="3686" spans="1:2" x14ac:dyDescent="0.35">
      <c r="A3686">
        <v>1.0232233442366E-2</v>
      </c>
      <c r="B3686">
        <v>7.4779969686967203</v>
      </c>
    </row>
    <row r="3687" spans="1:2" x14ac:dyDescent="0.35">
      <c r="A3687">
        <v>9.6024107187989999E-3</v>
      </c>
      <c r="B3687">
        <v>7.4496271077204304</v>
      </c>
    </row>
    <row r="3688" spans="1:2" x14ac:dyDescent="0.35">
      <c r="A3688">
        <v>9.1096200048920006E-3</v>
      </c>
      <c r="B3688">
        <v>7.4169446983903899</v>
      </c>
    </row>
    <row r="3689" spans="1:2" x14ac:dyDescent="0.35">
      <c r="A3689">
        <v>8.7066674605009997E-3</v>
      </c>
      <c r="B3689">
        <v>7.4172336102787897</v>
      </c>
    </row>
    <row r="3690" spans="1:2" x14ac:dyDescent="0.35">
      <c r="A3690">
        <v>8.1245983019470006E-3</v>
      </c>
      <c r="B3690">
        <v>7.4340307966320598</v>
      </c>
    </row>
    <row r="3691" spans="1:2" x14ac:dyDescent="0.35">
      <c r="A3691">
        <v>7.5574517250060003E-3</v>
      </c>
      <c r="B3691">
        <v>7.4250490716932296</v>
      </c>
    </row>
    <row r="3692" spans="1:2" x14ac:dyDescent="0.35">
      <c r="A3692">
        <v>7.246806286275E-3</v>
      </c>
      <c r="B3692">
        <v>7.4128987435808202</v>
      </c>
    </row>
    <row r="3693" spans="1:2" x14ac:dyDescent="0.35">
      <c r="A3693">
        <v>6.5175336785609998E-3</v>
      </c>
      <c r="B3693">
        <v>7.3993160256412098</v>
      </c>
    </row>
    <row r="3694" spans="1:2" x14ac:dyDescent="0.35">
      <c r="A3694">
        <v>6.0108518227929997E-3</v>
      </c>
      <c r="B3694">
        <v>7.4004069165895503</v>
      </c>
    </row>
    <row r="3695" spans="1:2" x14ac:dyDescent="0.35">
      <c r="A3695">
        <v>5.5206278339029998E-3</v>
      </c>
      <c r="B3695">
        <v>7.3868087265642899</v>
      </c>
    </row>
    <row r="3696" spans="1:2" x14ac:dyDescent="0.35">
      <c r="A3696">
        <v>5.069348029792E-3</v>
      </c>
      <c r="B3696">
        <v>7.3755473769786501</v>
      </c>
    </row>
    <row r="3697" spans="1:2" x14ac:dyDescent="0.35">
      <c r="A3697">
        <v>4.6355286613109998E-3</v>
      </c>
      <c r="B3697">
        <v>7.3651317256868198</v>
      </c>
    </row>
    <row r="3698" spans="1:2" x14ac:dyDescent="0.35">
      <c r="A3698">
        <v>3.965591080487E-3</v>
      </c>
      <c r="B3698">
        <v>7.3620077166217301</v>
      </c>
    </row>
    <row r="3699" spans="1:2" x14ac:dyDescent="0.35">
      <c r="A3699">
        <v>3.5959684755649999E-3</v>
      </c>
      <c r="B3699">
        <v>7.3364978369459202</v>
      </c>
    </row>
    <row r="3700" spans="1:2" x14ac:dyDescent="0.35">
      <c r="A3700">
        <v>3.1344543676819999E-3</v>
      </c>
      <c r="B3700">
        <v>7.3083174722165296</v>
      </c>
    </row>
    <row r="3701" spans="1:2" x14ac:dyDescent="0.35">
      <c r="A3701">
        <v>2.5438275188209999E-3</v>
      </c>
      <c r="B3701">
        <v>7.2906310734390898</v>
      </c>
    </row>
    <row r="3702" spans="1:2" x14ac:dyDescent="0.35">
      <c r="A3702">
        <v>1.9971462897960001E-3</v>
      </c>
      <c r="B3702">
        <v>7.2836820442195496</v>
      </c>
    </row>
    <row r="3703" spans="1:2" x14ac:dyDescent="0.35">
      <c r="A3703">
        <v>1.6395979328079999E-3</v>
      </c>
      <c r="B3703">
        <v>7.2809672693862701</v>
      </c>
    </row>
    <row r="3704" spans="1:2" x14ac:dyDescent="0.35">
      <c r="A3704">
        <v>1.090344740078E-3</v>
      </c>
      <c r="B3704">
        <v>7.2759145831148402</v>
      </c>
    </row>
    <row r="3705" spans="1:2" x14ac:dyDescent="0.35">
      <c r="A3705">
        <v>5.8919290313500005E-4</v>
      </c>
      <c r="B3705">
        <v>7.2549427878907702</v>
      </c>
    </row>
    <row r="3706" spans="1:2" x14ac:dyDescent="0.35">
      <c r="A3706">
        <v>-1.6166264686E-5</v>
      </c>
      <c r="B3706">
        <v>7.2591111093829497</v>
      </c>
    </row>
    <row r="3707" spans="1:2" x14ac:dyDescent="0.35">
      <c r="A3707">
        <v>-4.0443125180899999E-4</v>
      </c>
      <c r="B3707">
        <v>7.2440336289640301</v>
      </c>
    </row>
    <row r="3708" spans="1:2" x14ac:dyDescent="0.35">
      <c r="A3708">
        <v>-8.0608297139400003E-4</v>
      </c>
      <c r="B3708">
        <v>7.2189059275540099</v>
      </c>
    </row>
    <row r="3709" spans="1:2" x14ac:dyDescent="0.35">
      <c r="A3709">
        <v>-1.393336104229E-3</v>
      </c>
      <c r="B3709">
        <v>7.2240266296884803</v>
      </c>
    </row>
    <row r="3710" spans="1:2" x14ac:dyDescent="0.35">
      <c r="A3710">
        <v>-1.933111576363E-3</v>
      </c>
      <c r="B3710">
        <v>7.2028646245574404</v>
      </c>
    </row>
    <row r="3711" spans="1:2" x14ac:dyDescent="0.35">
      <c r="A3711">
        <v>-2.3285199422390002E-3</v>
      </c>
      <c r="B3711">
        <v>7.2064521552984502</v>
      </c>
    </row>
    <row r="3712" spans="1:2" x14ac:dyDescent="0.35">
      <c r="A3712">
        <v>-3.0438804533330002E-3</v>
      </c>
      <c r="B3712">
        <v>7.1896466159191803</v>
      </c>
    </row>
    <row r="3713" spans="1:2" x14ac:dyDescent="0.35">
      <c r="A3713">
        <v>-3.34955076687E-3</v>
      </c>
      <c r="B3713">
        <v>7.1983586036493898</v>
      </c>
    </row>
    <row r="3714" spans="1:2" x14ac:dyDescent="0.35">
      <c r="A3714">
        <v>-3.8307493086899998E-3</v>
      </c>
      <c r="B3714">
        <v>7.19152158651322</v>
      </c>
    </row>
    <row r="3715" spans="1:2" x14ac:dyDescent="0.35">
      <c r="A3715">
        <v>-4.3160701170560003E-3</v>
      </c>
      <c r="B3715">
        <v>7.1548912612985696</v>
      </c>
    </row>
    <row r="3716" spans="1:2" x14ac:dyDescent="0.35">
      <c r="A3716">
        <v>-4.7595626674589997E-3</v>
      </c>
      <c r="B3716">
        <v>7.14378634572354</v>
      </c>
    </row>
    <row r="3717" spans="1:2" x14ac:dyDescent="0.35">
      <c r="A3717">
        <v>-5.2790036424990002E-3</v>
      </c>
      <c r="B3717">
        <v>7.14256564102425</v>
      </c>
    </row>
    <row r="3718" spans="1:2" x14ac:dyDescent="0.35">
      <c r="A3718">
        <v>-5.8618774637579996E-3</v>
      </c>
      <c r="B3718">
        <v>7.1417159557176202</v>
      </c>
    </row>
    <row r="3719" spans="1:2" x14ac:dyDescent="0.35">
      <c r="A3719">
        <v>-6.2067643739279997E-3</v>
      </c>
      <c r="B3719">
        <v>7.12432323899165</v>
      </c>
    </row>
    <row r="3720" spans="1:2" x14ac:dyDescent="0.35">
      <c r="A3720">
        <v>-6.8434518761929996E-3</v>
      </c>
      <c r="B3720">
        <v>7.1199940616300497</v>
      </c>
    </row>
    <row r="3721" spans="1:2" x14ac:dyDescent="0.35">
      <c r="A3721">
        <v>-7.2454046458009999E-3</v>
      </c>
      <c r="B3721">
        <v>7.0984427523174398</v>
      </c>
    </row>
    <row r="3722" spans="1:2" x14ac:dyDescent="0.35">
      <c r="A3722">
        <v>-7.773507386446E-3</v>
      </c>
      <c r="B3722">
        <v>7.0999830216465103</v>
      </c>
    </row>
    <row r="3723" spans="1:2" x14ac:dyDescent="0.35">
      <c r="A3723">
        <v>-8.3986297249789999E-3</v>
      </c>
      <c r="B3723">
        <v>7.0935143533518801</v>
      </c>
    </row>
    <row r="3724" spans="1:2" x14ac:dyDescent="0.35">
      <c r="A3724">
        <v>-8.8121108710770002E-3</v>
      </c>
      <c r="B3724">
        <v>7.0901843210732904</v>
      </c>
    </row>
    <row r="3725" spans="1:2" x14ac:dyDescent="0.35">
      <c r="A3725">
        <v>-9.3255117535589998E-3</v>
      </c>
      <c r="B3725">
        <v>7.0728317298649896</v>
      </c>
    </row>
    <row r="3726" spans="1:2" x14ac:dyDescent="0.35">
      <c r="A3726">
        <v>-9.9856993183490006E-3</v>
      </c>
      <c r="B3726">
        <v>7.0599571758992896</v>
      </c>
    </row>
    <row r="3727" spans="1:2" x14ac:dyDescent="0.35">
      <c r="A3727">
        <v>-1.0407763533294E-2</v>
      </c>
      <c r="B3727">
        <v>7.0439509341619599</v>
      </c>
    </row>
    <row r="3728" spans="1:2" x14ac:dyDescent="0.35">
      <c r="A3728">
        <v>-1.0818201117218E-2</v>
      </c>
      <c r="B3728">
        <v>7.0358640211805197</v>
      </c>
    </row>
    <row r="3729" spans="1:2" x14ac:dyDescent="0.35">
      <c r="A3729">
        <v>-1.1401269584894E-2</v>
      </c>
      <c r="B3729">
        <v>7.0071716611414097</v>
      </c>
    </row>
    <row r="3730" spans="1:2" x14ac:dyDescent="0.35">
      <c r="A3730">
        <v>-1.1873950250446999E-2</v>
      </c>
      <c r="B3730">
        <v>7.0177470750591597</v>
      </c>
    </row>
    <row r="3731" spans="1:2" x14ac:dyDescent="0.35">
      <c r="A3731">
        <v>-1.2488841079175E-2</v>
      </c>
      <c r="B3731">
        <v>7.0217013850298899</v>
      </c>
    </row>
    <row r="3732" spans="1:2" x14ac:dyDescent="0.35">
      <c r="A3732">
        <v>-1.2921248562634E-2</v>
      </c>
      <c r="B3732">
        <v>6.9887813553387801</v>
      </c>
    </row>
    <row r="3733" spans="1:2" x14ac:dyDescent="0.35">
      <c r="A3733">
        <v>-1.3288158923387999E-2</v>
      </c>
      <c r="B3733">
        <v>6.9871849665853398</v>
      </c>
    </row>
    <row r="3734" spans="1:2" x14ac:dyDescent="0.35">
      <c r="A3734">
        <v>-1.3920067809521999E-2</v>
      </c>
      <c r="B3734">
        <v>6.9682308710524001</v>
      </c>
    </row>
    <row r="3735" spans="1:2" x14ac:dyDescent="0.35">
      <c r="A3735">
        <v>-1.4364414848387E-2</v>
      </c>
      <c r="B3735">
        <v>6.9650614254063798</v>
      </c>
    </row>
    <row r="3736" spans="1:2" x14ac:dyDescent="0.35">
      <c r="A3736">
        <v>-1.4848781749606001E-2</v>
      </c>
      <c r="B3736">
        <v>6.9600706710914197</v>
      </c>
    </row>
    <row r="3737" spans="1:2" x14ac:dyDescent="0.35">
      <c r="A3737">
        <v>-1.5384943224489999E-2</v>
      </c>
      <c r="B3737">
        <v>6.9396480390956299</v>
      </c>
    </row>
    <row r="3738" spans="1:2" x14ac:dyDescent="0.35">
      <c r="A3738">
        <v>-1.5916194766760001E-2</v>
      </c>
      <c r="B3738">
        <v>6.92864661604749</v>
      </c>
    </row>
    <row r="3739" spans="1:2" x14ac:dyDescent="0.35">
      <c r="A3739">
        <v>-1.6317045316099999E-2</v>
      </c>
      <c r="B3739">
        <v>6.9090566855748801</v>
      </c>
    </row>
    <row r="3740" spans="1:2" x14ac:dyDescent="0.35">
      <c r="A3740">
        <v>-1.6913738101721001E-2</v>
      </c>
      <c r="B3740">
        <v>6.9152227080081801</v>
      </c>
    </row>
    <row r="3741" spans="1:2" x14ac:dyDescent="0.35">
      <c r="A3741">
        <v>-1.7276616767048999E-2</v>
      </c>
      <c r="B3741">
        <v>6.8952272972600701</v>
      </c>
    </row>
    <row r="3742" spans="1:2" x14ac:dyDescent="0.35">
      <c r="A3742">
        <v>-1.7915850505232998E-2</v>
      </c>
      <c r="B3742">
        <v>6.8855014892936204</v>
      </c>
    </row>
    <row r="3743" spans="1:2" x14ac:dyDescent="0.35">
      <c r="A3743">
        <v>-1.8572865054011001E-2</v>
      </c>
      <c r="B3743">
        <v>6.8741702442352803</v>
      </c>
    </row>
    <row r="3744" spans="1:2" x14ac:dyDescent="0.35">
      <c r="A3744">
        <v>-1.8959166482090999E-2</v>
      </c>
      <c r="B3744">
        <v>6.8735932356109197</v>
      </c>
    </row>
    <row r="3745" spans="1:2" x14ac:dyDescent="0.35">
      <c r="A3745">
        <v>-1.9250547513365999E-2</v>
      </c>
      <c r="B3745">
        <v>6.85738080450556</v>
      </c>
    </row>
    <row r="3746" spans="1:2" x14ac:dyDescent="0.35">
      <c r="A3746">
        <v>-1.9905846565962001E-2</v>
      </c>
      <c r="B3746">
        <v>6.8382139534393698</v>
      </c>
    </row>
    <row r="3747" spans="1:2" x14ac:dyDescent="0.35">
      <c r="A3747">
        <v>-2.0380454137921E-2</v>
      </c>
      <c r="B3747">
        <v>6.8284921077198302</v>
      </c>
    </row>
    <row r="3748" spans="1:2" x14ac:dyDescent="0.35">
      <c r="A3748">
        <v>-2.0940328016877001E-2</v>
      </c>
      <c r="B3748">
        <v>6.8179706185579203</v>
      </c>
    </row>
    <row r="3749" spans="1:2" x14ac:dyDescent="0.35">
      <c r="A3749">
        <v>-2.1404854953289001E-2</v>
      </c>
      <c r="B3749">
        <v>6.8043127437247897</v>
      </c>
    </row>
    <row r="3750" spans="1:2" x14ac:dyDescent="0.35">
      <c r="A3750">
        <v>-2.1786477416754001E-2</v>
      </c>
      <c r="B3750">
        <v>6.8142087280887003</v>
      </c>
    </row>
    <row r="3751" spans="1:2" x14ac:dyDescent="0.35">
      <c r="A3751">
        <v>-2.2189283743501001E-2</v>
      </c>
      <c r="B3751">
        <v>6.7942622133448198</v>
      </c>
    </row>
    <row r="3752" spans="1:2" x14ac:dyDescent="0.35">
      <c r="A3752">
        <v>-2.2776646539569002E-2</v>
      </c>
      <c r="B3752">
        <v>6.7917539345831504</v>
      </c>
    </row>
    <row r="3753" spans="1:2" x14ac:dyDescent="0.35">
      <c r="A3753">
        <v>-2.3240977898239999E-2</v>
      </c>
      <c r="B3753">
        <v>6.78650822369538</v>
      </c>
    </row>
    <row r="3754" spans="1:2" x14ac:dyDescent="0.35">
      <c r="A3754">
        <v>-2.3766543716191999E-2</v>
      </c>
      <c r="B3754">
        <v>6.7740206687546403</v>
      </c>
    </row>
    <row r="3755" spans="1:2" x14ac:dyDescent="0.35">
      <c r="A3755">
        <v>-2.4189652875066001E-2</v>
      </c>
      <c r="B3755">
        <v>6.7595509984767297</v>
      </c>
    </row>
    <row r="3756" spans="1:2" x14ac:dyDescent="0.35">
      <c r="A3756">
        <v>-2.4900138378142998E-2</v>
      </c>
      <c r="B3756">
        <v>6.7436348202302696</v>
      </c>
    </row>
    <row r="3757" spans="1:2" x14ac:dyDescent="0.35">
      <c r="A3757">
        <v>-2.5370473042129998E-2</v>
      </c>
      <c r="B3757">
        <v>6.7352935110392904</v>
      </c>
    </row>
    <row r="3758" spans="1:2" x14ac:dyDescent="0.35">
      <c r="A3758">
        <v>-2.5618890300393E-2</v>
      </c>
      <c r="B3758">
        <v>6.7372958447823699</v>
      </c>
    </row>
    <row r="3759" spans="1:2" x14ac:dyDescent="0.35">
      <c r="A3759">
        <v>-2.6290878653526001E-2</v>
      </c>
      <c r="B3759">
        <v>6.7120925621364904</v>
      </c>
    </row>
    <row r="3760" spans="1:2" x14ac:dyDescent="0.35">
      <c r="A3760">
        <v>-2.6829482987522999E-2</v>
      </c>
      <c r="B3760">
        <v>6.6934314880365697</v>
      </c>
    </row>
    <row r="3761" spans="1:2" x14ac:dyDescent="0.35">
      <c r="A3761">
        <v>-2.7310717850924E-2</v>
      </c>
      <c r="B3761">
        <v>6.6892192175832603</v>
      </c>
    </row>
    <row r="3762" spans="1:2" x14ac:dyDescent="0.35">
      <c r="A3762">
        <v>-2.7842843905091001E-2</v>
      </c>
      <c r="B3762">
        <v>6.6747598148582403</v>
      </c>
    </row>
    <row r="3763" spans="1:2" x14ac:dyDescent="0.35">
      <c r="A3763">
        <v>-2.827868796885E-2</v>
      </c>
      <c r="B3763">
        <v>6.6707800413527796</v>
      </c>
    </row>
    <row r="3764" spans="1:2" x14ac:dyDescent="0.35">
      <c r="A3764">
        <v>-2.8906365856528001E-2</v>
      </c>
      <c r="B3764">
        <v>6.6488218023717103</v>
      </c>
    </row>
    <row r="3765" spans="1:2" x14ac:dyDescent="0.35">
      <c r="A3765">
        <v>-2.9287882149219999E-2</v>
      </c>
      <c r="B3765">
        <v>6.64148109521616</v>
      </c>
    </row>
    <row r="3766" spans="1:2" x14ac:dyDescent="0.35">
      <c r="A3766">
        <v>-2.9730081558228E-2</v>
      </c>
      <c r="B3766">
        <v>6.6423731836764599</v>
      </c>
    </row>
    <row r="3767" spans="1:2" x14ac:dyDescent="0.35">
      <c r="A3767">
        <v>-3.0272908508778E-2</v>
      </c>
      <c r="B3767">
        <v>6.6292955449384197</v>
      </c>
    </row>
    <row r="3768" spans="1:2" x14ac:dyDescent="0.35">
      <c r="A3768">
        <v>-3.0979866161942E-2</v>
      </c>
      <c r="B3768">
        <v>6.61661113862412</v>
      </c>
    </row>
    <row r="3769" spans="1:2" x14ac:dyDescent="0.35">
      <c r="A3769">
        <v>-3.1365741044283003E-2</v>
      </c>
      <c r="B3769">
        <v>6.6079660456055498</v>
      </c>
    </row>
    <row r="3770" spans="1:2" x14ac:dyDescent="0.35">
      <c r="A3770">
        <v>-3.1765498220921E-2</v>
      </c>
      <c r="B3770">
        <v>6.6069603308050899</v>
      </c>
    </row>
    <row r="3771" spans="1:2" x14ac:dyDescent="0.35">
      <c r="A3771">
        <v>-3.2374866306781998E-2</v>
      </c>
      <c r="B3771">
        <v>6.5989510282346897</v>
      </c>
    </row>
    <row r="3772" spans="1:2" x14ac:dyDescent="0.35">
      <c r="A3772">
        <v>-3.2832004129887002E-2</v>
      </c>
      <c r="B3772">
        <v>6.5854850414434303</v>
      </c>
    </row>
    <row r="3773" spans="1:2" x14ac:dyDescent="0.35">
      <c r="A3773">
        <v>-3.3195819705725001E-2</v>
      </c>
      <c r="B3773">
        <v>6.5715938662527504</v>
      </c>
    </row>
    <row r="3774" spans="1:2" x14ac:dyDescent="0.35">
      <c r="A3774">
        <v>-3.396850451827E-2</v>
      </c>
      <c r="B3774">
        <v>6.5672358228089598</v>
      </c>
    </row>
    <row r="3775" spans="1:2" x14ac:dyDescent="0.35">
      <c r="A3775">
        <v>-3.4443292766808999E-2</v>
      </c>
      <c r="B3775">
        <v>6.5637606396435197</v>
      </c>
    </row>
    <row r="3776" spans="1:2" x14ac:dyDescent="0.35">
      <c r="A3776">
        <v>-3.4837868064642001E-2</v>
      </c>
      <c r="B3776">
        <v>6.5637601346799999</v>
      </c>
    </row>
    <row r="3777" spans="1:2" x14ac:dyDescent="0.35">
      <c r="A3777">
        <v>-3.5550102591514997E-2</v>
      </c>
      <c r="B3777">
        <v>6.5448323169544897</v>
      </c>
    </row>
    <row r="3778" spans="1:2" x14ac:dyDescent="0.35">
      <c r="A3778">
        <v>-3.5901036113500998E-2</v>
      </c>
      <c r="B3778">
        <v>6.5424819310686697</v>
      </c>
    </row>
    <row r="3779" spans="1:2" x14ac:dyDescent="0.35">
      <c r="A3779">
        <v>-3.6374285817146003E-2</v>
      </c>
      <c r="B3779">
        <v>6.52019047732714</v>
      </c>
    </row>
    <row r="3780" spans="1:2" x14ac:dyDescent="0.35">
      <c r="A3780">
        <v>-3.7029191851616003E-2</v>
      </c>
      <c r="B3780">
        <v>6.5189344043955204</v>
      </c>
    </row>
    <row r="3781" spans="1:2" x14ac:dyDescent="0.35">
      <c r="A3781">
        <v>-3.7411678582429997E-2</v>
      </c>
      <c r="B3781">
        <v>6.4913476992235601</v>
      </c>
    </row>
    <row r="3782" spans="1:2" x14ac:dyDescent="0.35">
      <c r="A3782">
        <v>-3.7840113043784998E-2</v>
      </c>
      <c r="B3782">
        <v>6.4778978343210696</v>
      </c>
    </row>
    <row r="3783" spans="1:2" x14ac:dyDescent="0.35">
      <c r="A3783">
        <v>-3.8453951478003998E-2</v>
      </c>
      <c r="B3783">
        <v>6.4795393497734803</v>
      </c>
    </row>
    <row r="3784" spans="1:2" x14ac:dyDescent="0.35">
      <c r="A3784">
        <v>-3.8919065147638002E-2</v>
      </c>
      <c r="B3784">
        <v>6.4511426506274603</v>
      </c>
    </row>
    <row r="3785" spans="1:2" x14ac:dyDescent="0.35">
      <c r="A3785">
        <v>-3.9573591202496997E-2</v>
      </c>
      <c r="B3785">
        <v>6.4363812728411203</v>
      </c>
    </row>
    <row r="3786" spans="1:2" x14ac:dyDescent="0.35">
      <c r="A3786">
        <v>-4.0063224732875997E-2</v>
      </c>
      <c r="B3786">
        <v>6.4359098822851202</v>
      </c>
    </row>
    <row r="3787" spans="1:2" x14ac:dyDescent="0.35">
      <c r="A3787">
        <v>-4.0342986583710001E-2</v>
      </c>
      <c r="B3787">
        <v>6.4270026107684197</v>
      </c>
    </row>
    <row r="3788" spans="1:2" x14ac:dyDescent="0.35">
      <c r="A3788">
        <v>-4.0732149034738999E-2</v>
      </c>
      <c r="B3788">
        <v>6.4107593547608204</v>
      </c>
    </row>
    <row r="3789" spans="1:2" x14ac:dyDescent="0.35">
      <c r="A3789">
        <v>-4.1355580091476003E-2</v>
      </c>
      <c r="B3789">
        <v>6.3970267966667702</v>
      </c>
    </row>
    <row r="3790" spans="1:2" x14ac:dyDescent="0.35">
      <c r="A3790">
        <v>-4.1740518063307003E-2</v>
      </c>
      <c r="B3790">
        <v>6.4133825803632503</v>
      </c>
    </row>
    <row r="3791" spans="1:2" x14ac:dyDescent="0.35">
      <c r="A3791">
        <v>-4.2398910969496002E-2</v>
      </c>
      <c r="B3791">
        <v>6.3991985984012896</v>
      </c>
    </row>
    <row r="3792" spans="1:2" x14ac:dyDescent="0.35">
      <c r="A3792">
        <v>-4.2843706905842001E-2</v>
      </c>
      <c r="B3792">
        <v>6.37864200528466</v>
      </c>
    </row>
    <row r="3793" spans="1:2" x14ac:dyDescent="0.35">
      <c r="A3793">
        <v>-4.3329611420630999E-2</v>
      </c>
      <c r="B3793">
        <v>6.3690297691101199</v>
      </c>
    </row>
    <row r="3794" spans="1:2" x14ac:dyDescent="0.35">
      <c r="A3794">
        <v>-4.3798130005597999E-2</v>
      </c>
      <c r="B3794">
        <v>6.3623051128363102</v>
      </c>
    </row>
    <row r="3795" spans="1:2" x14ac:dyDescent="0.35">
      <c r="A3795">
        <v>-4.4303704053164E-2</v>
      </c>
      <c r="B3795">
        <v>6.3337580352703604</v>
      </c>
    </row>
    <row r="3796" spans="1:2" x14ac:dyDescent="0.35">
      <c r="A3796">
        <v>-4.4796869158744999E-2</v>
      </c>
      <c r="B3796">
        <v>6.3397816129990403</v>
      </c>
    </row>
    <row r="3797" spans="1:2" x14ac:dyDescent="0.35">
      <c r="A3797">
        <v>-4.5412909239531001E-2</v>
      </c>
      <c r="B3797">
        <v>6.3339649118260697</v>
      </c>
    </row>
    <row r="3798" spans="1:2" x14ac:dyDescent="0.35">
      <c r="A3798">
        <v>-4.5952238142489998E-2</v>
      </c>
      <c r="B3798">
        <v>6.3252613269838003</v>
      </c>
    </row>
    <row r="3799" spans="1:2" x14ac:dyDescent="0.35">
      <c r="A3799">
        <v>-4.6293701976538003E-2</v>
      </c>
      <c r="B3799">
        <v>6.3204711689949598</v>
      </c>
    </row>
    <row r="3800" spans="1:2" x14ac:dyDescent="0.35">
      <c r="A3800">
        <v>-4.6791978180407999E-2</v>
      </c>
      <c r="B3800">
        <v>6.3145688879773401</v>
      </c>
    </row>
    <row r="3801" spans="1:2" x14ac:dyDescent="0.35">
      <c r="A3801">
        <v>-4.7420412302016997E-2</v>
      </c>
      <c r="B3801">
        <v>6.29574957619245</v>
      </c>
    </row>
    <row r="3802" spans="1:2" x14ac:dyDescent="0.35">
      <c r="A3802">
        <v>-4.790722951293E-2</v>
      </c>
      <c r="B3802">
        <v>6.2865106750972197</v>
      </c>
    </row>
    <row r="3803" spans="1:2" x14ac:dyDescent="0.35">
      <c r="A3803">
        <v>-4.8286739736795002E-2</v>
      </c>
      <c r="B3803">
        <v>6.3038337338946304</v>
      </c>
    </row>
    <row r="3804" spans="1:2" x14ac:dyDescent="0.35">
      <c r="A3804">
        <v>-4.8689682036638003E-2</v>
      </c>
      <c r="B3804">
        <v>6.2840160709036699</v>
      </c>
    </row>
    <row r="3805" spans="1:2" x14ac:dyDescent="0.35">
      <c r="A3805">
        <v>-4.9333132803439997E-2</v>
      </c>
      <c r="B3805">
        <v>6.2585158513518699</v>
      </c>
    </row>
    <row r="3806" spans="1:2" x14ac:dyDescent="0.35">
      <c r="A3806">
        <v>-4.9839660525322002E-2</v>
      </c>
      <c r="B3806">
        <v>6.2573126581851</v>
      </c>
    </row>
    <row r="3807" spans="1:2" x14ac:dyDescent="0.35">
      <c r="A3807">
        <v>-5.0157111138104997E-2</v>
      </c>
      <c r="B3807">
        <v>6.2614255627449804</v>
      </c>
    </row>
    <row r="3808" spans="1:2" x14ac:dyDescent="0.35">
      <c r="A3808">
        <v>-5.0763227045536E-2</v>
      </c>
      <c r="B3808">
        <v>6.2258380665420496</v>
      </c>
    </row>
    <row r="3809" spans="1:2" x14ac:dyDescent="0.35">
      <c r="A3809">
        <v>-5.1310233771801002E-2</v>
      </c>
      <c r="B3809">
        <v>6.2266113390007298</v>
      </c>
    </row>
    <row r="3810" spans="1:2" x14ac:dyDescent="0.35">
      <c r="A3810">
        <v>-5.1786661148070998E-2</v>
      </c>
      <c r="B3810">
        <v>6.22867498217808</v>
      </c>
    </row>
    <row r="3811" spans="1:2" x14ac:dyDescent="0.35">
      <c r="A3811">
        <v>-5.2331313490868003E-2</v>
      </c>
      <c r="B3811">
        <v>6.22030573393452</v>
      </c>
    </row>
    <row r="3812" spans="1:2" x14ac:dyDescent="0.35">
      <c r="A3812">
        <v>-5.2729841321707001E-2</v>
      </c>
      <c r="B3812">
        <v>6.21289935595704</v>
      </c>
    </row>
    <row r="3813" spans="1:2" x14ac:dyDescent="0.35">
      <c r="A3813">
        <v>-5.3403910249471997E-2</v>
      </c>
      <c r="B3813">
        <v>6.1933499193169999</v>
      </c>
    </row>
    <row r="3814" spans="1:2" x14ac:dyDescent="0.35">
      <c r="A3814">
        <v>-5.3843021392822002E-2</v>
      </c>
      <c r="B3814">
        <v>6.1666551943159504</v>
      </c>
    </row>
    <row r="3815" spans="1:2" x14ac:dyDescent="0.35">
      <c r="A3815">
        <v>-5.4421689361334E-2</v>
      </c>
      <c r="B3815">
        <v>6.1665312430531998</v>
      </c>
    </row>
    <row r="3816" spans="1:2" x14ac:dyDescent="0.35">
      <c r="A3816">
        <v>-5.4942354559898002E-2</v>
      </c>
      <c r="B3816">
        <v>6.1622705311222603</v>
      </c>
    </row>
    <row r="3817" spans="1:2" x14ac:dyDescent="0.35">
      <c r="A3817">
        <v>-5.5449340492487002E-2</v>
      </c>
      <c r="B3817">
        <v>6.1483689605542304</v>
      </c>
    </row>
    <row r="3818" spans="1:2" x14ac:dyDescent="0.35">
      <c r="A3818">
        <v>-5.5768292397260999E-2</v>
      </c>
      <c r="B3818">
        <v>6.1233270154312098</v>
      </c>
    </row>
    <row r="3819" spans="1:2" x14ac:dyDescent="0.35">
      <c r="A3819">
        <v>-5.6500673294067001E-2</v>
      </c>
      <c r="B3819">
        <v>6.1216546513975798</v>
      </c>
    </row>
    <row r="3820" spans="1:2" x14ac:dyDescent="0.35">
      <c r="A3820">
        <v>-5.6924920529127003E-2</v>
      </c>
      <c r="B3820">
        <v>6.1140845787392397</v>
      </c>
    </row>
    <row r="3821" spans="1:2" x14ac:dyDescent="0.35">
      <c r="A3821">
        <v>-5.7306535542010997E-2</v>
      </c>
      <c r="B3821">
        <v>6.1103189511427303</v>
      </c>
    </row>
    <row r="3822" spans="1:2" x14ac:dyDescent="0.35">
      <c r="A3822">
        <v>-5.7886186987161997E-2</v>
      </c>
      <c r="B3822">
        <v>6.10083419002566</v>
      </c>
    </row>
    <row r="3823" spans="1:2" x14ac:dyDescent="0.35">
      <c r="A3823">
        <v>-5.8333966881037001E-2</v>
      </c>
      <c r="B3823">
        <v>6.0943155654181398</v>
      </c>
    </row>
    <row r="3824" spans="1:2" x14ac:dyDescent="0.35">
      <c r="A3824">
        <v>-5.8804679661988997E-2</v>
      </c>
      <c r="B3824">
        <v>6.0863708630572999</v>
      </c>
    </row>
    <row r="3825" spans="1:2" x14ac:dyDescent="0.35">
      <c r="A3825">
        <v>-5.9283602982758997E-2</v>
      </c>
      <c r="B3825">
        <v>6.0699663080394499</v>
      </c>
    </row>
    <row r="3826" spans="1:2" x14ac:dyDescent="0.35">
      <c r="A3826">
        <v>-5.9799905866384999E-2</v>
      </c>
      <c r="B3826">
        <v>6.06205422621073</v>
      </c>
    </row>
    <row r="3827" spans="1:2" x14ac:dyDescent="0.35">
      <c r="A3827">
        <v>-6.0287646949291E-2</v>
      </c>
      <c r="B3827">
        <v>6.0328521972607296</v>
      </c>
    </row>
    <row r="3828" spans="1:2" x14ac:dyDescent="0.35">
      <c r="A3828">
        <v>-6.0955353081226002E-2</v>
      </c>
      <c r="B3828">
        <v>6.00421478191892</v>
      </c>
    </row>
    <row r="3829" spans="1:2" x14ac:dyDescent="0.35">
      <c r="A3829">
        <v>-6.1323422938584997E-2</v>
      </c>
      <c r="B3829">
        <v>6.0042804139652901</v>
      </c>
    </row>
    <row r="3830" spans="1:2" x14ac:dyDescent="0.35">
      <c r="A3830">
        <v>-6.1774861067533E-2</v>
      </c>
      <c r="B3830">
        <v>6.0024496029816703</v>
      </c>
    </row>
    <row r="3831" spans="1:2" x14ac:dyDescent="0.35">
      <c r="A3831">
        <v>-6.2283843755721997E-2</v>
      </c>
      <c r="B3831">
        <v>5.9843263126881601</v>
      </c>
    </row>
    <row r="3832" spans="1:2" x14ac:dyDescent="0.35">
      <c r="A3832">
        <v>-6.2806546688080001E-2</v>
      </c>
      <c r="B3832">
        <v>5.98025811472281</v>
      </c>
    </row>
    <row r="3833" spans="1:2" x14ac:dyDescent="0.35">
      <c r="A3833">
        <v>-6.3371434807777002E-2</v>
      </c>
      <c r="B3833">
        <v>5.9687837540461501</v>
      </c>
    </row>
    <row r="3834" spans="1:2" x14ac:dyDescent="0.35">
      <c r="A3834">
        <v>-6.3894204795360995E-2</v>
      </c>
      <c r="B3834">
        <v>5.9654305493191497</v>
      </c>
    </row>
    <row r="3835" spans="1:2" x14ac:dyDescent="0.35">
      <c r="A3835">
        <v>-6.4304739236831998E-2</v>
      </c>
      <c r="B3835">
        <v>5.9584828806724399</v>
      </c>
    </row>
    <row r="3836" spans="1:2" x14ac:dyDescent="0.35">
      <c r="A3836">
        <v>-6.4877897500992002E-2</v>
      </c>
      <c r="B3836">
        <v>5.94956714676169</v>
      </c>
    </row>
    <row r="3837" spans="1:2" x14ac:dyDescent="0.35">
      <c r="A3837">
        <v>-6.5296567976474998E-2</v>
      </c>
      <c r="B3837">
        <v>5.9511770571189997</v>
      </c>
    </row>
    <row r="3838" spans="1:2" x14ac:dyDescent="0.35">
      <c r="A3838">
        <v>-6.5597951412200997E-2</v>
      </c>
      <c r="B3838">
        <v>5.9425700556295604</v>
      </c>
    </row>
    <row r="3839" spans="1:2" x14ac:dyDescent="0.35">
      <c r="A3839">
        <v>-6.6377051174641002E-2</v>
      </c>
      <c r="B3839">
        <v>5.91806983780819</v>
      </c>
    </row>
    <row r="3840" spans="1:2" x14ac:dyDescent="0.35">
      <c r="A3840">
        <v>-6.6768057644366996E-2</v>
      </c>
      <c r="B3840">
        <v>5.9127505403296201</v>
      </c>
    </row>
    <row r="3841" spans="1:2" x14ac:dyDescent="0.35">
      <c r="A3841">
        <v>-6.7204251885413999E-2</v>
      </c>
      <c r="B3841">
        <v>5.9012280682352598</v>
      </c>
    </row>
    <row r="3842" spans="1:2" x14ac:dyDescent="0.35">
      <c r="A3842">
        <v>-6.7664049565792E-2</v>
      </c>
      <c r="B3842">
        <v>5.8868948804328101</v>
      </c>
    </row>
    <row r="3843" spans="1:2" x14ac:dyDescent="0.35">
      <c r="A3843">
        <v>-6.8169549107552005E-2</v>
      </c>
      <c r="B3843">
        <v>5.8848771243723697</v>
      </c>
    </row>
    <row r="3844" spans="1:2" x14ac:dyDescent="0.35">
      <c r="A3844">
        <v>-6.8783774971962003E-2</v>
      </c>
      <c r="B3844">
        <v>5.8722102480536398</v>
      </c>
    </row>
    <row r="3845" spans="1:2" x14ac:dyDescent="0.35">
      <c r="A3845">
        <v>-6.9323390722275002E-2</v>
      </c>
      <c r="B3845">
        <v>5.8580145903146201</v>
      </c>
    </row>
    <row r="3846" spans="1:2" x14ac:dyDescent="0.35">
      <c r="A3846">
        <v>-6.9701552391051996E-2</v>
      </c>
      <c r="B3846">
        <v>5.8590530098753</v>
      </c>
    </row>
    <row r="3847" spans="1:2" x14ac:dyDescent="0.35">
      <c r="A3847">
        <v>-7.0179820060729994E-2</v>
      </c>
      <c r="B3847">
        <v>5.85750279661604</v>
      </c>
    </row>
    <row r="3848" spans="1:2" x14ac:dyDescent="0.35">
      <c r="A3848">
        <v>-7.0913642644881994E-2</v>
      </c>
      <c r="B3848">
        <v>5.8422158121700596</v>
      </c>
    </row>
    <row r="3849" spans="1:2" x14ac:dyDescent="0.35">
      <c r="A3849">
        <v>-7.1260064840316995E-2</v>
      </c>
      <c r="B3849">
        <v>5.8217064145748196</v>
      </c>
    </row>
    <row r="3850" spans="1:2" x14ac:dyDescent="0.35">
      <c r="A3850">
        <v>-7.1925744414330001E-2</v>
      </c>
      <c r="B3850">
        <v>5.8063286010212201</v>
      </c>
    </row>
    <row r="3851" spans="1:2" x14ac:dyDescent="0.35">
      <c r="A3851">
        <v>-7.2268523275851995E-2</v>
      </c>
      <c r="B3851">
        <v>5.8079210760749502</v>
      </c>
    </row>
    <row r="3852" spans="1:2" x14ac:dyDescent="0.35">
      <c r="A3852">
        <v>-7.2838626801967996E-2</v>
      </c>
      <c r="B3852">
        <v>5.7914512111260699</v>
      </c>
    </row>
    <row r="3853" spans="1:2" x14ac:dyDescent="0.35">
      <c r="A3853">
        <v>-7.3239371180534002E-2</v>
      </c>
      <c r="B3853">
        <v>5.7899057689880404</v>
      </c>
    </row>
    <row r="3854" spans="1:2" x14ac:dyDescent="0.35">
      <c r="A3854">
        <v>-7.3869250714778997E-2</v>
      </c>
      <c r="B3854">
        <v>5.7635274902456999</v>
      </c>
    </row>
    <row r="3855" spans="1:2" x14ac:dyDescent="0.35">
      <c r="A3855">
        <v>-7.4249893426895003E-2</v>
      </c>
      <c r="B3855">
        <v>5.7652497351358702</v>
      </c>
    </row>
    <row r="3856" spans="1:2" x14ac:dyDescent="0.35">
      <c r="A3856">
        <v>-7.4773415923118994E-2</v>
      </c>
      <c r="B3856">
        <v>5.75040645164741</v>
      </c>
    </row>
    <row r="3857" spans="1:2" x14ac:dyDescent="0.35">
      <c r="A3857">
        <v>-7.5249470770358998E-2</v>
      </c>
      <c r="B3857">
        <v>5.7488413284049997</v>
      </c>
    </row>
    <row r="3858" spans="1:2" x14ac:dyDescent="0.35">
      <c r="A3858">
        <v>-7.5845248997210998E-2</v>
      </c>
      <c r="B3858">
        <v>5.7337281853523798</v>
      </c>
    </row>
    <row r="3859" spans="1:2" x14ac:dyDescent="0.35">
      <c r="A3859">
        <v>-7.6449438929557995E-2</v>
      </c>
      <c r="B3859">
        <v>5.7253782858492199</v>
      </c>
    </row>
    <row r="3860" spans="1:2" x14ac:dyDescent="0.35">
      <c r="A3860">
        <v>-7.6740063726901994E-2</v>
      </c>
      <c r="B3860">
        <v>5.7120087848290897</v>
      </c>
    </row>
    <row r="3861" spans="1:2" x14ac:dyDescent="0.35">
      <c r="A3861">
        <v>-7.7258504927157995E-2</v>
      </c>
      <c r="B3861">
        <v>5.6984802242400896</v>
      </c>
    </row>
    <row r="3862" spans="1:2" x14ac:dyDescent="0.35">
      <c r="A3862">
        <v>-7.7739991247654003E-2</v>
      </c>
      <c r="B3862">
        <v>5.6959826344850999</v>
      </c>
    </row>
    <row r="3863" spans="1:2" x14ac:dyDescent="0.35">
      <c r="A3863">
        <v>-7.8290097415446999E-2</v>
      </c>
      <c r="B3863">
        <v>5.7034279653508504</v>
      </c>
    </row>
    <row r="3864" spans="1:2" x14ac:dyDescent="0.35">
      <c r="A3864">
        <v>-7.8810475766659005E-2</v>
      </c>
      <c r="B3864">
        <v>5.6860078028359604</v>
      </c>
    </row>
    <row r="3865" spans="1:2" x14ac:dyDescent="0.35">
      <c r="A3865">
        <v>-7.9359583556652E-2</v>
      </c>
      <c r="B3865">
        <v>5.6844842087647303</v>
      </c>
    </row>
    <row r="3866" spans="1:2" x14ac:dyDescent="0.35">
      <c r="A3866">
        <v>-7.9844325780869002E-2</v>
      </c>
      <c r="B3866">
        <v>5.6688360963286</v>
      </c>
    </row>
    <row r="3867" spans="1:2" x14ac:dyDescent="0.35">
      <c r="A3867">
        <v>-8.0379173159598999E-2</v>
      </c>
      <c r="B3867">
        <v>5.6661753712022396</v>
      </c>
    </row>
    <row r="3868" spans="1:2" x14ac:dyDescent="0.35">
      <c r="A3868">
        <v>-8.0864295363426E-2</v>
      </c>
      <c r="B3868">
        <v>5.6459281546095097</v>
      </c>
    </row>
    <row r="3869" spans="1:2" x14ac:dyDescent="0.35">
      <c r="A3869">
        <v>-8.1268064677714996E-2</v>
      </c>
      <c r="B3869">
        <v>5.6449478798739996</v>
      </c>
    </row>
    <row r="3870" spans="1:2" x14ac:dyDescent="0.35">
      <c r="A3870">
        <v>-8.1934489309788E-2</v>
      </c>
      <c r="B3870">
        <v>5.6317036882676899</v>
      </c>
    </row>
    <row r="3871" spans="1:2" x14ac:dyDescent="0.35">
      <c r="A3871">
        <v>-8.2193367183207994E-2</v>
      </c>
      <c r="B3871">
        <v>5.6171993578955099</v>
      </c>
    </row>
    <row r="3872" spans="1:2" x14ac:dyDescent="0.35">
      <c r="A3872">
        <v>-8.2715064287186002E-2</v>
      </c>
      <c r="B3872">
        <v>5.61494564669366</v>
      </c>
    </row>
    <row r="3873" spans="1:2" x14ac:dyDescent="0.35">
      <c r="A3873">
        <v>-8.3339340984821E-2</v>
      </c>
      <c r="B3873">
        <v>5.6066592953509504</v>
      </c>
    </row>
    <row r="3874" spans="1:2" x14ac:dyDescent="0.35">
      <c r="A3874">
        <v>-8.3816140890121002E-2</v>
      </c>
      <c r="B3874">
        <v>5.6071293337240098</v>
      </c>
    </row>
    <row r="3875" spans="1:2" x14ac:dyDescent="0.35">
      <c r="A3875">
        <v>-8.4276676177979001E-2</v>
      </c>
      <c r="B3875">
        <v>5.5940569673310803</v>
      </c>
    </row>
    <row r="3876" spans="1:2" x14ac:dyDescent="0.35">
      <c r="A3876">
        <v>-8.4812134504318001E-2</v>
      </c>
      <c r="B3876">
        <v>5.5698211574571799</v>
      </c>
    </row>
    <row r="3877" spans="1:2" x14ac:dyDescent="0.35">
      <c r="A3877">
        <v>-8.5269652307033997E-2</v>
      </c>
      <c r="B3877">
        <v>5.5534187619561202</v>
      </c>
    </row>
    <row r="3878" spans="1:2" x14ac:dyDescent="0.35">
      <c r="A3878">
        <v>-8.5692048072814997E-2</v>
      </c>
      <c r="B3878">
        <v>5.5550655201648</v>
      </c>
    </row>
    <row r="3879" spans="1:2" x14ac:dyDescent="0.35">
      <c r="A3879">
        <v>-8.6131997406483002E-2</v>
      </c>
      <c r="B3879">
        <v>5.5484934999173197</v>
      </c>
    </row>
    <row r="3880" spans="1:2" x14ac:dyDescent="0.35">
      <c r="A3880">
        <v>-8.6705125868319993E-2</v>
      </c>
      <c r="B3880">
        <v>5.5363427092672</v>
      </c>
    </row>
    <row r="3881" spans="1:2" x14ac:dyDescent="0.35">
      <c r="A3881">
        <v>-8.7242819368839E-2</v>
      </c>
      <c r="B3881">
        <v>5.5341430694472402</v>
      </c>
    </row>
    <row r="3882" spans="1:2" x14ac:dyDescent="0.35">
      <c r="A3882">
        <v>-8.7748639285564006E-2</v>
      </c>
      <c r="B3882">
        <v>5.51869182719199</v>
      </c>
    </row>
    <row r="3883" spans="1:2" x14ac:dyDescent="0.35">
      <c r="A3883">
        <v>-8.8260591030121002E-2</v>
      </c>
      <c r="B3883">
        <v>5.5115036134759299</v>
      </c>
    </row>
    <row r="3884" spans="1:2" x14ac:dyDescent="0.35">
      <c r="A3884">
        <v>-8.8773779571056005E-2</v>
      </c>
      <c r="B3884">
        <v>5.5046398582359499</v>
      </c>
    </row>
    <row r="3885" spans="1:2" x14ac:dyDescent="0.35">
      <c r="A3885">
        <v>-8.9231908321381004E-2</v>
      </c>
      <c r="B3885">
        <v>5.4978281814614203</v>
      </c>
    </row>
    <row r="3886" spans="1:2" x14ac:dyDescent="0.35">
      <c r="A3886">
        <v>-8.9685410261153994E-2</v>
      </c>
      <c r="B3886">
        <v>5.4776867654846297</v>
      </c>
    </row>
    <row r="3887" spans="1:2" x14ac:dyDescent="0.35">
      <c r="A3887">
        <v>-9.0242013335227994E-2</v>
      </c>
      <c r="B3887">
        <v>5.4737778461764401</v>
      </c>
    </row>
    <row r="3888" spans="1:2" x14ac:dyDescent="0.35">
      <c r="A3888">
        <v>-9.0814538300036995E-2</v>
      </c>
      <c r="B3888">
        <v>5.4469561840570897</v>
      </c>
    </row>
    <row r="3889" spans="1:2" x14ac:dyDescent="0.35">
      <c r="A3889">
        <v>-9.1304108500480999E-2</v>
      </c>
      <c r="B3889">
        <v>5.4448892195379699</v>
      </c>
    </row>
    <row r="3890" spans="1:2" x14ac:dyDescent="0.35">
      <c r="A3890">
        <v>-9.1744244098662997E-2</v>
      </c>
      <c r="B3890">
        <v>5.4391580706782197</v>
      </c>
    </row>
    <row r="3891" spans="1:2" x14ac:dyDescent="0.35">
      <c r="A3891">
        <v>-9.2301994562149006E-2</v>
      </c>
      <c r="B3891">
        <v>5.4080323943941302</v>
      </c>
    </row>
    <row r="3892" spans="1:2" x14ac:dyDescent="0.35">
      <c r="A3892">
        <v>-9.2734426259995006E-2</v>
      </c>
      <c r="B3892">
        <v>5.4083998193758198</v>
      </c>
    </row>
    <row r="3893" spans="1:2" x14ac:dyDescent="0.35">
      <c r="A3893">
        <v>-9.3316562473773998E-2</v>
      </c>
      <c r="B3893">
        <v>5.4010208147732701</v>
      </c>
    </row>
    <row r="3894" spans="1:2" x14ac:dyDescent="0.35">
      <c r="A3894">
        <v>-9.3632526695727997E-2</v>
      </c>
      <c r="B3894">
        <v>5.3901625221631599</v>
      </c>
    </row>
    <row r="3895" spans="1:2" x14ac:dyDescent="0.35">
      <c r="A3895">
        <v>-9.4198465347289997E-2</v>
      </c>
      <c r="B3895">
        <v>5.3883488882318504</v>
      </c>
    </row>
    <row r="3896" spans="1:2" x14ac:dyDescent="0.35">
      <c r="A3896">
        <v>-9.4763636589050002E-2</v>
      </c>
      <c r="B3896">
        <v>5.3600049722686496</v>
      </c>
    </row>
    <row r="3897" spans="1:2" x14ac:dyDescent="0.35">
      <c r="A3897">
        <v>-9.5268212258816001E-2</v>
      </c>
      <c r="B3897">
        <v>5.3609841936648497</v>
      </c>
    </row>
    <row r="3898" spans="1:2" x14ac:dyDescent="0.35">
      <c r="A3898">
        <v>-9.5714494585991003E-2</v>
      </c>
      <c r="B3898">
        <v>5.3692879616277596</v>
      </c>
    </row>
    <row r="3899" spans="1:2" x14ac:dyDescent="0.35">
      <c r="A3899">
        <v>-9.6174791455268999E-2</v>
      </c>
      <c r="B3899">
        <v>5.3530320122446096</v>
      </c>
    </row>
    <row r="3900" spans="1:2" x14ac:dyDescent="0.35">
      <c r="A3900">
        <v>-9.6711143851280004E-2</v>
      </c>
      <c r="B3900">
        <v>5.3370834261272302</v>
      </c>
    </row>
    <row r="3901" spans="1:2" x14ac:dyDescent="0.35">
      <c r="A3901">
        <v>-9.7259074449539004E-2</v>
      </c>
      <c r="B3901">
        <v>5.3219064814913697</v>
      </c>
    </row>
    <row r="3902" spans="1:2" x14ac:dyDescent="0.35">
      <c r="A3902">
        <v>-9.7813673317432001E-2</v>
      </c>
      <c r="B3902">
        <v>5.3229130775906004</v>
      </c>
    </row>
    <row r="3903" spans="1:2" x14ac:dyDescent="0.35">
      <c r="A3903">
        <v>-9.8171986639499997E-2</v>
      </c>
      <c r="B3903">
        <v>5.3057540643859298</v>
      </c>
    </row>
    <row r="3904" spans="1:2" x14ac:dyDescent="0.35">
      <c r="A3904">
        <v>-9.8764181137085003E-2</v>
      </c>
      <c r="B3904">
        <v>5.2886899199809303</v>
      </c>
    </row>
    <row r="3905" spans="1:2" x14ac:dyDescent="0.35">
      <c r="A3905">
        <v>-9.9254421889781994E-2</v>
      </c>
      <c r="B3905">
        <v>5.2830105584743503</v>
      </c>
    </row>
    <row r="3906" spans="1:2" x14ac:dyDescent="0.35">
      <c r="A3906">
        <v>-9.9707216024398998E-2</v>
      </c>
      <c r="B3906">
        <v>5.2760830439264401</v>
      </c>
    </row>
    <row r="3907" spans="1:2" x14ac:dyDescent="0.35">
      <c r="A3907">
        <v>-0.10034403949975999</v>
      </c>
      <c r="B3907">
        <v>5.2651461595954503</v>
      </c>
    </row>
    <row r="3908" spans="1:2" x14ac:dyDescent="0.35">
      <c r="A3908">
        <v>-0.10075567662715899</v>
      </c>
      <c r="B3908">
        <v>5.2559070066198403</v>
      </c>
    </row>
    <row r="3909" spans="1:2" x14ac:dyDescent="0.35">
      <c r="A3909">
        <v>-0.101281359791756</v>
      </c>
      <c r="B3909">
        <v>5.2557338155413502</v>
      </c>
    </row>
    <row r="3910" spans="1:2" x14ac:dyDescent="0.35">
      <c r="A3910">
        <v>-0.101866617798805</v>
      </c>
      <c r="B3910">
        <v>5.24017319872475</v>
      </c>
    </row>
    <row r="3911" spans="1:2" x14ac:dyDescent="0.35">
      <c r="A3911">
        <v>-0.10230428725481</v>
      </c>
      <c r="B3911">
        <v>5.2332092577862497</v>
      </c>
    </row>
    <row r="3912" spans="1:2" x14ac:dyDescent="0.35">
      <c r="A3912">
        <v>-0.102724321186543</v>
      </c>
      <c r="B3912">
        <v>5.2260270735896999</v>
      </c>
    </row>
    <row r="3913" spans="1:2" x14ac:dyDescent="0.35">
      <c r="A3913">
        <v>-0.10334224998951</v>
      </c>
      <c r="B3913">
        <v>5.2238206661060103</v>
      </c>
    </row>
    <row r="3914" spans="1:2" x14ac:dyDescent="0.35">
      <c r="A3914">
        <v>-0.103846549987793</v>
      </c>
      <c r="B3914">
        <v>5.2154867558779401</v>
      </c>
    </row>
    <row r="3915" spans="1:2" x14ac:dyDescent="0.35">
      <c r="A3915">
        <v>-0.104231789708138</v>
      </c>
      <c r="B3915">
        <v>5.2059382763659903</v>
      </c>
    </row>
    <row r="3916" spans="1:2" x14ac:dyDescent="0.35">
      <c r="A3916">
        <v>-0.104743838310242</v>
      </c>
      <c r="B3916">
        <v>5.1773272804139401</v>
      </c>
    </row>
    <row r="3917" spans="1:2" x14ac:dyDescent="0.35">
      <c r="A3917">
        <v>-0.105352126061916</v>
      </c>
      <c r="B3917">
        <v>5.1892699616206102</v>
      </c>
    </row>
    <row r="3918" spans="1:2" x14ac:dyDescent="0.35">
      <c r="A3918">
        <v>-0.10583893209695799</v>
      </c>
      <c r="B3918">
        <v>5.18248591586429</v>
      </c>
    </row>
    <row r="3919" spans="1:2" x14ac:dyDescent="0.35">
      <c r="A3919">
        <v>-0.106412343680859</v>
      </c>
      <c r="B3919">
        <v>5.1695220470945404</v>
      </c>
    </row>
    <row r="3920" spans="1:2" x14ac:dyDescent="0.35">
      <c r="A3920">
        <v>-0.10678848624229401</v>
      </c>
      <c r="B3920">
        <v>5.1472698424601404</v>
      </c>
    </row>
    <row r="3921" spans="1:2" x14ac:dyDescent="0.35">
      <c r="A3921">
        <v>-0.10724347084760701</v>
      </c>
      <c r="B3921">
        <v>5.1327617978495201</v>
      </c>
    </row>
    <row r="3922" spans="1:2" x14ac:dyDescent="0.35">
      <c r="A3922">
        <v>-0.107783168554306</v>
      </c>
      <c r="B3922">
        <v>5.12652079970045</v>
      </c>
    </row>
    <row r="3923" spans="1:2" x14ac:dyDescent="0.35">
      <c r="A3923">
        <v>-0.108250699937344</v>
      </c>
      <c r="B3923">
        <v>5.1325596308114703</v>
      </c>
    </row>
    <row r="3924" spans="1:2" x14ac:dyDescent="0.35">
      <c r="A3924">
        <v>-0.108755514025688</v>
      </c>
      <c r="B3924">
        <v>5.1141496677390297</v>
      </c>
    </row>
    <row r="3925" spans="1:2" x14ac:dyDescent="0.35">
      <c r="A3925">
        <v>-0.10934691876173</v>
      </c>
      <c r="B3925">
        <v>5.0999679539843896</v>
      </c>
    </row>
    <row r="3926" spans="1:2" x14ac:dyDescent="0.35">
      <c r="A3926">
        <v>-0.109814383089542</v>
      </c>
      <c r="B3926">
        <v>5.09653801443151</v>
      </c>
    </row>
    <row r="3927" spans="1:2" x14ac:dyDescent="0.35">
      <c r="A3927">
        <v>-0.110238395631313</v>
      </c>
      <c r="B3927">
        <v>5.0923576534288202</v>
      </c>
    </row>
    <row r="3928" spans="1:2" x14ac:dyDescent="0.35">
      <c r="A3928">
        <v>-0.110782295465469</v>
      </c>
      <c r="B3928">
        <v>5.0744869730181303</v>
      </c>
    </row>
    <row r="3929" spans="1:2" x14ac:dyDescent="0.35">
      <c r="A3929">
        <v>-0.11117987334728199</v>
      </c>
      <c r="B3929">
        <v>5.0644522897242297</v>
      </c>
    </row>
    <row r="3930" spans="1:2" x14ac:dyDescent="0.35">
      <c r="A3930">
        <v>-0.111839398741722</v>
      </c>
      <c r="B3930">
        <v>5.05899719529853</v>
      </c>
    </row>
    <row r="3931" spans="1:2" x14ac:dyDescent="0.35">
      <c r="A3931">
        <v>-0.112234689295292</v>
      </c>
      <c r="B3931">
        <v>5.05481266957168</v>
      </c>
    </row>
    <row r="3932" spans="1:2" x14ac:dyDescent="0.35">
      <c r="A3932">
        <v>-0.11259408295154601</v>
      </c>
      <c r="B3932">
        <v>5.0431346696461699</v>
      </c>
    </row>
    <row r="3933" spans="1:2" x14ac:dyDescent="0.35">
      <c r="A3933">
        <v>-0.11329703778028501</v>
      </c>
      <c r="B3933">
        <v>5.0326623956903296</v>
      </c>
    </row>
    <row r="3934" spans="1:2" x14ac:dyDescent="0.35">
      <c r="A3934">
        <v>-0.11387684941291799</v>
      </c>
      <c r="B3934">
        <v>5.0231386627896502</v>
      </c>
    </row>
    <row r="3935" spans="1:2" x14ac:dyDescent="0.35">
      <c r="A3935">
        <v>-0.114121913909912</v>
      </c>
      <c r="B3935">
        <v>5.0081675971843698</v>
      </c>
    </row>
    <row r="3936" spans="1:2" x14ac:dyDescent="0.35">
      <c r="A3936">
        <v>-0.11472479999065401</v>
      </c>
      <c r="B3936">
        <v>5.0139994803114796</v>
      </c>
    </row>
    <row r="3937" spans="1:2" x14ac:dyDescent="0.35">
      <c r="A3937">
        <v>-0.1150973290205</v>
      </c>
      <c r="B3937">
        <v>4.9995966775646501</v>
      </c>
    </row>
    <row r="3938" spans="1:2" x14ac:dyDescent="0.35">
      <c r="A3938">
        <v>-0.115838430821896</v>
      </c>
      <c r="B3938">
        <v>4.9860842275072397</v>
      </c>
    </row>
    <row r="3939" spans="1:2" x14ac:dyDescent="0.35">
      <c r="A3939">
        <v>-0.116394467651844</v>
      </c>
      <c r="B3939">
        <v>4.984172640813</v>
      </c>
    </row>
    <row r="3940" spans="1:2" x14ac:dyDescent="0.35">
      <c r="A3940">
        <v>-0.116780780255795</v>
      </c>
      <c r="B3940">
        <v>4.9350204447456001</v>
      </c>
    </row>
    <row r="3941" spans="1:2" x14ac:dyDescent="0.35">
      <c r="A3941">
        <v>-0.117267288267612</v>
      </c>
      <c r="B3941">
        <v>4.9380526078514304</v>
      </c>
    </row>
    <row r="3942" spans="1:2" x14ac:dyDescent="0.35">
      <c r="A3942">
        <v>-0.11784582585096399</v>
      </c>
      <c r="B3942">
        <v>4.9226608910341003</v>
      </c>
    </row>
    <row r="3943" spans="1:2" x14ac:dyDescent="0.35">
      <c r="A3943">
        <v>-0.11826276034116701</v>
      </c>
      <c r="B3943">
        <v>4.9161795016874903</v>
      </c>
    </row>
    <row r="3944" spans="1:2" x14ac:dyDescent="0.35">
      <c r="A3944">
        <v>-0.118752874433994</v>
      </c>
      <c r="B3944">
        <v>4.91005211269096</v>
      </c>
    </row>
    <row r="3945" spans="1:2" x14ac:dyDescent="0.35">
      <c r="A3945">
        <v>-0.11930899322032899</v>
      </c>
      <c r="B3945">
        <v>4.8957742906081698</v>
      </c>
    </row>
    <row r="3946" spans="1:2" x14ac:dyDescent="0.35">
      <c r="A3946">
        <v>-0.11968979239463801</v>
      </c>
      <c r="B3946">
        <v>4.8956040078585801</v>
      </c>
    </row>
    <row r="3947" spans="1:2" x14ac:dyDescent="0.35">
      <c r="A3947">
        <v>-0.120333358645439</v>
      </c>
      <c r="B3947">
        <v>4.8998427080611897</v>
      </c>
    </row>
    <row r="3948" spans="1:2" x14ac:dyDescent="0.35">
      <c r="A3948">
        <v>-0.120781391859055</v>
      </c>
      <c r="B3948">
        <v>4.89554871318584</v>
      </c>
    </row>
    <row r="3949" spans="1:2" x14ac:dyDescent="0.35">
      <c r="A3949">
        <v>-0.12126924097538</v>
      </c>
      <c r="B3949">
        <v>4.8624360520635799</v>
      </c>
    </row>
    <row r="3950" spans="1:2" x14ac:dyDescent="0.35">
      <c r="A3950">
        <v>-0.121742211282253</v>
      </c>
      <c r="B3950">
        <v>4.8672419522891301</v>
      </c>
    </row>
    <row r="3951" spans="1:2" x14ac:dyDescent="0.35">
      <c r="A3951">
        <v>-0.122299782931805</v>
      </c>
      <c r="B3951">
        <v>4.8666662510063698</v>
      </c>
    </row>
    <row r="3952" spans="1:2" x14ac:dyDescent="0.35">
      <c r="A3952">
        <v>-0.12278001010417899</v>
      </c>
      <c r="B3952">
        <v>4.8495152174634697</v>
      </c>
    </row>
    <row r="3953" spans="1:2" x14ac:dyDescent="0.35">
      <c r="A3953">
        <v>-0.12329434603452701</v>
      </c>
      <c r="B3953">
        <v>4.85456133323322</v>
      </c>
    </row>
    <row r="3954" spans="1:2" x14ac:dyDescent="0.35">
      <c r="A3954">
        <v>-0.123760610818863</v>
      </c>
      <c r="B3954">
        <v>4.8385291721359698</v>
      </c>
    </row>
    <row r="3955" spans="1:2" x14ac:dyDescent="0.35">
      <c r="A3955">
        <v>-0.124353140592575</v>
      </c>
      <c r="B3955">
        <v>4.8316112146989099</v>
      </c>
    </row>
    <row r="3956" spans="1:2" x14ac:dyDescent="0.35">
      <c r="A3956">
        <v>-0.124917231500149</v>
      </c>
      <c r="B3956">
        <v>4.8226160326007603</v>
      </c>
    </row>
    <row r="3957" spans="1:2" x14ac:dyDescent="0.35">
      <c r="A3957">
        <v>-0.125237330794334</v>
      </c>
      <c r="B3957">
        <v>4.8112670269550604</v>
      </c>
    </row>
    <row r="3958" spans="1:2" x14ac:dyDescent="0.35">
      <c r="A3958">
        <v>-0.12577596306800801</v>
      </c>
      <c r="B3958">
        <v>4.8011788209461299</v>
      </c>
    </row>
    <row r="3959" spans="1:2" x14ac:dyDescent="0.35">
      <c r="A3959">
        <v>-0.12642695009708399</v>
      </c>
      <c r="B3959">
        <v>4.7799693783657</v>
      </c>
    </row>
    <row r="3960" spans="1:2" x14ac:dyDescent="0.35">
      <c r="A3960">
        <v>-0.12683506309986101</v>
      </c>
      <c r="B3960">
        <v>4.7714840126819702</v>
      </c>
    </row>
    <row r="3961" spans="1:2" x14ac:dyDescent="0.35">
      <c r="A3961">
        <v>-0.12743815779685999</v>
      </c>
      <c r="B3961">
        <v>4.76904615161253</v>
      </c>
    </row>
    <row r="3962" spans="1:2" x14ac:dyDescent="0.35">
      <c r="A3962">
        <v>-0.12783297896385201</v>
      </c>
      <c r="B3962">
        <v>4.7625154825682801</v>
      </c>
    </row>
    <row r="3963" spans="1:2" x14ac:dyDescent="0.35">
      <c r="A3963">
        <v>-0.12815172970295</v>
      </c>
      <c r="B3963">
        <v>4.75045107885511</v>
      </c>
    </row>
    <row r="3964" spans="1:2" x14ac:dyDescent="0.35">
      <c r="A3964">
        <v>-0.12879639863967901</v>
      </c>
      <c r="B3964">
        <v>4.7470446039520802</v>
      </c>
    </row>
    <row r="3965" spans="1:2" x14ac:dyDescent="0.35">
      <c r="A3965">
        <v>-0.129274472594261</v>
      </c>
      <c r="B3965">
        <v>4.73812524715132</v>
      </c>
    </row>
    <row r="3966" spans="1:2" x14ac:dyDescent="0.35">
      <c r="A3966">
        <v>-0.12984362244605999</v>
      </c>
      <c r="B3966">
        <v>4.7236168584353901</v>
      </c>
    </row>
    <row r="3967" spans="1:2" x14ac:dyDescent="0.35">
      <c r="A3967">
        <v>-0.13034516572952301</v>
      </c>
      <c r="B3967">
        <v>4.7167364904998399</v>
      </c>
    </row>
    <row r="3968" spans="1:2" x14ac:dyDescent="0.35">
      <c r="A3968">
        <v>-0.13071553409099601</v>
      </c>
      <c r="B3968">
        <v>4.7107304125005003</v>
      </c>
    </row>
    <row r="3969" spans="1:2" x14ac:dyDescent="0.35">
      <c r="A3969">
        <v>-0.13117934763431499</v>
      </c>
      <c r="B3969">
        <v>4.7011773199832003</v>
      </c>
    </row>
    <row r="3970" spans="1:2" x14ac:dyDescent="0.35">
      <c r="A3970">
        <v>-0.131729751825333</v>
      </c>
      <c r="B3970">
        <v>4.6996629034628796</v>
      </c>
    </row>
    <row r="3971" spans="1:2" x14ac:dyDescent="0.35">
      <c r="A3971">
        <v>-0.13213583827018699</v>
      </c>
      <c r="B3971">
        <v>4.6817378542399597</v>
      </c>
    </row>
    <row r="3972" spans="1:2" x14ac:dyDescent="0.35">
      <c r="A3972">
        <v>-0.13270822167396501</v>
      </c>
      <c r="B3972">
        <v>4.6794803957498399</v>
      </c>
    </row>
    <row r="3973" spans="1:2" x14ac:dyDescent="0.35">
      <c r="A3973">
        <v>-0.133314654231071</v>
      </c>
      <c r="B3973">
        <v>4.6564369543834001</v>
      </c>
    </row>
    <row r="3974" spans="1:2" x14ac:dyDescent="0.35">
      <c r="A3974">
        <v>-0.13363201916217801</v>
      </c>
      <c r="B3974">
        <v>4.6562583195037597</v>
      </c>
    </row>
    <row r="3975" spans="1:2" x14ac:dyDescent="0.35">
      <c r="A3975">
        <v>-0.13416585326194799</v>
      </c>
      <c r="B3975">
        <v>4.6529895995991799</v>
      </c>
    </row>
    <row r="3976" spans="1:2" x14ac:dyDescent="0.35">
      <c r="A3976">
        <v>-0.13462804257869701</v>
      </c>
      <c r="B3976">
        <v>4.6322974006060704</v>
      </c>
    </row>
    <row r="3977" spans="1:2" x14ac:dyDescent="0.35">
      <c r="A3977">
        <v>-0.13520503044128401</v>
      </c>
      <c r="B3977">
        <v>4.6297183863997198</v>
      </c>
    </row>
    <row r="3978" spans="1:2" x14ac:dyDescent="0.35">
      <c r="A3978">
        <v>-0.13580158352851901</v>
      </c>
      <c r="B3978">
        <v>4.6088512066308001</v>
      </c>
    </row>
    <row r="3979" spans="1:2" x14ac:dyDescent="0.35">
      <c r="A3979">
        <v>-0.13630419969558699</v>
      </c>
      <c r="B3979">
        <v>4.5959836641906202</v>
      </c>
    </row>
    <row r="3980" spans="1:2" x14ac:dyDescent="0.35">
      <c r="A3980">
        <v>-0.13665319979190799</v>
      </c>
      <c r="B3980">
        <v>4.5996209287740104</v>
      </c>
    </row>
    <row r="3981" spans="1:2" x14ac:dyDescent="0.35">
      <c r="A3981">
        <v>-0.13721486926078799</v>
      </c>
      <c r="B3981">
        <v>4.58898691765304</v>
      </c>
    </row>
    <row r="3982" spans="1:2" x14ac:dyDescent="0.35">
      <c r="A3982">
        <v>-0.13781073689460799</v>
      </c>
      <c r="B3982">
        <v>4.5822799473742402</v>
      </c>
    </row>
    <row r="3983" spans="1:2" x14ac:dyDescent="0.35">
      <c r="A3983">
        <v>-0.138138428330421</v>
      </c>
      <c r="B3983">
        <v>4.5757572745577297</v>
      </c>
    </row>
    <row r="3984" spans="1:2" x14ac:dyDescent="0.35">
      <c r="A3984">
        <v>-0.13871940970420801</v>
      </c>
      <c r="B3984">
        <v>4.5778369400165602</v>
      </c>
    </row>
    <row r="3985" spans="1:2" x14ac:dyDescent="0.35">
      <c r="A3985">
        <v>-0.13914850354194599</v>
      </c>
      <c r="B3985">
        <v>4.5643818452989304</v>
      </c>
    </row>
    <row r="3986" spans="1:2" x14ac:dyDescent="0.35">
      <c r="A3986">
        <v>-0.139697700738907</v>
      </c>
      <c r="B3986">
        <v>4.5524357964687896</v>
      </c>
    </row>
    <row r="3987" spans="1:2" x14ac:dyDescent="0.35">
      <c r="A3987">
        <v>-0.14021959900855999</v>
      </c>
      <c r="B3987">
        <v>4.5358654106758998</v>
      </c>
    </row>
    <row r="3988" spans="1:2" x14ac:dyDescent="0.35">
      <c r="A3988">
        <v>-0.14068785309791601</v>
      </c>
      <c r="B3988">
        <v>4.5359190122089599</v>
      </c>
    </row>
    <row r="3989" spans="1:2" x14ac:dyDescent="0.35">
      <c r="A3989">
        <v>-0.141168147325516</v>
      </c>
      <c r="B3989">
        <v>4.5298331481197396</v>
      </c>
    </row>
    <row r="3990" spans="1:2" x14ac:dyDescent="0.35">
      <c r="A3990">
        <v>-0.14173845946788799</v>
      </c>
      <c r="B3990">
        <v>4.5222043108412402</v>
      </c>
    </row>
    <row r="3991" spans="1:2" x14ac:dyDescent="0.35">
      <c r="A3991">
        <v>-0.14223027229309099</v>
      </c>
      <c r="B3991">
        <v>4.4980581015160199</v>
      </c>
    </row>
    <row r="3992" spans="1:2" x14ac:dyDescent="0.35">
      <c r="A3992">
        <v>-0.14265750348567999</v>
      </c>
      <c r="B3992">
        <v>4.49256416452367</v>
      </c>
    </row>
    <row r="3993" spans="1:2" x14ac:dyDescent="0.35">
      <c r="A3993">
        <v>-0.143298000097275</v>
      </c>
      <c r="B3993">
        <v>4.48873386118923</v>
      </c>
    </row>
    <row r="3994" spans="1:2" x14ac:dyDescent="0.35">
      <c r="A3994">
        <v>-0.14362232387065901</v>
      </c>
      <c r="B3994">
        <v>4.4751163034434498</v>
      </c>
    </row>
    <row r="3995" spans="1:2" x14ac:dyDescent="0.35">
      <c r="A3995">
        <v>-0.14420349895954099</v>
      </c>
      <c r="B3995">
        <v>4.4723200298664896</v>
      </c>
    </row>
    <row r="3996" spans="1:2" x14ac:dyDescent="0.35">
      <c r="A3996">
        <v>-0.14475788176059701</v>
      </c>
      <c r="B3996">
        <v>4.4672963391046503</v>
      </c>
    </row>
    <row r="3997" spans="1:2" x14ac:dyDescent="0.35">
      <c r="A3997">
        <v>-0.14513204991817499</v>
      </c>
      <c r="B3997">
        <v>4.4602205052293398</v>
      </c>
    </row>
    <row r="3998" spans="1:2" x14ac:dyDescent="0.35">
      <c r="A3998">
        <v>-0.145629093050957</v>
      </c>
      <c r="B3998">
        <v>4.4575910141698998</v>
      </c>
    </row>
    <row r="3999" spans="1:2" x14ac:dyDescent="0.35">
      <c r="A3999">
        <v>-0.14628230035305001</v>
      </c>
      <c r="B3999">
        <v>4.4564567678635996</v>
      </c>
    </row>
    <row r="4000" spans="1:2" x14ac:dyDescent="0.35">
      <c r="A4000">
        <v>-0.14681132137775399</v>
      </c>
      <c r="B4000">
        <v>4.4410862368058197</v>
      </c>
    </row>
    <row r="4001" spans="1:2" x14ac:dyDescent="0.35">
      <c r="A4001">
        <v>-0.147179245948792</v>
      </c>
      <c r="B4001">
        <v>4.4259588047880696</v>
      </c>
    </row>
    <row r="4002" spans="1:2" x14ac:dyDescent="0.35">
      <c r="A4002">
        <v>-0.14768372476100899</v>
      </c>
      <c r="B4002">
        <v>4.4115590614580196</v>
      </c>
    </row>
    <row r="4003" spans="1:2" x14ac:dyDescent="0.35">
      <c r="A4003">
        <v>-0.14830183982849099</v>
      </c>
      <c r="B4003">
        <v>4.3959018870127</v>
      </c>
    </row>
    <row r="4004" spans="1:2" x14ac:dyDescent="0.35">
      <c r="A4004">
        <v>-0.14875891804695099</v>
      </c>
      <c r="B4004">
        <v>4.3830678618314698</v>
      </c>
    </row>
    <row r="4005" spans="1:2" x14ac:dyDescent="0.35">
      <c r="A4005">
        <v>-0.14917977154254899</v>
      </c>
      <c r="B4005">
        <v>4.3873127664699796</v>
      </c>
    </row>
    <row r="4006" spans="1:2" x14ac:dyDescent="0.35">
      <c r="A4006">
        <v>-0.149705395102501</v>
      </c>
      <c r="B4006">
        <v>4.3689631516105001</v>
      </c>
    </row>
    <row r="4007" spans="1:2" x14ac:dyDescent="0.35">
      <c r="A4007">
        <v>-0.15014764666557301</v>
      </c>
      <c r="B4007">
        <v>4.3550590187062603</v>
      </c>
    </row>
    <row r="4008" spans="1:2" x14ac:dyDescent="0.35">
      <c r="A4008">
        <v>-0.15077723562717399</v>
      </c>
      <c r="B4008">
        <v>4.3508842617734098</v>
      </c>
    </row>
    <row r="4009" spans="1:2" x14ac:dyDescent="0.35">
      <c r="A4009">
        <v>-0.151237487792969</v>
      </c>
      <c r="B4009">
        <v>4.34892528816758</v>
      </c>
    </row>
    <row r="4010" spans="1:2" x14ac:dyDescent="0.35">
      <c r="A4010">
        <v>-0.15161304175853699</v>
      </c>
      <c r="B4010">
        <v>4.3418601104372296</v>
      </c>
    </row>
    <row r="4011" spans="1:2" x14ac:dyDescent="0.35">
      <c r="A4011">
        <v>-0.152231976389885</v>
      </c>
      <c r="B4011">
        <v>4.3280355281545999</v>
      </c>
    </row>
    <row r="4012" spans="1:2" x14ac:dyDescent="0.35">
      <c r="A4012">
        <v>-0.152684405446053</v>
      </c>
      <c r="B4012">
        <v>4.3225695447371697</v>
      </c>
    </row>
    <row r="4013" spans="1:2" x14ac:dyDescent="0.35">
      <c r="A4013">
        <v>-0.15304939448833499</v>
      </c>
      <c r="B4013">
        <v>4.3236749989976504</v>
      </c>
    </row>
    <row r="4014" spans="1:2" x14ac:dyDescent="0.35">
      <c r="A4014">
        <v>-0.15370431542396501</v>
      </c>
      <c r="B4014">
        <v>4.3035415057814097</v>
      </c>
    </row>
    <row r="4015" spans="1:2" x14ac:dyDescent="0.35">
      <c r="A4015">
        <v>-0.15422363579273199</v>
      </c>
      <c r="B4015">
        <v>4.2990559810913602</v>
      </c>
    </row>
    <row r="4016" spans="1:2" x14ac:dyDescent="0.35">
      <c r="A4016">
        <v>-0.154611051082611</v>
      </c>
      <c r="B4016">
        <v>4.2861267775685699</v>
      </c>
    </row>
    <row r="4017" spans="1:2" x14ac:dyDescent="0.35">
      <c r="A4017">
        <v>-0.15517817437648801</v>
      </c>
      <c r="B4017">
        <v>4.2848093241840397</v>
      </c>
    </row>
    <row r="4018" spans="1:2" x14ac:dyDescent="0.35">
      <c r="A4018">
        <v>-0.15576964616775499</v>
      </c>
      <c r="B4018">
        <v>4.2725348704486299</v>
      </c>
    </row>
    <row r="4019" spans="1:2" x14ac:dyDescent="0.35">
      <c r="A4019">
        <v>-0.15605688095092801</v>
      </c>
      <c r="B4019">
        <v>4.2609722984490004</v>
      </c>
    </row>
    <row r="4020" spans="1:2" x14ac:dyDescent="0.35">
      <c r="A4020">
        <v>-0.15668667852878601</v>
      </c>
      <c r="B4020">
        <v>4.2578867931965103</v>
      </c>
    </row>
    <row r="4021" spans="1:2" x14ac:dyDescent="0.35">
      <c r="A4021">
        <v>-0.15721772611141199</v>
      </c>
      <c r="B4021">
        <v>4.2434028674472799</v>
      </c>
    </row>
    <row r="4022" spans="1:2" x14ac:dyDescent="0.35">
      <c r="A4022">
        <v>-0.15758880972862199</v>
      </c>
      <c r="B4022">
        <v>4.2362806834397198</v>
      </c>
    </row>
    <row r="4023" spans="1:2" x14ac:dyDescent="0.35">
      <c r="A4023">
        <v>-0.15828233957290599</v>
      </c>
      <c r="B4023">
        <v>4.2249594063132001</v>
      </c>
    </row>
    <row r="4024" spans="1:2" x14ac:dyDescent="0.35">
      <c r="A4024">
        <v>-0.15862797200679801</v>
      </c>
      <c r="B4024">
        <v>4.2272925300967499</v>
      </c>
    </row>
    <row r="4025" spans="1:2" x14ac:dyDescent="0.35">
      <c r="A4025">
        <v>-0.15918429195880901</v>
      </c>
      <c r="B4025">
        <v>4.2200460619182802</v>
      </c>
    </row>
    <row r="4026" spans="1:2" x14ac:dyDescent="0.35">
      <c r="A4026">
        <v>-0.15970712900161699</v>
      </c>
      <c r="B4026">
        <v>4.2053074147470797</v>
      </c>
    </row>
    <row r="4027" spans="1:2" x14ac:dyDescent="0.35">
      <c r="A4027">
        <v>-0.16024766862392401</v>
      </c>
      <c r="B4027">
        <v>4.1953073162906298</v>
      </c>
    </row>
    <row r="4028" spans="1:2" x14ac:dyDescent="0.35">
      <c r="A4028">
        <v>-0.16059854626655601</v>
      </c>
      <c r="B4028">
        <v>4.1871175230800803</v>
      </c>
    </row>
    <row r="4029" spans="1:2" x14ac:dyDescent="0.35">
      <c r="A4029">
        <v>-0.16139137744903601</v>
      </c>
      <c r="B4029">
        <v>4.1778501621629998</v>
      </c>
    </row>
    <row r="4030" spans="1:2" x14ac:dyDescent="0.35">
      <c r="A4030">
        <v>-0.16179123520851099</v>
      </c>
      <c r="B4030">
        <v>4.17267829795012</v>
      </c>
    </row>
    <row r="4031" spans="1:2" x14ac:dyDescent="0.35">
      <c r="A4031">
        <v>-0.16215263307094599</v>
      </c>
      <c r="B4031">
        <v>4.1652567983645801</v>
      </c>
    </row>
    <row r="4032" spans="1:2" x14ac:dyDescent="0.35">
      <c r="A4032">
        <v>-0.16267429292201999</v>
      </c>
      <c r="B4032">
        <v>4.1436193450855097</v>
      </c>
    </row>
    <row r="4033" spans="1:2" x14ac:dyDescent="0.35">
      <c r="A4033">
        <v>-0.16315694153308899</v>
      </c>
      <c r="B4033">
        <v>4.1392897436027303</v>
      </c>
    </row>
    <row r="4034" spans="1:2" x14ac:dyDescent="0.35">
      <c r="A4034">
        <v>-0.163674160838127</v>
      </c>
      <c r="B4034">
        <v>4.13794199490283</v>
      </c>
    </row>
    <row r="4035" spans="1:2" x14ac:dyDescent="0.35">
      <c r="A4035">
        <v>-0.16429518163204199</v>
      </c>
      <c r="B4035">
        <v>4.1226290500599303</v>
      </c>
    </row>
    <row r="4036" spans="1:2" x14ac:dyDescent="0.35">
      <c r="A4036">
        <v>-0.16470372676849401</v>
      </c>
      <c r="B4036">
        <v>4.1178330263969301</v>
      </c>
    </row>
    <row r="4037" spans="1:2" x14ac:dyDescent="0.35">
      <c r="A4037">
        <v>-0.165192246437073</v>
      </c>
      <c r="B4037">
        <v>4.1106723042303797</v>
      </c>
    </row>
    <row r="4038" spans="1:2" x14ac:dyDescent="0.35">
      <c r="A4038">
        <v>-0.16577717661857599</v>
      </c>
      <c r="B4038">
        <v>4.1071627035442999</v>
      </c>
    </row>
    <row r="4039" spans="1:2" x14ac:dyDescent="0.35">
      <c r="A4039">
        <v>-0.16612955927848799</v>
      </c>
      <c r="B4039">
        <v>4.0799255316913303</v>
      </c>
    </row>
    <row r="4040" spans="1:2" x14ac:dyDescent="0.35">
      <c r="A4040">
        <v>-0.166678607463837</v>
      </c>
      <c r="B4040">
        <v>4.0806004056042298</v>
      </c>
    </row>
    <row r="4041" spans="1:2" x14ac:dyDescent="0.35">
      <c r="A4041">
        <v>-0.167257234454155</v>
      </c>
      <c r="B4041">
        <v>4.0696158294495497</v>
      </c>
    </row>
    <row r="4042" spans="1:2" x14ac:dyDescent="0.35">
      <c r="A4042">
        <v>-0.16756199300289201</v>
      </c>
      <c r="B4042">
        <v>4.0589041913009103</v>
      </c>
    </row>
    <row r="4043" spans="1:2" x14ac:dyDescent="0.35">
      <c r="A4043">
        <v>-0.16817638278007499</v>
      </c>
      <c r="B4043">
        <v>4.05860641233817</v>
      </c>
    </row>
    <row r="4044" spans="1:2" x14ac:dyDescent="0.35">
      <c r="A4044">
        <v>-0.16872023046016699</v>
      </c>
      <c r="B4044">
        <v>4.0435615755487104</v>
      </c>
    </row>
    <row r="4045" spans="1:2" x14ac:dyDescent="0.35">
      <c r="A4045">
        <v>-0.16917310655116999</v>
      </c>
      <c r="B4045">
        <v>4.0275400287877696</v>
      </c>
    </row>
    <row r="4046" spans="1:2" x14ac:dyDescent="0.35">
      <c r="A4046">
        <v>-0.16961094737052901</v>
      </c>
      <c r="B4046">
        <v>4.0304447522553604</v>
      </c>
    </row>
    <row r="4047" spans="1:2" x14ac:dyDescent="0.35">
      <c r="A4047">
        <v>-0.17038358747959101</v>
      </c>
      <c r="B4047">
        <v>4.0183895423852496</v>
      </c>
    </row>
    <row r="4048" spans="1:2" x14ac:dyDescent="0.35">
      <c r="A4048">
        <v>-0.17074403166770899</v>
      </c>
      <c r="B4048">
        <v>4.0135170500992396</v>
      </c>
    </row>
    <row r="4049" spans="1:2" x14ac:dyDescent="0.35">
      <c r="A4049">
        <v>-0.171086385846138</v>
      </c>
      <c r="B4049">
        <v>4.0080094852841901</v>
      </c>
    </row>
    <row r="4050" spans="1:2" x14ac:dyDescent="0.35">
      <c r="A4050">
        <v>-0.17166849970817599</v>
      </c>
      <c r="B4050">
        <v>4.0090792409756997</v>
      </c>
    </row>
    <row r="4051" spans="1:2" x14ac:dyDescent="0.35">
      <c r="A4051">
        <v>-0.17229084670543701</v>
      </c>
      <c r="B4051">
        <v>3.9751739509766302</v>
      </c>
    </row>
    <row r="4052" spans="1:2" x14ac:dyDescent="0.35">
      <c r="A4052">
        <v>-0.17276389896869701</v>
      </c>
      <c r="B4052">
        <v>3.970967981881</v>
      </c>
    </row>
    <row r="4053" spans="1:2" x14ac:dyDescent="0.35">
      <c r="A4053">
        <v>-0.17311273515224501</v>
      </c>
      <c r="B4053">
        <v>3.9662958811727398</v>
      </c>
    </row>
    <row r="4054" spans="1:2" x14ac:dyDescent="0.35">
      <c r="A4054">
        <v>-0.17365856468677501</v>
      </c>
      <c r="B4054">
        <v>3.9632252474624701</v>
      </c>
    </row>
    <row r="4055" spans="1:2" x14ac:dyDescent="0.35">
      <c r="A4055">
        <v>-0.17438478767871901</v>
      </c>
      <c r="B4055">
        <v>3.95096957199187</v>
      </c>
    </row>
    <row r="4056" spans="1:2" x14ac:dyDescent="0.35">
      <c r="A4056">
        <v>-0.17475245893001601</v>
      </c>
      <c r="B4056">
        <v>3.9465449965763901</v>
      </c>
    </row>
    <row r="4057" spans="1:2" x14ac:dyDescent="0.35">
      <c r="A4057">
        <v>-0.175206333398819</v>
      </c>
      <c r="B4057">
        <v>3.92890891329513</v>
      </c>
    </row>
    <row r="4058" spans="1:2" x14ac:dyDescent="0.35">
      <c r="A4058">
        <v>-0.17574268579482999</v>
      </c>
      <c r="B4058">
        <v>3.92747618620094</v>
      </c>
    </row>
    <row r="4059" spans="1:2" x14ac:dyDescent="0.35">
      <c r="A4059">
        <v>-0.17621557414531699</v>
      </c>
      <c r="B4059">
        <v>3.9261692800022399</v>
      </c>
    </row>
    <row r="4060" spans="1:2" x14ac:dyDescent="0.35">
      <c r="A4060">
        <v>-0.176676765084267</v>
      </c>
      <c r="B4060">
        <v>3.9188546325282299</v>
      </c>
    </row>
    <row r="4061" spans="1:2" x14ac:dyDescent="0.35">
      <c r="A4061">
        <v>-0.177176043391228</v>
      </c>
      <c r="B4061">
        <v>3.91323701014091</v>
      </c>
    </row>
    <row r="4062" spans="1:2" x14ac:dyDescent="0.35">
      <c r="A4062">
        <v>-0.177682980895042</v>
      </c>
      <c r="B4062">
        <v>3.8931291131628898</v>
      </c>
    </row>
    <row r="4063" spans="1:2" x14ac:dyDescent="0.35">
      <c r="A4063">
        <v>-0.178150460124016</v>
      </c>
      <c r="B4063">
        <v>3.8824478049016702</v>
      </c>
    </row>
    <row r="4064" spans="1:2" x14ac:dyDescent="0.35">
      <c r="A4064">
        <v>-0.178748279809952</v>
      </c>
      <c r="B4064">
        <v>3.86382974761599</v>
      </c>
    </row>
    <row r="4065" spans="1:2" x14ac:dyDescent="0.35">
      <c r="A4065">
        <v>-0.17917661368846899</v>
      </c>
      <c r="B4065">
        <v>3.8672853785466099</v>
      </c>
    </row>
    <row r="4066" spans="1:2" x14ac:dyDescent="0.35">
      <c r="A4066">
        <v>-0.17968648672103901</v>
      </c>
      <c r="B4066">
        <v>3.8557809687884701</v>
      </c>
    </row>
    <row r="4067" spans="1:2" x14ac:dyDescent="0.35">
      <c r="A4067">
        <v>-0.180159211158752</v>
      </c>
      <c r="B4067">
        <v>3.8453752081444499</v>
      </c>
    </row>
    <row r="4068" spans="1:2" x14ac:dyDescent="0.35">
      <c r="A4068">
        <v>-0.180643990635872</v>
      </c>
      <c r="B4068">
        <v>3.8391969761758298</v>
      </c>
    </row>
    <row r="4069" spans="1:2" x14ac:dyDescent="0.35">
      <c r="A4069">
        <v>-0.18116024136543299</v>
      </c>
      <c r="B4069">
        <v>3.8165685987753801</v>
      </c>
    </row>
    <row r="4070" spans="1:2" x14ac:dyDescent="0.35">
      <c r="A4070">
        <v>-0.181697577238083</v>
      </c>
      <c r="B4070">
        <v>3.8169123758582701</v>
      </c>
    </row>
    <row r="4071" spans="1:2" x14ac:dyDescent="0.35">
      <c r="A4071">
        <v>-0.18207517266273501</v>
      </c>
      <c r="B4071">
        <v>3.8212196680712398</v>
      </c>
    </row>
    <row r="4072" spans="1:2" x14ac:dyDescent="0.35">
      <c r="A4072">
        <v>-0.18264859914779699</v>
      </c>
      <c r="B4072">
        <v>3.8142756132334101</v>
      </c>
    </row>
    <row r="4073" spans="1:2" x14ac:dyDescent="0.35">
      <c r="A4073">
        <v>-0.183061763644218</v>
      </c>
      <c r="B4073">
        <v>3.7998304710037298</v>
      </c>
    </row>
    <row r="4074" spans="1:2" x14ac:dyDescent="0.35">
      <c r="A4074">
        <v>-0.18361337482929199</v>
      </c>
      <c r="B4074">
        <v>3.7820728893442999</v>
      </c>
    </row>
    <row r="4075" spans="1:2" x14ac:dyDescent="0.35">
      <c r="A4075">
        <v>-0.184243053197861</v>
      </c>
      <c r="B4075">
        <v>3.7920084188748402</v>
      </c>
    </row>
    <row r="4076" spans="1:2" x14ac:dyDescent="0.35">
      <c r="A4076">
        <v>-0.18463304638862599</v>
      </c>
      <c r="B4076">
        <v>3.7748068529770702</v>
      </c>
    </row>
    <row r="4077" spans="1:2" x14ac:dyDescent="0.35">
      <c r="A4077">
        <v>-0.185068935155869</v>
      </c>
      <c r="B4077">
        <v>3.7645850476768299</v>
      </c>
    </row>
    <row r="4078" spans="1:2" x14ac:dyDescent="0.35">
      <c r="A4078">
        <v>-0.185600936412811</v>
      </c>
      <c r="B4078">
        <v>3.7561671377920498</v>
      </c>
    </row>
    <row r="4079" spans="1:2" x14ac:dyDescent="0.35">
      <c r="A4079">
        <v>-0.18616953492164601</v>
      </c>
      <c r="B4079">
        <v>3.7531627384447299</v>
      </c>
    </row>
    <row r="4080" spans="1:2" x14ac:dyDescent="0.35">
      <c r="A4080">
        <v>-0.186551094055176</v>
      </c>
      <c r="B4080">
        <v>3.7497576656368099</v>
      </c>
    </row>
    <row r="4081" spans="1:2" x14ac:dyDescent="0.35">
      <c r="A4081">
        <v>-0.18713828921318101</v>
      </c>
      <c r="B4081">
        <v>3.7250862907747599</v>
      </c>
    </row>
    <row r="4082" spans="1:2" x14ac:dyDescent="0.35">
      <c r="A4082">
        <v>-0.18776807188987699</v>
      </c>
      <c r="B4082">
        <v>3.7226525298031299</v>
      </c>
    </row>
    <row r="4083" spans="1:2" x14ac:dyDescent="0.35">
      <c r="A4083">
        <v>-0.18819609284400901</v>
      </c>
      <c r="B4083">
        <v>3.71837733040097</v>
      </c>
    </row>
    <row r="4084" spans="1:2" x14ac:dyDescent="0.35">
      <c r="A4084">
        <v>-0.18856637179851499</v>
      </c>
      <c r="B4084">
        <v>3.7053516558175401</v>
      </c>
    </row>
    <row r="4085" spans="1:2" x14ac:dyDescent="0.35">
      <c r="A4085">
        <v>-0.18906788527965501</v>
      </c>
      <c r="B4085">
        <v>3.7023207168684298</v>
      </c>
    </row>
    <row r="4086" spans="1:2" x14ac:dyDescent="0.35">
      <c r="A4086">
        <v>-0.18972273170948001</v>
      </c>
      <c r="B4086">
        <v>3.6994421162048399</v>
      </c>
    </row>
    <row r="4087" spans="1:2" x14ac:dyDescent="0.35">
      <c r="A4087">
        <v>-0.19021141529083299</v>
      </c>
      <c r="B4087">
        <v>3.6955090337458798</v>
      </c>
    </row>
    <row r="4088" spans="1:2" x14ac:dyDescent="0.35">
      <c r="A4088">
        <v>-0.19061258435249301</v>
      </c>
      <c r="B4088">
        <v>3.6855439909866199</v>
      </c>
    </row>
    <row r="4089" spans="1:2" x14ac:dyDescent="0.35">
      <c r="A4089">
        <v>-0.19116789102554299</v>
      </c>
      <c r="B4089">
        <v>3.6766843170182502</v>
      </c>
    </row>
    <row r="4090" spans="1:2" x14ac:dyDescent="0.35">
      <c r="A4090">
        <v>-0.191692590713501</v>
      </c>
      <c r="B4090">
        <v>3.6718415836750702</v>
      </c>
    </row>
    <row r="4091" spans="1:2" x14ac:dyDescent="0.35">
      <c r="A4091">
        <v>-0.19214655458927199</v>
      </c>
      <c r="B4091">
        <v>3.6549862356865002</v>
      </c>
    </row>
    <row r="4092" spans="1:2" x14ac:dyDescent="0.35">
      <c r="A4092">
        <v>-0.192757964134216</v>
      </c>
      <c r="B4092">
        <v>3.6509220792216799</v>
      </c>
    </row>
    <row r="4093" spans="1:2" x14ac:dyDescent="0.35">
      <c r="A4093">
        <v>-0.19319786131382</v>
      </c>
      <c r="B4093">
        <v>3.64003925844922</v>
      </c>
    </row>
    <row r="4094" spans="1:2" x14ac:dyDescent="0.35">
      <c r="A4094">
        <v>-0.19363713264465299</v>
      </c>
      <c r="B4094">
        <v>3.6275727447364798</v>
      </c>
    </row>
    <row r="4095" spans="1:2" x14ac:dyDescent="0.35">
      <c r="A4095">
        <v>-0.194172278046608</v>
      </c>
      <c r="B4095">
        <v>3.6196826038734602</v>
      </c>
    </row>
    <row r="4096" spans="1:2" x14ac:dyDescent="0.35">
      <c r="A4096">
        <v>-0.19466936588287401</v>
      </c>
      <c r="B4096">
        <v>3.6158731016149099</v>
      </c>
    </row>
    <row r="4097" spans="1:2" x14ac:dyDescent="0.35">
      <c r="A4097">
        <v>-0.19506101310253099</v>
      </c>
      <c r="B4097">
        <v>3.6090406573327898</v>
      </c>
    </row>
    <row r="4098" spans="1:2" x14ac:dyDescent="0.35">
      <c r="A4098">
        <v>-0.19560882449150099</v>
      </c>
      <c r="B4098">
        <v>3.6026344224609899</v>
      </c>
    </row>
    <row r="4099" spans="1:2" x14ac:dyDescent="0.35">
      <c r="A4099">
        <v>-0.196278780698776</v>
      </c>
      <c r="B4099">
        <v>3.5935559099938401</v>
      </c>
    </row>
    <row r="4100" spans="1:2" x14ac:dyDescent="0.35">
      <c r="A4100">
        <v>-0.19649110734462699</v>
      </c>
      <c r="B4100">
        <v>3.56680623151501</v>
      </c>
    </row>
    <row r="4101" spans="1:2" x14ac:dyDescent="0.35">
      <c r="A4101">
        <v>-0.19713959097862199</v>
      </c>
      <c r="B4101">
        <v>3.5702514232563498</v>
      </c>
    </row>
    <row r="4102" spans="1:2" x14ac:dyDescent="0.35">
      <c r="A4102">
        <v>-0.19758795201778401</v>
      </c>
      <c r="B4102">
        <v>3.5510723700038902</v>
      </c>
    </row>
    <row r="4103" spans="1:2" x14ac:dyDescent="0.35">
      <c r="A4103">
        <v>-0.198059007525444</v>
      </c>
      <c r="B4103">
        <v>3.54747644480892</v>
      </c>
    </row>
    <row r="4104" spans="1:2" x14ac:dyDescent="0.35">
      <c r="A4104">
        <v>-0.198701336979866</v>
      </c>
      <c r="B4104">
        <v>3.5460948577453899</v>
      </c>
    </row>
    <row r="4105" spans="1:2" x14ac:dyDescent="0.35">
      <c r="A4105">
        <v>-0.19914004206657401</v>
      </c>
      <c r="B4105">
        <v>3.52240606329898</v>
      </c>
    </row>
    <row r="4106" spans="1:2" x14ac:dyDescent="0.35">
      <c r="A4106">
        <v>-0.19943822920322399</v>
      </c>
      <c r="B4106">
        <v>3.51274107401591</v>
      </c>
    </row>
    <row r="4107" spans="1:2" x14ac:dyDescent="0.35">
      <c r="A4107">
        <v>-0.20005188882350899</v>
      </c>
      <c r="B4107">
        <v>3.50953594983757</v>
      </c>
    </row>
    <row r="4108" spans="1:2" x14ac:dyDescent="0.35">
      <c r="A4108">
        <v>-0.20065279304981201</v>
      </c>
      <c r="B4108">
        <v>3.49120178066747</v>
      </c>
    </row>
    <row r="4109" spans="1:2" x14ac:dyDescent="0.35">
      <c r="A4109">
        <v>-0.201138570904732</v>
      </c>
      <c r="B4109">
        <v>3.4921900104581298</v>
      </c>
    </row>
    <row r="4110" spans="1:2" x14ac:dyDescent="0.35">
      <c r="A4110">
        <v>-0.20162077248096499</v>
      </c>
      <c r="B4110">
        <v>3.4839498595481202</v>
      </c>
    </row>
    <row r="4111" spans="1:2" x14ac:dyDescent="0.35">
      <c r="A4111">
        <v>-0.20218908786773701</v>
      </c>
      <c r="B4111">
        <v>3.4736160400791798</v>
      </c>
    </row>
    <row r="4112" spans="1:2" x14ac:dyDescent="0.35">
      <c r="A4112">
        <v>-0.20261950790882099</v>
      </c>
      <c r="B4112">
        <v>3.4662760668559001</v>
      </c>
    </row>
    <row r="4113" spans="1:2" x14ac:dyDescent="0.35">
      <c r="A4113">
        <v>-0.20309346914291401</v>
      </c>
      <c r="B4113">
        <v>3.46766807660285</v>
      </c>
    </row>
    <row r="4114" spans="1:2" x14ac:dyDescent="0.35">
      <c r="A4114">
        <v>-0.20370502769947099</v>
      </c>
      <c r="B4114">
        <v>3.45195712301541</v>
      </c>
    </row>
    <row r="4115" spans="1:2" x14ac:dyDescent="0.35">
      <c r="A4115">
        <v>-0.20408239960670499</v>
      </c>
      <c r="B4115">
        <v>3.4450903718505201</v>
      </c>
    </row>
    <row r="4116" spans="1:2" x14ac:dyDescent="0.35">
      <c r="A4116">
        <v>-0.20478005707263899</v>
      </c>
      <c r="B4116">
        <v>3.4369077398639098</v>
      </c>
    </row>
    <row r="4117" spans="1:2" x14ac:dyDescent="0.35">
      <c r="A4117">
        <v>-0.20519481599330899</v>
      </c>
      <c r="B4117">
        <v>3.43027879019388</v>
      </c>
    </row>
    <row r="4118" spans="1:2" x14ac:dyDescent="0.35">
      <c r="A4118">
        <v>-0.20573733747005499</v>
      </c>
      <c r="B4118">
        <v>3.4276359362663098</v>
      </c>
    </row>
    <row r="4119" spans="1:2" x14ac:dyDescent="0.35">
      <c r="A4119">
        <v>-0.20613607764244099</v>
      </c>
      <c r="B4119">
        <v>3.4270052677851699</v>
      </c>
    </row>
    <row r="4120" spans="1:2" x14ac:dyDescent="0.35">
      <c r="A4120">
        <v>-0.20665341615676899</v>
      </c>
      <c r="B4120">
        <v>3.4215937688768201</v>
      </c>
    </row>
    <row r="4121" spans="1:2" x14ac:dyDescent="0.35">
      <c r="A4121">
        <v>-0.20726402103900901</v>
      </c>
      <c r="B4121">
        <v>3.4025907712954</v>
      </c>
    </row>
    <row r="4122" spans="1:2" x14ac:dyDescent="0.35">
      <c r="A4122">
        <v>-0.207758158445358</v>
      </c>
      <c r="B4122">
        <v>3.3895268542970101</v>
      </c>
    </row>
    <row r="4123" spans="1:2" x14ac:dyDescent="0.35">
      <c r="A4123">
        <v>-0.20827016234397899</v>
      </c>
      <c r="B4123">
        <v>3.3840811107187201</v>
      </c>
    </row>
    <row r="4124" spans="1:2" x14ac:dyDescent="0.35">
      <c r="A4124">
        <v>-0.208787322044373</v>
      </c>
      <c r="B4124">
        <v>3.3745431496707599</v>
      </c>
    </row>
    <row r="4125" spans="1:2" x14ac:dyDescent="0.35">
      <c r="A4125">
        <v>-0.20919138193130499</v>
      </c>
      <c r="B4125">
        <v>3.36422163972586</v>
      </c>
    </row>
    <row r="4126" spans="1:2" x14ac:dyDescent="0.35">
      <c r="A4126">
        <v>-0.20964412391185799</v>
      </c>
      <c r="B4126">
        <v>3.3547353433529099</v>
      </c>
    </row>
    <row r="4127" spans="1:2" x14ac:dyDescent="0.35">
      <c r="A4127">
        <v>-0.21036690473556499</v>
      </c>
      <c r="B4127">
        <v>3.3526038785956902</v>
      </c>
    </row>
    <row r="4128" spans="1:2" x14ac:dyDescent="0.35">
      <c r="A4128">
        <v>-0.21062380075454701</v>
      </c>
      <c r="B4128">
        <v>3.3491164267206401</v>
      </c>
    </row>
    <row r="4129" spans="1:2" x14ac:dyDescent="0.35">
      <c r="A4129">
        <v>-0.21137332916259799</v>
      </c>
      <c r="B4129">
        <v>3.3442671651215599</v>
      </c>
    </row>
    <row r="4130" spans="1:2" x14ac:dyDescent="0.35">
      <c r="A4130">
        <v>-0.211728125810623</v>
      </c>
      <c r="B4130">
        <v>3.3390057229788601</v>
      </c>
    </row>
    <row r="4131" spans="1:2" x14ac:dyDescent="0.35">
      <c r="A4131">
        <v>-0.212151348590851</v>
      </c>
      <c r="B4131">
        <v>3.31557687824127</v>
      </c>
    </row>
    <row r="4132" spans="1:2" x14ac:dyDescent="0.35">
      <c r="A4132">
        <v>-0.212640151381493</v>
      </c>
      <c r="B4132">
        <v>3.3070537045459099</v>
      </c>
    </row>
    <row r="4133" spans="1:2" x14ac:dyDescent="0.35">
      <c r="A4133">
        <v>-0.21309912204742401</v>
      </c>
      <c r="B4133">
        <v>3.30347846967484</v>
      </c>
    </row>
    <row r="4134" spans="1:2" x14ac:dyDescent="0.35">
      <c r="A4134">
        <v>-0.21362391114234899</v>
      </c>
      <c r="B4134">
        <v>3.2997635257412998</v>
      </c>
    </row>
    <row r="4135" spans="1:2" x14ac:dyDescent="0.35">
      <c r="A4135">
        <v>-0.21422810852527599</v>
      </c>
      <c r="B4135">
        <v>3.2921710702303</v>
      </c>
    </row>
    <row r="4136" spans="1:2" x14ac:dyDescent="0.35">
      <c r="A4136">
        <v>-0.21467745304107699</v>
      </c>
      <c r="B4136">
        <v>3.2806854504644098</v>
      </c>
    </row>
    <row r="4137" spans="1:2" x14ac:dyDescent="0.35">
      <c r="A4137">
        <v>-0.21493305265903501</v>
      </c>
      <c r="B4137">
        <v>3.27327362189508</v>
      </c>
    </row>
    <row r="4138" spans="1:2" x14ac:dyDescent="0.35">
      <c r="A4138">
        <v>-0.21569319069385501</v>
      </c>
      <c r="B4138">
        <v>3.26640405843176</v>
      </c>
    </row>
    <row r="4139" spans="1:2" x14ac:dyDescent="0.35">
      <c r="A4139">
        <v>-0.21604210138320901</v>
      </c>
      <c r="B4139">
        <v>3.25367101751847</v>
      </c>
    </row>
    <row r="4140" spans="1:2" x14ac:dyDescent="0.35">
      <c r="A4140">
        <v>-0.21662510931491899</v>
      </c>
      <c r="B4140">
        <v>3.2554149358820799</v>
      </c>
    </row>
    <row r="4141" spans="1:2" x14ac:dyDescent="0.35">
      <c r="A4141">
        <v>-0.21713303029537201</v>
      </c>
      <c r="B4141">
        <v>3.2431683962108901</v>
      </c>
    </row>
    <row r="4142" spans="1:2" x14ac:dyDescent="0.35">
      <c r="A4142">
        <v>-0.217593014240265</v>
      </c>
      <c r="B4142">
        <v>3.2310639286370901</v>
      </c>
    </row>
    <row r="4143" spans="1:2" x14ac:dyDescent="0.35">
      <c r="A4143">
        <v>-0.21818895637989</v>
      </c>
      <c r="B4143">
        <v>3.22065484550708</v>
      </c>
    </row>
    <row r="4144" spans="1:2" x14ac:dyDescent="0.35">
      <c r="A4144">
        <v>-0.21868176758289301</v>
      </c>
      <c r="B4144">
        <v>3.2181758913701901</v>
      </c>
    </row>
    <row r="4145" spans="1:2" x14ac:dyDescent="0.35">
      <c r="A4145">
        <v>-0.21905273199081399</v>
      </c>
      <c r="B4145">
        <v>3.20990195449285</v>
      </c>
    </row>
    <row r="4146" spans="1:2" x14ac:dyDescent="0.35">
      <c r="A4146">
        <v>-0.21968264877796201</v>
      </c>
      <c r="B4146">
        <v>3.1980546785314798</v>
      </c>
    </row>
    <row r="4147" spans="1:2" x14ac:dyDescent="0.35">
      <c r="A4147">
        <v>-0.22016176581382799</v>
      </c>
      <c r="B4147">
        <v>3.1940496773709799</v>
      </c>
    </row>
    <row r="4148" spans="1:2" x14ac:dyDescent="0.35">
      <c r="A4148">
        <v>-0.220608055591583</v>
      </c>
      <c r="B4148">
        <v>3.1855171027096301</v>
      </c>
    </row>
    <row r="4149" spans="1:2" x14ac:dyDescent="0.35">
      <c r="A4149">
        <v>-0.22120618820190399</v>
      </c>
      <c r="B4149">
        <v>3.1791312234199798</v>
      </c>
    </row>
    <row r="4150" spans="1:2" x14ac:dyDescent="0.35">
      <c r="A4150">
        <v>-0.22163973748683899</v>
      </c>
      <c r="B4150">
        <v>3.17233265970457</v>
      </c>
    </row>
    <row r="4151" spans="1:2" x14ac:dyDescent="0.35">
      <c r="A4151">
        <v>-0.22207742929458599</v>
      </c>
      <c r="B4151">
        <v>3.1667641711132002</v>
      </c>
    </row>
    <row r="4152" spans="1:2" x14ac:dyDescent="0.35">
      <c r="A4152">
        <v>-0.22266985476017001</v>
      </c>
      <c r="B4152">
        <v>3.15640068591969</v>
      </c>
    </row>
    <row r="4153" spans="1:2" x14ac:dyDescent="0.35">
      <c r="A4153">
        <v>-0.22308601438999201</v>
      </c>
      <c r="B4153">
        <v>3.14941573132861</v>
      </c>
    </row>
    <row r="4154" spans="1:2" x14ac:dyDescent="0.35">
      <c r="A4154">
        <v>-0.22352565824985501</v>
      </c>
      <c r="B4154">
        <v>3.1396372127749799</v>
      </c>
    </row>
    <row r="4155" spans="1:2" x14ac:dyDescent="0.35">
      <c r="A4155">
        <v>-0.22419978678226499</v>
      </c>
      <c r="B4155">
        <v>3.13730081713372</v>
      </c>
    </row>
    <row r="4156" spans="1:2" x14ac:dyDescent="0.35">
      <c r="A4156">
        <v>-0.224535286426544</v>
      </c>
      <c r="B4156">
        <v>3.1299529879316399</v>
      </c>
    </row>
    <row r="4157" spans="1:2" x14ac:dyDescent="0.35">
      <c r="A4157">
        <v>-0.225217655301094</v>
      </c>
      <c r="B4157">
        <v>3.1130888440439901</v>
      </c>
    </row>
    <row r="4158" spans="1:2" x14ac:dyDescent="0.35">
      <c r="A4158">
        <v>-0.225719809532166</v>
      </c>
      <c r="B4158">
        <v>3.1096871887036199</v>
      </c>
    </row>
    <row r="4159" spans="1:2" x14ac:dyDescent="0.35">
      <c r="A4159">
        <v>-0.226043716073036</v>
      </c>
      <c r="B4159">
        <v>3.1063396733675099</v>
      </c>
    </row>
    <row r="4160" spans="1:2" x14ac:dyDescent="0.35">
      <c r="A4160">
        <v>-0.226726144552231</v>
      </c>
      <c r="B4160">
        <v>3.0888263427142801</v>
      </c>
    </row>
    <row r="4161" spans="1:2" x14ac:dyDescent="0.35">
      <c r="A4161">
        <v>-0.227336645126343</v>
      </c>
      <c r="B4161">
        <v>3.0862414126858502</v>
      </c>
    </row>
    <row r="4162" spans="1:2" x14ac:dyDescent="0.35">
      <c r="A4162">
        <v>-0.22768557071685799</v>
      </c>
      <c r="B4162">
        <v>3.0818975916505398</v>
      </c>
    </row>
    <row r="4163" spans="1:2" x14ac:dyDescent="0.35">
      <c r="A4163">
        <v>-0.228224322199821</v>
      </c>
      <c r="B4163">
        <v>3.06833991331172</v>
      </c>
    </row>
    <row r="4164" spans="1:2" x14ac:dyDescent="0.35">
      <c r="A4164">
        <v>-0.22874769568443301</v>
      </c>
      <c r="B4164">
        <v>3.0596013185615298</v>
      </c>
    </row>
    <row r="4165" spans="1:2" x14ac:dyDescent="0.35">
      <c r="A4165">
        <v>-0.22924818098545099</v>
      </c>
      <c r="B4165">
        <v>3.0520212731293901</v>
      </c>
    </row>
    <row r="4166" spans="1:2" x14ac:dyDescent="0.35">
      <c r="A4166">
        <v>-0.22977320849895499</v>
      </c>
      <c r="B4166">
        <v>3.03662649344164</v>
      </c>
    </row>
    <row r="4167" spans="1:2" x14ac:dyDescent="0.35">
      <c r="A4167">
        <v>-0.23032531142234799</v>
      </c>
      <c r="B4167">
        <v>3.03270655432781</v>
      </c>
    </row>
    <row r="4168" spans="1:2" x14ac:dyDescent="0.35">
      <c r="A4168">
        <v>-0.230575636029243</v>
      </c>
      <c r="B4168">
        <v>3.02594183751894</v>
      </c>
    </row>
    <row r="4169" spans="1:2" x14ac:dyDescent="0.35">
      <c r="A4169">
        <v>-0.231081292033195</v>
      </c>
      <c r="B4169">
        <v>3.0187379787316999</v>
      </c>
    </row>
    <row r="4170" spans="1:2" x14ac:dyDescent="0.35">
      <c r="A4170">
        <v>-0.23176389932632399</v>
      </c>
      <c r="B4170">
        <v>3.0112388725776502</v>
      </c>
    </row>
    <row r="4171" spans="1:2" x14ac:dyDescent="0.35">
      <c r="A4171">
        <v>-0.23218281567096699</v>
      </c>
      <c r="B4171">
        <v>3.0055660073891</v>
      </c>
    </row>
    <row r="4172" spans="1:2" x14ac:dyDescent="0.35">
      <c r="A4172">
        <v>-0.23261430859565699</v>
      </c>
      <c r="B4172">
        <v>2.9940654127770201</v>
      </c>
    </row>
    <row r="4173" spans="1:2" x14ac:dyDescent="0.35">
      <c r="A4173">
        <v>-0.23325030505657199</v>
      </c>
      <c r="B4173">
        <v>2.9890630916752601</v>
      </c>
    </row>
    <row r="4174" spans="1:2" x14ac:dyDescent="0.35">
      <c r="A4174">
        <v>-0.23370923101902</v>
      </c>
      <c r="B4174">
        <v>2.9795428446205299</v>
      </c>
    </row>
    <row r="4175" spans="1:2" x14ac:dyDescent="0.35">
      <c r="A4175">
        <v>-0.23418951034545901</v>
      </c>
      <c r="B4175">
        <v>2.9749875158401302</v>
      </c>
    </row>
    <row r="4176" spans="1:2" x14ac:dyDescent="0.35">
      <c r="A4176">
        <v>-0.23460838198661799</v>
      </c>
      <c r="B4176">
        <v>2.9659511718823599</v>
      </c>
    </row>
    <row r="4177" spans="1:2" x14ac:dyDescent="0.35">
      <c r="A4177">
        <v>-0.23515959084033999</v>
      </c>
      <c r="B4177">
        <v>2.9532921506759502</v>
      </c>
    </row>
    <row r="4178" spans="1:2" x14ac:dyDescent="0.35">
      <c r="A4178">
        <v>-0.23568575084209401</v>
      </c>
      <c r="B4178">
        <v>2.94829358180333</v>
      </c>
    </row>
    <row r="4179" spans="1:2" x14ac:dyDescent="0.35">
      <c r="A4179">
        <v>-0.236232459545135</v>
      </c>
      <c r="B4179">
        <v>2.93964457361152</v>
      </c>
    </row>
    <row r="4180" spans="1:2" x14ac:dyDescent="0.35">
      <c r="A4180">
        <v>-0.23655052483081801</v>
      </c>
      <c r="B4180">
        <v>2.9309432970883602</v>
      </c>
    </row>
    <row r="4181" spans="1:2" x14ac:dyDescent="0.35">
      <c r="A4181">
        <v>-0.23723316192627</v>
      </c>
      <c r="B4181">
        <v>2.92786161717871</v>
      </c>
    </row>
    <row r="4182" spans="1:2" x14ac:dyDescent="0.35">
      <c r="A4182">
        <v>-0.23770403861999501</v>
      </c>
      <c r="B4182">
        <v>2.9112258229223502</v>
      </c>
    </row>
    <row r="4183" spans="1:2" x14ac:dyDescent="0.35">
      <c r="A4183">
        <v>-0.23809558153152499</v>
      </c>
      <c r="B4183">
        <v>2.9062352453171401</v>
      </c>
    </row>
    <row r="4184" spans="1:2" x14ac:dyDescent="0.35">
      <c r="A4184">
        <v>-0.23881641030311601</v>
      </c>
      <c r="B4184">
        <v>2.9064626280334198</v>
      </c>
    </row>
    <row r="4185" spans="1:2" x14ac:dyDescent="0.35">
      <c r="A4185">
        <v>-0.23933221399784099</v>
      </c>
      <c r="B4185">
        <v>2.89186637761114</v>
      </c>
    </row>
    <row r="4186" spans="1:2" x14ac:dyDescent="0.35">
      <c r="A4186">
        <v>-0.23955842852592499</v>
      </c>
      <c r="B4186">
        <v>2.8799806108524102</v>
      </c>
    </row>
    <row r="4187" spans="1:2" x14ac:dyDescent="0.35">
      <c r="A4187">
        <v>-0.24016757309436801</v>
      </c>
      <c r="B4187">
        <v>2.8717890336875098</v>
      </c>
    </row>
    <row r="4188" spans="1:2" x14ac:dyDescent="0.35">
      <c r="A4188">
        <v>-0.240832298994064</v>
      </c>
      <c r="B4188">
        <v>2.8682773918493898</v>
      </c>
    </row>
    <row r="4189" spans="1:2" x14ac:dyDescent="0.35">
      <c r="A4189">
        <v>-0.241194278001785</v>
      </c>
      <c r="B4189">
        <v>2.8555940737708498</v>
      </c>
    </row>
    <row r="4190" spans="1:2" x14ac:dyDescent="0.35">
      <c r="A4190">
        <v>-0.24179103970527599</v>
      </c>
      <c r="B4190">
        <v>2.8574888392523898</v>
      </c>
    </row>
    <row r="4191" spans="1:2" x14ac:dyDescent="0.35">
      <c r="A4191">
        <v>-0.242118239402771</v>
      </c>
      <c r="B4191">
        <v>2.8479878581434801</v>
      </c>
    </row>
    <row r="4192" spans="1:2" x14ac:dyDescent="0.35">
      <c r="A4192">
        <v>-0.24274389445781699</v>
      </c>
      <c r="B4192">
        <v>2.8440868101989301</v>
      </c>
    </row>
    <row r="4193" spans="1:2" x14ac:dyDescent="0.35">
      <c r="A4193">
        <v>-0.243194684386253</v>
      </c>
      <c r="B4193">
        <v>2.8428970249046701</v>
      </c>
    </row>
    <row r="4194" spans="1:2" x14ac:dyDescent="0.35">
      <c r="A4194">
        <v>-0.243668302893639</v>
      </c>
      <c r="B4194">
        <v>2.81990372736036</v>
      </c>
    </row>
    <row r="4195" spans="1:2" x14ac:dyDescent="0.35">
      <c r="A4195">
        <v>-0.244233533740044</v>
      </c>
      <c r="B4195">
        <v>2.8229227498457501</v>
      </c>
    </row>
    <row r="4196" spans="1:2" x14ac:dyDescent="0.35">
      <c r="A4196">
        <v>-0.24478475749492601</v>
      </c>
      <c r="B4196">
        <v>2.8031826117888898</v>
      </c>
    </row>
    <row r="4197" spans="1:2" x14ac:dyDescent="0.35">
      <c r="A4197">
        <v>-0.245223268866539</v>
      </c>
      <c r="B4197">
        <v>2.7961036087962099</v>
      </c>
    </row>
    <row r="4198" spans="1:2" x14ac:dyDescent="0.35">
      <c r="A4198">
        <v>-0.245449349284172</v>
      </c>
      <c r="B4198">
        <v>2.7866623517575402</v>
      </c>
    </row>
    <row r="4199" spans="1:2" x14ac:dyDescent="0.35">
      <c r="A4199">
        <v>-0.24613243341445901</v>
      </c>
      <c r="B4199">
        <v>2.77987186847625</v>
      </c>
    </row>
    <row r="4200" spans="1:2" x14ac:dyDescent="0.35">
      <c r="A4200">
        <v>-0.24662071466445901</v>
      </c>
      <c r="B4200">
        <v>2.7726846274710502</v>
      </c>
    </row>
    <row r="4201" spans="1:2" x14ac:dyDescent="0.35">
      <c r="A4201">
        <v>-0.24724748730659499</v>
      </c>
      <c r="B4201">
        <v>2.7669743322588198</v>
      </c>
    </row>
    <row r="4202" spans="1:2" x14ac:dyDescent="0.35">
      <c r="A4202">
        <v>-0.24772119522094699</v>
      </c>
      <c r="B4202">
        <v>2.7616928168484498</v>
      </c>
    </row>
    <row r="4203" spans="1:2" x14ac:dyDescent="0.35">
      <c r="A4203">
        <v>-0.24813236296176899</v>
      </c>
      <c r="B4203">
        <v>2.7535438786092201</v>
      </c>
    </row>
    <row r="4204" spans="1:2" x14ac:dyDescent="0.35">
      <c r="A4204">
        <v>-0.24859584867954301</v>
      </c>
      <c r="B4204">
        <v>2.7459211520867499</v>
      </c>
    </row>
    <row r="4205" spans="1:2" x14ac:dyDescent="0.35">
      <c r="A4205">
        <v>-0.24921607971191401</v>
      </c>
      <c r="B4205">
        <v>2.7361277564802702</v>
      </c>
    </row>
    <row r="4206" spans="1:2" x14ac:dyDescent="0.35">
      <c r="A4206">
        <v>-0.249707967042923</v>
      </c>
      <c r="B4206">
        <v>2.73111681646877</v>
      </c>
    </row>
    <row r="4207" spans="1:2" x14ac:dyDescent="0.35">
      <c r="A4207">
        <v>-0.25013750791549699</v>
      </c>
      <c r="B4207">
        <v>2.72526356821828</v>
      </c>
    </row>
    <row r="4208" spans="1:2" x14ac:dyDescent="0.35">
      <c r="A4208">
        <v>-0.25073847174644498</v>
      </c>
      <c r="B4208">
        <v>2.71409256259061</v>
      </c>
    </row>
    <row r="4209" spans="1:2" x14ac:dyDescent="0.35">
      <c r="A4209">
        <v>-0.25114959478378301</v>
      </c>
      <c r="B4209">
        <v>2.69648735531849</v>
      </c>
    </row>
    <row r="4210" spans="1:2" x14ac:dyDescent="0.35">
      <c r="A4210">
        <v>-0.251733899116516</v>
      </c>
      <c r="B4210">
        <v>2.6946947228834999</v>
      </c>
    </row>
    <row r="4211" spans="1:2" x14ac:dyDescent="0.35">
      <c r="A4211">
        <v>-0.25227671861648598</v>
      </c>
      <c r="B4211">
        <v>2.6929806606572799</v>
      </c>
    </row>
    <row r="4212" spans="1:2" x14ac:dyDescent="0.35">
      <c r="A4212">
        <v>-0.25269982218742398</v>
      </c>
      <c r="B4212">
        <v>2.6840573898833</v>
      </c>
    </row>
    <row r="4213" spans="1:2" x14ac:dyDescent="0.35">
      <c r="A4213">
        <v>-0.25320872664451599</v>
      </c>
      <c r="B4213">
        <v>2.6686930207572002</v>
      </c>
    </row>
    <row r="4214" spans="1:2" x14ac:dyDescent="0.35">
      <c r="A4214">
        <v>-0.253882735967636</v>
      </c>
      <c r="B4214">
        <v>2.6627745821186601</v>
      </c>
    </row>
    <row r="4215" spans="1:2" x14ac:dyDescent="0.35">
      <c r="A4215">
        <v>-0.25407984852790799</v>
      </c>
      <c r="B4215">
        <v>2.65573081937608</v>
      </c>
    </row>
    <row r="4216" spans="1:2" x14ac:dyDescent="0.35">
      <c r="A4216">
        <v>-0.25451359152793901</v>
      </c>
      <c r="B4216">
        <v>2.6551146065137901</v>
      </c>
    </row>
    <row r="4217" spans="1:2" x14ac:dyDescent="0.35">
      <c r="A4217">
        <v>-0.25524824857711798</v>
      </c>
      <c r="B4217">
        <v>2.6474219153064298</v>
      </c>
    </row>
    <row r="4218" spans="1:2" x14ac:dyDescent="0.35">
      <c r="A4218">
        <v>-0.255642890930176</v>
      </c>
      <c r="B4218">
        <v>2.6368781283668801</v>
      </c>
    </row>
    <row r="4219" spans="1:2" x14ac:dyDescent="0.35">
      <c r="A4219">
        <v>-0.25621214509010298</v>
      </c>
      <c r="B4219">
        <v>2.6289770727452599</v>
      </c>
    </row>
    <row r="4220" spans="1:2" x14ac:dyDescent="0.35">
      <c r="A4220">
        <v>-0.25666898488998402</v>
      </c>
      <c r="B4220">
        <v>2.6237328702708398</v>
      </c>
    </row>
    <row r="4221" spans="1:2" x14ac:dyDescent="0.35">
      <c r="A4221">
        <v>-0.25713762640953097</v>
      </c>
      <c r="B4221">
        <v>2.6133583809433198</v>
      </c>
    </row>
    <row r="4222" spans="1:2" x14ac:dyDescent="0.35">
      <c r="A4222">
        <v>-0.257584929466248</v>
      </c>
      <c r="B4222">
        <v>2.5956792075622501</v>
      </c>
    </row>
    <row r="4223" spans="1:2" x14ac:dyDescent="0.35">
      <c r="A4223">
        <v>-0.25817647576332098</v>
      </c>
      <c r="B4223">
        <v>2.5939759688923698</v>
      </c>
    </row>
    <row r="4224" spans="1:2" x14ac:dyDescent="0.35">
      <c r="A4224">
        <v>-0.25850409269332902</v>
      </c>
      <c r="B4224">
        <v>2.5931705013359498</v>
      </c>
    </row>
    <row r="4225" spans="1:2" x14ac:dyDescent="0.35">
      <c r="A4225">
        <v>-0.25910732150077798</v>
      </c>
      <c r="B4225">
        <v>2.5853809284142901</v>
      </c>
    </row>
    <row r="4226" spans="1:2" x14ac:dyDescent="0.35">
      <c r="A4226">
        <v>-0.25971880555152899</v>
      </c>
      <c r="B4226">
        <v>2.5762757348018899</v>
      </c>
    </row>
    <row r="4227" spans="1:2" x14ac:dyDescent="0.35">
      <c r="A4227">
        <v>-0.26011952757835399</v>
      </c>
      <c r="B4227">
        <v>2.5760875748308201</v>
      </c>
    </row>
    <row r="4228" spans="1:2" x14ac:dyDescent="0.35">
      <c r="A4228">
        <v>-0.260535418987274</v>
      </c>
      <c r="B4228">
        <v>2.5656723065629401</v>
      </c>
    </row>
    <row r="4229" spans="1:2" x14ac:dyDescent="0.35">
      <c r="A4229">
        <v>-0.26117560267448398</v>
      </c>
      <c r="B4229">
        <v>2.5680115699638701</v>
      </c>
    </row>
    <row r="4230" spans="1:2" x14ac:dyDescent="0.35">
      <c r="A4230">
        <v>-0.26160404086112998</v>
      </c>
      <c r="B4230">
        <v>2.5484714348584601</v>
      </c>
    </row>
    <row r="4231" spans="1:2" x14ac:dyDescent="0.35">
      <c r="A4231">
        <v>-0.26219558715820301</v>
      </c>
      <c r="B4231">
        <v>2.53896916082422</v>
      </c>
    </row>
    <row r="4232" spans="1:2" x14ac:dyDescent="0.35">
      <c r="A4232">
        <v>-0.26275709271431003</v>
      </c>
      <c r="B4232">
        <v>2.5320727572410702</v>
      </c>
    </row>
    <row r="4233" spans="1:2" x14ac:dyDescent="0.35">
      <c r="A4233">
        <v>-0.26312315464019798</v>
      </c>
      <c r="B4233">
        <v>2.5218877369630599</v>
      </c>
    </row>
    <row r="4234" spans="1:2" x14ac:dyDescent="0.35">
      <c r="A4234">
        <v>-0.26352185010910001</v>
      </c>
      <c r="B4234">
        <v>2.5233158238706301</v>
      </c>
    </row>
    <row r="4235" spans="1:2" x14ac:dyDescent="0.35">
      <c r="A4235">
        <v>-0.26415157318115201</v>
      </c>
      <c r="B4235">
        <v>2.5110705657454599</v>
      </c>
    </row>
    <row r="4236" spans="1:2" x14ac:dyDescent="0.35">
      <c r="A4236">
        <v>-0.26456198096275302</v>
      </c>
      <c r="B4236">
        <v>2.5086925247225098</v>
      </c>
    </row>
    <row r="4237" spans="1:2" x14ac:dyDescent="0.35">
      <c r="A4237">
        <v>-0.26520109176635698</v>
      </c>
      <c r="B4237">
        <v>2.49777769548127</v>
      </c>
    </row>
    <row r="4238" spans="1:2" x14ac:dyDescent="0.35">
      <c r="A4238">
        <v>-0.26580739021301297</v>
      </c>
      <c r="B4238">
        <v>2.4851650947423498</v>
      </c>
    </row>
    <row r="4239" spans="1:2" x14ac:dyDescent="0.35">
      <c r="A4239">
        <v>-0.266196638345718</v>
      </c>
      <c r="B4239">
        <v>2.4804883004608902</v>
      </c>
    </row>
    <row r="4240" spans="1:2" x14ac:dyDescent="0.35">
      <c r="A4240">
        <v>-0.26665443181991599</v>
      </c>
      <c r="B4240">
        <v>2.47258536694775</v>
      </c>
    </row>
    <row r="4241" spans="1:2" x14ac:dyDescent="0.35">
      <c r="A4241">
        <v>-0.26731091737747198</v>
      </c>
      <c r="B4241">
        <v>2.4602266062217799</v>
      </c>
    </row>
    <row r="4242" spans="1:2" x14ac:dyDescent="0.35">
      <c r="A4242">
        <v>-0.26762998104095498</v>
      </c>
      <c r="B4242">
        <v>2.4488155602188999</v>
      </c>
    </row>
    <row r="4243" spans="1:2" x14ac:dyDescent="0.35">
      <c r="A4243">
        <v>-0.268120616674423</v>
      </c>
      <c r="B4243">
        <v>2.4456633203731699</v>
      </c>
    </row>
    <row r="4244" spans="1:2" x14ac:dyDescent="0.35">
      <c r="A4244">
        <v>-0.26873764395713801</v>
      </c>
      <c r="B4244">
        <v>2.4405168318396502</v>
      </c>
    </row>
    <row r="4245" spans="1:2" x14ac:dyDescent="0.35">
      <c r="A4245">
        <v>-0.26918414235115101</v>
      </c>
      <c r="B4245">
        <v>2.43627094419297</v>
      </c>
    </row>
    <row r="4246" spans="1:2" x14ac:dyDescent="0.35">
      <c r="A4246">
        <v>-0.26951378583908098</v>
      </c>
      <c r="B4246">
        <v>2.4337086903652598</v>
      </c>
    </row>
    <row r="4247" spans="1:2" x14ac:dyDescent="0.35">
      <c r="A4247">
        <v>-0.27005988359451299</v>
      </c>
      <c r="B4247">
        <v>2.4241445509130402</v>
      </c>
    </row>
    <row r="4248" spans="1:2" x14ac:dyDescent="0.35">
      <c r="A4248">
        <v>-0.27064290642738298</v>
      </c>
      <c r="B4248">
        <v>2.4125002479267601</v>
      </c>
    </row>
    <row r="4249" spans="1:2" x14ac:dyDescent="0.35">
      <c r="A4249">
        <v>-0.27129778265953097</v>
      </c>
      <c r="B4249">
        <v>2.41185924939853</v>
      </c>
    </row>
    <row r="4250" spans="1:2" x14ac:dyDescent="0.35">
      <c r="A4250">
        <v>-0.27164566516876198</v>
      </c>
      <c r="B4250">
        <v>2.4021354382432198</v>
      </c>
    </row>
    <row r="4251" spans="1:2" x14ac:dyDescent="0.35">
      <c r="A4251">
        <v>-0.27203813195228599</v>
      </c>
      <c r="B4251">
        <v>2.3941310103471101</v>
      </c>
    </row>
    <row r="4252" spans="1:2" x14ac:dyDescent="0.35">
      <c r="A4252">
        <v>-0.27255839109420799</v>
      </c>
      <c r="B4252">
        <v>2.3899440297985399</v>
      </c>
    </row>
    <row r="4253" spans="1:2" x14ac:dyDescent="0.35">
      <c r="A4253">
        <v>-0.27311787009239202</v>
      </c>
      <c r="B4253">
        <v>2.3814676155895498</v>
      </c>
    </row>
    <row r="4254" spans="1:2" x14ac:dyDescent="0.35">
      <c r="A4254">
        <v>-0.27353906631469699</v>
      </c>
      <c r="B4254">
        <v>2.3768942174839198</v>
      </c>
    </row>
    <row r="4255" spans="1:2" x14ac:dyDescent="0.35">
      <c r="A4255">
        <v>-0.27411559224128701</v>
      </c>
      <c r="B4255">
        <v>2.3763863246175001</v>
      </c>
    </row>
    <row r="4256" spans="1:2" x14ac:dyDescent="0.35">
      <c r="A4256">
        <v>-0.27476117014884899</v>
      </c>
      <c r="B4256">
        <v>2.3577154632527502</v>
      </c>
    </row>
    <row r="4257" spans="1:2" x14ac:dyDescent="0.35">
      <c r="A4257">
        <v>-0.27509766817092901</v>
      </c>
      <c r="B4257">
        <v>2.3486703913290499</v>
      </c>
    </row>
    <row r="4258" spans="1:2" x14ac:dyDescent="0.35">
      <c r="A4258">
        <v>-0.27557680010795599</v>
      </c>
      <c r="B4258">
        <v>2.3425456585945001</v>
      </c>
    </row>
    <row r="4259" spans="1:2" x14ac:dyDescent="0.35">
      <c r="A4259">
        <v>-0.27617752552032498</v>
      </c>
      <c r="B4259">
        <v>2.3381021741309902</v>
      </c>
    </row>
    <row r="4260" spans="1:2" x14ac:dyDescent="0.35">
      <c r="A4260">
        <v>-0.27656906843185403</v>
      </c>
      <c r="B4260">
        <v>2.3317125344507499</v>
      </c>
    </row>
    <row r="4261" spans="1:2" x14ac:dyDescent="0.35">
      <c r="A4261">
        <v>-0.277123242616653</v>
      </c>
      <c r="B4261">
        <v>2.3212714812576798</v>
      </c>
    </row>
    <row r="4262" spans="1:2" x14ac:dyDescent="0.35">
      <c r="A4262">
        <v>-0.27776670455932601</v>
      </c>
      <c r="B4262">
        <v>2.3156439113189702</v>
      </c>
    </row>
    <row r="4263" spans="1:2" x14ac:dyDescent="0.35">
      <c r="A4263">
        <v>-0.27814033627510099</v>
      </c>
      <c r="B4263">
        <v>2.3135827002344</v>
      </c>
    </row>
    <row r="4264" spans="1:2" x14ac:dyDescent="0.35">
      <c r="A4264">
        <v>-0.27855774760246299</v>
      </c>
      <c r="B4264">
        <v>2.30773679810898</v>
      </c>
    </row>
    <row r="4265" spans="1:2" x14ac:dyDescent="0.35">
      <c r="A4265">
        <v>-0.27919489145278897</v>
      </c>
      <c r="B4265">
        <v>2.2944551926077499</v>
      </c>
    </row>
    <row r="4266" spans="1:2" x14ac:dyDescent="0.35">
      <c r="A4266">
        <v>-0.27974414825439498</v>
      </c>
      <c r="B4266">
        <v>2.28168143185983</v>
      </c>
    </row>
    <row r="4267" spans="1:2" x14ac:dyDescent="0.35">
      <c r="A4267">
        <v>-0.28018298745155301</v>
      </c>
      <c r="B4267">
        <v>2.2781364264055899</v>
      </c>
    </row>
    <row r="4268" spans="1:2" x14ac:dyDescent="0.35">
      <c r="A4268">
        <v>-0.28089299798011802</v>
      </c>
      <c r="B4268">
        <v>2.2734276328201202</v>
      </c>
    </row>
    <row r="4269" spans="1:2" x14ac:dyDescent="0.35">
      <c r="A4269">
        <v>-0.28115642070770303</v>
      </c>
      <c r="B4269">
        <v>2.2699523624248701</v>
      </c>
    </row>
    <row r="4270" spans="1:2" x14ac:dyDescent="0.35">
      <c r="A4270">
        <v>-0.28144586086273199</v>
      </c>
      <c r="B4270">
        <v>2.2554185528739699</v>
      </c>
    </row>
    <row r="4271" spans="1:2" x14ac:dyDescent="0.35">
      <c r="A4271">
        <v>-0.28225651383400002</v>
      </c>
      <c r="B4271">
        <v>2.2506525075699702</v>
      </c>
    </row>
    <row r="4272" spans="1:2" x14ac:dyDescent="0.35">
      <c r="A4272">
        <v>-0.282569169998169</v>
      </c>
      <c r="B4272">
        <v>2.2456084294238101</v>
      </c>
    </row>
    <row r="4273" spans="1:2" x14ac:dyDescent="0.35">
      <c r="A4273">
        <v>-0.28319275379180903</v>
      </c>
      <c r="B4273">
        <v>2.23936747882966</v>
      </c>
    </row>
    <row r="4274" spans="1:2" x14ac:dyDescent="0.35">
      <c r="A4274">
        <v>-0.28373631834983798</v>
      </c>
      <c r="B4274">
        <v>2.2302929013464898</v>
      </c>
    </row>
    <row r="4275" spans="1:2" x14ac:dyDescent="0.35">
      <c r="A4275">
        <v>-0.284157544374466</v>
      </c>
      <c r="B4275">
        <v>2.2267810594242001</v>
      </c>
    </row>
    <row r="4276" spans="1:2" x14ac:dyDescent="0.35">
      <c r="A4276">
        <v>-0.28459191322326699</v>
      </c>
      <c r="B4276">
        <v>2.21786308051216</v>
      </c>
    </row>
    <row r="4277" spans="1:2" x14ac:dyDescent="0.35">
      <c r="A4277">
        <v>-0.28521347045898399</v>
      </c>
      <c r="B4277">
        <v>2.2100122623490299</v>
      </c>
    </row>
    <row r="4278" spans="1:2" x14ac:dyDescent="0.35">
      <c r="A4278">
        <v>-0.28561195731163003</v>
      </c>
      <c r="B4278">
        <v>2.20336055083953</v>
      </c>
    </row>
    <row r="4279" spans="1:2" x14ac:dyDescent="0.35">
      <c r="A4279">
        <v>-0.28609010577201799</v>
      </c>
      <c r="B4279">
        <v>2.19938496345832</v>
      </c>
    </row>
    <row r="4280" spans="1:2" x14ac:dyDescent="0.35">
      <c r="A4280">
        <v>-0.28668293356895402</v>
      </c>
      <c r="B4280">
        <v>2.1914384178083002</v>
      </c>
    </row>
    <row r="4281" spans="1:2" x14ac:dyDescent="0.35">
      <c r="A4281">
        <v>-0.28711530566215498</v>
      </c>
      <c r="B4281">
        <v>2.1839316842249001</v>
      </c>
    </row>
    <row r="4282" spans="1:2" x14ac:dyDescent="0.35">
      <c r="A4282">
        <v>-0.28761363029480003</v>
      </c>
      <c r="B4282">
        <v>2.1774378715671898</v>
      </c>
    </row>
    <row r="4283" spans="1:2" x14ac:dyDescent="0.35">
      <c r="A4283">
        <v>-0.28810435533523598</v>
      </c>
      <c r="B4283">
        <v>2.1710057589748999</v>
      </c>
    </row>
    <row r="4284" spans="1:2" x14ac:dyDescent="0.35">
      <c r="A4284">
        <v>-0.288676738739014</v>
      </c>
      <c r="B4284">
        <v>2.1602015079105401</v>
      </c>
    </row>
    <row r="4285" spans="1:2" x14ac:dyDescent="0.35">
      <c r="A4285">
        <v>-0.28917935490608199</v>
      </c>
      <c r="B4285">
        <v>2.1594387221389901</v>
      </c>
    </row>
    <row r="4286" spans="1:2" x14ac:dyDescent="0.35">
      <c r="A4286">
        <v>-0.28969258069992099</v>
      </c>
      <c r="B4286">
        <v>2.14788375056456</v>
      </c>
    </row>
    <row r="4287" spans="1:2" x14ac:dyDescent="0.35">
      <c r="A4287">
        <v>-0.29009431600570701</v>
      </c>
      <c r="B4287">
        <v>2.1368533577120599</v>
      </c>
    </row>
    <row r="4288" spans="1:2" x14ac:dyDescent="0.35">
      <c r="A4288">
        <v>-0.290614813566208</v>
      </c>
      <c r="B4288">
        <v>2.12919942043106</v>
      </c>
    </row>
    <row r="4289" spans="1:2" x14ac:dyDescent="0.35">
      <c r="A4289">
        <v>-0.290979564189911</v>
      </c>
      <c r="B4289">
        <v>2.1293022003764799</v>
      </c>
    </row>
    <row r="4290" spans="1:2" x14ac:dyDescent="0.35">
      <c r="A4290">
        <v>-0.29164835810661299</v>
      </c>
      <c r="B4290">
        <v>2.1216009214398102</v>
      </c>
    </row>
    <row r="4291" spans="1:2" x14ac:dyDescent="0.35">
      <c r="A4291">
        <v>-0.29203224182128901</v>
      </c>
      <c r="B4291">
        <v>2.1090526115243802</v>
      </c>
    </row>
    <row r="4292" spans="1:2" x14ac:dyDescent="0.35">
      <c r="A4292">
        <v>-0.292662173509598</v>
      </c>
      <c r="B4292">
        <v>2.10077946207088</v>
      </c>
    </row>
    <row r="4293" spans="1:2" x14ac:dyDescent="0.35">
      <c r="A4293">
        <v>-0.29330646991729697</v>
      </c>
      <c r="B4293">
        <v>2.0981003817345401</v>
      </c>
    </row>
    <row r="4294" spans="1:2" x14ac:dyDescent="0.35">
      <c r="A4294">
        <v>-0.29363602399826</v>
      </c>
      <c r="B4294">
        <v>2.0913453379723701</v>
      </c>
    </row>
    <row r="4295" spans="1:2" x14ac:dyDescent="0.35">
      <c r="A4295">
        <v>-0.29433694481849698</v>
      </c>
      <c r="B4295">
        <v>2.0874985132062802</v>
      </c>
    </row>
    <row r="4296" spans="1:2" x14ac:dyDescent="0.35">
      <c r="A4296">
        <v>-0.29460930824279802</v>
      </c>
      <c r="B4296">
        <v>2.0847987087139899</v>
      </c>
    </row>
    <row r="4297" spans="1:2" x14ac:dyDescent="0.35">
      <c r="A4297">
        <v>-0.29515099525451699</v>
      </c>
      <c r="B4297">
        <v>2.0708748956510199</v>
      </c>
    </row>
    <row r="4298" spans="1:2" x14ac:dyDescent="0.35">
      <c r="A4298">
        <v>-0.29562854766845698</v>
      </c>
      <c r="B4298">
        <v>2.0582535886497699</v>
      </c>
    </row>
    <row r="4299" spans="1:2" x14ac:dyDescent="0.35">
      <c r="A4299">
        <v>-0.29632580280303999</v>
      </c>
      <c r="B4299">
        <v>2.0547227790466298</v>
      </c>
    </row>
    <row r="4300" spans="1:2" x14ac:dyDescent="0.35">
      <c r="A4300">
        <v>-0.29657700657844499</v>
      </c>
      <c r="B4300">
        <v>2.0465982064719901</v>
      </c>
    </row>
    <row r="4301" spans="1:2" x14ac:dyDescent="0.35">
      <c r="A4301">
        <v>-0.29714938998222401</v>
      </c>
      <c r="B4301">
        <v>2.0446639828231001</v>
      </c>
    </row>
    <row r="4302" spans="1:2" x14ac:dyDescent="0.35">
      <c r="A4302">
        <v>-0.29773464798927302</v>
      </c>
      <c r="B4302">
        <v>2.04331375996632</v>
      </c>
    </row>
    <row r="4303" spans="1:2" x14ac:dyDescent="0.35">
      <c r="A4303">
        <v>-0.29824656248092701</v>
      </c>
      <c r="B4303">
        <v>2.0311467198603199</v>
      </c>
    </row>
    <row r="4304" spans="1:2" x14ac:dyDescent="0.35">
      <c r="A4304">
        <v>-0.29878437519073497</v>
      </c>
      <c r="B4304">
        <v>2.0208819993998</v>
      </c>
    </row>
    <row r="4305" spans="1:2" x14ac:dyDescent="0.35">
      <c r="A4305">
        <v>-0.29916256666183499</v>
      </c>
      <c r="B4305">
        <v>2.0063584166058401</v>
      </c>
    </row>
    <row r="4306" spans="1:2" x14ac:dyDescent="0.35">
      <c r="A4306">
        <v>-0.29956439137458801</v>
      </c>
      <c r="B4306">
        <v>2.0054066003096001</v>
      </c>
    </row>
    <row r="4307" spans="1:2" x14ac:dyDescent="0.35">
      <c r="A4307">
        <v>-0.30008924007415799</v>
      </c>
      <c r="B4307">
        <v>1.9989910513767799</v>
      </c>
    </row>
    <row r="4308" spans="1:2" x14ac:dyDescent="0.35">
      <c r="A4308">
        <v>-0.300539970397949</v>
      </c>
      <c r="B4308">
        <v>1.9940464826239801</v>
      </c>
    </row>
    <row r="4309" spans="1:2" x14ac:dyDescent="0.35">
      <c r="A4309">
        <v>-0.30114215612411499</v>
      </c>
      <c r="B4309">
        <v>1.9861754431023899</v>
      </c>
    </row>
    <row r="4310" spans="1:2" x14ac:dyDescent="0.35">
      <c r="A4310">
        <v>-0.30167961120605502</v>
      </c>
      <c r="B4310">
        <v>1.98058984192284</v>
      </c>
    </row>
    <row r="4311" spans="1:2" x14ac:dyDescent="0.35">
      <c r="A4311">
        <v>-0.30215340852737399</v>
      </c>
      <c r="B4311">
        <v>1.977309652799</v>
      </c>
    </row>
    <row r="4312" spans="1:2" x14ac:dyDescent="0.35">
      <c r="A4312">
        <v>-0.30256494879722601</v>
      </c>
      <c r="B4312">
        <v>1.97023456191601</v>
      </c>
    </row>
    <row r="4313" spans="1:2" x14ac:dyDescent="0.35">
      <c r="A4313">
        <v>-0.30320295691490201</v>
      </c>
      <c r="B4313">
        <v>1.96132337833913</v>
      </c>
    </row>
    <row r="4314" spans="1:2" x14ac:dyDescent="0.35">
      <c r="A4314">
        <v>-0.30354213714599598</v>
      </c>
      <c r="B4314">
        <v>1.9542985114532401</v>
      </c>
    </row>
    <row r="4315" spans="1:2" x14ac:dyDescent="0.35">
      <c r="A4315">
        <v>-0.30403757095336897</v>
      </c>
      <c r="B4315">
        <v>1.9518164991953499</v>
      </c>
    </row>
    <row r="4316" spans="1:2" x14ac:dyDescent="0.35">
      <c r="A4316">
        <v>-0.30462470650672901</v>
      </c>
      <c r="B4316">
        <v>1.9426892035441701</v>
      </c>
    </row>
    <row r="4317" spans="1:2" x14ac:dyDescent="0.35">
      <c r="A4317">
        <v>-0.30520761013031</v>
      </c>
      <c r="B4317">
        <v>1.93683596881512</v>
      </c>
    </row>
    <row r="4318" spans="1:2" x14ac:dyDescent="0.35">
      <c r="A4318">
        <v>-0.30545055866241499</v>
      </c>
      <c r="B4318">
        <v>1.9319001156756499</v>
      </c>
    </row>
    <row r="4319" spans="1:2" x14ac:dyDescent="0.35">
      <c r="A4319">
        <v>-0.30614161491393999</v>
      </c>
      <c r="B4319">
        <v>1.9225382691404</v>
      </c>
    </row>
    <row r="4320" spans="1:2" x14ac:dyDescent="0.35">
      <c r="A4320">
        <v>-0.30669394135475198</v>
      </c>
      <c r="B4320">
        <v>1.9155452029776801</v>
      </c>
    </row>
    <row r="4321" spans="1:2" x14ac:dyDescent="0.35">
      <c r="A4321">
        <v>-0.30701866745948803</v>
      </c>
      <c r="B4321">
        <v>1.9060459903557101</v>
      </c>
    </row>
    <row r="4322" spans="1:2" x14ac:dyDescent="0.35">
      <c r="A4322">
        <v>-0.30767565965652499</v>
      </c>
      <c r="B4322">
        <v>1.9034499794975099</v>
      </c>
    </row>
    <row r="4323" spans="1:2" x14ac:dyDescent="0.35">
      <c r="A4323">
        <v>-0.30829858779907199</v>
      </c>
      <c r="B4323">
        <v>1.89498107609481</v>
      </c>
    </row>
    <row r="4324" spans="1:2" x14ac:dyDescent="0.35">
      <c r="A4324">
        <v>-0.308495253324509</v>
      </c>
      <c r="B4324">
        <v>1.8930406020394901</v>
      </c>
    </row>
    <row r="4325" spans="1:2" x14ac:dyDescent="0.35">
      <c r="A4325">
        <v>-0.30914515256881703</v>
      </c>
      <c r="B4325">
        <v>1.88372364422368</v>
      </c>
    </row>
    <row r="4326" spans="1:2" x14ac:dyDescent="0.35">
      <c r="A4326">
        <v>-0.309617578983307</v>
      </c>
      <c r="B4326">
        <v>1.87586271964583</v>
      </c>
    </row>
    <row r="4327" spans="1:2" x14ac:dyDescent="0.35">
      <c r="A4327">
        <v>-0.31007608771324202</v>
      </c>
      <c r="B4327">
        <v>1.8754792381891301</v>
      </c>
    </row>
    <row r="4328" spans="1:2" x14ac:dyDescent="0.35">
      <c r="A4328">
        <v>-0.31047999858856201</v>
      </c>
      <c r="B4328">
        <v>1.8607599784140301</v>
      </c>
    </row>
    <row r="4329" spans="1:2" x14ac:dyDescent="0.35">
      <c r="A4329">
        <v>-0.31121626496315002</v>
      </c>
      <c r="B4329">
        <v>1.85529521541023</v>
      </c>
    </row>
    <row r="4330" spans="1:2" x14ac:dyDescent="0.35">
      <c r="A4330">
        <v>-0.31166416406631497</v>
      </c>
      <c r="B4330">
        <v>1.8538388805700201</v>
      </c>
    </row>
    <row r="4331" spans="1:2" x14ac:dyDescent="0.35">
      <c r="A4331">
        <v>-0.312007516622543</v>
      </c>
      <c r="B4331">
        <v>1.8489745339496799</v>
      </c>
    </row>
    <row r="4332" spans="1:2" x14ac:dyDescent="0.35">
      <c r="A4332">
        <v>-0.31262651085853599</v>
      </c>
      <c r="B4332">
        <v>1.8396001072332</v>
      </c>
    </row>
    <row r="4333" spans="1:2" x14ac:dyDescent="0.35">
      <c r="A4333">
        <v>-0.31310671567916898</v>
      </c>
      <c r="B4333">
        <v>1.83469419752879</v>
      </c>
    </row>
    <row r="4334" spans="1:2" x14ac:dyDescent="0.35">
      <c r="A4334">
        <v>-0.31352880597114602</v>
      </c>
      <c r="B4334">
        <v>1.8254569699493299</v>
      </c>
    </row>
    <row r="4335" spans="1:2" x14ac:dyDescent="0.35">
      <c r="A4335">
        <v>-0.31401214003562899</v>
      </c>
      <c r="B4335">
        <v>1.8208512802322401</v>
      </c>
    </row>
    <row r="4336" spans="1:2" x14ac:dyDescent="0.35">
      <c r="A4336">
        <v>-0.31460472941398598</v>
      </c>
      <c r="B4336">
        <v>1.81468938559327</v>
      </c>
    </row>
    <row r="4337" spans="1:2" x14ac:dyDescent="0.35">
      <c r="A4337">
        <v>-0.31503757834434498</v>
      </c>
      <c r="B4337">
        <v>1.81120157100444</v>
      </c>
    </row>
    <row r="4338" spans="1:2" x14ac:dyDescent="0.35">
      <c r="A4338">
        <v>-0.31546241044998202</v>
      </c>
      <c r="B4338">
        <v>1.8041092930321001</v>
      </c>
    </row>
    <row r="4339" spans="1:2" x14ac:dyDescent="0.35">
      <c r="A4339">
        <v>-0.31611007452011097</v>
      </c>
      <c r="B4339">
        <v>1.7973237778835101</v>
      </c>
    </row>
    <row r="4340" spans="1:2" x14ac:dyDescent="0.35">
      <c r="A4340">
        <v>-0.31655669212341297</v>
      </c>
      <c r="B4340">
        <v>1.7903601218849501</v>
      </c>
    </row>
    <row r="4341" spans="1:2" x14ac:dyDescent="0.35">
      <c r="A4341">
        <v>-0.31703677773475603</v>
      </c>
      <c r="B4341">
        <v>1.78798303984208</v>
      </c>
    </row>
    <row r="4342" spans="1:2" x14ac:dyDescent="0.35">
      <c r="A4342">
        <v>-0.317560434341431</v>
      </c>
      <c r="B4342">
        <v>1.77588798892341</v>
      </c>
    </row>
    <row r="4343" spans="1:2" x14ac:dyDescent="0.35">
      <c r="A4343">
        <v>-0.31785222887992898</v>
      </c>
      <c r="B4343">
        <v>1.7680601935023701</v>
      </c>
    </row>
    <row r="4344" spans="1:2" x14ac:dyDescent="0.35">
      <c r="A4344">
        <v>-0.31857079267501798</v>
      </c>
      <c r="B4344">
        <v>1.76584524042476</v>
      </c>
    </row>
    <row r="4345" spans="1:2" x14ac:dyDescent="0.35">
      <c r="A4345">
        <v>-0.319026529788971</v>
      </c>
      <c r="B4345">
        <v>1.7570793558212501</v>
      </c>
    </row>
    <row r="4346" spans="1:2" x14ac:dyDescent="0.35">
      <c r="A4346">
        <v>-0.31942969560623202</v>
      </c>
      <c r="B4346">
        <v>1.75321345270119</v>
      </c>
    </row>
    <row r="4347" spans="1:2" x14ac:dyDescent="0.35">
      <c r="A4347">
        <v>-0.31997987627983099</v>
      </c>
      <c r="B4347">
        <v>1.7436745487754499</v>
      </c>
    </row>
    <row r="4348" spans="1:2" x14ac:dyDescent="0.35">
      <c r="A4348">
        <v>-0.32045349478721602</v>
      </c>
      <c r="B4348">
        <v>1.7364364979739699</v>
      </c>
    </row>
    <row r="4349" spans="1:2" x14ac:dyDescent="0.35">
      <c r="A4349">
        <v>-0.32098820805549599</v>
      </c>
      <c r="B4349">
        <v>1.7298878752912901</v>
      </c>
    </row>
    <row r="4350" spans="1:2" x14ac:dyDescent="0.35">
      <c r="A4350">
        <v>-0.32148969173431402</v>
      </c>
      <c r="B4350">
        <v>1.7261208622059501</v>
      </c>
    </row>
    <row r="4351" spans="1:2" x14ac:dyDescent="0.35">
      <c r="A4351">
        <v>-0.32199496030807501</v>
      </c>
      <c r="B4351">
        <v>1.7218258191712801</v>
      </c>
    </row>
    <row r="4352" spans="1:2" x14ac:dyDescent="0.35">
      <c r="A4352">
        <v>-0.32238522171974199</v>
      </c>
      <c r="B4352">
        <v>1.71489428507332</v>
      </c>
    </row>
    <row r="4353" spans="1:2" x14ac:dyDescent="0.35">
      <c r="A4353">
        <v>-0.32313692569732699</v>
      </c>
      <c r="B4353">
        <v>1.6974926366260901</v>
      </c>
    </row>
    <row r="4354" spans="1:2" x14ac:dyDescent="0.35">
      <c r="A4354">
        <v>-0.32347074151039101</v>
      </c>
      <c r="B4354">
        <v>1.6960274030729801</v>
      </c>
    </row>
    <row r="4355" spans="1:2" x14ac:dyDescent="0.35">
      <c r="A4355">
        <v>-0.32393100857734702</v>
      </c>
      <c r="B4355">
        <v>1.69320165000366</v>
      </c>
    </row>
    <row r="4356" spans="1:2" x14ac:dyDescent="0.35">
      <c r="A4356">
        <v>-0.32451492547988903</v>
      </c>
      <c r="B4356">
        <v>1.6883428499436299</v>
      </c>
    </row>
    <row r="4357" spans="1:2" x14ac:dyDescent="0.35">
      <c r="A4357">
        <v>-0.32519239187240601</v>
      </c>
      <c r="B4357">
        <v>1.68041475941457</v>
      </c>
    </row>
    <row r="4358" spans="1:2" x14ac:dyDescent="0.35">
      <c r="A4358">
        <v>-0.32564184069633501</v>
      </c>
      <c r="B4358">
        <v>1.67551015292423</v>
      </c>
    </row>
    <row r="4359" spans="1:2" x14ac:dyDescent="0.35">
      <c r="A4359">
        <v>-0.32602158188819902</v>
      </c>
      <c r="B4359">
        <v>1.66477900265554</v>
      </c>
    </row>
    <row r="4360" spans="1:2" x14ac:dyDescent="0.35">
      <c r="A4360">
        <v>-0.32659727334976202</v>
      </c>
      <c r="B4360">
        <v>1.6670710082676901</v>
      </c>
    </row>
    <row r="4361" spans="1:2" x14ac:dyDescent="0.35">
      <c r="A4361">
        <v>-0.32718566060066201</v>
      </c>
      <c r="B4361">
        <v>1.6569968417507199</v>
      </c>
    </row>
    <row r="4362" spans="1:2" x14ac:dyDescent="0.35">
      <c r="A4362">
        <v>-0.32749015092849698</v>
      </c>
      <c r="B4362">
        <v>1.65310764462102</v>
      </c>
    </row>
    <row r="4363" spans="1:2" x14ac:dyDescent="0.35">
      <c r="A4363">
        <v>-0.32805809378624001</v>
      </c>
      <c r="B4363">
        <v>1.64898295569555</v>
      </c>
    </row>
    <row r="4364" spans="1:2" x14ac:dyDescent="0.35">
      <c r="A4364">
        <v>-0.328546762466431</v>
      </c>
      <c r="B4364">
        <v>1.6350466630970699</v>
      </c>
    </row>
    <row r="4365" spans="1:2" x14ac:dyDescent="0.35">
      <c r="A4365">
        <v>-0.32904729247093201</v>
      </c>
      <c r="B4365">
        <v>1.6310799974922201</v>
      </c>
    </row>
    <row r="4366" spans="1:2" x14ac:dyDescent="0.35">
      <c r="A4366">
        <v>-0.32962477207183799</v>
      </c>
      <c r="B4366">
        <v>1.62549220096705</v>
      </c>
    </row>
    <row r="4367" spans="1:2" x14ac:dyDescent="0.35">
      <c r="A4367">
        <v>-0.33003005385398898</v>
      </c>
      <c r="B4367">
        <v>1.6210928027031699</v>
      </c>
    </row>
    <row r="4368" spans="1:2" x14ac:dyDescent="0.35">
      <c r="A4368">
        <v>-0.33063530921936002</v>
      </c>
      <c r="B4368">
        <v>1.61760756686598</v>
      </c>
    </row>
    <row r="4369" spans="1:2" x14ac:dyDescent="0.35">
      <c r="A4369">
        <v>-0.33109959959983798</v>
      </c>
      <c r="B4369">
        <v>1.6095149637770401</v>
      </c>
    </row>
    <row r="4370" spans="1:2" x14ac:dyDescent="0.35">
      <c r="A4370">
        <v>-0.33150151371955899</v>
      </c>
      <c r="B4370">
        <v>1.60225539942794</v>
      </c>
    </row>
    <row r="4371" spans="1:2" x14ac:dyDescent="0.35">
      <c r="A4371">
        <v>-0.332090973854065</v>
      </c>
      <c r="B4371">
        <v>1.59768772455317</v>
      </c>
    </row>
    <row r="4372" spans="1:2" x14ac:dyDescent="0.35">
      <c r="A4372">
        <v>-0.332486242055893</v>
      </c>
      <c r="B4372">
        <v>1.5901643278134501</v>
      </c>
    </row>
    <row r="4373" spans="1:2" x14ac:dyDescent="0.35">
      <c r="A4373">
        <v>-0.33296665549278298</v>
      </c>
      <c r="B4373">
        <v>1.5835373077975901</v>
      </c>
    </row>
    <row r="4374" spans="1:2" x14ac:dyDescent="0.35">
      <c r="A4374">
        <v>-0.33359423279762301</v>
      </c>
      <c r="B4374">
        <v>1.57989662644982</v>
      </c>
    </row>
    <row r="4375" spans="1:2" x14ac:dyDescent="0.35">
      <c r="A4375">
        <v>-0.334024518728256</v>
      </c>
      <c r="B4375">
        <v>1.5752263147541801</v>
      </c>
    </row>
    <row r="4376" spans="1:2" x14ac:dyDescent="0.35">
      <c r="A4376">
        <v>-0.33469542860984802</v>
      </c>
      <c r="B4376">
        <v>1.5672413584803</v>
      </c>
    </row>
    <row r="4377" spans="1:2" x14ac:dyDescent="0.35">
      <c r="A4377">
        <v>-0.33509117364883401</v>
      </c>
      <c r="B4377">
        <v>1.55678369196084</v>
      </c>
    </row>
    <row r="4378" spans="1:2" x14ac:dyDescent="0.35">
      <c r="A4378">
        <v>-0.33566102385520902</v>
      </c>
      <c r="B4378">
        <v>1.55895857214012</v>
      </c>
    </row>
    <row r="4379" spans="1:2" x14ac:dyDescent="0.35">
      <c r="A4379">
        <v>-0.33611214160919201</v>
      </c>
      <c r="B4379">
        <v>1.5564505965775399</v>
      </c>
    </row>
    <row r="4380" spans="1:2" x14ac:dyDescent="0.35">
      <c r="A4380">
        <v>-0.33659338951110801</v>
      </c>
      <c r="B4380">
        <v>1.5446243517217699</v>
      </c>
    </row>
    <row r="4381" spans="1:2" x14ac:dyDescent="0.35">
      <c r="A4381">
        <v>-0.337080627679825</v>
      </c>
      <c r="B4381">
        <v>1.5343404295421801</v>
      </c>
    </row>
    <row r="4382" spans="1:2" x14ac:dyDescent="0.35">
      <c r="A4382">
        <v>-0.33759948611259499</v>
      </c>
      <c r="B4382">
        <v>1.53495928644183</v>
      </c>
    </row>
    <row r="4383" spans="1:2" x14ac:dyDescent="0.35">
      <c r="A4383">
        <v>-0.33829405903816201</v>
      </c>
      <c r="B4383">
        <v>1.53411881718413</v>
      </c>
    </row>
    <row r="4384" spans="1:2" x14ac:dyDescent="0.35">
      <c r="A4384">
        <v>-0.33854708075523399</v>
      </c>
      <c r="B4384">
        <v>1.51404142806366</v>
      </c>
    </row>
    <row r="4385" spans="1:2" x14ac:dyDescent="0.35">
      <c r="A4385">
        <v>-0.33922025561332703</v>
      </c>
      <c r="B4385">
        <v>1.51037459866316</v>
      </c>
    </row>
    <row r="4386" spans="1:2" x14ac:dyDescent="0.35">
      <c r="A4386">
        <v>-0.33971351385116599</v>
      </c>
      <c r="B4386">
        <v>1.5059095310213499</v>
      </c>
    </row>
    <row r="4387" spans="1:2" x14ac:dyDescent="0.35">
      <c r="A4387">
        <v>-0.34024423360824602</v>
      </c>
      <c r="B4387">
        <v>1.49991459317272</v>
      </c>
    </row>
    <row r="4388" spans="1:2" x14ac:dyDescent="0.35">
      <c r="A4388">
        <v>-0.34062495827674899</v>
      </c>
      <c r="B4388">
        <v>1.49664469656779</v>
      </c>
    </row>
    <row r="4389" spans="1:2" x14ac:dyDescent="0.35">
      <c r="A4389">
        <v>-0.34101435542106601</v>
      </c>
      <c r="B4389">
        <v>1.4918748718893999</v>
      </c>
    </row>
    <row r="4390" spans="1:2" x14ac:dyDescent="0.35">
      <c r="A4390">
        <v>-0.34153690934181202</v>
      </c>
      <c r="B4390">
        <v>1.4878034450506099</v>
      </c>
    </row>
    <row r="4391" spans="1:2" x14ac:dyDescent="0.35">
      <c r="A4391">
        <v>-0.34203076362609902</v>
      </c>
      <c r="B4391">
        <v>1.47587233538541</v>
      </c>
    </row>
    <row r="4392" spans="1:2" x14ac:dyDescent="0.35">
      <c r="A4392">
        <v>-0.342600047588348</v>
      </c>
      <c r="B4392">
        <v>1.4748757063832101</v>
      </c>
    </row>
    <row r="4393" spans="1:2" x14ac:dyDescent="0.35">
      <c r="A4393">
        <v>-0.34301364421844499</v>
      </c>
      <c r="B4393">
        <v>1.46977643552753</v>
      </c>
    </row>
    <row r="4394" spans="1:2" x14ac:dyDescent="0.35">
      <c r="A4394">
        <v>-0.34357640147209201</v>
      </c>
      <c r="B4394">
        <v>1.4641342132320101</v>
      </c>
    </row>
    <row r="4395" spans="1:2" x14ac:dyDescent="0.35">
      <c r="A4395">
        <v>-0.34411191940307601</v>
      </c>
      <c r="B4395">
        <v>1.4578753645482001</v>
      </c>
    </row>
    <row r="4396" spans="1:2" x14ac:dyDescent="0.35">
      <c r="A4396">
        <v>-0.344629466533661</v>
      </c>
      <c r="B4396">
        <v>1.4496353458100899</v>
      </c>
    </row>
    <row r="4397" spans="1:2" x14ac:dyDescent="0.35">
      <c r="A4397">
        <v>-0.34511142969131497</v>
      </c>
      <c r="B4397">
        <v>1.44813367167744</v>
      </c>
    </row>
    <row r="4398" spans="1:2" x14ac:dyDescent="0.35">
      <c r="A4398">
        <v>-0.34550786018371599</v>
      </c>
      <c r="B4398">
        <v>1.4377574380229201</v>
      </c>
    </row>
    <row r="4399" spans="1:2" x14ac:dyDescent="0.35">
      <c r="A4399">
        <v>-0.34593248367309598</v>
      </c>
      <c r="B4399">
        <v>1.43005099549144</v>
      </c>
    </row>
    <row r="4400" spans="1:2" x14ac:dyDescent="0.35">
      <c r="A4400">
        <v>-0.34656393527984602</v>
      </c>
      <c r="B4400">
        <v>1.4275765015164501</v>
      </c>
    </row>
    <row r="4401" spans="1:2" x14ac:dyDescent="0.35">
      <c r="A4401">
        <v>-0.34709912538528398</v>
      </c>
      <c r="B4401">
        <v>1.41962207827216</v>
      </c>
    </row>
    <row r="4402" spans="1:2" x14ac:dyDescent="0.35">
      <c r="A4402">
        <v>-0.34744638204574602</v>
      </c>
      <c r="B4402">
        <v>1.41287151239445</v>
      </c>
    </row>
    <row r="4403" spans="1:2" x14ac:dyDescent="0.35">
      <c r="A4403">
        <v>-0.34808212518692</v>
      </c>
      <c r="B4403">
        <v>1.4092367526684899</v>
      </c>
    </row>
    <row r="4404" spans="1:2" x14ac:dyDescent="0.35">
      <c r="A4404">
        <v>-0.34864583611488298</v>
      </c>
      <c r="B4404">
        <v>1.4056227483359101</v>
      </c>
    </row>
    <row r="4405" spans="1:2" x14ac:dyDescent="0.35">
      <c r="A4405">
        <v>-0.34904390573501598</v>
      </c>
      <c r="B4405">
        <v>1.4012605486205401</v>
      </c>
    </row>
    <row r="4406" spans="1:2" x14ac:dyDescent="0.35">
      <c r="A4406">
        <v>-0.34949761629104598</v>
      </c>
      <c r="B4406">
        <v>1.39030140629063</v>
      </c>
    </row>
    <row r="4407" spans="1:2" x14ac:dyDescent="0.35">
      <c r="A4407">
        <v>-0.35013541579246499</v>
      </c>
      <c r="B4407">
        <v>1.3883646723816001</v>
      </c>
    </row>
    <row r="4408" spans="1:2" x14ac:dyDescent="0.35">
      <c r="A4408">
        <v>-0.35048964619636502</v>
      </c>
      <c r="B4408">
        <v>1.37982516457218</v>
      </c>
    </row>
    <row r="4409" spans="1:2" x14ac:dyDescent="0.35">
      <c r="A4409">
        <v>-0.35119697451591497</v>
      </c>
      <c r="B4409">
        <v>1.36936301771228</v>
      </c>
    </row>
    <row r="4410" spans="1:2" x14ac:dyDescent="0.35">
      <c r="A4410">
        <v>-0.35158872604370101</v>
      </c>
      <c r="B4410">
        <v>1.36667877145936</v>
      </c>
    </row>
    <row r="4411" spans="1:2" x14ac:dyDescent="0.35">
      <c r="A4411">
        <v>-0.352053463459015</v>
      </c>
      <c r="B4411">
        <v>1.3629427795055999</v>
      </c>
    </row>
    <row r="4412" spans="1:2" x14ac:dyDescent="0.35">
      <c r="A4412">
        <v>-0.35261768102645902</v>
      </c>
      <c r="B4412">
        <v>1.36110097724279</v>
      </c>
    </row>
    <row r="4413" spans="1:2" x14ac:dyDescent="0.35">
      <c r="A4413">
        <v>-0.35325548052787797</v>
      </c>
      <c r="B4413">
        <v>1.3580008627395299</v>
      </c>
    </row>
    <row r="4414" spans="1:2" x14ac:dyDescent="0.35">
      <c r="A4414">
        <v>-0.353585064411163</v>
      </c>
      <c r="B4414">
        <v>1.3468900249713101</v>
      </c>
    </row>
    <row r="4415" spans="1:2" x14ac:dyDescent="0.35">
      <c r="A4415">
        <v>-0.354162067174911</v>
      </c>
      <c r="B4415">
        <v>1.33744764088219</v>
      </c>
    </row>
    <row r="4416" spans="1:2" x14ac:dyDescent="0.35">
      <c r="A4416">
        <v>-0.354489535093307</v>
      </c>
      <c r="B4416">
        <v>1.3352924884634301</v>
      </c>
    </row>
    <row r="4417" spans="1:2" x14ac:dyDescent="0.35">
      <c r="A4417">
        <v>-0.35496029257774397</v>
      </c>
      <c r="B4417">
        <v>1.3334369957218399</v>
      </c>
    </row>
    <row r="4418" spans="1:2" x14ac:dyDescent="0.35">
      <c r="A4418">
        <v>-0.355624228715897</v>
      </c>
      <c r="B4418">
        <v>1.3305555431790199</v>
      </c>
    </row>
    <row r="4419" spans="1:2" x14ac:dyDescent="0.35">
      <c r="A4419">
        <v>-0.35610309243202198</v>
      </c>
      <c r="B4419">
        <v>1.31835104749862</v>
      </c>
    </row>
    <row r="4420" spans="1:2" x14ac:dyDescent="0.35">
      <c r="A4420">
        <v>-0.35647639632224998</v>
      </c>
      <c r="B4420">
        <v>1.3139335286201299</v>
      </c>
    </row>
    <row r="4421" spans="1:2" x14ac:dyDescent="0.35">
      <c r="A4421">
        <v>-0.357053011655807</v>
      </c>
      <c r="B4421">
        <v>1.31071756160526</v>
      </c>
    </row>
    <row r="4422" spans="1:2" x14ac:dyDescent="0.35">
      <c r="A4422">
        <v>-0.357624471187592</v>
      </c>
      <c r="B4422">
        <v>1.3040811494022799</v>
      </c>
    </row>
    <row r="4423" spans="1:2" x14ac:dyDescent="0.35">
      <c r="A4423">
        <v>-0.357965767383575</v>
      </c>
      <c r="B4423">
        <v>1.2983689496165201</v>
      </c>
    </row>
    <row r="4424" spans="1:2" x14ac:dyDescent="0.35">
      <c r="A4424">
        <v>-0.35854464769363398</v>
      </c>
      <c r="B4424">
        <v>1.2918809447700099</v>
      </c>
    </row>
    <row r="4425" spans="1:2" x14ac:dyDescent="0.35">
      <c r="A4425">
        <v>-0.35906100273132302</v>
      </c>
      <c r="B4425">
        <v>1.2864825838381599</v>
      </c>
    </row>
    <row r="4426" spans="1:2" x14ac:dyDescent="0.35">
      <c r="A4426">
        <v>-0.35946395993232699</v>
      </c>
      <c r="B4426">
        <v>1.2834800333374601</v>
      </c>
    </row>
    <row r="4427" spans="1:2" x14ac:dyDescent="0.35">
      <c r="A4427">
        <v>-0.35998550057411199</v>
      </c>
      <c r="B4427">
        <v>1.27617321119386</v>
      </c>
    </row>
    <row r="4428" spans="1:2" x14ac:dyDescent="0.35">
      <c r="A4428">
        <v>-0.36044141650199901</v>
      </c>
      <c r="B4428">
        <v>1.27364105383982</v>
      </c>
    </row>
    <row r="4429" spans="1:2" x14ac:dyDescent="0.35">
      <c r="A4429">
        <v>-0.360889822244644</v>
      </c>
      <c r="B4429">
        <v>1.26575375847838</v>
      </c>
    </row>
    <row r="4430" spans="1:2" x14ac:dyDescent="0.35">
      <c r="A4430">
        <v>-0.361554265022278</v>
      </c>
      <c r="B4430">
        <v>1.2632560039290801</v>
      </c>
    </row>
    <row r="4431" spans="1:2" x14ac:dyDescent="0.35">
      <c r="A4431">
        <v>-0.36212056875228898</v>
      </c>
      <c r="B4431">
        <v>1.2573866431187299</v>
      </c>
    </row>
    <row r="4432" spans="1:2" x14ac:dyDescent="0.35">
      <c r="A4432">
        <v>-0.36252546310424799</v>
      </c>
      <c r="B4432">
        <v>1.2484001047969699</v>
      </c>
    </row>
    <row r="4433" spans="1:2" x14ac:dyDescent="0.35">
      <c r="A4433">
        <v>-0.36302351951599099</v>
      </c>
      <c r="B4433">
        <v>1.2422789836854899</v>
      </c>
    </row>
    <row r="4434" spans="1:2" x14ac:dyDescent="0.35">
      <c r="A4434">
        <v>-0.36344179511070301</v>
      </c>
      <c r="B4434">
        <v>1.2406581820637801</v>
      </c>
    </row>
    <row r="4435" spans="1:2" x14ac:dyDescent="0.35">
      <c r="A4435">
        <v>-0.364047020673752</v>
      </c>
      <c r="B4435">
        <v>1.2304244294278299</v>
      </c>
    </row>
    <row r="4436" spans="1:2" x14ac:dyDescent="0.35">
      <c r="A4436">
        <v>-0.36454510688781699</v>
      </c>
      <c r="B4436">
        <v>1.2250308632720199</v>
      </c>
    </row>
    <row r="4437" spans="1:2" x14ac:dyDescent="0.35">
      <c r="A4437">
        <v>-0.364919453859329</v>
      </c>
      <c r="B4437">
        <v>1.21897661120389</v>
      </c>
    </row>
    <row r="4438" spans="1:2" x14ac:dyDescent="0.35">
      <c r="A4438">
        <v>-0.36542075872421298</v>
      </c>
      <c r="B4438">
        <v>1.21371362040513</v>
      </c>
    </row>
    <row r="4439" spans="1:2" x14ac:dyDescent="0.35">
      <c r="A4439">
        <v>-0.366092920303345</v>
      </c>
      <c r="B4439">
        <v>1.21068052492464</v>
      </c>
    </row>
    <row r="4440" spans="1:2" x14ac:dyDescent="0.35">
      <c r="A4440">
        <v>-0.36646080017089799</v>
      </c>
      <c r="B4440">
        <v>1.20516585972929</v>
      </c>
    </row>
    <row r="4441" spans="1:2" x14ac:dyDescent="0.35">
      <c r="A4441">
        <v>-0.36695802211761502</v>
      </c>
      <c r="B4441">
        <v>1.1978985833940099</v>
      </c>
    </row>
    <row r="4442" spans="1:2" x14ac:dyDescent="0.35">
      <c r="A4442">
        <v>-0.36755168437957803</v>
      </c>
      <c r="B4442">
        <v>1.19479134140892</v>
      </c>
    </row>
    <row r="4443" spans="1:2" x14ac:dyDescent="0.35">
      <c r="A4443">
        <v>-0.36798843741416898</v>
      </c>
      <c r="B4443">
        <v>1.1876657521829499</v>
      </c>
    </row>
    <row r="4444" spans="1:2" x14ac:dyDescent="0.35">
      <c r="A4444">
        <v>-0.36851853132247903</v>
      </c>
      <c r="B4444">
        <v>1.1835218069372699</v>
      </c>
    </row>
    <row r="4445" spans="1:2" x14ac:dyDescent="0.35">
      <c r="A4445">
        <v>-0.36886122822761502</v>
      </c>
      <c r="B4445">
        <v>1.17875525514951</v>
      </c>
    </row>
    <row r="4446" spans="1:2" x14ac:dyDescent="0.35">
      <c r="A4446">
        <v>-0.369469463825226</v>
      </c>
      <c r="B4446">
        <v>1.17388048594846</v>
      </c>
    </row>
    <row r="4447" spans="1:2" x14ac:dyDescent="0.35">
      <c r="A4447">
        <v>-0.36999431252479598</v>
      </c>
      <c r="B4447">
        <v>1.1663906409043201</v>
      </c>
    </row>
    <row r="4448" spans="1:2" x14ac:dyDescent="0.35">
      <c r="A4448">
        <v>-0.370522320270538</v>
      </c>
      <c r="B4448">
        <v>1.16455909644264</v>
      </c>
    </row>
    <row r="4449" spans="1:2" x14ac:dyDescent="0.35">
      <c r="A4449">
        <v>-0.370957762002945</v>
      </c>
      <c r="B4449">
        <v>1.15649835806211</v>
      </c>
    </row>
    <row r="4450" spans="1:2" x14ac:dyDescent="0.35">
      <c r="A4450">
        <v>-0.371561139822006</v>
      </c>
      <c r="B4450">
        <v>1.15284902389393</v>
      </c>
    </row>
    <row r="4451" spans="1:2" x14ac:dyDescent="0.35">
      <c r="A4451">
        <v>-0.37194493412971502</v>
      </c>
      <c r="B4451">
        <v>1.1445507013904599</v>
      </c>
    </row>
    <row r="4452" spans="1:2" x14ac:dyDescent="0.35">
      <c r="A4452">
        <v>-0.37249302864074701</v>
      </c>
      <c r="B4452">
        <v>1.1432276400356001</v>
      </c>
    </row>
    <row r="4453" spans="1:2" x14ac:dyDescent="0.35">
      <c r="A4453">
        <v>-0.37304735183715798</v>
      </c>
      <c r="B4453">
        <v>1.13673809965287</v>
      </c>
    </row>
    <row r="4454" spans="1:2" x14ac:dyDescent="0.35">
      <c r="A4454">
        <v>-0.37339979410171498</v>
      </c>
      <c r="B4454">
        <v>1.1304413512373299</v>
      </c>
    </row>
    <row r="4455" spans="1:2" x14ac:dyDescent="0.35">
      <c r="A4455">
        <v>-0.37406730651855502</v>
      </c>
      <c r="B4455">
        <v>1.12944088873811</v>
      </c>
    </row>
    <row r="4456" spans="1:2" x14ac:dyDescent="0.35">
      <c r="A4456">
        <v>-0.37451258301734902</v>
      </c>
      <c r="B4456">
        <v>1.12139024395926</v>
      </c>
    </row>
    <row r="4457" spans="1:2" x14ac:dyDescent="0.35">
      <c r="A4457">
        <v>-0.375019460916519</v>
      </c>
      <c r="B4457">
        <v>1.11232114806569</v>
      </c>
    </row>
    <row r="4458" spans="1:2" x14ac:dyDescent="0.35">
      <c r="A4458">
        <v>-0.37560114264488198</v>
      </c>
      <c r="B4458">
        <v>1.10999138752897</v>
      </c>
    </row>
    <row r="4459" spans="1:2" x14ac:dyDescent="0.35">
      <c r="A4459">
        <v>-0.37616741657257102</v>
      </c>
      <c r="B4459">
        <v>1.1010588957780001</v>
      </c>
    </row>
    <row r="4460" spans="1:2" x14ac:dyDescent="0.35">
      <c r="A4460">
        <v>-0.376369208097458</v>
      </c>
      <c r="B4460">
        <v>1.09918697889497</v>
      </c>
    </row>
    <row r="4461" spans="1:2" x14ac:dyDescent="0.35">
      <c r="A4461">
        <v>-0.376942157745361</v>
      </c>
      <c r="B4461">
        <v>1.1002024223423501</v>
      </c>
    </row>
    <row r="4462" spans="1:2" x14ac:dyDescent="0.35">
      <c r="A4462">
        <v>-0.37747251987457298</v>
      </c>
      <c r="B4462">
        <v>1.0883763954012999</v>
      </c>
    </row>
    <row r="4463" spans="1:2" x14ac:dyDescent="0.35">
      <c r="A4463">
        <v>-0.377925425767899</v>
      </c>
      <c r="B4463">
        <v>1.08240171015348</v>
      </c>
    </row>
    <row r="4464" spans="1:2" x14ac:dyDescent="0.35">
      <c r="A4464">
        <v>-0.37851357460022</v>
      </c>
      <c r="B4464">
        <v>1.07877108072246</v>
      </c>
    </row>
    <row r="4465" spans="1:2" x14ac:dyDescent="0.35">
      <c r="A4465">
        <v>-0.37905210256576499</v>
      </c>
      <c r="B4465">
        <v>1.0740536500095501</v>
      </c>
    </row>
    <row r="4466" spans="1:2" x14ac:dyDescent="0.35">
      <c r="A4466">
        <v>-0.37956327199935902</v>
      </c>
      <c r="B4466">
        <v>1.06881712163159</v>
      </c>
    </row>
    <row r="4467" spans="1:2" x14ac:dyDescent="0.35">
      <c r="A4467">
        <v>-0.37991705536842302</v>
      </c>
      <c r="B4467">
        <v>1.0647492752469401</v>
      </c>
    </row>
    <row r="4468" spans="1:2" x14ac:dyDescent="0.35">
      <c r="A4468">
        <v>-0.38034531474113498</v>
      </c>
      <c r="B4468">
        <v>1.05868941114005</v>
      </c>
    </row>
    <row r="4469" spans="1:2" x14ac:dyDescent="0.35">
      <c r="A4469">
        <v>-0.38083973526954701</v>
      </c>
      <c r="B4469">
        <v>1.0526030521707599</v>
      </c>
    </row>
    <row r="4470" spans="1:2" x14ac:dyDescent="0.35">
      <c r="A4470">
        <v>-0.38153716921806302</v>
      </c>
      <c r="B4470">
        <v>1.05214209814833</v>
      </c>
    </row>
    <row r="4471" spans="1:2" x14ac:dyDescent="0.35">
      <c r="A4471">
        <v>-0.38207137584686302</v>
      </c>
      <c r="B4471">
        <v>1.04395931860504</v>
      </c>
    </row>
    <row r="4472" spans="1:2" x14ac:dyDescent="0.35">
      <c r="A4472">
        <v>-0.38264209032058699</v>
      </c>
      <c r="B4472">
        <v>1.03313949191786</v>
      </c>
    </row>
    <row r="4473" spans="1:2" x14ac:dyDescent="0.35">
      <c r="A4473">
        <v>-0.38307198882103</v>
      </c>
      <c r="B4473">
        <v>1.03062015193781</v>
      </c>
    </row>
    <row r="4474" spans="1:2" x14ac:dyDescent="0.35">
      <c r="A4474">
        <v>-0.38347181677818298</v>
      </c>
      <c r="B4474">
        <v>1.0273026438367701</v>
      </c>
    </row>
    <row r="4475" spans="1:2" x14ac:dyDescent="0.35">
      <c r="A4475">
        <v>-0.38405510783195501</v>
      </c>
      <c r="B4475">
        <v>1.02541202415856</v>
      </c>
    </row>
    <row r="4476" spans="1:2" x14ac:dyDescent="0.35">
      <c r="A4476">
        <v>-0.38459119200706499</v>
      </c>
      <c r="B4476">
        <v>1.01349676315221</v>
      </c>
    </row>
    <row r="4477" spans="1:2" x14ac:dyDescent="0.35">
      <c r="A4477">
        <v>-0.38512042164802601</v>
      </c>
      <c r="B4477">
        <v>1.0081364042485801</v>
      </c>
    </row>
    <row r="4478" spans="1:2" x14ac:dyDescent="0.35">
      <c r="A4478">
        <v>-0.38564622402191201</v>
      </c>
      <c r="B4478">
        <v>1.00479263126578</v>
      </c>
    </row>
    <row r="4479" spans="1:2" x14ac:dyDescent="0.35">
      <c r="A4479">
        <v>-0.386084884405136</v>
      </c>
      <c r="B4479">
        <v>1.0011062239759601</v>
      </c>
    </row>
    <row r="4480" spans="1:2" x14ac:dyDescent="0.35">
      <c r="A4480">
        <v>-0.38655471801757801</v>
      </c>
      <c r="B4480">
        <v>0.99778176667582197</v>
      </c>
    </row>
    <row r="4481" spans="1:2" x14ac:dyDescent="0.35">
      <c r="A4481">
        <v>-0.38724800944328303</v>
      </c>
      <c r="B4481">
        <v>0.98599973724006895</v>
      </c>
    </row>
    <row r="4482" spans="1:2" x14ac:dyDescent="0.35">
      <c r="A4482">
        <v>-0.38764569163322399</v>
      </c>
      <c r="B4482">
        <v>0.98300028236403902</v>
      </c>
    </row>
    <row r="4483" spans="1:2" x14ac:dyDescent="0.35">
      <c r="A4483">
        <v>-0.38814091682434099</v>
      </c>
      <c r="B4483">
        <v>0.97760526810677295</v>
      </c>
    </row>
    <row r="4484" spans="1:2" x14ac:dyDescent="0.35">
      <c r="A4484">
        <v>-0.38877776265144298</v>
      </c>
      <c r="B4484">
        <v>0.97741476088845403</v>
      </c>
    </row>
    <row r="4485" spans="1:2" x14ac:dyDescent="0.35">
      <c r="A4485">
        <v>-0.38901507854461698</v>
      </c>
      <c r="B4485">
        <v>0.969917204779293</v>
      </c>
    </row>
    <row r="4486" spans="1:2" x14ac:dyDescent="0.35">
      <c r="A4486">
        <v>-0.38960370421409601</v>
      </c>
      <c r="B4486">
        <v>0.96543049374076995</v>
      </c>
    </row>
    <row r="4487" spans="1:2" x14ac:dyDescent="0.35">
      <c r="A4487">
        <v>-0.39013063907623302</v>
      </c>
      <c r="B4487">
        <v>0.960257525217594</v>
      </c>
    </row>
    <row r="4488" spans="1:2" x14ac:dyDescent="0.35">
      <c r="A4488">
        <v>-0.39059641957282998</v>
      </c>
      <c r="B4488">
        <v>0.95440358774443701</v>
      </c>
    </row>
    <row r="4489" spans="1:2" x14ac:dyDescent="0.35">
      <c r="A4489">
        <v>-0.39113581180572499</v>
      </c>
      <c r="B4489">
        <v>0.94967957043811302</v>
      </c>
    </row>
    <row r="4490" spans="1:2" x14ac:dyDescent="0.35">
      <c r="A4490">
        <v>-0.39188838005065901</v>
      </c>
      <c r="B4490">
        <v>0.94254532791555701</v>
      </c>
    </row>
    <row r="4491" spans="1:2" x14ac:dyDescent="0.35">
      <c r="A4491">
        <v>-0.39210122823715199</v>
      </c>
      <c r="B4491">
        <v>0.94023611202135404</v>
      </c>
    </row>
    <row r="4492" spans="1:2" x14ac:dyDescent="0.35">
      <c r="A4492">
        <v>-0.39254269003868097</v>
      </c>
      <c r="B4492">
        <v>0.93517249732822105</v>
      </c>
    </row>
    <row r="4493" spans="1:2" x14ac:dyDescent="0.35">
      <c r="A4493">
        <v>-0.39313080906867998</v>
      </c>
      <c r="B4493">
        <v>0.928500741600363</v>
      </c>
    </row>
    <row r="4494" spans="1:2" x14ac:dyDescent="0.35">
      <c r="A4494">
        <v>-0.39356243610382102</v>
      </c>
      <c r="B4494">
        <v>0.92573961409047001</v>
      </c>
    </row>
    <row r="4495" spans="1:2" x14ac:dyDescent="0.35">
      <c r="A4495">
        <v>-0.39412853121757502</v>
      </c>
      <c r="B4495">
        <v>0.917225377713632</v>
      </c>
    </row>
    <row r="4496" spans="1:2" x14ac:dyDescent="0.35">
      <c r="A4496">
        <v>-0.39455121755599998</v>
      </c>
      <c r="B4496">
        <v>0.915261572925816</v>
      </c>
    </row>
    <row r="4497" spans="1:2" x14ac:dyDescent="0.35">
      <c r="A4497">
        <v>-0.39504882693290699</v>
      </c>
      <c r="B4497">
        <v>0.91272258710767995</v>
      </c>
    </row>
    <row r="4498" spans="1:2" x14ac:dyDescent="0.35">
      <c r="A4498">
        <v>-0.39547058939933799</v>
      </c>
      <c r="B4498">
        <v>0.909361923546669</v>
      </c>
    </row>
    <row r="4499" spans="1:2" x14ac:dyDescent="0.35">
      <c r="A4499">
        <v>-0.39611610770225503</v>
      </c>
      <c r="B4499">
        <v>0.90161216624961704</v>
      </c>
    </row>
    <row r="4500" spans="1:2" x14ac:dyDescent="0.35">
      <c r="A4500">
        <v>-0.39645558595657299</v>
      </c>
      <c r="B4500">
        <v>0.894920322695963</v>
      </c>
    </row>
    <row r="4501" spans="1:2" x14ac:dyDescent="0.35">
      <c r="A4501">
        <v>-0.397040635347366</v>
      </c>
      <c r="B4501">
        <v>0.89171374296773098</v>
      </c>
    </row>
    <row r="4502" spans="1:2" x14ac:dyDescent="0.35">
      <c r="A4502">
        <v>-0.39739686250686601</v>
      </c>
      <c r="B4502">
        <v>0.88527240177675903</v>
      </c>
    </row>
    <row r="4503" spans="1:2" x14ac:dyDescent="0.35">
      <c r="A4503">
        <v>-0.39803209900856001</v>
      </c>
      <c r="B4503">
        <v>0.87853195152555497</v>
      </c>
    </row>
    <row r="4504" spans="1:2" x14ac:dyDescent="0.35">
      <c r="A4504">
        <v>-0.39852052927017201</v>
      </c>
      <c r="B4504">
        <v>0.87544103477197799</v>
      </c>
    </row>
    <row r="4505" spans="1:2" x14ac:dyDescent="0.35">
      <c r="A4505">
        <v>-0.39899665117263799</v>
      </c>
      <c r="B4505">
        <v>0.87131579187507802</v>
      </c>
    </row>
    <row r="4506" spans="1:2" x14ac:dyDescent="0.35">
      <c r="A4506">
        <v>-0.39951351284980802</v>
      </c>
      <c r="B4506">
        <v>0.86771283407684796</v>
      </c>
    </row>
    <row r="4507" spans="1:2" x14ac:dyDescent="0.35">
      <c r="A4507">
        <v>-0.39997389912605302</v>
      </c>
      <c r="B4507">
        <v>0.85954467429613401</v>
      </c>
    </row>
    <row r="4508" spans="1:2" x14ac:dyDescent="0.35">
      <c r="A4508">
        <v>-0.40039998292923001</v>
      </c>
      <c r="B4508">
        <v>0.854706196498353</v>
      </c>
    </row>
    <row r="4509" spans="1:2" x14ac:dyDescent="0.35">
      <c r="A4509">
        <v>-0.40097057819366499</v>
      </c>
      <c r="B4509">
        <v>0.85158313541424602</v>
      </c>
    </row>
    <row r="4510" spans="1:2" x14ac:dyDescent="0.35">
      <c r="A4510">
        <v>-0.40154719352722201</v>
      </c>
      <c r="B4510">
        <v>0.84583580172903305</v>
      </c>
    </row>
    <row r="4511" spans="1:2" x14ac:dyDescent="0.35">
      <c r="A4511">
        <v>-0.40183502435684199</v>
      </c>
      <c r="B4511">
        <v>0.84247531902133699</v>
      </c>
    </row>
    <row r="4512" spans="1:2" x14ac:dyDescent="0.35">
      <c r="A4512">
        <v>-0.40252685546875</v>
      </c>
      <c r="B4512">
        <v>0.83720458907394701</v>
      </c>
    </row>
    <row r="4513" spans="1:2" x14ac:dyDescent="0.35">
      <c r="A4513">
        <v>-0.40312573313713101</v>
      </c>
      <c r="B4513">
        <v>0.83535342078072505</v>
      </c>
    </row>
    <row r="4514" spans="1:2" x14ac:dyDescent="0.35">
      <c r="A4514">
        <v>-0.40340170264244102</v>
      </c>
      <c r="B4514">
        <v>0.83045723257589898</v>
      </c>
    </row>
    <row r="4515" spans="1:2" x14ac:dyDescent="0.35">
      <c r="A4515">
        <v>-0.403943181037903</v>
      </c>
      <c r="B4515">
        <v>0.82179790304576705</v>
      </c>
    </row>
    <row r="4516" spans="1:2" x14ac:dyDescent="0.35">
      <c r="A4516">
        <v>-0.40438634157180797</v>
      </c>
      <c r="B4516">
        <v>0.81811734806257097</v>
      </c>
    </row>
    <row r="4517" spans="1:2" x14ac:dyDescent="0.35">
      <c r="A4517">
        <v>-0.40495795011520402</v>
      </c>
      <c r="B4517">
        <v>0.81386956772763597</v>
      </c>
    </row>
    <row r="4518" spans="1:2" x14ac:dyDescent="0.35">
      <c r="A4518">
        <v>-0.40552812814712502</v>
      </c>
      <c r="B4518">
        <v>0.811151675680018</v>
      </c>
    </row>
    <row r="4519" spans="1:2" x14ac:dyDescent="0.35">
      <c r="A4519">
        <v>-0.40612500905990601</v>
      </c>
      <c r="B4519">
        <v>0.80506690636191403</v>
      </c>
    </row>
    <row r="4520" spans="1:2" x14ac:dyDescent="0.35">
      <c r="A4520">
        <v>-0.40649157762527499</v>
      </c>
      <c r="B4520">
        <v>0.80114007915817198</v>
      </c>
    </row>
    <row r="4521" spans="1:2" x14ac:dyDescent="0.35">
      <c r="A4521">
        <v>-0.40689048171043402</v>
      </c>
      <c r="B4521">
        <v>0.79773514176106197</v>
      </c>
    </row>
    <row r="4522" spans="1:2" x14ac:dyDescent="0.35">
      <c r="A4522">
        <v>-0.40752124786376998</v>
      </c>
      <c r="B4522">
        <v>0.78786054548412598</v>
      </c>
    </row>
    <row r="4523" spans="1:2" x14ac:dyDescent="0.35">
      <c r="A4523">
        <v>-0.40808627009391801</v>
      </c>
      <c r="B4523">
        <v>0.78512914954589497</v>
      </c>
    </row>
    <row r="4524" spans="1:2" x14ac:dyDescent="0.35">
      <c r="A4524">
        <v>-0.40853706002235401</v>
      </c>
      <c r="B4524">
        <v>0.78193096411325902</v>
      </c>
    </row>
    <row r="4525" spans="1:2" x14ac:dyDescent="0.35">
      <c r="A4525">
        <v>-0.40901717543602001</v>
      </c>
      <c r="B4525">
        <v>0.777121859924919</v>
      </c>
    </row>
    <row r="4526" spans="1:2" x14ac:dyDescent="0.35">
      <c r="A4526">
        <v>-0.40967112779617298</v>
      </c>
      <c r="B4526">
        <v>0.76994320793747595</v>
      </c>
    </row>
    <row r="4527" spans="1:2" x14ac:dyDescent="0.35">
      <c r="A4527">
        <v>-0.40997985005378701</v>
      </c>
      <c r="B4527">
        <v>0.76394730254477705</v>
      </c>
    </row>
    <row r="4528" spans="1:2" x14ac:dyDescent="0.35">
      <c r="A4528">
        <v>-0.41049075126647899</v>
      </c>
      <c r="B4528">
        <v>0.76100956373345297</v>
      </c>
    </row>
    <row r="4529" spans="1:2" x14ac:dyDescent="0.35">
      <c r="A4529">
        <v>-0.41116920113563499</v>
      </c>
      <c r="B4529">
        <v>0.75496263931961205</v>
      </c>
    </row>
    <row r="4530" spans="1:2" x14ac:dyDescent="0.35">
      <c r="A4530">
        <v>-0.41151615977287298</v>
      </c>
      <c r="B4530">
        <v>0.75072441812227297</v>
      </c>
    </row>
    <row r="4531" spans="1:2" x14ac:dyDescent="0.35">
      <c r="A4531">
        <v>-0.41209384799003601</v>
      </c>
      <c r="B4531">
        <v>0.74976579114602604</v>
      </c>
    </row>
    <row r="4532" spans="1:2" x14ac:dyDescent="0.35">
      <c r="A4532">
        <v>-0.41279119253158603</v>
      </c>
      <c r="B4532">
        <v>0.74347353392405502</v>
      </c>
    </row>
    <row r="4533" spans="1:2" x14ac:dyDescent="0.35">
      <c r="A4533">
        <v>-0.413131684064865</v>
      </c>
      <c r="B4533">
        <v>0.73441844718501603</v>
      </c>
    </row>
    <row r="4534" spans="1:2" x14ac:dyDescent="0.35">
      <c r="A4534">
        <v>-0.41363096237182601</v>
      </c>
      <c r="B4534">
        <v>0.73165875053156304</v>
      </c>
    </row>
    <row r="4535" spans="1:2" x14ac:dyDescent="0.35">
      <c r="A4535">
        <v>-0.41416200995445301</v>
      </c>
      <c r="B4535">
        <v>0.72713210996788702</v>
      </c>
    </row>
    <row r="4536" spans="1:2" x14ac:dyDescent="0.35">
      <c r="A4536">
        <v>-0.41448679566383401</v>
      </c>
      <c r="B4536">
        <v>0.72466958129221004</v>
      </c>
    </row>
    <row r="4537" spans="1:2" x14ac:dyDescent="0.35">
      <c r="A4537">
        <v>-0.41507694125175498</v>
      </c>
      <c r="B4537">
        <v>0.72141546313488603</v>
      </c>
    </row>
    <row r="4538" spans="1:2" x14ac:dyDescent="0.35">
      <c r="A4538">
        <v>-0.41569039225578303</v>
      </c>
      <c r="B4538">
        <v>0.71532471462050695</v>
      </c>
    </row>
    <row r="4539" spans="1:2" x14ac:dyDescent="0.35">
      <c r="A4539">
        <v>-0.416118234395981</v>
      </c>
      <c r="B4539">
        <v>0.70697234097425099</v>
      </c>
    </row>
    <row r="4540" spans="1:2" x14ac:dyDescent="0.35">
      <c r="A4540">
        <v>-0.416489988565445</v>
      </c>
      <c r="B4540">
        <v>0.70496798635545999</v>
      </c>
    </row>
    <row r="4541" spans="1:2" x14ac:dyDescent="0.35">
      <c r="A4541">
        <v>-0.41715663671493503</v>
      </c>
      <c r="B4541">
        <v>0.70093358092275904</v>
      </c>
    </row>
    <row r="4542" spans="1:2" x14ac:dyDescent="0.35">
      <c r="A4542">
        <v>-0.41765007376670799</v>
      </c>
      <c r="B4542">
        <v>0.69704833127791899</v>
      </c>
    </row>
    <row r="4543" spans="1:2" x14ac:dyDescent="0.35">
      <c r="A4543">
        <v>-0.41813436150550798</v>
      </c>
      <c r="B4543">
        <v>0.69423554592994297</v>
      </c>
    </row>
    <row r="4544" spans="1:2" x14ac:dyDescent="0.35">
      <c r="A4544">
        <v>-0.41846838593482999</v>
      </c>
      <c r="B4544">
        <v>0.68590714524199503</v>
      </c>
    </row>
    <row r="4545" spans="1:2" x14ac:dyDescent="0.35">
      <c r="A4545">
        <v>-0.41892006993293801</v>
      </c>
      <c r="B4545">
        <v>0.683936681969746</v>
      </c>
    </row>
    <row r="4546" spans="1:2" x14ac:dyDescent="0.35">
      <c r="A4546">
        <v>-0.41952219605445901</v>
      </c>
      <c r="B4546">
        <v>0.67811245195061598</v>
      </c>
    </row>
    <row r="4547" spans="1:2" x14ac:dyDescent="0.35">
      <c r="A4547">
        <v>-0.41997572779655501</v>
      </c>
      <c r="B4547">
        <v>0.67392213689753599</v>
      </c>
    </row>
    <row r="4548" spans="1:2" x14ac:dyDescent="0.35">
      <c r="A4548">
        <v>-0.42059481143951399</v>
      </c>
      <c r="B4548">
        <v>0.669607732276986</v>
      </c>
    </row>
    <row r="4549" spans="1:2" x14ac:dyDescent="0.35">
      <c r="A4549">
        <v>-0.42098617553710899</v>
      </c>
      <c r="B4549">
        <v>0.66642273992332501</v>
      </c>
    </row>
    <row r="4550" spans="1:2" x14ac:dyDescent="0.35">
      <c r="A4550">
        <v>-0.42143782973289501</v>
      </c>
      <c r="B4550">
        <v>0.66112074191060999</v>
      </c>
    </row>
    <row r="4551" spans="1:2" x14ac:dyDescent="0.35">
      <c r="A4551">
        <v>-0.42203673720359802</v>
      </c>
      <c r="B4551">
        <v>0.65700146067626997</v>
      </c>
    </row>
    <row r="4552" spans="1:2" x14ac:dyDescent="0.35">
      <c r="A4552">
        <v>-0.422477006912231</v>
      </c>
      <c r="B4552">
        <v>0.65099281235788498</v>
      </c>
    </row>
    <row r="4553" spans="1:2" x14ac:dyDescent="0.35">
      <c r="A4553">
        <v>-0.42307659983634899</v>
      </c>
      <c r="B4553">
        <v>0.64630365542372403</v>
      </c>
    </row>
    <row r="4554" spans="1:2" x14ac:dyDescent="0.35">
      <c r="A4554">
        <v>-0.42357933521270802</v>
      </c>
      <c r="B4554">
        <v>0.64397722264354496</v>
      </c>
    </row>
    <row r="4555" spans="1:2" x14ac:dyDescent="0.35">
      <c r="A4555">
        <v>-0.42413303256034901</v>
      </c>
      <c r="B4555">
        <v>0.63724346976503798</v>
      </c>
    </row>
    <row r="4556" spans="1:2" x14ac:dyDescent="0.35">
      <c r="A4556">
        <v>-0.42451843619346602</v>
      </c>
      <c r="B4556">
        <v>0.63332542450535501</v>
      </c>
    </row>
    <row r="4557" spans="1:2" x14ac:dyDescent="0.35">
      <c r="A4557">
        <v>-0.42505389451980602</v>
      </c>
      <c r="B4557">
        <v>0.62938096217151895</v>
      </c>
    </row>
    <row r="4558" spans="1:2" x14ac:dyDescent="0.35">
      <c r="A4558">
        <v>-0.42550471425056502</v>
      </c>
      <c r="B4558">
        <v>0.626475609329604</v>
      </c>
    </row>
    <row r="4559" spans="1:2" x14ac:dyDescent="0.35">
      <c r="A4559">
        <v>-0.42606517672538802</v>
      </c>
      <c r="B4559">
        <v>0.62329608856214902</v>
      </c>
    </row>
    <row r="4560" spans="1:2" x14ac:dyDescent="0.35">
      <c r="A4560">
        <v>-0.426671892404556</v>
      </c>
      <c r="B4560">
        <v>0.61724122124510905</v>
      </c>
    </row>
    <row r="4561" spans="1:2" x14ac:dyDescent="0.35">
      <c r="A4561">
        <v>-0.42722216248512301</v>
      </c>
      <c r="B4561">
        <v>0.60885674703604997</v>
      </c>
    </row>
    <row r="4562" spans="1:2" x14ac:dyDescent="0.35">
      <c r="A4562">
        <v>-0.427653938531876</v>
      </c>
      <c r="B4562">
        <v>0.60448981938590995</v>
      </c>
    </row>
    <row r="4563" spans="1:2" x14ac:dyDescent="0.35">
      <c r="A4563">
        <v>-0.42793753743171697</v>
      </c>
      <c r="B4563">
        <v>0.60053658153740896</v>
      </c>
    </row>
    <row r="4564" spans="1:2" x14ac:dyDescent="0.35">
      <c r="A4564">
        <v>-0.42867007851600603</v>
      </c>
      <c r="B4564">
        <v>0.59686327975272102</v>
      </c>
    </row>
    <row r="4565" spans="1:2" x14ac:dyDescent="0.35">
      <c r="A4565">
        <v>-0.42908462882041898</v>
      </c>
      <c r="B4565">
        <v>0.59240163176437</v>
      </c>
    </row>
    <row r="4566" spans="1:2" x14ac:dyDescent="0.35">
      <c r="A4566">
        <v>-0.42965841293335</v>
      </c>
      <c r="B4566">
        <v>0.58808732451483303</v>
      </c>
    </row>
    <row r="4567" spans="1:2" x14ac:dyDescent="0.35">
      <c r="A4567">
        <v>-0.43014785647392301</v>
      </c>
      <c r="B4567">
        <v>0.58673407204904404</v>
      </c>
    </row>
    <row r="4568" spans="1:2" x14ac:dyDescent="0.35">
      <c r="A4568">
        <v>-0.43063360452652</v>
      </c>
      <c r="B4568">
        <v>0.57845263215360898</v>
      </c>
    </row>
    <row r="4569" spans="1:2" x14ac:dyDescent="0.35">
      <c r="A4569">
        <v>-0.43091875314712502</v>
      </c>
      <c r="B4569">
        <v>0.57390533465149696</v>
      </c>
    </row>
    <row r="4570" spans="1:2" x14ac:dyDescent="0.35">
      <c r="A4570">
        <v>-0.43144142627716098</v>
      </c>
      <c r="B4570">
        <v>0.57179526109601397</v>
      </c>
    </row>
    <row r="4571" spans="1:2" x14ac:dyDescent="0.35">
      <c r="A4571">
        <v>-0.43210190534591703</v>
      </c>
      <c r="B4571">
        <v>0.56667582294962104</v>
      </c>
    </row>
    <row r="4572" spans="1:2" x14ac:dyDescent="0.35">
      <c r="A4572">
        <v>-0.432557612657547</v>
      </c>
      <c r="B4572">
        <v>0.56360757726958799</v>
      </c>
    </row>
    <row r="4573" spans="1:2" x14ac:dyDescent="0.35">
      <c r="A4573">
        <v>-0.43310156464576699</v>
      </c>
      <c r="B4573">
        <v>0.55959458518342398</v>
      </c>
    </row>
    <row r="4574" spans="1:2" x14ac:dyDescent="0.35">
      <c r="A4574">
        <v>-0.43357083201408397</v>
      </c>
      <c r="B4574">
        <v>0.55482130766446003</v>
      </c>
    </row>
    <row r="4575" spans="1:2" x14ac:dyDescent="0.35">
      <c r="A4575">
        <v>-0.43408110737800598</v>
      </c>
      <c r="B4575">
        <v>0.54937661457558795</v>
      </c>
    </row>
    <row r="4576" spans="1:2" x14ac:dyDescent="0.35">
      <c r="A4576">
        <v>-0.43450424075126598</v>
      </c>
      <c r="B4576">
        <v>0.54712501406772795</v>
      </c>
    </row>
    <row r="4577" spans="1:2" x14ac:dyDescent="0.35">
      <c r="A4577">
        <v>-0.434942036867142</v>
      </c>
      <c r="B4577">
        <v>0.54250363678394398</v>
      </c>
    </row>
    <row r="4578" spans="1:2" x14ac:dyDescent="0.35">
      <c r="A4578">
        <v>-0.435433030128479</v>
      </c>
      <c r="B4578">
        <v>0.53485452491150298</v>
      </c>
    </row>
    <row r="4579" spans="1:2" x14ac:dyDescent="0.35">
      <c r="A4579">
        <v>-0.43609526753425598</v>
      </c>
      <c r="B4579">
        <v>0.53229370259463504</v>
      </c>
    </row>
    <row r="4580" spans="1:2" x14ac:dyDescent="0.35">
      <c r="A4580">
        <v>-0.43658703565597501</v>
      </c>
      <c r="B4580">
        <v>0.52778719446942202</v>
      </c>
    </row>
    <row r="4581" spans="1:2" x14ac:dyDescent="0.35">
      <c r="A4581">
        <v>-0.43705910444259599</v>
      </c>
      <c r="B4581">
        <v>0.52473084855942198</v>
      </c>
    </row>
    <row r="4582" spans="1:2" x14ac:dyDescent="0.35">
      <c r="A4582">
        <v>-0.43765363097190901</v>
      </c>
      <c r="B4582">
        <v>0.51856628749175004</v>
      </c>
    </row>
    <row r="4583" spans="1:2" x14ac:dyDescent="0.35">
      <c r="A4583">
        <v>-0.43804916739463801</v>
      </c>
      <c r="B4583">
        <v>0.51525013518566598</v>
      </c>
    </row>
    <row r="4584" spans="1:2" x14ac:dyDescent="0.35">
      <c r="A4584">
        <v>-0.43852621316909801</v>
      </c>
      <c r="B4584">
        <v>0.51149979272291601</v>
      </c>
    </row>
    <row r="4585" spans="1:2" x14ac:dyDescent="0.35">
      <c r="A4585">
        <v>-0.439132690429688</v>
      </c>
      <c r="B4585">
        <v>0.50606170006082996</v>
      </c>
    </row>
    <row r="4586" spans="1:2" x14ac:dyDescent="0.35">
      <c r="A4586">
        <v>-0.43965452909469599</v>
      </c>
      <c r="B4586">
        <v>0.50187872194552297</v>
      </c>
    </row>
    <row r="4587" spans="1:2" x14ac:dyDescent="0.35">
      <c r="A4587">
        <v>-0.44001039862632801</v>
      </c>
      <c r="B4587">
        <v>0.49816618236839899</v>
      </c>
    </row>
    <row r="4588" spans="1:2" x14ac:dyDescent="0.35">
      <c r="A4588">
        <v>-0.44046869874000499</v>
      </c>
      <c r="B4588">
        <v>0.49575989840403301</v>
      </c>
    </row>
    <row r="4589" spans="1:2" x14ac:dyDescent="0.35">
      <c r="A4589">
        <v>-0.44102516770362898</v>
      </c>
      <c r="B4589">
        <v>0.48939787976161703</v>
      </c>
    </row>
    <row r="4590" spans="1:2" x14ac:dyDescent="0.35">
      <c r="A4590">
        <v>-0.44161769747734098</v>
      </c>
      <c r="B4590">
        <v>0.48514903960088002</v>
      </c>
    </row>
    <row r="4591" spans="1:2" x14ac:dyDescent="0.35">
      <c r="A4591">
        <v>-0.442226052284241</v>
      </c>
      <c r="B4591">
        <v>0.48041861857365697</v>
      </c>
    </row>
    <row r="4592" spans="1:2" x14ac:dyDescent="0.35">
      <c r="A4592">
        <v>-0.44261094927787797</v>
      </c>
      <c r="B4592">
        <v>0.47838735550036199</v>
      </c>
    </row>
    <row r="4593" spans="1:2" x14ac:dyDescent="0.35">
      <c r="A4593">
        <v>-0.44302549958229098</v>
      </c>
      <c r="B4593">
        <v>0.46956177582702802</v>
      </c>
    </row>
    <row r="4594" spans="1:2" x14ac:dyDescent="0.35">
      <c r="A4594">
        <v>-0.44346967339515703</v>
      </c>
      <c r="B4594">
        <v>0.46668451772017899</v>
      </c>
    </row>
    <row r="4595" spans="1:2" x14ac:dyDescent="0.35">
      <c r="A4595">
        <v>-0.44407311081886303</v>
      </c>
      <c r="B4595">
        <v>0.46428404062495399</v>
      </c>
    </row>
    <row r="4596" spans="1:2" x14ac:dyDescent="0.35">
      <c r="A4596">
        <v>-0.44447261095047003</v>
      </c>
      <c r="B4596">
        <v>0.46181260222300502</v>
      </c>
    </row>
    <row r="4597" spans="1:2" x14ac:dyDescent="0.35">
      <c r="A4597">
        <v>-0.44496557116508501</v>
      </c>
      <c r="B4597">
        <v>0.45583311313452901</v>
      </c>
    </row>
    <row r="4598" spans="1:2" x14ac:dyDescent="0.35">
      <c r="A4598">
        <v>-0.445532947778702</v>
      </c>
      <c r="B4598">
        <v>0.45185574614601898</v>
      </c>
    </row>
    <row r="4599" spans="1:2" x14ac:dyDescent="0.35">
      <c r="A4599">
        <v>-0.44594624638557401</v>
      </c>
      <c r="B4599">
        <v>0.44678878712686798</v>
      </c>
    </row>
    <row r="4600" spans="1:2" x14ac:dyDescent="0.35">
      <c r="A4600">
        <v>-0.44651660323143</v>
      </c>
      <c r="B4600">
        <v>0.44131550989842699</v>
      </c>
    </row>
    <row r="4601" spans="1:2" x14ac:dyDescent="0.35">
      <c r="A4601">
        <v>-0.446979999542236</v>
      </c>
      <c r="B4601">
        <v>0.43815536036262998</v>
      </c>
    </row>
    <row r="4602" spans="1:2" x14ac:dyDescent="0.35">
      <c r="A4602">
        <v>-0.447527825832367</v>
      </c>
      <c r="B4602">
        <v>0.43410045959987997</v>
      </c>
    </row>
    <row r="4603" spans="1:2" x14ac:dyDescent="0.35">
      <c r="A4603">
        <v>-0.44792550802230802</v>
      </c>
      <c r="B4603">
        <v>0.43144311728335799</v>
      </c>
    </row>
    <row r="4604" spans="1:2" x14ac:dyDescent="0.35">
      <c r="A4604">
        <v>-0.44844597578048701</v>
      </c>
      <c r="B4604">
        <v>0.42676959833047301</v>
      </c>
    </row>
    <row r="4605" spans="1:2" x14ac:dyDescent="0.35">
      <c r="A4605">
        <v>-0.44902801513671903</v>
      </c>
      <c r="B4605">
        <v>0.42119983424603802</v>
      </c>
    </row>
    <row r="4606" spans="1:2" x14ac:dyDescent="0.35">
      <c r="A4606">
        <v>-0.44948390126228299</v>
      </c>
      <c r="B4606">
        <v>0.41852097989838</v>
      </c>
    </row>
    <row r="4607" spans="1:2" x14ac:dyDescent="0.35">
      <c r="A4607">
        <v>-0.44995972514152499</v>
      </c>
      <c r="B4607">
        <v>0.41267296423284899</v>
      </c>
    </row>
    <row r="4608" spans="1:2" x14ac:dyDescent="0.35">
      <c r="A4608">
        <v>-0.45044443011283902</v>
      </c>
      <c r="B4608">
        <v>0.40924829367887799</v>
      </c>
    </row>
    <row r="4609" spans="1:2" x14ac:dyDescent="0.35">
      <c r="A4609">
        <v>-0.45092460513114901</v>
      </c>
      <c r="B4609">
        <v>0.40628650377701298</v>
      </c>
    </row>
    <row r="4610" spans="1:2" x14ac:dyDescent="0.35">
      <c r="A4610">
        <v>-0.451458960771561</v>
      </c>
      <c r="B4610">
        <v>0.400351865088241</v>
      </c>
    </row>
    <row r="4611" spans="1:2" x14ac:dyDescent="0.35">
      <c r="A4611">
        <v>-0.45193699002265902</v>
      </c>
      <c r="B4611">
        <v>0.39743501579476698</v>
      </c>
    </row>
    <row r="4612" spans="1:2" x14ac:dyDescent="0.35">
      <c r="A4612">
        <v>-0.452385544776917</v>
      </c>
      <c r="B4612">
        <v>0.39295179817290499</v>
      </c>
    </row>
    <row r="4613" spans="1:2" x14ac:dyDescent="0.35">
      <c r="A4613">
        <v>-0.45287841558456399</v>
      </c>
      <c r="B4613">
        <v>0.38712393869054701</v>
      </c>
    </row>
    <row r="4614" spans="1:2" x14ac:dyDescent="0.35">
      <c r="A4614">
        <v>-0.45349648594856301</v>
      </c>
      <c r="B4614">
        <v>0.383304628534826</v>
      </c>
    </row>
    <row r="4615" spans="1:2" x14ac:dyDescent="0.35">
      <c r="A4615">
        <v>-0.45397862792015098</v>
      </c>
      <c r="B4615">
        <v>0.37856868646546399</v>
      </c>
    </row>
    <row r="4616" spans="1:2" x14ac:dyDescent="0.35">
      <c r="A4616">
        <v>-0.45444321632385298</v>
      </c>
      <c r="B4616">
        <v>0.375498739743584</v>
      </c>
    </row>
    <row r="4617" spans="1:2" x14ac:dyDescent="0.35">
      <c r="A4617">
        <v>-0.45491808652877802</v>
      </c>
      <c r="B4617">
        <v>0.37029509218981599</v>
      </c>
    </row>
    <row r="4618" spans="1:2" x14ac:dyDescent="0.35">
      <c r="A4618">
        <v>-0.45544946193695102</v>
      </c>
      <c r="B4618">
        <v>0.36612412036029401</v>
      </c>
    </row>
    <row r="4619" spans="1:2" x14ac:dyDescent="0.35">
      <c r="A4619">
        <v>-0.45590403676032998</v>
      </c>
      <c r="B4619">
        <v>0.36214372934963102</v>
      </c>
    </row>
    <row r="4620" spans="1:2" x14ac:dyDescent="0.35">
      <c r="A4620">
        <v>-0.456562489271164</v>
      </c>
      <c r="B4620">
        <v>0.35798271399667603</v>
      </c>
    </row>
    <row r="4621" spans="1:2" x14ac:dyDescent="0.35">
      <c r="A4621">
        <v>-0.45695996284484902</v>
      </c>
      <c r="B4621">
        <v>0.355774839096969</v>
      </c>
    </row>
    <row r="4622" spans="1:2" x14ac:dyDescent="0.35">
      <c r="A4622">
        <v>-0.45744988322258001</v>
      </c>
      <c r="B4622">
        <v>0.34992646310158099</v>
      </c>
    </row>
    <row r="4623" spans="1:2" x14ac:dyDescent="0.35">
      <c r="A4623">
        <v>-0.45799997448921198</v>
      </c>
      <c r="B4623">
        <v>0.347217433049401</v>
      </c>
    </row>
    <row r="4624" spans="1:2" x14ac:dyDescent="0.35">
      <c r="A4624">
        <v>-0.45839247107505798</v>
      </c>
      <c r="B4624">
        <v>0.34297725809676399</v>
      </c>
    </row>
    <row r="4625" spans="1:2" x14ac:dyDescent="0.35">
      <c r="A4625">
        <v>-0.45903271436691301</v>
      </c>
      <c r="B4625">
        <v>0.338745332114121</v>
      </c>
    </row>
    <row r="4626" spans="1:2" x14ac:dyDescent="0.35">
      <c r="A4626">
        <v>-0.45957538485527</v>
      </c>
      <c r="B4626">
        <v>0.33474871627447</v>
      </c>
    </row>
    <row r="4627" spans="1:2" x14ac:dyDescent="0.35">
      <c r="A4627">
        <v>-0.46006724238395702</v>
      </c>
      <c r="B4627">
        <v>0.32947713385837302</v>
      </c>
    </row>
    <row r="4628" spans="1:2" x14ac:dyDescent="0.35">
      <c r="A4628">
        <v>-0.46042355895042397</v>
      </c>
      <c r="B4628">
        <v>0.32601380415625197</v>
      </c>
    </row>
    <row r="4629" spans="1:2" x14ac:dyDescent="0.35">
      <c r="A4629">
        <v>-0.46101102232933</v>
      </c>
      <c r="B4629">
        <v>0.32190363592736498</v>
      </c>
    </row>
    <row r="4630" spans="1:2" x14ac:dyDescent="0.35">
      <c r="A4630">
        <v>-0.46159839630126998</v>
      </c>
      <c r="B4630">
        <v>0.31861377017843401</v>
      </c>
    </row>
    <row r="4631" spans="1:2" x14ac:dyDescent="0.35">
      <c r="A4631">
        <v>-0.462045758962631</v>
      </c>
      <c r="B4631">
        <v>0.31448658567120802</v>
      </c>
    </row>
    <row r="4632" spans="1:2" x14ac:dyDescent="0.35">
      <c r="A4632">
        <v>-0.46269866824150102</v>
      </c>
      <c r="B4632">
        <v>0.31044517485916401</v>
      </c>
    </row>
    <row r="4633" spans="1:2" x14ac:dyDescent="0.35">
      <c r="A4633">
        <v>-0.46311634778976402</v>
      </c>
      <c r="B4633">
        <v>0.30639640791144102</v>
      </c>
    </row>
    <row r="4634" spans="1:2" x14ac:dyDescent="0.35">
      <c r="A4634">
        <v>-0.463510721921921</v>
      </c>
      <c r="B4634">
        <v>0.30161631528329202</v>
      </c>
    </row>
    <row r="4635" spans="1:2" x14ac:dyDescent="0.35">
      <c r="A4635">
        <v>-0.46394425630569502</v>
      </c>
      <c r="B4635">
        <v>0.29738477358429299</v>
      </c>
    </row>
    <row r="4636" spans="1:2" x14ac:dyDescent="0.35">
      <c r="A4636">
        <v>-0.46466118097305298</v>
      </c>
      <c r="B4636">
        <v>0.292529706039519</v>
      </c>
    </row>
    <row r="4637" spans="1:2" x14ac:dyDescent="0.35">
      <c r="A4637">
        <v>-0.465035289525986</v>
      </c>
      <c r="B4637">
        <v>0.28843643462413099</v>
      </c>
    </row>
    <row r="4638" spans="1:2" x14ac:dyDescent="0.35">
      <c r="A4638">
        <v>-0.46565824747085599</v>
      </c>
      <c r="B4638">
        <v>0.28501270810585599</v>
      </c>
    </row>
    <row r="4639" spans="1:2" x14ac:dyDescent="0.35">
      <c r="A4639">
        <v>-0.46617043018341098</v>
      </c>
      <c r="B4639">
        <v>0.28043935591463498</v>
      </c>
    </row>
    <row r="4640" spans="1:2" x14ac:dyDescent="0.35">
      <c r="A4640">
        <v>-0.46645611524581898</v>
      </c>
      <c r="B4640">
        <v>0.27795845355808801</v>
      </c>
    </row>
    <row r="4641" spans="1:2" x14ac:dyDescent="0.35">
      <c r="A4641">
        <v>-0.46710330247879001</v>
      </c>
      <c r="B4641">
        <v>0.27212745003925898</v>
      </c>
    </row>
    <row r="4642" spans="1:2" x14ac:dyDescent="0.35">
      <c r="A4642">
        <v>-0.46768450736999501</v>
      </c>
      <c r="B4642">
        <v>0.268728720520169</v>
      </c>
    </row>
    <row r="4643" spans="1:2" x14ac:dyDescent="0.35">
      <c r="A4643">
        <v>-0.46805679798126198</v>
      </c>
      <c r="B4643">
        <v>0.26561020620357501</v>
      </c>
    </row>
    <row r="4644" spans="1:2" x14ac:dyDescent="0.35">
      <c r="A4644">
        <v>-0.46859839558601402</v>
      </c>
      <c r="B4644">
        <v>0.26186639104255299</v>
      </c>
    </row>
    <row r="4645" spans="1:2" x14ac:dyDescent="0.35">
      <c r="A4645">
        <v>-0.46900004148483299</v>
      </c>
      <c r="B4645">
        <v>0.25638471009008601</v>
      </c>
    </row>
    <row r="4646" spans="1:2" x14ac:dyDescent="0.35">
      <c r="A4646">
        <v>-0.46955144405365001</v>
      </c>
      <c r="B4646">
        <v>0.25429296753527397</v>
      </c>
    </row>
    <row r="4647" spans="1:2" x14ac:dyDescent="0.35">
      <c r="A4647">
        <v>-0.46990451216697698</v>
      </c>
      <c r="B4647">
        <v>0.25007477389077998</v>
      </c>
    </row>
    <row r="4648" spans="1:2" x14ac:dyDescent="0.35">
      <c r="A4648">
        <v>-0.47046008706092801</v>
      </c>
      <c r="B4648">
        <v>0.24514779792097699</v>
      </c>
    </row>
    <row r="4649" spans="1:2" x14ac:dyDescent="0.35">
      <c r="A4649">
        <v>-0.47095191478729198</v>
      </c>
      <c r="B4649">
        <v>0.240946269012041</v>
      </c>
    </row>
    <row r="4650" spans="1:2" x14ac:dyDescent="0.35">
      <c r="A4650">
        <v>-0.47155603766441301</v>
      </c>
      <c r="B4650">
        <v>0.237108314783191</v>
      </c>
    </row>
    <row r="4651" spans="1:2" x14ac:dyDescent="0.35">
      <c r="A4651">
        <v>-0.47195667028427102</v>
      </c>
      <c r="B4651">
        <v>0.232558623983149</v>
      </c>
    </row>
    <row r="4652" spans="1:2" x14ac:dyDescent="0.35">
      <c r="A4652">
        <v>-0.47253257036209101</v>
      </c>
      <c r="B4652">
        <v>0.22905445721343701</v>
      </c>
    </row>
    <row r="4653" spans="1:2" x14ac:dyDescent="0.35">
      <c r="A4653">
        <v>-0.472972452640533</v>
      </c>
      <c r="B4653">
        <v>0.224643915503001</v>
      </c>
    </row>
    <row r="4654" spans="1:2" x14ac:dyDescent="0.35">
      <c r="A4654">
        <v>-0.47326758503913902</v>
      </c>
      <c r="B4654">
        <v>0.22060317099864701</v>
      </c>
    </row>
    <row r="4655" spans="1:2" x14ac:dyDescent="0.35">
      <c r="A4655">
        <v>-0.47392249107360801</v>
      </c>
      <c r="B4655">
        <v>0.21684805922309699</v>
      </c>
    </row>
    <row r="4656" spans="1:2" x14ac:dyDescent="0.35">
      <c r="A4656">
        <v>-0.47433906793594399</v>
      </c>
      <c r="B4656">
        <v>0.21419567269238499</v>
      </c>
    </row>
    <row r="4657" spans="1:2" x14ac:dyDescent="0.35">
      <c r="A4657">
        <v>-0.474867343902588</v>
      </c>
      <c r="B4657">
        <v>0.21003355003712501</v>
      </c>
    </row>
    <row r="4658" spans="1:2" x14ac:dyDescent="0.35">
      <c r="A4658">
        <v>-0.47544682025909402</v>
      </c>
      <c r="B4658">
        <v>0.205179866335849</v>
      </c>
    </row>
    <row r="4659" spans="1:2" x14ac:dyDescent="0.35">
      <c r="A4659">
        <v>-0.47601708769798301</v>
      </c>
      <c r="B4659">
        <v>0.201026103524895</v>
      </c>
    </row>
    <row r="4660" spans="1:2" x14ac:dyDescent="0.35">
      <c r="A4660">
        <v>-0.47631198167800898</v>
      </c>
      <c r="B4660">
        <v>0.19731680972035301</v>
      </c>
    </row>
    <row r="4661" spans="1:2" x14ac:dyDescent="0.35">
      <c r="A4661">
        <v>-0.47704863548278797</v>
      </c>
      <c r="B4661">
        <v>0.19294251083490599</v>
      </c>
    </row>
    <row r="4662" spans="1:2" x14ac:dyDescent="0.35">
      <c r="A4662">
        <v>-0.47745683789253202</v>
      </c>
      <c r="B4662">
        <v>0.18905595557573801</v>
      </c>
    </row>
    <row r="4663" spans="1:2" x14ac:dyDescent="0.35">
      <c r="A4663">
        <v>-0.47787460684776301</v>
      </c>
      <c r="B4663">
        <v>0.185325150552892</v>
      </c>
    </row>
    <row r="4664" spans="1:2" x14ac:dyDescent="0.35">
      <c r="A4664">
        <v>-0.47841200232505798</v>
      </c>
      <c r="B4664">
        <v>0.18130293743543999</v>
      </c>
    </row>
    <row r="4665" spans="1:2" x14ac:dyDescent="0.35">
      <c r="A4665">
        <v>-0.47892859578132602</v>
      </c>
      <c r="B4665">
        <v>0.17692100725837301</v>
      </c>
    </row>
    <row r="4666" spans="1:2" x14ac:dyDescent="0.35">
      <c r="A4666">
        <v>-0.47942346334457397</v>
      </c>
      <c r="B4666">
        <v>0.17273176909194299</v>
      </c>
    </row>
    <row r="4667" spans="1:2" x14ac:dyDescent="0.35">
      <c r="A4667">
        <v>-0.47989222407340998</v>
      </c>
      <c r="B4667">
        <v>0.16911540098489</v>
      </c>
    </row>
    <row r="4668" spans="1:2" x14ac:dyDescent="0.35">
      <c r="A4668">
        <v>-0.48041680455207803</v>
      </c>
      <c r="B4668">
        <v>0.16581025982070799</v>
      </c>
    </row>
    <row r="4669" spans="1:2" x14ac:dyDescent="0.35">
      <c r="A4669">
        <v>-0.48094159364700301</v>
      </c>
      <c r="B4669">
        <v>0.162290898581678</v>
      </c>
    </row>
    <row r="4670" spans="1:2" x14ac:dyDescent="0.35">
      <c r="A4670">
        <v>-0.48147806525230402</v>
      </c>
      <c r="B4670">
        <v>0.15796596863788201</v>
      </c>
    </row>
    <row r="4671" spans="1:2" x14ac:dyDescent="0.35">
      <c r="A4671">
        <v>-0.48180997371673601</v>
      </c>
      <c r="B4671">
        <v>0.15447862260120801</v>
      </c>
    </row>
    <row r="4672" spans="1:2" x14ac:dyDescent="0.35">
      <c r="A4672">
        <v>-0.48242050409317</v>
      </c>
      <c r="B4672">
        <v>0.15119486813920099</v>
      </c>
    </row>
    <row r="4673" spans="1:2" x14ac:dyDescent="0.35">
      <c r="A4673">
        <v>-0.48295080661773698</v>
      </c>
      <c r="B4673">
        <v>0.14686087646698401</v>
      </c>
    </row>
    <row r="4674" spans="1:2" x14ac:dyDescent="0.35">
      <c r="A4674">
        <v>-0.48362147808075001</v>
      </c>
      <c r="B4674">
        <v>0.143304221062934</v>
      </c>
    </row>
    <row r="4675" spans="1:2" x14ac:dyDescent="0.35">
      <c r="A4675">
        <v>-0.48405531048774703</v>
      </c>
      <c r="B4675">
        <v>0.13902652250543901</v>
      </c>
    </row>
    <row r="4676" spans="1:2" x14ac:dyDescent="0.35">
      <c r="A4676">
        <v>-0.48441582918167098</v>
      </c>
      <c r="B4676">
        <v>0.134556773192513</v>
      </c>
    </row>
    <row r="4677" spans="1:2" x14ac:dyDescent="0.35">
      <c r="A4677">
        <v>-0.485108911991119</v>
      </c>
      <c r="B4677">
        <v>0.13115861388525901</v>
      </c>
    </row>
    <row r="4678" spans="1:2" x14ac:dyDescent="0.35">
      <c r="A4678">
        <v>-0.48549827933311501</v>
      </c>
      <c r="B4678">
        <v>0.126835895333787</v>
      </c>
    </row>
    <row r="4679" spans="1:2" x14ac:dyDescent="0.35">
      <c r="A4679">
        <v>-0.48606964945793202</v>
      </c>
      <c r="B4679">
        <v>0.123862008297494</v>
      </c>
    </row>
    <row r="4680" spans="1:2" x14ac:dyDescent="0.35">
      <c r="A4680">
        <v>-0.48651072382926902</v>
      </c>
      <c r="B4680">
        <v>0.120240099788379</v>
      </c>
    </row>
    <row r="4681" spans="1:2" x14ac:dyDescent="0.35">
      <c r="A4681">
        <v>-0.48707702755928001</v>
      </c>
      <c r="B4681">
        <v>0.116337405416774</v>
      </c>
    </row>
    <row r="4682" spans="1:2" x14ac:dyDescent="0.35">
      <c r="A4682">
        <v>-0.48747870326042197</v>
      </c>
      <c r="B4682">
        <v>0.112802265721223</v>
      </c>
    </row>
    <row r="4683" spans="1:2" x14ac:dyDescent="0.35">
      <c r="A4683">
        <v>-0.48806601762771601</v>
      </c>
      <c r="B4683">
        <v>0.108432424435779</v>
      </c>
    </row>
    <row r="4684" spans="1:2" x14ac:dyDescent="0.35">
      <c r="A4684">
        <v>-0.48861077427864102</v>
      </c>
      <c r="B4684">
        <v>0.104517333461164</v>
      </c>
    </row>
    <row r="4685" spans="1:2" x14ac:dyDescent="0.35">
      <c r="A4685">
        <v>-0.48911654949188199</v>
      </c>
      <c r="B4685">
        <v>0.10105933846568201</v>
      </c>
    </row>
    <row r="4686" spans="1:2" x14ac:dyDescent="0.35">
      <c r="A4686">
        <v>-0.48974716663360601</v>
      </c>
      <c r="B4686">
        <v>9.7251975016238001E-2</v>
      </c>
    </row>
    <row r="4687" spans="1:2" x14ac:dyDescent="0.35">
      <c r="A4687">
        <v>-0.49006289243698098</v>
      </c>
      <c r="B4687">
        <v>9.4119237882321002E-2</v>
      </c>
    </row>
    <row r="4688" spans="1:2" x14ac:dyDescent="0.35">
      <c r="A4688">
        <v>-0.49042692780494701</v>
      </c>
      <c r="B4688">
        <v>9.0724313920982999E-2</v>
      </c>
    </row>
    <row r="4689" spans="1:2" x14ac:dyDescent="0.35">
      <c r="A4689">
        <v>-0.49110427498817399</v>
      </c>
      <c r="B4689">
        <v>8.6845982480491996E-2</v>
      </c>
    </row>
    <row r="4690" spans="1:2" x14ac:dyDescent="0.35">
      <c r="A4690">
        <v>-0.49179860949516302</v>
      </c>
      <c r="B4690">
        <v>8.3279935879205E-2</v>
      </c>
    </row>
    <row r="4691" spans="1:2" x14ac:dyDescent="0.35">
      <c r="A4691">
        <v>-0.492125004529953</v>
      </c>
      <c r="B4691">
        <v>7.9815057360153999E-2</v>
      </c>
    </row>
    <row r="4692" spans="1:2" x14ac:dyDescent="0.35">
      <c r="A4692">
        <v>-0.492664664983749</v>
      </c>
      <c r="B4692">
        <v>7.6644993610177001E-2</v>
      </c>
    </row>
    <row r="4693" spans="1:2" x14ac:dyDescent="0.35">
      <c r="A4693">
        <v>-0.49326068162918102</v>
      </c>
      <c r="B4693">
        <v>7.2534747286005993E-2</v>
      </c>
    </row>
    <row r="4694" spans="1:2" x14ac:dyDescent="0.35">
      <c r="A4694">
        <v>-0.49360701441764798</v>
      </c>
      <c r="B4694">
        <v>6.8650265491724996E-2</v>
      </c>
    </row>
    <row r="4695" spans="1:2" x14ac:dyDescent="0.35">
      <c r="A4695">
        <v>-0.49402734637260398</v>
      </c>
      <c r="B4695">
        <v>6.5727189328170996E-2</v>
      </c>
    </row>
    <row r="4696" spans="1:2" x14ac:dyDescent="0.35">
      <c r="A4696">
        <v>-0.49447649717330899</v>
      </c>
      <c r="B4696">
        <v>6.2376784986051002E-2</v>
      </c>
    </row>
    <row r="4697" spans="1:2" x14ac:dyDescent="0.35">
      <c r="A4697">
        <v>-0.49502438306808499</v>
      </c>
      <c r="B4697">
        <v>5.8961779566295003E-2</v>
      </c>
    </row>
    <row r="4698" spans="1:2" x14ac:dyDescent="0.35">
      <c r="A4698">
        <v>-0.49545627832412698</v>
      </c>
      <c r="B4698">
        <v>5.5981757376572003E-2</v>
      </c>
    </row>
    <row r="4699" spans="1:2" x14ac:dyDescent="0.35">
      <c r="A4699">
        <v>-0.49610707163810702</v>
      </c>
      <c r="B4699">
        <v>5.2680017510221E-2</v>
      </c>
    </row>
    <row r="4700" spans="1:2" x14ac:dyDescent="0.35">
      <c r="A4700">
        <v>-0.49658393859863298</v>
      </c>
      <c r="B4700">
        <v>4.8625698153925999E-2</v>
      </c>
    </row>
    <row r="4701" spans="1:2" x14ac:dyDescent="0.35">
      <c r="A4701">
        <v>-0.49694895744323703</v>
      </c>
      <c r="B4701">
        <v>4.5460929198444001E-2</v>
      </c>
    </row>
    <row r="4702" spans="1:2" x14ac:dyDescent="0.35">
      <c r="A4702">
        <v>-0.49755105376243602</v>
      </c>
      <c r="B4702">
        <v>4.2351376916670999E-2</v>
      </c>
    </row>
    <row r="4703" spans="1:2" x14ac:dyDescent="0.35">
      <c r="A4703">
        <v>-0.49800130724906899</v>
      </c>
      <c r="B4703">
        <v>3.9052501926298E-2</v>
      </c>
    </row>
    <row r="4704" spans="1:2" x14ac:dyDescent="0.35">
      <c r="A4704">
        <v>-0.49845844507217402</v>
      </c>
      <c r="B4704">
        <v>3.5596701710061997E-2</v>
      </c>
    </row>
    <row r="4705" spans="1:2" x14ac:dyDescent="0.35">
      <c r="A4705">
        <v>-0.49894815683364901</v>
      </c>
      <c r="B4705">
        <v>3.2797408932398998E-2</v>
      </c>
    </row>
    <row r="4706" spans="1:2" x14ac:dyDescent="0.35">
      <c r="A4706">
        <v>-0.49958613514900202</v>
      </c>
      <c r="B4706">
        <v>2.8563746846174999E-2</v>
      </c>
    </row>
    <row r="4707" spans="1:2" x14ac:dyDescent="0.35">
      <c r="A4707">
        <v>-0.499805837869644</v>
      </c>
      <c r="B4707">
        <v>2.5205688044283001E-2</v>
      </c>
    </row>
    <row r="4708" spans="1:2" x14ac:dyDescent="0.35">
      <c r="A4708">
        <v>-0.50045782327652</v>
      </c>
      <c r="B4708">
        <v>2.2591891906211001E-2</v>
      </c>
    </row>
    <row r="4709" spans="1:2" x14ac:dyDescent="0.35">
      <c r="A4709">
        <v>-0.50106412172317505</v>
      </c>
      <c r="B4709">
        <v>1.9139988889267E-2</v>
      </c>
    </row>
    <row r="4710" spans="1:2" x14ac:dyDescent="0.35">
      <c r="A4710">
        <v>-0.50143957138061501</v>
      </c>
      <c r="B4710">
        <v>1.5623994728810001E-2</v>
      </c>
    </row>
    <row r="4711" spans="1:2" x14ac:dyDescent="0.35">
      <c r="A4711">
        <v>-0.50194728374481201</v>
      </c>
      <c r="B4711">
        <v>1.3194764697465E-2</v>
      </c>
    </row>
    <row r="4712" spans="1:2" x14ac:dyDescent="0.35">
      <c r="A4712">
        <v>-0.50232905149459794</v>
      </c>
      <c r="B4712">
        <v>1.0296785475237999E-2</v>
      </c>
    </row>
    <row r="4713" spans="1:2" x14ac:dyDescent="0.35">
      <c r="A4713">
        <v>-0.50286245346069303</v>
      </c>
      <c r="B4713">
        <v>7.4131347489640002E-3</v>
      </c>
    </row>
    <row r="4714" spans="1:2" x14ac:dyDescent="0.35">
      <c r="A4714">
        <v>-0.50330716371536299</v>
      </c>
      <c r="B4714">
        <v>5.0622094839450002E-3</v>
      </c>
    </row>
    <row r="4715" spans="1:2" x14ac:dyDescent="0.35">
      <c r="A4715">
        <v>-0.50378233194351196</v>
      </c>
      <c r="B4715">
        <v>1.2843302025000001E-4</v>
      </c>
    </row>
    <row r="4716" spans="1:2" x14ac:dyDescent="0.35">
      <c r="A4716">
        <v>-0.50214123725891102</v>
      </c>
      <c r="B4716">
        <v>7.6875089339970004E-3</v>
      </c>
    </row>
    <row r="4717" spans="1:2" x14ac:dyDescent="0.35">
      <c r="A4717">
        <v>-0.50395411252975497</v>
      </c>
      <c r="B4717">
        <v>-6.0659085870300004E-4</v>
      </c>
    </row>
    <row r="4718" spans="1:2" x14ac:dyDescent="0.35">
      <c r="A4718">
        <v>-0.50338160991668701</v>
      </c>
      <c r="B4718">
        <v>7.1030780094740002E-3</v>
      </c>
    </row>
    <row r="4719" spans="1:2" x14ac:dyDescent="0.35">
      <c r="A4719">
        <v>-0.50429755449295</v>
      </c>
      <c r="B4719">
        <v>-1.45359366531E-3</v>
      </c>
    </row>
    <row r="4720" spans="1:2" x14ac:dyDescent="0.35">
      <c r="A4720">
        <v>-0.50362968444824197</v>
      </c>
      <c r="B4720">
        <v>6.3601535204900004E-3</v>
      </c>
    </row>
    <row r="4721" spans="1:2" x14ac:dyDescent="0.35">
      <c r="A4721">
        <v>-0.50403040647506703</v>
      </c>
      <c r="B4721">
        <v>-1.9081250981969999E-3</v>
      </c>
    </row>
    <row r="4722" spans="1:2" x14ac:dyDescent="0.35">
      <c r="A4722">
        <v>-0.50445026159286499</v>
      </c>
      <c r="B4722">
        <v>5.7963226512269999E-3</v>
      </c>
    </row>
    <row r="4723" spans="1:2" x14ac:dyDescent="0.35">
      <c r="A4723">
        <v>-0.50341975688934304</v>
      </c>
      <c r="B4723">
        <v>-2.5158737677340001E-3</v>
      </c>
    </row>
    <row r="4724" spans="1:2" x14ac:dyDescent="0.35">
      <c r="A4724">
        <v>-0.50424033403396595</v>
      </c>
      <c r="B4724">
        <v>5.3695413086680003E-3</v>
      </c>
    </row>
    <row r="4725" spans="1:2" x14ac:dyDescent="0.35">
      <c r="A4725">
        <v>-0.50448840856552102</v>
      </c>
      <c r="B4725">
        <v>-2.8846632459720001E-3</v>
      </c>
    </row>
    <row r="4726" spans="1:2" x14ac:dyDescent="0.35">
      <c r="A4726">
        <v>-0.50382047891616799</v>
      </c>
      <c r="B4726">
        <v>4.9680077676820004E-3</v>
      </c>
    </row>
    <row r="4727" spans="1:2" x14ac:dyDescent="0.35">
      <c r="A4727">
        <v>-0.50437390804290805</v>
      </c>
      <c r="B4727">
        <v>-3.4463740077579999E-3</v>
      </c>
    </row>
    <row r="4728" spans="1:2" x14ac:dyDescent="0.35">
      <c r="A4728">
        <v>-0.50406855344772294</v>
      </c>
      <c r="B4728">
        <v>4.2361830086469999E-3</v>
      </c>
    </row>
    <row r="4729" spans="1:2" x14ac:dyDescent="0.35">
      <c r="A4729">
        <v>-0.50404947996139504</v>
      </c>
      <c r="B4729">
        <v>-4.2069426029920001E-3</v>
      </c>
    </row>
    <row r="4730" spans="1:2" x14ac:dyDescent="0.35">
      <c r="A4730">
        <v>-0.50418305397033703</v>
      </c>
      <c r="B4730">
        <v>3.419511147976E-3</v>
      </c>
    </row>
    <row r="4731" spans="1:2" x14ac:dyDescent="0.35">
      <c r="A4731">
        <v>-0.50485098361969005</v>
      </c>
      <c r="B4731">
        <v>-5.0211422899079997E-3</v>
      </c>
    </row>
    <row r="4732" spans="1:2" x14ac:dyDescent="0.35">
      <c r="A4732">
        <v>-0.504144906997681</v>
      </c>
      <c r="B4732">
        <v>2.7792256510079999E-3</v>
      </c>
    </row>
    <row r="4733" spans="1:2" x14ac:dyDescent="0.35">
      <c r="A4733">
        <v>-0.50441205501556396</v>
      </c>
      <c r="B4733">
        <v>-5.4863124883019997E-3</v>
      </c>
    </row>
    <row r="4734" spans="1:2" x14ac:dyDescent="0.35">
      <c r="A4734">
        <v>-0.50445026159286499</v>
      </c>
      <c r="B4734">
        <v>2.4894416280389999E-3</v>
      </c>
    </row>
    <row r="4735" spans="1:2" x14ac:dyDescent="0.35">
      <c r="A4735">
        <v>-0.50345796346664395</v>
      </c>
      <c r="B4735">
        <v>-6.0018773374720001E-3</v>
      </c>
    </row>
    <row r="4736" spans="1:2" x14ac:dyDescent="0.35">
      <c r="A4736">
        <v>-0.50471740961074796</v>
      </c>
      <c r="B4736">
        <v>1.68956230293E-3</v>
      </c>
    </row>
    <row r="4737" spans="1:2" x14ac:dyDescent="0.35">
      <c r="A4737">
        <v>-0.50515627861022905</v>
      </c>
      <c r="B4737">
        <v>-6.4939568050400003E-3</v>
      </c>
    </row>
    <row r="4738" spans="1:2" x14ac:dyDescent="0.35">
      <c r="A4738">
        <v>-0.50435483455658003</v>
      </c>
      <c r="B4738">
        <v>1.1473784491370001E-3</v>
      </c>
    </row>
    <row r="4739" spans="1:2" x14ac:dyDescent="0.35">
      <c r="A4739">
        <v>-0.50517535209655795</v>
      </c>
      <c r="B4739">
        <v>-7.3901142891720003E-3</v>
      </c>
    </row>
    <row r="4740" spans="1:2" x14ac:dyDescent="0.35">
      <c r="A4740">
        <v>-0.50517535209655795</v>
      </c>
      <c r="B4740">
        <v>-9.8247686507000007E-5</v>
      </c>
    </row>
    <row r="4741" spans="1:2" x14ac:dyDescent="0.35">
      <c r="A4741">
        <v>-0.50464105606079102</v>
      </c>
      <c r="B4741">
        <v>-8.4246840241589994E-3</v>
      </c>
    </row>
    <row r="4742" spans="1:2" x14ac:dyDescent="0.35">
      <c r="A4742">
        <v>-0.50479370355606101</v>
      </c>
      <c r="B4742">
        <v>-8.1925863148199995E-4</v>
      </c>
    </row>
    <row r="4743" spans="1:2" x14ac:dyDescent="0.35">
      <c r="A4743">
        <v>-0.50544250011444103</v>
      </c>
      <c r="B4743">
        <v>-9.0199202249309999E-3</v>
      </c>
    </row>
    <row r="4744" spans="1:2" x14ac:dyDescent="0.35">
      <c r="A4744">
        <v>-0.50473648309707597</v>
      </c>
      <c r="B4744">
        <v>-1.5711444375430001E-3</v>
      </c>
    </row>
    <row r="4745" spans="1:2" x14ac:dyDescent="0.35">
      <c r="A4745">
        <v>-0.50519442558288596</v>
      </c>
      <c r="B4745">
        <v>-9.6772597983440008E-3</v>
      </c>
    </row>
    <row r="4746" spans="1:2" x14ac:dyDescent="0.35">
      <c r="A4746">
        <v>-0.50509905815124501</v>
      </c>
      <c r="B4746">
        <v>-2.3576994405760002E-3</v>
      </c>
    </row>
    <row r="4747" spans="1:2" x14ac:dyDescent="0.35">
      <c r="A4747">
        <v>-0.50548070669174205</v>
      </c>
      <c r="B4747">
        <v>-1.0356371110547999E-2</v>
      </c>
    </row>
    <row r="4748" spans="1:2" x14ac:dyDescent="0.35">
      <c r="A4748">
        <v>-0.50544250011444103</v>
      </c>
      <c r="B4748">
        <v>-2.8077625232350001E-3</v>
      </c>
    </row>
    <row r="4749" spans="1:2" x14ac:dyDescent="0.35">
      <c r="A4749">
        <v>-0.50580507516860995</v>
      </c>
      <c r="B4749">
        <v>-1.0632977167018E-2</v>
      </c>
    </row>
    <row r="4750" spans="1:2" x14ac:dyDescent="0.35">
      <c r="A4750">
        <v>-0.50494635105133101</v>
      </c>
      <c r="B4750">
        <v>-3.4326122760020002E-3</v>
      </c>
    </row>
    <row r="4751" spans="1:2" x14ac:dyDescent="0.35">
      <c r="A4751">
        <v>-0.50576692819595304</v>
      </c>
      <c r="B4751">
        <v>-1.1464540843469E-2</v>
      </c>
    </row>
    <row r="4752" spans="1:2" x14ac:dyDescent="0.35">
      <c r="A4752">
        <v>-0.50418305397033703</v>
      </c>
      <c r="B4752">
        <v>-4.1535627799440004E-3</v>
      </c>
    </row>
    <row r="4753" spans="1:2" x14ac:dyDescent="0.35">
      <c r="A4753">
        <v>-0.50563335418701205</v>
      </c>
      <c r="B4753">
        <v>-1.1800663761990999E-2</v>
      </c>
    </row>
    <row r="4754" spans="1:2" x14ac:dyDescent="0.35">
      <c r="A4754">
        <v>-0.50532805919647195</v>
      </c>
      <c r="B4754">
        <v>-4.8129663122429998E-3</v>
      </c>
    </row>
    <row r="4755" spans="1:2" x14ac:dyDescent="0.35">
      <c r="A4755">
        <v>-0.50601500272750899</v>
      </c>
      <c r="B4755">
        <v>-1.2449781363341E-2</v>
      </c>
    </row>
    <row r="4756" spans="1:2" x14ac:dyDescent="0.35">
      <c r="A4756">
        <v>-0.50527077913284302</v>
      </c>
      <c r="B4756">
        <v>-5.381092053321E-3</v>
      </c>
    </row>
    <row r="4757" spans="1:2" x14ac:dyDescent="0.35">
      <c r="A4757">
        <v>-0.50557613372802701</v>
      </c>
      <c r="B4757">
        <v>-1.2837425291218001E-2</v>
      </c>
    </row>
    <row r="4758" spans="1:2" x14ac:dyDescent="0.35">
      <c r="A4758">
        <v>-0.50576692819595304</v>
      </c>
      <c r="B4758">
        <v>-6.1162691138399996E-3</v>
      </c>
    </row>
    <row r="4759" spans="1:2" x14ac:dyDescent="0.35">
      <c r="A4759">
        <v>-0.50591957569122303</v>
      </c>
      <c r="B4759">
        <v>-1.3346714053423E-2</v>
      </c>
    </row>
    <row r="4760" spans="1:2" x14ac:dyDescent="0.35">
      <c r="A4760">
        <v>-0.50620585680007901</v>
      </c>
      <c r="B4760">
        <v>-6.4784200117060002E-3</v>
      </c>
    </row>
    <row r="4761" spans="1:2" x14ac:dyDescent="0.35">
      <c r="A4761">
        <v>-0.50614857673644997</v>
      </c>
      <c r="B4761">
        <v>-1.3555156225295E-2</v>
      </c>
    </row>
    <row r="4762" spans="1:2" x14ac:dyDescent="0.35">
      <c r="A4762">
        <v>-0.50553792715072599</v>
      </c>
      <c r="B4762">
        <v>-7.0660462459650004E-3</v>
      </c>
    </row>
    <row r="4763" spans="1:2" x14ac:dyDescent="0.35">
      <c r="A4763">
        <v>-0.506339430809021</v>
      </c>
      <c r="B4763">
        <v>-1.4109306489567E-2</v>
      </c>
    </row>
    <row r="4764" spans="1:2" x14ac:dyDescent="0.35">
      <c r="A4764">
        <v>-0.504621982574463</v>
      </c>
      <c r="B4764">
        <v>-7.7410958996039997E-3</v>
      </c>
    </row>
    <row r="4765" spans="1:2" x14ac:dyDescent="0.35">
      <c r="A4765">
        <v>-0.506339430809021</v>
      </c>
      <c r="B4765">
        <v>-1.5024047721267E-2</v>
      </c>
    </row>
    <row r="4766" spans="1:2" x14ac:dyDescent="0.35">
      <c r="A4766">
        <v>-0.50641572475433305</v>
      </c>
      <c r="B4766">
        <v>-8.7836532626640006E-3</v>
      </c>
    </row>
    <row r="4767" spans="1:2" x14ac:dyDescent="0.35">
      <c r="A4767">
        <v>-0.50649207830429099</v>
      </c>
      <c r="B4767">
        <v>-1.5731339156441999E-2</v>
      </c>
    </row>
    <row r="4768" spans="1:2" x14ac:dyDescent="0.35">
      <c r="A4768">
        <v>-0.50591957569122303</v>
      </c>
      <c r="B4768">
        <v>-9.7008655517990001E-3</v>
      </c>
    </row>
    <row r="4769" spans="1:2" x14ac:dyDescent="0.35">
      <c r="A4769">
        <v>-0.50630122423171997</v>
      </c>
      <c r="B4769">
        <v>-1.6724069594906001E-2</v>
      </c>
    </row>
    <row r="4770" spans="1:2" x14ac:dyDescent="0.35">
      <c r="A4770">
        <v>-0.50651115179061901</v>
      </c>
      <c r="B4770">
        <v>-1.0856824771591E-2</v>
      </c>
    </row>
    <row r="4771" spans="1:2" x14ac:dyDescent="0.35">
      <c r="A4771">
        <v>-0.50622493028640703</v>
      </c>
      <c r="B4771">
        <v>-1.7185446313983999E-2</v>
      </c>
    </row>
    <row r="4772" spans="1:2" x14ac:dyDescent="0.35">
      <c r="A4772">
        <v>-0.50677829980850198</v>
      </c>
      <c r="B4772">
        <v>-1.1247189447455E-2</v>
      </c>
    </row>
    <row r="4773" spans="1:2" x14ac:dyDescent="0.35">
      <c r="A4773">
        <v>-0.506663799285889</v>
      </c>
      <c r="B4773">
        <v>-1.7528642422184E-2</v>
      </c>
    </row>
    <row r="4774" spans="1:2" x14ac:dyDescent="0.35">
      <c r="A4774">
        <v>-0.50591957569122303</v>
      </c>
      <c r="B4774">
        <v>-1.1821026659743E-2</v>
      </c>
    </row>
    <row r="4775" spans="1:2" x14ac:dyDescent="0.35">
      <c r="A4775">
        <v>-0.50675922632217396</v>
      </c>
      <c r="B4775">
        <v>-1.7860397046366001E-2</v>
      </c>
    </row>
    <row r="4776" spans="1:2" x14ac:dyDescent="0.35">
      <c r="A4776">
        <v>-0.50607228279113803</v>
      </c>
      <c r="B4776">
        <v>-1.2442356776061999E-2</v>
      </c>
    </row>
    <row r="4777" spans="1:2" x14ac:dyDescent="0.35">
      <c r="A4777">
        <v>-0.50647300481796298</v>
      </c>
      <c r="B4777">
        <v>-1.8230551380479999E-2</v>
      </c>
    </row>
    <row r="4778" spans="1:2" x14ac:dyDescent="0.35">
      <c r="A4778">
        <v>-0.50677829980850198</v>
      </c>
      <c r="B4778">
        <v>-1.285440506118E-2</v>
      </c>
    </row>
    <row r="4779" spans="1:2" x14ac:dyDescent="0.35">
      <c r="A4779">
        <v>-0.50691187381744396</v>
      </c>
      <c r="B4779">
        <v>-1.8653624866304001E-2</v>
      </c>
    </row>
    <row r="4780" spans="1:2" x14ac:dyDescent="0.35">
      <c r="A4780">
        <v>-0.50649207830429099</v>
      </c>
      <c r="B4780">
        <v>-1.3564851763194E-2</v>
      </c>
    </row>
    <row r="4781" spans="1:2" x14ac:dyDescent="0.35">
      <c r="A4781">
        <v>-0.50660657882690396</v>
      </c>
      <c r="B4781">
        <v>-1.9019949503012001E-2</v>
      </c>
    </row>
    <row r="4782" spans="1:2" x14ac:dyDescent="0.35">
      <c r="A4782">
        <v>-0.50714087486267101</v>
      </c>
      <c r="B4782">
        <v>-1.3828126059784999E-2</v>
      </c>
    </row>
    <row r="4783" spans="1:2" x14ac:dyDescent="0.35">
      <c r="A4783">
        <v>-0.50649207830429099</v>
      </c>
      <c r="B4783">
        <v>-1.9543231677316E-2</v>
      </c>
    </row>
    <row r="4784" spans="1:2" x14ac:dyDescent="0.35">
      <c r="A4784">
        <v>-0.50761795043945301</v>
      </c>
      <c r="B4784">
        <v>-1.4909306713434E-2</v>
      </c>
    </row>
    <row r="4785" spans="1:2" x14ac:dyDescent="0.35">
      <c r="A4785">
        <v>-0.50695008039474498</v>
      </c>
      <c r="B4785">
        <v>-1.9957104894763999E-2</v>
      </c>
    </row>
    <row r="4786" spans="1:2" x14ac:dyDescent="0.35">
      <c r="A4786">
        <v>-0.50689280033111594</v>
      </c>
      <c r="B4786">
        <v>-1.5327828628414E-2</v>
      </c>
    </row>
    <row r="4787" spans="1:2" x14ac:dyDescent="0.35">
      <c r="A4787">
        <v>-0.50727444887161299</v>
      </c>
      <c r="B4787">
        <v>-2.0382283799449001E-2</v>
      </c>
    </row>
    <row r="4788" spans="1:2" x14ac:dyDescent="0.35">
      <c r="A4788">
        <v>-0.50616765022277799</v>
      </c>
      <c r="B4788">
        <v>-1.6172015203460999E-2</v>
      </c>
    </row>
    <row r="4789" spans="1:2" x14ac:dyDescent="0.35">
      <c r="A4789">
        <v>-0.50742709636688199</v>
      </c>
      <c r="B4789">
        <v>-2.0808038736510999E-2</v>
      </c>
    </row>
    <row r="4790" spans="1:2" x14ac:dyDescent="0.35">
      <c r="A4790">
        <v>-0.507751524448395</v>
      </c>
      <c r="B4790">
        <v>-1.6384661223372999E-2</v>
      </c>
    </row>
    <row r="4791" spans="1:2" x14ac:dyDescent="0.35">
      <c r="A4791">
        <v>-0.50740802288055398</v>
      </c>
      <c r="B4791">
        <v>-2.11217990241E-2</v>
      </c>
    </row>
    <row r="4792" spans="1:2" x14ac:dyDescent="0.35">
      <c r="A4792">
        <v>-0.50721722841262795</v>
      </c>
      <c r="B4792">
        <v>-1.6983292615614001E-2</v>
      </c>
    </row>
    <row r="4793" spans="1:2" x14ac:dyDescent="0.35">
      <c r="A4793">
        <v>-0.50740802288055398</v>
      </c>
      <c r="B4793">
        <v>-2.1366043285375998E-2</v>
      </c>
    </row>
    <row r="4794" spans="1:2" x14ac:dyDescent="0.35">
      <c r="A4794">
        <v>-0.50761795043945301</v>
      </c>
      <c r="B4794">
        <v>-1.7523314420109001E-2</v>
      </c>
    </row>
    <row r="4795" spans="1:2" x14ac:dyDescent="0.35">
      <c r="A4795">
        <v>-0.50780874490737904</v>
      </c>
      <c r="B4795">
        <v>-2.1852969637643001E-2</v>
      </c>
    </row>
    <row r="4796" spans="1:2" x14ac:dyDescent="0.35">
      <c r="A4796">
        <v>-0.50819045305252097</v>
      </c>
      <c r="B4796">
        <v>-1.7940826203012E-2</v>
      </c>
    </row>
    <row r="4797" spans="1:2" x14ac:dyDescent="0.35">
      <c r="A4797">
        <v>-0.50746530294418302</v>
      </c>
      <c r="B4797">
        <v>-2.1742857401271E-2</v>
      </c>
    </row>
    <row r="4798" spans="1:2" x14ac:dyDescent="0.35">
      <c r="A4798">
        <v>-0.50757980346679699</v>
      </c>
      <c r="B4798">
        <v>-1.8443427667937998E-2</v>
      </c>
    </row>
    <row r="4799" spans="1:2" x14ac:dyDescent="0.35">
      <c r="A4799">
        <v>-0.50784695148467995</v>
      </c>
      <c r="B4799">
        <v>-2.2028233617588999E-2</v>
      </c>
    </row>
    <row r="4800" spans="1:2" x14ac:dyDescent="0.35">
      <c r="A4800">
        <v>-0.507446229457855</v>
      </c>
      <c r="B4800">
        <v>-1.8743279072058999E-2</v>
      </c>
    </row>
    <row r="4801" spans="1:2" x14ac:dyDescent="0.35">
      <c r="A4801">
        <v>-0.50777059793472301</v>
      </c>
      <c r="B4801">
        <v>-2.2390325026252999E-2</v>
      </c>
    </row>
    <row r="4802" spans="1:2" x14ac:dyDescent="0.35">
      <c r="A4802">
        <v>-0.50832402706146196</v>
      </c>
      <c r="B4802">
        <v>-1.9366639574792E-2</v>
      </c>
    </row>
    <row r="4803" spans="1:2" x14ac:dyDescent="0.35">
      <c r="A4803">
        <v>-0.50784695148467995</v>
      </c>
      <c r="B4803">
        <v>-2.3004659445590998E-2</v>
      </c>
    </row>
    <row r="4804" spans="1:2" x14ac:dyDescent="0.35">
      <c r="A4804">
        <v>-0.50786602497100797</v>
      </c>
      <c r="B4804">
        <v>-2.0105868040177999E-2</v>
      </c>
    </row>
    <row r="4805" spans="1:2" x14ac:dyDescent="0.35">
      <c r="A4805">
        <v>-0.50796145200729403</v>
      </c>
      <c r="B4805">
        <v>-2.3488637904725999E-2</v>
      </c>
    </row>
    <row r="4806" spans="1:2" x14ac:dyDescent="0.35">
      <c r="A4806">
        <v>-0.50826674699783303</v>
      </c>
      <c r="B4806">
        <v>-2.0772237026985E-2</v>
      </c>
    </row>
    <row r="4807" spans="1:2" x14ac:dyDescent="0.35">
      <c r="A4807">
        <v>-0.50830489397048995</v>
      </c>
      <c r="B4807">
        <v>-2.4100961733886001E-2</v>
      </c>
    </row>
    <row r="4808" spans="1:2" x14ac:dyDescent="0.35">
      <c r="A4808">
        <v>-0.508686542510986</v>
      </c>
      <c r="B4808">
        <v>-2.1644569368647001E-2</v>
      </c>
    </row>
    <row r="4809" spans="1:2" x14ac:dyDescent="0.35">
      <c r="A4809">
        <v>-0.50815224647521995</v>
      </c>
      <c r="B4809">
        <v>-2.4420410487699998E-2</v>
      </c>
    </row>
    <row r="4810" spans="1:2" x14ac:dyDescent="0.35">
      <c r="A4810">
        <v>-0.50805681943893399</v>
      </c>
      <c r="B4810">
        <v>-2.2152732805797E-2</v>
      </c>
    </row>
    <row r="4811" spans="1:2" x14ac:dyDescent="0.35">
      <c r="A4811">
        <v>-0.50866746902465798</v>
      </c>
      <c r="B4811">
        <v>-2.5013136326407E-2</v>
      </c>
    </row>
    <row r="4812" spans="1:2" x14ac:dyDescent="0.35">
      <c r="A4812">
        <v>-0.50817131996154796</v>
      </c>
      <c r="B4812">
        <v>-2.3090488624695999E-2</v>
      </c>
    </row>
    <row r="4813" spans="1:2" x14ac:dyDescent="0.35">
      <c r="A4813">
        <v>-0.50826674699783303</v>
      </c>
      <c r="B4813">
        <v>-2.6110392921518E-2</v>
      </c>
    </row>
    <row r="4814" spans="1:2" x14ac:dyDescent="0.35">
      <c r="A4814">
        <v>-0.50884354114532504</v>
      </c>
      <c r="B4814">
        <v>-2.6674424689245999E-2</v>
      </c>
    </row>
    <row r="4815" spans="1:2" x14ac:dyDescent="0.35">
      <c r="A4815">
        <v>-0.50944781303405795</v>
      </c>
      <c r="B4815">
        <v>-2.9315430651153999E-2</v>
      </c>
    </row>
    <row r="4816" spans="1:2" x14ac:dyDescent="0.35">
      <c r="A4816">
        <v>-0.50986224412918102</v>
      </c>
      <c r="B4816">
        <v>-3.2053785235913998E-2</v>
      </c>
    </row>
    <row r="4817" spans="1:2" x14ac:dyDescent="0.35">
      <c r="A4817">
        <v>-0.51016038656234697</v>
      </c>
      <c r="B4817">
        <v>-3.4410583414796997E-2</v>
      </c>
    </row>
    <row r="4818" spans="1:2" x14ac:dyDescent="0.35">
      <c r="A4818">
        <v>-0.51084935665130604</v>
      </c>
      <c r="B4818">
        <v>-3.6444831094757997E-2</v>
      </c>
    </row>
    <row r="4819" spans="1:2" x14ac:dyDescent="0.35">
      <c r="A4819">
        <v>-0.51122689247131303</v>
      </c>
      <c r="B4819">
        <v>-3.9521407091895E-2</v>
      </c>
    </row>
    <row r="4820" spans="1:2" x14ac:dyDescent="0.35">
      <c r="A4820">
        <v>-0.51187032461166404</v>
      </c>
      <c r="B4820">
        <v>-4.1846808587835002E-2</v>
      </c>
    </row>
    <row r="4821" spans="1:2" x14ac:dyDescent="0.35">
      <c r="A4821">
        <v>-0.51252818107605003</v>
      </c>
      <c r="B4821">
        <v>-4.4101600367799997E-2</v>
      </c>
    </row>
    <row r="4822" spans="1:2" x14ac:dyDescent="0.35">
      <c r="A4822">
        <v>-0.51300203800201405</v>
      </c>
      <c r="B4822">
        <v>-4.6377831432128001E-2</v>
      </c>
    </row>
    <row r="4823" spans="1:2" x14ac:dyDescent="0.35">
      <c r="A4823">
        <v>-0.51329618692398105</v>
      </c>
      <c r="B4823">
        <v>-4.9058814949194E-2</v>
      </c>
    </row>
    <row r="4824" spans="1:2" x14ac:dyDescent="0.35">
      <c r="A4824">
        <v>-0.51393121480941795</v>
      </c>
      <c r="B4824">
        <v>-5.1453103307589003E-2</v>
      </c>
    </row>
    <row r="4825" spans="1:2" x14ac:dyDescent="0.35">
      <c r="A4825">
        <v>-0.51448804140090898</v>
      </c>
      <c r="B4825">
        <v>-5.3265879852892002E-2</v>
      </c>
    </row>
    <row r="4826" spans="1:2" x14ac:dyDescent="0.35">
      <c r="A4826">
        <v>-0.51482284069061302</v>
      </c>
      <c r="B4826">
        <v>-5.5290990020372001E-2</v>
      </c>
    </row>
    <row r="4827" spans="1:2" x14ac:dyDescent="0.35">
      <c r="A4827">
        <v>-0.51551884412765503</v>
      </c>
      <c r="B4827">
        <v>-5.8271977830288001E-2</v>
      </c>
    </row>
    <row r="4828" spans="1:2" x14ac:dyDescent="0.35">
      <c r="A4828">
        <v>-0.51585566997528098</v>
      </c>
      <c r="B4828">
        <v>-6.0915086595748999E-2</v>
      </c>
    </row>
    <row r="4829" spans="1:2" x14ac:dyDescent="0.35">
      <c r="A4829">
        <v>-0.51618838310241699</v>
      </c>
      <c r="B4829">
        <v>-6.3529116357133E-2</v>
      </c>
    </row>
    <row r="4830" spans="1:2" x14ac:dyDescent="0.35">
      <c r="A4830">
        <v>-0.516953885555267</v>
      </c>
      <c r="B4830">
        <v>-6.6482674298635996E-2</v>
      </c>
    </row>
    <row r="4831" spans="1:2" x14ac:dyDescent="0.35">
      <c r="A4831">
        <v>-0.51747393608093295</v>
      </c>
      <c r="B4831">
        <v>-6.7849433948310001E-2</v>
      </c>
    </row>
    <row r="4832" spans="1:2" x14ac:dyDescent="0.35">
      <c r="A4832">
        <v>-0.51796191930770896</v>
      </c>
      <c r="B4832">
        <v>-7.0399928954731003E-2</v>
      </c>
    </row>
    <row r="4833" spans="1:2" x14ac:dyDescent="0.35">
      <c r="A4833">
        <v>-0.51833200454711903</v>
      </c>
      <c r="B4833">
        <v>-7.2264138533998004E-2</v>
      </c>
    </row>
    <row r="4834" spans="1:2" x14ac:dyDescent="0.35">
      <c r="A4834">
        <v>-0.51884615421295199</v>
      </c>
      <c r="B4834">
        <v>-7.4438663908451996E-2</v>
      </c>
    </row>
    <row r="4835" spans="1:2" x14ac:dyDescent="0.35">
      <c r="A4835">
        <v>-0.51931464672088601</v>
      </c>
      <c r="B4835">
        <v>-7.6315443076776998E-2</v>
      </c>
    </row>
    <row r="4836" spans="1:2" x14ac:dyDescent="0.35">
      <c r="A4836">
        <v>-0.51978754997253396</v>
      </c>
      <c r="B4836">
        <v>-7.8442692140818004E-2</v>
      </c>
    </row>
    <row r="4837" spans="1:2" x14ac:dyDescent="0.35">
      <c r="A4837">
        <v>-0.52031856775283802</v>
      </c>
      <c r="B4837">
        <v>-8.0336803095917994E-2</v>
      </c>
    </row>
    <row r="4838" spans="1:2" x14ac:dyDescent="0.35">
      <c r="A4838">
        <v>-0.52078711986541704</v>
      </c>
      <c r="B4838">
        <v>-8.2594739341533996E-2</v>
      </c>
    </row>
    <row r="4839" spans="1:2" x14ac:dyDescent="0.35">
      <c r="A4839">
        <v>-0.52130872011184703</v>
      </c>
      <c r="B4839">
        <v>-8.3564902960762993E-2</v>
      </c>
    </row>
    <row r="4840" spans="1:2" x14ac:dyDescent="0.35">
      <c r="A4840">
        <v>-0.52183967828750599</v>
      </c>
      <c r="B4840">
        <v>-8.5365269403163996E-2</v>
      </c>
    </row>
    <row r="4841" spans="1:2" x14ac:dyDescent="0.35">
      <c r="A4841">
        <v>-0.52222883701324496</v>
      </c>
      <c r="B4841">
        <v>-8.7312629305635006E-2</v>
      </c>
    </row>
    <row r="4842" spans="1:2" x14ac:dyDescent="0.35">
      <c r="A4842">
        <v>-0.52271240949630704</v>
      </c>
      <c r="B4842">
        <v>-8.9145682813294005E-2</v>
      </c>
    </row>
    <row r="4843" spans="1:2" x14ac:dyDescent="0.35">
      <c r="A4843">
        <v>-0.52330183982849099</v>
      </c>
      <c r="B4843">
        <v>-9.1358899124541995E-2</v>
      </c>
    </row>
    <row r="4844" spans="1:2" x14ac:dyDescent="0.35">
      <c r="A4844">
        <v>-0.52381074428558305</v>
      </c>
      <c r="B4844">
        <v>-9.2804012379683998E-2</v>
      </c>
    </row>
    <row r="4845" spans="1:2" x14ac:dyDescent="0.35">
      <c r="A4845">
        <v>-0.52428132295608498</v>
      </c>
      <c r="B4845">
        <v>-9.4328247626344994E-2</v>
      </c>
    </row>
    <row r="4846" spans="1:2" x14ac:dyDescent="0.35">
      <c r="A4846">
        <v>-0.52472662925720204</v>
      </c>
      <c r="B4846">
        <v>-9.6950441925825998E-2</v>
      </c>
    </row>
    <row r="4847" spans="1:2" x14ac:dyDescent="0.35">
      <c r="A4847">
        <v>-0.52532994747161899</v>
      </c>
      <c r="B4847">
        <v>-9.829889167045E-2</v>
      </c>
    </row>
    <row r="4848" spans="1:2" x14ac:dyDescent="0.35">
      <c r="A4848">
        <v>-0.52574867010116599</v>
      </c>
      <c r="B4848">
        <v>-0.10049046690959799</v>
      </c>
    </row>
    <row r="4849" spans="1:2" x14ac:dyDescent="0.35">
      <c r="A4849">
        <v>-0.52645260095596302</v>
      </c>
      <c r="B4849">
        <v>-0.10249791906873799</v>
      </c>
    </row>
    <row r="4850" spans="1:2" x14ac:dyDescent="0.35">
      <c r="A4850">
        <v>-0.526869297027588</v>
      </c>
      <c r="B4850">
        <v>-0.103138151034153</v>
      </c>
    </row>
    <row r="4851" spans="1:2" x14ac:dyDescent="0.35">
      <c r="A4851">
        <v>-0.52729725837707497</v>
      </c>
      <c r="B4851">
        <v>-0.10433100539159</v>
      </c>
    </row>
    <row r="4852" spans="1:2" x14ac:dyDescent="0.35">
      <c r="A4852">
        <v>-0.52769088745117199</v>
      </c>
      <c r="B4852">
        <v>-0.106726345068412</v>
      </c>
    </row>
    <row r="4853" spans="1:2" x14ac:dyDescent="0.35">
      <c r="A4853">
        <v>-0.52825266122818004</v>
      </c>
      <c r="B4853">
        <v>-0.107935942721555</v>
      </c>
    </row>
    <row r="4854" spans="1:2" x14ac:dyDescent="0.35">
      <c r="A4854">
        <v>-0.52903795242309604</v>
      </c>
      <c r="B4854">
        <v>-0.108838243598166</v>
      </c>
    </row>
    <row r="4855" spans="1:2" x14ac:dyDescent="0.35">
      <c r="A4855">
        <v>-0.52934378385543801</v>
      </c>
      <c r="B4855">
        <v>-0.110333672450976</v>
      </c>
    </row>
    <row r="4856" spans="1:2" x14ac:dyDescent="0.35">
      <c r="A4856">
        <v>-0.52997869253158603</v>
      </c>
      <c r="B4856">
        <v>-0.11193584319303899</v>
      </c>
    </row>
    <row r="4857" spans="1:2" x14ac:dyDescent="0.35">
      <c r="A4857">
        <v>-0.530448257923126</v>
      </c>
      <c r="B4857">
        <v>-0.11364837732121399</v>
      </c>
    </row>
    <row r="4858" spans="1:2" x14ac:dyDescent="0.35">
      <c r="A4858">
        <v>-0.53078651428222701</v>
      </c>
      <c r="B4858">
        <v>-0.115288275364442</v>
      </c>
    </row>
    <row r="4859" spans="1:2" x14ac:dyDescent="0.35">
      <c r="A4859">
        <v>-0.53117966651916504</v>
      </c>
      <c r="B4859">
        <v>-0.11651590568355299</v>
      </c>
    </row>
    <row r="4860" spans="1:2" x14ac:dyDescent="0.35">
      <c r="A4860">
        <v>-0.53179460763931297</v>
      </c>
      <c r="B4860">
        <v>-0.11777364794418101</v>
      </c>
    </row>
    <row r="4861" spans="1:2" x14ac:dyDescent="0.35">
      <c r="A4861">
        <v>-0.53230893611908003</v>
      </c>
      <c r="B4861">
        <v>-0.11844287555182199</v>
      </c>
    </row>
    <row r="4862" spans="1:2" x14ac:dyDescent="0.35">
      <c r="A4862">
        <v>-0.53288757801055897</v>
      </c>
      <c r="B4862">
        <v>-0.11967509109008299</v>
      </c>
    </row>
    <row r="4863" spans="1:2" x14ac:dyDescent="0.35">
      <c r="A4863">
        <v>-0.53334546089172397</v>
      </c>
      <c r="B4863">
        <v>-0.120834825646098</v>
      </c>
    </row>
    <row r="4864" spans="1:2" x14ac:dyDescent="0.35">
      <c r="A4864">
        <v>-0.53381758928298995</v>
      </c>
      <c r="B4864">
        <v>-0.12168442343664999</v>
      </c>
    </row>
    <row r="4865" spans="1:2" x14ac:dyDescent="0.35">
      <c r="A4865">
        <v>-0.53418749570846602</v>
      </c>
      <c r="B4865">
        <v>-0.12308329033936</v>
      </c>
    </row>
    <row r="4866" spans="1:2" x14ac:dyDescent="0.35">
      <c r="A4866">
        <v>-0.53478538990020796</v>
      </c>
      <c r="B4866">
        <v>-0.12410194361616</v>
      </c>
    </row>
    <row r="4867" spans="1:2" x14ac:dyDescent="0.35">
      <c r="A4867">
        <v>-0.53533744812011697</v>
      </c>
      <c r="B4867">
        <v>-0.124504963210853</v>
      </c>
    </row>
    <row r="4868" spans="1:2" x14ac:dyDescent="0.35">
      <c r="A4868">
        <v>-0.53570133447647095</v>
      </c>
      <c r="B4868">
        <v>-0.12559220087046499</v>
      </c>
    </row>
    <row r="4869" spans="1:2" x14ac:dyDescent="0.35">
      <c r="A4869">
        <v>-0.536146640777588</v>
      </c>
      <c r="B4869">
        <v>-0.12727903825179901</v>
      </c>
    </row>
    <row r="4870" spans="1:2" x14ac:dyDescent="0.35">
      <c r="A4870">
        <v>-0.53682184219360396</v>
      </c>
      <c r="B4870">
        <v>-0.127832924271058</v>
      </c>
    </row>
    <row r="4871" spans="1:2" x14ac:dyDescent="0.35">
      <c r="A4871">
        <v>-0.53708267211914096</v>
      </c>
      <c r="B4871">
        <v>-0.129196164549537</v>
      </c>
    </row>
    <row r="4872" spans="1:2" x14ac:dyDescent="0.35">
      <c r="A4872">
        <v>-0.53779816627502397</v>
      </c>
      <c r="B4872">
        <v>-0.128643706915751</v>
      </c>
    </row>
    <row r="4873" spans="1:2" x14ac:dyDescent="0.35">
      <c r="A4873">
        <v>-0.53837388753891002</v>
      </c>
      <c r="B4873">
        <v>-0.13029290640587099</v>
      </c>
    </row>
    <row r="4874" spans="1:2" x14ac:dyDescent="0.35">
      <c r="A4874">
        <v>-0.53868609666824296</v>
      </c>
      <c r="B4874">
        <v>-0.131451022647637</v>
      </c>
    </row>
    <row r="4875" spans="1:2" x14ac:dyDescent="0.35">
      <c r="A4875">
        <v>-0.53934246301651001</v>
      </c>
      <c r="B4875">
        <v>-0.13297561917766301</v>
      </c>
    </row>
    <row r="4876" spans="1:2" x14ac:dyDescent="0.35">
      <c r="A4876">
        <v>-0.53980493545532204</v>
      </c>
      <c r="B4876">
        <v>-0.13340928833657101</v>
      </c>
    </row>
    <row r="4877" spans="1:2" x14ac:dyDescent="0.35">
      <c r="A4877">
        <v>-0.54028546810150102</v>
      </c>
      <c r="B4877">
        <v>-0.134044893449633</v>
      </c>
    </row>
    <row r="4878" spans="1:2" x14ac:dyDescent="0.35">
      <c r="A4878">
        <v>-0.54079562425613403</v>
      </c>
      <c r="B4878">
        <v>-0.13504741952478999</v>
      </c>
    </row>
    <row r="4879" spans="1:2" x14ac:dyDescent="0.35">
      <c r="A4879">
        <v>-0.54134672880172696</v>
      </c>
      <c r="B4879">
        <v>-0.136361668072947</v>
      </c>
    </row>
    <row r="4880" spans="1:2" x14ac:dyDescent="0.35">
      <c r="A4880">
        <v>-0.54187917709350597</v>
      </c>
      <c r="B4880">
        <v>-0.13714198476183401</v>
      </c>
    </row>
    <row r="4881" spans="1:2" x14ac:dyDescent="0.35">
      <c r="A4881">
        <v>-0.54217851161956798</v>
      </c>
      <c r="B4881">
        <v>-0.138202161749958</v>
      </c>
    </row>
    <row r="4882" spans="1:2" x14ac:dyDescent="0.35">
      <c r="A4882">
        <v>-0.54265677928924605</v>
      </c>
      <c r="B4882">
        <v>-0.13992231956484599</v>
      </c>
    </row>
    <row r="4883" spans="1:2" x14ac:dyDescent="0.35">
      <c r="A4883">
        <v>-0.54324865341186501</v>
      </c>
      <c r="B4883">
        <v>-0.13932881565937899</v>
      </c>
    </row>
    <row r="4884" spans="1:2" x14ac:dyDescent="0.35">
      <c r="A4884">
        <v>-0.54389715194702104</v>
      </c>
      <c r="B4884">
        <v>-0.1396690347332</v>
      </c>
    </row>
    <row r="4885" spans="1:2" x14ac:dyDescent="0.35">
      <c r="A4885">
        <v>-0.54433864355087302</v>
      </c>
      <c r="B4885">
        <v>-0.14085756312191999</v>
      </c>
    </row>
    <row r="4886" spans="1:2" x14ac:dyDescent="0.35">
      <c r="A4886">
        <v>-0.54486721754074097</v>
      </c>
      <c r="B4886">
        <v>-0.141390757689176</v>
      </c>
    </row>
    <row r="4887" spans="1:2" x14ac:dyDescent="0.35">
      <c r="A4887">
        <v>-0.54530096054077104</v>
      </c>
      <c r="B4887">
        <v>-0.141874083824654</v>
      </c>
    </row>
    <row r="4888" spans="1:2" x14ac:dyDescent="0.35">
      <c r="A4888">
        <v>-0.54571962356567405</v>
      </c>
      <c r="B4888">
        <v>-0.142126272338951</v>
      </c>
    </row>
    <row r="4889" spans="1:2" x14ac:dyDescent="0.35">
      <c r="A4889">
        <v>-0.54629969596862804</v>
      </c>
      <c r="B4889">
        <v>-0.14244430336668201</v>
      </c>
    </row>
    <row r="4890" spans="1:2" x14ac:dyDescent="0.35">
      <c r="A4890">
        <v>-0.54677420854568504</v>
      </c>
      <c r="B4890">
        <v>-0.14288077470338001</v>
      </c>
    </row>
    <row r="4891" spans="1:2" x14ac:dyDescent="0.35">
      <c r="A4891">
        <v>-0.5472771525383</v>
      </c>
      <c r="B4891">
        <v>-0.14354487901260901</v>
      </c>
    </row>
    <row r="4892" spans="1:2" x14ac:dyDescent="0.35">
      <c r="A4892">
        <v>-0.54787492752075195</v>
      </c>
      <c r="B4892">
        <v>-0.143970267858893</v>
      </c>
    </row>
    <row r="4893" spans="1:2" x14ac:dyDescent="0.35">
      <c r="A4893">
        <v>-0.54826712608337402</v>
      </c>
      <c r="B4893">
        <v>-0.14403074822678999</v>
      </c>
    </row>
    <row r="4894" spans="1:2" x14ac:dyDescent="0.35">
      <c r="A4894">
        <v>-0.54871362447738603</v>
      </c>
      <c r="B4894">
        <v>-0.14507989749405301</v>
      </c>
    </row>
    <row r="4895" spans="1:2" x14ac:dyDescent="0.35">
      <c r="A4895">
        <v>-0.54947155714035001</v>
      </c>
      <c r="B4895">
        <v>-0.14618791857159</v>
      </c>
    </row>
    <row r="4896" spans="1:2" x14ac:dyDescent="0.35">
      <c r="A4896">
        <v>-0.549679815769196</v>
      </c>
      <c r="B4896">
        <v>-0.14586354284362299</v>
      </c>
    </row>
    <row r="4897" spans="1:2" x14ac:dyDescent="0.35">
      <c r="A4897">
        <v>-0.55031353235244795</v>
      </c>
      <c r="B4897">
        <v>-0.14745721145602</v>
      </c>
    </row>
    <row r="4898" spans="1:2" x14ac:dyDescent="0.35">
      <c r="A4898">
        <v>-0.55103409290313698</v>
      </c>
      <c r="B4898">
        <v>-0.146171268297275</v>
      </c>
    </row>
    <row r="4899" spans="1:2" x14ac:dyDescent="0.35">
      <c r="A4899">
        <v>-0.55146968364715598</v>
      </c>
      <c r="B4899">
        <v>-0.14700871852797101</v>
      </c>
    </row>
    <row r="4900" spans="1:2" x14ac:dyDescent="0.35">
      <c r="A4900">
        <v>-0.55170202255249001</v>
      </c>
      <c r="B4900">
        <v>-0.14661473570379099</v>
      </c>
    </row>
    <row r="4901" spans="1:2" x14ac:dyDescent="0.35">
      <c r="A4901">
        <v>-0.55230760574340798</v>
      </c>
      <c r="B4901">
        <v>-0.14773274201829001</v>
      </c>
    </row>
    <row r="4902" spans="1:2" x14ac:dyDescent="0.35">
      <c r="A4902">
        <v>-0.55284929275512695</v>
      </c>
      <c r="B4902">
        <v>-0.148381194771562</v>
      </c>
    </row>
    <row r="4903" spans="1:2" x14ac:dyDescent="0.35">
      <c r="A4903">
        <v>-0.55331760644912698</v>
      </c>
      <c r="B4903">
        <v>-0.148460908899607</v>
      </c>
    </row>
    <row r="4904" spans="1:2" x14ac:dyDescent="0.35">
      <c r="A4904">
        <v>-0.55385810136795</v>
      </c>
      <c r="B4904">
        <v>-0.148879237970934</v>
      </c>
    </row>
    <row r="4905" spans="1:2" x14ac:dyDescent="0.35">
      <c r="A4905">
        <v>-0.55432516336440996</v>
      </c>
      <c r="B4905">
        <v>-0.149182281673925</v>
      </c>
    </row>
    <row r="4906" spans="1:2" x14ac:dyDescent="0.35">
      <c r="A4906">
        <v>-0.55479133129119895</v>
      </c>
      <c r="B4906">
        <v>-0.149539071584918</v>
      </c>
    </row>
    <row r="4907" spans="1:2" x14ac:dyDescent="0.35">
      <c r="A4907">
        <v>-0.55526649951934803</v>
      </c>
      <c r="B4907">
        <v>-0.15000502993812101</v>
      </c>
    </row>
    <row r="4908" spans="1:2" x14ac:dyDescent="0.35">
      <c r="A4908">
        <v>-0.55575925111770597</v>
      </c>
      <c r="B4908">
        <v>-0.15070368079075699</v>
      </c>
    </row>
    <row r="4909" spans="1:2" x14ac:dyDescent="0.35">
      <c r="A4909">
        <v>-0.55620974302291903</v>
      </c>
      <c r="B4909">
        <v>-0.15053944250231299</v>
      </c>
    </row>
    <row r="4910" spans="1:2" x14ac:dyDescent="0.35">
      <c r="A4910">
        <v>-0.55665618181228604</v>
      </c>
      <c r="B4910">
        <v>-0.151001279719882</v>
      </c>
    </row>
    <row r="4911" spans="1:2" x14ac:dyDescent="0.35">
      <c r="A4911">
        <v>-0.557323098182678</v>
      </c>
      <c r="B4911">
        <v>-0.15118587371209199</v>
      </c>
    </row>
    <row r="4912" spans="1:2" x14ac:dyDescent="0.35">
      <c r="A4912">
        <v>-0.55784237384796098</v>
      </c>
      <c r="B4912">
        <v>-0.15180348622165399</v>
      </c>
    </row>
    <row r="4913" spans="1:2" x14ac:dyDescent="0.35">
      <c r="A4913">
        <v>-0.55823051929473899</v>
      </c>
      <c r="B4913">
        <v>-0.15133862728643899</v>
      </c>
    </row>
    <row r="4914" spans="1:2" x14ac:dyDescent="0.35">
      <c r="A4914">
        <v>-0.55871915817260698</v>
      </c>
      <c r="B4914">
        <v>-0.15319712745939101</v>
      </c>
    </row>
    <row r="4915" spans="1:2" x14ac:dyDescent="0.35">
      <c r="A4915">
        <v>-0.55937755107879605</v>
      </c>
      <c r="B4915">
        <v>-0.15166958588163501</v>
      </c>
    </row>
    <row r="4916" spans="1:2" x14ac:dyDescent="0.35">
      <c r="A4916">
        <v>-0.55970329046249401</v>
      </c>
      <c r="B4916">
        <v>-0.15153147318113799</v>
      </c>
    </row>
    <row r="4917" spans="1:2" x14ac:dyDescent="0.35">
      <c r="A4917">
        <v>-0.56028187274932895</v>
      </c>
      <c r="B4917">
        <v>-0.151845563359681</v>
      </c>
    </row>
    <row r="4918" spans="1:2" x14ac:dyDescent="0.35">
      <c r="A4918">
        <v>-0.56070673465728804</v>
      </c>
      <c r="B4918">
        <v>-0.15215774598998399</v>
      </c>
    </row>
    <row r="4919" spans="1:2" x14ac:dyDescent="0.35">
      <c r="A4919">
        <v>-0.56129097938537598</v>
      </c>
      <c r="B4919">
        <v>-0.152636130585144</v>
      </c>
    </row>
    <row r="4920" spans="1:2" x14ac:dyDescent="0.35">
      <c r="A4920">
        <v>-0.56183612346649203</v>
      </c>
      <c r="B4920">
        <v>-0.15291038395214099</v>
      </c>
    </row>
    <row r="4921" spans="1:2" x14ac:dyDescent="0.35">
      <c r="A4921">
        <v>-0.56235986948013295</v>
      </c>
      <c r="B4921">
        <v>-0.15283991642165001</v>
      </c>
    </row>
    <row r="4922" spans="1:2" x14ac:dyDescent="0.35">
      <c r="A4922">
        <v>-0.56278467178344704</v>
      </c>
      <c r="B4922">
        <v>-0.15322661264457099</v>
      </c>
    </row>
    <row r="4923" spans="1:2" x14ac:dyDescent="0.35">
      <c r="A4923">
        <v>-0.56325340270996105</v>
      </c>
      <c r="B4923">
        <v>-0.15397331533004899</v>
      </c>
    </row>
    <row r="4924" spans="1:2" x14ac:dyDescent="0.35">
      <c r="A4924">
        <v>-0.56376039981841997</v>
      </c>
      <c r="B4924">
        <v>-0.15338658986253201</v>
      </c>
    </row>
    <row r="4925" spans="1:2" x14ac:dyDescent="0.35">
      <c r="A4925">
        <v>-0.56420665979385398</v>
      </c>
      <c r="B4925">
        <v>-0.15253151730839601</v>
      </c>
    </row>
    <row r="4926" spans="1:2" x14ac:dyDescent="0.35">
      <c r="A4926">
        <v>-0.56495165824890103</v>
      </c>
      <c r="B4926">
        <v>-0.154009161943888</v>
      </c>
    </row>
    <row r="4927" spans="1:2" x14ac:dyDescent="0.35">
      <c r="A4927">
        <v>-0.56545025110244795</v>
      </c>
      <c r="B4927">
        <v>-0.15449978332775699</v>
      </c>
    </row>
    <row r="4928" spans="1:2" x14ac:dyDescent="0.35">
      <c r="A4928">
        <v>-0.565942943096161</v>
      </c>
      <c r="B4928">
        <v>-0.15364761583070899</v>
      </c>
    </row>
    <row r="4929" spans="1:2" x14ac:dyDescent="0.35">
      <c r="A4929">
        <v>-0.56626534461975098</v>
      </c>
      <c r="B4929">
        <v>-0.153718655148675</v>
      </c>
    </row>
    <row r="4930" spans="1:2" x14ac:dyDescent="0.35">
      <c r="A4930">
        <v>-0.56686335802078203</v>
      </c>
      <c r="B4930">
        <v>-0.15356172466906001</v>
      </c>
    </row>
    <row r="4931" spans="1:2" x14ac:dyDescent="0.35">
      <c r="A4931">
        <v>-0.56736660003662098</v>
      </c>
      <c r="B4931">
        <v>-0.15369117304834801</v>
      </c>
    </row>
    <row r="4932" spans="1:2" x14ac:dyDescent="0.35">
      <c r="A4932">
        <v>-0.56768071651458696</v>
      </c>
      <c r="B4932">
        <v>-0.15423141689314801</v>
      </c>
    </row>
    <row r="4933" spans="1:2" x14ac:dyDescent="0.35">
      <c r="A4933">
        <v>-0.56827533245086703</v>
      </c>
      <c r="B4933">
        <v>-0.15472450593630599</v>
      </c>
    </row>
    <row r="4934" spans="1:2" x14ac:dyDescent="0.35">
      <c r="A4934">
        <v>-0.56874722242355302</v>
      </c>
      <c r="B4934">
        <v>-0.154422953666083</v>
      </c>
    </row>
    <row r="4935" spans="1:2" x14ac:dyDescent="0.35">
      <c r="A4935">
        <v>-0.56933254003524802</v>
      </c>
      <c r="B4935">
        <v>-0.154568779781286</v>
      </c>
    </row>
    <row r="4936" spans="1:2" x14ac:dyDescent="0.35">
      <c r="A4936">
        <v>-0.56972235441207897</v>
      </c>
      <c r="B4936">
        <v>-0.15422836108653801</v>
      </c>
    </row>
    <row r="4937" spans="1:2" x14ac:dyDescent="0.35">
      <c r="A4937">
        <v>-0.57020378112793002</v>
      </c>
      <c r="B4937">
        <v>-0.155197767338733</v>
      </c>
    </row>
    <row r="4938" spans="1:2" x14ac:dyDescent="0.35">
      <c r="A4938">
        <v>-0.57076561450958296</v>
      </c>
      <c r="B4938">
        <v>-0.153984370705782</v>
      </c>
    </row>
    <row r="4939" spans="1:2" x14ac:dyDescent="0.35">
      <c r="A4939">
        <v>-0.57124799489974998</v>
      </c>
      <c r="B4939">
        <v>-0.153896271158076</v>
      </c>
    </row>
    <row r="4940" spans="1:2" x14ac:dyDescent="0.35">
      <c r="A4940">
        <v>-0.57165819406509399</v>
      </c>
      <c r="B4940">
        <v>-0.154593133563144</v>
      </c>
    </row>
    <row r="4941" spans="1:2" x14ac:dyDescent="0.35">
      <c r="A4941">
        <v>-0.57218831777572599</v>
      </c>
      <c r="B4941">
        <v>-0.15449484352942899</v>
      </c>
    </row>
    <row r="4942" spans="1:2" x14ac:dyDescent="0.35">
      <c r="A4942">
        <v>-0.57262331247329701</v>
      </c>
      <c r="B4942">
        <v>-0.15491787670941601</v>
      </c>
    </row>
    <row r="4943" spans="1:2" x14ac:dyDescent="0.35">
      <c r="A4943">
        <v>-0.57311707735061601</v>
      </c>
      <c r="B4943">
        <v>-0.15481364608824899</v>
      </c>
    </row>
    <row r="4944" spans="1:2" x14ac:dyDescent="0.35">
      <c r="A4944">
        <v>-0.57381153106689498</v>
      </c>
      <c r="B4944">
        <v>-0.154585674965695</v>
      </c>
    </row>
    <row r="4945" spans="1:2" x14ac:dyDescent="0.35">
      <c r="A4945">
        <v>-0.57429772615432695</v>
      </c>
      <c r="B4945">
        <v>-0.15505375736983201</v>
      </c>
    </row>
    <row r="4946" spans="1:2" x14ac:dyDescent="0.35">
      <c r="A4946">
        <v>-0.57457154989242598</v>
      </c>
      <c r="B4946">
        <v>-0.155312314917432</v>
      </c>
    </row>
    <row r="4947" spans="1:2" x14ac:dyDescent="0.35">
      <c r="A4947">
        <v>-0.57513439655303999</v>
      </c>
      <c r="B4947">
        <v>-0.15486253508286499</v>
      </c>
    </row>
    <row r="4948" spans="1:2" x14ac:dyDescent="0.35">
      <c r="A4948">
        <v>-0.575661420822144</v>
      </c>
      <c r="B4948">
        <v>-0.155333159579507</v>
      </c>
    </row>
    <row r="4949" spans="1:2" x14ac:dyDescent="0.35">
      <c r="A4949">
        <v>-0.57633441686630205</v>
      </c>
      <c r="B4949">
        <v>-0.15480779464487901</v>
      </c>
    </row>
    <row r="4950" spans="1:2" x14ac:dyDescent="0.35">
      <c r="A4950">
        <v>-0.57681798934936501</v>
      </c>
      <c r="B4950">
        <v>-0.15499306960477199</v>
      </c>
    </row>
    <row r="4951" spans="1:2" x14ac:dyDescent="0.35">
      <c r="A4951">
        <v>-0.57727628946304299</v>
      </c>
      <c r="B4951">
        <v>-0.15551586262200701</v>
      </c>
    </row>
    <row r="4952" spans="1:2" x14ac:dyDescent="0.35">
      <c r="A4952">
        <v>-0.57772296667098999</v>
      </c>
      <c r="B4952">
        <v>-0.15425512934132601</v>
      </c>
    </row>
    <row r="4953" spans="1:2" x14ac:dyDescent="0.35">
      <c r="A4953">
        <v>-0.57818955183029197</v>
      </c>
      <c r="B4953">
        <v>-0.15493643509455901</v>
      </c>
    </row>
    <row r="4954" spans="1:2" x14ac:dyDescent="0.35">
      <c r="A4954">
        <v>-0.57865619659423795</v>
      </c>
      <c r="B4954">
        <v>-0.155110356466553</v>
      </c>
    </row>
    <row r="4955" spans="1:2" x14ac:dyDescent="0.35">
      <c r="A4955">
        <v>-0.57916837930679299</v>
      </c>
      <c r="B4955">
        <v>-0.15502409751230101</v>
      </c>
    </row>
    <row r="4956" spans="1:2" x14ac:dyDescent="0.35">
      <c r="A4956">
        <v>-0.57969117164611805</v>
      </c>
      <c r="B4956">
        <v>-0.155356826844956</v>
      </c>
    </row>
    <row r="4957" spans="1:2" x14ac:dyDescent="0.35">
      <c r="A4957">
        <v>-0.58026903867721602</v>
      </c>
      <c r="B4957">
        <v>-0.15508683949326801</v>
      </c>
    </row>
    <row r="4958" spans="1:2" x14ac:dyDescent="0.35">
      <c r="A4958">
        <v>-0.58086538314819303</v>
      </c>
      <c r="B4958">
        <v>-0.15569373212871801</v>
      </c>
    </row>
    <row r="4959" spans="1:2" x14ac:dyDescent="0.35">
      <c r="A4959">
        <v>-0.581246197223663</v>
      </c>
      <c r="B4959">
        <v>-0.154659505184394</v>
      </c>
    </row>
    <row r="4960" spans="1:2" x14ac:dyDescent="0.35">
      <c r="A4960">
        <v>-0.58168631792068504</v>
      </c>
      <c r="B4960">
        <v>-0.156144401573933</v>
      </c>
    </row>
    <row r="4961" spans="1:2" x14ac:dyDescent="0.35">
      <c r="A4961">
        <v>-0.58217388391494795</v>
      </c>
      <c r="B4961">
        <v>-0.155315984595154</v>
      </c>
    </row>
    <row r="4962" spans="1:2" x14ac:dyDescent="0.35">
      <c r="A4962">
        <v>-0.58276528120040905</v>
      </c>
      <c r="B4962">
        <v>-0.15575187986296299</v>
      </c>
    </row>
    <row r="4963" spans="1:2" x14ac:dyDescent="0.35">
      <c r="A4963">
        <v>-0.58325725793838501</v>
      </c>
      <c r="B4963">
        <v>-0.155565556712359</v>
      </c>
    </row>
    <row r="4964" spans="1:2" x14ac:dyDescent="0.35">
      <c r="A4964">
        <v>-0.58389115333557096</v>
      </c>
      <c r="B4964">
        <v>-0.15621377985739501</v>
      </c>
    </row>
    <row r="4965" spans="1:2" x14ac:dyDescent="0.35">
      <c r="A4965">
        <v>-0.58410018682479903</v>
      </c>
      <c r="B4965">
        <v>-0.155053532216433</v>
      </c>
    </row>
    <row r="4966" spans="1:2" x14ac:dyDescent="0.35">
      <c r="A4966">
        <v>-0.58471274375915505</v>
      </c>
      <c r="B4966">
        <v>-0.15492548899397701</v>
      </c>
    </row>
    <row r="4967" spans="1:2" x14ac:dyDescent="0.35">
      <c r="A4967">
        <v>-0.58521634340286299</v>
      </c>
      <c r="B4967">
        <v>-0.15540784766409699</v>
      </c>
    </row>
    <row r="4968" spans="1:2" x14ac:dyDescent="0.35">
      <c r="A4968">
        <v>-0.58572965860366799</v>
      </c>
      <c r="B4968">
        <v>-0.155838839194993</v>
      </c>
    </row>
    <row r="4969" spans="1:2" x14ac:dyDescent="0.35">
      <c r="A4969">
        <v>-0.58597373962402299</v>
      </c>
      <c r="B4969">
        <v>-0.15606599866948601</v>
      </c>
    </row>
    <row r="4970" spans="1:2" x14ac:dyDescent="0.35">
      <c r="A4970">
        <v>-0.586620032787323</v>
      </c>
      <c r="B4970">
        <v>-0.15553753058046799</v>
      </c>
    </row>
    <row r="4971" spans="1:2" x14ac:dyDescent="0.35">
      <c r="A4971">
        <v>-0.587208271026611</v>
      </c>
      <c r="B4971">
        <v>-0.154981939420724</v>
      </c>
    </row>
    <row r="4972" spans="1:2" x14ac:dyDescent="0.35">
      <c r="A4972">
        <v>-0.58760935068130504</v>
      </c>
      <c r="B4972">
        <v>-0.15473295800955</v>
      </c>
    </row>
    <row r="4973" spans="1:2" x14ac:dyDescent="0.35">
      <c r="A4973">
        <v>-0.58817553520202603</v>
      </c>
      <c r="B4973">
        <v>-0.15528932542691001</v>
      </c>
    </row>
    <row r="4974" spans="1:2" x14ac:dyDescent="0.35">
      <c r="A4974">
        <v>-0.58875095844268799</v>
      </c>
      <c r="B4974">
        <v>-0.15522645787693701</v>
      </c>
    </row>
    <row r="4975" spans="1:2" x14ac:dyDescent="0.35">
      <c r="A4975">
        <v>-0.58909058570861805</v>
      </c>
      <c r="B4975">
        <v>-0.15499958495830801</v>
      </c>
    </row>
    <row r="4976" spans="1:2" x14ac:dyDescent="0.35">
      <c r="A4976">
        <v>-0.58973973989486705</v>
      </c>
      <c r="B4976">
        <v>-0.15567560247447601</v>
      </c>
    </row>
    <row r="4977" spans="1:2" x14ac:dyDescent="0.35">
      <c r="A4977">
        <v>-0.59019172191619895</v>
      </c>
      <c r="B4977">
        <v>-0.155777831366642</v>
      </c>
    </row>
    <row r="4978" spans="1:2" x14ac:dyDescent="0.35">
      <c r="A4978">
        <v>-0.59056156873703003</v>
      </c>
      <c r="B4978">
        <v>-0.15540193260808599</v>
      </c>
    </row>
    <row r="4979" spans="1:2" x14ac:dyDescent="0.35">
      <c r="A4979">
        <v>-0.59123384952545199</v>
      </c>
      <c r="B4979">
        <v>-0.15614227581534901</v>
      </c>
    </row>
    <row r="4980" spans="1:2" x14ac:dyDescent="0.35">
      <c r="A4980">
        <v>-0.59178632497787498</v>
      </c>
      <c r="B4980">
        <v>-0.15475436974883</v>
      </c>
    </row>
    <row r="4981" spans="1:2" x14ac:dyDescent="0.35">
      <c r="A4981">
        <v>-0.59238421916961703</v>
      </c>
      <c r="B4981">
        <v>-0.15543803117914901</v>
      </c>
    </row>
    <row r="4982" spans="1:2" x14ac:dyDescent="0.35">
      <c r="A4982">
        <v>-0.592740058898926</v>
      </c>
      <c r="B4982">
        <v>-0.15587326444220101</v>
      </c>
    </row>
    <row r="4983" spans="1:2" x14ac:dyDescent="0.35">
      <c r="A4983">
        <v>-0.59317404031753496</v>
      </c>
      <c r="B4983">
        <v>-0.15524803778066701</v>
      </c>
    </row>
    <row r="4984" spans="1:2" x14ac:dyDescent="0.35">
      <c r="A4984">
        <v>-0.59378224611282304</v>
      </c>
      <c r="B4984">
        <v>-0.155329063664502</v>
      </c>
    </row>
    <row r="4985" spans="1:2" x14ac:dyDescent="0.35">
      <c r="A4985">
        <v>-0.594216048717499</v>
      </c>
      <c r="B4985">
        <v>-0.155008199607406</v>
      </c>
    </row>
    <row r="4986" spans="1:2" x14ac:dyDescent="0.35">
      <c r="A4986">
        <v>-0.59471130371093806</v>
      </c>
      <c r="B4986">
        <v>-0.15367324449160499</v>
      </c>
    </row>
    <row r="4987" spans="1:2" x14ac:dyDescent="0.35">
      <c r="A4987">
        <v>-0.59514456987381004</v>
      </c>
      <c r="B4987">
        <v>-0.154533315483697</v>
      </c>
    </row>
    <row r="4988" spans="1:2" x14ac:dyDescent="0.35">
      <c r="A4988">
        <v>-0.59573328495025601</v>
      </c>
      <c r="B4988">
        <v>-0.155850658969413</v>
      </c>
    </row>
    <row r="4989" spans="1:2" x14ac:dyDescent="0.35">
      <c r="A4989">
        <v>-0.59607136249542203</v>
      </c>
      <c r="B4989">
        <v>-0.15516675153650999</v>
      </c>
    </row>
    <row r="4990" spans="1:2" x14ac:dyDescent="0.35">
      <c r="A4990">
        <v>-0.59669268131256104</v>
      </c>
      <c r="B4990">
        <v>-0.15525495217909699</v>
      </c>
    </row>
    <row r="4991" spans="1:2" x14ac:dyDescent="0.35">
      <c r="A4991">
        <v>-0.59723222255706798</v>
      </c>
      <c r="B4991">
        <v>-0.15475112675539199</v>
      </c>
    </row>
    <row r="4992" spans="1:2" x14ac:dyDescent="0.35">
      <c r="A4992">
        <v>-0.59768491983413696</v>
      </c>
      <c r="B4992">
        <v>-0.154725464166659</v>
      </c>
    </row>
    <row r="4993" spans="1:2" x14ac:dyDescent="0.35">
      <c r="A4993">
        <v>-0.59827840328216597</v>
      </c>
      <c r="B4993">
        <v>-0.15607361136039699</v>
      </c>
    </row>
    <row r="4994" spans="1:2" x14ac:dyDescent="0.35">
      <c r="A4994">
        <v>-0.59857863187789895</v>
      </c>
      <c r="B4994">
        <v>-0.15567080116864601</v>
      </c>
    </row>
    <row r="4995" spans="1:2" x14ac:dyDescent="0.35">
      <c r="A4995">
        <v>-0.599068284034729</v>
      </c>
      <c r="B4995">
        <v>-0.15574269412868999</v>
      </c>
    </row>
    <row r="4996" spans="1:2" x14ac:dyDescent="0.35">
      <c r="A4996">
        <v>-0.59959232807159402</v>
      </c>
      <c r="B4996">
        <v>-0.15538344616444999</v>
      </c>
    </row>
    <row r="4997" spans="1:2" x14ac:dyDescent="0.35">
      <c r="A4997">
        <v>-0.60023552179336503</v>
      </c>
      <c r="B4997">
        <v>-0.155422062778616</v>
      </c>
    </row>
    <row r="4998" spans="1:2" x14ac:dyDescent="0.35">
      <c r="A4998">
        <v>-0.60044056177139304</v>
      </c>
      <c r="B4998">
        <v>-0.15537866050251201</v>
      </c>
    </row>
    <row r="4999" spans="1:2" x14ac:dyDescent="0.35">
      <c r="A4999">
        <v>-0.60098916292190596</v>
      </c>
      <c r="B4999">
        <v>-0.15250332963026</v>
      </c>
    </row>
    <row r="5000" spans="1:2" x14ac:dyDescent="0.35">
      <c r="A5000">
        <v>-0.60087585449218806</v>
      </c>
      <c r="B5000">
        <v>-0.15557631913637501</v>
      </c>
    </row>
    <row r="5001" spans="1:2" x14ac:dyDescent="0.35">
      <c r="A5001">
        <v>-0.60135900974273704</v>
      </c>
      <c r="B5001">
        <v>-0.156151577356928</v>
      </c>
    </row>
    <row r="5002" spans="1:2" x14ac:dyDescent="0.35">
      <c r="A5002">
        <v>-0.60079836845397905</v>
      </c>
      <c r="B5002">
        <v>-0.15400846567044199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R1</vt:lpstr>
      <vt:lpstr>R2</vt:lpstr>
      <vt:lpstr>Chronoamperometries</vt:lpstr>
      <vt:lpstr>Cyclic voltammetry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</dc:creator>
  <cp:lastModifiedBy>Fernanda Pérez</cp:lastModifiedBy>
  <dcterms:created xsi:type="dcterms:W3CDTF">2022-12-06T10:24:13Z</dcterms:created>
  <dcterms:modified xsi:type="dcterms:W3CDTF">2024-08-29T11:36:15Z</dcterms:modified>
</cp:coreProperties>
</file>