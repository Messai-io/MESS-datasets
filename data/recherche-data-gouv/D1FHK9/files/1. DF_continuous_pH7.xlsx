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130" windowHeight="7455"/>
  </bookViews>
  <sheets>
    <sheet name="1. DF_continuous_pH7_1" sheetId="3" r:id="rId1"/>
    <sheet name="1. DF_continuous_pH7_2" sheetId="9" r:id="rId2"/>
    <sheet name="1. DF_continuous_pH7_3" sheetId="5" r:id="rId3"/>
    <sheet name="1. DF_continuous_pH7_4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3" l="1"/>
  <c r="AU21" i="3" s="1"/>
  <c r="AA1" i="3"/>
  <c r="AA3" i="3"/>
  <c r="AM11" i="3"/>
  <c r="AG2" i="3"/>
  <c r="AK2" i="3"/>
  <c r="AG3" i="3"/>
  <c r="AK3" i="3"/>
  <c r="AG4" i="3"/>
  <c r="W8" i="3"/>
  <c r="AS8" i="3" s="1"/>
  <c r="AT41" i="3" l="1"/>
  <c r="AT36" i="3"/>
  <c r="AT20" i="3"/>
  <c r="AT10" i="3"/>
  <c r="AT13" i="3"/>
  <c r="AT17" i="3"/>
  <c r="AT18" i="3"/>
  <c r="X20" i="3"/>
  <c r="AU20" i="3" s="1"/>
  <c r="X21" i="3"/>
  <c r="X22" i="3"/>
  <c r="AU22" i="3" s="1"/>
  <c r="X23" i="3"/>
  <c r="AU23" i="3" s="1"/>
  <c r="X24" i="3"/>
  <c r="AU24" i="3" s="1"/>
  <c r="X25" i="3"/>
  <c r="AU25" i="3" s="1"/>
  <c r="X26" i="3"/>
  <c r="AU26" i="3" s="1"/>
  <c r="X27" i="3"/>
  <c r="AU27" i="3" s="1"/>
  <c r="X28" i="3"/>
  <c r="AU28" i="3" s="1"/>
  <c r="X29" i="3"/>
  <c r="AU29" i="3" s="1"/>
  <c r="X30" i="3"/>
  <c r="AU30" i="3" s="1"/>
  <c r="X31" i="3"/>
  <c r="AU31" i="3" s="1"/>
  <c r="X32" i="3"/>
  <c r="AU32" i="3" s="1"/>
  <c r="X33" i="3"/>
  <c r="AU33" i="3" s="1"/>
  <c r="X34" i="3"/>
  <c r="AU34" i="3" s="1"/>
  <c r="X36" i="3"/>
  <c r="AU36" i="3" s="1"/>
  <c r="X37" i="3"/>
  <c r="AU37" i="3" s="1"/>
  <c r="X38" i="3"/>
  <c r="AU38" i="3" s="1"/>
  <c r="X39" i="3"/>
  <c r="AU39" i="3" s="1"/>
  <c r="X41" i="3"/>
  <c r="AU41" i="3" s="1"/>
  <c r="X9" i="3"/>
  <c r="AU9" i="3" s="1"/>
  <c r="X10" i="3"/>
  <c r="AU10" i="3" s="1"/>
  <c r="X11" i="3"/>
  <c r="AU11" i="3" s="1"/>
  <c r="X12" i="3"/>
  <c r="AU12" i="3" s="1"/>
  <c r="X13" i="3"/>
  <c r="AU13" i="3" s="1"/>
  <c r="X14" i="3"/>
  <c r="AU14" i="3" s="1"/>
  <c r="X15" i="3"/>
  <c r="AU15" i="3" s="1"/>
  <c r="X16" i="3"/>
  <c r="AU16" i="3" s="1"/>
  <c r="X17" i="3"/>
  <c r="AU17" i="3" s="1"/>
  <c r="X18" i="3"/>
  <c r="AU18" i="3" s="1"/>
  <c r="X19" i="3"/>
  <c r="AU19" i="3" s="1"/>
  <c r="X8" i="3"/>
  <c r="W15" i="3"/>
  <c r="AT21" i="3" l="1"/>
  <c r="AT16" i="3"/>
  <c r="AT29" i="3"/>
  <c r="AT15" i="3"/>
  <c r="AT28" i="3"/>
  <c r="AT14" i="3"/>
  <c r="AT27" i="3"/>
  <c r="AT9" i="3"/>
  <c r="AT37" i="3"/>
  <c r="AU51" i="3"/>
  <c r="AU50" i="3"/>
  <c r="AT34" i="3"/>
  <c r="AT26" i="3"/>
  <c r="AU49" i="3"/>
  <c r="AU48" i="3"/>
  <c r="AT33" i="3"/>
  <c r="AT32" i="3"/>
  <c r="AT12" i="3"/>
  <c r="AT31" i="3"/>
  <c r="AT23" i="3"/>
  <c r="AT38" i="3"/>
  <c r="AT25" i="3"/>
  <c r="AT39" i="3"/>
  <c r="AT24" i="3"/>
  <c r="AU8" i="3"/>
  <c r="AT8" i="3"/>
  <c r="AU53" i="3"/>
  <c r="AU52" i="3"/>
  <c r="AT19" i="3"/>
  <c r="AT11" i="3"/>
  <c r="AT30" i="3"/>
  <c r="AT22" i="3"/>
  <c r="AS15" i="3"/>
  <c r="AT48" i="3" l="1"/>
  <c r="AT53" i="3"/>
  <c r="AT49" i="3"/>
  <c r="AT52" i="3"/>
  <c r="AT50" i="3"/>
  <c r="AT51" i="3"/>
  <c r="I83" i="3" l="1"/>
  <c r="J83" i="3"/>
  <c r="H83" i="3"/>
  <c r="G53" i="3"/>
  <c r="G52" i="3"/>
  <c r="AN26" i="3" l="1"/>
  <c r="K48" i="3" l="1"/>
  <c r="L48" i="3"/>
  <c r="M48" i="3"/>
  <c r="N48" i="3"/>
  <c r="O48" i="3"/>
  <c r="P48" i="3"/>
  <c r="Q48" i="3"/>
  <c r="R48" i="3"/>
  <c r="S48" i="3"/>
  <c r="T48" i="3"/>
  <c r="U48" i="3"/>
  <c r="V48" i="3"/>
  <c r="K49" i="3"/>
  <c r="L49" i="3"/>
  <c r="M49" i="3"/>
  <c r="N49" i="3"/>
  <c r="O49" i="3"/>
  <c r="P49" i="3"/>
  <c r="Q49" i="3"/>
  <c r="R49" i="3"/>
  <c r="S49" i="3"/>
  <c r="T49" i="3"/>
  <c r="U49" i="3"/>
  <c r="V49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F53" i="3"/>
  <c r="F52" i="3"/>
  <c r="F51" i="3"/>
  <c r="F50" i="3"/>
  <c r="AN37" i="3" l="1"/>
  <c r="AN39" i="3"/>
  <c r="AN41" i="3"/>
  <c r="T34" i="3" l="1"/>
  <c r="U34" i="3"/>
  <c r="V34" i="3"/>
  <c r="S34" i="3"/>
  <c r="AG41" i="3"/>
  <c r="AF41" i="3"/>
  <c r="I36" i="5" s="1"/>
  <c r="AE41" i="3"/>
  <c r="AD41" i="3"/>
  <c r="G36" i="5" s="1"/>
  <c r="AC41" i="3"/>
  <c r="F36" i="5" s="1"/>
  <c r="AB41" i="3"/>
  <c r="AA41" i="3"/>
  <c r="D36" i="5" s="1"/>
  <c r="Z41" i="3"/>
  <c r="C36" i="5" s="1"/>
  <c r="E36" i="5"/>
  <c r="H36" i="5"/>
  <c r="J36" i="5"/>
  <c r="AH34" i="3" l="1"/>
  <c r="AI34" i="3"/>
  <c r="AJ34" i="3"/>
  <c r="M31" i="5" s="1"/>
  <c r="AK34" i="3"/>
  <c r="N31" i="5" s="1"/>
  <c r="AH36" i="3"/>
  <c r="K32" i="5" s="1"/>
  <c r="AI36" i="3"/>
  <c r="L32" i="5" s="1"/>
  <c r="AJ36" i="3"/>
  <c r="AK36" i="3"/>
  <c r="N32" i="5" s="1"/>
  <c r="AH37" i="3"/>
  <c r="K33" i="5" s="1"/>
  <c r="AI37" i="3"/>
  <c r="L33" i="5" s="1"/>
  <c r="AJ37" i="3"/>
  <c r="M33" i="5" s="1"/>
  <c r="AK37" i="3"/>
  <c r="N33" i="5" s="1"/>
  <c r="AH38" i="3"/>
  <c r="K34" i="5" s="1"/>
  <c r="AI38" i="3"/>
  <c r="L34" i="5" s="1"/>
  <c r="AJ38" i="3"/>
  <c r="M34" i="5" s="1"/>
  <c r="AK38" i="3"/>
  <c r="N34" i="5" s="1"/>
  <c r="AH39" i="3"/>
  <c r="K35" i="5" s="1"/>
  <c r="AI39" i="3"/>
  <c r="L35" i="5" s="1"/>
  <c r="AJ39" i="3"/>
  <c r="M35" i="5" s="1"/>
  <c r="AK39" i="3"/>
  <c r="N35" i="5" s="1"/>
  <c r="AH41" i="3"/>
  <c r="K36" i="5" s="1"/>
  <c r="AI41" i="3"/>
  <c r="L36" i="5" s="1"/>
  <c r="AJ41" i="3"/>
  <c r="M36" i="5" s="1"/>
  <c r="AK41" i="3"/>
  <c r="N36" i="5" s="1"/>
  <c r="Z36" i="3"/>
  <c r="C32" i="5" s="1"/>
  <c r="AA36" i="3"/>
  <c r="D32" i="5" s="1"/>
  <c r="AB36" i="3"/>
  <c r="AC36" i="3"/>
  <c r="F32" i="5" s="1"/>
  <c r="AD36" i="3"/>
  <c r="G32" i="5" s="1"/>
  <c r="AE36" i="3"/>
  <c r="H32" i="5" s="1"/>
  <c r="AF36" i="3"/>
  <c r="AG36" i="3"/>
  <c r="J32" i="5" s="1"/>
  <c r="Z37" i="3"/>
  <c r="C33" i="5" s="1"/>
  <c r="AA37" i="3"/>
  <c r="D33" i="5" s="1"/>
  <c r="AB37" i="3"/>
  <c r="E33" i="5" s="1"/>
  <c r="AC37" i="3"/>
  <c r="F33" i="5" s="1"/>
  <c r="AD37" i="3"/>
  <c r="G33" i="5" s="1"/>
  <c r="AE37" i="3"/>
  <c r="H33" i="5" s="1"/>
  <c r="AF37" i="3"/>
  <c r="I33" i="5" s="1"/>
  <c r="AG37" i="3"/>
  <c r="J33" i="5" s="1"/>
  <c r="Z38" i="3"/>
  <c r="C34" i="5" s="1"/>
  <c r="AA38" i="3"/>
  <c r="D34" i="5" s="1"/>
  <c r="AB38" i="3"/>
  <c r="E34" i="5" s="1"/>
  <c r="AC38" i="3"/>
  <c r="F34" i="5" s="1"/>
  <c r="AD38" i="3"/>
  <c r="G34" i="5" s="1"/>
  <c r="AE38" i="3"/>
  <c r="H34" i="5" s="1"/>
  <c r="AF38" i="3"/>
  <c r="I34" i="5" s="1"/>
  <c r="AG38" i="3"/>
  <c r="J34" i="5" s="1"/>
  <c r="Z39" i="3"/>
  <c r="C35" i="5" s="1"/>
  <c r="AA39" i="3"/>
  <c r="D35" i="5" s="1"/>
  <c r="AB39" i="3"/>
  <c r="E35" i="5" s="1"/>
  <c r="AC39" i="3"/>
  <c r="F35" i="5" s="1"/>
  <c r="AD39" i="3"/>
  <c r="G35" i="5" s="1"/>
  <c r="AE39" i="3"/>
  <c r="H35" i="5" s="1"/>
  <c r="AF39" i="3"/>
  <c r="I35" i="5" s="1"/>
  <c r="AG39" i="3"/>
  <c r="J35" i="5" s="1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AG52" i="3"/>
  <c r="AN52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AA53" i="3"/>
  <c r="AG53" i="3"/>
  <c r="AN53" i="3"/>
  <c r="AE53" i="3" l="1"/>
  <c r="AC53" i="3"/>
  <c r="Z52" i="3"/>
  <c r="AC52" i="3"/>
  <c r="AK52" i="3"/>
  <c r="AK53" i="3"/>
  <c r="L31" i="5"/>
  <c r="Z53" i="3"/>
  <c r="AD52" i="3"/>
  <c r="AD53" i="3"/>
  <c r="AB52" i="3"/>
  <c r="E32" i="5"/>
  <c r="AF52" i="3"/>
  <c r="I32" i="5"/>
  <c r="AJ53" i="3"/>
  <c r="M32" i="5"/>
  <c r="AF53" i="3"/>
  <c r="AB53" i="3"/>
  <c r="K31" i="5"/>
  <c r="AL39" i="3"/>
  <c r="AE52" i="3"/>
  <c r="AA52" i="3"/>
  <c r="AH52" i="3"/>
  <c r="AL38" i="3"/>
  <c r="AV38" i="3" s="1"/>
  <c r="AL36" i="3"/>
  <c r="AL41" i="3"/>
  <c r="AL37" i="3"/>
  <c r="AJ52" i="3"/>
  <c r="AI53" i="3"/>
  <c r="AI52" i="3"/>
  <c r="AH53" i="3"/>
  <c r="W41" i="3"/>
  <c r="AS41" i="3" s="1"/>
  <c r="W37" i="3"/>
  <c r="AS37" i="3" s="1"/>
  <c r="W36" i="3"/>
  <c r="W34" i="3"/>
  <c r="AS34" i="3" s="1"/>
  <c r="W38" i="3"/>
  <c r="AS38" i="3" s="1"/>
  <c r="W39" i="3"/>
  <c r="AS39" i="3" s="1"/>
  <c r="AX36" i="3" l="1"/>
  <c r="AV36" i="3"/>
  <c r="BF41" i="3"/>
  <c r="AV41" i="3"/>
  <c r="AS36" i="3"/>
  <c r="W52" i="3"/>
  <c r="BC39" i="3"/>
  <c r="AV39" i="3"/>
  <c r="AV53" i="3" s="1"/>
  <c r="BC37" i="3"/>
  <c r="AV37" i="3"/>
  <c r="AY36" i="3"/>
  <c r="BD37" i="3"/>
  <c r="BA37" i="3"/>
  <c r="BH36" i="3"/>
  <c r="BE36" i="3"/>
  <c r="BF36" i="3"/>
  <c r="BC36" i="3"/>
  <c r="AZ36" i="3"/>
  <c r="AW36" i="3"/>
  <c r="BB36" i="3"/>
  <c r="BE41" i="3"/>
  <c r="BD36" i="3"/>
  <c r="BD53" i="3" s="1"/>
  <c r="BA36" i="3"/>
  <c r="BG41" i="3"/>
  <c r="BH41" i="3"/>
  <c r="W53" i="3"/>
  <c r="BD39" i="3"/>
  <c r="BA39" i="3"/>
  <c r="BB38" i="3"/>
  <c r="BG39" i="3"/>
  <c r="AY38" i="3"/>
  <c r="BH37" i="3"/>
  <c r="AZ38" i="3"/>
  <c r="AW38" i="3"/>
  <c r="AX37" i="3"/>
  <c r="AX39" i="3"/>
  <c r="BC38" i="3"/>
  <c r="AL53" i="3"/>
  <c r="AZ41" i="3"/>
  <c r="BD41" i="3"/>
  <c r="AX41" i="3"/>
  <c r="AY41" i="3"/>
  <c r="AW41" i="3"/>
  <c r="BA41" i="3"/>
  <c r="BB41" i="3"/>
  <c r="BC41" i="3"/>
  <c r="BG38" i="3"/>
  <c r="BH38" i="3"/>
  <c r="BD38" i="3"/>
  <c r="BE38" i="3"/>
  <c r="BA38" i="3"/>
  <c r="BF38" i="3"/>
  <c r="BB37" i="3"/>
  <c r="BB39" i="3"/>
  <c r="AY37" i="3"/>
  <c r="AY39" i="3"/>
  <c r="AL52" i="3"/>
  <c r="BF37" i="3"/>
  <c r="BE37" i="3"/>
  <c r="BF39" i="3"/>
  <c r="BG36" i="3"/>
  <c r="BH39" i="3"/>
  <c r="AZ37" i="3"/>
  <c r="AZ39" i="3"/>
  <c r="BE39" i="3"/>
  <c r="AW37" i="3"/>
  <c r="AW39" i="3"/>
  <c r="AX38" i="3"/>
  <c r="BG37" i="3"/>
  <c r="AO41" i="3"/>
  <c r="AO39" i="3"/>
  <c r="AQ39" i="3" s="1"/>
  <c r="AO37" i="3"/>
  <c r="AO34" i="3"/>
  <c r="AN34" i="3"/>
  <c r="AO33" i="3"/>
  <c r="AN33" i="3"/>
  <c r="AN31" i="3"/>
  <c r="AO31" i="3"/>
  <c r="BA53" i="3" l="1"/>
  <c r="BE53" i="3"/>
  <c r="AV52" i="3"/>
  <c r="BH53" i="3"/>
  <c r="BB53" i="3"/>
  <c r="AS52" i="3"/>
  <c r="AS53" i="3"/>
  <c r="AY53" i="3"/>
  <c r="BG53" i="3"/>
  <c r="BC53" i="3"/>
  <c r="AZ53" i="3"/>
  <c r="AQ34" i="3"/>
  <c r="BF53" i="3"/>
  <c r="AX53" i="3"/>
  <c r="BA52" i="3"/>
  <c r="BF52" i="3"/>
  <c r="BB52" i="3"/>
  <c r="BD52" i="3"/>
  <c r="AP39" i="3"/>
  <c r="AQ37" i="3"/>
  <c r="AO52" i="3"/>
  <c r="AO53" i="3"/>
  <c r="AP37" i="3"/>
  <c r="AW52" i="3"/>
  <c r="AY52" i="3"/>
  <c r="AQ33" i="3"/>
  <c r="AQ31" i="3"/>
  <c r="AQ41" i="3"/>
  <c r="AP41" i="3"/>
  <c r="BE52" i="3"/>
  <c r="BH52" i="3"/>
  <c r="BC52" i="3"/>
  <c r="AW53" i="3"/>
  <c r="AX52" i="3"/>
  <c r="BG52" i="3"/>
  <c r="AZ52" i="3"/>
  <c r="B40" i="3"/>
  <c r="B41" i="3"/>
  <c r="AQ52" i="3" l="1"/>
  <c r="AP53" i="3"/>
  <c r="AP52" i="3"/>
  <c r="AQ53" i="3"/>
  <c r="B39" i="3"/>
  <c r="B37" i="3"/>
  <c r="B38" i="3"/>
  <c r="B36" i="3"/>
  <c r="AG34" i="3" l="1"/>
  <c r="AF34" i="3"/>
  <c r="AE34" i="3"/>
  <c r="AD34" i="3"/>
  <c r="AC34" i="3"/>
  <c r="F31" i="5" s="1"/>
  <c r="AB34" i="3"/>
  <c r="AA34" i="3"/>
  <c r="Z34" i="3"/>
  <c r="B35" i="3"/>
  <c r="AH32" i="3"/>
  <c r="AI32" i="3"/>
  <c r="AJ32" i="3"/>
  <c r="AK32" i="3"/>
  <c r="AH33" i="3"/>
  <c r="AI33" i="3"/>
  <c r="AJ33" i="3"/>
  <c r="AK33" i="3"/>
  <c r="AL34" i="3" l="1"/>
  <c r="AV34" i="3" s="1"/>
  <c r="C31" i="5"/>
  <c r="G31" i="5"/>
  <c r="D31" i="5"/>
  <c r="H31" i="5"/>
  <c r="E31" i="5"/>
  <c r="AY34" i="3"/>
  <c r="I31" i="5"/>
  <c r="J31" i="5"/>
  <c r="B34" i="3"/>
  <c r="BB34" i="3" l="1"/>
  <c r="BD34" i="3"/>
  <c r="AX34" i="3"/>
  <c r="BC34" i="3"/>
  <c r="AW34" i="3"/>
  <c r="AZ34" i="3"/>
  <c r="AP34" i="3"/>
  <c r="BF34" i="3"/>
  <c r="BG34" i="3"/>
  <c r="BH34" i="3"/>
  <c r="BE34" i="3"/>
  <c r="BA34" i="3"/>
  <c r="N29" i="5"/>
  <c r="Z32" i="3"/>
  <c r="C29" i="5" s="1"/>
  <c r="AA32" i="3"/>
  <c r="D29" i="5" s="1"/>
  <c r="AB32" i="3"/>
  <c r="E29" i="5" s="1"/>
  <c r="AC32" i="3"/>
  <c r="F29" i="5" s="1"/>
  <c r="AD32" i="3"/>
  <c r="G29" i="5" s="1"/>
  <c r="AE32" i="3"/>
  <c r="H29" i="5" s="1"/>
  <c r="AF32" i="3"/>
  <c r="I29" i="5" s="1"/>
  <c r="AG32" i="3"/>
  <c r="J29" i="5" s="1"/>
  <c r="K29" i="5"/>
  <c r="M29" i="5"/>
  <c r="Z33" i="3"/>
  <c r="AA33" i="3"/>
  <c r="AB33" i="3"/>
  <c r="AC33" i="3"/>
  <c r="AD33" i="3"/>
  <c r="AE33" i="3"/>
  <c r="AF33" i="3"/>
  <c r="AG33" i="3"/>
  <c r="K30" i="5"/>
  <c r="L30" i="5"/>
  <c r="M30" i="5"/>
  <c r="N30" i="5"/>
  <c r="W32" i="3"/>
  <c r="AS32" i="3" s="1"/>
  <c r="W33" i="3"/>
  <c r="AS33" i="3" s="1"/>
  <c r="J30" i="5" l="1"/>
  <c r="F30" i="5"/>
  <c r="G30" i="5"/>
  <c r="E30" i="5"/>
  <c r="C30" i="5"/>
  <c r="I30" i="5"/>
  <c r="H30" i="5"/>
  <c r="D30" i="5"/>
  <c r="AL32" i="3"/>
  <c r="AV32" i="3" s="1"/>
  <c r="AL33" i="3"/>
  <c r="L29" i="5"/>
  <c r="G19" i="3"/>
  <c r="G18" i="3" s="1"/>
  <c r="H19" i="3"/>
  <c r="H18" i="3" s="1"/>
  <c r="I19" i="3"/>
  <c r="I18" i="3" s="1"/>
  <c r="J19" i="3"/>
  <c r="J18" i="3" s="1"/>
  <c r="F19" i="3"/>
  <c r="F18" i="3" s="1"/>
  <c r="BD33" i="3" l="1"/>
  <c r="AV33" i="3"/>
  <c r="AW33" i="3"/>
  <c r="G48" i="3"/>
  <c r="G49" i="3"/>
  <c r="AX33" i="3"/>
  <c r="AZ33" i="3"/>
  <c r="AY33" i="3"/>
  <c r="BC33" i="3"/>
  <c r="F49" i="3"/>
  <c r="F48" i="3"/>
  <c r="J49" i="3"/>
  <c r="J48" i="3"/>
  <c r="I49" i="3"/>
  <c r="I48" i="3"/>
  <c r="BB33" i="3"/>
  <c r="BA33" i="3"/>
  <c r="AP33" i="3"/>
  <c r="BH33" i="3"/>
  <c r="BF33" i="3"/>
  <c r="BG33" i="3"/>
  <c r="BE33" i="3"/>
  <c r="H49" i="3"/>
  <c r="H48" i="3"/>
  <c r="AY32" i="3"/>
  <c r="BC32" i="3"/>
  <c r="BG32" i="3"/>
  <c r="AZ32" i="3"/>
  <c r="BD32" i="3"/>
  <c r="BH32" i="3"/>
  <c r="AW32" i="3"/>
  <c r="BA32" i="3"/>
  <c r="BE32" i="3"/>
  <c r="AX32" i="3"/>
  <c r="BB32" i="3"/>
  <c r="BF32" i="3"/>
  <c r="AO29" i="3"/>
  <c r="AN29" i="3"/>
  <c r="AO28" i="3"/>
  <c r="AN28" i="3"/>
  <c r="AO26" i="3"/>
  <c r="AO24" i="3"/>
  <c r="AN24" i="3"/>
  <c r="AO23" i="3"/>
  <c r="AN23" i="3"/>
  <c r="W31" i="3"/>
  <c r="AS31" i="3" s="1"/>
  <c r="Z31" i="3"/>
  <c r="AA31" i="3"/>
  <c r="D28" i="5" s="1"/>
  <c r="AB31" i="3"/>
  <c r="AC31" i="3"/>
  <c r="F28" i="5" s="1"/>
  <c r="AD31" i="3"/>
  <c r="AE31" i="3"/>
  <c r="H28" i="5" s="1"/>
  <c r="AF31" i="3"/>
  <c r="AG31" i="3"/>
  <c r="J28" i="5" s="1"/>
  <c r="AH31" i="3"/>
  <c r="K28" i="5" s="1"/>
  <c r="AI31" i="3"/>
  <c r="L28" i="5" s="1"/>
  <c r="AJ31" i="3"/>
  <c r="M28" i="5" s="1"/>
  <c r="AK31" i="3"/>
  <c r="N28" i="5" s="1"/>
  <c r="AH30" i="3"/>
  <c r="AI30" i="3"/>
  <c r="AJ30" i="3"/>
  <c r="AK30" i="3"/>
  <c r="G28" i="5"/>
  <c r="I28" i="5"/>
  <c r="AH29" i="3"/>
  <c r="AI29" i="3"/>
  <c r="AJ29" i="3"/>
  <c r="AK29" i="3"/>
  <c r="AJ17" i="3"/>
  <c r="AJ16" i="3"/>
  <c r="AQ24" i="3" l="1"/>
  <c r="AQ26" i="3"/>
  <c r="AO50" i="3"/>
  <c r="AO51" i="3"/>
  <c r="AN51" i="3"/>
  <c r="AN50" i="3"/>
  <c r="AQ29" i="3"/>
  <c r="AQ23" i="3"/>
  <c r="AQ28" i="3"/>
  <c r="C28" i="5"/>
  <c r="E28" i="5"/>
  <c r="AL31" i="3"/>
  <c r="AV31" i="3" s="1"/>
  <c r="AO18" i="3"/>
  <c r="AO17" i="3"/>
  <c r="AO16" i="3"/>
  <c r="AN16" i="3"/>
  <c r="AN18" i="3"/>
  <c r="AN17" i="3"/>
  <c r="AQ51" i="3" l="1"/>
  <c r="AR8" i="3"/>
  <c r="AR17" i="3"/>
  <c r="AQ50" i="3"/>
  <c r="AW31" i="3"/>
  <c r="AP31" i="3"/>
  <c r="AQ16" i="3"/>
  <c r="AQ17" i="3"/>
  <c r="BC31" i="3"/>
  <c r="AR16" i="3"/>
  <c r="AR18" i="3"/>
  <c r="AZ31" i="3"/>
  <c r="AQ18" i="3"/>
  <c r="BG31" i="3"/>
  <c r="BD31" i="3"/>
  <c r="AR12" i="3"/>
  <c r="AY31" i="3"/>
  <c r="AX31" i="3"/>
  <c r="BH31" i="3"/>
  <c r="BA31" i="3"/>
  <c r="AR9" i="3"/>
  <c r="BF31" i="3"/>
  <c r="BB31" i="3"/>
  <c r="BE31" i="3"/>
  <c r="AR11" i="3"/>
  <c r="AR10" i="3"/>
  <c r="W29" i="3"/>
  <c r="AS29" i="3" s="1"/>
  <c r="W30" i="3"/>
  <c r="AS30" i="3" s="1"/>
  <c r="K26" i="5"/>
  <c r="L26" i="5"/>
  <c r="M26" i="5"/>
  <c r="N26" i="5"/>
  <c r="K27" i="5"/>
  <c r="L27" i="5"/>
  <c r="M27" i="5"/>
  <c r="N27" i="5"/>
  <c r="AG30" i="3"/>
  <c r="AF30" i="3"/>
  <c r="AE30" i="3"/>
  <c r="H27" i="5" s="1"/>
  <c r="AD30" i="3"/>
  <c r="AC30" i="3"/>
  <c r="AB30" i="3"/>
  <c r="AA30" i="3"/>
  <c r="Z30" i="3"/>
  <c r="AG29" i="3"/>
  <c r="AF29" i="3"/>
  <c r="AE29" i="3"/>
  <c r="AD29" i="3"/>
  <c r="AC29" i="3"/>
  <c r="AB29" i="3"/>
  <c r="AA29" i="3"/>
  <c r="Z29" i="3"/>
  <c r="B29" i="3"/>
  <c r="B30" i="3"/>
  <c r="B31" i="3"/>
  <c r="B32" i="3"/>
  <c r="B33" i="3"/>
  <c r="G26" i="5" l="1"/>
  <c r="D27" i="5"/>
  <c r="C27" i="5"/>
  <c r="E26" i="5"/>
  <c r="I26" i="5"/>
  <c r="E27" i="5"/>
  <c r="I27" i="5"/>
  <c r="H26" i="5"/>
  <c r="C26" i="5"/>
  <c r="G27" i="5"/>
  <c r="F26" i="5"/>
  <c r="J26" i="5"/>
  <c r="F27" i="5"/>
  <c r="J27" i="5"/>
  <c r="D26" i="5"/>
  <c r="AL30" i="3"/>
  <c r="AL29" i="3"/>
  <c r="AH16" i="3"/>
  <c r="AI16" i="3"/>
  <c r="L13" i="5" s="1"/>
  <c r="AK16" i="3"/>
  <c r="AH17" i="3"/>
  <c r="K14" i="5" s="1"/>
  <c r="AI17" i="3"/>
  <c r="L14" i="5" s="1"/>
  <c r="AK17" i="3"/>
  <c r="AH18" i="3"/>
  <c r="K15" i="5" s="1"/>
  <c r="AI18" i="3"/>
  <c r="L15" i="5" s="1"/>
  <c r="AJ18" i="3"/>
  <c r="AK18" i="3"/>
  <c r="AH19" i="3"/>
  <c r="K16" i="5" s="1"/>
  <c r="AI19" i="3"/>
  <c r="L16" i="5" s="1"/>
  <c r="AJ19" i="3"/>
  <c r="M16" i="5" s="1"/>
  <c r="AK19" i="3"/>
  <c r="N16" i="5" s="1"/>
  <c r="AH20" i="3"/>
  <c r="K17" i="5" s="1"/>
  <c r="AI20" i="3"/>
  <c r="L17" i="5" s="1"/>
  <c r="AJ20" i="3"/>
  <c r="AK20" i="3"/>
  <c r="AH21" i="3"/>
  <c r="K18" i="5" s="1"/>
  <c r="AI21" i="3"/>
  <c r="L18" i="5" s="1"/>
  <c r="AJ21" i="3"/>
  <c r="AK21" i="3"/>
  <c r="N18" i="5" s="1"/>
  <c r="AH22" i="3"/>
  <c r="K19" i="5" s="1"/>
  <c r="AI22" i="3"/>
  <c r="L19" i="5" s="1"/>
  <c r="AJ22" i="3"/>
  <c r="AK22" i="3"/>
  <c r="AH23" i="3"/>
  <c r="K20" i="5" s="1"/>
  <c r="AI23" i="3"/>
  <c r="AJ23" i="3"/>
  <c r="AK23" i="3"/>
  <c r="AH24" i="3"/>
  <c r="K21" i="5" s="1"/>
  <c r="AI24" i="3"/>
  <c r="L21" i="5" s="1"/>
  <c r="AJ24" i="3"/>
  <c r="AK24" i="3"/>
  <c r="AH25" i="3"/>
  <c r="K22" i="5" s="1"/>
  <c r="AI25" i="3"/>
  <c r="L22" i="5" s="1"/>
  <c r="AJ25" i="3"/>
  <c r="AK25" i="3"/>
  <c r="N22" i="5" s="1"/>
  <c r="AH26" i="3"/>
  <c r="AI26" i="3"/>
  <c r="AJ26" i="3"/>
  <c r="AK26" i="3"/>
  <c r="AH27" i="3"/>
  <c r="K24" i="5" s="1"/>
  <c r="AI27" i="3"/>
  <c r="L24" i="5" s="1"/>
  <c r="AJ27" i="3"/>
  <c r="AK27" i="3"/>
  <c r="N24" i="5" s="1"/>
  <c r="AH28" i="3"/>
  <c r="K25" i="5" s="1"/>
  <c r="AI28" i="3"/>
  <c r="L25" i="5" s="1"/>
  <c r="AJ28" i="3"/>
  <c r="AK28" i="3"/>
  <c r="W28" i="3"/>
  <c r="AS28" i="3" s="1"/>
  <c r="AG28" i="3"/>
  <c r="J25" i="5" s="1"/>
  <c r="W27" i="3"/>
  <c r="AS27" i="3" s="1"/>
  <c r="AG27" i="3"/>
  <c r="W26" i="3"/>
  <c r="AS26" i="3" s="1"/>
  <c r="AG26" i="3"/>
  <c r="AF28" i="3"/>
  <c r="AF27" i="3"/>
  <c r="AF26" i="3"/>
  <c r="AE28" i="3"/>
  <c r="H25" i="5" s="1"/>
  <c r="AE27" i="3"/>
  <c r="H24" i="5" s="1"/>
  <c r="AE26" i="3"/>
  <c r="AD28" i="3"/>
  <c r="G25" i="5" s="1"/>
  <c r="AD27" i="3"/>
  <c r="G24" i="5" s="1"/>
  <c r="AD26" i="3"/>
  <c r="AC28" i="3"/>
  <c r="AC27" i="3"/>
  <c r="F24" i="5" s="1"/>
  <c r="AC26" i="3"/>
  <c r="AB28" i="3"/>
  <c r="AB27" i="3"/>
  <c r="AB26" i="3"/>
  <c r="AA28" i="3"/>
  <c r="D25" i="5" s="1"/>
  <c r="AA27" i="3"/>
  <c r="D24" i="5" s="1"/>
  <c r="AA26" i="3"/>
  <c r="Z28" i="3"/>
  <c r="Z27" i="3"/>
  <c r="AS50" i="3" l="1"/>
  <c r="AS51" i="3"/>
  <c r="AX30" i="3"/>
  <c r="AV30" i="3"/>
  <c r="BA29" i="3"/>
  <c r="AV29" i="3"/>
  <c r="AK51" i="3"/>
  <c r="AK50" i="3"/>
  <c r="G23" i="5"/>
  <c r="AD50" i="3"/>
  <c r="AD51" i="3"/>
  <c r="AJ51" i="3"/>
  <c r="AJ50" i="3"/>
  <c r="D23" i="5"/>
  <c r="AA50" i="3"/>
  <c r="AA51" i="3"/>
  <c r="AC50" i="3"/>
  <c r="AC51" i="3"/>
  <c r="AR39" i="3"/>
  <c r="AR26" i="3"/>
  <c r="AR37" i="3"/>
  <c r="AR41" i="3"/>
  <c r="AR34" i="3"/>
  <c r="AR31" i="3"/>
  <c r="AR33" i="3"/>
  <c r="AM36" i="3"/>
  <c r="AM41" i="3"/>
  <c r="O36" i="5" s="1"/>
  <c r="AM39" i="3"/>
  <c r="O35" i="5" s="1"/>
  <c r="AM37" i="3"/>
  <c r="O33" i="5" s="1"/>
  <c r="AM38" i="3"/>
  <c r="O34" i="5" s="1"/>
  <c r="AM34" i="3"/>
  <c r="O31" i="5" s="1"/>
  <c r="H23" i="5"/>
  <c r="AE51" i="3"/>
  <c r="AE50" i="3"/>
  <c r="AG51" i="3"/>
  <c r="AG50" i="3"/>
  <c r="L23" i="5"/>
  <c r="AI51" i="3"/>
  <c r="AI50" i="3"/>
  <c r="C25" i="5"/>
  <c r="AL28" i="3"/>
  <c r="AV28" i="3" s="1"/>
  <c r="AB51" i="3"/>
  <c r="AB50" i="3"/>
  <c r="AF51" i="3"/>
  <c r="AF50" i="3"/>
  <c r="W51" i="3"/>
  <c r="W50" i="3"/>
  <c r="K23" i="5"/>
  <c r="AH50" i="3"/>
  <c r="AH51" i="3"/>
  <c r="N20" i="5"/>
  <c r="L20" i="5"/>
  <c r="AZ29" i="3"/>
  <c r="BD29" i="3"/>
  <c r="AW29" i="3"/>
  <c r="BB29" i="3"/>
  <c r="AY30" i="3"/>
  <c r="AY29" i="3"/>
  <c r="BB30" i="3"/>
  <c r="AX29" i="3"/>
  <c r="AM33" i="3"/>
  <c r="O30" i="5" s="1"/>
  <c r="AR29" i="3"/>
  <c r="AR28" i="3"/>
  <c r="AR24" i="3"/>
  <c r="AM32" i="3"/>
  <c r="O29" i="5" s="1"/>
  <c r="AR23" i="3"/>
  <c r="AM31" i="3"/>
  <c r="O28" i="5" s="1"/>
  <c r="BD30" i="3"/>
  <c r="BA30" i="3"/>
  <c r="BH30" i="3"/>
  <c r="BF30" i="3"/>
  <c r="BE30" i="3"/>
  <c r="BG30" i="3"/>
  <c r="AZ30" i="3"/>
  <c r="AP29" i="3"/>
  <c r="BG29" i="3"/>
  <c r="BF29" i="3"/>
  <c r="BH29" i="3"/>
  <c r="BE29" i="3"/>
  <c r="BC30" i="3"/>
  <c r="BC29" i="3"/>
  <c r="AW30" i="3"/>
  <c r="AL27" i="3"/>
  <c r="M24" i="5"/>
  <c r="M22" i="5"/>
  <c r="M21" i="5"/>
  <c r="M19" i="5"/>
  <c r="M18" i="5"/>
  <c r="M17" i="5"/>
  <c r="M15" i="5"/>
  <c r="M13" i="5"/>
  <c r="C24" i="5"/>
  <c r="J23" i="5"/>
  <c r="E23" i="5"/>
  <c r="I23" i="5"/>
  <c r="E25" i="5"/>
  <c r="I25" i="5"/>
  <c r="M25" i="5"/>
  <c r="M23" i="5"/>
  <c r="M20" i="5"/>
  <c r="M14" i="5"/>
  <c r="E24" i="5"/>
  <c r="I24" i="5"/>
  <c r="N15" i="5"/>
  <c r="N14" i="5"/>
  <c r="N13" i="5"/>
  <c r="N25" i="5"/>
  <c r="F25" i="5"/>
  <c r="J24" i="5"/>
  <c r="N23" i="5"/>
  <c r="F23" i="5"/>
  <c r="N21" i="5"/>
  <c r="N19" i="5"/>
  <c r="N17" i="5"/>
  <c r="K13" i="5"/>
  <c r="AM29" i="3"/>
  <c r="O26" i="5" s="1"/>
  <c r="AM30" i="3"/>
  <c r="O27" i="5" s="1"/>
  <c r="Z26" i="3"/>
  <c r="W19" i="3"/>
  <c r="AS19" i="3" s="1"/>
  <c r="W20" i="3"/>
  <c r="AS20" i="3" s="1"/>
  <c r="W21" i="3"/>
  <c r="AS21" i="3" s="1"/>
  <c r="W22" i="3"/>
  <c r="AS22" i="3" s="1"/>
  <c r="W23" i="3"/>
  <c r="AS23" i="3" s="1"/>
  <c r="W24" i="3"/>
  <c r="AS24" i="3" s="1"/>
  <c r="W25" i="3"/>
  <c r="AS25" i="3" s="1"/>
  <c r="Z19" i="3"/>
  <c r="AA19" i="3"/>
  <c r="D16" i="5" s="1"/>
  <c r="AB19" i="3"/>
  <c r="E16" i="5" s="1"/>
  <c r="AC19" i="3"/>
  <c r="F16" i="5" s="1"/>
  <c r="AD19" i="3"/>
  <c r="G16" i="5" s="1"/>
  <c r="AE19" i="3"/>
  <c r="H16" i="5" s="1"/>
  <c r="AF19" i="3"/>
  <c r="I16" i="5" s="1"/>
  <c r="AG19" i="3"/>
  <c r="J16" i="5" s="1"/>
  <c r="Z20" i="3"/>
  <c r="AA20" i="3"/>
  <c r="AB20" i="3"/>
  <c r="AC20" i="3"/>
  <c r="AD20" i="3"/>
  <c r="AE20" i="3"/>
  <c r="AF20" i="3"/>
  <c r="AG20" i="3"/>
  <c r="Z21" i="3"/>
  <c r="AA21" i="3"/>
  <c r="AB21" i="3"/>
  <c r="AC21" i="3"/>
  <c r="AD21" i="3"/>
  <c r="AE21" i="3"/>
  <c r="AF21" i="3"/>
  <c r="AG21" i="3"/>
  <c r="Z22" i="3"/>
  <c r="AA22" i="3"/>
  <c r="AB22" i="3"/>
  <c r="AC22" i="3"/>
  <c r="AD22" i="3"/>
  <c r="AE22" i="3"/>
  <c r="AF22" i="3"/>
  <c r="AG22" i="3"/>
  <c r="Z23" i="3"/>
  <c r="AA23" i="3"/>
  <c r="AB23" i="3"/>
  <c r="AC23" i="3"/>
  <c r="AD23" i="3"/>
  <c r="AE23" i="3"/>
  <c r="AF23" i="3"/>
  <c r="AG23" i="3"/>
  <c r="Z24" i="3"/>
  <c r="AA24" i="3"/>
  <c r="AB24" i="3"/>
  <c r="AC24" i="3"/>
  <c r="AD24" i="3"/>
  <c r="AE24" i="3"/>
  <c r="AF24" i="3"/>
  <c r="AG24" i="3"/>
  <c r="Z25" i="3"/>
  <c r="AA25" i="3"/>
  <c r="AB25" i="3"/>
  <c r="AC25" i="3"/>
  <c r="AD25" i="3"/>
  <c r="AE25" i="3"/>
  <c r="AF25" i="3"/>
  <c r="AG25" i="3"/>
  <c r="B24" i="3"/>
  <c r="B25" i="3"/>
  <c r="B26" i="3"/>
  <c r="B27" i="3"/>
  <c r="B28" i="3"/>
  <c r="B21" i="3"/>
  <c r="B22" i="3"/>
  <c r="B23" i="3"/>
  <c r="B19" i="3"/>
  <c r="B20" i="3"/>
  <c r="W16" i="3"/>
  <c r="AS16" i="3" s="1"/>
  <c r="W17" i="3"/>
  <c r="AS17" i="3" s="1"/>
  <c r="W18" i="3"/>
  <c r="AS18" i="3" s="1"/>
  <c r="AG18" i="3"/>
  <c r="AG17" i="3"/>
  <c r="AG16" i="3"/>
  <c r="AF18" i="3"/>
  <c r="AF17" i="3"/>
  <c r="AF16" i="3"/>
  <c r="AE18" i="3"/>
  <c r="AE17" i="3"/>
  <c r="AE16" i="3"/>
  <c r="AD18" i="3"/>
  <c r="AD17" i="3"/>
  <c r="AD16" i="3"/>
  <c r="AC18" i="3"/>
  <c r="AC17" i="3"/>
  <c r="AC16" i="3"/>
  <c r="AB18" i="3"/>
  <c r="AB17" i="3"/>
  <c r="AB16" i="3"/>
  <c r="AA18" i="3"/>
  <c r="AA17" i="3"/>
  <c r="AA16" i="3"/>
  <c r="Z18" i="3"/>
  <c r="Z17" i="3"/>
  <c r="Z16" i="3"/>
  <c r="BG28" i="3" l="1"/>
  <c r="AW28" i="3"/>
  <c r="AS48" i="3"/>
  <c r="AS49" i="3"/>
  <c r="BA27" i="3"/>
  <c r="AV27" i="3"/>
  <c r="AR53" i="3"/>
  <c r="AM52" i="3"/>
  <c r="O32" i="5"/>
  <c r="AM53" i="3"/>
  <c r="Z50" i="3"/>
  <c r="Z51" i="3"/>
  <c r="AR52" i="3"/>
  <c r="AR51" i="3"/>
  <c r="AR50" i="3"/>
  <c r="BH27" i="3"/>
  <c r="AW27" i="3"/>
  <c r="BD27" i="3"/>
  <c r="AY27" i="3"/>
  <c r="BE27" i="3"/>
  <c r="BB27" i="3"/>
  <c r="AX27" i="3"/>
  <c r="BG27" i="3"/>
  <c r="BC27" i="3"/>
  <c r="AM27" i="3"/>
  <c r="O24" i="5" s="1"/>
  <c r="AZ27" i="3"/>
  <c r="BF27" i="3"/>
  <c r="AM28" i="3"/>
  <c r="O25" i="5" s="1"/>
  <c r="BH28" i="3"/>
  <c r="AZ28" i="3"/>
  <c r="AX28" i="3"/>
  <c r="BA28" i="3"/>
  <c r="BD28" i="3"/>
  <c r="AY28" i="3"/>
  <c r="BB28" i="3"/>
  <c r="BE28" i="3"/>
  <c r="AP28" i="3"/>
  <c r="BF28" i="3"/>
  <c r="BC28" i="3"/>
  <c r="D22" i="5"/>
  <c r="D21" i="5"/>
  <c r="D20" i="5"/>
  <c r="D19" i="5"/>
  <c r="D18" i="5"/>
  <c r="D17" i="5"/>
  <c r="C14" i="5"/>
  <c r="AL17" i="3"/>
  <c r="D15" i="5"/>
  <c r="F13" i="5"/>
  <c r="G14" i="5"/>
  <c r="H15" i="5"/>
  <c r="J13" i="5"/>
  <c r="G22" i="5"/>
  <c r="C22" i="5"/>
  <c r="AL25" i="3"/>
  <c r="G21" i="5"/>
  <c r="C21" i="5"/>
  <c r="AL24" i="3"/>
  <c r="AV24" i="3" s="1"/>
  <c r="G20" i="5"/>
  <c r="C20" i="5"/>
  <c r="AL23" i="3"/>
  <c r="AV23" i="3" s="1"/>
  <c r="G19" i="5"/>
  <c r="C19" i="5"/>
  <c r="AL22" i="3"/>
  <c r="G18" i="5"/>
  <c r="C18" i="5"/>
  <c r="AL21" i="3"/>
  <c r="G17" i="5"/>
  <c r="C17" i="5"/>
  <c r="AL20" i="3"/>
  <c r="C23" i="5"/>
  <c r="AL26" i="3"/>
  <c r="D13" i="5"/>
  <c r="E14" i="5"/>
  <c r="F15" i="5"/>
  <c r="H13" i="5"/>
  <c r="I14" i="5"/>
  <c r="J15" i="5"/>
  <c r="I22" i="5"/>
  <c r="E22" i="5"/>
  <c r="I21" i="5"/>
  <c r="E21" i="5"/>
  <c r="I20" i="5"/>
  <c r="E20" i="5"/>
  <c r="I19" i="5"/>
  <c r="E19" i="5"/>
  <c r="I18" i="5"/>
  <c r="E18" i="5"/>
  <c r="I17" i="5"/>
  <c r="E17" i="5"/>
  <c r="C13" i="5"/>
  <c r="AL16" i="3"/>
  <c r="AV16" i="3" s="1"/>
  <c r="D14" i="5"/>
  <c r="E15" i="5"/>
  <c r="G13" i="5"/>
  <c r="H14" i="5"/>
  <c r="I15" i="5"/>
  <c r="H22" i="5"/>
  <c r="H21" i="5"/>
  <c r="H20" i="5"/>
  <c r="H19" i="5"/>
  <c r="H18" i="5"/>
  <c r="H17" i="5"/>
  <c r="C15" i="5"/>
  <c r="AL18" i="3"/>
  <c r="E13" i="5"/>
  <c r="F14" i="5"/>
  <c r="G15" i="5"/>
  <c r="I13" i="5"/>
  <c r="J14" i="5"/>
  <c r="J22" i="5"/>
  <c r="F22" i="5"/>
  <c r="J21" i="5"/>
  <c r="F21" i="5"/>
  <c r="J20" i="5"/>
  <c r="F20" i="5"/>
  <c r="J19" i="5"/>
  <c r="F19" i="5"/>
  <c r="J18" i="5"/>
  <c r="F18" i="5"/>
  <c r="J17" i="5"/>
  <c r="F17" i="5"/>
  <c r="AL19" i="3"/>
  <c r="C16" i="5"/>
  <c r="N4" i="5"/>
  <c r="K4" i="5"/>
  <c r="L4" i="5"/>
  <c r="M4" i="5"/>
  <c r="J4" i="5"/>
  <c r="H4" i="5"/>
  <c r="I4" i="5"/>
  <c r="D4" i="5"/>
  <c r="E4" i="5"/>
  <c r="F4" i="5"/>
  <c r="G4" i="5"/>
  <c r="C4" i="5"/>
  <c r="AN13" i="3"/>
  <c r="AV26" i="3" l="1"/>
  <c r="AL50" i="3"/>
  <c r="AW26" i="3"/>
  <c r="AW50" i="3" s="1"/>
  <c r="BA21" i="3"/>
  <c r="AV21" i="3"/>
  <c r="BA25" i="3"/>
  <c r="AV25" i="3"/>
  <c r="BA17" i="3"/>
  <c r="AV17" i="3"/>
  <c r="BA18" i="3"/>
  <c r="AV18" i="3"/>
  <c r="AV20" i="3"/>
  <c r="AM20" i="3"/>
  <c r="O17" i="5" s="1"/>
  <c r="AW19" i="3"/>
  <c r="AV19" i="3"/>
  <c r="AX22" i="3"/>
  <c r="AV22" i="3"/>
  <c r="BC22" i="3"/>
  <c r="BB16" i="3"/>
  <c r="BH16" i="3"/>
  <c r="AP26" i="3"/>
  <c r="AL51" i="3"/>
  <c r="BD22" i="3"/>
  <c r="AW20" i="3"/>
  <c r="BB22" i="3"/>
  <c r="BB24" i="3"/>
  <c r="AP24" i="3"/>
  <c r="AX23" i="3"/>
  <c r="AP23" i="3"/>
  <c r="BD17" i="3"/>
  <c r="BC17" i="3"/>
  <c r="AX17" i="3"/>
  <c r="BC21" i="3"/>
  <c r="AZ17" i="3"/>
  <c r="BB17" i="3"/>
  <c r="AY17" i="3"/>
  <c r="AY25" i="3"/>
  <c r="BD21" i="3"/>
  <c r="BB20" i="3"/>
  <c r="AX20" i="3"/>
  <c r="BD20" i="3"/>
  <c r="AY16" i="3"/>
  <c r="BD23" i="3"/>
  <c r="BC20" i="3"/>
  <c r="BC16" i="3"/>
  <c r="BA16" i="3"/>
  <c r="BB18" i="3"/>
  <c r="AZ25" i="3"/>
  <c r="BB25" i="3"/>
  <c r="AY22" i="3"/>
  <c r="BC24" i="3"/>
  <c r="BC25" i="3"/>
  <c r="AZ22" i="3"/>
  <c r="BD24" i="3"/>
  <c r="BD25" i="3"/>
  <c r="BC18" i="3"/>
  <c r="AY18" i="3"/>
  <c r="BC23" i="3"/>
  <c r="BA22" i="3"/>
  <c r="AW25" i="3"/>
  <c r="AW16" i="3"/>
  <c r="AW17" i="3"/>
  <c r="AM26" i="3"/>
  <c r="BE26" i="3"/>
  <c r="BB26" i="3"/>
  <c r="BD26" i="3"/>
  <c r="BC26" i="3"/>
  <c r="BA26" i="3"/>
  <c r="BG26" i="3"/>
  <c r="BH26" i="3"/>
  <c r="AX26" i="3"/>
  <c r="AY26" i="3"/>
  <c r="AZ26" i="3"/>
  <c r="BF26" i="3"/>
  <c r="BE20" i="3"/>
  <c r="BG20" i="3"/>
  <c r="BH20" i="3"/>
  <c r="BF20" i="3"/>
  <c r="AM21" i="3"/>
  <c r="O18" i="5" s="1"/>
  <c r="BE21" i="3"/>
  <c r="BH21" i="3"/>
  <c r="BF21" i="3"/>
  <c r="BG21" i="3"/>
  <c r="AM24" i="3"/>
  <c r="O21" i="5" s="1"/>
  <c r="BE24" i="3"/>
  <c r="BF24" i="3"/>
  <c r="BH24" i="3"/>
  <c r="BG24" i="3"/>
  <c r="BD18" i="3"/>
  <c r="AX16" i="3"/>
  <c r="AR13" i="3"/>
  <c r="AZ20" i="3"/>
  <c r="AZ21" i="3"/>
  <c r="AZ23" i="3"/>
  <c r="AZ24" i="3"/>
  <c r="BB21" i="3"/>
  <c r="BB23" i="3"/>
  <c r="AY20" i="3"/>
  <c r="AY21" i="3"/>
  <c r="AY23" i="3"/>
  <c r="AY24" i="3"/>
  <c r="AW21" i="3"/>
  <c r="AM22" i="3"/>
  <c r="O19" i="5" s="1"/>
  <c r="BE22" i="3"/>
  <c r="BG22" i="3"/>
  <c r="BH22" i="3"/>
  <c r="BF22" i="3"/>
  <c r="BA23" i="3"/>
  <c r="AW24" i="3"/>
  <c r="AM25" i="3"/>
  <c r="O22" i="5" s="1"/>
  <c r="BG25" i="3"/>
  <c r="BH25" i="3"/>
  <c r="BE25" i="3"/>
  <c r="BF25" i="3"/>
  <c r="AP17" i="3"/>
  <c r="AM17" i="3"/>
  <c r="O14" i="5" s="1"/>
  <c r="BE17" i="3"/>
  <c r="BG17" i="3"/>
  <c r="BH17" i="3"/>
  <c r="BF17" i="3"/>
  <c r="AX21" i="3"/>
  <c r="AX25" i="3"/>
  <c r="AM23" i="3"/>
  <c r="BE23" i="3"/>
  <c r="BG23" i="3"/>
  <c r="BF23" i="3"/>
  <c r="BH23" i="3"/>
  <c r="AX24" i="3"/>
  <c r="AP18" i="3"/>
  <c r="AM18" i="3"/>
  <c r="O15" i="5" s="1"/>
  <c r="BG18" i="3"/>
  <c r="BH18" i="3"/>
  <c r="BF18" i="3"/>
  <c r="BE18" i="3"/>
  <c r="AP16" i="3"/>
  <c r="AM16" i="3"/>
  <c r="BG16" i="3"/>
  <c r="BF16" i="3"/>
  <c r="BE16" i="3"/>
  <c r="AZ18" i="3"/>
  <c r="AW18" i="3"/>
  <c r="BA20" i="3"/>
  <c r="AW22" i="3"/>
  <c r="AW23" i="3"/>
  <c r="BA24" i="3"/>
  <c r="BD16" i="3"/>
  <c r="AZ16" i="3"/>
  <c r="AX18" i="3"/>
  <c r="AX19" i="3"/>
  <c r="BB19" i="3"/>
  <c r="BF19" i="3"/>
  <c r="AZ19" i="3"/>
  <c r="BA19" i="3"/>
  <c r="AY19" i="3"/>
  <c r="BC19" i="3"/>
  <c r="BG19" i="3"/>
  <c r="AM19" i="3"/>
  <c r="O16" i="5" s="1"/>
  <c r="BD19" i="3"/>
  <c r="BH19" i="3"/>
  <c r="BE19" i="3"/>
  <c r="AH9" i="3"/>
  <c r="K6" i="5" s="1"/>
  <c r="AH10" i="3"/>
  <c r="K7" i="5" s="1"/>
  <c r="AH11" i="3"/>
  <c r="K8" i="5" s="1"/>
  <c r="AH12" i="3"/>
  <c r="K9" i="5" s="1"/>
  <c r="AH13" i="3"/>
  <c r="K10" i="5" s="1"/>
  <c r="AH14" i="3"/>
  <c r="K11" i="5" s="1"/>
  <c r="AH15" i="3"/>
  <c r="AH8" i="3"/>
  <c r="AY51" i="3" l="1"/>
  <c r="AY50" i="3"/>
  <c r="BE50" i="3"/>
  <c r="BE51" i="3"/>
  <c r="BC51" i="3"/>
  <c r="BC50" i="3"/>
  <c r="BF50" i="3"/>
  <c r="BF51" i="3"/>
  <c r="BH50" i="3"/>
  <c r="BH51" i="3"/>
  <c r="BD50" i="3"/>
  <c r="BD51" i="3"/>
  <c r="BA50" i="3"/>
  <c r="BA51" i="3"/>
  <c r="AX50" i="3"/>
  <c r="AX51" i="3"/>
  <c r="AZ50" i="3"/>
  <c r="AZ51" i="3"/>
  <c r="BG51" i="3"/>
  <c r="BG50" i="3"/>
  <c r="BB50" i="3"/>
  <c r="BB51" i="3"/>
  <c r="AV50" i="3"/>
  <c r="AV51" i="3"/>
  <c r="AW51" i="3"/>
  <c r="O23" i="5"/>
  <c r="AM50" i="3"/>
  <c r="AM51" i="3"/>
  <c r="AP50" i="3"/>
  <c r="AP51" i="3"/>
  <c r="K12" i="5"/>
  <c r="AH49" i="3"/>
  <c r="AH48" i="3"/>
  <c r="O20" i="5"/>
  <c r="K5" i="5"/>
  <c r="O13" i="5"/>
  <c r="B16" i="3"/>
  <c r="B17" i="3"/>
  <c r="B18" i="3"/>
  <c r="AQ9" i="3" l="1"/>
  <c r="AQ10" i="3"/>
  <c r="AQ11" i="3"/>
  <c r="AQ12" i="3"/>
  <c r="AQ8" i="3"/>
  <c r="AN15" i="3"/>
  <c r="AN14" i="3"/>
  <c r="AO15" i="3"/>
  <c r="AO14" i="3"/>
  <c r="AO13" i="3"/>
  <c r="Z15" i="3"/>
  <c r="AA15" i="3"/>
  <c r="AB15" i="3"/>
  <c r="AC15" i="3"/>
  <c r="AD15" i="3"/>
  <c r="AE15" i="3"/>
  <c r="AF15" i="3"/>
  <c r="AG15" i="3"/>
  <c r="AI15" i="3"/>
  <c r="AJ15" i="3"/>
  <c r="AK15" i="3"/>
  <c r="AA14" i="3"/>
  <c r="AB14" i="3"/>
  <c r="AC14" i="3"/>
  <c r="AD14" i="3"/>
  <c r="AE14" i="3"/>
  <c r="AF14" i="3"/>
  <c r="AG14" i="3"/>
  <c r="AI14" i="3"/>
  <c r="AJ14" i="3"/>
  <c r="AK14" i="3"/>
  <c r="AA13" i="3"/>
  <c r="AB13" i="3"/>
  <c r="AC13" i="3"/>
  <c r="AD13" i="3"/>
  <c r="AE13" i="3"/>
  <c r="AF13" i="3"/>
  <c r="AG13" i="3"/>
  <c r="AI13" i="3"/>
  <c r="L10" i="5" s="1"/>
  <c r="AJ13" i="3"/>
  <c r="M10" i="5" s="1"/>
  <c r="AK13" i="3"/>
  <c r="N10" i="5" s="1"/>
  <c r="AA9" i="3"/>
  <c r="AB9" i="3"/>
  <c r="AC9" i="3"/>
  <c r="AD9" i="3"/>
  <c r="AE9" i="3"/>
  <c r="AF9" i="3"/>
  <c r="AG9" i="3"/>
  <c r="AI9" i="3"/>
  <c r="L6" i="5" s="1"/>
  <c r="AJ9" i="3"/>
  <c r="M6" i="5" s="1"/>
  <c r="AK9" i="3"/>
  <c r="N6" i="5" s="1"/>
  <c r="AA10" i="3"/>
  <c r="AB10" i="3"/>
  <c r="AC10" i="3"/>
  <c r="AD10" i="3"/>
  <c r="AE10" i="3"/>
  <c r="AF10" i="3"/>
  <c r="AG10" i="3"/>
  <c r="AI10" i="3"/>
  <c r="L7" i="5" s="1"/>
  <c r="AJ10" i="3"/>
  <c r="M7" i="5" s="1"/>
  <c r="AK10" i="3"/>
  <c r="N7" i="5" s="1"/>
  <c r="AA11" i="3"/>
  <c r="AB11" i="3"/>
  <c r="AC11" i="3"/>
  <c r="AD11" i="3"/>
  <c r="AE11" i="3"/>
  <c r="AF11" i="3"/>
  <c r="AG11" i="3"/>
  <c r="AI11" i="3"/>
  <c r="L8" i="5" s="1"/>
  <c r="AJ11" i="3"/>
  <c r="M8" i="5" s="1"/>
  <c r="AK11" i="3"/>
  <c r="N8" i="5" s="1"/>
  <c r="AA12" i="3"/>
  <c r="AB12" i="3"/>
  <c r="AC12" i="3"/>
  <c r="AD12" i="3"/>
  <c r="AE12" i="3"/>
  <c r="AF12" i="3"/>
  <c r="AG12" i="3"/>
  <c r="AI12" i="3"/>
  <c r="L9" i="5" s="1"/>
  <c r="AJ12" i="3"/>
  <c r="M9" i="5" s="1"/>
  <c r="AK12" i="3"/>
  <c r="N9" i="5" s="1"/>
  <c r="Z9" i="3"/>
  <c r="Z10" i="3"/>
  <c r="Z11" i="3"/>
  <c r="Z12" i="3"/>
  <c r="Z13" i="3"/>
  <c r="C10" i="5" s="1"/>
  <c r="Z14" i="3"/>
  <c r="C11" i="5" s="1"/>
  <c r="AA8" i="3"/>
  <c r="AB8" i="3"/>
  <c r="AC8" i="3"/>
  <c r="AD8" i="3"/>
  <c r="AE8" i="3"/>
  <c r="AF8" i="3"/>
  <c r="AG8" i="3"/>
  <c r="W12" i="3"/>
  <c r="AS12" i="3" s="1"/>
  <c r="W13" i="3"/>
  <c r="AS13" i="3" s="1"/>
  <c r="W14" i="3"/>
  <c r="AS14" i="3" s="1"/>
  <c r="B13" i="3"/>
  <c r="B14" i="3"/>
  <c r="B15" i="3"/>
  <c r="AK8" i="3"/>
  <c r="AJ8" i="3"/>
  <c r="AE49" i="3" l="1"/>
  <c r="AE48" i="3"/>
  <c r="AA49" i="3"/>
  <c r="AA48" i="3"/>
  <c r="AO49" i="3"/>
  <c r="AO48" i="3"/>
  <c r="AI48" i="3"/>
  <c r="AI49" i="3"/>
  <c r="C12" i="5"/>
  <c r="Z49" i="3"/>
  <c r="Z48" i="3"/>
  <c r="W48" i="3"/>
  <c r="W49" i="3"/>
  <c r="AG48" i="3"/>
  <c r="AG49" i="3"/>
  <c r="AC49" i="3"/>
  <c r="AC48" i="3"/>
  <c r="AR15" i="3"/>
  <c r="AN48" i="3"/>
  <c r="AN49" i="3"/>
  <c r="AJ48" i="3"/>
  <c r="AJ49" i="3"/>
  <c r="AD49" i="3"/>
  <c r="AD48" i="3"/>
  <c r="AK48" i="3"/>
  <c r="AK49" i="3"/>
  <c r="AF48" i="3"/>
  <c r="AF49" i="3"/>
  <c r="AB48" i="3"/>
  <c r="AB49" i="3"/>
  <c r="AQ15" i="3"/>
  <c r="N5" i="5"/>
  <c r="M5" i="5"/>
  <c r="AR14" i="3"/>
  <c r="G9" i="5"/>
  <c r="I8" i="5"/>
  <c r="G7" i="5"/>
  <c r="I6" i="5"/>
  <c r="N11" i="5"/>
  <c r="I11" i="5"/>
  <c r="L12" i="5"/>
  <c r="G12" i="5"/>
  <c r="J5" i="5"/>
  <c r="J9" i="5"/>
  <c r="F9" i="5"/>
  <c r="H8" i="5"/>
  <c r="J7" i="5"/>
  <c r="F7" i="5"/>
  <c r="H6" i="5"/>
  <c r="J10" i="5"/>
  <c r="M11" i="5"/>
  <c r="D11" i="5"/>
  <c r="F12" i="5"/>
  <c r="I5" i="5"/>
  <c r="E9" i="5"/>
  <c r="G8" i="5"/>
  <c r="G6" i="5"/>
  <c r="E10" i="5"/>
  <c r="N12" i="5"/>
  <c r="E12" i="5"/>
  <c r="G5" i="5"/>
  <c r="E8" i="5"/>
  <c r="E6" i="5"/>
  <c r="G10" i="5"/>
  <c r="E11" i="5"/>
  <c r="F5" i="5"/>
  <c r="D8" i="5"/>
  <c r="D6" i="5"/>
  <c r="F10" i="5"/>
  <c r="H11" i="5"/>
  <c r="J12" i="5"/>
  <c r="AQ13" i="3"/>
  <c r="E5" i="5"/>
  <c r="I9" i="5"/>
  <c r="I7" i="5"/>
  <c r="E7" i="5"/>
  <c r="I10" i="5"/>
  <c r="L11" i="5"/>
  <c r="G11" i="5"/>
  <c r="I12" i="5"/>
  <c r="AQ14" i="3"/>
  <c r="H5" i="5"/>
  <c r="D5" i="5"/>
  <c r="H9" i="5"/>
  <c r="D9" i="5"/>
  <c r="J8" i="5"/>
  <c r="F8" i="5"/>
  <c r="H7" i="5"/>
  <c r="D7" i="5"/>
  <c r="J6" i="5"/>
  <c r="F6" i="5"/>
  <c r="H10" i="5"/>
  <c r="D10" i="5"/>
  <c r="J11" i="5"/>
  <c r="F11" i="5"/>
  <c r="M12" i="5"/>
  <c r="H12" i="5"/>
  <c r="D12" i="5"/>
  <c r="AL14" i="3"/>
  <c r="AL13" i="3"/>
  <c r="AL15" i="3"/>
  <c r="AV15" i="3" s="1"/>
  <c r="AL9" i="3"/>
  <c r="AV9" i="3" s="1"/>
  <c r="AL12" i="3"/>
  <c r="AL11" i="3"/>
  <c r="AL10" i="3"/>
  <c r="AI8" i="3"/>
  <c r="W11" i="3"/>
  <c r="AS11" i="3" s="1"/>
  <c r="W10" i="3"/>
  <c r="AS10" i="3" s="1"/>
  <c r="W9" i="3"/>
  <c r="AS9" i="3" s="1"/>
  <c r="BD13" i="3" l="1"/>
  <c r="AV13" i="3"/>
  <c r="BA12" i="3"/>
  <c r="AV12" i="3"/>
  <c r="BA11" i="3"/>
  <c r="AV11" i="3"/>
  <c r="BH14" i="3"/>
  <c r="AV14" i="3"/>
  <c r="BB10" i="3"/>
  <c r="AV10" i="3"/>
  <c r="AV49" i="3"/>
  <c r="AV48" i="3"/>
  <c r="AR48" i="3"/>
  <c r="AR49" i="3"/>
  <c r="AQ48" i="3"/>
  <c r="AQ49" i="3"/>
  <c r="BF15" i="3"/>
  <c r="AL49" i="3"/>
  <c r="AL48" i="3"/>
  <c r="AZ15" i="3"/>
  <c r="BG15" i="3"/>
  <c r="AX15" i="3"/>
  <c r="AX48" i="3" s="1"/>
  <c r="AY11" i="3"/>
  <c r="BA13" i="3"/>
  <c r="AZ14" i="3"/>
  <c r="BC13" i="3"/>
  <c r="BB14" i="3"/>
  <c r="AY13" i="3"/>
  <c r="AZ12" i="3"/>
  <c r="BA15" i="3"/>
  <c r="BC11" i="3"/>
  <c r="BD14" i="3"/>
  <c r="L5" i="5"/>
  <c r="BB12" i="3"/>
  <c r="BC14" i="3"/>
  <c r="BB13" i="3"/>
  <c r="AX12" i="3"/>
  <c r="BA14" i="3"/>
  <c r="AY15" i="3"/>
  <c r="BG14" i="3"/>
  <c r="BD11" i="3"/>
  <c r="BD10" i="3"/>
  <c r="BE9" i="3"/>
  <c r="BD9" i="3"/>
  <c r="AP10" i="3"/>
  <c r="BE10" i="3"/>
  <c r="BC10" i="3"/>
  <c r="AP11" i="3"/>
  <c r="BE11" i="3"/>
  <c r="BB15" i="3"/>
  <c r="AX13" i="3"/>
  <c r="BD15" i="3"/>
  <c r="AZ13" i="3"/>
  <c r="AX11" i="3"/>
  <c r="AY14" i="3"/>
  <c r="AY9" i="3"/>
  <c r="BH15" i="3"/>
  <c r="BA9" i="3"/>
  <c r="AY12" i="3"/>
  <c r="AX14" i="3"/>
  <c r="AZ10" i="3"/>
  <c r="BB11" i="3"/>
  <c r="BD12" i="3"/>
  <c r="BA10" i="3"/>
  <c r="AX9" i="3"/>
  <c r="BB9" i="3"/>
  <c r="BC9" i="3"/>
  <c r="AP15" i="3"/>
  <c r="BE15" i="3"/>
  <c r="AW13" i="3"/>
  <c r="BE13" i="3"/>
  <c r="AZ9" i="3"/>
  <c r="AX10" i="3"/>
  <c r="AZ11" i="3"/>
  <c r="BE12" i="3"/>
  <c r="AW14" i="3"/>
  <c r="BE14" i="3"/>
  <c r="BC15" i="3"/>
  <c r="BF14" i="3"/>
  <c r="AY10" i="3"/>
  <c r="BC12" i="3"/>
  <c r="AP14" i="3"/>
  <c r="AP12" i="3"/>
  <c r="AP9" i="3"/>
  <c r="BG13" i="3"/>
  <c r="AP13" i="3"/>
  <c r="BH13" i="3"/>
  <c r="BF13" i="3"/>
  <c r="AW15" i="3"/>
  <c r="BG9" i="3"/>
  <c r="BH9" i="3"/>
  <c r="BF9" i="3"/>
  <c r="BH12" i="3"/>
  <c r="BF12" i="3"/>
  <c r="BG12" i="3"/>
  <c r="BG10" i="3"/>
  <c r="BH10" i="3"/>
  <c r="BF10" i="3"/>
  <c r="BH11" i="3"/>
  <c r="BF11" i="3"/>
  <c r="BG11" i="3"/>
  <c r="BD49" i="3" l="1"/>
  <c r="BD48" i="3"/>
  <c r="AZ49" i="3"/>
  <c r="AZ48" i="3"/>
  <c r="AY48" i="3"/>
  <c r="AY49" i="3"/>
  <c r="BC48" i="3"/>
  <c r="BC49" i="3"/>
  <c r="BB48" i="3"/>
  <c r="BB49" i="3"/>
  <c r="BA48" i="3"/>
  <c r="BA49" i="3"/>
  <c r="AX49" i="3"/>
  <c r="BE48" i="3"/>
  <c r="BE49" i="3"/>
  <c r="BH49" i="3"/>
  <c r="BH48" i="3"/>
  <c r="BG48" i="3"/>
  <c r="BG49" i="3"/>
  <c r="BF48" i="3"/>
  <c r="BF49" i="3"/>
  <c r="AP49" i="3"/>
  <c r="AP48" i="3"/>
  <c r="AW48" i="3"/>
  <c r="AW49" i="3"/>
  <c r="C9" i="5" l="1"/>
  <c r="C8" i="5"/>
  <c r="B11" i="3"/>
  <c r="B12" i="3"/>
  <c r="AW11" i="3" l="1"/>
  <c r="AW12" i="3"/>
  <c r="C6" i="5" l="1"/>
  <c r="C7" i="5"/>
  <c r="Z8" i="3"/>
  <c r="AL8" i="3" s="1"/>
  <c r="AV8" i="3" s="1"/>
  <c r="C5" i="5" l="1"/>
  <c r="BE8" i="3" l="1"/>
  <c r="BC8" i="3"/>
  <c r="AZ8" i="3"/>
  <c r="BB8" i="3"/>
  <c r="BA8" i="3"/>
  <c r="AX8" i="3"/>
  <c r="AY8" i="3"/>
  <c r="BD8" i="3"/>
  <c r="AW8" i="3"/>
  <c r="AP8" i="3"/>
  <c r="BH8" i="3"/>
  <c r="BF8" i="3"/>
  <c r="BG8" i="3"/>
  <c r="AM9" i="3" l="1"/>
  <c r="AM13" i="3"/>
  <c r="O10" i="5" s="1"/>
  <c r="AM14" i="3"/>
  <c r="O11" i="5" s="1"/>
  <c r="AM15" i="3"/>
  <c r="AM12" i="3"/>
  <c r="O9" i="5" s="1"/>
  <c r="AM10" i="3"/>
  <c r="AM8" i="3"/>
  <c r="Y7" i="3"/>
  <c r="B10" i="3"/>
  <c r="O12" i="5" l="1"/>
  <c r="AM49" i="3"/>
  <c r="AM48" i="3"/>
  <c r="O8" i="5"/>
  <c r="O6" i="5"/>
  <c r="O7" i="5"/>
  <c r="O5" i="5"/>
  <c r="B9" i="3" l="1"/>
  <c r="B8" i="3"/>
  <c r="C8" i="3" s="1"/>
  <c r="Y8" i="3" s="1"/>
  <c r="B5" i="5" l="1"/>
  <c r="C9" i="3"/>
  <c r="Y9" i="3" l="1"/>
  <c r="C10" i="3"/>
  <c r="C11" i="3" s="1"/>
  <c r="AW10" i="3"/>
  <c r="AW9" i="3"/>
  <c r="B6" i="5" l="1"/>
  <c r="C12" i="3"/>
  <c r="Y11" i="3"/>
  <c r="B8" i="5" s="1"/>
  <c r="Y10" i="3"/>
  <c r="B7" i="5" s="1"/>
  <c r="Y12" i="3" l="1"/>
  <c r="B9" i="5" s="1"/>
  <c r="C13" i="3"/>
  <c r="C14" i="3" l="1"/>
  <c r="Y13" i="3"/>
  <c r="B10" i="5" s="1"/>
  <c r="C15" i="3" l="1"/>
  <c r="Y14" i="3"/>
  <c r="B11" i="5" s="1"/>
  <c r="Y15" i="3" l="1"/>
  <c r="C16" i="3"/>
  <c r="B12" i="5" l="1"/>
  <c r="C17" i="3"/>
  <c r="Y16" i="3"/>
  <c r="B13" i="5" l="1"/>
  <c r="C18" i="3"/>
  <c r="Y17" i="3"/>
  <c r="B14" i="5" l="1"/>
  <c r="Y18" i="3"/>
  <c r="B15" i="5" s="1"/>
  <c r="C19" i="3"/>
  <c r="Y19" i="3" l="1"/>
  <c r="Y48" i="3" s="1"/>
  <c r="C20" i="3"/>
  <c r="Y49" i="3" l="1"/>
  <c r="Y20" i="3"/>
  <c r="C21" i="3"/>
  <c r="B16" i="5"/>
  <c r="Y21" i="3" l="1"/>
  <c r="B18" i="5" s="1"/>
  <c r="C22" i="3"/>
  <c r="B17" i="5"/>
  <c r="Y22" i="3" l="1"/>
  <c r="B19" i="5" s="1"/>
  <c r="C23" i="3"/>
  <c r="Y23" i="3" l="1"/>
  <c r="B20" i="5" s="1"/>
  <c r="C24" i="3"/>
  <c r="C25" i="3" l="1"/>
  <c r="Y24" i="3"/>
  <c r="B21" i="5" s="1"/>
  <c r="C26" i="3" l="1"/>
  <c r="Y25" i="3"/>
  <c r="B22" i="5" s="1"/>
  <c r="C27" i="3" l="1"/>
  <c r="Y26" i="3"/>
  <c r="B23" i="5" l="1"/>
  <c r="C28" i="3"/>
  <c r="Y27" i="3"/>
  <c r="B24" i="5" s="1"/>
  <c r="C29" i="3" l="1"/>
  <c r="Y28" i="3"/>
  <c r="B25" i="5" l="1"/>
  <c r="C30" i="3"/>
  <c r="Y30" i="3" s="1"/>
  <c r="Y29" i="3"/>
  <c r="B26" i="5" s="1"/>
  <c r="C31" i="3" l="1"/>
  <c r="B27" i="5"/>
  <c r="C32" i="3" l="1"/>
  <c r="Y31" i="3"/>
  <c r="B28" i="5" l="1"/>
  <c r="C33" i="3"/>
  <c r="Y32" i="3"/>
  <c r="B29" i="5" s="1"/>
  <c r="Y33" i="3" l="1"/>
  <c r="C34" i="3"/>
  <c r="B30" i="5" l="1"/>
  <c r="Y50" i="3"/>
  <c r="Y51" i="3"/>
  <c r="C35" i="3"/>
  <c r="Y34" i="3"/>
  <c r="B31" i="5" s="1"/>
  <c r="C36" i="3" l="1"/>
  <c r="Y35" i="3"/>
  <c r="C37" i="3" l="1"/>
  <c r="Y36" i="3"/>
  <c r="B32" i="5" l="1"/>
  <c r="C38" i="3"/>
  <c r="Y37" i="3"/>
  <c r="B33" i="5" s="1"/>
  <c r="C39" i="3" l="1"/>
  <c r="Y38" i="3"/>
  <c r="B34" i="5" l="1"/>
  <c r="C40" i="3"/>
  <c r="Y39" i="3"/>
  <c r="B35" i="5" s="1"/>
  <c r="C41" i="3" l="1"/>
  <c r="Y41" i="3" s="1"/>
  <c r="B36" i="5" s="1"/>
  <c r="Y40" i="3"/>
  <c r="Y52" i="3" l="1"/>
  <c r="Y53" i="3"/>
</calcChain>
</file>

<file path=xl/sharedStrings.xml><?xml version="1.0" encoding="utf-8"?>
<sst xmlns="http://schemas.openxmlformats.org/spreadsheetml/2006/main" count="284" uniqueCount="97">
  <si>
    <t>Date</t>
  </si>
  <si>
    <t>Time</t>
  </si>
  <si>
    <t>Days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</si>
  <si>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</si>
  <si>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</si>
  <si>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</si>
  <si>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</si>
  <si>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</si>
  <si>
    <t>VFAs</t>
  </si>
  <si>
    <t>C2</t>
  </si>
  <si>
    <t>C3</t>
  </si>
  <si>
    <t>IC4</t>
  </si>
  <si>
    <t>C4</t>
  </si>
  <si>
    <t>IC5</t>
  </si>
  <si>
    <t>Acétate</t>
  </si>
  <si>
    <t>1,3-propanediol</t>
  </si>
  <si>
    <t>Propionate</t>
  </si>
  <si>
    <t>isobutyrate</t>
  </si>
  <si>
    <t>Ethanol</t>
  </si>
  <si>
    <t>Butyrate</t>
  </si>
  <si>
    <t>isovalérate</t>
  </si>
  <si>
    <t>Butanol</t>
  </si>
  <si>
    <t>H2</t>
  </si>
  <si>
    <t>Caproate</t>
  </si>
  <si>
    <t xml:space="preserve">C2 </t>
  </si>
  <si>
    <t>headpsace</t>
  </si>
  <si>
    <t>VFAs-COD</t>
  </si>
  <si>
    <t>COD-VFAs</t>
  </si>
  <si>
    <t>Total</t>
  </si>
  <si>
    <t>Profile (%COD)</t>
  </si>
  <si>
    <t>g COD</t>
  </si>
  <si>
    <t>COD-VFAs/CODin</t>
  </si>
  <si>
    <t>L</t>
  </si>
  <si>
    <t>F5 -37.5C</t>
  </si>
  <si>
    <t>C5</t>
  </si>
  <si>
    <t>C6</t>
  </si>
  <si>
    <t>Composé</t>
  </si>
  <si>
    <t>Lactose</t>
  </si>
  <si>
    <t>Glucose</t>
  </si>
  <si>
    <t>Xylose</t>
  </si>
  <si>
    <t>Fructose</t>
  </si>
  <si>
    <t>Arabinose</t>
  </si>
  <si>
    <t>Succinate</t>
  </si>
  <si>
    <t>Lactate</t>
  </si>
  <si>
    <t>Formate</t>
  </si>
  <si>
    <t>gDCO/g</t>
  </si>
  <si>
    <t>EtOH</t>
  </si>
  <si>
    <t>IC6</t>
  </si>
  <si>
    <t>VFAs-COD/sCOD</t>
  </si>
  <si>
    <t>sCOD (g/L)</t>
  </si>
  <si>
    <t>tCOD (g/L)</t>
  </si>
  <si>
    <t>sCOD/tCOD</t>
  </si>
  <si>
    <t>VS/L</t>
  </si>
  <si>
    <t>g COD/L</t>
  </si>
  <si>
    <t>(%) COD-VFAs/CODin</t>
  </si>
  <si>
    <t>OLR30</t>
  </si>
  <si>
    <t>OLR45</t>
  </si>
  <si>
    <t>Stage I</t>
  </si>
  <si>
    <t>OLR 30</t>
  </si>
  <si>
    <t>COD removal (%)</t>
  </si>
  <si>
    <t>10,64</t>
  </si>
  <si>
    <t>9,7</t>
  </si>
  <si>
    <t>Stage II</t>
  </si>
  <si>
    <t>Stage III</t>
  </si>
  <si>
    <t>CO2</t>
  </si>
  <si>
    <t>O2</t>
  </si>
  <si>
    <t>N2</t>
  </si>
  <si>
    <t>CH4</t>
  </si>
  <si>
    <t>OLR60</t>
  </si>
  <si>
    <t>higher Q</t>
  </si>
  <si>
    <t>CODin - I</t>
  </si>
  <si>
    <t>CODin - II</t>
  </si>
  <si>
    <t>CODin - III</t>
  </si>
  <si>
    <t>OLR 45</t>
  </si>
  <si>
    <t>OLR 60</t>
  </si>
  <si>
    <t>error</t>
  </si>
  <si>
    <t>(%) COD-met/CODin</t>
  </si>
  <si>
    <t>Profile</t>
  </si>
  <si>
    <t>Production</t>
  </si>
  <si>
    <t>CO2 (%v/v)</t>
  </si>
  <si>
    <t>H2 (%v/v)</t>
  </si>
  <si>
    <t>CH4 (%v/v)</t>
  </si>
  <si>
    <t>g VS in</t>
  </si>
  <si>
    <t>g met/g Vsin</t>
  </si>
  <si>
    <t>g COD-met/Ld</t>
  </si>
  <si>
    <t>g VFAs/g VS</t>
  </si>
  <si>
    <t>Total met</t>
  </si>
  <si>
    <t>Total VFAs</t>
  </si>
  <si>
    <t>g VFAs/gVS</t>
  </si>
  <si>
    <t>g TS in</t>
  </si>
  <si>
    <t>g VFAs/g Tsin</t>
  </si>
  <si>
    <t>g VFAs/gTS</t>
  </si>
  <si>
    <t>OLR 30 g VS/Ld</t>
  </si>
  <si>
    <t>OLR 45 g VS/Ld</t>
  </si>
  <si>
    <t>OLR 60 g VS/Ld</t>
  </si>
  <si>
    <t>Average and
standard deviation</t>
  </si>
  <si>
    <t>STATIONARY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</si>
</sst>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14" fontId="0" fillId="0" borderId="0" xfId="0" applyNumberFormat="1"/>
    <xf numFmtId="164" fontId="0" fillId="6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20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6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7" borderId="0" xfId="0" applyFill="1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" fontId="0" fillId="8" borderId="0" xfId="0" applyNumberFormat="1" applyFill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5" fillId="0" borderId="0" xfId="0" applyFont="1" applyAlignment="1">
      <alignment horizontal="center" vertical="center" textRotation="90"/>
    </xf>
    <xf numFmtId="0" fontId="1" fillId="9" borderId="0" xfId="0" applyFont="1" applyFill="1" applyAlignment="1">
      <alignment horizontal="center" vertical="center" textRotation="90" wrapText="1"/>
    </xf>
    <xf numFmtId="0" fontId="3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'1. DF_continuous_pH7_2'!$BG$4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DF_continuous_pH7_2'!$AR$8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DF_continuous_pH7_2'!$AR$8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28.963072616444965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FF7-4F5F-8CE6-7C2DAFD0E992}"/>
            </c:ext>
          </c:extLst>
        </c:ser>
        <c:ser>
          <c:idx val="1"/>
          <c:order val="1"/>
          <c:tx>
            <c:strRef>
              <c:f>'1. DF_continuous_pH7_2'!$BH$4</c:f>
              <c:strCache>
                <c:ptCount val="1"/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DF_continuous_pH7_2'!$AS$8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DF_continuous_pH7_2'!$AS$8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13.914743455497359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FF7-4F5F-8CE6-7C2DAFD0E992}"/>
            </c:ext>
          </c:extLst>
        </c:ser>
        <c:ser>
          <c:idx val="2"/>
          <c:order val="2"/>
          <c:tx>
            <c:strRef>
              <c:f>'1. DF_continuous_pH7_2'!$BI$4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DF_continuous_pH7_2'!$AT$8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DF_continuous_pH7_2'!$AT$8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0.79804820859690584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FF7-4F5F-8CE6-7C2DAFD0E992}"/>
            </c:ext>
          </c:extLst>
        </c:ser>
        <c:ser>
          <c:idx val="3"/>
          <c:order val="3"/>
          <c:tx>
            <c:strRef>
              <c:f>'1. DF_continuous_pH7_2'!$BJ$4</c:f>
              <c:strCache>
                <c:ptCount val="1"/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DF_continuous_pH7_2'!$AU$8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DF_continuous_pH7_2'!$AU$8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28.546945419133824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FF7-4F5F-8CE6-7C2DAFD0E992}"/>
            </c:ext>
          </c:extLst>
        </c:ser>
        <c:ser>
          <c:idx val="4"/>
          <c:order val="4"/>
          <c:tx>
            <c:strRef>
              <c:f>'1. DF_continuous_pH7_2'!$BK$4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Profile!#REF!</c:f>
              <c:numCache>
                <c:formatCode>0.00</c:formatCode>
                <c:ptCount val="1"/>
                <c:pt idx="0">
                  <c:v>0.89024460188264132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FF7-4F5F-8CE6-7C2DAFD0E992}"/>
            </c:ext>
          </c:extLst>
        </c:ser>
        <c:ser>
          <c:idx val="5"/>
          <c:order val="5"/>
          <c:tx>
            <c:strRef>
              <c:f>'1. DF_continuous_pH7_2'!$BL$4</c:f>
              <c:strCache>
                <c:ptCount val="1"/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DF_continuous_pH7_2'!$AW$8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DF_continuous_pH7_2'!$AW$8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3.362041599379741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FF7-4F5F-8CE6-7C2DAFD0E992}"/>
            </c:ext>
          </c:extLst>
        </c:ser>
        <c:ser>
          <c:idx val="6"/>
          <c:order val="6"/>
          <c:tx>
            <c:strRef>
              <c:f>'1. DF_continuous_pH7_2'!$BM$4</c:f>
              <c:strCache>
                <c:ptCount val="1"/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Profile!#REF!</c:f>
              <c:numCache>
                <c:formatCode>0.00</c:formatCode>
                <c:ptCount val="1"/>
                <c:pt idx="0">
                  <c:v>0.13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FF7-4F5F-8CE6-7C2DAFD0E992}"/>
            </c:ext>
          </c:extLst>
        </c:ser>
        <c:ser>
          <c:idx val="7"/>
          <c:order val="7"/>
          <c:tx>
            <c:strRef>
              <c:f>'1. DF_continuous_pH7_2'!$BN$4</c:f>
              <c:strCache>
                <c:ptCount val="1"/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DF_continuous_pH7_2'!$AY$8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DF_continuous_pH7_2'!$AY$8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4.4342113277894128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FF7-4F5F-8CE6-7C2DAFD0E992}"/>
            </c:ext>
          </c:extLst>
        </c:ser>
        <c:ser>
          <c:idx val="8"/>
          <c:order val="8"/>
          <c:tx>
            <c:strRef>
              <c:f>'1. DF_continuous_pH7_2'!$BO$4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DF_continuous_pH7_2'!$AZ$8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DF_continuous_pH7_2'!$AZ$8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4.0724570243887541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FF7-4F5F-8CE6-7C2DAFD0E992}"/>
            </c:ext>
          </c:extLst>
        </c:ser>
        <c:ser>
          <c:idx val="9"/>
          <c:order val="9"/>
          <c:tx>
            <c:strRef>
              <c:f>'1. DF_continuous_pH7_2'!$BP$4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DF_continuous_pH7_2'!$BA$8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DF_continuous_pH7_2'!$BA$8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7.9438978822918411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FF7-4F5F-8CE6-7C2DAFD0E992}"/>
            </c:ext>
          </c:extLst>
        </c:ser>
        <c:ser>
          <c:idx val="10"/>
          <c:order val="10"/>
          <c:tx>
            <c:strRef>
              <c:f>'1. DF_continuous_pH7_2'!$BQ$4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DF_continuous_pH7_2'!$BB$8</c:f>
                <c:numCache>
                  <c:formatCode>General</c:formatCode>
                  <c:ptCount val="1"/>
                </c:numCache>
              </c:numRef>
            </c:plus>
            <c:minus>
              <c:numRef>
                <c:f>'1. DF_continuous_pH7_2'!$BB$8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Profile!#REF!</c:f>
              <c:numCache>
                <c:formatCode>0.00</c:formatCode>
                <c:ptCount val="1"/>
                <c:pt idx="0">
                  <c:v>6.9480164090152217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FF7-4F5F-8CE6-7C2DAFD0E992}"/>
            </c:ext>
          </c:extLst>
        </c:ser>
        <c:ser>
          <c:idx val="11"/>
          <c:order val="11"/>
          <c:tx>
            <c:strRef>
              <c:f>'1. DF_continuous_pH7_2'!$BR$4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Profile!#REF!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Profile!#REF!</c15:sqref>
                        </c15:formulaRef>
                      </c:ext>
                    </c:extLst>
                    <c:strCache>
                      <c:ptCount val="1"/>
                      <c:pt idx="0">
                        <c:v>OLR 30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FF7-4F5F-8CE6-7C2DAFD0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789799808"/>
        <c:axId val="789800224"/>
      </c:barChart>
      <c:catAx>
        <c:axId val="7897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789800224"/>
        <c:crosses val="autoZero"/>
        <c:auto val="1"/>
        <c:lblAlgn val="ctr"/>
        <c:lblOffset val="100"/>
        <c:noMultiLvlLbl val="0"/>
      </c:catAx>
      <c:valAx>
        <c:axId val="7898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7897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</a:rPr>
              <a:t>pH 7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074242854396291"/>
          <c:y val="8.6562137847952247E-2"/>
          <c:w val="0.80275963174992482"/>
          <c:h val="0.6875458630498413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'1. DF_continuous_pH7_2'!$D$3</c:f>
              <c:strCache>
                <c:ptCount val="1"/>
                <c:pt idx="0">
                  <c:v>C2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DF_continuous_pH7_2'!$Q$4:$Q$6</c:f>
                <c:numCache>
                  <c:formatCode>General</c:formatCode>
                  <c:ptCount val="3"/>
                  <c:pt idx="0">
                    <c:v>2.8426724055883588</c:v>
                  </c:pt>
                  <c:pt idx="1">
                    <c:v>1.6377375086470969</c:v>
                  </c:pt>
                  <c:pt idx="2">
                    <c:v>2.075347045066644</c:v>
                  </c:pt>
                </c:numCache>
              </c:numRef>
            </c:plus>
            <c:minus>
              <c:numRef>
                <c:f>'1. DF_continuous_pH7_2'!$Q$4:$Q$6</c:f>
                <c:numCache>
                  <c:formatCode>General</c:formatCode>
                  <c:ptCount val="3"/>
                  <c:pt idx="0">
                    <c:v>2.8426724055883588</c:v>
                  </c:pt>
                  <c:pt idx="1">
                    <c:v>1.6377375086470969</c:v>
                  </c:pt>
                  <c:pt idx="2">
                    <c:v>2.075347045066644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DF_continuous_pH7_2'!$D$4:$D$6</c:f>
              <c:numCache>
                <c:formatCode>0.000</c:formatCode>
                <c:ptCount val="3"/>
                <c:pt idx="0">
                  <c:v>29.729239631760485</c:v>
                </c:pt>
                <c:pt idx="1">
                  <c:v>30.708523864861199</c:v>
                </c:pt>
                <c:pt idx="2">
                  <c:v>26.781091322200346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2-4970-A939-53984AF27C40}"/>
            </c:ext>
          </c:extLst>
        </c:ser>
        <c:ser>
          <c:idx val="1"/>
          <c:order val="1"/>
          <c:tx>
            <c:strRef>
              <c:f>'1. DF_continuous_pH7_2'!$E$3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DF_continuous_pH7_2'!$R$4:$R$6</c:f>
                <c:numCache>
                  <c:formatCode>General</c:formatCode>
                  <c:ptCount val="3"/>
                  <c:pt idx="0">
                    <c:v>3.2259382230317866</c:v>
                  </c:pt>
                  <c:pt idx="1">
                    <c:v>3.8772295459245263</c:v>
                  </c:pt>
                  <c:pt idx="2">
                    <c:v>2.3045420648047381</c:v>
                  </c:pt>
                </c:numCache>
              </c:numRef>
            </c:plus>
            <c:minus>
              <c:numRef>
                <c:f>'1. DF_continuous_pH7_2'!$R$4:$R$6</c:f>
                <c:numCache>
                  <c:formatCode>General</c:formatCode>
                  <c:ptCount val="3"/>
                  <c:pt idx="0">
                    <c:v>3.2259382230317866</c:v>
                  </c:pt>
                  <c:pt idx="1">
                    <c:v>3.8772295459245263</c:v>
                  </c:pt>
                  <c:pt idx="2">
                    <c:v>2.3045420648047381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DF_continuous_pH7_2'!$E$4:$E$6</c:f>
              <c:numCache>
                <c:formatCode>0.000</c:formatCode>
                <c:ptCount val="3"/>
                <c:pt idx="0">
                  <c:v>14.771800110606886</c:v>
                </c:pt>
                <c:pt idx="1">
                  <c:v>13.384434103290893</c:v>
                </c:pt>
                <c:pt idx="2">
                  <c:v>10.106574786520074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2-4970-A939-53984AF27C40}"/>
            </c:ext>
          </c:extLst>
        </c:ser>
        <c:ser>
          <c:idx val="2"/>
          <c:order val="2"/>
          <c:tx>
            <c:strRef>
              <c:f>'1. DF_continuous_pH7_2'!$F$3</c:f>
              <c:strCache>
                <c:ptCount val="1"/>
                <c:pt idx="0">
                  <c:v>IC4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DF_continuous_pH7_2'!$F$4:$F$6</c:f>
              <c:numCache>
                <c:formatCode>0.000</c:formatCode>
                <c:ptCount val="3"/>
                <c:pt idx="0">
                  <c:v>0.81697135319324321</c:v>
                </c:pt>
                <c:pt idx="1">
                  <c:v>0.74546910260878085</c:v>
                </c:pt>
                <c:pt idx="2">
                  <c:v>0.37065305124595166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2-4970-A939-53984AF27C40}"/>
            </c:ext>
          </c:extLst>
        </c:ser>
        <c:ser>
          <c:idx val="3"/>
          <c:order val="3"/>
          <c:tx>
            <c:strRef>
              <c:f>'1. DF_continuous_pH7_2'!$G$3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DF_continuous_pH7_2'!$T$4:$T$6</c:f>
                <c:numCache>
                  <c:formatCode>General</c:formatCode>
                  <c:ptCount val="3"/>
                  <c:pt idx="0">
                    <c:v>5.2245335042606937</c:v>
                  </c:pt>
                  <c:pt idx="1">
                    <c:v>4.5339548116474866</c:v>
                  </c:pt>
                  <c:pt idx="2">
                    <c:v>1.1532527552164744</c:v>
                  </c:pt>
                </c:numCache>
              </c:numRef>
            </c:plus>
            <c:minus>
              <c:numRef>
                <c:f>'1. DF_continuous_pH7_2'!$T$4:$T$6</c:f>
                <c:numCache>
                  <c:formatCode>General</c:formatCode>
                  <c:ptCount val="3"/>
                  <c:pt idx="0">
                    <c:v>5.2245335042606937</c:v>
                  </c:pt>
                  <c:pt idx="1">
                    <c:v>4.5339548116474866</c:v>
                  </c:pt>
                  <c:pt idx="2">
                    <c:v>1.1532527552164744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DF_continuous_pH7_2'!$G$4:$G$6</c:f>
              <c:numCache>
                <c:formatCode>0.000</c:formatCode>
                <c:ptCount val="3"/>
                <c:pt idx="0">
                  <c:v>25.4801559621772</c:v>
                </c:pt>
                <c:pt idx="1">
                  <c:v>13.690620104381324</c:v>
                </c:pt>
                <c:pt idx="2">
                  <c:v>8.2909493461485564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2-4970-A939-53984AF27C40}"/>
            </c:ext>
          </c:extLst>
        </c:ser>
        <c:ser>
          <c:idx val="4"/>
          <c:order val="4"/>
          <c:tx>
            <c:strRef>
              <c:f>'1. DF_continuous_pH7_2'!$H$3</c:f>
              <c:strCache>
                <c:ptCount val="1"/>
                <c:pt idx="0">
                  <c:v>IC5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DF_continuous_pH7_2'!$H$4:$H$6</c:f>
              <c:numCache>
                <c:formatCode>0.000</c:formatCode>
                <c:ptCount val="3"/>
                <c:pt idx="0">
                  <c:v>0.91008856355844503</c:v>
                </c:pt>
                <c:pt idx="1">
                  <c:v>0.4733852017486222</c:v>
                </c:pt>
                <c:pt idx="2">
                  <c:v>0.18480220440114953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2-4970-A939-53984AF27C40}"/>
            </c:ext>
          </c:extLst>
        </c:ser>
        <c:ser>
          <c:idx val="5"/>
          <c:order val="5"/>
          <c:tx>
            <c:strRef>
              <c:f>'1. DF_continuous_pH7_2'!$I$3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DF_continuous_pH7_2'!$I$4:$I$6</c:f>
              <c:numCache>
                <c:formatCode>0.000</c:formatCode>
                <c:ptCount val="3"/>
                <c:pt idx="0">
                  <c:v>2.8997696149694367</c:v>
                </c:pt>
                <c:pt idx="1">
                  <c:v>3.4186126782786124</c:v>
                </c:pt>
                <c:pt idx="2">
                  <c:v>1.6168508955365273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2-4970-A939-53984AF27C40}"/>
            </c:ext>
          </c:extLst>
        </c:ser>
        <c:ser>
          <c:idx val="6"/>
          <c:order val="6"/>
          <c:tx>
            <c:strRef>
              <c:f>'1. DF_continuous_pH7_2'!$J$3</c:f>
              <c:strCache>
                <c:ptCount val="1"/>
                <c:pt idx="0">
                  <c:v>IC6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DF_continuous_pH7_2'!$J$4:$J$6</c:f>
              <c:numCache>
                <c:formatCode>0.000</c:formatCode>
                <c:ptCount val="3"/>
                <c:pt idx="0">
                  <c:v>0.21604335764053531</c:v>
                </c:pt>
                <c:pt idx="1">
                  <c:v>3.6656375486793728E-2</c:v>
                </c:pt>
                <c:pt idx="2">
                  <c:v>0.12093958774522633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2-4970-A939-53984AF27C40}"/>
            </c:ext>
          </c:extLst>
        </c:ser>
        <c:ser>
          <c:idx val="7"/>
          <c:order val="7"/>
          <c:tx>
            <c:strRef>
              <c:f>'1. DF_continuous_pH7_2'!$K$3</c:f>
              <c:strCache>
                <c:ptCount val="1"/>
                <c:pt idx="0">
                  <c:v>C6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DF_continuous_pH7_2'!$X$4:$X$6</c:f>
                <c:numCache>
                  <c:formatCode>General</c:formatCode>
                  <c:ptCount val="3"/>
                  <c:pt idx="0">
                    <c:v>2.2921030507116678</c:v>
                  </c:pt>
                  <c:pt idx="1">
                    <c:v>2.8108974737206966</c:v>
                  </c:pt>
                  <c:pt idx="2">
                    <c:v>0.40630586653584411</c:v>
                  </c:pt>
                </c:numCache>
              </c:numRef>
            </c:plus>
            <c:minus>
              <c:numRef>
                <c:f>'1. DF_continuous_pH7_2'!$X$4:$X$6</c:f>
                <c:numCache>
                  <c:formatCode>General</c:formatCode>
                  <c:ptCount val="3"/>
                  <c:pt idx="0">
                    <c:v>2.2921030507116678</c:v>
                  </c:pt>
                  <c:pt idx="1">
                    <c:v>2.8108974737206966</c:v>
                  </c:pt>
                  <c:pt idx="2">
                    <c:v>0.40630586653584411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DF_continuous_pH7_2'!$K$4:$K$6</c:f>
              <c:numCache>
                <c:formatCode>0.000</c:formatCode>
                <c:ptCount val="3"/>
                <c:pt idx="0">
                  <c:v>3.1234740504896648</c:v>
                </c:pt>
                <c:pt idx="1">
                  <c:v>3.8967981857974117</c:v>
                </c:pt>
                <c:pt idx="2">
                  <c:v>1.8830322783400786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2-4970-A939-53984AF27C40}"/>
            </c:ext>
          </c:extLst>
        </c:ser>
        <c:ser>
          <c:idx val="8"/>
          <c:order val="8"/>
          <c:tx>
            <c:strRef>
              <c:f>'1. DF_continuous_pH7_2'!$L$3</c:f>
              <c:strCache>
                <c:ptCount val="1"/>
                <c:pt idx="0">
                  <c:v>Lactate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DF_continuous_pH7_2'!$Y$4:$Y$6</c:f>
                <c:numCache>
                  <c:formatCode>General</c:formatCode>
                  <c:ptCount val="3"/>
                  <c:pt idx="0">
                    <c:v>4.6253453317294682</c:v>
                  </c:pt>
                  <c:pt idx="1">
                    <c:v>6.4319371730685235</c:v>
                  </c:pt>
                  <c:pt idx="2">
                    <c:v>3.2752761513415463</c:v>
                  </c:pt>
                </c:numCache>
              </c:numRef>
            </c:plus>
            <c:minus>
              <c:numRef>
                <c:f>'1. DF_continuous_pH7_2'!$Y$4:$Y$6</c:f>
                <c:numCache>
                  <c:formatCode>General</c:formatCode>
                  <c:ptCount val="3"/>
                  <c:pt idx="0">
                    <c:v>4.6253453317294682</c:v>
                  </c:pt>
                  <c:pt idx="1">
                    <c:v>6.4319371730685235</c:v>
                  </c:pt>
                  <c:pt idx="2">
                    <c:v>3.2752761513415463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DF_continuous_pH7_2'!$L$4:$L$6</c:f>
              <c:numCache>
                <c:formatCode>0.000</c:formatCode>
                <c:ptCount val="3"/>
                <c:pt idx="0">
                  <c:v>4.377061328198411</c:v>
                </c:pt>
                <c:pt idx="1">
                  <c:v>6.9847697833518829</c:v>
                </c:pt>
                <c:pt idx="2">
                  <c:v>4.0402406869122887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2-4970-A939-53984AF27C40}"/>
            </c:ext>
          </c:extLst>
        </c:ser>
        <c:ser>
          <c:idx val="9"/>
          <c:order val="9"/>
          <c:tx>
            <c:strRef>
              <c:f>'1. DF_continuous_pH7_2'!$M$3</c:f>
              <c:strCache>
                <c:ptCount val="1"/>
                <c:pt idx="0">
                  <c:v>Succinate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DF_continuous_pH7_2'!$Z$4:$Z$6</c:f>
                <c:numCache>
                  <c:formatCode>General</c:formatCode>
                  <c:ptCount val="3"/>
                  <c:pt idx="0">
                    <c:v>3.4099958856776853</c:v>
                  </c:pt>
                  <c:pt idx="1">
                    <c:v>2.1283385680770786</c:v>
                  </c:pt>
                  <c:pt idx="2">
                    <c:v>2.456462724603198</c:v>
                  </c:pt>
                </c:numCache>
              </c:numRef>
            </c:plus>
            <c:minus>
              <c:numRef>
                <c:f>'1. DF_continuous_pH7_2'!$Z$4:$Z$6</c:f>
                <c:numCache>
                  <c:formatCode>General</c:formatCode>
                  <c:ptCount val="3"/>
                  <c:pt idx="0">
                    <c:v>3.4099958856776853</c:v>
                  </c:pt>
                  <c:pt idx="1">
                    <c:v>2.1283385680770786</c:v>
                  </c:pt>
                  <c:pt idx="2">
                    <c:v>2.456462724603198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DF_continuous_pH7_2'!$M$4:$M$6</c:f>
              <c:numCache>
                <c:formatCode>0.000</c:formatCode>
                <c:ptCount val="3"/>
                <c:pt idx="0">
                  <c:v>8.2636310173988861</c:v>
                </c:pt>
                <c:pt idx="1">
                  <c:v>10.868027169775557</c:v>
                </c:pt>
                <c:pt idx="2">
                  <c:v>22.648205951322819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2-4970-A939-53984AF27C40}"/>
            </c:ext>
          </c:extLst>
        </c:ser>
        <c:ser>
          <c:idx val="10"/>
          <c:order val="10"/>
          <c:tx>
            <c:strRef>
              <c:f>'1. DF_continuous_pH7_2'!$N$3</c:f>
              <c:strCache>
                <c:ptCount val="1"/>
                <c:pt idx="0">
                  <c:v>Formate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DF_continuous_pH7_2'!$AA$4:$AA$6</c:f>
                <c:numCache>
                  <c:formatCode>General</c:formatCode>
                  <c:ptCount val="3"/>
                  <c:pt idx="0">
                    <c:v>1.3415540217436719</c:v>
                  </c:pt>
                  <c:pt idx="1">
                    <c:v>2.8235860201720682</c:v>
                  </c:pt>
                  <c:pt idx="2">
                    <c:v>1.800703151506208</c:v>
                  </c:pt>
                </c:numCache>
              </c:numRef>
            </c:plus>
            <c:minus>
              <c:numRef>
                <c:f>'1. DF_continuous_pH7_2'!$AA$4:$AA$6</c:f>
                <c:numCache>
                  <c:formatCode>General</c:formatCode>
                  <c:ptCount val="3"/>
                  <c:pt idx="0">
                    <c:v>1.3415540217436719</c:v>
                  </c:pt>
                  <c:pt idx="1">
                    <c:v>2.8235860201720682</c:v>
                  </c:pt>
                  <c:pt idx="2">
                    <c:v>1.800703151506208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DF_continuous_pH7_2'!$N$4:$N$6</c:f>
              <c:numCache>
                <c:formatCode>0.000</c:formatCode>
                <c:ptCount val="3"/>
                <c:pt idx="0">
                  <c:v>6.5898549688880594</c:v>
                </c:pt>
                <c:pt idx="1">
                  <c:v>7.0404088331024051</c:v>
                </c:pt>
                <c:pt idx="2">
                  <c:v>8.6386534901881653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2-4970-A939-53984AF27C40}"/>
            </c:ext>
          </c:extLst>
        </c:ser>
        <c:ser>
          <c:idx val="11"/>
          <c:order val="11"/>
          <c:tx>
            <c:strRef>
              <c:f>'1. DF_continuous_pH7_2'!$O$3</c:f>
              <c:strCache>
                <c:ptCount val="1"/>
                <c:pt idx="0">
                  <c:v>EtOH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DF_continuous_pH7_2'!$AB$4:$AB$6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2.23</c:v>
                  </c:pt>
                  <c:pt idx="2">
                    <c:v>2.42</c:v>
                  </c:pt>
                </c:numCache>
              </c:numRef>
            </c:plus>
            <c:minus>
              <c:numRef>
                <c:f>'1. DF_continuous_pH7_2'!$AB$4:$AB$6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2.23</c:v>
                  </c:pt>
                  <c:pt idx="2">
                    <c:v>2.42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'1. DF_continuous_pH7_2'!$C$4:$C$6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DF_continuous_pH7_2'!$O$4:$O$6</c:f>
              <c:numCache>
                <c:formatCode>0.000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15.32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2-4970-A939-53984AF27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3693392"/>
        <c:axId val="443699216"/>
      </c:barChart>
      <c:catAx>
        <c:axId val="44369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43699216"/>
        <c:crosses val="autoZero"/>
        <c:auto val="1"/>
        <c:lblAlgn val="ctr"/>
        <c:lblOffset val="100"/>
        <c:noMultiLvlLbl val="0"/>
      </c:catAx>
      <c:valAx>
        <c:axId val="443699216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COD-met/CODtotal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43693392"/>
        <c:crosses val="autoZero"/>
        <c:crossBetween val="between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18149169385418559"/>
          <c:y val="0.79303318338789863"/>
          <c:w val="0.79097584855356018"/>
          <c:h val="0.20187052534663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'1. DF_continuous_pH7_2'!$E$40</c:f>
              <c:strCache>
                <c:ptCount val="1"/>
                <c:pt idx="0">
                  <c:v>C2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DF_continuous_pH7_2'!$R$41:$R$43</c:f>
                <c:numCache>
                  <c:formatCode>General</c:formatCode>
                  <c:ptCount val="3"/>
                  <c:pt idx="0">
                    <c:v>0.70055290547737659</c:v>
                  </c:pt>
                  <c:pt idx="1">
                    <c:v>0.77458645133625736</c:v>
                  </c:pt>
                  <c:pt idx="2">
                    <c:v>0.87900156824138165</c:v>
                  </c:pt>
                </c:numCache>
              </c:numRef>
            </c:plus>
            <c:minus>
              <c:numRef>
                <c:f>'1. DF_continuous_pH7_2'!$R$41:$R$43</c:f>
                <c:numCache>
                  <c:formatCode>General</c:formatCode>
                  <c:ptCount val="3"/>
                  <c:pt idx="0">
                    <c:v>0.70055290547737659</c:v>
                  </c:pt>
                  <c:pt idx="1">
                    <c:v>0.77458645133625736</c:v>
                  </c:pt>
                  <c:pt idx="2">
                    <c:v>0.87900156824138165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DF_continuous_pH7_2'!$E$41:$E$43</c:f>
              <c:numCache>
                <c:formatCode>0.000</c:formatCode>
                <c:ptCount val="3"/>
                <c:pt idx="0">
                  <c:v>5.2295804000000006</c:v>
                </c:pt>
                <c:pt idx="1">
                  <c:v>7.3664346249999992</c:v>
                </c:pt>
                <c:pt idx="2">
                  <c:v>6.5842435999999989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3-4C8A-AF9A-4F2B5260496F}"/>
            </c:ext>
          </c:extLst>
        </c:ser>
        <c:ser>
          <c:idx val="1"/>
          <c:order val="1"/>
          <c:tx>
            <c:strRef>
              <c:f>'1. DF_continuous_pH7_2'!$F$40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DF_continuous_pH7_2'!$S$41:$S$43</c:f>
                <c:numCache>
                  <c:formatCode>General</c:formatCode>
                  <c:ptCount val="3"/>
                  <c:pt idx="0">
                    <c:v>0.67692560658465195</c:v>
                  </c:pt>
                  <c:pt idx="1">
                    <c:v>0.93130361573365128</c:v>
                  </c:pt>
                  <c:pt idx="2">
                    <c:v>0.47911326794402015</c:v>
                  </c:pt>
                </c:numCache>
              </c:numRef>
            </c:plus>
            <c:minus>
              <c:numRef>
                <c:f>'1. DF_continuous_pH7_2'!$S$41:$S$43</c:f>
                <c:numCache>
                  <c:formatCode>General</c:formatCode>
                  <c:ptCount val="3"/>
                  <c:pt idx="0">
                    <c:v>0.67692560658465195</c:v>
                  </c:pt>
                  <c:pt idx="1">
                    <c:v>0.93130361573365128</c:v>
                  </c:pt>
                  <c:pt idx="2">
                    <c:v>0.47911326794402015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DF_continuous_pH7_2'!$F$41:$F$43</c:f>
              <c:numCache>
                <c:formatCode>0.000</c:formatCode>
                <c:ptCount val="3"/>
                <c:pt idx="0">
                  <c:v>2.6168299999999998</c:v>
                </c:pt>
                <c:pt idx="1">
                  <c:v>3.1985574999999997</c:v>
                </c:pt>
                <c:pt idx="2">
                  <c:v>2.4600920000000004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3-4C8A-AF9A-4F2B5260496F}"/>
            </c:ext>
          </c:extLst>
        </c:ser>
        <c:ser>
          <c:idx val="2"/>
          <c:order val="2"/>
          <c:tx>
            <c:strRef>
              <c:f>'1. DF_continuous_pH7_2'!$G$40</c:f>
              <c:strCache>
                <c:ptCount val="1"/>
                <c:pt idx="0">
                  <c:v>IC4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DF_continuous_pH7_2'!$G$41:$G$43</c:f>
              <c:numCache>
                <c:formatCode>0.000</c:formatCode>
                <c:ptCount val="3"/>
                <c:pt idx="0">
                  <c:v>0.14398559999999999</c:v>
                </c:pt>
                <c:pt idx="1">
                  <c:v>0.17930024999999999</c:v>
                </c:pt>
                <c:pt idx="2">
                  <c:v>8.7991200000000006E-2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3-4C8A-AF9A-4F2B5260496F}"/>
            </c:ext>
          </c:extLst>
        </c:ser>
        <c:ser>
          <c:idx val="3"/>
          <c:order val="3"/>
          <c:tx>
            <c:strRef>
              <c:f>'1. DF_continuous_pH7_2'!$H$40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DF_continuous_pH7_2'!$U$41:$U$43</c:f>
                <c:numCache>
                  <c:formatCode>General</c:formatCode>
                  <c:ptCount val="3"/>
                  <c:pt idx="0">
                    <c:v>0.82620589658680077</c:v>
                  </c:pt>
                  <c:pt idx="1">
                    <c:v>1.1236027677832634</c:v>
                  </c:pt>
                  <c:pt idx="2">
                    <c:v>0.18954077751977283</c:v>
                  </c:pt>
                </c:numCache>
              </c:numRef>
            </c:plus>
            <c:minus>
              <c:numRef>
                <c:f>'1. DF_continuous_pH7_2'!$U$41:$U$43</c:f>
                <c:numCache>
                  <c:formatCode>General</c:formatCode>
                  <c:ptCount val="3"/>
                  <c:pt idx="0">
                    <c:v>0.82620589658680077</c:v>
                  </c:pt>
                  <c:pt idx="1">
                    <c:v>1.1236027677832634</c:v>
                  </c:pt>
                  <c:pt idx="2">
                    <c:v>0.18954077751977283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DF_continuous_pH7_2'!$H$41:$H$43</c:f>
              <c:numCache>
                <c:formatCode>0.000</c:formatCode>
                <c:ptCount val="3"/>
                <c:pt idx="0">
                  <c:v>4.4490096000000001</c:v>
                </c:pt>
                <c:pt idx="1">
                  <c:v>3.2794447500000006</c:v>
                </c:pt>
                <c:pt idx="2">
                  <c:v>2.0201616000000002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3-4C8A-AF9A-4F2B5260496F}"/>
            </c:ext>
          </c:extLst>
        </c:ser>
        <c:ser>
          <c:idx val="4"/>
          <c:order val="4"/>
          <c:tx>
            <c:strRef>
              <c:f>'1. DF_continuous_pH7_2'!$I$40</c:f>
              <c:strCache>
                <c:ptCount val="1"/>
                <c:pt idx="0">
                  <c:v>IC5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DF_continuous_pH7_2'!$I$41:$I$43</c:f>
              <c:numCache>
                <c:formatCode>0.000</c:formatCode>
                <c:ptCount val="3"/>
                <c:pt idx="0">
                  <c:v>0.15976235999999999</c:v>
                </c:pt>
                <c:pt idx="1">
                  <c:v>0.114587825</c:v>
                </c:pt>
                <c:pt idx="2">
                  <c:v>4.4717199999999999E-2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3-4C8A-AF9A-4F2B5260496F}"/>
            </c:ext>
          </c:extLst>
        </c:ser>
        <c:ser>
          <c:idx val="5"/>
          <c:order val="5"/>
          <c:tx>
            <c:strRef>
              <c:f>'1. DF_continuous_pH7_2'!$J$40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DF_continuous_pH7_2'!$J$41:$J$43</c:f>
              <c:numCache>
                <c:formatCode>0.000</c:formatCode>
                <c:ptCount val="3"/>
                <c:pt idx="0">
                  <c:v>0.50083263999999994</c:v>
                </c:pt>
                <c:pt idx="1">
                  <c:v>0.82940243000000002</c:v>
                </c:pt>
                <c:pt idx="2">
                  <c:v>0.39269832000000005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A3-4C8A-AF9A-4F2B5260496F}"/>
            </c:ext>
          </c:extLst>
        </c:ser>
        <c:ser>
          <c:idx val="6"/>
          <c:order val="6"/>
          <c:tx>
            <c:strRef>
              <c:f>'1. DF_continuous_pH7_2'!$K$40</c:f>
              <c:strCache>
                <c:ptCount val="1"/>
                <c:pt idx="0">
                  <c:v>IC6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DF_continuous_pH7_2'!$K$41:$K$43</c:f>
              <c:numCache>
                <c:formatCode>0.000</c:formatCode>
                <c:ptCount val="3"/>
                <c:pt idx="0">
                  <c:v>3.9160000000000007E-2</c:v>
                </c:pt>
                <c:pt idx="1">
                  <c:v>9.3500000000000007E-3</c:v>
                </c:pt>
                <c:pt idx="2">
                  <c:v>3.0360000000000005E-2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A3-4C8A-AF9A-4F2B5260496F}"/>
            </c:ext>
          </c:extLst>
        </c:ser>
        <c:ser>
          <c:idx val="7"/>
          <c:order val="7"/>
          <c:tx>
            <c:strRef>
              <c:f>'1. DF_continuous_pH7_2'!$L$40</c:f>
              <c:strCache>
                <c:ptCount val="1"/>
                <c:pt idx="0">
                  <c:v>C6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DF_continuous_pH7_2'!$Y$41:$Y$43</c:f>
                <c:numCache>
                  <c:formatCode>General</c:formatCode>
                  <c:ptCount val="3"/>
                  <c:pt idx="0">
                    <c:v>0.35536435949599687</c:v>
                  </c:pt>
                  <c:pt idx="1">
                    <c:v>0.71429317260391867</c:v>
                  </c:pt>
                  <c:pt idx="2">
                    <c:v>7.6974853036559585E-2</c:v>
                  </c:pt>
                </c:numCache>
              </c:numRef>
            </c:plus>
            <c:minus>
              <c:numRef>
                <c:f>'1. DF_continuous_pH7_2'!$Y$41:$Y$43</c:f>
                <c:numCache>
                  <c:formatCode>General</c:formatCode>
                  <c:ptCount val="3"/>
                  <c:pt idx="0">
                    <c:v>0.35536435949599687</c:v>
                  </c:pt>
                  <c:pt idx="1">
                    <c:v>0.71429317260391867</c:v>
                  </c:pt>
                  <c:pt idx="2">
                    <c:v>7.6974853036559585E-2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DF_continuous_pH7_2'!$L$41:$L$43</c:f>
              <c:numCache>
                <c:formatCode>0.000</c:formatCode>
                <c:ptCount val="3"/>
                <c:pt idx="0">
                  <c:v>0.53064</c:v>
                </c:pt>
                <c:pt idx="1">
                  <c:v>0.94462500000000005</c:v>
                </c:pt>
                <c:pt idx="2">
                  <c:v>0.45716000000000001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A3-4C8A-AF9A-4F2B5260496F}"/>
            </c:ext>
          </c:extLst>
        </c:ser>
        <c:ser>
          <c:idx val="8"/>
          <c:order val="8"/>
          <c:tx>
            <c:strRef>
              <c:f>'1. DF_continuous_pH7_2'!$M$40</c:f>
              <c:strCache>
                <c:ptCount val="1"/>
                <c:pt idx="0">
                  <c:v>Lactate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DF_continuous_pH7_2'!$Z$41:$Z$43</c:f>
                <c:numCache>
                  <c:formatCode>General</c:formatCode>
                  <c:ptCount val="3"/>
                  <c:pt idx="0">
                    <c:v>0.83891968454647725</c:v>
                  </c:pt>
                  <c:pt idx="1">
                    <c:v>1.6108281307355041</c:v>
                  </c:pt>
                  <c:pt idx="2">
                    <c:v>0.91801671376966587</c:v>
                  </c:pt>
                </c:numCache>
              </c:numRef>
            </c:plus>
            <c:minus>
              <c:numRef>
                <c:f>'1. DF_continuous_pH7_2'!$Z$41:$Z$43</c:f>
                <c:numCache>
                  <c:formatCode>General</c:formatCode>
                  <c:ptCount val="3"/>
                  <c:pt idx="0">
                    <c:v>0.83891968454647725</c:v>
                  </c:pt>
                  <c:pt idx="1">
                    <c:v>1.6108281307355041</c:v>
                  </c:pt>
                  <c:pt idx="2">
                    <c:v>0.91801671376966587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DF_continuous_pH7_2'!$M$41:$M$43</c:f>
              <c:numCache>
                <c:formatCode>0.000</c:formatCode>
                <c:ptCount val="3"/>
                <c:pt idx="0">
                  <c:v>0.76844120571428565</c:v>
                </c:pt>
                <c:pt idx="1">
                  <c:v>1.6801477392857145</c:v>
                </c:pt>
                <c:pt idx="2">
                  <c:v>1.0428309257142856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A3-4C8A-AF9A-4F2B5260496F}"/>
            </c:ext>
          </c:extLst>
        </c:ser>
        <c:ser>
          <c:idx val="9"/>
          <c:order val="9"/>
          <c:tx>
            <c:strRef>
              <c:f>'1. DF_continuous_pH7_2'!$N$40</c:f>
              <c:strCache>
                <c:ptCount val="1"/>
                <c:pt idx="0">
                  <c:v>Succinate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DF_continuous_pH7_2'!$AA$41:$AA$43</c:f>
                <c:numCache>
                  <c:formatCode>General</c:formatCode>
                  <c:ptCount val="3"/>
                  <c:pt idx="0">
                    <c:v>0.61607454703602726</c:v>
                  </c:pt>
                  <c:pt idx="1">
                    <c:v>0.49567938593220867</c:v>
                  </c:pt>
                  <c:pt idx="2">
                    <c:v>0.98413989598827867</c:v>
                  </c:pt>
                </c:numCache>
              </c:numRef>
            </c:plus>
            <c:minus>
              <c:numRef>
                <c:f>'1. DF_continuous_pH7_2'!$AA$41:$AA$43</c:f>
                <c:numCache>
                  <c:formatCode>General</c:formatCode>
                  <c:ptCount val="3"/>
                  <c:pt idx="0">
                    <c:v>0.61607454703602726</c:v>
                  </c:pt>
                  <c:pt idx="1">
                    <c:v>0.49567938593220867</c:v>
                  </c:pt>
                  <c:pt idx="2">
                    <c:v>0.98413989598827867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DF_continuous_pH7_2'!$N$41:$N$43</c:f>
              <c:numCache>
                <c:formatCode>0.000</c:formatCode>
                <c:ptCount val="3"/>
                <c:pt idx="0">
                  <c:v>1.4467834285714285</c:v>
                </c:pt>
                <c:pt idx="1">
                  <c:v>2.5915340571428573</c:v>
                </c:pt>
                <c:pt idx="2">
                  <c:v>5.58368208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A3-4C8A-AF9A-4F2B5260496F}"/>
            </c:ext>
          </c:extLst>
        </c:ser>
        <c:ser>
          <c:idx val="10"/>
          <c:order val="10"/>
          <c:tx>
            <c:strRef>
              <c:f>'1. DF_continuous_pH7_2'!$O$40</c:f>
              <c:strCache>
                <c:ptCount val="1"/>
                <c:pt idx="0">
                  <c:v>Formate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DF_continuous_pH7_2'!$AB$41:$AB$43</c:f>
                <c:numCache>
                  <c:formatCode>General</c:formatCode>
                  <c:ptCount val="3"/>
                  <c:pt idx="0">
                    <c:v>0.25025200045337093</c:v>
                  </c:pt>
                  <c:pt idx="1">
                    <c:v>0.66939250114964732</c:v>
                  </c:pt>
                  <c:pt idx="2">
                    <c:v>0.41526783015467589</c:v>
                  </c:pt>
                </c:numCache>
              </c:numRef>
            </c:plus>
            <c:minus>
              <c:numRef>
                <c:f>'1. DF_continuous_pH7_2'!$AB$41:$AB$43</c:f>
                <c:numCache>
                  <c:formatCode>General</c:formatCode>
                  <c:ptCount val="3"/>
                  <c:pt idx="0">
                    <c:v>0.25025200045337093</c:v>
                  </c:pt>
                  <c:pt idx="1">
                    <c:v>0.66939250114964732</c:v>
                  </c:pt>
                  <c:pt idx="2">
                    <c:v>0.41526783015467589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DF_continuous_pH7_2'!$O$41:$O$43</c:f>
              <c:numCache>
                <c:formatCode>0.000</c:formatCode>
                <c:ptCount val="3"/>
                <c:pt idx="0">
                  <c:v>1.1565673714285716</c:v>
                </c:pt>
                <c:pt idx="1">
                  <c:v>1.6778143928571427</c:v>
                </c:pt>
                <c:pt idx="2">
                  <c:v>2.1125458285714283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A3-4C8A-AF9A-4F2B5260496F}"/>
            </c:ext>
          </c:extLst>
        </c:ser>
        <c:ser>
          <c:idx val="11"/>
          <c:order val="11"/>
          <c:tx>
            <c:strRef>
              <c:f>'1. DF_continuous_pH7_2'!$P$40</c:f>
              <c:strCache>
                <c:ptCount val="1"/>
                <c:pt idx="0">
                  <c:v>EtOH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'1. DF_continuous_pH7_2'!$AC$41:$AC$43</c:f>
                <c:numCache>
                  <c:formatCode>General</c:formatCode>
                  <c:ptCount val="3"/>
                  <c:pt idx="0">
                    <c:v>1.1449436051095243</c:v>
                  </c:pt>
                  <c:pt idx="1">
                    <c:v>1.7473131808993356</c:v>
                  </c:pt>
                  <c:pt idx="2">
                    <c:v>0.54908812188264555</c:v>
                  </c:pt>
                </c:numCache>
              </c:numRef>
            </c:plus>
            <c:minus>
              <c:numRef>
                <c:f>'1. DF_continuous_pH7_2'!$AC$41:$AC$43</c:f>
                <c:numCache>
                  <c:formatCode>General</c:formatCode>
                  <c:ptCount val="3"/>
                  <c:pt idx="0">
                    <c:v>1.1449436051095243</c:v>
                  </c:pt>
                  <c:pt idx="1">
                    <c:v>1.7473131808993356</c:v>
                  </c:pt>
                  <c:pt idx="2">
                    <c:v>0.54908812188264555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DF_continuous_pH7_2'!$P$41:$P$43</c:f>
              <c:numCache>
                <c:formatCode>0.000</c:formatCode>
                <c:ptCount val="3"/>
                <c:pt idx="0">
                  <c:v>0.51203434628571443</c:v>
                </c:pt>
                <c:pt idx="1">
                  <c:v>2.0776273264285714</c:v>
                </c:pt>
                <c:pt idx="2">
                  <c:v>3.7447000045714276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A3-4C8A-AF9A-4F2B52604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1894351"/>
        <c:axId val="281886447"/>
      </c:barChart>
      <c:lineChart>
        <c:grouping val="standard"/>
        <c:varyColors val="0"/>
        <c:ser>
          <c:idx val="12"/>
          <c:order val="12"/>
          <c:tx>
            <c:strRef>
              <c:f>'1. DF_continuous_pH7_2'!$Q$40</c:f>
              <c:strCache>
                <c:ptCount val="1"/>
                <c:pt idx="0">
                  <c:v>(%) COD-met/CODin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'1. DF_continuous_pH7_2'!$D$41:$D$43</c:f>
              <c:strCache>
                <c:ptCount val="3"/>
                <c:pt idx="0">
                  <c:v>OLR 30</c:v>
                </c:pt>
                <c:pt idx="1">
                  <c:v>OLR 45</c:v>
                </c:pt>
                <c:pt idx="2">
                  <c:v>OLR 60</c:v>
                </c:pt>
              </c:strCache>
            </c:strRef>
          </c:cat>
          <c:val>
            <c:numRef>
              <c:f>'1. DF_continuous_pH7_2'!$Q$41:$Q$43</c:f>
              <c:numCache>
                <c:formatCode>0.000</c:formatCode>
                <c:ptCount val="3"/>
                <c:pt idx="0">
                  <c:v>45.7</c:v>
                </c:pt>
                <c:pt idx="1">
                  <c:v>41.6</c:v>
                </c:pt>
                <c:pt idx="2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A3-4C8A-AF9A-4F2B52604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900591"/>
        <c:axId val="187130207"/>
      </c:lineChart>
      <c:catAx>
        <c:axId val="281894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81886447"/>
        <c:crosses val="autoZero"/>
        <c:auto val="1"/>
        <c:lblAlgn val="ctr"/>
        <c:lblOffset val="100"/>
        <c:noMultiLvlLbl val="0"/>
      </c:catAx>
      <c:valAx>
        <c:axId val="28188644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81894351"/>
        <c:crosses val="autoZero"/>
        <c:crossBetween val="between"/>
      </c:valAx>
      <c:valAx>
        <c:axId val="187130207"/>
        <c:scaling>
          <c:orientation val="minMax"/>
          <c:max val="1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81900591"/>
        <c:crosses val="max"/>
        <c:crossBetween val="between"/>
      </c:valAx>
      <c:catAx>
        <c:axId val="28190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130207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1904020111624742E-2"/>
          <c:y val="0.71879306834987144"/>
          <c:w val="0.95439200566738147"/>
          <c:h val="0.26157847254819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372630575740051E-2"/>
          <c:y val="8.5044153150301949E-2"/>
          <c:w val="0.67589461715827115"/>
          <c:h val="0.7712081956382365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'1. DF_continuous_pH7_3'!$C$4</c:f>
              <c:strCache>
                <c:ptCount val="1"/>
                <c:pt idx="0">
                  <c:v>C2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DF_continuous_pH7_3'!$C$5:$C$36</c15:sqref>
                  </c15:fullRef>
                </c:ext>
              </c:extLst>
              <c:f>('1. DF_continuous_pH7_3'!$C$5:$C$24,'1. DF_continuous_pH7_3'!$C$26:$C$28,'1. DF_continuous_pH7_3'!$C$30:$C$36)</c:f>
              <c:numCache>
                <c:formatCode>General</c:formatCode>
                <c:ptCount val="30"/>
                <c:pt idx="0">
                  <c:v>3.8732099999999998</c:v>
                </c:pt>
                <c:pt idx="1">
                  <c:v>5.4598389999999997</c:v>
                </c:pt>
                <c:pt idx="2">
                  <c:v>5.7308570000000003</c:v>
                </c:pt>
                <c:pt idx="3">
                  <c:v>5.6006829999999992</c:v>
                </c:pt>
                <c:pt idx="4">
                  <c:v>6.0456219999999998</c:v>
                </c:pt>
                <c:pt idx="5">
                  <c:v>5.3382009999999998</c:v>
                </c:pt>
                <c:pt idx="6">
                  <c:v>5.2773819999999994</c:v>
                </c:pt>
                <c:pt idx="7">
                  <c:v>5.1781509999999997</c:v>
                </c:pt>
                <c:pt idx="8">
                  <c:v>6.2344809999999997</c:v>
                </c:pt>
                <c:pt idx="9">
                  <c:v>5.3936849999999996</c:v>
                </c:pt>
                <c:pt idx="10">
                  <c:v>5.0575799999999997</c:v>
                </c:pt>
                <c:pt idx="11">
                  <c:v>4.2840049999999996</c:v>
                </c:pt>
                <c:pt idx="12">
                  <c:v>3.7142269999999997</c:v>
                </c:pt>
                <c:pt idx="13">
                  <c:v>3.77718</c:v>
                </c:pt>
                <c:pt idx="14">
                  <c:v>4.9988949999999992</c:v>
                </c:pt>
                <c:pt idx="15">
                  <c:v>6.0264159999999993</c:v>
                </c:pt>
                <c:pt idx="16">
                  <c:v>6.9269639999999999</c:v>
                </c:pt>
                <c:pt idx="17">
                  <c:v>6.8768149999999997</c:v>
                </c:pt>
                <c:pt idx="18">
                  <c:v>8.1838899999999999</c:v>
                </c:pt>
                <c:pt idx="19">
                  <c:v>7.5564939999999998</c:v>
                </c:pt>
                <c:pt idx="20">
                  <c:v>8.2265699999999988</c:v>
                </c:pt>
                <c:pt idx="21">
                  <c:v>7.9662220000000001</c:v>
                </c:pt>
                <c:pt idx="22">
                  <c:v>6.6484769999999997</c:v>
                </c:pt>
                <c:pt idx="23">
                  <c:v>7.4476599999999999</c:v>
                </c:pt>
                <c:pt idx="24">
                  <c:v>7.5991739999999997</c:v>
                </c:pt>
                <c:pt idx="25">
                  <c:v>6.2611559999999997</c:v>
                </c:pt>
                <c:pt idx="26">
                  <c:v>7.3612329999999995</c:v>
                </c:pt>
                <c:pt idx="27">
                  <c:v>7.6749309999999991</c:v>
                </c:pt>
                <c:pt idx="28">
                  <c:v>5.8119489999999994</c:v>
                </c:pt>
                <c:pt idx="29">
                  <c:v>5.8119489999999994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6-4AC6-9F40-36AFE95BC13D}"/>
            </c:ext>
          </c:extLst>
        </c:ser>
        <c:ser>
          <c:idx val="1"/>
          <c:order val="2"/>
          <c:tx>
            <c:strRef>
              <c:f>'1. DF_continuous_pH7_3'!$D$4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DF_continuous_pH7_3'!$D$5:$D$36</c15:sqref>
                  </c15:fullRef>
                </c:ext>
              </c:extLst>
              <c:f>('1. DF_continuous_pH7_3'!$D$5:$D$24,'1. DF_continuous_pH7_3'!$D$26:$D$28,'1. DF_continuous_pH7_3'!$D$30:$D$36)</c:f>
              <c:numCache>
                <c:formatCode>General</c:formatCode>
                <c:ptCount val="30"/>
                <c:pt idx="0">
                  <c:v>5.2865099999999998</c:v>
                </c:pt>
                <c:pt idx="1">
                  <c:v>5.8557800000000002</c:v>
                </c:pt>
                <c:pt idx="2">
                  <c:v>4.7474400000000001</c:v>
                </c:pt>
                <c:pt idx="3">
                  <c:v>3.1800599999999997</c:v>
                </c:pt>
                <c:pt idx="4">
                  <c:v>3.2857600000000002</c:v>
                </c:pt>
                <c:pt idx="5">
                  <c:v>2.7904800000000001</c:v>
                </c:pt>
                <c:pt idx="6">
                  <c:v>2.6817600000000001</c:v>
                </c:pt>
                <c:pt idx="7">
                  <c:v>2.5126399999999998</c:v>
                </c:pt>
                <c:pt idx="8">
                  <c:v>3.32653</c:v>
                </c:pt>
                <c:pt idx="9">
                  <c:v>3.0184900000000003</c:v>
                </c:pt>
                <c:pt idx="10">
                  <c:v>2.6832699999999998</c:v>
                </c:pt>
                <c:pt idx="11">
                  <c:v>1.54322</c:v>
                </c:pt>
                <c:pt idx="12">
                  <c:v>1.4375199999999999</c:v>
                </c:pt>
                <c:pt idx="13">
                  <c:v>1.9252499999999999</c:v>
                </c:pt>
                <c:pt idx="14">
                  <c:v>2.10947</c:v>
                </c:pt>
                <c:pt idx="15">
                  <c:v>2.1381600000000001</c:v>
                </c:pt>
                <c:pt idx="16">
                  <c:v>2.6651499999999997</c:v>
                </c:pt>
                <c:pt idx="17">
                  <c:v>2.6409900000000004</c:v>
                </c:pt>
                <c:pt idx="18">
                  <c:v>3.8097300000000001</c:v>
                </c:pt>
                <c:pt idx="19">
                  <c:v>3.1075799999999996</c:v>
                </c:pt>
                <c:pt idx="20">
                  <c:v>2.1034299999999999</c:v>
                </c:pt>
                <c:pt idx="21">
                  <c:v>2.4024100000000002</c:v>
                </c:pt>
                <c:pt idx="22">
                  <c:v>3.3416300000000003</c:v>
                </c:pt>
                <c:pt idx="23">
                  <c:v>4.7142200000000001</c:v>
                </c:pt>
                <c:pt idx="24">
                  <c:v>3.6209800000000003</c:v>
                </c:pt>
                <c:pt idx="25">
                  <c:v>1.99169</c:v>
                </c:pt>
                <c:pt idx="26">
                  <c:v>2.0898399999999997</c:v>
                </c:pt>
                <c:pt idx="27">
                  <c:v>2.2725499999999998</c:v>
                </c:pt>
                <c:pt idx="28">
                  <c:v>2.9731900000000002</c:v>
                </c:pt>
                <c:pt idx="29">
                  <c:v>2.9731900000000002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6-4AC6-9F40-36AFE95BC13D}"/>
            </c:ext>
          </c:extLst>
        </c:ser>
        <c:ser>
          <c:idx val="2"/>
          <c:order val="3"/>
          <c:tx>
            <c:strRef>
              <c:f>'1. DF_continuous_pH7_3'!$E$4</c:f>
              <c:strCache>
                <c:ptCount val="1"/>
                <c:pt idx="0">
                  <c:v>IC4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DF_continuous_pH7_3'!$E$5:$E$36</c15:sqref>
                  </c15:fullRef>
                </c:ext>
              </c:extLst>
              <c:f>('1. DF_continuous_pH7_3'!$E$5:$E$24,'1. DF_continuous_pH7_3'!$E$26:$E$28,'1. DF_continuous_pH7_3'!$E$30:$E$36)</c:f>
              <c:numCache>
                <c:formatCode>General</c:formatCode>
                <c:ptCount val="30"/>
                <c:pt idx="0">
                  <c:v>7.9991999999999994E-2</c:v>
                </c:pt>
                <c:pt idx="1">
                  <c:v>0.13635</c:v>
                </c:pt>
                <c:pt idx="2">
                  <c:v>0.15634799999999999</c:v>
                </c:pt>
                <c:pt idx="3">
                  <c:v>0.14180400000000001</c:v>
                </c:pt>
                <c:pt idx="4">
                  <c:v>0.12726000000000001</c:v>
                </c:pt>
                <c:pt idx="5">
                  <c:v>9.9990000000000009E-2</c:v>
                </c:pt>
                <c:pt idx="6">
                  <c:v>0.12362400000000001</c:v>
                </c:pt>
                <c:pt idx="7">
                  <c:v>0.129078</c:v>
                </c:pt>
                <c:pt idx="8">
                  <c:v>0.176346</c:v>
                </c:pt>
                <c:pt idx="9">
                  <c:v>0.161802</c:v>
                </c:pt>
                <c:pt idx="10">
                  <c:v>0.143622</c:v>
                </c:pt>
                <c:pt idx="11">
                  <c:v>0.10908</c:v>
                </c:pt>
                <c:pt idx="12">
                  <c:v>9.2717999999999995E-2</c:v>
                </c:pt>
                <c:pt idx="13">
                  <c:v>0.147258</c:v>
                </c:pt>
                <c:pt idx="14">
                  <c:v>0.165438</c:v>
                </c:pt>
                <c:pt idx="15">
                  <c:v>0.12362400000000001</c:v>
                </c:pt>
                <c:pt idx="16">
                  <c:v>0.161802</c:v>
                </c:pt>
                <c:pt idx="17">
                  <c:v>0.24724800000000002</c:v>
                </c:pt>
                <c:pt idx="18">
                  <c:v>0.24906600000000004</c:v>
                </c:pt>
                <c:pt idx="19">
                  <c:v>0.323604</c:v>
                </c:pt>
                <c:pt idx="20">
                  <c:v>5.4539999999999998E-2</c:v>
                </c:pt>
                <c:pt idx="21">
                  <c:v>0.12726000000000001</c:v>
                </c:pt>
                <c:pt idx="22">
                  <c:v>9.6353999999999995E-2</c:v>
                </c:pt>
                <c:pt idx="23">
                  <c:v>0.24724800000000002</c:v>
                </c:pt>
                <c:pt idx="24">
                  <c:v>0.17089200000000002</c:v>
                </c:pt>
                <c:pt idx="25">
                  <c:v>0.161802</c:v>
                </c:pt>
                <c:pt idx="26">
                  <c:v>6.7265999999999992E-2</c:v>
                </c:pt>
                <c:pt idx="27">
                  <c:v>5.8176000000000005E-2</c:v>
                </c:pt>
                <c:pt idx="28">
                  <c:v>7.6356000000000007E-2</c:v>
                </c:pt>
                <c:pt idx="29">
                  <c:v>7.6356000000000007E-2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6-4AC6-9F40-36AFE95BC13D}"/>
            </c:ext>
          </c:extLst>
        </c:ser>
        <c:ser>
          <c:idx val="3"/>
          <c:order val="4"/>
          <c:tx>
            <c:strRef>
              <c:f>'1. DF_continuous_pH7_3'!$F$4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DF_continuous_pH7_3'!$F$5:$F$36</c15:sqref>
                  </c15:fullRef>
                </c:ext>
              </c:extLst>
              <c:f>('1. DF_continuous_pH7_3'!$F$5:$F$24,'1. DF_continuous_pH7_3'!$F$26:$F$28,'1. DF_continuous_pH7_3'!$F$30:$F$36)</c:f>
              <c:numCache>
                <c:formatCode>General</c:formatCode>
                <c:ptCount val="30"/>
                <c:pt idx="0">
                  <c:v>1.2707819999999999</c:v>
                </c:pt>
                <c:pt idx="1">
                  <c:v>2.0561579999999999</c:v>
                </c:pt>
                <c:pt idx="2">
                  <c:v>2.3179499999999997</c:v>
                </c:pt>
                <c:pt idx="3">
                  <c:v>2.2634100000000004</c:v>
                </c:pt>
                <c:pt idx="4">
                  <c:v>2.4015780000000002</c:v>
                </c:pt>
                <c:pt idx="5">
                  <c:v>2.6851860000000003</c:v>
                </c:pt>
                <c:pt idx="6">
                  <c:v>2.9015280000000003</c:v>
                </c:pt>
                <c:pt idx="7">
                  <c:v>3.2542200000000001</c:v>
                </c:pt>
                <c:pt idx="8">
                  <c:v>4.2268500000000007</c:v>
                </c:pt>
                <c:pt idx="9">
                  <c:v>4.6577159999999997</c:v>
                </c:pt>
                <c:pt idx="10">
                  <c:v>5.5430820000000001</c:v>
                </c:pt>
                <c:pt idx="11">
                  <c:v>4.56318</c:v>
                </c:pt>
                <c:pt idx="12">
                  <c:v>5.0013180000000004</c:v>
                </c:pt>
                <c:pt idx="13">
                  <c:v>4.3413839999999997</c:v>
                </c:pt>
                <c:pt idx="14">
                  <c:v>4.114134</c:v>
                </c:pt>
                <c:pt idx="15">
                  <c:v>3.2578560000000003</c:v>
                </c:pt>
                <c:pt idx="16">
                  <c:v>3.1578660000000003</c:v>
                </c:pt>
                <c:pt idx="17">
                  <c:v>3.4814700000000003</c:v>
                </c:pt>
                <c:pt idx="18">
                  <c:v>4.579542</c:v>
                </c:pt>
                <c:pt idx="19">
                  <c:v>5.0504040000000003</c:v>
                </c:pt>
                <c:pt idx="20">
                  <c:v>2.3906700000000001</c:v>
                </c:pt>
                <c:pt idx="21">
                  <c:v>2.2597740000000002</c:v>
                </c:pt>
                <c:pt idx="22">
                  <c:v>2.4452099999999999</c:v>
                </c:pt>
                <c:pt idx="23">
                  <c:v>3.0233340000000002</c:v>
                </c:pt>
                <c:pt idx="24">
                  <c:v>2.8924379999999998</c:v>
                </c:pt>
                <c:pt idx="25">
                  <c:v>1.8616320000000002</c:v>
                </c:pt>
                <c:pt idx="26">
                  <c:v>1.8234539999999999</c:v>
                </c:pt>
                <c:pt idx="27">
                  <c:v>1.9798020000000001</c:v>
                </c:pt>
                <c:pt idx="28">
                  <c:v>2.2179600000000002</c:v>
                </c:pt>
                <c:pt idx="29">
                  <c:v>2.2179600000000002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6-4AC6-9F40-36AFE95BC13D}"/>
            </c:ext>
          </c:extLst>
        </c:ser>
        <c:ser>
          <c:idx val="4"/>
          <c:order val="5"/>
          <c:tx>
            <c:strRef>
              <c:f>'1. DF_continuous_pH7_3'!$G$4</c:f>
              <c:strCache>
                <c:ptCount val="1"/>
                <c:pt idx="0">
                  <c:v>IC5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DF_continuous_pH7_3'!$G$5:$G$36</c15:sqref>
                  </c15:fullRef>
                </c:ext>
              </c:extLst>
              <c:f>('1. DF_continuous_pH7_3'!$G$5:$G$24,'1. DF_continuous_pH7_3'!$G$26:$G$28,'1. DF_continuous_pH7_3'!$G$30:$G$36)</c:f>
              <c:numCache>
                <c:formatCode>General</c:formatCode>
                <c:ptCount val="30"/>
                <c:pt idx="0">
                  <c:v>5.8945400000000002E-2</c:v>
                </c:pt>
                <c:pt idx="1">
                  <c:v>0.14228200000000002</c:v>
                </c:pt>
                <c:pt idx="2">
                  <c:v>0.162608</c:v>
                </c:pt>
                <c:pt idx="3">
                  <c:v>0.10976039999999999</c:v>
                </c:pt>
                <c:pt idx="4">
                  <c:v>0.111793</c:v>
                </c:pt>
                <c:pt idx="5">
                  <c:v>8.7401799999999988E-2</c:v>
                </c:pt>
                <c:pt idx="6">
                  <c:v>0.12398859999999999</c:v>
                </c:pt>
                <c:pt idx="7">
                  <c:v>0.1382168</c:v>
                </c:pt>
                <c:pt idx="8">
                  <c:v>0.162608</c:v>
                </c:pt>
                <c:pt idx="9">
                  <c:v>0.18090139999999999</c:v>
                </c:pt>
                <c:pt idx="10">
                  <c:v>0.17683619999999997</c:v>
                </c:pt>
                <c:pt idx="11">
                  <c:v>0.1402494</c:v>
                </c:pt>
                <c:pt idx="12">
                  <c:v>9.9597400000000003E-2</c:v>
                </c:pt>
                <c:pt idx="13">
                  <c:v>0.1402494</c:v>
                </c:pt>
                <c:pt idx="14">
                  <c:v>0.13618420000000001</c:v>
                </c:pt>
                <c:pt idx="15">
                  <c:v>7.5206200000000001E-2</c:v>
                </c:pt>
                <c:pt idx="16">
                  <c:v>0.1077278</c:v>
                </c:pt>
                <c:pt idx="17">
                  <c:v>0.10976039999999999</c:v>
                </c:pt>
                <c:pt idx="18">
                  <c:v>0.31505299999999997</c:v>
                </c:pt>
                <c:pt idx="19">
                  <c:v>0.18293399999999999</c:v>
                </c:pt>
                <c:pt idx="20">
                  <c:v>2.2358599999999999E-2</c:v>
                </c:pt>
                <c:pt idx="21">
                  <c:v>2.84564E-2</c:v>
                </c:pt>
                <c:pt idx="22">
                  <c:v>5.0814999999999999E-2</c:v>
                </c:pt>
                <c:pt idx="23">
                  <c:v>0.111793</c:v>
                </c:pt>
                <c:pt idx="24">
                  <c:v>0.1077278</c:v>
                </c:pt>
                <c:pt idx="25">
                  <c:v>4.4717199999999999E-2</c:v>
                </c:pt>
                <c:pt idx="26">
                  <c:v>3.45542E-2</c:v>
                </c:pt>
                <c:pt idx="27">
                  <c:v>3.8619399999999998E-2</c:v>
                </c:pt>
                <c:pt idx="28">
                  <c:v>5.2847599999999995E-2</c:v>
                </c:pt>
                <c:pt idx="29">
                  <c:v>5.2847599999999995E-2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6-4AC6-9F40-36AFE95BC13D}"/>
            </c:ext>
          </c:extLst>
        </c:ser>
        <c:ser>
          <c:idx val="7"/>
          <c:order val="6"/>
          <c:tx>
            <c:strRef>
              <c:f>'1. DF_continuous_pH7_3'!$H$4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DF_continuous_pH7_3'!$H$5:$H$36</c15:sqref>
                  </c15:fullRef>
                </c:ext>
              </c:extLst>
              <c:f>('1. DF_continuous_pH7_3'!$H$5:$H$24,'1. DF_continuous_pH7_3'!$H$26:$H$28,'1. DF_continuous_pH7_3'!$H$30:$H$36)</c:f>
              <c:numCache>
                <c:formatCode>General</c:formatCode>
                <c:ptCount val="30"/>
                <c:pt idx="0">
                  <c:v>0.152445</c:v>
                </c:pt>
                <c:pt idx="1">
                  <c:v>0.17277100000000001</c:v>
                </c:pt>
                <c:pt idx="2">
                  <c:v>0.17886879999999999</c:v>
                </c:pt>
                <c:pt idx="3">
                  <c:v>0.18293399999999999</c:v>
                </c:pt>
                <c:pt idx="4">
                  <c:v>0.1869992</c:v>
                </c:pt>
                <c:pt idx="5">
                  <c:v>0.19919480000000001</c:v>
                </c:pt>
                <c:pt idx="6">
                  <c:v>0.20326</c:v>
                </c:pt>
                <c:pt idx="7">
                  <c:v>0.1890318</c:v>
                </c:pt>
                <c:pt idx="8">
                  <c:v>0.49595439999999996</c:v>
                </c:pt>
                <c:pt idx="9">
                  <c:v>0.52847600000000006</c:v>
                </c:pt>
                <c:pt idx="10">
                  <c:v>0.5975843999999999</c:v>
                </c:pt>
                <c:pt idx="11">
                  <c:v>0.69311660000000008</c:v>
                </c:pt>
                <c:pt idx="12">
                  <c:v>0.5040848</c:v>
                </c:pt>
                <c:pt idx="13">
                  <c:v>0.56303020000000004</c:v>
                </c:pt>
                <c:pt idx="14">
                  <c:v>0.63417119999999993</c:v>
                </c:pt>
                <c:pt idx="15">
                  <c:v>0.70327959999999989</c:v>
                </c:pt>
                <c:pt idx="16">
                  <c:v>1.2378533999999999</c:v>
                </c:pt>
                <c:pt idx="17">
                  <c:v>1.1504515999999998</c:v>
                </c:pt>
                <c:pt idx="18">
                  <c:v>2.0834149999999996</c:v>
                </c:pt>
                <c:pt idx="19">
                  <c:v>1.2915140399999998</c:v>
                </c:pt>
                <c:pt idx="20">
                  <c:v>0.39025920000000003</c:v>
                </c:pt>
                <c:pt idx="21">
                  <c:v>0.34960719999999995</c:v>
                </c:pt>
                <c:pt idx="22">
                  <c:v>0.47766099999999995</c:v>
                </c:pt>
                <c:pt idx="23">
                  <c:v>0.75002939999999996</c:v>
                </c:pt>
                <c:pt idx="24">
                  <c:v>0.70531219999999994</c:v>
                </c:pt>
                <c:pt idx="25">
                  <c:v>0.36993319999999996</c:v>
                </c:pt>
                <c:pt idx="26">
                  <c:v>0.34350940000000002</c:v>
                </c:pt>
                <c:pt idx="27">
                  <c:v>0.35570499999999999</c:v>
                </c:pt>
                <c:pt idx="28">
                  <c:v>0.44717200000000001</c:v>
                </c:pt>
                <c:pt idx="29">
                  <c:v>0.44717200000000001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E-491A-B595-2FB3FAB16E1D}"/>
            </c:ext>
          </c:extLst>
        </c:ser>
        <c:ser>
          <c:idx val="8"/>
          <c:order val="7"/>
          <c:tx>
            <c:strRef>
              <c:f>'1. DF_continuous_pH7_3'!$I$4</c:f>
              <c:strCache>
                <c:ptCount val="1"/>
                <c:pt idx="0">
                  <c:v>IC6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DF_continuous_pH7_3'!$I$5:$I$36</c15:sqref>
                  </c15:fullRef>
                </c:ext>
              </c:extLst>
              <c:f>('1. DF_continuous_pH7_3'!$I$5:$I$24,'1. DF_continuous_pH7_3'!$I$26:$I$28,'1. DF_continuous_pH7_3'!$I$30:$I$36)</c:f>
              <c:numCache>
                <c:formatCode>General</c:formatCode>
                <c:ptCount val="30"/>
                <c:pt idx="0">
                  <c:v>0</c:v>
                </c:pt>
                <c:pt idx="1">
                  <c:v>6.1600000000000009E-2</c:v>
                </c:pt>
                <c:pt idx="2">
                  <c:v>0.10120000000000001</c:v>
                </c:pt>
                <c:pt idx="3">
                  <c:v>0.17600000000000002</c:v>
                </c:pt>
                <c:pt idx="4">
                  <c:v>0.1628</c:v>
                </c:pt>
                <c:pt idx="5">
                  <c:v>0.1298</c:v>
                </c:pt>
                <c:pt idx="6">
                  <c:v>0.10780000000000001</c:v>
                </c:pt>
                <c:pt idx="7">
                  <c:v>8.14E-2</c:v>
                </c:pt>
                <c:pt idx="8">
                  <c:v>7.2600000000000012E-2</c:v>
                </c:pt>
                <c:pt idx="9">
                  <c:v>4.1800000000000004E-2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0.10560000000000001</c:v>
                </c:pt>
                <c:pt idx="16">
                  <c:v>7.7000000000000013E-2</c:v>
                </c:pt>
                <c:pt idx="17">
                  <c:v>6.3800000000000009E-2</c:v>
                </c:pt>
                <c:pt idx="18">
                  <c:v>7.4800000000000005E-2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3.7400000000000003E-2</c:v>
                </c:pt>
                <c:pt idx="27">
                  <c:v>3.9600000000000003E-2</c:v>
                </c:pt>
                <c:pt idx="28">
                  <c:v>3.7400000000000003E-2</c:v>
                </c:pt>
                <c:pt idx="29">
                  <c:v>3.7400000000000003E-2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1-4E37-9C21-E88C3AC8BC9E}"/>
            </c:ext>
          </c:extLst>
        </c:ser>
        <c:ser>
          <c:idx val="6"/>
          <c:order val="8"/>
          <c:tx>
            <c:strRef>
              <c:f>'1. DF_continuous_pH7_3'!$J$4</c:f>
              <c:strCache>
                <c:ptCount val="1"/>
                <c:pt idx="0">
                  <c:v>C6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DF_continuous_pH7_3'!$J$5:$J$36</c15:sqref>
                  </c15:fullRef>
                </c:ext>
              </c:extLst>
              <c:f>('1. DF_continuous_pH7_3'!$J$5:$J$24,'1. DF_continuous_pH7_3'!$J$26:$J$28,'1. DF_continuous_pH7_3'!$J$30:$J$36)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9.240000000000001E-2</c:v>
                </c:pt>
                <c:pt idx="4">
                  <c:v>8.3600000000000008E-2</c:v>
                </c:pt>
                <c:pt idx="5">
                  <c:v>0.10120000000000001</c:v>
                </c:pt>
                <c:pt idx="6">
                  <c:v>9.240000000000001E-2</c:v>
                </c:pt>
                <c:pt idx="7">
                  <c:v>7.4800000000000005E-2</c:v>
                </c:pt>
                <c:pt idx="8">
                  <c:v>0.34760000000000002</c:v>
                </c:pt>
                <c:pt idx="9">
                  <c:v>0.52139999999999997</c:v>
                </c:pt>
                <c:pt idx="10">
                  <c:v>0.69080000000000008</c:v>
                </c:pt>
                <c:pt idx="11">
                  <c:v>1.0186000000000002</c:v>
                </c:pt>
                <c:pt idx="12">
                  <c:v>1.0472000000000001</c:v>
                </c:pt>
                <c:pt idx="13">
                  <c:v>1.2562</c:v>
                </c:pt>
                <c:pt idx="14">
                  <c:v>1.2385999999999999</c:v>
                </c:pt>
                <c:pt idx="15">
                  <c:v>1.1616000000000002</c:v>
                </c:pt>
                <c:pt idx="16">
                  <c:v>1.5378000000000001</c:v>
                </c:pt>
                <c:pt idx="17">
                  <c:v>1.4564000000000001</c:v>
                </c:pt>
                <c:pt idx="18">
                  <c:v>2.3342000000000001</c:v>
                </c:pt>
                <c:pt idx="19">
                  <c:v>1.6302000000000001</c:v>
                </c:pt>
                <c:pt idx="20">
                  <c:v>0.60060000000000013</c:v>
                </c:pt>
                <c:pt idx="21">
                  <c:v>0.45760000000000001</c:v>
                </c:pt>
                <c:pt idx="22">
                  <c:v>0.40480000000000005</c:v>
                </c:pt>
                <c:pt idx="23">
                  <c:v>0.54780000000000006</c:v>
                </c:pt>
                <c:pt idx="24">
                  <c:v>0.60280000000000011</c:v>
                </c:pt>
                <c:pt idx="25">
                  <c:v>0.40920000000000001</c:v>
                </c:pt>
                <c:pt idx="26">
                  <c:v>0.3916</c:v>
                </c:pt>
                <c:pt idx="27">
                  <c:v>0.40260000000000001</c:v>
                </c:pt>
                <c:pt idx="28">
                  <c:v>0.54120000000000001</c:v>
                </c:pt>
                <c:pt idx="29">
                  <c:v>0.54120000000000001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1-4B09-A3BC-580C55FA3615}"/>
            </c:ext>
          </c:extLst>
        </c:ser>
        <c:ser>
          <c:idx val="9"/>
          <c:order val="9"/>
          <c:tx>
            <c:strRef>
              <c:f>'1. DF_continuous_pH7_3'!$K$4</c:f>
              <c:strCache>
                <c:ptCount val="1"/>
                <c:pt idx="0">
                  <c:v>Lactate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DF_continuous_pH7_3'!$K$5:$K$36</c15:sqref>
                  </c15:fullRef>
                </c:ext>
              </c:extLst>
              <c:f>('1. DF_continuous_pH7_3'!$K$5:$K$24,'1. DF_continuous_pH7_3'!$K$26:$K$28,'1. DF_continuous_pH7_3'!$K$30:$K$36)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0.66474099999999992</c:v>
                </c:pt>
                <c:pt idx="7">
                  <c:v>0.75223499999999988</c:v>
                </c:pt>
                <c:pt idx="8">
                  <c:v>0</c:v>
                </c:pt>
                <c:pt idx="9">
                  <c:v>2.0893384285714287</c:v>
                </c:pt>
                <c:pt idx="10">
                  <c:v>9.0542571428571431E-2</c:v>
                </c:pt>
                <c:pt idx="11">
                  <c:v>0.91009002857142862</c:v>
                </c:pt>
                <c:pt idx="12">
                  <c:v>0.39427174285714284</c:v>
                </c:pt>
                <c:pt idx="13">
                  <c:v>0.39427174285714284</c:v>
                </c:pt>
                <c:pt idx="14">
                  <c:v>1.0250516571428572</c:v>
                </c:pt>
                <c:pt idx="15">
                  <c:v>1.2001006285714286</c:v>
                </c:pt>
                <c:pt idx="16">
                  <c:v>0</c:v>
                </c:pt>
                <c:pt idx="17">
                  <c:v>0</c:v>
                </c:pt>
                <c:pt idx="18">
                  <c:v>4.0881342857142858E-2</c:v>
                </c:pt>
                <c:pt idx="19">
                  <c:v>0.50511780000000006</c:v>
                </c:pt>
                <c:pt idx="20">
                  <c:v>4.2914435142857146</c:v>
                </c:pt>
                <c:pt idx="21">
                  <c:v>3.9089697428571433</c:v>
                </c:pt>
                <c:pt idx="22">
                  <c:v>2.0849484857142859</c:v>
                </c:pt>
                <c:pt idx="23">
                  <c:v>0.62227440000000001</c:v>
                </c:pt>
                <c:pt idx="24">
                  <c:v>0.60293121428571439</c:v>
                </c:pt>
                <c:pt idx="25">
                  <c:v>0.58358802857142855</c:v>
                </c:pt>
                <c:pt idx="26">
                  <c:v>1.8188082000000001</c:v>
                </c:pt>
                <c:pt idx="27">
                  <c:v>2.2193904857142854</c:v>
                </c:pt>
                <c:pt idx="28">
                  <c:v>0.12483899999999999</c:v>
                </c:pt>
                <c:pt idx="29">
                  <c:v>0.46752891428571425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1-4E37-9C21-E88C3AC8BC9E}"/>
            </c:ext>
          </c:extLst>
        </c:ser>
        <c:ser>
          <c:idx val="10"/>
          <c:order val="10"/>
          <c:tx>
            <c:strRef>
              <c:f>'1. DF_continuous_pH7_3'!$L$4</c:f>
              <c:strCache>
                <c:ptCount val="1"/>
                <c:pt idx="0">
                  <c:v>Succinate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DF_continuous_pH7_3'!$L$5:$L$36</c15:sqref>
                  </c15:fullRef>
                </c:ext>
              </c:extLst>
              <c:f>('1. DF_continuous_pH7_3'!$L$5:$L$24,'1. DF_continuous_pH7_3'!$L$26:$L$28,'1. DF_continuous_pH7_3'!$L$30:$L$36)</c:f>
              <c:numCache>
                <c:formatCode>General</c:formatCode>
                <c:ptCount val="30"/>
                <c:pt idx="0">
                  <c:v>0</c:v>
                </c:pt>
                <c:pt idx="1">
                  <c:v>0.78665039999999997</c:v>
                </c:pt>
                <c:pt idx="2">
                  <c:v>1.396404</c:v>
                </c:pt>
                <c:pt idx="3">
                  <c:v>1.6608959999999999</c:v>
                </c:pt>
                <c:pt idx="4">
                  <c:v>1.4523359999999998</c:v>
                </c:pt>
                <c:pt idx="5">
                  <c:v>1.5060198857142857</c:v>
                </c:pt>
                <c:pt idx="6">
                  <c:v>1.7936701714285714</c:v>
                </c:pt>
                <c:pt idx="7">
                  <c:v>1.8906911999999998</c:v>
                </c:pt>
                <c:pt idx="8">
                  <c:v>2.1432384</c:v>
                </c:pt>
                <c:pt idx="9">
                  <c:v>0.5487294857142857</c:v>
                </c:pt>
                <c:pt idx="10">
                  <c:v>1.3149030857142858</c:v>
                </c:pt>
                <c:pt idx="11">
                  <c:v>1.3363549714285714</c:v>
                </c:pt>
                <c:pt idx="12">
                  <c:v>1.3261165714285714</c:v>
                </c:pt>
                <c:pt idx="13">
                  <c:v>1.3261165714285714</c:v>
                </c:pt>
                <c:pt idx="14">
                  <c:v>1.7337024000000001</c:v>
                </c:pt>
                <c:pt idx="15">
                  <c:v>2.4825682285714286</c:v>
                </c:pt>
                <c:pt idx="16">
                  <c:v>2.435520342857143</c:v>
                </c:pt>
                <c:pt idx="17">
                  <c:v>2.2214890285714288</c:v>
                </c:pt>
                <c:pt idx="18">
                  <c:v>1.7234639999999999</c:v>
                </c:pt>
                <c:pt idx="19">
                  <c:v>2.5844646857142859</c:v>
                </c:pt>
                <c:pt idx="20">
                  <c:v>2.9447588571428569</c:v>
                </c:pt>
                <c:pt idx="21">
                  <c:v>2.4191876571428574</c:v>
                </c:pt>
                <c:pt idx="22">
                  <c:v>2.3582448000000005</c:v>
                </c:pt>
                <c:pt idx="23">
                  <c:v>3.4325454857142854</c:v>
                </c:pt>
                <c:pt idx="24">
                  <c:v>4.2594181714285719</c:v>
                </c:pt>
                <c:pt idx="25">
                  <c:v>5.0862908571428571</c:v>
                </c:pt>
                <c:pt idx="26">
                  <c:v>6.3265998857142849</c:v>
                </c:pt>
                <c:pt idx="27">
                  <c:v>6.8494896000000001</c:v>
                </c:pt>
                <c:pt idx="28">
                  <c:v>4.421526171428571</c:v>
                </c:pt>
                <c:pt idx="29">
                  <c:v>5.2345038857142852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71-4E37-9C21-E88C3AC8BC9E}"/>
            </c:ext>
          </c:extLst>
        </c:ser>
        <c:ser>
          <c:idx val="11"/>
          <c:order val="11"/>
          <c:tx>
            <c:strRef>
              <c:f>'1. DF_continuous_pH7_3'!$M$4</c:f>
              <c:strCache>
                <c:ptCount val="1"/>
                <c:pt idx="0">
                  <c:v>Formate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DF_continuous_pH7_3'!$M$5:$M$36</c15:sqref>
                  </c15:fullRef>
                </c:ext>
              </c:extLst>
              <c:f>('1. DF_continuous_pH7_3'!$M$5:$M$24,'1. DF_continuous_pH7_3'!$M$26:$M$28,'1. DF_continuous_pH7_3'!$M$30:$M$36)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0.75893999999999995</c:v>
                </c:pt>
                <c:pt idx="4">
                  <c:v>0.76310999999999996</c:v>
                </c:pt>
                <c:pt idx="5">
                  <c:v>0.68376085714285706</c:v>
                </c:pt>
                <c:pt idx="6">
                  <c:v>1.2134699999999998</c:v>
                </c:pt>
                <c:pt idx="7">
                  <c:v>1.3843208571428569</c:v>
                </c:pt>
                <c:pt idx="8">
                  <c:v>0.80457171428571428</c:v>
                </c:pt>
                <c:pt idx="9">
                  <c:v>1.1855905714285715</c:v>
                </c:pt>
                <c:pt idx="10">
                  <c:v>1.3903971428571429</c:v>
                </c:pt>
                <c:pt idx="11">
                  <c:v>1.0179565714285714</c:v>
                </c:pt>
                <c:pt idx="12">
                  <c:v>1.4161320000000002</c:v>
                </c:pt>
                <c:pt idx="13">
                  <c:v>1.4161320000000002</c:v>
                </c:pt>
                <c:pt idx="14">
                  <c:v>1.8025122857142857</c:v>
                </c:pt>
                <c:pt idx="15">
                  <c:v>1.9551342857142859</c:v>
                </c:pt>
                <c:pt idx="16">
                  <c:v>1.6541794285714286</c:v>
                </c:pt>
                <c:pt idx="17">
                  <c:v>2.0963185714285713</c:v>
                </c:pt>
                <c:pt idx="18">
                  <c:v>2.113117714285714</c:v>
                </c:pt>
                <c:pt idx="19">
                  <c:v>2.8122479999999999</c:v>
                </c:pt>
                <c:pt idx="20">
                  <c:v>0.93360342857142853</c:v>
                </c:pt>
                <c:pt idx="21">
                  <c:v>1.0075911428571427</c:v>
                </c:pt>
                <c:pt idx="22">
                  <c:v>1.3575137142857145</c:v>
                </c:pt>
                <c:pt idx="23">
                  <c:v>1.5062040000000001</c:v>
                </c:pt>
                <c:pt idx="24">
                  <c:v>1.55124</c:v>
                </c:pt>
                <c:pt idx="25">
                  <c:v>1.5962759999999998</c:v>
                </c:pt>
                <c:pt idx="26">
                  <c:v>1.7696288571428569</c:v>
                </c:pt>
                <c:pt idx="27">
                  <c:v>2.200687714285714</c:v>
                </c:pt>
                <c:pt idx="28">
                  <c:v>2.5159397142857141</c:v>
                </c:pt>
                <c:pt idx="29">
                  <c:v>2.4801968571428565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71-4E37-9C21-E88C3AC8BC9E}"/>
            </c:ext>
          </c:extLst>
        </c:ser>
        <c:ser>
          <c:idx val="12"/>
          <c:order val="12"/>
          <c:tx>
            <c:strRef>
              <c:f>'1. DF_continuous_pH7_3'!$N$4</c:f>
              <c:strCache>
                <c:ptCount val="1"/>
                <c:pt idx="0">
                  <c:v>EtOH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DF_continuous_pH7_3'!$N$5:$N$36</c15:sqref>
                  </c15:fullRef>
                </c:ext>
              </c:extLst>
              <c:f>('1. DF_continuous_pH7_3'!$N$5:$N$24,'1. DF_continuous_pH7_3'!$N$26:$N$28,'1. DF_continuous_pH7_3'!$N$30:$N$36)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1.75948164</c:v>
                </c:pt>
                <c:pt idx="3">
                  <c:v>2.5031242000000002</c:v>
                </c:pt>
                <c:pt idx="4">
                  <c:v>2.4906190000000001</c:v>
                </c:pt>
                <c:pt idx="5">
                  <c:v>2.9267527371428574</c:v>
                </c:pt>
                <c:pt idx="6">
                  <c:v>2.5542764228571433</c:v>
                </c:pt>
                <c:pt idx="7">
                  <c:v>2.5601717314285719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3.24885096</c:v>
                </c:pt>
                <c:pt idx="21">
                  <c:v>3.6534835028571431</c:v>
                </c:pt>
                <c:pt idx="22">
                  <c:v>3.6406210114285718</c:v>
                </c:pt>
                <c:pt idx="23">
                  <c:v>2.6678950971428574</c:v>
                </c:pt>
                <c:pt idx="24">
                  <c:v>3.1593494571428544</c:v>
                </c:pt>
                <c:pt idx="25">
                  <c:v>3.650803817142851</c:v>
                </c:pt>
                <c:pt idx="26">
                  <c:v>3.305660297142857</c:v>
                </c:pt>
                <c:pt idx="27">
                  <c:v>4.1240363142857142</c:v>
                </c:pt>
                <c:pt idx="28">
                  <c:v>4.4729313942857143</c:v>
                </c:pt>
                <c:pt idx="29">
                  <c:v>3.1700682000000002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71-4E37-9C21-E88C3AC8B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2406543"/>
        <c:axId val="1972404879"/>
      </c:barChart>
      <c:lineChart>
        <c:grouping val="stacked"/>
        <c:varyColors val="0"/>
        <c:ser>
          <c:idx val="5"/>
          <c:order val="0"/>
          <c:tx>
            <c:strRef>
              <c:f>'1. DF_continuous_pH7_3'!$O$4</c:f>
              <c:strCache>
                <c:ptCount val="1"/>
                <c:pt idx="0">
                  <c:v>(%) COD-VFAs/CODin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DF_continuous_pH7_3'!$B$5:$B$24,'1. DF_continuous_pH7_3'!$B$26:$B$28,'1. DF_continuous_pH7_3'!$B$30:$B$36)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49</c:v>
                </c:pt>
                <c:pt idx="29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DF_continuous_pH7_3'!$O$5:$O$36</c15:sqref>
                  </c15:fullRef>
                </c:ext>
              </c:extLst>
              <c:f>('1. DF_continuous_pH7_3'!$O$5:$O$24,'1. DF_continuous_pH7_3'!$O$26:$O$28,'1. DF_continuous_pH7_3'!$O$30:$O$36)</c:f>
              <c:numCache>
                <c:formatCode>General</c:formatCode>
                <c:ptCount val="30"/>
                <c:pt idx="0">
                  <c:v>27.92157395833334</c:v>
                </c:pt>
                <c:pt idx="1">
                  <c:v>38.206850000000003</c:v>
                </c:pt>
                <c:pt idx="2">
                  <c:v>43.101972500000002</c:v>
                </c:pt>
                <c:pt idx="3">
                  <c:v>43.411488541666678</c:v>
                </c:pt>
                <c:pt idx="4">
                  <c:v>44.561138541666679</c:v>
                </c:pt>
                <c:pt idx="5">
                  <c:v>43.093716354166673</c:v>
                </c:pt>
                <c:pt idx="6">
                  <c:v>46.192448422619051</c:v>
                </c:pt>
                <c:pt idx="7">
                  <c:v>47.2524905952381</c:v>
                </c:pt>
                <c:pt idx="8">
                  <c:v>46.850988318452387</c:v>
                </c:pt>
                <c:pt idx="9">
                  <c:v>47.72898147321429</c:v>
                </c:pt>
                <c:pt idx="10">
                  <c:v>46.064107812500005</c:v>
                </c:pt>
                <c:pt idx="11">
                  <c:v>40.666282738095241</c:v>
                </c:pt>
                <c:pt idx="12">
                  <c:v>26.099280406746029</c:v>
                </c:pt>
                <c:pt idx="13">
                  <c:v>26.540055406746028</c:v>
                </c:pt>
                <c:pt idx="14">
                  <c:v>31.177358928571429</c:v>
                </c:pt>
                <c:pt idx="15">
                  <c:v>33.38462663690477</c:v>
                </c:pt>
                <c:pt idx="16">
                  <c:v>34.656012103174596</c:v>
                </c:pt>
                <c:pt idx="17">
                  <c:v>35.320733680555563</c:v>
                </c:pt>
                <c:pt idx="18">
                  <c:v>44.283262251984127</c:v>
                </c:pt>
                <c:pt idx="19">
                  <c:v>43.480139801587299</c:v>
                </c:pt>
                <c:pt idx="20">
                  <c:v>43.762299583333323</c:v>
                </c:pt>
                <c:pt idx="21">
                  <c:v>42.674586190476184</c:v>
                </c:pt>
                <c:pt idx="22">
                  <c:v>39.767838561507943</c:v>
                </c:pt>
                <c:pt idx="23">
                  <c:v>43.526047539682537</c:v>
                </c:pt>
                <c:pt idx="24">
                  <c:v>43.875456324404759</c:v>
                </c:pt>
                <c:pt idx="25">
                  <c:v>38.224113025793635</c:v>
                </c:pt>
                <c:pt idx="26">
                  <c:v>44.044364305555547</c:v>
                </c:pt>
                <c:pt idx="27">
                  <c:v>48.985394990079364</c:v>
                </c:pt>
                <c:pt idx="28">
                  <c:v>41.134220277777771</c:v>
                </c:pt>
                <c:pt idx="29">
                  <c:v>40.816618849206343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16-4AC6-9F40-36AFE95BC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59472"/>
        <c:axId val="946665296"/>
      </c:lineChart>
      <c:catAx>
        <c:axId val="197240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000">
                    <a:solidFill>
                      <a:sysClr val="windowText" lastClr="000000"/>
                    </a:solidFill>
                  </a:rPr>
                  <a:t>Elapsed 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972404879"/>
        <c:crosses val="autoZero"/>
        <c:auto val="0"/>
        <c:lblAlgn val="ctr"/>
        <c:lblOffset val="100"/>
        <c:noMultiLvlLbl val="0"/>
      </c:catAx>
      <c:valAx>
        <c:axId val="1972404879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>
                    <a:solidFill>
                      <a:sysClr val="windowText" lastClr="000000"/>
                    </a:solidFill>
                  </a:rPr>
                  <a:t>VFAs (g COD/L)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972406543"/>
        <c:crosses val="autoZero"/>
        <c:crossBetween val="between"/>
      </c:valAx>
      <c:valAx>
        <c:axId val="94666529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>
                    <a:solidFill>
                      <a:sysClr val="windowText" lastClr="000000"/>
                    </a:solidFill>
                  </a:rPr>
                  <a:t>COD-VFAs/CODin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946659472"/>
        <c:crosses val="max"/>
        <c:crossBetween val="between"/>
      </c:valAx>
      <c:catAx>
        <c:axId val="94665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665296"/>
        <c:crosses val="autoZero"/>
        <c:auto val="0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6746969886244554"/>
          <c:y val="1.9434198230744971E-2"/>
          <c:w val="0.227104657630365"/>
          <c:h val="0.959061899154224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'1. DF_continuous_pH7_3'!$C$4</c:f>
              <c:strCache>
                <c:ptCount val="1"/>
                <c:pt idx="0">
                  <c:v>C2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DF_continuous_pH7_3'!$C$5:$C$25</c15:sqref>
                  </c15:fullRef>
                </c:ext>
              </c:extLst>
              <c:f>'1. DF_continuous_pH7_3'!$C$5:$C$17</c:f>
              <c:numCache>
                <c:formatCode>General</c:formatCode>
                <c:ptCount val="13"/>
                <c:pt idx="0">
                  <c:v>3.8732099999999998</c:v>
                </c:pt>
                <c:pt idx="1">
                  <c:v>5.4598389999999997</c:v>
                </c:pt>
                <c:pt idx="2">
                  <c:v>5.7308570000000003</c:v>
                </c:pt>
                <c:pt idx="3">
                  <c:v>5.6006829999999992</c:v>
                </c:pt>
                <c:pt idx="4">
                  <c:v>6.0456219999999998</c:v>
                </c:pt>
                <c:pt idx="5">
                  <c:v>5.3382009999999998</c:v>
                </c:pt>
                <c:pt idx="6">
                  <c:v>5.2773819999999994</c:v>
                </c:pt>
                <c:pt idx="7">
                  <c:v>5.1781509999999997</c:v>
                </c:pt>
                <c:pt idx="8">
                  <c:v>6.2344809999999997</c:v>
                </c:pt>
                <c:pt idx="9">
                  <c:v>5.3936849999999996</c:v>
                </c:pt>
                <c:pt idx="10">
                  <c:v>5.0575799999999997</c:v>
                </c:pt>
                <c:pt idx="11">
                  <c:v>4.2840049999999996</c:v>
                </c:pt>
                <c:pt idx="12">
                  <c:v>3.7142269999999997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4-4B1B-887D-AC305605A38B}"/>
            </c:ext>
          </c:extLst>
        </c:ser>
        <c:ser>
          <c:idx val="1"/>
          <c:order val="2"/>
          <c:tx>
            <c:strRef>
              <c:f>'1. DF_continuous_pH7_3'!$D$4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DF_continuous_pH7_3'!$D$5:$D$25</c15:sqref>
                  </c15:fullRef>
                </c:ext>
              </c:extLst>
              <c:f>'1. DF_continuous_pH7_3'!$D$5:$D$17</c:f>
              <c:numCache>
                <c:formatCode>General</c:formatCode>
                <c:ptCount val="13"/>
                <c:pt idx="0">
                  <c:v>5.2865099999999998</c:v>
                </c:pt>
                <c:pt idx="1">
                  <c:v>5.8557800000000002</c:v>
                </c:pt>
                <c:pt idx="2">
                  <c:v>4.7474400000000001</c:v>
                </c:pt>
                <c:pt idx="3">
                  <c:v>3.1800599999999997</c:v>
                </c:pt>
                <c:pt idx="4">
                  <c:v>3.2857600000000002</c:v>
                </c:pt>
                <c:pt idx="5">
                  <c:v>2.7904800000000001</c:v>
                </c:pt>
                <c:pt idx="6">
                  <c:v>2.6817600000000001</c:v>
                </c:pt>
                <c:pt idx="7">
                  <c:v>2.5126399999999998</c:v>
                </c:pt>
                <c:pt idx="8">
                  <c:v>3.32653</c:v>
                </c:pt>
                <c:pt idx="9">
                  <c:v>3.0184900000000003</c:v>
                </c:pt>
                <c:pt idx="10">
                  <c:v>2.6832699999999998</c:v>
                </c:pt>
                <c:pt idx="11">
                  <c:v>1.54322</c:v>
                </c:pt>
                <c:pt idx="12">
                  <c:v>1.4375199999999999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4-4B1B-887D-AC305605A38B}"/>
            </c:ext>
          </c:extLst>
        </c:ser>
        <c:ser>
          <c:idx val="2"/>
          <c:order val="3"/>
          <c:tx>
            <c:strRef>
              <c:f>'1. DF_continuous_pH7_3'!$E$4</c:f>
              <c:strCache>
                <c:ptCount val="1"/>
                <c:pt idx="0">
                  <c:v>IC4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DF_continuous_pH7_3'!$E$5:$E$25</c15:sqref>
                  </c15:fullRef>
                </c:ext>
              </c:extLst>
              <c:f>'1. DF_continuous_pH7_3'!$E$5:$E$17</c:f>
              <c:numCache>
                <c:formatCode>General</c:formatCode>
                <c:ptCount val="13"/>
                <c:pt idx="0">
                  <c:v>7.9991999999999994E-2</c:v>
                </c:pt>
                <c:pt idx="1">
                  <c:v>0.13635</c:v>
                </c:pt>
                <c:pt idx="2">
                  <c:v>0.15634799999999999</c:v>
                </c:pt>
                <c:pt idx="3">
                  <c:v>0.14180400000000001</c:v>
                </c:pt>
                <c:pt idx="4">
                  <c:v>0.12726000000000001</c:v>
                </c:pt>
                <c:pt idx="5">
                  <c:v>9.9990000000000009E-2</c:v>
                </c:pt>
                <c:pt idx="6">
                  <c:v>0.12362400000000001</c:v>
                </c:pt>
                <c:pt idx="7">
                  <c:v>0.129078</c:v>
                </c:pt>
                <c:pt idx="8">
                  <c:v>0.176346</c:v>
                </c:pt>
                <c:pt idx="9">
                  <c:v>0.161802</c:v>
                </c:pt>
                <c:pt idx="10">
                  <c:v>0.143622</c:v>
                </c:pt>
                <c:pt idx="11">
                  <c:v>0.10908</c:v>
                </c:pt>
                <c:pt idx="12">
                  <c:v>9.2717999999999995E-2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4-4B1B-887D-AC305605A38B}"/>
            </c:ext>
          </c:extLst>
        </c:ser>
        <c:ser>
          <c:idx val="3"/>
          <c:order val="4"/>
          <c:tx>
            <c:strRef>
              <c:f>'1. DF_continuous_pH7_3'!$F$4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DF_continuous_pH7_3'!$F$5:$F$25</c15:sqref>
                  </c15:fullRef>
                </c:ext>
              </c:extLst>
              <c:f>'1. DF_continuous_pH7_3'!$F$5:$F$17</c:f>
              <c:numCache>
                <c:formatCode>General</c:formatCode>
                <c:ptCount val="13"/>
                <c:pt idx="0">
                  <c:v>1.2707819999999999</c:v>
                </c:pt>
                <c:pt idx="1">
                  <c:v>2.0561579999999999</c:v>
                </c:pt>
                <c:pt idx="2">
                  <c:v>2.3179499999999997</c:v>
                </c:pt>
                <c:pt idx="3">
                  <c:v>2.2634100000000004</c:v>
                </c:pt>
                <c:pt idx="4">
                  <c:v>2.4015780000000002</c:v>
                </c:pt>
                <c:pt idx="5">
                  <c:v>2.6851860000000003</c:v>
                </c:pt>
                <c:pt idx="6">
                  <c:v>2.9015280000000003</c:v>
                </c:pt>
                <c:pt idx="7">
                  <c:v>3.2542200000000001</c:v>
                </c:pt>
                <c:pt idx="8">
                  <c:v>4.2268500000000007</c:v>
                </c:pt>
                <c:pt idx="9">
                  <c:v>4.6577159999999997</c:v>
                </c:pt>
                <c:pt idx="10">
                  <c:v>5.5430820000000001</c:v>
                </c:pt>
                <c:pt idx="11">
                  <c:v>4.56318</c:v>
                </c:pt>
                <c:pt idx="12">
                  <c:v>5.0013180000000004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4-4B1B-887D-AC305605A38B}"/>
            </c:ext>
          </c:extLst>
        </c:ser>
        <c:ser>
          <c:idx val="4"/>
          <c:order val="5"/>
          <c:tx>
            <c:strRef>
              <c:f>'1. DF_continuous_pH7_3'!$G$4</c:f>
              <c:strCache>
                <c:ptCount val="1"/>
                <c:pt idx="0">
                  <c:v>IC5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DF_continuous_pH7_3'!$G$5:$G$25</c15:sqref>
                  </c15:fullRef>
                </c:ext>
              </c:extLst>
              <c:f>'1. DF_continuous_pH7_3'!$G$5:$G$17</c:f>
              <c:numCache>
                <c:formatCode>General</c:formatCode>
                <c:ptCount val="13"/>
                <c:pt idx="0">
                  <c:v>5.8945400000000002E-2</c:v>
                </c:pt>
                <c:pt idx="1">
                  <c:v>0.14228200000000002</c:v>
                </c:pt>
                <c:pt idx="2">
                  <c:v>0.162608</c:v>
                </c:pt>
                <c:pt idx="3">
                  <c:v>0.10976039999999999</c:v>
                </c:pt>
                <c:pt idx="4">
                  <c:v>0.111793</c:v>
                </c:pt>
                <c:pt idx="5">
                  <c:v>8.7401799999999988E-2</c:v>
                </c:pt>
                <c:pt idx="6">
                  <c:v>0.12398859999999999</c:v>
                </c:pt>
                <c:pt idx="7">
                  <c:v>0.1382168</c:v>
                </c:pt>
                <c:pt idx="8">
                  <c:v>0.162608</c:v>
                </c:pt>
                <c:pt idx="9">
                  <c:v>0.18090139999999999</c:v>
                </c:pt>
                <c:pt idx="10">
                  <c:v>0.17683619999999997</c:v>
                </c:pt>
                <c:pt idx="11">
                  <c:v>0.1402494</c:v>
                </c:pt>
                <c:pt idx="12">
                  <c:v>9.9597400000000003E-2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4-4B1B-887D-AC305605A38B}"/>
            </c:ext>
          </c:extLst>
        </c:ser>
        <c:ser>
          <c:idx val="7"/>
          <c:order val="6"/>
          <c:tx>
            <c:strRef>
              <c:f>'1. DF_continuous_pH7_3'!$H$4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DF_continuous_pH7_3'!$H$5:$H$25</c15:sqref>
                  </c15:fullRef>
                </c:ext>
              </c:extLst>
              <c:f>'1. DF_continuous_pH7_3'!$H$5:$H$17</c:f>
              <c:numCache>
                <c:formatCode>General</c:formatCode>
                <c:ptCount val="13"/>
                <c:pt idx="0">
                  <c:v>0.152445</c:v>
                </c:pt>
                <c:pt idx="1">
                  <c:v>0.17277100000000001</c:v>
                </c:pt>
                <c:pt idx="2">
                  <c:v>0.17886879999999999</c:v>
                </c:pt>
                <c:pt idx="3">
                  <c:v>0.18293399999999999</c:v>
                </c:pt>
                <c:pt idx="4">
                  <c:v>0.1869992</c:v>
                </c:pt>
                <c:pt idx="5">
                  <c:v>0.19919480000000001</c:v>
                </c:pt>
                <c:pt idx="6">
                  <c:v>0.20326</c:v>
                </c:pt>
                <c:pt idx="7">
                  <c:v>0.1890318</c:v>
                </c:pt>
                <c:pt idx="8">
                  <c:v>0.49595439999999996</c:v>
                </c:pt>
                <c:pt idx="9">
                  <c:v>0.52847600000000006</c:v>
                </c:pt>
                <c:pt idx="10">
                  <c:v>0.5975843999999999</c:v>
                </c:pt>
                <c:pt idx="11">
                  <c:v>0.69311660000000008</c:v>
                </c:pt>
                <c:pt idx="12">
                  <c:v>0.5040848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4-4B1B-887D-AC305605A38B}"/>
            </c:ext>
          </c:extLst>
        </c:ser>
        <c:ser>
          <c:idx val="8"/>
          <c:order val="7"/>
          <c:tx>
            <c:strRef>
              <c:f>'1. DF_continuous_pH7_3'!$I$4</c:f>
              <c:strCache>
                <c:ptCount val="1"/>
                <c:pt idx="0">
                  <c:v>IC6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DF_continuous_pH7_3'!$I$5:$I$12</c15:sqref>
                  </c15:fullRef>
                </c:ext>
              </c:extLst>
              <c:f>'1. DF_continuous_pH7_3'!$I$5:$I$12</c:f>
              <c:numCache>
                <c:formatCode>General</c:formatCode>
                <c:ptCount val="8"/>
                <c:pt idx="0">
                  <c:v>0</c:v>
                </c:pt>
                <c:pt idx="1">
                  <c:v>6.1600000000000009E-2</c:v>
                </c:pt>
                <c:pt idx="2">
                  <c:v>0.10120000000000001</c:v>
                </c:pt>
                <c:pt idx="3">
                  <c:v>0.17600000000000002</c:v>
                </c:pt>
                <c:pt idx="4">
                  <c:v>0.1628</c:v>
                </c:pt>
                <c:pt idx="5">
                  <c:v>0.1298</c:v>
                </c:pt>
                <c:pt idx="6">
                  <c:v>0.10780000000000001</c:v>
                </c:pt>
                <c:pt idx="7">
                  <c:v>8.14E-2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14-4B1B-887D-AC305605A38B}"/>
            </c:ext>
          </c:extLst>
        </c:ser>
        <c:ser>
          <c:idx val="6"/>
          <c:order val="8"/>
          <c:tx>
            <c:strRef>
              <c:f>'1. DF_continuous_pH7_3'!$J$4</c:f>
              <c:strCache>
                <c:ptCount val="1"/>
                <c:pt idx="0">
                  <c:v>C6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DF_continuous_pH7_3'!$J$5:$J$16</c15:sqref>
                  </c15:fullRef>
                </c:ext>
              </c:extLst>
              <c:f>'1. DF_continuous_pH7_3'!$J$5:$J$16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9.240000000000001E-2</c:v>
                </c:pt>
                <c:pt idx="4">
                  <c:v>8.3600000000000008E-2</c:v>
                </c:pt>
                <c:pt idx="5">
                  <c:v>0.10120000000000001</c:v>
                </c:pt>
                <c:pt idx="6">
                  <c:v>9.240000000000001E-2</c:v>
                </c:pt>
                <c:pt idx="7">
                  <c:v>7.4800000000000005E-2</c:v>
                </c:pt>
                <c:pt idx="8">
                  <c:v>0.34760000000000002</c:v>
                </c:pt>
                <c:pt idx="9">
                  <c:v>0.52139999999999997</c:v>
                </c:pt>
                <c:pt idx="10">
                  <c:v>0.69080000000000008</c:v>
                </c:pt>
                <c:pt idx="11">
                  <c:v>1.0186000000000002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14-4B1B-887D-AC305605A38B}"/>
            </c:ext>
          </c:extLst>
        </c:ser>
        <c:ser>
          <c:idx val="9"/>
          <c:order val="9"/>
          <c:tx>
            <c:strRef>
              <c:f>'1. DF_continuous_pH7_3'!$K$4</c:f>
              <c:strCache>
                <c:ptCount val="1"/>
                <c:pt idx="0">
                  <c:v>Lactate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DF_continuous_pH7_3'!$K$5:$K$25</c15:sqref>
                  </c15:fullRef>
                </c:ext>
              </c:extLst>
              <c:f>'1. DF_continuous_pH7_3'!$K$5:$K$17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0.66474099999999992</c:v>
                </c:pt>
                <c:pt idx="7">
                  <c:v>0.75223499999999988</c:v>
                </c:pt>
                <c:pt idx="8">
                  <c:v>0</c:v>
                </c:pt>
                <c:pt idx="9">
                  <c:v>2.0893384285714287</c:v>
                </c:pt>
                <c:pt idx="10">
                  <c:v>9.0542571428571431E-2</c:v>
                </c:pt>
                <c:pt idx="11">
                  <c:v>0.91009002857142862</c:v>
                </c:pt>
                <c:pt idx="12">
                  <c:v>0.39427174285714284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14-4B1B-887D-AC305605A38B}"/>
            </c:ext>
          </c:extLst>
        </c:ser>
        <c:ser>
          <c:idx val="10"/>
          <c:order val="10"/>
          <c:tx>
            <c:strRef>
              <c:f>'1. DF_continuous_pH7_3'!$L$4</c:f>
              <c:strCache>
                <c:ptCount val="1"/>
                <c:pt idx="0">
                  <c:v>Succinate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DF_continuous_pH7_3'!$L$5:$L$25</c15:sqref>
                  </c15:fullRef>
                </c:ext>
              </c:extLst>
              <c:f>'1. DF_continuous_pH7_3'!$L$5:$L$17</c:f>
              <c:numCache>
                <c:formatCode>General</c:formatCode>
                <c:ptCount val="13"/>
                <c:pt idx="0">
                  <c:v>0</c:v>
                </c:pt>
                <c:pt idx="1">
                  <c:v>0.78665039999999997</c:v>
                </c:pt>
                <c:pt idx="2">
                  <c:v>1.396404</c:v>
                </c:pt>
                <c:pt idx="3">
                  <c:v>1.6608959999999999</c:v>
                </c:pt>
                <c:pt idx="4">
                  <c:v>1.4523359999999998</c:v>
                </c:pt>
                <c:pt idx="5">
                  <c:v>1.5060198857142857</c:v>
                </c:pt>
                <c:pt idx="6">
                  <c:v>1.7936701714285714</c:v>
                </c:pt>
                <c:pt idx="7">
                  <c:v>1.8906911999999998</c:v>
                </c:pt>
                <c:pt idx="8">
                  <c:v>2.1432384</c:v>
                </c:pt>
                <c:pt idx="9">
                  <c:v>0.5487294857142857</c:v>
                </c:pt>
                <c:pt idx="10">
                  <c:v>1.3149030857142858</c:v>
                </c:pt>
                <c:pt idx="11">
                  <c:v>1.3363549714285714</c:v>
                </c:pt>
                <c:pt idx="12">
                  <c:v>1.3261165714285714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14-4B1B-887D-AC305605A38B}"/>
            </c:ext>
          </c:extLst>
        </c:ser>
        <c:ser>
          <c:idx val="11"/>
          <c:order val="11"/>
          <c:tx>
            <c:strRef>
              <c:f>'1. DF_continuous_pH7_3'!$M$4</c:f>
              <c:strCache>
                <c:ptCount val="1"/>
                <c:pt idx="0">
                  <c:v>Formate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DF_continuous_pH7_3'!$M$5:$M$25</c15:sqref>
                  </c15:fullRef>
                </c:ext>
              </c:extLst>
              <c:f>'1. DF_continuous_pH7_3'!$M$5:$M$17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0.75893999999999995</c:v>
                </c:pt>
                <c:pt idx="4">
                  <c:v>0.76310999999999996</c:v>
                </c:pt>
                <c:pt idx="5">
                  <c:v>0.68376085714285706</c:v>
                </c:pt>
                <c:pt idx="6">
                  <c:v>1.2134699999999998</c:v>
                </c:pt>
                <c:pt idx="7">
                  <c:v>1.3843208571428569</c:v>
                </c:pt>
                <c:pt idx="8">
                  <c:v>0.80457171428571428</c:v>
                </c:pt>
                <c:pt idx="9">
                  <c:v>1.1855905714285715</c:v>
                </c:pt>
                <c:pt idx="10">
                  <c:v>1.3903971428571429</c:v>
                </c:pt>
                <c:pt idx="11">
                  <c:v>1.0179565714285714</c:v>
                </c:pt>
                <c:pt idx="12">
                  <c:v>1.4161320000000002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14-4B1B-887D-AC305605A38B}"/>
            </c:ext>
          </c:extLst>
        </c:ser>
        <c:ser>
          <c:idx val="12"/>
          <c:order val="12"/>
          <c:tx>
            <c:strRef>
              <c:f>'1. DF_continuous_pH7_3'!$N$4</c:f>
              <c:strCache>
                <c:ptCount val="1"/>
                <c:pt idx="0">
                  <c:v>EtOH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DF_continuous_pH7_3'!$N$5:$N$25</c15:sqref>
                  </c15:fullRef>
                </c:ext>
              </c:extLst>
              <c:f>'1. DF_continuous_pH7_3'!$N$5:$N$17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1.75948164</c:v>
                </c:pt>
                <c:pt idx="3">
                  <c:v>2.5031242000000002</c:v>
                </c:pt>
                <c:pt idx="4">
                  <c:v>2.4906190000000001</c:v>
                </c:pt>
                <c:pt idx="5">
                  <c:v>2.9267527371428574</c:v>
                </c:pt>
                <c:pt idx="6">
                  <c:v>2.5542764228571433</c:v>
                </c:pt>
                <c:pt idx="7">
                  <c:v>2.5601717314285719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14-4B1B-887D-AC305605A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2406543"/>
        <c:axId val="1972404879"/>
      </c:barChart>
      <c:lineChart>
        <c:grouping val="stacked"/>
        <c:varyColors val="0"/>
        <c:ser>
          <c:idx val="5"/>
          <c:order val="0"/>
          <c:tx>
            <c:strRef>
              <c:f>'1. DF_continuous_pH7_3'!$O$4</c:f>
              <c:strCache>
                <c:ptCount val="1"/>
                <c:pt idx="0">
                  <c:v>(%) COD-VFAs/CODin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  <c:pt idx="12">
                  <c:v>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DF_continuous_pH7_3'!$O$5:$O$25</c15:sqref>
                  </c15:fullRef>
                </c:ext>
              </c:extLst>
              <c:f>'1. DF_continuous_pH7_3'!$O$5:$O$17</c:f>
              <c:numCache>
                <c:formatCode>General</c:formatCode>
                <c:ptCount val="13"/>
                <c:pt idx="0">
                  <c:v>27.92157395833334</c:v>
                </c:pt>
                <c:pt idx="1">
                  <c:v>38.206850000000003</c:v>
                </c:pt>
                <c:pt idx="2">
                  <c:v>43.101972500000002</c:v>
                </c:pt>
                <c:pt idx="3">
                  <c:v>43.411488541666678</c:v>
                </c:pt>
                <c:pt idx="4">
                  <c:v>44.561138541666679</c:v>
                </c:pt>
                <c:pt idx="5">
                  <c:v>43.093716354166673</c:v>
                </c:pt>
                <c:pt idx="6">
                  <c:v>46.192448422619051</c:v>
                </c:pt>
                <c:pt idx="7">
                  <c:v>47.2524905952381</c:v>
                </c:pt>
                <c:pt idx="8">
                  <c:v>46.850988318452387</c:v>
                </c:pt>
                <c:pt idx="9">
                  <c:v>47.72898147321429</c:v>
                </c:pt>
                <c:pt idx="10">
                  <c:v>46.064107812500005</c:v>
                </c:pt>
                <c:pt idx="11">
                  <c:v>40.666282738095241</c:v>
                </c:pt>
                <c:pt idx="12">
                  <c:v>26.099280406746029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14-4B1B-887D-AC305605A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59472"/>
        <c:axId val="946665296"/>
      </c:lineChart>
      <c:catAx>
        <c:axId val="197240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Elapsed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2404879"/>
        <c:crosses val="autoZero"/>
        <c:auto val="1"/>
        <c:lblAlgn val="ctr"/>
        <c:lblOffset val="100"/>
        <c:noMultiLvlLbl val="0"/>
      </c:catAx>
      <c:valAx>
        <c:axId val="1972404879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VFAs (g COD/L)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2406543"/>
        <c:crosses val="autoZero"/>
        <c:crossBetween val="between"/>
      </c:valAx>
      <c:valAx>
        <c:axId val="94666529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6659472"/>
        <c:crosses val="max"/>
        <c:crossBetween val="between"/>
      </c:valAx>
      <c:catAx>
        <c:axId val="94665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665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'1. DF_continuous_pH7_3'!$C$4</c:f>
              <c:strCache>
                <c:ptCount val="1"/>
                <c:pt idx="0">
                  <c:v>C2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DF_continuous_pH7_3'!$C$5:$C$25</c15:sqref>
                  </c15:fullRef>
                </c:ext>
              </c:extLst>
              <c:f>'1. DF_continuous_pH7_3'!$C$17:$C$25</c:f>
              <c:numCache>
                <c:formatCode>General</c:formatCode>
                <c:ptCount val="9"/>
                <c:pt idx="0">
                  <c:v>3.7142269999999997</c:v>
                </c:pt>
                <c:pt idx="1">
                  <c:v>3.77718</c:v>
                </c:pt>
                <c:pt idx="2">
                  <c:v>4.9988949999999992</c:v>
                </c:pt>
                <c:pt idx="3">
                  <c:v>6.0264159999999993</c:v>
                </c:pt>
                <c:pt idx="4">
                  <c:v>6.9269639999999999</c:v>
                </c:pt>
                <c:pt idx="5">
                  <c:v>6.8768149999999997</c:v>
                </c:pt>
                <c:pt idx="6">
                  <c:v>8.1838899999999999</c:v>
                </c:pt>
                <c:pt idx="7">
                  <c:v>7.5564939999999998</c:v>
                </c:pt>
                <c:pt idx="8">
                  <c:v>6.7658469999999999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C-4928-AA21-F05B220F527B}"/>
            </c:ext>
          </c:extLst>
        </c:ser>
        <c:ser>
          <c:idx val="1"/>
          <c:order val="2"/>
          <c:tx>
            <c:strRef>
              <c:f>'1. DF_continuous_pH7_3'!$D$4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DF_continuous_pH7_3'!$D$5:$D$25</c15:sqref>
                  </c15:fullRef>
                </c:ext>
              </c:extLst>
              <c:f>'1. DF_continuous_pH7_3'!$D$17:$D$25</c:f>
              <c:numCache>
                <c:formatCode>General</c:formatCode>
                <c:ptCount val="9"/>
                <c:pt idx="0">
                  <c:v>1.4375199999999999</c:v>
                </c:pt>
                <c:pt idx="1">
                  <c:v>1.9252499999999999</c:v>
                </c:pt>
                <c:pt idx="2">
                  <c:v>2.10947</c:v>
                </c:pt>
                <c:pt idx="3">
                  <c:v>2.1381600000000001</c:v>
                </c:pt>
                <c:pt idx="4">
                  <c:v>2.6651499999999997</c:v>
                </c:pt>
                <c:pt idx="5">
                  <c:v>2.6409900000000004</c:v>
                </c:pt>
                <c:pt idx="6">
                  <c:v>3.8097300000000001</c:v>
                </c:pt>
                <c:pt idx="7">
                  <c:v>3.1075799999999996</c:v>
                </c:pt>
                <c:pt idx="8">
                  <c:v>2.1894999999999998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C-4928-AA21-F05B220F527B}"/>
            </c:ext>
          </c:extLst>
        </c:ser>
        <c:ser>
          <c:idx val="2"/>
          <c:order val="3"/>
          <c:tx>
            <c:strRef>
              <c:f>'1. DF_continuous_pH7_3'!$E$4</c:f>
              <c:strCache>
                <c:ptCount val="1"/>
                <c:pt idx="0">
                  <c:v>IC4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DF_continuous_pH7_3'!$E$5:$E$25</c15:sqref>
                  </c15:fullRef>
                </c:ext>
              </c:extLst>
              <c:f>'1. DF_continuous_pH7_3'!$E$17:$E$25</c:f>
              <c:numCache>
                <c:formatCode>General</c:formatCode>
                <c:ptCount val="9"/>
                <c:pt idx="0">
                  <c:v>9.2717999999999995E-2</c:v>
                </c:pt>
                <c:pt idx="1">
                  <c:v>0.147258</c:v>
                </c:pt>
                <c:pt idx="2">
                  <c:v>0.165438</c:v>
                </c:pt>
                <c:pt idx="3">
                  <c:v>0.12362400000000001</c:v>
                </c:pt>
                <c:pt idx="4">
                  <c:v>0.161802</c:v>
                </c:pt>
                <c:pt idx="5">
                  <c:v>0.24724800000000002</c:v>
                </c:pt>
                <c:pt idx="6">
                  <c:v>0.24906600000000004</c:v>
                </c:pt>
                <c:pt idx="7">
                  <c:v>0.323604</c:v>
                </c:pt>
                <c:pt idx="8">
                  <c:v>0.158166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C-4928-AA21-F05B220F527B}"/>
            </c:ext>
          </c:extLst>
        </c:ser>
        <c:ser>
          <c:idx val="3"/>
          <c:order val="4"/>
          <c:tx>
            <c:strRef>
              <c:f>'1. DF_continuous_pH7_3'!$F$4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DF_continuous_pH7_3'!$F$5:$F$25</c15:sqref>
                  </c15:fullRef>
                </c:ext>
              </c:extLst>
              <c:f>'1. DF_continuous_pH7_3'!$F$17:$F$25</c:f>
              <c:numCache>
                <c:formatCode>General</c:formatCode>
                <c:ptCount val="9"/>
                <c:pt idx="0">
                  <c:v>5.0013180000000004</c:v>
                </c:pt>
                <c:pt idx="1">
                  <c:v>4.3413839999999997</c:v>
                </c:pt>
                <c:pt idx="2">
                  <c:v>4.114134</c:v>
                </c:pt>
                <c:pt idx="3">
                  <c:v>3.2578560000000003</c:v>
                </c:pt>
                <c:pt idx="4">
                  <c:v>3.1578660000000003</c:v>
                </c:pt>
                <c:pt idx="5">
                  <c:v>3.4814700000000003</c:v>
                </c:pt>
                <c:pt idx="6">
                  <c:v>4.579542</c:v>
                </c:pt>
                <c:pt idx="7">
                  <c:v>5.0504040000000003</c:v>
                </c:pt>
                <c:pt idx="8">
                  <c:v>4.0850460000000002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C-4928-AA21-F05B220F527B}"/>
            </c:ext>
          </c:extLst>
        </c:ser>
        <c:ser>
          <c:idx val="4"/>
          <c:order val="5"/>
          <c:tx>
            <c:strRef>
              <c:f>'1. DF_continuous_pH7_3'!$G$4</c:f>
              <c:strCache>
                <c:ptCount val="1"/>
                <c:pt idx="0">
                  <c:v>IC5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DF_continuous_pH7_3'!$G$5:$G$25</c15:sqref>
                  </c15:fullRef>
                </c:ext>
              </c:extLst>
              <c:f>'1. DF_continuous_pH7_3'!$G$17:$G$25</c:f>
              <c:numCache>
                <c:formatCode>General</c:formatCode>
                <c:ptCount val="9"/>
                <c:pt idx="0">
                  <c:v>9.9597400000000003E-2</c:v>
                </c:pt>
                <c:pt idx="1">
                  <c:v>0.1402494</c:v>
                </c:pt>
                <c:pt idx="2">
                  <c:v>0.13618420000000001</c:v>
                </c:pt>
                <c:pt idx="3">
                  <c:v>7.5206200000000001E-2</c:v>
                </c:pt>
                <c:pt idx="4">
                  <c:v>0.1077278</c:v>
                </c:pt>
                <c:pt idx="5">
                  <c:v>0.10976039999999999</c:v>
                </c:pt>
                <c:pt idx="6">
                  <c:v>0.31505299999999997</c:v>
                </c:pt>
                <c:pt idx="7">
                  <c:v>0.18293399999999999</c:v>
                </c:pt>
                <c:pt idx="8">
                  <c:v>0.13008639999999999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DC-4928-AA21-F05B220F527B}"/>
            </c:ext>
          </c:extLst>
        </c:ser>
        <c:ser>
          <c:idx val="7"/>
          <c:order val="6"/>
          <c:tx>
            <c:strRef>
              <c:f>'1. DF_continuous_pH7_3'!$H$4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DF_continuous_pH7_3'!$H$5:$H$25</c15:sqref>
                  </c15:fullRef>
                </c:ext>
              </c:extLst>
              <c:f>'1. DF_continuous_pH7_3'!$H$17:$H$25</c:f>
              <c:numCache>
                <c:formatCode>General</c:formatCode>
                <c:ptCount val="9"/>
                <c:pt idx="0">
                  <c:v>0.5040848</c:v>
                </c:pt>
                <c:pt idx="1">
                  <c:v>0.56303020000000004</c:v>
                </c:pt>
                <c:pt idx="2">
                  <c:v>0.63417119999999993</c:v>
                </c:pt>
                <c:pt idx="3">
                  <c:v>0.70327959999999989</c:v>
                </c:pt>
                <c:pt idx="4">
                  <c:v>1.2378533999999999</c:v>
                </c:pt>
                <c:pt idx="5">
                  <c:v>1.1504515999999998</c:v>
                </c:pt>
                <c:pt idx="6">
                  <c:v>2.0834149999999996</c:v>
                </c:pt>
                <c:pt idx="7">
                  <c:v>1.2915140399999998</c:v>
                </c:pt>
                <c:pt idx="8">
                  <c:v>0.76222499999999993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DC-4928-AA21-F05B220F527B}"/>
            </c:ext>
          </c:extLst>
        </c:ser>
        <c:ser>
          <c:idx val="9"/>
          <c:order val="9"/>
          <c:tx>
            <c:strRef>
              <c:f>'1. DF_continuous_pH7_3'!$K$4</c:f>
              <c:strCache>
                <c:ptCount val="1"/>
                <c:pt idx="0">
                  <c:v>Lactate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DF_continuous_pH7_3'!$K$5:$K$25</c15:sqref>
                  </c15:fullRef>
                </c:ext>
              </c:extLst>
              <c:f>'1. DF_continuous_pH7_3'!$K$17:$K$25</c:f>
              <c:numCache>
                <c:formatCode>General</c:formatCode>
                <c:ptCount val="9"/>
                <c:pt idx="0">
                  <c:v>0.39427174285714284</c:v>
                </c:pt>
                <c:pt idx="1">
                  <c:v>0.39427174285714284</c:v>
                </c:pt>
                <c:pt idx="2">
                  <c:v>1.0250516571428572</c:v>
                </c:pt>
                <c:pt idx="3">
                  <c:v>1.2001006285714286</c:v>
                </c:pt>
                <c:pt idx="4">
                  <c:v>0</c:v>
                </c:pt>
                <c:pt idx="5">
                  <c:v>0</c:v>
                </c:pt>
                <c:pt idx="6">
                  <c:v>4.0881342857142858E-2</c:v>
                </c:pt>
                <c:pt idx="7">
                  <c:v>0.50511780000000006</c:v>
                </c:pt>
                <c:pt idx="8">
                  <c:v>1.1984544000000001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DC-4928-AA21-F05B220F527B}"/>
            </c:ext>
          </c:extLst>
        </c:ser>
        <c:ser>
          <c:idx val="10"/>
          <c:order val="10"/>
          <c:tx>
            <c:strRef>
              <c:f>'1. DF_continuous_pH7_3'!$L$4</c:f>
              <c:strCache>
                <c:ptCount val="1"/>
                <c:pt idx="0">
                  <c:v>Succinate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DF_continuous_pH7_3'!$L$5:$L$25</c15:sqref>
                  </c15:fullRef>
                </c:ext>
              </c:extLst>
              <c:f>'1. DF_continuous_pH7_3'!$L$17:$L$25</c:f>
              <c:numCache>
                <c:formatCode>General</c:formatCode>
                <c:ptCount val="9"/>
                <c:pt idx="0">
                  <c:v>1.3261165714285714</c:v>
                </c:pt>
                <c:pt idx="1">
                  <c:v>1.3261165714285714</c:v>
                </c:pt>
                <c:pt idx="2">
                  <c:v>1.7337024000000001</c:v>
                </c:pt>
                <c:pt idx="3">
                  <c:v>2.4825682285714286</c:v>
                </c:pt>
                <c:pt idx="4">
                  <c:v>2.435520342857143</c:v>
                </c:pt>
                <c:pt idx="5">
                  <c:v>2.2214890285714288</c:v>
                </c:pt>
                <c:pt idx="6">
                  <c:v>1.7234639999999999</c:v>
                </c:pt>
                <c:pt idx="7">
                  <c:v>2.5844646857142859</c:v>
                </c:pt>
                <c:pt idx="8">
                  <c:v>2.7870387428571428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DC-4928-AA21-F05B220F527B}"/>
            </c:ext>
          </c:extLst>
        </c:ser>
        <c:ser>
          <c:idx val="11"/>
          <c:order val="11"/>
          <c:tx>
            <c:strRef>
              <c:f>'1. DF_continuous_pH7_3'!$M$4</c:f>
              <c:strCache>
                <c:ptCount val="1"/>
                <c:pt idx="0">
                  <c:v>Formate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DF_continuous_pH7_3'!$M$5:$M$25</c15:sqref>
                  </c15:fullRef>
                </c:ext>
              </c:extLst>
              <c:f>'1. DF_continuous_pH7_3'!$M$17:$M$25</c:f>
              <c:numCache>
                <c:formatCode>General</c:formatCode>
                <c:ptCount val="9"/>
                <c:pt idx="0">
                  <c:v>1.4161320000000002</c:v>
                </c:pt>
                <c:pt idx="1">
                  <c:v>1.4161320000000002</c:v>
                </c:pt>
                <c:pt idx="2">
                  <c:v>1.8025122857142857</c:v>
                </c:pt>
                <c:pt idx="3">
                  <c:v>1.9551342857142859</c:v>
                </c:pt>
                <c:pt idx="4">
                  <c:v>1.6541794285714286</c:v>
                </c:pt>
                <c:pt idx="5">
                  <c:v>2.0963185714285713</c:v>
                </c:pt>
                <c:pt idx="6">
                  <c:v>2.113117714285714</c:v>
                </c:pt>
                <c:pt idx="7">
                  <c:v>2.8122479999999999</c:v>
                </c:pt>
                <c:pt idx="8">
                  <c:v>2.3300768571428572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DC-4928-AA21-F05B220F527B}"/>
            </c:ext>
          </c:extLst>
        </c:ser>
        <c:ser>
          <c:idx val="12"/>
          <c:order val="12"/>
          <c:tx>
            <c:strRef>
              <c:f>'1. DF_continuous_pH7_3'!$N$4</c:f>
              <c:strCache>
                <c:ptCount val="1"/>
                <c:pt idx="0">
                  <c:v>EtOH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DF_continuous_pH7_3'!$N$5:$N$25</c15:sqref>
                  </c15:fullRef>
                </c:ext>
              </c:extLst>
              <c:f>'1. DF_continuous_pH7_3'!$N$17:$N$25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CDC-4928-AA21-F05B220F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2406543"/>
        <c:axId val="1972404879"/>
        <c:extLst>
          <c:ext xmlns:c15="http://schemas.microsoft.com/office/drawing/2012/chart" uri="{02D57815-91ED-43cb-92C2-25804820EDAC}">
            <c15:filteredBar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'1. DF_continuous_pH7_3'!$I$4</c15:sqref>
                        </c15:formulaRef>
                      </c:ext>
                    </c:extLst>
                    <c:strCache>
                      <c:ptCount val="1"/>
                      <c:pt idx="0">
                        <c:v>IC6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'1. DF_continuous_pH7_3'!$B$5:$B$25</c15:sqref>
                        </c15:fullRef>
                        <c15:formulaRef>
                          <c15:sqref>'1. DF_continuous_pH7_3'!$B$17:$B$25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13</c:v>
                      </c:pt>
                      <c:pt idx="1">
                        <c:v>14</c:v>
                      </c:pt>
                      <c:pt idx="2">
                        <c:v>15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27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'1. DF_continuous_pH7_3'!$I$5:$I$12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CDC-4928-AA21-F05B220F527B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 DF_continuous_pH7_3'!$J$4</c15:sqref>
                        </c15:formulaRef>
                      </c:ext>
                    </c:extLst>
                    <c:strCache>
                      <c:ptCount val="1"/>
                      <c:pt idx="0">
                        <c:v>C6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'1. DF_continuous_pH7_3'!$B$5:$B$25</c15:sqref>
                        </c15:fullRef>
                        <c15:formulaRef>
                          <c15:sqref>'1. DF_continuous_pH7_3'!$B$17:$B$25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23</c:v>
                      </c:pt>
                      <c:pt idx="3">
                        <c:v>24</c:v>
                      </c:pt>
                      <c:pt idx="4">
                        <c:v>27</c:v>
                      </c:pt>
                      <c:pt idx="5">
                        <c:v>28</c:v>
                      </c:pt>
                      <c:pt idx="6">
                        <c:v>29</c:v>
                      </c:pt>
                      <c:pt idx="7">
                        <c:v>30</c:v>
                      </c:pt>
                      <c:pt idx="8">
                        <c:v>31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'1. DF_continuous_pH7_3'!$J$5:$J$16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CDC-4928-AA21-F05B220F527B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0"/>
          <c:tx>
            <c:strRef>
              <c:f>'1. DF_continuous_pH7_3'!$O$4</c:f>
              <c:strCache>
                <c:ptCount val="1"/>
                <c:pt idx="0">
                  <c:v>(%) COD-VFAs/CODin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DF_continuous_pH7_3'!$B$5:$B$25</c15:sqref>
                  </c15:fullRef>
                </c:ext>
              </c:extLst>
              <c:f>'1. DF_continuous_pH7_3'!$B$17:$B$25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DF_continuous_pH7_3'!$O$5:$O$25</c15:sqref>
                  </c15:fullRef>
                </c:ext>
              </c:extLst>
              <c:f>'1. DF_continuous_pH7_3'!$O$17:$O$25</c:f>
              <c:numCache>
                <c:formatCode>General</c:formatCode>
                <c:ptCount val="9"/>
                <c:pt idx="0">
                  <c:v>26.099280406746029</c:v>
                </c:pt>
                <c:pt idx="1">
                  <c:v>26.540055406746028</c:v>
                </c:pt>
                <c:pt idx="2">
                  <c:v>31.177358928571429</c:v>
                </c:pt>
                <c:pt idx="3">
                  <c:v>33.38462663690477</c:v>
                </c:pt>
                <c:pt idx="4">
                  <c:v>34.656012103174596</c:v>
                </c:pt>
                <c:pt idx="5">
                  <c:v>35.320733680555563</c:v>
                </c:pt>
                <c:pt idx="6">
                  <c:v>44.283262251984127</c:v>
                </c:pt>
                <c:pt idx="7">
                  <c:v>43.480139801587299</c:v>
                </c:pt>
                <c:pt idx="8">
                  <c:v>37.49416736111111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DC-4928-AA21-F05B220F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59472"/>
        <c:axId val="946665296"/>
      </c:lineChart>
      <c:catAx>
        <c:axId val="197240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Elapsed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2404879"/>
        <c:crosses val="autoZero"/>
        <c:auto val="1"/>
        <c:lblAlgn val="ctr"/>
        <c:lblOffset val="100"/>
        <c:noMultiLvlLbl val="0"/>
      </c:catAx>
      <c:valAx>
        <c:axId val="1972404879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VFAs (g COD/L)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2406543"/>
        <c:crosses val="autoZero"/>
        <c:crossBetween val="between"/>
      </c:valAx>
      <c:valAx>
        <c:axId val="94666529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6659472"/>
        <c:crosses val="max"/>
        <c:crossBetween val="between"/>
      </c:valAx>
      <c:catAx>
        <c:axId val="94665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665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372630575740051E-2"/>
          <c:y val="8.5044153150301949E-2"/>
          <c:w val="0.67589461715827115"/>
          <c:h val="0.7712081956382365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'1. DF_continuous_pH7_3'!$C$4</c:f>
              <c:strCache>
                <c:ptCount val="1"/>
                <c:pt idx="0">
                  <c:v>C2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DF_continuous_pH7_3'!$C$5:$C$36</c15:sqref>
                  </c15:fullRef>
                </c:ext>
              </c:extLst>
              <c:f>('1. DF_continuous_pH7_3'!$C$5,'1. DF_continuous_pH7_3'!$C$8,'1. DF_continuous_pH7_3'!$C$12,'1. DF_continuous_pH7_3'!$C$15:$C$16,'1. DF_continuous_pH7_3'!$C$18,'1. DF_continuous_pH7_3'!$C$20,'1. DF_continuous_pH7_3'!$C$23,'1. DF_continuous_pH7_3'!$C$26,'1. DF_continuous_pH7_3'!$C$31,'1. DF_continuous_pH7_3'!$C$34,'1. DF_continuous_pH7_3'!$C$36)</c:f>
              <c:numCache>
                <c:formatCode>General</c:formatCode>
                <c:ptCount val="12"/>
                <c:pt idx="0">
                  <c:v>3.8732099999999998</c:v>
                </c:pt>
                <c:pt idx="1">
                  <c:v>5.6006829999999992</c:v>
                </c:pt>
                <c:pt idx="2">
                  <c:v>5.1781509999999997</c:v>
                </c:pt>
                <c:pt idx="3">
                  <c:v>5.0575799999999997</c:v>
                </c:pt>
                <c:pt idx="4">
                  <c:v>4.2840049999999996</c:v>
                </c:pt>
                <c:pt idx="5">
                  <c:v>3.77718</c:v>
                </c:pt>
                <c:pt idx="6">
                  <c:v>6.0264159999999993</c:v>
                </c:pt>
                <c:pt idx="7">
                  <c:v>8.1838899999999999</c:v>
                </c:pt>
                <c:pt idx="8">
                  <c:v>8.2265699999999988</c:v>
                </c:pt>
                <c:pt idx="9">
                  <c:v>7.5991739999999997</c:v>
                </c:pt>
                <c:pt idx="10">
                  <c:v>7.6749309999999991</c:v>
                </c:pt>
                <c:pt idx="11">
                  <c:v>5.8119489999999994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7-4035-96C1-17D845771F4B}"/>
            </c:ext>
          </c:extLst>
        </c:ser>
        <c:ser>
          <c:idx val="1"/>
          <c:order val="2"/>
          <c:tx>
            <c:strRef>
              <c:f>'1. DF_continuous_pH7_3'!$D$4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DF_continuous_pH7_3'!$D$5:$D$36</c15:sqref>
                  </c15:fullRef>
                </c:ext>
              </c:extLst>
              <c:f>('1. DF_continuous_pH7_3'!$D$5,'1. DF_continuous_pH7_3'!$D$8,'1. DF_continuous_pH7_3'!$D$12,'1. DF_continuous_pH7_3'!$D$15:$D$16,'1. DF_continuous_pH7_3'!$D$18,'1. DF_continuous_pH7_3'!$D$20,'1. DF_continuous_pH7_3'!$D$23,'1. DF_continuous_pH7_3'!$D$26,'1. DF_continuous_pH7_3'!$D$31,'1. DF_continuous_pH7_3'!$D$34,'1. DF_continuous_pH7_3'!$D$36)</c:f>
              <c:numCache>
                <c:formatCode>General</c:formatCode>
                <c:ptCount val="12"/>
                <c:pt idx="0">
                  <c:v>5.2865099999999998</c:v>
                </c:pt>
                <c:pt idx="1">
                  <c:v>3.1800599999999997</c:v>
                </c:pt>
                <c:pt idx="2">
                  <c:v>2.5126399999999998</c:v>
                </c:pt>
                <c:pt idx="3">
                  <c:v>2.6832699999999998</c:v>
                </c:pt>
                <c:pt idx="4">
                  <c:v>1.54322</c:v>
                </c:pt>
                <c:pt idx="5">
                  <c:v>1.9252499999999999</c:v>
                </c:pt>
                <c:pt idx="6">
                  <c:v>2.1381600000000001</c:v>
                </c:pt>
                <c:pt idx="7">
                  <c:v>3.8097300000000001</c:v>
                </c:pt>
                <c:pt idx="8">
                  <c:v>2.1034299999999999</c:v>
                </c:pt>
                <c:pt idx="9">
                  <c:v>3.6209800000000003</c:v>
                </c:pt>
                <c:pt idx="10">
                  <c:v>2.2725499999999998</c:v>
                </c:pt>
                <c:pt idx="11">
                  <c:v>2.9731900000000002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7-4035-96C1-17D845771F4B}"/>
            </c:ext>
          </c:extLst>
        </c:ser>
        <c:ser>
          <c:idx val="2"/>
          <c:order val="3"/>
          <c:tx>
            <c:strRef>
              <c:f>'1. DF_continuous_pH7_3'!$E$4</c:f>
              <c:strCache>
                <c:ptCount val="1"/>
                <c:pt idx="0">
                  <c:v>IC4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DF_continuous_pH7_3'!$E$5:$E$36</c15:sqref>
                  </c15:fullRef>
                </c:ext>
              </c:extLst>
              <c:f>('1. DF_continuous_pH7_3'!$E$5,'1. DF_continuous_pH7_3'!$E$8,'1. DF_continuous_pH7_3'!$E$12,'1. DF_continuous_pH7_3'!$E$15:$E$16,'1. DF_continuous_pH7_3'!$E$18,'1. DF_continuous_pH7_3'!$E$20,'1. DF_continuous_pH7_3'!$E$23,'1. DF_continuous_pH7_3'!$E$26,'1. DF_continuous_pH7_3'!$E$31,'1. DF_continuous_pH7_3'!$E$34,'1. DF_continuous_pH7_3'!$E$36)</c:f>
              <c:numCache>
                <c:formatCode>General</c:formatCode>
                <c:ptCount val="12"/>
                <c:pt idx="0">
                  <c:v>7.9991999999999994E-2</c:v>
                </c:pt>
                <c:pt idx="1">
                  <c:v>0.14180400000000001</c:v>
                </c:pt>
                <c:pt idx="2">
                  <c:v>0.129078</c:v>
                </c:pt>
                <c:pt idx="3">
                  <c:v>0.143622</c:v>
                </c:pt>
                <c:pt idx="4">
                  <c:v>0.10908</c:v>
                </c:pt>
                <c:pt idx="5">
                  <c:v>0.147258</c:v>
                </c:pt>
                <c:pt idx="6">
                  <c:v>0.12362400000000001</c:v>
                </c:pt>
                <c:pt idx="7">
                  <c:v>0.24906600000000004</c:v>
                </c:pt>
                <c:pt idx="8">
                  <c:v>5.4539999999999998E-2</c:v>
                </c:pt>
                <c:pt idx="9">
                  <c:v>0.17089200000000002</c:v>
                </c:pt>
                <c:pt idx="10">
                  <c:v>5.8176000000000005E-2</c:v>
                </c:pt>
                <c:pt idx="11">
                  <c:v>7.6356000000000007E-2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7-4035-96C1-17D845771F4B}"/>
            </c:ext>
          </c:extLst>
        </c:ser>
        <c:ser>
          <c:idx val="3"/>
          <c:order val="4"/>
          <c:tx>
            <c:strRef>
              <c:f>'1. DF_continuous_pH7_3'!$F$4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DF_continuous_pH7_3'!$F$5:$F$36</c15:sqref>
                  </c15:fullRef>
                </c:ext>
              </c:extLst>
              <c:f>('1. DF_continuous_pH7_3'!$F$5,'1. DF_continuous_pH7_3'!$F$8,'1. DF_continuous_pH7_3'!$F$12,'1. DF_continuous_pH7_3'!$F$15:$F$16,'1. DF_continuous_pH7_3'!$F$18,'1. DF_continuous_pH7_3'!$F$20,'1. DF_continuous_pH7_3'!$F$23,'1. DF_continuous_pH7_3'!$F$26,'1. DF_continuous_pH7_3'!$F$31,'1. DF_continuous_pH7_3'!$F$34,'1. DF_continuous_pH7_3'!$F$36)</c:f>
              <c:numCache>
                <c:formatCode>General</c:formatCode>
                <c:ptCount val="12"/>
                <c:pt idx="0">
                  <c:v>1.2707819999999999</c:v>
                </c:pt>
                <c:pt idx="1">
                  <c:v>2.2634100000000004</c:v>
                </c:pt>
                <c:pt idx="2">
                  <c:v>3.2542200000000001</c:v>
                </c:pt>
                <c:pt idx="3">
                  <c:v>5.5430820000000001</c:v>
                </c:pt>
                <c:pt idx="4">
                  <c:v>4.56318</c:v>
                </c:pt>
                <c:pt idx="5">
                  <c:v>4.3413839999999997</c:v>
                </c:pt>
                <c:pt idx="6">
                  <c:v>3.2578560000000003</c:v>
                </c:pt>
                <c:pt idx="7">
                  <c:v>4.579542</c:v>
                </c:pt>
                <c:pt idx="8">
                  <c:v>2.3906700000000001</c:v>
                </c:pt>
                <c:pt idx="9">
                  <c:v>2.8924379999999998</c:v>
                </c:pt>
                <c:pt idx="10">
                  <c:v>1.9798020000000001</c:v>
                </c:pt>
                <c:pt idx="11">
                  <c:v>2.2179600000000002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17-4035-96C1-17D845771F4B}"/>
            </c:ext>
          </c:extLst>
        </c:ser>
        <c:ser>
          <c:idx val="4"/>
          <c:order val="5"/>
          <c:tx>
            <c:strRef>
              <c:f>'1. DF_continuous_pH7_3'!$G$4</c:f>
              <c:strCache>
                <c:ptCount val="1"/>
                <c:pt idx="0">
                  <c:v>IC5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DF_continuous_pH7_3'!$G$5:$G$36</c15:sqref>
                  </c15:fullRef>
                </c:ext>
              </c:extLst>
              <c:f>('1. DF_continuous_pH7_3'!$G$5,'1. DF_continuous_pH7_3'!$G$8,'1. DF_continuous_pH7_3'!$G$12,'1. DF_continuous_pH7_3'!$G$15:$G$16,'1. DF_continuous_pH7_3'!$G$18,'1. DF_continuous_pH7_3'!$G$20,'1. DF_continuous_pH7_3'!$G$23,'1. DF_continuous_pH7_3'!$G$26,'1. DF_continuous_pH7_3'!$G$31,'1. DF_continuous_pH7_3'!$G$34,'1. DF_continuous_pH7_3'!$G$36)</c:f>
              <c:numCache>
                <c:formatCode>General</c:formatCode>
                <c:ptCount val="12"/>
                <c:pt idx="0">
                  <c:v>5.8945400000000002E-2</c:v>
                </c:pt>
                <c:pt idx="1">
                  <c:v>0.10976039999999999</c:v>
                </c:pt>
                <c:pt idx="2">
                  <c:v>0.1382168</c:v>
                </c:pt>
                <c:pt idx="3">
                  <c:v>0.17683619999999997</c:v>
                </c:pt>
                <c:pt idx="4">
                  <c:v>0.1402494</c:v>
                </c:pt>
                <c:pt idx="5">
                  <c:v>0.1402494</c:v>
                </c:pt>
                <c:pt idx="6">
                  <c:v>7.5206200000000001E-2</c:v>
                </c:pt>
                <c:pt idx="7">
                  <c:v>0.31505299999999997</c:v>
                </c:pt>
                <c:pt idx="8">
                  <c:v>2.2358599999999999E-2</c:v>
                </c:pt>
                <c:pt idx="9">
                  <c:v>0.1077278</c:v>
                </c:pt>
                <c:pt idx="10">
                  <c:v>3.8619399999999998E-2</c:v>
                </c:pt>
                <c:pt idx="11">
                  <c:v>5.2847599999999995E-2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17-4035-96C1-17D845771F4B}"/>
            </c:ext>
          </c:extLst>
        </c:ser>
        <c:ser>
          <c:idx val="7"/>
          <c:order val="6"/>
          <c:tx>
            <c:strRef>
              <c:f>'1. DF_continuous_pH7_3'!$H$4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DF_continuous_pH7_3'!$H$5:$H$36</c15:sqref>
                  </c15:fullRef>
                </c:ext>
              </c:extLst>
              <c:f>('1. DF_continuous_pH7_3'!$H$5,'1. DF_continuous_pH7_3'!$H$8,'1. DF_continuous_pH7_3'!$H$12,'1. DF_continuous_pH7_3'!$H$15:$H$16,'1. DF_continuous_pH7_3'!$H$18,'1. DF_continuous_pH7_3'!$H$20,'1. DF_continuous_pH7_3'!$H$23,'1. DF_continuous_pH7_3'!$H$26,'1. DF_continuous_pH7_3'!$H$31,'1. DF_continuous_pH7_3'!$H$34,'1. DF_continuous_pH7_3'!$H$36)</c:f>
              <c:numCache>
                <c:formatCode>General</c:formatCode>
                <c:ptCount val="12"/>
                <c:pt idx="0">
                  <c:v>0.152445</c:v>
                </c:pt>
                <c:pt idx="1">
                  <c:v>0.18293399999999999</c:v>
                </c:pt>
                <c:pt idx="2">
                  <c:v>0.1890318</c:v>
                </c:pt>
                <c:pt idx="3">
                  <c:v>0.5975843999999999</c:v>
                </c:pt>
                <c:pt idx="4">
                  <c:v>0.69311660000000008</c:v>
                </c:pt>
                <c:pt idx="5">
                  <c:v>0.56303020000000004</c:v>
                </c:pt>
                <c:pt idx="6">
                  <c:v>0.70327959999999989</c:v>
                </c:pt>
                <c:pt idx="7">
                  <c:v>2.0834149999999996</c:v>
                </c:pt>
                <c:pt idx="8">
                  <c:v>0.39025920000000003</c:v>
                </c:pt>
                <c:pt idx="9">
                  <c:v>0.70531219999999994</c:v>
                </c:pt>
                <c:pt idx="10">
                  <c:v>0.35570499999999999</c:v>
                </c:pt>
                <c:pt idx="11">
                  <c:v>0.44717200000000001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17-4035-96C1-17D845771F4B}"/>
            </c:ext>
          </c:extLst>
        </c:ser>
        <c:ser>
          <c:idx val="8"/>
          <c:order val="7"/>
          <c:tx>
            <c:strRef>
              <c:f>'1. DF_continuous_pH7_3'!$I$4</c:f>
              <c:strCache>
                <c:ptCount val="1"/>
                <c:pt idx="0">
                  <c:v>IC6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DF_continuous_pH7_3'!$I$5:$I$36</c15:sqref>
                  </c15:fullRef>
                </c:ext>
              </c:extLst>
              <c:f>('1. DF_continuous_pH7_3'!$I$5,'1. DF_continuous_pH7_3'!$I$8,'1. DF_continuous_pH7_3'!$I$12,'1. DF_continuous_pH7_3'!$I$15:$I$16,'1. DF_continuous_pH7_3'!$I$18,'1. DF_continuous_pH7_3'!$I$20,'1. DF_continuous_pH7_3'!$I$23,'1. DF_continuous_pH7_3'!$I$26,'1. DF_continuous_pH7_3'!$I$31,'1. DF_continuous_pH7_3'!$I$34,'1. DF_continuous_pH7_3'!$I$36)</c:f>
              <c:numCache>
                <c:formatCode>General</c:formatCode>
                <c:ptCount val="12"/>
                <c:pt idx="0">
                  <c:v>0</c:v>
                </c:pt>
                <c:pt idx="1">
                  <c:v>0.17600000000000002</c:v>
                </c:pt>
                <c:pt idx="2">
                  <c:v>8.14E-2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0.10560000000000001</c:v>
                </c:pt>
                <c:pt idx="7">
                  <c:v>7.4800000000000005E-2</c:v>
                </c:pt>
                <c:pt idx="8">
                  <c:v>0</c:v>
                </c:pt>
                <c:pt idx="9">
                  <c:v>0</c:v>
                </c:pt>
                <c:pt idx="10">
                  <c:v>3.9600000000000003E-2</c:v>
                </c:pt>
                <c:pt idx="11">
                  <c:v>3.7400000000000003E-2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17-4035-96C1-17D845771F4B}"/>
            </c:ext>
          </c:extLst>
        </c:ser>
        <c:ser>
          <c:idx val="6"/>
          <c:order val="8"/>
          <c:tx>
            <c:strRef>
              <c:f>'1. DF_continuous_pH7_3'!$J$4</c:f>
              <c:strCache>
                <c:ptCount val="1"/>
                <c:pt idx="0">
                  <c:v>C6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DF_continuous_pH7_3'!$J$5:$J$36</c15:sqref>
                  </c15:fullRef>
                </c:ext>
              </c:extLst>
              <c:f>('1. DF_continuous_pH7_3'!$J$5,'1. DF_continuous_pH7_3'!$J$8,'1. DF_continuous_pH7_3'!$J$12,'1. DF_continuous_pH7_3'!$J$15:$J$16,'1. DF_continuous_pH7_3'!$J$18,'1. DF_continuous_pH7_3'!$J$20,'1. DF_continuous_pH7_3'!$J$23,'1. DF_continuous_pH7_3'!$J$26,'1. DF_continuous_pH7_3'!$J$31,'1. DF_continuous_pH7_3'!$J$34,'1. DF_continuous_pH7_3'!$J$36)</c:f>
              <c:numCache>
                <c:formatCode>General</c:formatCode>
                <c:ptCount val="12"/>
                <c:pt idx="0">
                  <c:v>0</c:v>
                </c:pt>
                <c:pt idx="1">
                  <c:v>9.240000000000001E-2</c:v>
                </c:pt>
                <c:pt idx="2">
                  <c:v>7.4800000000000005E-2</c:v>
                </c:pt>
                <c:pt idx="3">
                  <c:v>0.69080000000000008</c:v>
                </c:pt>
                <c:pt idx="4">
                  <c:v>1.0186000000000002</c:v>
                </c:pt>
                <c:pt idx="5">
                  <c:v>1.2562</c:v>
                </c:pt>
                <c:pt idx="6">
                  <c:v>1.1616000000000002</c:v>
                </c:pt>
                <c:pt idx="7">
                  <c:v>2.3342000000000001</c:v>
                </c:pt>
                <c:pt idx="8">
                  <c:v>0.60060000000000013</c:v>
                </c:pt>
                <c:pt idx="9">
                  <c:v>0.60280000000000011</c:v>
                </c:pt>
                <c:pt idx="10">
                  <c:v>0.40260000000000001</c:v>
                </c:pt>
                <c:pt idx="11">
                  <c:v>0.54120000000000001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17-4035-96C1-17D845771F4B}"/>
            </c:ext>
          </c:extLst>
        </c:ser>
        <c:ser>
          <c:idx val="9"/>
          <c:order val="9"/>
          <c:tx>
            <c:strRef>
              <c:f>'1. DF_continuous_pH7_3'!$K$4</c:f>
              <c:strCache>
                <c:ptCount val="1"/>
                <c:pt idx="0">
                  <c:v>Lactate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DF_continuous_pH7_3'!$K$5:$K$36</c15:sqref>
                  </c15:fullRef>
                </c:ext>
              </c:extLst>
              <c:f>('1. DF_continuous_pH7_3'!$K$5,'1. DF_continuous_pH7_3'!$K$8,'1. DF_continuous_pH7_3'!$K$12,'1. DF_continuous_pH7_3'!$K$15:$K$16,'1. DF_continuous_pH7_3'!$K$18,'1. DF_continuous_pH7_3'!$K$20,'1. DF_continuous_pH7_3'!$K$23,'1. DF_continuous_pH7_3'!$K$26,'1. DF_continuous_pH7_3'!$K$31,'1. DF_continuous_pH7_3'!$K$34,'1. DF_continuous_pH7_3'!$K$36)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0.75223499999999988</c:v>
                </c:pt>
                <c:pt idx="3">
                  <c:v>9.0542571428571431E-2</c:v>
                </c:pt>
                <c:pt idx="4">
                  <c:v>0.91009002857142862</c:v>
                </c:pt>
                <c:pt idx="5">
                  <c:v>0.39427174285714284</c:v>
                </c:pt>
                <c:pt idx="6">
                  <c:v>1.2001006285714286</c:v>
                </c:pt>
                <c:pt idx="7">
                  <c:v>4.0881342857142858E-2</c:v>
                </c:pt>
                <c:pt idx="8">
                  <c:v>4.2914435142857146</c:v>
                </c:pt>
                <c:pt idx="9">
                  <c:v>0.60293121428571439</c:v>
                </c:pt>
                <c:pt idx="10">
                  <c:v>2.2193904857142854</c:v>
                </c:pt>
                <c:pt idx="11">
                  <c:v>0.46752891428571425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17-4035-96C1-17D845771F4B}"/>
            </c:ext>
          </c:extLst>
        </c:ser>
        <c:ser>
          <c:idx val="10"/>
          <c:order val="10"/>
          <c:tx>
            <c:strRef>
              <c:f>'1. DF_continuous_pH7_3'!$L$4</c:f>
              <c:strCache>
                <c:ptCount val="1"/>
                <c:pt idx="0">
                  <c:v>Succinate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DF_continuous_pH7_3'!$L$5:$L$36</c15:sqref>
                  </c15:fullRef>
                </c:ext>
              </c:extLst>
              <c:f>('1. DF_continuous_pH7_3'!$L$5,'1. DF_continuous_pH7_3'!$L$8,'1. DF_continuous_pH7_3'!$L$12,'1. DF_continuous_pH7_3'!$L$15:$L$16,'1. DF_continuous_pH7_3'!$L$18,'1. DF_continuous_pH7_3'!$L$20,'1. DF_continuous_pH7_3'!$L$23,'1. DF_continuous_pH7_3'!$L$26,'1. DF_continuous_pH7_3'!$L$31,'1. DF_continuous_pH7_3'!$L$34,'1. DF_continuous_pH7_3'!$L$36)</c:f>
              <c:numCache>
                <c:formatCode>General</c:formatCode>
                <c:ptCount val="12"/>
                <c:pt idx="0">
                  <c:v>0</c:v>
                </c:pt>
                <c:pt idx="1">
                  <c:v>1.6608959999999999</c:v>
                </c:pt>
                <c:pt idx="2">
                  <c:v>1.8906911999999998</c:v>
                </c:pt>
                <c:pt idx="3">
                  <c:v>1.3149030857142858</c:v>
                </c:pt>
                <c:pt idx="4">
                  <c:v>1.3363549714285714</c:v>
                </c:pt>
                <c:pt idx="5">
                  <c:v>1.3261165714285714</c:v>
                </c:pt>
                <c:pt idx="6">
                  <c:v>2.4825682285714286</c:v>
                </c:pt>
                <c:pt idx="7">
                  <c:v>1.7234639999999999</c:v>
                </c:pt>
                <c:pt idx="8">
                  <c:v>2.9447588571428569</c:v>
                </c:pt>
                <c:pt idx="9">
                  <c:v>4.2594181714285719</c:v>
                </c:pt>
                <c:pt idx="10">
                  <c:v>6.8494896000000001</c:v>
                </c:pt>
                <c:pt idx="11">
                  <c:v>5.2345038857142852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17-4035-96C1-17D845771F4B}"/>
            </c:ext>
          </c:extLst>
        </c:ser>
        <c:ser>
          <c:idx val="11"/>
          <c:order val="11"/>
          <c:tx>
            <c:strRef>
              <c:f>'1. DF_continuous_pH7_3'!$M$4</c:f>
              <c:strCache>
                <c:ptCount val="1"/>
                <c:pt idx="0">
                  <c:v>Formate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DF_continuous_pH7_3'!$M$5:$M$36</c15:sqref>
                  </c15:fullRef>
                </c:ext>
              </c:extLst>
              <c:f>('1. DF_continuous_pH7_3'!$M$5,'1. DF_continuous_pH7_3'!$M$8,'1. DF_continuous_pH7_3'!$M$12,'1. DF_continuous_pH7_3'!$M$15:$M$16,'1. DF_continuous_pH7_3'!$M$18,'1. DF_continuous_pH7_3'!$M$20,'1. DF_continuous_pH7_3'!$M$23,'1. DF_continuous_pH7_3'!$M$26,'1. DF_continuous_pH7_3'!$M$31,'1. DF_continuous_pH7_3'!$M$34,'1. DF_continuous_pH7_3'!$M$36)</c:f>
              <c:numCache>
                <c:formatCode>General</c:formatCode>
                <c:ptCount val="12"/>
                <c:pt idx="0">
                  <c:v>0</c:v>
                </c:pt>
                <c:pt idx="1">
                  <c:v>0.75893999999999995</c:v>
                </c:pt>
                <c:pt idx="2">
                  <c:v>1.3843208571428569</c:v>
                </c:pt>
                <c:pt idx="3">
                  <c:v>1.3903971428571429</c:v>
                </c:pt>
                <c:pt idx="4">
                  <c:v>1.0179565714285714</c:v>
                </c:pt>
                <c:pt idx="5">
                  <c:v>1.4161320000000002</c:v>
                </c:pt>
                <c:pt idx="6">
                  <c:v>1.9551342857142859</c:v>
                </c:pt>
                <c:pt idx="7">
                  <c:v>2.113117714285714</c:v>
                </c:pt>
                <c:pt idx="8">
                  <c:v>0.93360342857142853</c:v>
                </c:pt>
                <c:pt idx="9">
                  <c:v>1.55124</c:v>
                </c:pt>
                <c:pt idx="10">
                  <c:v>2.200687714285714</c:v>
                </c:pt>
                <c:pt idx="11">
                  <c:v>2.4801968571428565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17-4035-96C1-17D845771F4B}"/>
            </c:ext>
          </c:extLst>
        </c:ser>
        <c:ser>
          <c:idx val="12"/>
          <c:order val="12"/>
          <c:tx>
            <c:strRef>
              <c:f>'1. DF_continuous_pH7_3'!$N$4</c:f>
              <c:strCache>
                <c:ptCount val="1"/>
                <c:pt idx="0">
                  <c:v>EtOH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DF_continuous_pH7_3'!$N$5:$N$36</c15:sqref>
                  </c15:fullRef>
                </c:ext>
              </c:extLst>
              <c:f>('1. DF_continuous_pH7_3'!$N$5,'1. DF_continuous_pH7_3'!$N$8,'1. DF_continuous_pH7_3'!$N$12,'1. DF_continuous_pH7_3'!$N$15:$N$16,'1. DF_continuous_pH7_3'!$N$18,'1. DF_continuous_pH7_3'!$N$20,'1. DF_continuous_pH7_3'!$N$23,'1. DF_continuous_pH7_3'!$N$26,'1. DF_continuous_pH7_3'!$N$31,'1. DF_continuous_pH7_3'!$N$34,'1. DF_continuous_pH7_3'!$N$36)</c:f>
              <c:numCache>
                <c:formatCode>General</c:formatCode>
                <c:ptCount val="12"/>
                <c:pt idx="0">
                  <c:v>0</c:v>
                </c:pt>
                <c:pt idx="1">
                  <c:v>2.5031242000000002</c:v>
                </c:pt>
                <c:pt idx="2">
                  <c:v>2.5601717314285719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3.24885096</c:v>
                </c:pt>
                <c:pt idx="9">
                  <c:v>3.1593494571428544</c:v>
                </c:pt>
                <c:pt idx="10">
                  <c:v>4.1240363142857142</c:v>
                </c:pt>
                <c:pt idx="11">
                  <c:v>3.1700682000000002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17-4035-96C1-17D84577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2406543"/>
        <c:axId val="1972404879"/>
      </c:barChart>
      <c:lineChart>
        <c:grouping val="stacked"/>
        <c:varyColors val="0"/>
        <c:ser>
          <c:idx val="5"/>
          <c:order val="0"/>
          <c:tx>
            <c:strRef>
              <c:f>'1. DF_continuous_pH7_3'!$O$4</c:f>
              <c:strCache>
                <c:ptCount val="1"/>
                <c:pt idx="0">
                  <c:v>(%) COD-VFAs/CODin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'1. DF_continuous_pH7_3'!$B$5:$B$36</c15:sqref>
                  </c15:fullRef>
                </c:ext>
              </c:extLst>
              <c:f>('1. DF_continuous_pH7_3'!$B$5,'1. DF_continuous_pH7_3'!$B$8,'1. DF_continuous_pH7_3'!$B$12,'1. DF_continuous_pH7_3'!$B$15:$B$16,'1. DF_continuous_pH7_3'!$B$18,'1. DF_continuous_pH7_3'!$B$20,'1. DF_continuous_pH7_3'!$B$23,'1. DF_continuous_pH7_3'!$B$26,'1. DF_continuous_pH7_3'!$B$31,'1. DF_continuous_pH7_3'!$B$34,'1. DF_continuous_pH7_3'!$B$36)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41</c:v>
                </c:pt>
                <c:pt idx="10">
                  <c:v>45</c:v>
                </c:pt>
                <c:pt idx="11">
                  <c:v>51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 DF_continuous_pH7_3'!$O$5:$O$36</c15:sqref>
                  </c15:fullRef>
                </c:ext>
              </c:extLst>
              <c:f>('1. DF_continuous_pH7_3'!$O$5,'1. DF_continuous_pH7_3'!$O$8,'1. DF_continuous_pH7_3'!$O$12,'1. DF_continuous_pH7_3'!$O$15:$O$16,'1. DF_continuous_pH7_3'!$O$18,'1. DF_continuous_pH7_3'!$O$20,'1. DF_continuous_pH7_3'!$O$23,'1. DF_continuous_pH7_3'!$O$26,'1. DF_continuous_pH7_3'!$O$31,'1. DF_continuous_pH7_3'!$O$34,'1. DF_continuous_pH7_3'!$O$36)</c:f>
              <c:numCache>
                <c:formatCode>General</c:formatCode>
                <c:ptCount val="12"/>
                <c:pt idx="0">
                  <c:v>27.92157395833334</c:v>
                </c:pt>
                <c:pt idx="1">
                  <c:v>43.411488541666678</c:v>
                </c:pt>
                <c:pt idx="2">
                  <c:v>47.2524905952381</c:v>
                </c:pt>
                <c:pt idx="3">
                  <c:v>46.064107812500005</c:v>
                </c:pt>
                <c:pt idx="4">
                  <c:v>40.666282738095241</c:v>
                </c:pt>
                <c:pt idx="5">
                  <c:v>26.540055406746028</c:v>
                </c:pt>
                <c:pt idx="6">
                  <c:v>33.38462663690477</c:v>
                </c:pt>
                <c:pt idx="7">
                  <c:v>44.283262251984127</c:v>
                </c:pt>
                <c:pt idx="8">
                  <c:v>43.762299583333323</c:v>
                </c:pt>
                <c:pt idx="9">
                  <c:v>43.875456324404759</c:v>
                </c:pt>
                <c:pt idx="10">
                  <c:v>48.985394990079364</c:v>
                </c:pt>
                <c:pt idx="11">
                  <c:v>40.816618849206343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17-4035-96C1-17D84577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59472"/>
        <c:axId val="946665296"/>
      </c:lineChart>
      <c:catAx>
        <c:axId val="197240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000">
                    <a:solidFill>
                      <a:sysClr val="windowText" lastClr="000000"/>
                    </a:solidFill>
                  </a:rPr>
                  <a:t>Elapsed 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972404879"/>
        <c:crosses val="autoZero"/>
        <c:auto val="0"/>
        <c:lblAlgn val="ctr"/>
        <c:lblOffset val="100"/>
        <c:noMultiLvlLbl val="0"/>
      </c:catAx>
      <c:valAx>
        <c:axId val="1972404879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>
                    <a:solidFill>
                      <a:sysClr val="windowText" lastClr="000000"/>
                    </a:solidFill>
                  </a:rPr>
                  <a:t>VFAs (g COD/L)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972406543"/>
        <c:crosses val="autoZero"/>
        <c:crossBetween val="between"/>
      </c:valAx>
      <c:valAx>
        <c:axId val="94666529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>
                    <a:solidFill>
                      <a:sysClr val="windowText" lastClr="000000"/>
                    </a:solidFill>
                  </a:rPr>
                  <a:t>COD-VFAs/CODin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946659472"/>
        <c:crosses val="max"/>
        <c:crossBetween val="between"/>
      </c:valAx>
      <c:catAx>
        <c:axId val="94665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665296"/>
        <c:crosses val="autoZero"/>
        <c:auto val="0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6746969886244554"/>
          <c:y val="1.9434198230744971E-2"/>
          <c:w val="0.227104657630365"/>
          <c:h val="0.959061899154224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9FEB-4660-B21D-C5FFCA17A66F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9FEB-4660-B21D-C5FFCA17A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225535"/>
        <c:axId val="2126226783"/>
      </c:scatterChart>
      <c:scatterChart>
        <c:scatterStyle val="lineMarker"/>
        <c:varyColors val="0"/>
        <c:ser>
          <c:idx val="6"/>
          <c:order val="1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tar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9FEB-4660-B21D-C5FFCA17A66F}"/>
            </c:ext>
          </c:extLst>
        </c:ser>
        <c:ser>
          <c:idx val="1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9FEB-4660-B21D-C5FFCA17A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656176"/>
        <c:axId val="2087652016"/>
      </c:scatterChart>
      <c:valAx>
        <c:axId val="2126225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Elapsed 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6226783"/>
        <c:crosses val="autoZero"/>
        <c:crossBetween val="midCat"/>
      </c:valAx>
      <c:valAx>
        <c:axId val="21262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VFAs (g COD/L)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6225535"/>
        <c:crosses val="autoZero"/>
        <c:crossBetween val="midCat"/>
      </c:valAx>
      <c:valAx>
        <c:axId val="208765201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656176"/>
        <c:crosses val="max"/>
        <c:crossBetween val="midCat"/>
      </c:valAx>
      <c:valAx>
        <c:axId val="208765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7652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 DF_continuous_pH7_1'!$G$6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DF_continuous_pH7_1'!$C$7:$C$41</c:f>
              <c:numCache>
                <c:formatCode>0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</c:numCache>
            </c:numRef>
          </c:xVal>
          <c:yVal>
            <c:numRef>
              <c:f>'1. DF_continuous_pH7_1'!$G$7:$G$41</c:f>
              <c:numCache>
                <c:formatCode>General</c:formatCode>
                <c:ptCount val="35"/>
                <c:pt idx="2">
                  <c:v>36.06</c:v>
                </c:pt>
                <c:pt idx="3">
                  <c:v>43.17</c:v>
                </c:pt>
                <c:pt idx="5">
                  <c:v>63.12</c:v>
                </c:pt>
                <c:pt idx="6">
                  <c:v>65.959999999999994</c:v>
                </c:pt>
                <c:pt idx="7">
                  <c:v>52.56</c:v>
                </c:pt>
                <c:pt idx="8">
                  <c:v>64.150000000000006</c:v>
                </c:pt>
                <c:pt idx="9">
                  <c:v>45.91</c:v>
                </c:pt>
                <c:pt idx="10">
                  <c:v>35.36</c:v>
                </c:pt>
                <c:pt idx="11">
                  <c:v>42.297499999999999</c:v>
                </c:pt>
                <c:pt idx="12">
                  <c:v>49.234999999999999</c:v>
                </c:pt>
                <c:pt idx="14">
                  <c:v>30.19</c:v>
                </c:pt>
                <c:pt idx="15">
                  <c:v>61.92</c:v>
                </c:pt>
                <c:pt idx="16">
                  <c:v>63.92</c:v>
                </c:pt>
                <c:pt idx="17">
                  <c:v>66.62</c:v>
                </c:pt>
                <c:pt idx="19">
                  <c:v>55.14</c:v>
                </c:pt>
                <c:pt idx="20">
                  <c:v>58.9</c:v>
                </c:pt>
                <c:pt idx="21">
                  <c:v>55.85</c:v>
                </c:pt>
                <c:pt idx="23">
                  <c:v>54.83</c:v>
                </c:pt>
                <c:pt idx="24">
                  <c:v>59.29</c:v>
                </c:pt>
                <c:pt idx="25">
                  <c:v>60.58</c:v>
                </c:pt>
                <c:pt idx="26">
                  <c:v>64.31</c:v>
                </c:pt>
                <c:pt idx="27">
                  <c:v>73.06</c:v>
                </c:pt>
                <c:pt idx="28">
                  <c:v>54.87</c:v>
                </c:pt>
                <c:pt idx="29">
                  <c:v>59.01</c:v>
                </c:pt>
                <c:pt idx="30">
                  <c:v>67.540000000000006</c:v>
                </c:pt>
                <c:pt idx="31">
                  <c:v>80.459999999999994</c:v>
                </c:pt>
                <c:pt idx="33">
                  <c:v>64.239999999999995</c:v>
                </c:pt>
                <c:pt idx="34">
                  <c:v>53.93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7-4821-B425-D533DF1D4F28}"/>
            </c:ext>
          </c:extLst>
        </c:ser>
        <c:ser>
          <c:idx val="1"/>
          <c:order val="1"/>
          <c:tx>
            <c:strRef>
              <c:f>'1. DF_continuous_pH7_1'!$H$6</c:f>
              <c:strCache>
                <c:ptCount val="1"/>
                <c:pt idx="0">
                  <c:v>O2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DF_continuous_pH7_1'!$C$7:$C$42</c:f>
              <c:numCache>
                <c:formatCode>0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</c:numCache>
            </c:numRef>
          </c:xVal>
          <c:yVal>
            <c:numRef>
              <c:f>'1. DF_continuous_pH7_1'!$H$7:$H$41</c:f>
              <c:numCache>
                <c:formatCode>General</c:formatCode>
                <c:ptCount val="35"/>
                <c:pt idx="2">
                  <c:v>3.55</c:v>
                </c:pt>
                <c:pt idx="3">
                  <c:v>4.9000000000000004</c:v>
                </c:pt>
                <c:pt idx="5">
                  <c:v>0</c:v>
                </c:pt>
                <c:pt idx="6">
                  <c:v>0</c:v>
                </c:pt>
                <c:pt idx="7">
                  <c:v>4.67</c:v>
                </c:pt>
                <c:pt idx="8">
                  <c:v>0.18</c:v>
                </c:pt>
                <c:pt idx="10">
                  <c:v>4.8600000000000003</c:v>
                </c:pt>
                <c:pt idx="11">
                  <c:v>4.7650000000000006</c:v>
                </c:pt>
                <c:pt idx="12">
                  <c:v>4.67</c:v>
                </c:pt>
                <c:pt idx="14">
                  <c:v>0</c:v>
                </c:pt>
                <c:pt idx="15">
                  <c:v>2.19</c:v>
                </c:pt>
                <c:pt idx="16">
                  <c:v>7.0000000000000007E-2</c:v>
                </c:pt>
                <c:pt idx="19">
                  <c:v>0.13</c:v>
                </c:pt>
                <c:pt idx="21">
                  <c:v>2.86</c:v>
                </c:pt>
                <c:pt idx="23">
                  <c:v>5.14</c:v>
                </c:pt>
                <c:pt idx="24">
                  <c:v>2.76</c:v>
                </c:pt>
                <c:pt idx="25">
                  <c:v>0.28999999999999998</c:v>
                </c:pt>
                <c:pt idx="26">
                  <c:v>6.93</c:v>
                </c:pt>
                <c:pt idx="28">
                  <c:v>2.2000000000000002</c:v>
                </c:pt>
                <c:pt idx="29">
                  <c:v>2.66</c:v>
                </c:pt>
                <c:pt idx="30">
                  <c:v>0</c:v>
                </c:pt>
                <c:pt idx="31">
                  <c:v>0</c:v>
                </c:pt>
                <c:pt idx="33">
                  <c:v>3.27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7-4821-B425-D533DF1D4F28}"/>
            </c:ext>
          </c:extLst>
        </c:ser>
        <c:ser>
          <c:idx val="2"/>
          <c:order val="2"/>
          <c:tx>
            <c:strRef>
              <c:f>'1. DF_continuous_pH7_1'!$I$6</c:f>
              <c:strCache>
                <c:ptCount val="1"/>
                <c:pt idx="0">
                  <c:v>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'1. DF_continuous_pH7_1'!$C$7:$C$41</c:f>
              <c:numCache>
                <c:formatCode>0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</c:numCache>
            </c:numRef>
          </c:xVal>
          <c:yVal>
            <c:numRef>
              <c:f>'1. DF_continuous_pH7_1'!$I$7:$I$41</c:f>
              <c:numCache>
                <c:formatCode>General</c:formatCode>
                <c:ptCount val="35"/>
                <c:pt idx="2">
                  <c:v>32.119999999999997</c:v>
                </c:pt>
                <c:pt idx="3">
                  <c:v>25.34</c:v>
                </c:pt>
                <c:pt idx="5">
                  <c:v>6.97</c:v>
                </c:pt>
                <c:pt idx="6">
                  <c:v>7.2</c:v>
                </c:pt>
                <c:pt idx="7">
                  <c:v>21.8</c:v>
                </c:pt>
                <c:pt idx="8">
                  <c:v>9.0399999999999991</c:v>
                </c:pt>
                <c:pt idx="9">
                  <c:v>18.11</c:v>
                </c:pt>
                <c:pt idx="10">
                  <c:v>34.729999999999997</c:v>
                </c:pt>
                <c:pt idx="11">
                  <c:v>27.342499999999998</c:v>
                </c:pt>
                <c:pt idx="12">
                  <c:v>19.954999999999998</c:v>
                </c:pt>
                <c:pt idx="14">
                  <c:v>48.25</c:v>
                </c:pt>
                <c:pt idx="15">
                  <c:v>9.61</c:v>
                </c:pt>
                <c:pt idx="16">
                  <c:v>0</c:v>
                </c:pt>
                <c:pt idx="17">
                  <c:v>6.38</c:v>
                </c:pt>
                <c:pt idx="19">
                  <c:v>8.4499999999999993</c:v>
                </c:pt>
                <c:pt idx="20">
                  <c:v>6.76</c:v>
                </c:pt>
                <c:pt idx="21">
                  <c:v>13.43</c:v>
                </c:pt>
                <c:pt idx="23">
                  <c:v>21.66</c:v>
                </c:pt>
                <c:pt idx="24">
                  <c:v>10.89</c:v>
                </c:pt>
                <c:pt idx="25">
                  <c:v>8.41</c:v>
                </c:pt>
                <c:pt idx="26">
                  <c:v>2.85</c:v>
                </c:pt>
                <c:pt idx="27">
                  <c:v>7.63</c:v>
                </c:pt>
                <c:pt idx="28">
                  <c:v>29.75</c:v>
                </c:pt>
                <c:pt idx="29">
                  <c:v>29.41</c:v>
                </c:pt>
                <c:pt idx="30">
                  <c:v>24.01</c:v>
                </c:pt>
                <c:pt idx="31">
                  <c:v>12.78</c:v>
                </c:pt>
                <c:pt idx="33">
                  <c:v>31.41</c:v>
                </c:pt>
                <c:pt idx="34">
                  <c:v>28.84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57-4821-B425-D533DF1D4F28}"/>
            </c:ext>
          </c:extLst>
        </c:ser>
        <c:ser>
          <c:idx val="3"/>
          <c:order val="3"/>
          <c:tx>
            <c:strRef>
              <c:f>'1. DF_continuous_pH7_1'!$J$6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DF_continuous_pH7_1'!$C$7:$C$41</c:f>
              <c:numCache>
                <c:formatCode>0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</c:numCache>
            </c:numRef>
          </c:xVal>
          <c:yVal>
            <c:numRef>
              <c:f>'1. DF_continuous_pH7_1'!$J$7:$J$41</c:f>
              <c:numCache>
                <c:formatCode>General</c:formatCode>
                <c:ptCount val="35"/>
                <c:pt idx="8">
                  <c:v>0.01</c:v>
                </c:pt>
                <c:pt idx="9">
                  <c:v>0.04</c:v>
                </c:pt>
                <c:pt idx="10">
                  <c:v>0.05</c:v>
                </c:pt>
                <c:pt idx="11">
                  <c:v>4.4999999999999998E-2</c:v>
                </c:pt>
                <c:pt idx="12">
                  <c:v>0.04</c:v>
                </c:pt>
                <c:pt idx="14">
                  <c:v>0.05</c:v>
                </c:pt>
                <c:pt idx="15">
                  <c:v>0.2</c:v>
                </c:pt>
                <c:pt idx="16">
                  <c:v>0.44</c:v>
                </c:pt>
                <c:pt idx="17">
                  <c:v>0.76</c:v>
                </c:pt>
                <c:pt idx="19">
                  <c:v>1.5</c:v>
                </c:pt>
                <c:pt idx="20">
                  <c:v>1.42</c:v>
                </c:pt>
                <c:pt idx="21">
                  <c:v>1.3</c:v>
                </c:pt>
                <c:pt idx="23">
                  <c:v>0.91</c:v>
                </c:pt>
                <c:pt idx="24">
                  <c:v>1.18</c:v>
                </c:pt>
                <c:pt idx="25">
                  <c:v>1.88</c:v>
                </c:pt>
                <c:pt idx="26">
                  <c:v>2.85</c:v>
                </c:pt>
                <c:pt idx="27">
                  <c:v>3.89</c:v>
                </c:pt>
                <c:pt idx="28">
                  <c:v>2.65</c:v>
                </c:pt>
                <c:pt idx="29">
                  <c:v>2.31</c:v>
                </c:pt>
                <c:pt idx="30">
                  <c:v>2.68</c:v>
                </c:pt>
                <c:pt idx="31">
                  <c:v>2</c:v>
                </c:pt>
                <c:pt idx="33">
                  <c:v>1.08</c:v>
                </c:pt>
                <c:pt idx="34">
                  <c:v>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57-4821-B425-D533DF1D4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76928"/>
        <c:axId val="950092320"/>
      </c:scatterChart>
      <c:valAx>
        <c:axId val="950076928"/>
        <c:scaling>
          <c:orientation val="minMax"/>
          <c:max val="5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Experimental 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950092320"/>
        <c:crosses val="autoZero"/>
        <c:crossBetween val="midCat"/>
      </c:valAx>
      <c:valAx>
        <c:axId val="95009232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Gas composition (% v/v)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950076928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797859</xdr:colOff>
      <xdr:row>5</xdr:row>
      <xdr:rowOff>161925</xdr:rowOff>
    </xdr:from>
    <xdr:to>
      <xdr:col>64</xdr:col>
      <xdr:colOff>0</xdr:colOff>
      <xdr:row>29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600074</xdr:colOff>
      <xdr:row>7</xdr:row>
      <xdr:rowOff>19050</xdr:rowOff>
    </xdr:from>
    <xdr:to>
      <xdr:col>15</xdr:col>
      <xdr:colOff>276224</xdr:colOff>
      <xdr:row>35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43</xdr:row>
      <xdr:rowOff>177800</xdr:rowOff>
    </xdr:from>
    <xdr:to>
      <xdr:col>13</xdr:col>
      <xdr:colOff>95249</xdr:colOff>
      <xdr:row>67</xdr:row>
      <xdr:rowOff>134938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53748</xdr:rowOff>
    </xdr:from>
    <xdr:to>
      <xdr:col>24</xdr:col>
      <xdr:colOff>272143</xdr:colOff>
      <xdr:row>118</xdr:row>
      <xdr:rowOff>168950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0" y="7673748"/>
          <a:ext cx="19362964" cy="14974202"/>
          <a:chOff x="22491611" y="-21665684"/>
          <a:chExt cx="46841646" cy="26533254"/>
        </a:xfrm>
      </xdr:grpSpPr>
      <xdr:graphicFrame macro="">
        <xdr:nvGraphicFramePr>
          <xdr:cNvPr id="4" name="Graphiqu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aphicFramePr>
            <a:graphicFrameLocks/>
          </xdr:cNvGraphicFramePr>
        </xdr:nvGraphicFramePr>
        <xdr:xfrm>
          <a:off x="31629083" y="-21665684"/>
          <a:ext cx="37704174" cy="108728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3" name="Connecteur droit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 flipV="1">
            <a:off x="22491611" y="-1990430"/>
            <a:ext cx="0" cy="6858000"/>
          </a:xfrm>
          <a:prstGeom prst="line">
            <a:avLst/>
          </a:prstGeom>
          <a:ln w="34925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142875</xdr:colOff>
      <xdr:row>2</xdr:row>
      <xdr:rowOff>119062</xdr:rowOff>
    </xdr:from>
    <xdr:to>
      <xdr:col>76</xdr:col>
      <xdr:colOff>233622</xdr:colOff>
      <xdr:row>51</xdr:row>
      <xdr:rowOff>78873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142875</xdr:colOff>
      <xdr:row>53</xdr:row>
      <xdr:rowOff>166688</xdr:rowOff>
    </xdr:from>
    <xdr:to>
      <xdr:col>76</xdr:col>
      <xdr:colOff>233622</xdr:colOff>
      <xdr:row>104</xdr:row>
      <xdr:rowOff>126499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571500</xdr:colOff>
      <xdr:row>18</xdr:row>
      <xdr:rowOff>95250</xdr:rowOff>
    </xdr:from>
    <xdr:to>
      <xdr:col>35</xdr:col>
      <xdr:colOff>304800</xdr:colOff>
      <xdr:row>24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3488650" y="3524250"/>
          <a:ext cx="4648200" cy="1085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6600" baseline="0"/>
            <a:t>OLR 45</a:t>
          </a:r>
          <a:endParaRPr lang="en-GB" sz="7200"/>
        </a:p>
      </xdr:txBody>
    </xdr:sp>
    <xdr:clientData/>
  </xdr:twoCellAnchor>
  <xdr:twoCellAnchor>
    <xdr:from>
      <xdr:col>4</xdr:col>
      <xdr:colOff>664029</xdr:colOff>
      <xdr:row>73</xdr:row>
      <xdr:rowOff>65315</xdr:rowOff>
    </xdr:from>
    <xdr:to>
      <xdr:col>24</xdr:col>
      <xdr:colOff>296816</xdr:colOff>
      <xdr:row>105</xdr:row>
      <xdr:rowOff>105457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43</xdr:row>
      <xdr:rowOff>9525</xdr:rowOff>
    </xdr:from>
    <xdr:to>
      <xdr:col>10</xdr:col>
      <xdr:colOff>409575</xdr:colOff>
      <xdr:row>64</xdr:row>
      <xdr:rowOff>104775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13</xdr:col>
      <xdr:colOff>495300</xdr:colOff>
      <xdr:row>30</xdr:row>
      <xdr:rowOff>38100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2</xdr:row>
      <xdr:rowOff>0</xdr:rowOff>
    </xdr:from>
    <xdr:to>
      <xdr:col>6</xdr:col>
      <xdr:colOff>209550</xdr:colOff>
      <xdr:row>25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771650" y="381000"/>
          <a:ext cx="3009900" cy="4524375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209549</xdr:colOff>
      <xdr:row>2</xdr:row>
      <xdr:rowOff>0</xdr:rowOff>
    </xdr:from>
    <xdr:to>
      <xdr:col>10</xdr:col>
      <xdr:colOff>104774</xdr:colOff>
      <xdr:row>25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781549" y="381000"/>
          <a:ext cx="2943225" cy="4524375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0"/>
                <a:lumOff val="100000"/>
                <a:alpha val="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104775</xdr:colOff>
      <xdr:row>2</xdr:row>
      <xdr:rowOff>0</xdr:rowOff>
    </xdr:from>
    <xdr:to>
      <xdr:col>12</xdr:col>
      <xdr:colOff>190499</xdr:colOff>
      <xdr:row>25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7724775" y="381000"/>
          <a:ext cx="1609724" cy="4524375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0"/>
                <a:lumOff val="100000"/>
                <a:alpha val="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83"/>
  <sheetViews>
    <sheetView tabSelected="1" zoomScale="70" zoomScaleNormal="70" workbookViewId="0">
      <selection activeCell="D28" sqref="D28"/>
    </sheetView>
  </sheetViews>
  <sheetFormatPr baseColWidth="10" defaultColWidth="9.140625" defaultRowHeight="15" x14ac:dyDescent="0.25"/>
  <cols>
    <col min="2" max="2" width="9.42578125" bestFit="1" customWidth="1"/>
    <col min="3" max="3" width="7.7109375" bestFit="1" customWidth="1"/>
    <col min="4" max="4" width="11.5703125" bestFit="1" customWidth="1"/>
    <col min="5" max="5" width="15.140625" bestFit="1" customWidth="1"/>
    <col min="6" max="6" width="10.85546875" bestFit="1" customWidth="1"/>
    <col min="7" max="7" width="12" bestFit="1" customWidth="1"/>
    <col min="8" max="10" width="11.42578125" bestFit="1" customWidth="1"/>
    <col min="11" max="11" width="7.85546875" bestFit="1" customWidth="1"/>
    <col min="12" max="12" width="8.140625" bestFit="1" customWidth="1"/>
    <col min="13" max="13" width="9" bestFit="1" customWidth="1"/>
    <col min="14" max="14" width="6.5703125" bestFit="1" customWidth="1"/>
    <col min="15" max="15" width="5.42578125" bestFit="1" customWidth="1"/>
    <col min="16" max="18" width="6.5703125" bestFit="1" customWidth="1"/>
    <col min="19" max="20" width="14.5703125" bestFit="1" customWidth="1"/>
    <col min="21" max="28" width="13.28515625" customWidth="1"/>
    <col min="29" max="29" width="13.28515625" bestFit="1" customWidth="1"/>
    <col min="30" max="30" width="13.28515625" customWidth="1"/>
    <col min="31" max="31" width="10" bestFit="1" customWidth="1"/>
    <col min="32" max="32" width="8.85546875" bestFit="1" customWidth="1"/>
    <col min="33" max="34" width="10" bestFit="1" customWidth="1"/>
    <col min="35" max="35" width="11" bestFit="1" customWidth="1"/>
    <col min="36" max="38" width="11" customWidth="1"/>
    <col min="39" max="39" width="16.5703125" bestFit="1" customWidth="1"/>
    <col min="40" max="41" width="11" customWidth="1"/>
    <col min="42" max="42" width="15.5703125" bestFit="1" customWidth="1"/>
    <col min="43" max="43" width="11" bestFit="1" customWidth="1"/>
    <col min="44" max="44" width="16.140625" bestFit="1" customWidth="1"/>
    <col min="45" max="48" width="16.140625" customWidth="1"/>
    <col min="49" max="49" width="16.5703125" bestFit="1" customWidth="1"/>
    <col min="50" max="53" width="16.5703125" customWidth="1"/>
    <col min="54" max="56" width="7.7109375" bestFit="1" customWidth="1"/>
    <col min="57" max="57" width="7.7109375" customWidth="1"/>
    <col min="58" max="59" width="7.7109375" bestFit="1" customWidth="1"/>
    <col min="60" max="60" width="6" bestFit="1" customWidth="1"/>
    <col min="61" max="61" width="6" customWidth="1"/>
    <col min="62" max="67" width="13.28515625" bestFit="1" customWidth="1"/>
    <col min="68" max="68" width="10.42578125" bestFit="1" customWidth="1"/>
    <col min="69" max="69" width="15" bestFit="1" customWidth="1"/>
    <col min="70" max="70" width="14.85546875" bestFit="1" customWidth="1"/>
    <col min="71" max="71" width="24.5703125" bestFit="1" customWidth="1"/>
    <col min="72" max="72" width="17" bestFit="1" customWidth="1"/>
    <col min="73" max="73" width="16.85546875" bestFit="1" customWidth="1"/>
    <col min="74" max="74" width="16.7109375" bestFit="1" customWidth="1"/>
  </cols>
  <sheetData>
    <row r="1" spans="1:69" x14ac:dyDescent="0.25">
      <c r="B1" t="s">
        <v>42</v>
      </c>
      <c r="C1" t="s">
        <v>46</v>
      </c>
      <c r="D1" t="s">
        <v>44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Z1" t="s">
        <v>89</v>
      </c>
      <c r="AA1">
        <f>AC1/0.97</f>
        <v>30.927835051546392</v>
      </c>
      <c r="AB1" t="s">
        <v>82</v>
      </c>
      <c r="AC1">
        <v>30</v>
      </c>
      <c r="AG1">
        <v>30</v>
      </c>
      <c r="AH1" t="s">
        <v>52</v>
      </c>
      <c r="AJ1">
        <v>2</v>
      </c>
      <c r="AK1" t="s">
        <v>32</v>
      </c>
    </row>
    <row r="2" spans="1:69" x14ac:dyDescent="0.25">
      <c r="B2">
        <v>0.94799999999999995</v>
      </c>
      <c r="C2">
        <v>2.0842000000000001</v>
      </c>
      <c r="D2">
        <v>1.39</v>
      </c>
      <c r="E2">
        <v>1.0669999999999999</v>
      </c>
      <c r="F2">
        <v>1.26</v>
      </c>
      <c r="G2">
        <v>1.51</v>
      </c>
      <c r="H2">
        <v>1.8180000000000001</v>
      </c>
      <c r="I2">
        <v>2.0842000000000001</v>
      </c>
      <c r="J2">
        <v>1.8180000000000001</v>
      </c>
      <c r="K2">
        <v>2.0326</v>
      </c>
      <c r="L2">
        <v>2.59</v>
      </c>
      <c r="M2">
        <v>8</v>
      </c>
      <c r="N2">
        <v>2.2000000000000002</v>
      </c>
      <c r="AA2">
        <f>AC2/0.97</f>
        <v>46.391752577319586</v>
      </c>
      <c r="AC2">
        <v>45</v>
      </c>
      <c r="AF2" t="s">
        <v>55</v>
      </c>
      <c r="AG2">
        <f>30*1.28</f>
        <v>38.4</v>
      </c>
      <c r="AH2" t="s">
        <v>53</v>
      </c>
      <c r="AJ2" t="s">
        <v>70</v>
      </c>
      <c r="AK2">
        <f>AG1*AJ1*1.28</f>
        <v>76.8</v>
      </c>
      <c r="AL2" t="s">
        <v>30</v>
      </c>
    </row>
    <row r="3" spans="1:69" x14ac:dyDescent="0.25">
      <c r="AA3">
        <f>AC3/0.97</f>
        <v>46.391752577319586</v>
      </c>
      <c r="AC3">
        <v>45</v>
      </c>
      <c r="AF3" t="s">
        <v>56</v>
      </c>
      <c r="AG3">
        <f>45*1.28</f>
        <v>57.6</v>
      </c>
      <c r="AJ3" t="s">
        <v>71</v>
      </c>
      <c r="AK3" s="59">
        <f>45*AJ1*1.28</f>
        <v>115.2</v>
      </c>
      <c r="AL3" t="s">
        <v>30</v>
      </c>
    </row>
    <row r="4" spans="1:69" x14ac:dyDescent="0.25">
      <c r="AF4" t="s">
        <v>68</v>
      </c>
      <c r="AG4">
        <f>45*1.28</f>
        <v>57.6</v>
      </c>
      <c r="AH4" t="s">
        <v>69</v>
      </c>
      <c r="AJ4" t="s">
        <v>72</v>
      </c>
      <c r="AK4" s="59"/>
    </row>
    <row r="5" spans="1:69" x14ac:dyDescent="0.25">
      <c r="F5" s="56" t="s">
        <v>25</v>
      </c>
      <c r="G5" s="56"/>
      <c r="H5" s="56"/>
      <c r="I5" s="56"/>
      <c r="J5" s="56"/>
      <c r="K5" s="55" t="s">
        <v>8</v>
      </c>
      <c r="L5" s="55"/>
      <c r="M5" s="55"/>
      <c r="N5" s="55"/>
      <c r="O5" s="55"/>
      <c r="P5" s="8"/>
      <c r="Q5" s="8"/>
      <c r="R5" s="8"/>
      <c r="S5" s="8"/>
      <c r="T5" s="8"/>
      <c r="U5" s="8"/>
      <c r="V5" s="8"/>
      <c r="W5" s="8"/>
      <c r="X5" s="8"/>
      <c r="Y5" s="8"/>
      <c r="Z5" s="58" t="s">
        <v>26</v>
      </c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57" t="s">
        <v>29</v>
      </c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1"/>
      <c r="BJ5" s="1"/>
      <c r="BK5" s="1"/>
      <c r="BL5" s="1"/>
      <c r="BM5" s="1"/>
      <c r="BN5" s="1"/>
      <c r="BO5" s="1"/>
      <c r="BP5" s="1"/>
      <c r="BQ5" s="1"/>
    </row>
    <row r="6" spans="1:69" ht="18" x14ac:dyDescent="0.35">
      <c r="B6" s="1"/>
      <c r="C6" s="5" t="s">
        <v>2</v>
      </c>
      <c r="D6" s="5" t="s">
        <v>0</v>
      </c>
      <c r="E6" s="5" t="s">
        <v>1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9</v>
      </c>
      <c r="L6" s="5" t="s">
        <v>10</v>
      </c>
      <c r="M6" s="5" t="s">
        <v>11</v>
      </c>
      <c r="N6" s="5" t="s">
        <v>12</v>
      </c>
      <c r="O6" s="5" t="s">
        <v>13</v>
      </c>
      <c r="P6" s="5" t="s">
        <v>34</v>
      </c>
      <c r="Q6" s="5" t="s">
        <v>47</v>
      </c>
      <c r="R6" s="5" t="s">
        <v>35</v>
      </c>
      <c r="S6" s="5" t="s">
        <v>43</v>
      </c>
      <c r="T6" s="5" t="s">
        <v>42</v>
      </c>
      <c r="U6" s="5" t="s">
        <v>44</v>
      </c>
      <c r="V6" s="5" t="s">
        <v>46</v>
      </c>
      <c r="W6" s="5" t="s">
        <v>86</v>
      </c>
      <c r="X6" s="5" t="s">
        <v>87</v>
      </c>
      <c r="Y6" s="5" t="s">
        <v>2</v>
      </c>
      <c r="Z6" s="7" t="s">
        <v>24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34</v>
      </c>
      <c r="AF6" s="7" t="s">
        <v>47</v>
      </c>
      <c r="AG6" s="7" t="s">
        <v>35</v>
      </c>
      <c r="AH6" s="7" t="s">
        <v>43</v>
      </c>
      <c r="AI6" s="12" t="s">
        <v>42</v>
      </c>
      <c r="AJ6" s="12" t="s">
        <v>44</v>
      </c>
      <c r="AK6" s="12" t="s">
        <v>46</v>
      </c>
      <c r="AL6" s="1" t="s">
        <v>27</v>
      </c>
      <c r="AM6" s="1" t="s">
        <v>31</v>
      </c>
      <c r="AN6" s="1" t="s">
        <v>50</v>
      </c>
      <c r="AO6" s="1" t="s">
        <v>49</v>
      </c>
      <c r="AP6" s="1" t="s">
        <v>48</v>
      </c>
      <c r="AQ6" s="1" t="s">
        <v>51</v>
      </c>
      <c r="AR6" s="1" t="s">
        <v>59</v>
      </c>
      <c r="AS6" s="1" t="s">
        <v>83</v>
      </c>
      <c r="AT6" s="1" t="s">
        <v>85</v>
      </c>
      <c r="AU6" s="1" t="s">
        <v>90</v>
      </c>
      <c r="AV6" s="1" t="s">
        <v>84</v>
      </c>
      <c r="AW6" s="9" t="s">
        <v>24</v>
      </c>
      <c r="AX6" s="9" t="s">
        <v>10</v>
      </c>
      <c r="AY6" s="9" t="s">
        <v>11</v>
      </c>
      <c r="AZ6" s="9" t="s">
        <v>12</v>
      </c>
      <c r="BA6" s="9" t="s">
        <v>13</v>
      </c>
      <c r="BB6" s="9" t="s">
        <v>34</v>
      </c>
      <c r="BC6" s="9" t="s">
        <v>47</v>
      </c>
      <c r="BD6" s="9" t="s">
        <v>35</v>
      </c>
      <c r="BE6" s="9" t="s">
        <v>43</v>
      </c>
      <c r="BF6" s="9" t="s">
        <v>42</v>
      </c>
      <c r="BG6" s="9" t="s">
        <v>44</v>
      </c>
      <c r="BH6" s="9" t="s">
        <v>46</v>
      </c>
      <c r="BI6" s="1"/>
      <c r="BJ6" s="1"/>
      <c r="BK6" s="1"/>
      <c r="BL6" s="1"/>
      <c r="BM6" s="1"/>
      <c r="BN6" s="1"/>
      <c r="BO6" s="1"/>
      <c r="BP6" s="1"/>
      <c r="BQ6" s="1"/>
    </row>
    <row r="7" spans="1:69" x14ac:dyDescent="0.25">
      <c r="A7" s="53" t="s">
        <v>92</v>
      </c>
      <c r="B7" s="1"/>
      <c r="C7" s="22">
        <v>0</v>
      </c>
      <c r="D7" s="2">
        <v>44740</v>
      </c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f t="shared" ref="Y7:Y41" si="0">C7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9" x14ac:dyDescent="0.25">
      <c r="A8" s="53"/>
      <c r="B8" s="6">
        <f t="shared" ref="B8:B18" si="1">D8-D7</f>
        <v>1</v>
      </c>
      <c r="C8" s="46">
        <f t="shared" ref="C8:C18" si="2">C7+B8</f>
        <v>1</v>
      </c>
      <c r="D8" s="2">
        <v>44741</v>
      </c>
      <c r="E8" s="3">
        <v>0.41666666666666669</v>
      </c>
      <c r="F8" s="1"/>
      <c r="G8" s="1"/>
      <c r="H8" s="1"/>
      <c r="I8" s="1"/>
      <c r="J8" s="1"/>
      <c r="K8" s="1">
        <v>3.63</v>
      </c>
      <c r="L8" s="1">
        <v>3.5009999999999999</v>
      </c>
      <c r="M8" s="1">
        <v>4.3999999999999997E-2</v>
      </c>
      <c r="N8" s="1">
        <v>0.69899999999999995</v>
      </c>
      <c r="O8" s="1">
        <v>2.9000000000000001E-2</v>
      </c>
      <c r="P8" s="1">
        <v>7.4999999999999997E-2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6">
        <f>SUM(K8:R8)</f>
        <v>7.9779999999999998</v>
      </c>
      <c r="X8" s="6">
        <f>SUM(K8:R8)</f>
        <v>7.9779999999999998</v>
      </c>
      <c r="Y8" s="1">
        <f t="shared" si="0"/>
        <v>1</v>
      </c>
      <c r="Z8" s="4">
        <f>K8*$E$2</f>
        <v>3.8732099999999998</v>
      </c>
      <c r="AA8" s="4">
        <f t="shared" ref="AA8:AA34" si="3">L8*$G$2</f>
        <v>5.2865099999999998</v>
      </c>
      <c r="AB8" s="4">
        <f t="shared" ref="AB8:AB34" si="4">M8*$H$2</f>
        <v>7.9991999999999994E-2</v>
      </c>
      <c r="AC8" s="4">
        <f t="shared" ref="AC8:AC34" si="5">N8*$J$2</f>
        <v>1.2707819999999999</v>
      </c>
      <c r="AD8" s="4">
        <f t="shared" ref="AD8:AD34" si="6">O8*$K$2</f>
        <v>5.8945400000000002E-2</v>
      </c>
      <c r="AE8" s="4">
        <f t="shared" ref="AE8:AE34" si="7">P8*$K$2</f>
        <v>0.152445</v>
      </c>
      <c r="AF8" s="4">
        <f t="shared" ref="AF8:AF34" si="8">Q8*$N$2</f>
        <v>0</v>
      </c>
      <c r="AG8" s="4">
        <f t="shared" ref="AG8:AG34" si="9">R8*$N$2</f>
        <v>0</v>
      </c>
      <c r="AH8" s="4">
        <f>S8*1.067</f>
        <v>0</v>
      </c>
      <c r="AI8" s="4">
        <f t="shared" ref="AI8:AI15" si="10">T8*$B$2</f>
        <v>0</v>
      </c>
      <c r="AJ8" s="4">
        <f t="shared" ref="AJ8:AJ15" si="11">U8*$D$2</f>
        <v>0</v>
      </c>
      <c r="AK8" s="4">
        <f t="shared" ref="AK8:AK15" si="12">V8*$C$2</f>
        <v>0</v>
      </c>
      <c r="AL8" s="4">
        <f>SUM(Z8:AK8)</f>
        <v>10.721884400000002</v>
      </c>
      <c r="AM8" s="4">
        <f t="shared" ref="AM8:AM19" si="13">(AL8/($AG$2))*100</f>
        <v>27.92157395833334</v>
      </c>
      <c r="AN8" s="4"/>
      <c r="AO8" s="4"/>
      <c r="AP8" s="4" t="e">
        <f t="shared" ref="AP8:AP15" si="14">AL8/AO8*100</f>
        <v>#DIV/0!</v>
      </c>
      <c r="AQ8" s="4" t="e">
        <f>AO8/AN8</f>
        <v>#DIV/0!</v>
      </c>
      <c r="AR8" s="4">
        <f>($AG$2-AN8)/$AG$2*100</f>
        <v>100</v>
      </c>
      <c r="AS8" s="4">
        <f t="shared" ref="AS8:AS19" si="15">((W8)/$AC$1)</f>
        <v>0.2659333333333333</v>
      </c>
      <c r="AT8" s="4">
        <f t="shared" ref="AT8:AT19" si="16">((X8)/$AC$1)</f>
        <v>0.2659333333333333</v>
      </c>
      <c r="AU8" s="4">
        <f>X8/$AA$1</f>
        <v>0.25795533333333331</v>
      </c>
      <c r="AV8" s="4">
        <f>AL8/1</f>
        <v>10.721884400000002</v>
      </c>
      <c r="AW8" s="11">
        <f t="shared" ref="AW8:AW15" si="17">Z8/$AL8*100</f>
        <v>36.124340232580749</v>
      </c>
      <c r="AX8" s="11">
        <f t="shared" ref="AX8:BH15" si="18">AA8/$AL8*100</f>
        <v>49.305791806522357</v>
      </c>
      <c r="AY8" s="11">
        <f t="shared" si="18"/>
        <v>0.74606288424448941</v>
      </c>
      <c r="AZ8" s="11">
        <f t="shared" si="18"/>
        <v>11.852226274702231</v>
      </c>
      <c r="BA8" s="11">
        <f t="shared" si="18"/>
        <v>0.54976716592840702</v>
      </c>
      <c r="BB8" s="11">
        <f t="shared" si="18"/>
        <v>1.4218116360217423</v>
      </c>
      <c r="BC8" s="11">
        <f t="shared" si="18"/>
        <v>0</v>
      </c>
      <c r="BD8" s="11">
        <f t="shared" si="18"/>
        <v>0</v>
      </c>
      <c r="BE8" s="11">
        <f t="shared" si="18"/>
        <v>0</v>
      </c>
      <c r="BF8" s="11">
        <f t="shared" si="18"/>
        <v>0</v>
      </c>
      <c r="BG8" s="11">
        <f t="shared" si="18"/>
        <v>0</v>
      </c>
      <c r="BH8" s="11">
        <f t="shared" si="18"/>
        <v>0</v>
      </c>
      <c r="BI8" s="1"/>
      <c r="BJ8" s="11"/>
      <c r="BK8" s="1"/>
      <c r="BL8" s="1"/>
      <c r="BM8" s="1"/>
      <c r="BN8" s="1"/>
      <c r="BO8" s="1"/>
    </row>
    <row r="9" spans="1:69" x14ac:dyDescent="0.25">
      <c r="A9" s="53"/>
      <c r="B9" s="6">
        <f t="shared" si="1"/>
        <v>1</v>
      </c>
      <c r="C9" s="22">
        <f t="shared" si="2"/>
        <v>2</v>
      </c>
      <c r="D9" s="2">
        <v>44742</v>
      </c>
      <c r="E9" s="3">
        <v>0.45833333333333331</v>
      </c>
      <c r="F9" s="1">
        <v>28.26</v>
      </c>
      <c r="G9" s="1">
        <v>36.06</v>
      </c>
      <c r="H9" s="1">
        <v>3.55</v>
      </c>
      <c r="I9" s="1">
        <v>32.119999999999997</v>
      </c>
      <c r="J9" s="1"/>
      <c r="K9">
        <v>5.117</v>
      </c>
      <c r="L9" s="1">
        <v>3.8780000000000001</v>
      </c>
      <c r="M9" s="1">
        <v>7.4999999999999997E-2</v>
      </c>
      <c r="N9" s="1">
        <v>1.131</v>
      </c>
      <c r="O9" s="1">
        <v>7.0000000000000007E-2</v>
      </c>
      <c r="P9" s="1">
        <v>8.5000000000000006E-2</v>
      </c>
      <c r="Q9" s="1">
        <v>2.8000000000000001E-2</v>
      </c>
      <c r="R9" s="1">
        <v>0</v>
      </c>
      <c r="S9" s="1">
        <v>0</v>
      </c>
      <c r="T9" s="6">
        <v>0.82979999999999998</v>
      </c>
      <c r="U9" s="1">
        <v>0</v>
      </c>
      <c r="V9" s="1">
        <v>0</v>
      </c>
      <c r="W9" s="6">
        <f>SUM(K9:T9)</f>
        <v>11.213800000000003</v>
      </c>
      <c r="X9" s="6">
        <f t="shared" ref="X9:X41" si="19">SUM(K9:R9)</f>
        <v>10.384000000000002</v>
      </c>
      <c r="Y9" s="1">
        <f t="shared" si="0"/>
        <v>2</v>
      </c>
      <c r="Z9" s="4">
        <f t="shared" ref="Z9:Z14" si="20">K9*$E$2</f>
        <v>5.4598389999999997</v>
      </c>
      <c r="AA9" s="4">
        <f t="shared" si="3"/>
        <v>5.8557800000000002</v>
      </c>
      <c r="AB9" s="4">
        <f t="shared" si="4"/>
        <v>0.13635</v>
      </c>
      <c r="AC9" s="4">
        <f t="shared" si="5"/>
        <v>2.0561579999999999</v>
      </c>
      <c r="AD9" s="4">
        <f t="shared" si="6"/>
        <v>0.14228200000000002</v>
      </c>
      <c r="AE9" s="4">
        <f t="shared" si="7"/>
        <v>0.17277100000000001</v>
      </c>
      <c r="AF9" s="4">
        <f t="shared" si="8"/>
        <v>6.1600000000000009E-2</v>
      </c>
      <c r="AG9" s="4">
        <f t="shared" si="9"/>
        <v>0</v>
      </c>
      <c r="AH9" s="4">
        <f t="shared" ref="AH9:AH15" si="21">S9*1.067</f>
        <v>0</v>
      </c>
      <c r="AI9" s="4">
        <f t="shared" si="10"/>
        <v>0.78665039999999997</v>
      </c>
      <c r="AJ9" s="4">
        <f t="shared" si="11"/>
        <v>0</v>
      </c>
      <c r="AK9" s="4">
        <f t="shared" si="12"/>
        <v>0</v>
      </c>
      <c r="AL9" s="4">
        <f t="shared" ref="AL9:AL30" si="22">SUM(Z9:AK9)</f>
        <v>14.6714304</v>
      </c>
      <c r="AM9" s="4">
        <f t="shared" si="13"/>
        <v>38.206850000000003</v>
      </c>
      <c r="AN9" s="4"/>
      <c r="AO9" s="4"/>
      <c r="AP9" s="4" t="e">
        <f t="shared" si="14"/>
        <v>#DIV/0!</v>
      </c>
      <c r="AQ9" s="4" t="e">
        <f t="shared" ref="AQ9:AQ15" si="23">AO9/AN9</f>
        <v>#DIV/0!</v>
      </c>
      <c r="AR9" s="4">
        <f t="shared" ref="AR9:AR18" si="24">($AG$2-AN9)/$AG$2*100</f>
        <v>100</v>
      </c>
      <c r="AS9" s="4">
        <f t="shared" si="15"/>
        <v>0.37379333333333342</v>
      </c>
      <c r="AT9" s="4">
        <f t="shared" si="16"/>
        <v>0.3461333333333334</v>
      </c>
      <c r="AU9" s="4">
        <f t="shared" ref="AU9:AU19" si="25">X9/$AA$1</f>
        <v>0.3357493333333334</v>
      </c>
      <c r="AV9" s="4">
        <f t="shared" ref="AV9:AV20" si="26">AL9/1</f>
        <v>14.6714304</v>
      </c>
      <c r="AW9" s="11">
        <f t="shared" si="17"/>
        <v>37.214087864261685</v>
      </c>
      <c r="AX9" s="11">
        <f t="shared" si="18"/>
        <v>39.912809046894296</v>
      </c>
      <c r="AY9" s="11">
        <f t="shared" si="18"/>
        <v>0.92935723567894246</v>
      </c>
      <c r="AZ9" s="11">
        <f t="shared" si="18"/>
        <v>14.014707114038449</v>
      </c>
      <c r="BA9" s="11">
        <f t="shared" si="18"/>
        <v>0.96978955780617004</v>
      </c>
      <c r="BB9" s="11">
        <f t="shared" si="18"/>
        <v>1.1776016059074923</v>
      </c>
      <c r="BC9" s="11">
        <f t="shared" si="18"/>
        <v>0.4198636282935303</v>
      </c>
      <c r="BD9" s="11">
        <f t="shared" si="18"/>
        <v>0</v>
      </c>
      <c r="BE9" s="11">
        <f t="shared" si="18"/>
        <v>0</v>
      </c>
      <c r="BF9" s="11">
        <f t="shared" si="18"/>
        <v>5.36178394711943</v>
      </c>
      <c r="BG9" s="11">
        <f t="shared" si="18"/>
        <v>0</v>
      </c>
      <c r="BH9" s="11">
        <f t="shared" si="18"/>
        <v>0</v>
      </c>
      <c r="BI9" s="1"/>
      <c r="BJ9" s="11"/>
      <c r="BK9" s="1"/>
      <c r="BL9" s="1"/>
      <c r="BM9" s="1"/>
      <c r="BN9" s="1"/>
      <c r="BO9" s="1"/>
    </row>
    <row r="10" spans="1:69" x14ac:dyDescent="0.25">
      <c r="A10" s="53"/>
      <c r="B10" s="6">
        <f t="shared" si="1"/>
        <v>1</v>
      </c>
      <c r="C10" s="22">
        <f t="shared" si="2"/>
        <v>3</v>
      </c>
      <c r="D10" s="2">
        <v>44743</v>
      </c>
      <c r="E10" s="3">
        <v>0.5</v>
      </c>
      <c r="F10" s="1">
        <v>26.58</v>
      </c>
      <c r="G10" s="1">
        <v>43.17</v>
      </c>
      <c r="H10" s="1">
        <v>4.9000000000000004</v>
      </c>
      <c r="I10" s="1">
        <v>25.34</v>
      </c>
      <c r="J10" s="1"/>
      <c r="K10" s="1">
        <v>5.3710000000000004</v>
      </c>
      <c r="L10" s="1">
        <v>3.1440000000000001</v>
      </c>
      <c r="M10" s="1">
        <v>8.5999999999999993E-2</v>
      </c>
      <c r="N10" s="1">
        <v>1.2749999999999999</v>
      </c>
      <c r="O10" s="1">
        <v>0.08</v>
      </c>
      <c r="P10" s="1">
        <v>8.7999999999999995E-2</v>
      </c>
      <c r="Q10" s="1">
        <v>4.5999999999999999E-2</v>
      </c>
      <c r="R10" s="1">
        <v>0</v>
      </c>
      <c r="S10" s="1">
        <v>0</v>
      </c>
      <c r="T10" s="1">
        <v>1.4730000000000001</v>
      </c>
      <c r="U10" s="1">
        <v>0</v>
      </c>
      <c r="V10" s="1">
        <v>0.84419999999999995</v>
      </c>
      <c r="W10" s="6">
        <f t="shared" ref="W10:W31" si="27">SUM(K10:V10)</f>
        <v>12.407200000000001</v>
      </c>
      <c r="X10" s="6">
        <f t="shared" si="19"/>
        <v>10.09</v>
      </c>
      <c r="Y10" s="1">
        <f t="shared" si="0"/>
        <v>3</v>
      </c>
      <c r="Z10" s="4">
        <f t="shared" si="20"/>
        <v>5.7308570000000003</v>
      </c>
      <c r="AA10" s="4">
        <f t="shared" si="3"/>
        <v>4.7474400000000001</v>
      </c>
      <c r="AB10" s="4">
        <f t="shared" si="4"/>
        <v>0.15634799999999999</v>
      </c>
      <c r="AC10" s="4">
        <f t="shared" si="5"/>
        <v>2.3179499999999997</v>
      </c>
      <c r="AD10" s="4">
        <f t="shared" si="6"/>
        <v>0.162608</v>
      </c>
      <c r="AE10" s="4">
        <f t="shared" si="7"/>
        <v>0.17886879999999999</v>
      </c>
      <c r="AF10" s="4">
        <f t="shared" si="8"/>
        <v>0.10120000000000001</v>
      </c>
      <c r="AG10" s="4">
        <f t="shared" si="9"/>
        <v>0</v>
      </c>
      <c r="AH10" s="4">
        <f t="shared" si="21"/>
        <v>0</v>
      </c>
      <c r="AI10" s="4">
        <f t="shared" si="10"/>
        <v>1.396404</v>
      </c>
      <c r="AJ10" s="4">
        <f t="shared" si="11"/>
        <v>0</v>
      </c>
      <c r="AK10" s="4">
        <f t="shared" si="12"/>
        <v>1.75948164</v>
      </c>
      <c r="AL10" s="4">
        <f t="shared" si="22"/>
        <v>16.551157440000001</v>
      </c>
      <c r="AM10" s="4">
        <f t="shared" si="13"/>
        <v>43.101972500000002</v>
      </c>
      <c r="AN10" s="4"/>
      <c r="AO10" s="4"/>
      <c r="AP10" s="4" t="e">
        <f t="shared" si="14"/>
        <v>#DIV/0!</v>
      </c>
      <c r="AQ10" s="4" t="e">
        <f t="shared" si="23"/>
        <v>#DIV/0!</v>
      </c>
      <c r="AR10" s="4">
        <f t="shared" si="24"/>
        <v>100</v>
      </c>
      <c r="AS10" s="4">
        <f t="shared" si="15"/>
        <v>0.4135733333333334</v>
      </c>
      <c r="AT10" s="4">
        <f t="shared" si="16"/>
        <v>0.33633333333333332</v>
      </c>
      <c r="AU10" s="4">
        <f t="shared" si="25"/>
        <v>0.32624333333333333</v>
      </c>
      <c r="AV10" s="4">
        <f t="shared" si="26"/>
        <v>16.551157440000001</v>
      </c>
      <c r="AW10" s="11">
        <f t="shared" si="17"/>
        <v>34.625113202959177</v>
      </c>
      <c r="AX10" s="11">
        <f t="shared" si="18"/>
        <v>28.683432063346988</v>
      </c>
      <c r="AY10" s="11">
        <f t="shared" si="18"/>
        <v>0.94463484240773432</v>
      </c>
      <c r="AZ10" s="11">
        <f t="shared" si="18"/>
        <v>14.004760744998384</v>
      </c>
      <c r="BA10" s="11">
        <f t="shared" si="18"/>
        <v>0.98245697069509597</v>
      </c>
      <c r="BB10" s="11">
        <f t="shared" si="18"/>
        <v>1.0807026677646054</v>
      </c>
      <c r="BC10" s="11">
        <f t="shared" si="18"/>
        <v>0.61143760106725209</v>
      </c>
      <c r="BD10" s="11">
        <f t="shared" si="18"/>
        <v>0</v>
      </c>
      <c r="BE10" s="11">
        <f t="shared" si="18"/>
        <v>0</v>
      </c>
      <c r="BF10" s="11">
        <f t="shared" si="18"/>
        <v>8.4368963624576576</v>
      </c>
      <c r="BG10" s="11">
        <f t="shared" si="18"/>
        <v>0</v>
      </c>
      <c r="BH10" s="11">
        <f t="shared" si="18"/>
        <v>10.630565544303106</v>
      </c>
      <c r="BI10" s="1"/>
      <c r="BJ10" s="11"/>
      <c r="BK10" s="1"/>
      <c r="BL10" s="1"/>
      <c r="BM10" s="1"/>
      <c r="BN10" s="1"/>
      <c r="BO10" s="1"/>
    </row>
    <row r="11" spans="1:69" x14ac:dyDescent="0.25">
      <c r="A11" s="53"/>
      <c r="B11" s="6">
        <f t="shared" si="1"/>
        <v>3</v>
      </c>
      <c r="C11" s="46">
        <f t="shared" si="2"/>
        <v>6</v>
      </c>
      <c r="D11" s="2">
        <v>44746</v>
      </c>
      <c r="E11" s="3">
        <v>0.5</v>
      </c>
      <c r="F11" s="1"/>
      <c r="G11" s="1"/>
      <c r="H11" s="1"/>
      <c r="I11" s="1"/>
      <c r="J11" s="1"/>
      <c r="K11" s="1">
        <v>5.2489999999999997</v>
      </c>
      <c r="L11" s="1">
        <v>2.1059999999999999</v>
      </c>
      <c r="M11" s="1">
        <v>7.8E-2</v>
      </c>
      <c r="N11" s="1">
        <v>1.2450000000000001</v>
      </c>
      <c r="O11" s="1">
        <v>5.3999999999999999E-2</v>
      </c>
      <c r="P11" s="1">
        <v>0.09</v>
      </c>
      <c r="Q11" s="1">
        <v>0.08</v>
      </c>
      <c r="R11" s="1">
        <v>4.2000000000000003E-2</v>
      </c>
      <c r="S11" s="1">
        <v>0</v>
      </c>
      <c r="T11" s="1">
        <v>1.752</v>
      </c>
      <c r="U11" s="1">
        <v>0.54600000000000004</v>
      </c>
      <c r="V11" s="1">
        <v>1.2010000000000001</v>
      </c>
      <c r="W11" s="6">
        <f t="shared" si="27"/>
        <v>12.443000000000001</v>
      </c>
      <c r="X11" s="6">
        <f t="shared" si="19"/>
        <v>8.9440000000000008</v>
      </c>
      <c r="Y11" s="1">
        <f t="shared" si="0"/>
        <v>6</v>
      </c>
      <c r="Z11" s="4">
        <f t="shared" si="20"/>
        <v>5.6006829999999992</v>
      </c>
      <c r="AA11" s="4">
        <f t="shared" si="3"/>
        <v>3.1800599999999997</v>
      </c>
      <c r="AB11" s="4">
        <f t="shared" si="4"/>
        <v>0.14180400000000001</v>
      </c>
      <c r="AC11" s="4">
        <f t="shared" si="5"/>
        <v>2.2634100000000004</v>
      </c>
      <c r="AD11" s="4">
        <f t="shared" si="6"/>
        <v>0.10976039999999999</v>
      </c>
      <c r="AE11" s="4">
        <f t="shared" si="7"/>
        <v>0.18293399999999999</v>
      </c>
      <c r="AF11" s="4">
        <f t="shared" si="8"/>
        <v>0.17600000000000002</v>
      </c>
      <c r="AG11" s="4">
        <f t="shared" si="9"/>
        <v>9.240000000000001E-2</v>
      </c>
      <c r="AH11" s="4">
        <f t="shared" si="21"/>
        <v>0</v>
      </c>
      <c r="AI11" s="4">
        <f t="shared" si="10"/>
        <v>1.6608959999999999</v>
      </c>
      <c r="AJ11" s="4">
        <f t="shared" si="11"/>
        <v>0.75893999999999995</v>
      </c>
      <c r="AK11" s="4">
        <f t="shared" si="12"/>
        <v>2.5031242000000002</v>
      </c>
      <c r="AL11" s="4">
        <f t="shared" si="22"/>
        <v>16.670011600000002</v>
      </c>
      <c r="AM11" s="4">
        <f>(AL11/($AG$2))*100</f>
        <v>43.411488541666678</v>
      </c>
      <c r="AN11" s="4"/>
      <c r="AO11" s="4"/>
      <c r="AP11" s="4" t="e">
        <f t="shared" si="14"/>
        <v>#DIV/0!</v>
      </c>
      <c r="AQ11" s="4" t="e">
        <f t="shared" si="23"/>
        <v>#DIV/0!</v>
      </c>
      <c r="AR11" s="4">
        <f t="shared" si="24"/>
        <v>100</v>
      </c>
      <c r="AS11" s="4">
        <f t="shared" si="15"/>
        <v>0.41476666666666673</v>
      </c>
      <c r="AT11" s="4">
        <f t="shared" si="16"/>
        <v>0.29813333333333336</v>
      </c>
      <c r="AU11" s="4">
        <f t="shared" si="25"/>
        <v>0.28918933333333335</v>
      </c>
      <c r="AV11" s="4">
        <f t="shared" si="26"/>
        <v>16.670011600000002</v>
      </c>
      <c r="AW11" s="11">
        <f t="shared" si="17"/>
        <v>33.597355145211765</v>
      </c>
      <c r="AX11" s="11">
        <f t="shared" si="18"/>
        <v>19.076531416450841</v>
      </c>
      <c r="AY11" s="11">
        <f t="shared" si="18"/>
        <v>0.85065327728986107</v>
      </c>
      <c r="AZ11" s="11">
        <f t="shared" si="18"/>
        <v>13.57773500289586</v>
      </c>
      <c r="BA11" s="11">
        <f t="shared" si="18"/>
        <v>0.65843025568140556</v>
      </c>
      <c r="BB11" s="11">
        <f t="shared" si="18"/>
        <v>1.0973837594690095</v>
      </c>
      <c r="BC11" s="11">
        <f t="shared" si="18"/>
        <v>1.0557881075499671</v>
      </c>
      <c r="BD11" s="11">
        <f t="shared" si="18"/>
        <v>0.55428875646373277</v>
      </c>
      <c r="BE11" s="11">
        <f t="shared" si="18"/>
        <v>0</v>
      </c>
      <c r="BF11" s="11">
        <f t="shared" si="18"/>
        <v>9.9633763902119874</v>
      </c>
      <c r="BG11" s="11">
        <f t="shared" si="18"/>
        <v>4.5527262860452948</v>
      </c>
      <c r="BH11" s="11">
        <f t="shared" si="18"/>
        <v>15.015731602730259</v>
      </c>
      <c r="BI11" s="1"/>
      <c r="BJ11" s="11"/>
      <c r="BK11" s="1"/>
      <c r="BL11" s="1"/>
      <c r="BM11" s="1"/>
      <c r="BN11" s="1"/>
      <c r="BO11" s="1"/>
    </row>
    <row r="12" spans="1:69" x14ac:dyDescent="0.25">
      <c r="A12" s="53"/>
      <c r="B12" s="6">
        <f t="shared" si="1"/>
        <v>1</v>
      </c>
      <c r="C12" s="22">
        <f t="shared" si="2"/>
        <v>7</v>
      </c>
      <c r="D12" s="2">
        <v>44747</v>
      </c>
      <c r="E12" s="3">
        <v>0.5</v>
      </c>
      <c r="F12" s="1">
        <v>29.92</v>
      </c>
      <c r="G12" s="1">
        <v>63.12</v>
      </c>
      <c r="H12" s="1">
        <v>0</v>
      </c>
      <c r="I12" s="1">
        <v>6.97</v>
      </c>
      <c r="J12" s="1"/>
      <c r="K12" s="1">
        <v>5.6660000000000004</v>
      </c>
      <c r="L12" s="1">
        <v>2.1760000000000002</v>
      </c>
      <c r="M12" s="1">
        <v>7.0000000000000007E-2</v>
      </c>
      <c r="N12" s="1">
        <v>1.321</v>
      </c>
      <c r="O12" s="1">
        <v>5.5E-2</v>
      </c>
      <c r="P12" s="1">
        <v>9.1999999999999998E-2</v>
      </c>
      <c r="Q12" s="1">
        <v>7.3999999999999996E-2</v>
      </c>
      <c r="R12" s="1">
        <v>3.7999999999999999E-2</v>
      </c>
      <c r="S12" s="1">
        <v>0</v>
      </c>
      <c r="T12" s="1">
        <v>1.532</v>
      </c>
      <c r="U12" s="1">
        <v>0.54900000000000004</v>
      </c>
      <c r="V12" s="1">
        <v>1.1950000000000001</v>
      </c>
      <c r="W12" s="6">
        <f t="shared" si="27"/>
        <v>12.768000000000001</v>
      </c>
      <c r="X12" s="6">
        <f t="shared" si="19"/>
        <v>9.4920000000000009</v>
      </c>
      <c r="Y12" s="1">
        <f t="shared" si="0"/>
        <v>7</v>
      </c>
      <c r="Z12" s="4">
        <f t="shared" si="20"/>
        <v>6.0456219999999998</v>
      </c>
      <c r="AA12" s="4">
        <f t="shared" si="3"/>
        <v>3.2857600000000002</v>
      </c>
      <c r="AB12" s="4">
        <f t="shared" si="4"/>
        <v>0.12726000000000001</v>
      </c>
      <c r="AC12" s="4">
        <f t="shared" si="5"/>
        <v>2.4015780000000002</v>
      </c>
      <c r="AD12" s="4">
        <f t="shared" si="6"/>
        <v>0.111793</v>
      </c>
      <c r="AE12" s="4">
        <f t="shared" si="7"/>
        <v>0.1869992</v>
      </c>
      <c r="AF12" s="4">
        <f t="shared" si="8"/>
        <v>0.1628</v>
      </c>
      <c r="AG12" s="4">
        <f t="shared" si="9"/>
        <v>8.3600000000000008E-2</v>
      </c>
      <c r="AH12" s="4">
        <f t="shared" si="21"/>
        <v>0</v>
      </c>
      <c r="AI12" s="4">
        <f t="shared" si="10"/>
        <v>1.4523359999999998</v>
      </c>
      <c r="AJ12" s="4">
        <f t="shared" si="11"/>
        <v>0.76310999999999996</v>
      </c>
      <c r="AK12" s="4">
        <f t="shared" si="12"/>
        <v>2.4906190000000001</v>
      </c>
      <c r="AL12" s="4">
        <f t="shared" si="22"/>
        <v>17.111477200000003</v>
      </c>
      <c r="AM12" s="4">
        <f t="shared" si="13"/>
        <v>44.561138541666679</v>
      </c>
      <c r="AN12" s="4"/>
      <c r="AO12" s="4"/>
      <c r="AP12" s="4" t="e">
        <f t="shared" si="14"/>
        <v>#DIV/0!</v>
      </c>
      <c r="AQ12" s="4" t="e">
        <f t="shared" si="23"/>
        <v>#DIV/0!</v>
      </c>
      <c r="AR12" s="4">
        <f t="shared" si="24"/>
        <v>100</v>
      </c>
      <c r="AS12" s="4">
        <f t="shared" si="15"/>
        <v>0.42560000000000003</v>
      </c>
      <c r="AT12" s="4">
        <f t="shared" si="16"/>
        <v>0.31640000000000001</v>
      </c>
      <c r="AU12" s="4">
        <f t="shared" si="25"/>
        <v>0.30690800000000001</v>
      </c>
      <c r="AV12" s="4">
        <f t="shared" si="26"/>
        <v>17.111477200000003</v>
      </c>
      <c r="AW12" s="11">
        <f t="shared" si="17"/>
        <v>35.330801247247074</v>
      </c>
      <c r="AX12" s="11">
        <f t="shared" si="18"/>
        <v>19.202082681675193</v>
      </c>
      <c r="AY12" s="11">
        <f t="shared" si="18"/>
        <v>0.7437113611675793</v>
      </c>
      <c r="AZ12" s="11">
        <f t="shared" si="18"/>
        <v>14.034895830033889</v>
      </c>
      <c r="BA12" s="11">
        <f t="shared" si="18"/>
        <v>0.65332173659443016</v>
      </c>
      <c r="BB12" s="11">
        <f t="shared" si="18"/>
        <v>1.0928290866670469</v>
      </c>
      <c r="BC12" s="11">
        <f t="shared" si="18"/>
        <v>0.95140821623512417</v>
      </c>
      <c r="BD12" s="11">
        <f t="shared" si="18"/>
        <v>0.4885609759045233</v>
      </c>
      <c r="BE12" s="11">
        <f t="shared" si="18"/>
        <v>0</v>
      </c>
      <c r="BF12" s="11">
        <f t="shared" si="18"/>
        <v>8.4874963337472664</v>
      </c>
      <c r="BG12" s="11">
        <f t="shared" si="18"/>
        <v>4.4596383531399599</v>
      </c>
      <c r="BH12" s="11">
        <f t="shared" si="18"/>
        <v>14.555254177587893</v>
      </c>
      <c r="BI12" s="1"/>
      <c r="BJ12" s="11"/>
      <c r="BK12" s="1"/>
      <c r="BL12" s="1"/>
      <c r="BM12" s="1"/>
      <c r="BN12" s="1"/>
      <c r="BO12" s="1"/>
    </row>
    <row r="13" spans="1:69" x14ac:dyDescent="0.25">
      <c r="A13" s="53"/>
      <c r="B13" s="6">
        <f t="shared" si="1"/>
        <v>1</v>
      </c>
      <c r="C13" s="22">
        <f t="shared" si="2"/>
        <v>8</v>
      </c>
      <c r="D13" s="2">
        <v>44748</v>
      </c>
      <c r="E13" s="3">
        <v>0.5</v>
      </c>
      <c r="F13" s="1">
        <v>26.84</v>
      </c>
      <c r="G13" s="1">
        <v>65.959999999999994</v>
      </c>
      <c r="H13" s="1">
        <v>0</v>
      </c>
      <c r="I13" s="1">
        <v>7.2</v>
      </c>
      <c r="J13" s="1"/>
      <c r="K13" s="1">
        <v>5.0030000000000001</v>
      </c>
      <c r="L13" s="1">
        <v>1.8480000000000001</v>
      </c>
      <c r="M13" s="1">
        <v>5.5E-2</v>
      </c>
      <c r="N13" s="1">
        <v>1.4770000000000001</v>
      </c>
      <c r="O13" s="1">
        <v>4.2999999999999997E-2</v>
      </c>
      <c r="P13" s="1">
        <v>9.8000000000000004E-2</v>
      </c>
      <c r="Q13" s="1">
        <v>5.8999999999999997E-2</v>
      </c>
      <c r="R13" s="1">
        <v>4.5999999999999999E-2</v>
      </c>
      <c r="S13" s="1">
        <v>0</v>
      </c>
      <c r="T13" s="6">
        <v>1.5886285714285715</v>
      </c>
      <c r="U13" s="6">
        <v>0.49191428571428569</v>
      </c>
      <c r="V13" s="6">
        <v>1.4042571428571429</v>
      </c>
      <c r="W13" s="6">
        <f t="shared" si="27"/>
        <v>12.113799999999998</v>
      </c>
      <c r="X13" s="6">
        <f t="shared" si="19"/>
        <v>8.6289999999999978</v>
      </c>
      <c r="Y13" s="1">
        <f t="shared" si="0"/>
        <v>8</v>
      </c>
      <c r="Z13" s="4">
        <f t="shared" si="20"/>
        <v>5.3382009999999998</v>
      </c>
      <c r="AA13" s="4">
        <f t="shared" si="3"/>
        <v>2.7904800000000001</v>
      </c>
      <c r="AB13" s="4">
        <f t="shared" si="4"/>
        <v>9.9990000000000009E-2</v>
      </c>
      <c r="AC13" s="4">
        <f t="shared" si="5"/>
        <v>2.6851860000000003</v>
      </c>
      <c r="AD13" s="4">
        <f t="shared" si="6"/>
        <v>8.7401799999999988E-2</v>
      </c>
      <c r="AE13" s="4">
        <f t="shared" si="7"/>
        <v>0.19919480000000001</v>
      </c>
      <c r="AF13" s="4">
        <f t="shared" si="8"/>
        <v>0.1298</v>
      </c>
      <c r="AG13" s="4">
        <f t="shared" si="9"/>
        <v>0.10120000000000001</v>
      </c>
      <c r="AH13" s="4">
        <f t="shared" si="21"/>
        <v>0</v>
      </c>
      <c r="AI13" s="4">
        <f t="shared" si="10"/>
        <v>1.5060198857142857</v>
      </c>
      <c r="AJ13" s="4">
        <f t="shared" si="11"/>
        <v>0.68376085714285706</v>
      </c>
      <c r="AK13" s="4">
        <f t="shared" si="12"/>
        <v>2.9267527371428574</v>
      </c>
      <c r="AL13" s="4">
        <f t="shared" si="22"/>
        <v>16.547987080000002</v>
      </c>
      <c r="AM13" s="4">
        <f t="shared" si="13"/>
        <v>43.093716354166673</v>
      </c>
      <c r="AN13" s="4">
        <f>634*40/1000</f>
        <v>25.36</v>
      </c>
      <c r="AO13" s="4">
        <f>833*20/1000</f>
        <v>16.66</v>
      </c>
      <c r="AP13" s="4">
        <f t="shared" si="14"/>
        <v>99.327653541416581</v>
      </c>
      <c r="AQ13" s="4">
        <f t="shared" si="23"/>
        <v>0.65694006309148267</v>
      </c>
      <c r="AR13" s="4">
        <f t="shared" si="24"/>
        <v>33.958333333333336</v>
      </c>
      <c r="AS13" s="4">
        <f t="shared" si="15"/>
        <v>0.40379333333333328</v>
      </c>
      <c r="AT13" s="4">
        <f t="shared" si="16"/>
        <v>0.28763333333333324</v>
      </c>
      <c r="AU13" s="4">
        <f t="shared" si="25"/>
        <v>0.27900433333333324</v>
      </c>
      <c r="AV13" s="4">
        <f t="shared" si="26"/>
        <v>16.547987080000002</v>
      </c>
      <c r="AW13" s="11">
        <f t="shared" si="17"/>
        <v>32.258914478195251</v>
      </c>
      <c r="AX13" s="11">
        <f t="shared" si="18"/>
        <v>16.862957328342315</v>
      </c>
      <c r="AY13" s="11">
        <f t="shared" si="18"/>
        <v>0.6042426762639217</v>
      </c>
      <c r="AZ13" s="11">
        <f t="shared" si="18"/>
        <v>16.226662415305682</v>
      </c>
      <c r="BA13" s="11">
        <f t="shared" si="18"/>
        <v>0.52817179260210045</v>
      </c>
      <c r="BB13" s="11">
        <f t="shared" si="18"/>
        <v>1.2037403645350198</v>
      </c>
      <c r="BC13" s="11">
        <f t="shared" si="18"/>
        <v>0.78438543233380376</v>
      </c>
      <c r="BD13" s="11">
        <f t="shared" si="18"/>
        <v>0.61155474385347408</v>
      </c>
      <c r="BE13" s="11">
        <f t="shared" si="18"/>
        <v>0</v>
      </c>
      <c r="BF13" s="11">
        <f t="shared" si="18"/>
        <v>9.1009249550023554</v>
      </c>
      <c r="BG13" s="11">
        <f t="shared" si="18"/>
        <v>4.1319881012552555</v>
      </c>
      <c r="BH13" s="11">
        <f t="shared" si="18"/>
        <v>17.686457712310812</v>
      </c>
      <c r="BI13" s="1"/>
      <c r="BJ13" s="11"/>
      <c r="BK13" s="1"/>
      <c r="BL13" s="1"/>
      <c r="BM13" s="1"/>
      <c r="BN13" s="1"/>
      <c r="BO13" s="1"/>
    </row>
    <row r="14" spans="1:69" x14ac:dyDescent="0.25">
      <c r="A14" s="53"/>
      <c r="B14" s="6">
        <f t="shared" si="1"/>
        <v>1</v>
      </c>
      <c r="C14" s="22">
        <f t="shared" si="2"/>
        <v>9</v>
      </c>
      <c r="D14" s="2">
        <v>44749</v>
      </c>
      <c r="E14" s="3">
        <v>0.5</v>
      </c>
      <c r="F14" s="1">
        <v>20.98</v>
      </c>
      <c r="G14" s="1">
        <v>52.56</v>
      </c>
      <c r="H14" s="1">
        <v>4.67</v>
      </c>
      <c r="I14" s="1">
        <v>21.8</v>
      </c>
      <c r="J14" s="1"/>
      <c r="K14" s="1">
        <v>4.9459999999999997</v>
      </c>
      <c r="L14" s="1">
        <v>1.776</v>
      </c>
      <c r="M14" s="1">
        <v>6.8000000000000005E-2</v>
      </c>
      <c r="N14" s="1">
        <v>1.5960000000000001</v>
      </c>
      <c r="O14" s="1">
        <v>6.0999999999999999E-2</v>
      </c>
      <c r="P14" s="1">
        <v>0.1</v>
      </c>
      <c r="Q14" s="1">
        <v>4.9000000000000002E-2</v>
      </c>
      <c r="R14" s="1">
        <v>4.2000000000000003E-2</v>
      </c>
      <c r="S14" s="1">
        <v>0.623</v>
      </c>
      <c r="T14" s="6">
        <v>1.8920571428571429</v>
      </c>
      <c r="U14" s="6">
        <v>0.873</v>
      </c>
      <c r="V14" s="6">
        <v>1.2255428571428573</v>
      </c>
      <c r="W14" s="6">
        <f t="shared" si="27"/>
        <v>13.251599999999996</v>
      </c>
      <c r="X14" s="6">
        <f t="shared" si="19"/>
        <v>8.6379999999999981</v>
      </c>
      <c r="Y14" s="1">
        <f t="shared" si="0"/>
        <v>9</v>
      </c>
      <c r="Z14" s="4">
        <f t="shared" si="20"/>
        <v>5.2773819999999994</v>
      </c>
      <c r="AA14" s="4">
        <f t="shared" si="3"/>
        <v>2.6817600000000001</v>
      </c>
      <c r="AB14" s="4">
        <f t="shared" si="4"/>
        <v>0.12362400000000001</v>
      </c>
      <c r="AC14" s="4">
        <f t="shared" si="5"/>
        <v>2.9015280000000003</v>
      </c>
      <c r="AD14" s="4">
        <f t="shared" si="6"/>
        <v>0.12398859999999999</v>
      </c>
      <c r="AE14" s="4">
        <f t="shared" si="7"/>
        <v>0.20326</v>
      </c>
      <c r="AF14" s="4">
        <f t="shared" si="8"/>
        <v>0.10780000000000001</v>
      </c>
      <c r="AG14" s="4">
        <f t="shared" si="9"/>
        <v>9.240000000000001E-2</v>
      </c>
      <c r="AH14" s="4">
        <f t="shared" si="21"/>
        <v>0.66474099999999992</v>
      </c>
      <c r="AI14" s="4">
        <f t="shared" si="10"/>
        <v>1.7936701714285714</v>
      </c>
      <c r="AJ14" s="4">
        <f t="shared" si="11"/>
        <v>1.2134699999999998</v>
      </c>
      <c r="AK14" s="4">
        <f t="shared" si="12"/>
        <v>2.5542764228571433</v>
      </c>
      <c r="AL14" s="4">
        <f t="shared" si="22"/>
        <v>17.737900194285714</v>
      </c>
      <c r="AM14" s="4">
        <f t="shared" si="13"/>
        <v>46.192448422619051</v>
      </c>
      <c r="AN14" s="4">
        <f>648*40/1000</f>
        <v>25.92</v>
      </c>
      <c r="AO14" s="4">
        <f>842*20/1000</f>
        <v>16.84</v>
      </c>
      <c r="AP14" s="4">
        <f t="shared" si="14"/>
        <v>105.33194889718358</v>
      </c>
      <c r="AQ14" s="4">
        <f t="shared" si="23"/>
        <v>0.64969135802469136</v>
      </c>
      <c r="AR14" s="4">
        <f t="shared" si="24"/>
        <v>32.499999999999993</v>
      </c>
      <c r="AS14" s="4">
        <f t="shared" si="15"/>
        <v>0.44171999999999989</v>
      </c>
      <c r="AT14" s="4">
        <f t="shared" si="16"/>
        <v>0.28793333333333326</v>
      </c>
      <c r="AU14" s="4">
        <f t="shared" si="25"/>
        <v>0.27929533333333328</v>
      </c>
      <c r="AV14" s="4">
        <f t="shared" si="26"/>
        <v>17.737900194285714</v>
      </c>
      <c r="AW14" s="11">
        <f t="shared" si="17"/>
        <v>29.752010904312758</v>
      </c>
      <c r="AX14" s="11">
        <f t="shared" si="18"/>
        <v>15.118813222683103</v>
      </c>
      <c r="AY14" s="11">
        <f t="shared" si="18"/>
        <v>0.6969483346164369</v>
      </c>
      <c r="AZ14" s="11">
        <f t="shared" si="18"/>
        <v>16.357787383056372</v>
      </c>
      <c r="BA14" s="11">
        <f t="shared" si="18"/>
        <v>0.69900382030530916</v>
      </c>
      <c r="BB14" s="11">
        <f t="shared" si="18"/>
        <v>1.1459079021398511</v>
      </c>
      <c r="BC14" s="11">
        <f t="shared" si="18"/>
        <v>0.60773822616685991</v>
      </c>
      <c r="BD14" s="11">
        <f t="shared" si="18"/>
        <v>0.52091847957159421</v>
      </c>
      <c r="BE14" s="11">
        <f t="shared" si="18"/>
        <v>3.7475743617846433</v>
      </c>
      <c r="BF14" s="11">
        <f t="shared" si="18"/>
        <v>10.112077257072425</v>
      </c>
      <c r="BG14" s="11">
        <f t="shared" si="18"/>
        <v>6.8411141494127952</v>
      </c>
      <c r="BH14" s="11">
        <f t="shared" si="18"/>
        <v>14.400105958877852</v>
      </c>
      <c r="BI14" s="1"/>
      <c r="BJ14" s="11"/>
      <c r="BK14" s="1"/>
      <c r="BL14" s="1"/>
      <c r="BM14" s="1"/>
      <c r="BN14" s="1"/>
      <c r="BO14" s="1"/>
    </row>
    <row r="15" spans="1:69" x14ac:dyDescent="0.25">
      <c r="A15" s="53"/>
      <c r="B15" s="6">
        <f t="shared" si="1"/>
        <v>1</v>
      </c>
      <c r="C15" s="46">
        <f t="shared" si="2"/>
        <v>10</v>
      </c>
      <c r="D15" s="2">
        <v>44750</v>
      </c>
      <c r="E15" s="3">
        <v>0.5</v>
      </c>
      <c r="F15" s="1">
        <v>26.61</v>
      </c>
      <c r="G15" s="1">
        <v>64.150000000000006</v>
      </c>
      <c r="H15" s="1">
        <v>0.18</v>
      </c>
      <c r="I15" s="1">
        <v>9.0399999999999991</v>
      </c>
      <c r="J15" s="1">
        <v>0.01</v>
      </c>
      <c r="K15" s="1">
        <v>4.8529999999999998</v>
      </c>
      <c r="L15" s="1">
        <v>1.6639999999999999</v>
      </c>
      <c r="M15" s="1">
        <v>7.0999999999999994E-2</v>
      </c>
      <c r="N15" s="1">
        <v>1.79</v>
      </c>
      <c r="O15" s="1">
        <v>6.8000000000000005E-2</v>
      </c>
      <c r="P15" s="1">
        <v>9.2999999999999999E-2</v>
      </c>
      <c r="Q15" s="1">
        <v>3.6999999999999998E-2</v>
      </c>
      <c r="R15" s="1">
        <v>3.4000000000000002E-2</v>
      </c>
      <c r="S15" s="1">
        <v>0.70499999999999996</v>
      </c>
      <c r="T15" s="6">
        <v>1.9944</v>
      </c>
      <c r="U15" s="6">
        <v>0.99591428571428564</v>
      </c>
      <c r="V15" s="6">
        <v>1.2283714285714287</v>
      </c>
      <c r="W15" s="6">
        <f>SUM(K15:V15)</f>
        <v>13.533685714285715</v>
      </c>
      <c r="X15" s="6">
        <f t="shared" si="19"/>
        <v>8.6100000000000012</v>
      </c>
      <c r="Y15" s="1">
        <f t="shared" si="0"/>
        <v>10</v>
      </c>
      <c r="Z15" s="4">
        <f>K15*$E$2</f>
        <v>5.1781509999999997</v>
      </c>
      <c r="AA15" s="4">
        <f t="shared" si="3"/>
        <v>2.5126399999999998</v>
      </c>
      <c r="AB15" s="4">
        <f t="shared" si="4"/>
        <v>0.129078</v>
      </c>
      <c r="AC15" s="4">
        <f t="shared" si="5"/>
        <v>3.2542200000000001</v>
      </c>
      <c r="AD15" s="4">
        <f t="shared" si="6"/>
        <v>0.1382168</v>
      </c>
      <c r="AE15" s="4">
        <f t="shared" si="7"/>
        <v>0.1890318</v>
      </c>
      <c r="AF15" s="4">
        <f t="shared" si="8"/>
        <v>8.14E-2</v>
      </c>
      <c r="AG15" s="4">
        <f t="shared" si="9"/>
        <v>7.4800000000000005E-2</v>
      </c>
      <c r="AH15" s="4">
        <f t="shared" si="21"/>
        <v>0.75223499999999988</v>
      </c>
      <c r="AI15" s="4">
        <f t="shared" si="10"/>
        <v>1.8906911999999998</v>
      </c>
      <c r="AJ15" s="4">
        <f t="shared" si="11"/>
        <v>1.3843208571428569</v>
      </c>
      <c r="AK15" s="4">
        <f t="shared" si="12"/>
        <v>2.5601717314285719</v>
      </c>
      <c r="AL15" s="4">
        <f t="shared" si="22"/>
        <v>18.14495638857143</v>
      </c>
      <c r="AM15" s="4">
        <f t="shared" si="13"/>
        <v>47.2524905952381</v>
      </c>
      <c r="AN15" s="4">
        <f>659*40/1000</f>
        <v>26.36</v>
      </c>
      <c r="AO15" s="4">
        <f>849*20/1000</f>
        <v>16.98</v>
      </c>
      <c r="AP15" s="4">
        <f t="shared" si="14"/>
        <v>106.8607561164395</v>
      </c>
      <c r="AQ15" s="4">
        <f t="shared" si="23"/>
        <v>0.64415781487101675</v>
      </c>
      <c r="AR15" s="4">
        <f t="shared" si="24"/>
        <v>31.354166666666668</v>
      </c>
      <c r="AS15" s="4">
        <f t="shared" si="15"/>
        <v>0.45112285714285716</v>
      </c>
      <c r="AT15" s="4">
        <f t="shared" si="16"/>
        <v>0.28700000000000003</v>
      </c>
      <c r="AU15" s="4">
        <f t="shared" si="25"/>
        <v>0.27839000000000003</v>
      </c>
      <c r="AV15" s="4">
        <f t="shared" si="26"/>
        <v>18.14495638857143</v>
      </c>
      <c r="AW15" s="11">
        <f t="shared" si="17"/>
        <v>28.537687769045561</v>
      </c>
      <c r="AX15" s="11">
        <f t="shared" si="18"/>
        <v>13.847594594289472</v>
      </c>
      <c r="AY15" s="11">
        <f t="shared" si="18"/>
        <v>0.71137123306231564</v>
      </c>
      <c r="AZ15" s="11">
        <f t="shared" si="18"/>
        <v>17.934570523683732</v>
      </c>
      <c r="BA15" s="11">
        <f t="shared" si="18"/>
        <v>0.76173674403017921</v>
      </c>
      <c r="BB15" s="11">
        <f t="shared" si="18"/>
        <v>1.0417870175706863</v>
      </c>
      <c r="BC15" s="11">
        <f t="shared" si="18"/>
        <v>0.4486095103059583</v>
      </c>
      <c r="BD15" s="11">
        <f t="shared" si="18"/>
        <v>0.4122357662270969</v>
      </c>
      <c r="BE15" s="11">
        <f t="shared" si="18"/>
        <v>4.1456974813882379</v>
      </c>
      <c r="BF15" s="11">
        <f t="shared" si="18"/>
        <v>10.419926945599322</v>
      </c>
      <c r="BG15" s="11">
        <f t="shared" si="18"/>
        <v>7.629232209203705</v>
      </c>
      <c r="BH15" s="11">
        <f t="shared" si="18"/>
        <v>14.109550205593724</v>
      </c>
      <c r="BI15" s="1"/>
      <c r="BJ15" s="11"/>
      <c r="BK15" s="1"/>
      <c r="BL15" s="1"/>
      <c r="BM15" s="1"/>
      <c r="BN15" s="1"/>
      <c r="BO15" s="1"/>
    </row>
    <row r="16" spans="1:69" x14ac:dyDescent="0.25">
      <c r="A16" s="53"/>
      <c r="B16" s="6">
        <f t="shared" si="1"/>
        <v>3</v>
      </c>
      <c r="C16" s="22">
        <f t="shared" si="2"/>
        <v>13</v>
      </c>
      <c r="D16" s="2">
        <v>44753</v>
      </c>
      <c r="E16" s="3">
        <v>0.5</v>
      </c>
      <c r="F16" s="1">
        <v>35.94</v>
      </c>
      <c r="G16" s="1">
        <v>45.91</v>
      </c>
      <c r="H16" s="1"/>
      <c r="I16" s="1">
        <v>18.11</v>
      </c>
      <c r="J16" s="1">
        <v>0.04</v>
      </c>
      <c r="K16" s="1">
        <v>5.843</v>
      </c>
      <c r="L16" s="1">
        <v>2.2029999999999998</v>
      </c>
      <c r="M16" s="1">
        <v>9.7000000000000003E-2</v>
      </c>
      <c r="N16" s="1">
        <v>2.3250000000000002</v>
      </c>
      <c r="O16" s="1">
        <v>0.08</v>
      </c>
      <c r="P16" s="1">
        <v>0.24399999999999999</v>
      </c>
      <c r="Q16" s="1">
        <v>3.3000000000000002E-2</v>
      </c>
      <c r="R16" s="1">
        <v>0.158</v>
      </c>
      <c r="S16" s="1">
        <v>0</v>
      </c>
      <c r="T16" s="6">
        <v>2.2608000000000001</v>
      </c>
      <c r="U16" s="6">
        <v>0.57882857142857147</v>
      </c>
      <c r="V16" s="1">
        <v>0</v>
      </c>
      <c r="W16" s="6">
        <f t="shared" si="27"/>
        <v>13.82262857142857</v>
      </c>
      <c r="X16" s="6">
        <f t="shared" si="19"/>
        <v>10.982999999999999</v>
      </c>
      <c r="Y16" s="1">
        <f t="shared" si="0"/>
        <v>13</v>
      </c>
      <c r="Z16" s="4">
        <f>K16*$E$2</f>
        <v>6.2344809999999997</v>
      </c>
      <c r="AA16" s="4">
        <f t="shared" si="3"/>
        <v>3.32653</v>
      </c>
      <c r="AB16" s="4">
        <f t="shared" si="4"/>
        <v>0.176346</v>
      </c>
      <c r="AC16" s="4">
        <f t="shared" si="5"/>
        <v>4.2268500000000007</v>
      </c>
      <c r="AD16" s="4">
        <f t="shared" si="6"/>
        <v>0.162608</v>
      </c>
      <c r="AE16" s="4">
        <f t="shared" si="7"/>
        <v>0.49595439999999996</v>
      </c>
      <c r="AF16" s="4">
        <f t="shared" si="8"/>
        <v>7.2600000000000012E-2</v>
      </c>
      <c r="AG16" s="4">
        <f t="shared" si="9"/>
        <v>0.34760000000000002</v>
      </c>
      <c r="AH16" s="4">
        <f t="shared" ref="AH16:AH28" si="28">S16*1.067</f>
        <v>0</v>
      </c>
      <c r="AI16" s="4">
        <f t="shared" ref="AI16:AI28" si="29">T16*$B$2</f>
        <v>2.1432384</v>
      </c>
      <c r="AJ16" s="4">
        <f>U16*$D$2</f>
        <v>0.80457171428571428</v>
      </c>
      <c r="AK16" s="4">
        <f t="shared" ref="AK16:AK28" si="30">V16*$C$2</f>
        <v>0</v>
      </c>
      <c r="AL16" s="4">
        <f t="shared" si="22"/>
        <v>17.990779514285716</v>
      </c>
      <c r="AM16" s="4">
        <f t="shared" si="13"/>
        <v>46.850988318452387</v>
      </c>
      <c r="AN16" s="1">
        <f>773*40/1000</f>
        <v>30.92</v>
      </c>
      <c r="AO16" s="1">
        <f>912*20/1000</f>
        <v>18.239999999999998</v>
      </c>
      <c r="AP16" s="4">
        <f t="shared" ref="AP16:AP17" si="31">AL16/AO16*100</f>
        <v>98.633659617794507</v>
      </c>
      <c r="AQ16" s="4">
        <f t="shared" ref="AQ16:AQ18" si="32">AO16/AN16</f>
        <v>0.58990944372574372</v>
      </c>
      <c r="AR16" s="4">
        <f t="shared" si="24"/>
        <v>19.479166666666657</v>
      </c>
      <c r="AS16" s="4">
        <f t="shared" si="15"/>
        <v>0.46075428571428567</v>
      </c>
      <c r="AT16" s="4">
        <f t="shared" si="16"/>
        <v>0.36609999999999998</v>
      </c>
      <c r="AU16" s="4">
        <f t="shared" si="25"/>
        <v>0.35511699999999996</v>
      </c>
      <c r="AV16" s="4">
        <f t="shared" si="26"/>
        <v>17.990779514285716</v>
      </c>
      <c r="AW16" s="11">
        <f t="shared" ref="AW16:AW22" si="33">Z16/$AL16*100</f>
        <v>34.653756915032297</v>
      </c>
      <c r="AX16" s="11">
        <f t="shared" ref="AX16:AX22" si="34">AA16/$AL16*100</f>
        <v>18.490193809326293</v>
      </c>
      <c r="AY16" s="11">
        <f t="shared" ref="AY16:AY22" si="35">AB16/$AL16*100</f>
        <v>0.98020210775175753</v>
      </c>
      <c r="AZ16" s="11">
        <f t="shared" ref="AZ16:AZ22" si="36">AC16/$AL16*100</f>
        <v>23.49453505693646</v>
      </c>
      <c r="BA16" s="11">
        <f t="shared" ref="BA16:BA22" si="37">AD16/$AL16*100</f>
        <v>0.90384076949461734</v>
      </c>
      <c r="BB16" s="11">
        <f t="shared" ref="BB16:BB22" si="38">AE16/$AL16*100</f>
        <v>2.7567143469585829</v>
      </c>
      <c r="BC16" s="11">
        <f t="shared" ref="BC16:BC22" si="39">AF16/$AL16*100</f>
        <v>0.40354004640183277</v>
      </c>
      <c r="BD16" s="11">
        <f t="shared" ref="BD16:BD22" si="40">AG16/$AL16*100</f>
        <v>1.9321008282269569</v>
      </c>
      <c r="BE16" s="11">
        <f t="shared" ref="BE16:BE22" si="41">AH16/$AL16*100</f>
        <v>0</v>
      </c>
      <c r="BF16" s="11">
        <f t="shared" ref="BF16:BF22" si="42">AI16/$AL16*100</f>
        <v>11.912982415787738</v>
      </c>
      <c r="BG16" s="11">
        <f t="shared" ref="BG16:BG22" si="43">AJ16/$AL16*100</f>
        <v>4.4721337040834603</v>
      </c>
      <c r="BH16" s="11">
        <f>AK16/$AL16*100</f>
        <v>0</v>
      </c>
      <c r="BI16" s="1"/>
      <c r="BJ16" s="1"/>
      <c r="BK16" s="1"/>
      <c r="BL16" s="1"/>
      <c r="BM16" s="1"/>
      <c r="BN16" s="1"/>
      <c r="BO16" s="1"/>
    </row>
    <row r="17" spans="1:72" x14ac:dyDescent="0.25">
      <c r="A17" s="53"/>
      <c r="B17" s="6">
        <f t="shared" si="1"/>
        <v>1</v>
      </c>
      <c r="C17" s="22">
        <f t="shared" si="2"/>
        <v>14</v>
      </c>
      <c r="D17" s="2">
        <v>44754</v>
      </c>
      <c r="E17" s="3">
        <v>0.5</v>
      </c>
      <c r="F17" s="1">
        <v>25</v>
      </c>
      <c r="G17" s="1">
        <v>35.36</v>
      </c>
      <c r="H17" s="1">
        <v>4.8600000000000003</v>
      </c>
      <c r="I17" s="1">
        <v>34.729999999999997</v>
      </c>
      <c r="J17" s="1">
        <v>0.05</v>
      </c>
      <c r="K17" s="1">
        <v>5.0549999999999997</v>
      </c>
      <c r="L17" s="1">
        <v>1.9990000000000001</v>
      </c>
      <c r="M17" s="1">
        <v>8.8999999999999996E-2</v>
      </c>
      <c r="N17" s="1">
        <v>2.5619999999999998</v>
      </c>
      <c r="O17" s="1">
        <v>8.8999999999999996E-2</v>
      </c>
      <c r="P17" s="1">
        <v>0.26</v>
      </c>
      <c r="Q17" s="1">
        <v>1.9E-2</v>
      </c>
      <c r="R17" s="1">
        <v>0.23699999999999999</v>
      </c>
      <c r="S17" s="6">
        <v>8.4857142857142867E-2</v>
      </c>
      <c r="T17" s="6">
        <v>1.9581428571428572</v>
      </c>
      <c r="U17" s="6">
        <v>0.85294285714285722</v>
      </c>
      <c r="V17" s="1">
        <v>0</v>
      </c>
      <c r="W17" s="6">
        <f t="shared" si="27"/>
        <v>13.205942857142857</v>
      </c>
      <c r="X17" s="6">
        <f t="shared" si="19"/>
        <v>10.31</v>
      </c>
      <c r="Y17" s="1">
        <f t="shared" si="0"/>
        <v>14</v>
      </c>
      <c r="Z17" s="4">
        <f>K17*$E$2</f>
        <v>5.3936849999999996</v>
      </c>
      <c r="AA17" s="4">
        <f t="shared" si="3"/>
        <v>3.0184900000000003</v>
      </c>
      <c r="AB17" s="4">
        <f t="shared" si="4"/>
        <v>0.161802</v>
      </c>
      <c r="AC17" s="4">
        <f t="shared" si="5"/>
        <v>4.6577159999999997</v>
      </c>
      <c r="AD17" s="4">
        <f t="shared" si="6"/>
        <v>0.18090139999999999</v>
      </c>
      <c r="AE17" s="4">
        <f t="shared" si="7"/>
        <v>0.52847600000000006</v>
      </c>
      <c r="AF17" s="4">
        <f t="shared" si="8"/>
        <v>4.1800000000000004E-2</v>
      </c>
      <c r="AG17" s="4">
        <f t="shared" si="9"/>
        <v>0.52139999999999997</v>
      </c>
      <c r="AH17" s="4">
        <f>T17*1.067</f>
        <v>2.0893384285714287</v>
      </c>
      <c r="AI17" s="4">
        <f>U16*$B$2</f>
        <v>0.5487294857142857</v>
      </c>
      <c r="AJ17" s="4">
        <f>U17*$D$2</f>
        <v>1.1855905714285715</v>
      </c>
      <c r="AK17" s="4">
        <f t="shared" si="30"/>
        <v>0</v>
      </c>
      <c r="AL17" s="4">
        <f t="shared" si="22"/>
        <v>18.327928885714286</v>
      </c>
      <c r="AM17" s="4">
        <f t="shared" si="13"/>
        <v>47.72898147321429</v>
      </c>
      <c r="AN17" s="1">
        <f>719*40/1000</f>
        <v>28.76</v>
      </c>
      <c r="AO17" s="1">
        <f>853*20/1000</f>
        <v>17.059999999999999</v>
      </c>
      <c r="AP17" s="4">
        <f t="shared" si="31"/>
        <v>107.43217400770391</v>
      </c>
      <c r="AQ17" s="4">
        <f t="shared" si="32"/>
        <v>0.59318497913769119</v>
      </c>
      <c r="AR17" s="4">
        <f>($AG$2-AN17)/$AG$2*100</f>
        <v>25.104166666666661</v>
      </c>
      <c r="AS17" s="4">
        <f t="shared" si="15"/>
        <v>0.44019809523809522</v>
      </c>
      <c r="AT17" s="4">
        <f t="shared" si="16"/>
        <v>0.34366666666666668</v>
      </c>
      <c r="AU17" s="4">
        <f t="shared" si="25"/>
        <v>0.33335666666666669</v>
      </c>
      <c r="AV17" s="4">
        <f t="shared" si="26"/>
        <v>18.327928885714286</v>
      </c>
      <c r="AW17" s="11">
        <f t="shared" si="33"/>
        <v>29.428775251327554</v>
      </c>
      <c r="AX17" s="11">
        <f t="shared" si="34"/>
        <v>16.469345875478403</v>
      </c>
      <c r="AY17" s="11">
        <f t="shared" si="35"/>
        <v>0.88281660742429369</v>
      </c>
      <c r="AZ17" s="11">
        <f t="shared" si="36"/>
        <v>25.413215148551011</v>
      </c>
      <c r="BA17" s="11">
        <f t="shared" si="37"/>
        <v>0.987025872525093</v>
      </c>
      <c r="BB17" s="11">
        <f t="shared" si="38"/>
        <v>2.8834463691744294</v>
      </c>
      <c r="BC17" s="11">
        <f t="shared" si="39"/>
        <v>0.22806723149488556</v>
      </c>
      <c r="BD17" s="11">
        <f t="shared" si="40"/>
        <v>2.8448386244362038</v>
      </c>
      <c r="BE17" s="11">
        <f t="shared" si="41"/>
        <v>11.399751939238287</v>
      </c>
      <c r="BF17" s="11">
        <f t="shared" si="42"/>
        <v>2.9939525035040546</v>
      </c>
      <c r="BG17" s="11">
        <f t="shared" si="43"/>
        <v>6.4687645768457811</v>
      </c>
      <c r="BH17" s="11">
        <f t="shared" ref="BH17:BH22" si="44">AK17/$AL17*100</f>
        <v>0</v>
      </c>
      <c r="BI17" s="1"/>
      <c r="BJ17" s="1"/>
      <c r="BK17" s="1"/>
      <c r="BL17" s="1"/>
      <c r="BM17" s="1"/>
      <c r="BN17" s="1"/>
      <c r="BO17" s="1"/>
    </row>
    <row r="18" spans="1:72" x14ac:dyDescent="0.25">
      <c r="A18" s="53"/>
      <c r="B18" s="6">
        <f t="shared" si="1"/>
        <v>1</v>
      </c>
      <c r="C18" s="46">
        <f t="shared" si="2"/>
        <v>15</v>
      </c>
      <c r="D18" s="2">
        <v>44755</v>
      </c>
      <c r="E18" s="3">
        <v>0.5</v>
      </c>
      <c r="F18" s="1">
        <f>AVERAGEA(F17,F19)</f>
        <v>26.73</v>
      </c>
      <c r="G18" s="1">
        <f t="shared" ref="G18:J18" si="45">AVERAGEA(G17,G19)</f>
        <v>42.297499999999999</v>
      </c>
      <c r="H18" s="1">
        <f t="shared" si="45"/>
        <v>4.7650000000000006</v>
      </c>
      <c r="I18" s="1">
        <f t="shared" si="45"/>
        <v>27.342499999999998</v>
      </c>
      <c r="J18" s="1">
        <f t="shared" si="45"/>
        <v>4.4999999999999998E-2</v>
      </c>
      <c r="K18" s="1">
        <v>4.74</v>
      </c>
      <c r="L18" s="1">
        <v>1.7769999999999999</v>
      </c>
      <c r="M18" s="1">
        <v>7.9000000000000001E-2</v>
      </c>
      <c r="N18" s="1">
        <v>3.0489999999999999</v>
      </c>
      <c r="O18" s="1">
        <v>8.6999999999999994E-2</v>
      </c>
      <c r="P18" s="1">
        <v>0.29399999999999998</v>
      </c>
      <c r="Q18" s="1">
        <v>0</v>
      </c>
      <c r="R18" s="1">
        <v>0.314</v>
      </c>
      <c r="S18" s="6">
        <v>0.37980000000000003</v>
      </c>
      <c r="T18" s="6">
        <v>1.3870285714285715</v>
      </c>
      <c r="U18" s="6">
        <v>1.0002857142857144</v>
      </c>
      <c r="V18" s="1">
        <v>0</v>
      </c>
      <c r="W18" s="6">
        <f t="shared" si="27"/>
        <v>13.107114285714285</v>
      </c>
      <c r="X18" s="6">
        <f t="shared" si="19"/>
        <v>10.34</v>
      </c>
      <c r="Y18" s="1">
        <f t="shared" si="0"/>
        <v>15</v>
      </c>
      <c r="Z18" s="4">
        <f>K18*$E$2</f>
        <v>5.0575799999999997</v>
      </c>
      <c r="AA18" s="4">
        <f t="shared" si="3"/>
        <v>2.6832699999999998</v>
      </c>
      <c r="AB18" s="4">
        <f t="shared" si="4"/>
        <v>0.143622</v>
      </c>
      <c r="AC18" s="4">
        <f t="shared" si="5"/>
        <v>5.5430820000000001</v>
      </c>
      <c r="AD18" s="4">
        <f t="shared" si="6"/>
        <v>0.17683619999999997</v>
      </c>
      <c r="AE18" s="4">
        <f t="shared" si="7"/>
        <v>0.5975843999999999</v>
      </c>
      <c r="AF18" s="4">
        <f t="shared" si="8"/>
        <v>0</v>
      </c>
      <c r="AG18" s="4">
        <f t="shared" si="9"/>
        <v>0.69080000000000008</v>
      </c>
      <c r="AH18" s="4">
        <f>S17*1.067</f>
        <v>9.0542571428571431E-2</v>
      </c>
      <c r="AI18" s="4">
        <f t="shared" si="29"/>
        <v>1.3149030857142858</v>
      </c>
      <c r="AJ18" s="4">
        <f t="shared" ref="AJ18:AJ28" si="46">U18*$D$2</f>
        <v>1.3903971428571429</v>
      </c>
      <c r="AK18" s="4">
        <f t="shared" si="30"/>
        <v>0</v>
      </c>
      <c r="AL18" s="4">
        <f t="shared" si="22"/>
        <v>17.688617400000002</v>
      </c>
      <c r="AM18" s="4">
        <f t="shared" si="13"/>
        <v>46.064107812500005</v>
      </c>
      <c r="AN18" s="1">
        <f>712*40/1000</f>
        <v>28.48</v>
      </c>
      <c r="AO18" s="1">
        <f>848*20/1000</f>
        <v>16.96</v>
      </c>
      <c r="AP18" s="4">
        <f>AL18/AO18*100</f>
        <v>104.29609316037735</v>
      </c>
      <c r="AQ18" s="4">
        <f t="shared" si="32"/>
        <v>0.5955056179775281</v>
      </c>
      <c r="AR18" s="4">
        <f t="shared" si="24"/>
        <v>25.833333333333329</v>
      </c>
      <c r="AS18" s="4">
        <f t="shared" si="15"/>
        <v>0.43690380952380953</v>
      </c>
      <c r="AT18" s="4">
        <f t="shared" si="16"/>
        <v>0.34466666666666668</v>
      </c>
      <c r="AU18" s="4">
        <f t="shared" si="25"/>
        <v>0.33432666666666666</v>
      </c>
      <c r="AV18" s="4">
        <f t="shared" si="26"/>
        <v>17.688617400000002</v>
      </c>
      <c r="AW18" s="11">
        <f t="shared" si="33"/>
        <v>28.592285567779875</v>
      </c>
      <c r="AX18" s="11">
        <f t="shared" si="34"/>
        <v>15.169472770664369</v>
      </c>
      <c r="AY18" s="11">
        <f t="shared" si="35"/>
        <v>0.81194587882261493</v>
      </c>
      <c r="AZ18" s="11">
        <f t="shared" si="36"/>
        <v>31.33699980417915</v>
      </c>
      <c r="BA18" s="11">
        <f t="shared" si="37"/>
        <v>0.99971747933221711</v>
      </c>
      <c r="BB18" s="11">
        <f t="shared" si="38"/>
        <v>3.3783556198123197</v>
      </c>
      <c r="BC18" s="11">
        <f t="shared" si="39"/>
        <v>0</v>
      </c>
      <c r="BD18" s="11">
        <f t="shared" si="40"/>
        <v>3.9053363209721526</v>
      </c>
      <c r="BE18" s="11">
        <f t="shared" si="41"/>
        <v>0.51186912680112251</v>
      </c>
      <c r="BF18" s="11">
        <f t="shared" si="42"/>
        <v>7.4336114348557611</v>
      </c>
      <c r="BG18" s="11">
        <f t="shared" si="43"/>
        <v>7.8604059967804076</v>
      </c>
      <c r="BH18" s="11">
        <f t="shared" si="44"/>
        <v>0</v>
      </c>
      <c r="BI18" s="1"/>
      <c r="BJ18" s="1"/>
      <c r="BK18" s="1"/>
      <c r="BL18" s="1"/>
      <c r="BM18" s="1"/>
      <c r="BN18" s="1"/>
      <c r="BO18" s="1"/>
    </row>
    <row r="19" spans="1:72" x14ac:dyDescent="0.25">
      <c r="A19" s="53"/>
      <c r="B19" s="6">
        <f t="shared" ref="B19:B23" si="47">D19-D18</f>
        <v>5</v>
      </c>
      <c r="C19" s="46">
        <f t="shared" ref="C19:C23" si="48">C18+B19</f>
        <v>20</v>
      </c>
      <c r="D19" s="2">
        <v>44760</v>
      </c>
      <c r="E19" s="3">
        <v>0.5</v>
      </c>
      <c r="F19" s="1">
        <f>AVERAGEA(F14,F16)</f>
        <v>28.46</v>
      </c>
      <c r="G19" s="1">
        <f t="shared" ref="G19:J19" si="49">AVERAGEA(G14,G16)</f>
        <v>49.234999999999999</v>
      </c>
      <c r="H19" s="1">
        <f t="shared" si="49"/>
        <v>4.67</v>
      </c>
      <c r="I19" s="1">
        <f t="shared" si="49"/>
        <v>19.954999999999998</v>
      </c>
      <c r="J19" s="1">
        <f t="shared" si="49"/>
        <v>0.04</v>
      </c>
      <c r="K19" s="1">
        <v>4.0149999999999997</v>
      </c>
      <c r="L19" s="1">
        <v>1.022</v>
      </c>
      <c r="M19" s="1">
        <v>0.06</v>
      </c>
      <c r="N19" s="1">
        <v>2.5099999999999998</v>
      </c>
      <c r="O19" s="1">
        <v>6.9000000000000006E-2</v>
      </c>
      <c r="P19" s="1">
        <v>0.34100000000000003</v>
      </c>
      <c r="Q19" s="1">
        <v>0</v>
      </c>
      <c r="R19" s="1">
        <v>0.46300000000000002</v>
      </c>
      <c r="S19" s="6">
        <v>0.91954285714285711</v>
      </c>
      <c r="T19" s="6">
        <v>1.4096571428571429</v>
      </c>
      <c r="U19" s="6">
        <v>0.73234285714285718</v>
      </c>
      <c r="V19" s="1">
        <v>0</v>
      </c>
      <c r="W19" s="6">
        <f t="shared" si="27"/>
        <v>11.541542857142856</v>
      </c>
      <c r="X19" s="6">
        <f t="shared" si="19"/>
        <v>8.4799999999999986</v>
      </c>
      <c r="Y19" s="1">
        <f t="shared" si="0"/>
        <v>20</v>
      </c>
      <c r="Z19" s="4">
        <f t="shared" ref="Z19:Z28" si="50">K19*$E$2</f>
        <v>4.2840049999999996</v>
      </c>
      <c r="AA19" s="4">
        <f t="shared" si="3"/>
        <v>1.54322</v>
      </c>
      <c r="AB19" s="4">
        <f t="shared" si="4"/>
        <v>0.10908</v>
      </c>
      <c r="AC19" s="4">
        <f t="shared" si="5"/>
        <v>4.56318</v>
      </c>
      <c r="AD19" s="4">
        <f t="shared" si="6"/>
        <v>0.1402494</v>
      </c>
      <c r="AE19" s="4">
        <f t="shared" si="7"/>
        <v>0.69311660000000008</v>
      </c>
      <c r="AF19" s="4">
        <f t="shared" si="8"/>
        <v>0</v>
      </c>
      <c r="AG19" s="4">
        <f t="shared" si="9"/>
        <v>1.0186000000000002</v>
      </c>
      <c r="AH19" s="4">
        <f>U17*1.067</f>
        <v>0.91009002857142862</v>
      </c>
      <c r="AI19" s="4">
        <f t="shared" si="29"/>
        <v>1.3363549714285714</v>
      </c>
      <c r="AJ19" s="4">
        <f t="shared" si="46"/>
        <v>1.0179565714285714</v>
      </c>
      <c r="AK19" s="4">
        <f t="shared" si="30"/>
        <v>0</v>
      </c>
      <c r="AL19" s="4">
        <f t="shared" si="22"/>
        <v>15.615852571428572</v>
      </c>
      <c r="AM19" s="4">
        <f t="shared" si="13"/>
        <v>40.666282738095241</v>
      </c>
      <c r="AN19" s="1"/>
      <c r="AO19" s="1"/>
      <c r="AP19" s="1"/>
      <c r="AQ19" s="1"/>
      <c r="AR19" s="4"/>
      <c r="AS19" s="4">
        <f t="shared" si="15"/>
        <v>0.38471809523809519</v>
      </c>
      <c r="AT19" s="4">
        <f t="shared" si="16"/>
        <v>0.28266666666666662</v>
      </c>
      <c r="AU19" s="4">
        <f t="shared" si="25"/>
        <v>0.27418666666666663</v>
      </c>
      <c r="AV19" s="4">
        <f t="shared" si="26"/>
        <v>15.615852571428572</v>
      </c>
      <c r="AW19" s="11">
        <f t="shared" si="33"/>
        <v>27.433692655617136</v>
      </c>
      <c r="AX19" s="11">
        <f t="shared" si="34"/>
        <v>9.8823935032759014</v>
      </c>
      <c r="AY19" s="11">
        <f t="shared" si="35"/>
        <v>0.69852093890523403</v>
      </c>
      <c r="AZ19" s="11">
        <f t="shared" si="36"/>
        <v>29.221459277535626</v>
      </c>
      <c r="BA19" s="11">
        <f t="shared" si="37"/>
        <v>0.8981219524101185</v>
      </c>
      <c r="BB19" s="11">
        <f t="shared" si="38"/>
        <v>4.4385447213311657</v>
      </c>
      <c r="BC19" s="11">
        <f t="shared" si="39"/>
        <v>0</v>
      </c>
      <c r="BD19" s="11">
        <f t="shared" si="40"/>
        <v>6.522858712585915</v>
      </c>
      <c r="BE19" s="11">
        <f t="shared" si="41"/>
        <v>5.8279880935644082</v>
      </c>
      <c r="BF19" s="11">
        <f t="shared" si="42"/>
        <v>8.557681787247553</v>
      </c>
      <c r="BG19" s="11">
        <f t="shared" si="43"/>
        <v>6.5187383575269404</v>
      </c>
      <c r="BH19" s="11">
        <f t="shared" si="44"/>
        <v>0</v>
      </c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s="18" customFormat="1" x14ac:dyDescent="0.25">
      <c r="A20" s="53"/>
      <c r="B20" s="14">
        <f t="shared" si="47"/>
        <v>1</v>
      </c>
      <c r="C20" s="23">
        <f t="shared" si="48"/>
        <v>21</v>
      </c>
      <c r="D20" s="15">
        <v>44761</v>
      </c>
      <c r="E20" s="16">
        <v>0.5</v>
      </c>
      <c r="F20" s="17"/>
      <c r="G20" s="17"/>
      <c r="H20" s="17"/>
      <c r="I20" s="17"/>
      <c r="J20" s="17"/>
      <c r="K20" s="17">
        <v>3.4809999999999999</v>
      </c>
      <c r="L20" s="17">
        <v>0.95199999999999996</v>
      </c>
      <c r="M20" s="17">
        <v>5.0999999999999997E-2</v>
      </c>
      <c r="N20" s="17">
        <v>2.7509999999999999</v>
      </c>
      <c r="O20" s="17">
        <v>4.9000000000000002E-2</v>
      </c>
      <c r="P20" s="17">
        <v>0.248</v>
      </c>
      <c r="Q20" s="17">
        <v>0</v>
      </c>
      <c r="R20" s="17">
        <v>0.47599999999999998</v>
      </c>
      <c r="S20" s="14">
        <v>0.36951428571428574</v>
      </c>
      <c r="T20" s="14">
        <v>1.398857142857143</v>
      </c>
      <c r="U20" s="14">
        <v>1.0188000000000001</v>
      </c>
      <c r="V20" s="17">
        <v>0</v>
      </c>
      <c r="W20" s="14">
        <f t="shared" si="27"/>
        <v>10.795171428571429</v>
      </c>
      <c r="X20" s="14">
        <f t="shared" si="19"/>
        <v>8.0079999999999991</v>
      </c>
      <c r="Y20" s="17">
        <f t="shared" si="0"/>
        <v>21</v>
      </c>
      <c r="Z20" s="20">
        <f t="shared" si="50"/>
        <v>3.7142269999999997</v>
      </c>
      <c r="AA20" s="20">
        <f t="shared" si="3"/>
        <v>1.4375199999999999</v>
      </c>
      <c r="AB20" s="20">
        <f t="shared" si="4"/>
        <v>9.2717999999999995E-2</v>
      </c>
      <c r="AC20" s="20">
        <f t="shared" si="5"/>
        <v>5.0013180000000004</v>
      </c>
      <c r="AD20" s="20">
        <f t="shared" si="6"/>
        <v>9.9597400000000003E-2</v>
      </c>
      <c r="AE20" s="20">
        <f t="shared" si="7"/>
        <v>0.5040848</v>
      </c>
      <c r="AF20" s="20">
        <f t="shared" si="8"/>
        <v>0</v>
      </c>
      <c r="AG20" s="20">
        <f t="shared" si="9"/>
        <v>1.0472000000000001</v>
      </c>
      <c r="AH20" s="20">
        <f t="shared" si="28"/>
        <v>0.39427174285714284</v>
      </c>
      <c r="AI20" s="20">
        <f t="shared" si="29"/>
        <v>1.3261165714285714</v>
      </c>
      <c r="AJ20" s="20">
        <f t="shared" si="46"/>
        <v>1.4161320000000002</v>
      </c>
      <c r="AK20" s="20">
        <f t="shared" si="30"/>
        <v>0</v>
      </c>
      <c r="AL20" s="20">
        <f t="shared" si="22"/>
        <v>15.033185514285712</v>
      </c>
      <c r="AM20" s="20">
        <f>(AL20/($AG$3))*100</f>
        <v>26.099280406746029</v>
      </c>
      <c r="AN20" s="17"/>
      <c r="AO20" s="17"/>
      <c r="AP20" s="17"/>
      <c r="AQ20" s="17"/>
      <c r="AR20" s="17"/>
      <c r="AS20" s="20">
        <f t="shared" ref="AS20:AS34" si="51">((W20)/$AC$2)</f>
        <v>0.23989269841269842</v>
      </c>
      <c r="AT20" s="20">
        <f t="shared" ref="AT20:AT34" si="52">((X20)/$AC$2)</f>
        <v>0.17795555555555553</v>
      </c>
      <c r="AU20" s="20">
        <f>X20/$AA$2</f>
        <v>0.17261688888888888</v>
      </c>
      <c r="AV20" s="20">
        <f t="shared" si="26"/>
        <v>15.033185514285712</v>
      </c>
      <c r="AW20" s="21">
        <f t="shared" si="33"/>
        <v>24.70685269246794</v>
      </c>
      <c r="AX20" s="21">
        <f t="shared" si="34"/>
        <v>9.5623113187418305</v>
      </c>
      <c r="AY20" s="21">
        <f t="shared" si="35"/>
        <v>0.61675551008062857</v>
      </c>
      <c r="AZ20" s="21">
        <f t="shared" si="36"/>
        <v>33.268517808466846</v>
      </c>
      <c r="BA20" s="21">
        <f t="shared" si="37"/>
        <v>0.66251693565116143</v>
      </c>
      <c r="BB20" s="21">
        <f t="shared" si="38"/>
        <v>3.3531469396222051</v>
      </c>
      <c r="BC20" s="21">
        <f t="shared" si="39"/>
        <v>0</v>
      </c>
      <c r="BD20" s="21">
        <f t="shared" si="40"/>
        <v>6.9659221527258381</v>
      </c>
      <c r="BE20" s="21">
        <f t="shared" si="41"/>
        <v>2.6226759623399505</v>
      </c>
      <c r="BF20" s="21">
        <f t="shared" si="42"/>
        <v>8.8212612700640953</v>
      </c>
      <c r="BG20" s="21">
        <f t="shared" si="43"/>
        <v>9.4200394098395215</v>
      </c>
      <c r="BH20" s="21">
        <f t="shared" si="44"/>
        <v>0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72" x14ac:dyDescent="0.25">
      <c r="A21" s="53" t="s">
        <v>93</v>
      </c>
      <c r="B21" s="6">
        <f t="shared" si="47"/>
        <v>1</v>
      </c>
      <c r="C21" s="46">
        <f t="shared" si="48"/>
        <v>22</v>
      </c>
      <c r="D21" s="2">
        <v>44762</v>
      </c>
      <c r="E21" s="3">
        <v>0.5</v>
      </c>
      <c r="F21" s="1">
        <v>10.87</v>
      </c>
      <c r="G21" s="1">
        <v>30.19</v>
      </c>
      <c r="H21" s="1" t="s">
        <v>60</v>
      </c>
      <c r="I21" s="1">
        <v>48.25</v>
      </c>
      <c r="J21" s="1">
        <v>0.05</v>
      </c>
      <c r="K21" s="1">
        <v>3.54</v>
      </c>
      <c r="L21" s="1">
        <v>1.2749999999999999</v>
      </c>
      <c r="M21" s="1">
        <v>8.1000000000000003E-2</v>
      </c>
      <c r="N21" s="1">
        <v>2.3879999999999999</v>
      </c>
      <c r="O21" s="1">
        <v>6.9000000000000006E-2</v>
      </c>
      <c r="P21" s="1">
        <v>0.27700000000000002</v>
      </c>
      <c r="Q21" s="1">
        <v>0</v>
      </c>
      <c r="R21" s="1">
        <v>0.57099999999999995</v>
      </c>
      <c r="S21" s="6">
        <v>0.36951428571428574</v>
      </c>
      <c r="T21" s="6">
        <v>1.398857142857143</v>
      </c>
      <c r="U21" s="6">
        <v>1.0188000000000001</v>
      </c>
      <c r="V21" s="1">
        <v>0</v>
      </c>
      <c r="W21" s="6">
        <f t="shared" si="27"/>
        <v>10.98817142857143</v>
      </c>
      <c r="X21" s="6">
        <f t="shared" si="19"/>
        <v>8.2010000000000005</v>
      </c>
      <c r="Y21" s="1">
        <f t="shared" si="0"/>
        <v>22</v>
      </c>
      <c r="Z21" s="4">
        <f t="shared" si="50"/>
        <v>3.77718</v>
      </c>
      <c r="AA21" s="4">
        <f t="shared" si="3"/>
        <v>1.9252499999999999</v>
      </c>
      <c r="AB21" s="4">
        <f t="shared" si="4"/>
        <v>0.147258</v>
      </c>
      <c r="AC21" s="4">
        <f t="shared" si="5"/>
        <v>4.3413839999999997</v>
      </c>
      <c r="AD21" s="4">
        <f t="shared" si="6"/>
        <v>0.1402494</v>
      </c>
      <c r="AE21" s="4">
        <f t="shared" si="7"/>
        <v>0.56303020000000004</v>
      </c>
      <c r="AF21" s="4">
        <f t="shared" si="8"/>
        <v>0</v>
      </c>
      <c r="AG21" s="4">
        <f t="shared" si="9"/>
        <v>1.2562</v>
      </c>
      <c r="AH21" s="4">
        <f t="shared" si="28"/>
        <v>0.39427174285714284</v>
      </c>
      <c r="AI21" s="4">
        <f t="shared" si="29"/>
        <v>1.3261165714285714</v>
      </c>
      <c r="AJ21" s="4">
        <f t="shared" si="46"/>
        <v>1.4161320000000002</v>
      </c>
      <c r="AK21" s="4">
        <f t="shared" si="30"/>
        <v>0</v>
      </c>
      <c r="AL21" s="4">
        <f t="shared" si="22"/>
        <v>15.287071914285711</v>
      </c>
      <c r="AM21" s="4">
        <f t="shared" ref="AM21:AM22" si="53">(AL21/($AG$3))*100</f>
        <v>26.540055406746028</v>
      </c>
      <c r="AN21" s="1"/>
      <c r="AO21" s="1"/>
      <c r="AP21" s="1"/>
      <c r="AQ21" s="1"/>
      <c r="AR21" s="1"/>
      <c r="AS21" s="4">
        <f t="shared" si="51"/>
        <v>0.24418158730158734</v>
      </c>
      <c r="AT21" s="4">
        <f t="shared" si="52"/>
        <v>0.18224444444444446</v>
      </c>
      <c r="AU21" s="4">
        <f>X21/$AA$2</f>
        <v>0.17677711111111113</v>
      </c>
      <c r="AV21" s="4">
        <f t="shared" ref="AV21:AV34" si="54">AL21/1</f>
        <v>15.287071914285711</v>
      </c>
      <c r="AW21" s="11">
        <f t="shared" si="33"/>
        <v>24.708328849230043</v>
      </c>
      <c r="AX21" s="11">
        <f t="shared" si="34"/>
        <v>12.593974901111448</v>
      </c>
      <c r="AY21" s="11">
        <f t="shared" si="35"/>
        <v>0.96328453758621979</v>
      </c>
      <c r="AZ21" s="11">
        <f t="shared" si="36"/>
        <v>28.399055256245592</v>
      </c>
      <c r="BA21" s="11">
        <f t="shared" si="37"/>
        <v>0.91743795532836769</v>
      </c>
      <c r="BB21" s="11">
        <f t="shared" si="38"/>
        <v>3.683048023564607</v>
      </c>
      <c r="BC21" s="11">
        <f t="shared" si="39"/>
        <v>0</v>
      </c>
      <c r="BD21" s="11">
        <f t="shared" si="40"/>
        <v>8.2174009976762505</v>
      </c>
      <c r="BE21" s="11">
        <f t="shared" si="41"/>
        <v>2.579118781332463</v>
      </c>
      <c r="BF21" s="11">
        <f t="shared" si="42"/>
        <v>8.6747585074766373</v>
      </c>
      <c r="BG21" s="11">
        <f t="shared" si="43"/>
        <v>9.2635921904483887</v>
      </c>
      <c r="BH21" s="11">
        <f t="shared" si="44"/>
        <v>0</v>
      </c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x14ac:dyDescent="0.25">
      <c r="A22" s="53"/>
      <c r="B22" s="6">
        <f t="shared" si="47"/>
        <v>1</v>
      </c>
      <c r="C22" s="22">
        <f t="shared" si="48"/>
        <v>23</v>
      </c>
      <c r="D22" s="2">
        <v>44763</v>
      </c>
      <c r="E22" s="3">
        <v>0.5</v>
      </c>
      <c r="F22" s="1">
        <v>26.08</v>
      </c>
      <c r="G22" s="1">
        <v>61.92</v>
      </c>
      <c r="H22" s="1">
        <v>2.19</v>
      </c>
      <c r="I22" s="1">
        <v>9.61</v>
      </c>
      <c r="J22" s="1">
        <v>0.2</v>
      </c>
      <c r="K22" s="1">
        <v>4.6849999999999996</v>
      </c>
      <c r="L22" s="1">
        <v>1.397</v>
      </c>
      <c r="M22" s="1">
        <v>9.0999999999999998E-2</v>
      </c>
      <c r="N22" s="1">
        <v>2.2629999999999999</v>
      </c>
      <c r="O22" s="1">
        <v>6.7000000000000004E-2</v>
      </c>
      <c r="P22" s="1">
        <v>0.312</v>
      </c>
      <c r="Q22" s="1">
        <v>0</v>
      </c>
      <c r="R22" s="1">
        <v>0.56299999999999994</v>
      </c>
      <c r="S22" s="6">
        <v>0.96068571428571436</v>
      </c>
      <c r="T22" s="6">
        <v>1.8288000000000002</v>
      </c>
      <c r="U22" s="6">
        <v>1.2967714285714287</v>
      </c>
      <c r="V22" s="1">
        <v>0</v>
      </c>
      <c r="W22" s="6">
        <f t="shared" si="27"/>
        <v>13.464257142857143</v>
      </c>
      <c r="X22" s="6">
        <f t="shared" si="19"/>
        <v>9.3780000000000001</v>
      </c>
      <c r="Y22" s="1">
        <f t="shared" si="0"/>
        <v>23</v>
      </c>
      <c r="Z22" s="4">
        <f t="shared" si="50"/>
        <v>4.9988949999999992</v>
      </c>
      <c r="AA22" s="4">
        <f t="shared" si="3"/>
        <v>2.10947</v>
      </c>
      <c r="AB22" s="4">
        <f t="shared" si="4"/>
        <v>0.165438</v>
      </c>
      <c r="AC22" s="4">
        <f t="shared" si="5"/>
        <v>4.114134</v>
      </c>
      <c r="AD22" s="4">
        <f t="shared" si="6"/>
        <v>0.13618420000000001</v>
      </c>
      <c r="AE22" s="4">
        <f t="shared" si="7"/>
        <v>0.63417119999999993</v>
      </c>
      <c r="AF22" s="4">
        <f t="shared" si="8"/>
        <v>0</v>
      </c>
      <c r="AG22" s="4">
        <f t="shared" si="9"/>
        <v>1.2385999999999999</v>
      </c>
      <c r="AH22" s="4">
        <f t="shared" si="28"/>
        <v>1.0250516571428572</v>
      </c>
      <c r="AI22" s="4">
        <f t="shared" si="29"/>
        <v>1.7337024000000001</v>
      </c>
      <c r="AJ22" s="4">
        <f t="shared" si="46"/>
        <v>1.8025122857142857</v>
      </c>
      <c r="AK22" s="4">
        <f t="shared" si="30"/>
        <v>0</v>
      </c>
      <c r="AL22" s="4">
        <f t="shared" si="22"/>
        <v>17.958158742857144</v>
      </c>
      <c r="AM22" s="4">
        <f t="shared" si="53"/>
        <v>31.177358928571429</v>
      </c>
      <c r="AN22" s="1"/>
      <c r="AO22" s="1"/>
      <c r="AP22" s="1"/>
      <c r="AQ22" s="1"/>
      <c r="AR22" s="1"/>
      <c r="AS22" s="4">
        <f t="shared" si="51"/>
        <v>0.2992057142857143</v>
      </c>
      <c r="AT22" s="4">
        <f t="shared" si="52"/>
        <v>0.2084</v>
      </c>
      <c r="AU22" s="4">
        <f t="shared" ref="AU22:AU41" si="55">X22/$AA$2</f>
        <v>0.20214800000000002</v>
      </c>
      <c r="AV22" s="4">
        <f t="shared" si="54"/>
        <v>17.958158742857144</v>
      </c>
      <c r="AW22" s="11">
        <f t="shared" si="33"/>
        <v>27.836344870201735</v>
      </c>
      <c r="AX22" s="11">
        <f t="shared" si="34"/>
        <v>11.746582877484817</v>
      </c>
      <c r="AY22" s="11">
        <f t="shared" si="35"/>
        <v>0.92124143888528076</v>
      </c>
      <c r="AZ22" s="11">
        <f t="shared" si="36"/>
        <v>22.909553584586707</v>
      </c>
      <c r="BA22" s="11">
        <f t="shared" si="37"/>
        <v>0.75834166492245347</v>
      </c>
      <c r="BB22" s="11">
        <f t="shared" si="38"/>
        <v>3.5313820814299319</v>
      </c>
      <c r="BC22" s="11">
        <f t="shared" si="39"/>
        <v>0</v>
      </c>
      <c r="BD22" s="11">
        <f t="shared" si="40"/>
        <v>6.8971436199863918</v>
      </c>
      <c r="BE22" s="11">
        <f t="shared" si="41"/>
        <v>5.7079997555460489</v>
      </c>
      <c r="BF22" s="11">
        <f t="shared" si="42"/>
        <v>9.6541211425117837</v>
      </c>
      <c r="BG22" s="11">
        <f t="shared" si="43"/>
        <v>10.037288964444837</v>
      </c>
      <c r="BH22" s="11">
        <f t="shared" si="44"/>
        <v>0</v>
      </c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x14ac:dyDescent="0.25">
      <c r="A23" s="53"/>
      <c r="B23" s="6">
        <f t="shared" si="47"/>
        <v>1</v>
      </c>
      <c r="C23" s="46">
        <f t="shared" si="48"/>
        <v>24</v>
      </c>
      <c r="D23" s="2">
        <v>44764</v>
      </c>
      <c r="E23" s="3">
        <v>0.5</v>
      </c>
      <c r="F23" s="1">
        <v>25.87</v>
      </c>
      <c r="G23" s="1">
        <v>63.92</v>
      </c>
      <c r="H23" s="1">
        <v>7.0000000000000007E-2</v>
      </c>
      <c r="I23" s="1" t="s">
        <v>61</v>
      </c>
      <c r="J23" s="1">
        <v>0.44</v>
      </c>
      <c r="K23" s="1">
        <v>5.6479999999999997</v>
      </c>
      <c r="L23" s="1">
        <v>1.4159999999999999</v>
      </c>
      <c r="M23" s="1">
        <v>6.8000000000000005E-2</v>
      </c>
      <c r="N23" s="1">
        <v>1.792</v>
      </c>
      <c r="O23" s="1">
        <v>3.6999999999999998E-2</v>
      </c>
      <c r="P23" s="1">
        <v>0.34599999999999997</v>
      </c>
      <c r="Q23" s="1">
        <v>4.8000000000000001E-2</v>
      </c>
      <c r="R23" s="1">
        <v>0.52800000000000002</v>
      </c>
      <c r="S23" s="6">
        <v>1.1247428571428573</v>
      </c>
      <c r="T23" s="6">
        <v>2.6187428571428573</v>
      </c>
      <c r="U23" s="6">
        <v>1.4065714285714288</v>
      </c>
      <c r="V23" s="1">
        <v>0</v>
      </c>
      <c r="W23" s="6">
        <f t="shared" si="27"/>
        <v>15.033057142857144</v>
      </c>
      <c r="X23" s="6">
        <f t="shared" si="19"/>
        <v>9.8830000000000009</v>
      </c>
      <c r="Y23" s="1">
        <f t="shared" si="0"/>
        <v>24</v>
      </c>
      <c r="Z23" s="4">
        <f t="shared" si="50"/>
        <v>6.0264159999999993</v>
      </c>
      <c r="AA23" s="4">
        <f t="shared" si="3"/>
        <v>2.1381600000000001</v>
      </c>
      <c r="AB23" s="4">
        <f t="shared" si="4"/>
        <v>0.12362400000000001</v>
      </c>
      <c r="AC23" s="4">
        <f t="shared" si="5"/>
        <v>3.2578560000000003</v>
      </c>
      <c r="AD23" s="4">
        <f t="shared" si="6"/>
        <v>7.5206200000000001E-2</v>
      </c>
      <c r="AE23" s="4">
        <f t="shared" si="7"/>
        <v>0.70327959999999989</v>
      </c>
      <c r="AF23" s="4">
        <f t="shared" si="8"/>
        <v>0.10560000000000001</v>
      </c>
      <c r="AG23" s="4">
        <f t="shared" si="9"/>
        <v>1.1616000000000002</v>
      </c>
      <c r="AH23" s="4">
        <f t="shared" si="28"/>
        <v>1.2001006285714286</v>
      </c>
      <c r="AI23" s="4">
        <f t="shared" si="29"/>
        <v>2.4825682285714286</v>
      </c>
      <c r="AJ23" s="4">
        <f t="shared" si="46"/>
        <v>1.9551342857142859</v>
      </c>
      <c r="AK23" s="4">
        <f t="shared" si="30"/>
        <v>0</v>
      </c>
      <c r="AL23" s="4">
        <f t="shared" si="22"/>
        <v>19.229544942857146</v>
      </c>
      <c r="AM23" s="4">
        <f t="shared" ref="AM23:AM29" si="56">(AL23/($AG$3))*100</f>
        <v>33.38462663690477</v>
      </c>
      <c r="AN23" s="1">
        <f>1062*40/1000</f>
        <v>42.48</v>
      </c>
      <c r="AO23" s="1">
        <f>625*40/1000</f>
        <v>25</v>
      </c>
      <c r="AP23" s="4">
        <f t="shared" ref="AP23" si="57">AL23/AO23*100</f>
        <v>76.918179771428584</v>
      </c>
      <c r="AQ23" s="4">
        <f t="shared" ref="AQ23" si="58">AO23/AN23</f>
        <v>0.58851224105461397</v>
      </c>
      <c r="AR23" s="4">
        <f>($AG$3-AN23)/$AG$3*100</f>
        <v>26.250000000000007</v>
      </c>
      <c r="AS23" s="4">
        <f t="shared" si="51"/>
        <v>0.33406793650793654</v>
      </c>
      <c r="AT23" s="4">
        <f t="shared" si="52"/>
        <v>0.21962222222222225</v>
      </c>
      <c r="AU23" s="4">
        <f t="shared" si="55"/>
        <v>0.21303355555555559</v>
      </c>
      <c r="AV23" s="4">
        <f t="shared" si="54"/>
        <v>19.229544942857146</v>
      </c>
      <c r="AW23" s="11">
        <f t="shared" ref="AW23:AW28" si="59">Z23/$AL23*100</f>
        <v>31.339358356675646</v>
      </c>
      <c r="AX23" s="11">
        <f t="shared" ref="AX23:AX28" si="60">AA23/$AL23*100</f>
        <v>11.119139877484329</v>
      </c>
      <c r="AY23" s="11">
        <f t="shared" ref="AY23:AY28" si="61">AB23/$AL23*100</f>
        <v>0.64288572801573451</v>
      </c>
      <c r="AZ23" s="11">
        <f t="shared" ref="AZ23:AZ28" si="62">AC23/$AL23*100</f>
        <v>16.94192977359112</v>
      </c>
      <c r="BA23" s="11">
        <f t="shared" ref="BA23:BA28" si="63">AD23/$AL23*100</f>
        <v>0.39109713840594806</v>
      </c>
      <c r="BB23" s="11">
        <f t="shared" ref="BB23:BB28" si="64">AE23/$AL23*100</f>
        <v>3.6572867537421083</v>
      </c>
      <c r="BC23" s="11">
        <f t="shared" ref="BC23:BC28" si="65">AF23/$AL23*100</f>
        <v>0.54915496083658166</v>
      </c>
      <c r="BD23" s="11">
        <f t="shared" ref="BD23:BD28" si="66">AG23/$AL23*100</f>
        <v>6.040704569202398</v>
      </c>
      <c r="BE23" s="11">
        <f t="shared" ref="BE23:BE28" si="67">AH23/$AL23*100</f>
        <v>6.2409205841202624</v>
      </c>
      <c r="BF23" s="11">
        <f t="shared" ref="BF23:BF28" si="68">AI23/$AL23*100</f>
        <v>12.910176688781103</v>
      </c>
      <c r="BG23" s="11">
        <f t="shared" ref="BG23:BG28" si="69">AJ23/$AL23*100</f>
        <v>10.167345569144757</v>
      </c>
      <c r="BH23" s="11">
        <f t="shared" ref="BH23:BH28" si="70">AK23/$AL23*100</f>
        <v>0</v>
      </c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x14ac:dyDescent="0.25">
      <c r="A24" s="53"/>
      <c r="B24" s="6">
        <f t="shared" ref="B24:B28" si="71">D24-D23</f>
        <v>3</v>
      </c>
      <c r="C24" s="22">
        <f t="shared" ref="C24:C28" si="72">C23+B24</f>
        <v>27</v>
      </c>
      <c r="D24" s="2">
        <v>44767</v>
      </c>
      <c r="E24" s="3">
        <v>0.5</v>
      </c>
      <c r="F24" s="1">
        <v>26.25</v>
      </c>
      <c r="G24" s="1">
        <v>66.62</v>
      </c>
      <c r="I24" s="1">
        <v>6.38</v>
      </c>
      <c r="J24" s="1">
        <v>0.76</v>
      </c>
      <c r="K24" s="1">
        <v>6.492</v>
      </c>
      <c r="L24" s="1">
        <v>1.7649999999999999</v>
      </c>
      <c r="M24" s="1">
        <v>8.8999999999999996E-2</v>
      </c>
      <c r="N24" s="1">
        <v>1.7370000000000001</v>
      </c>
      <c r="O24" s="1">
        <v>5.2999999999999999E-2</v>
      </c>
      <c r="P24" s="1">
        <v>0.60899999999999999</v>
      </c>
      <c r="Q24" s="1">
        <v>3.5000000000000003E-2</v>
      </c>
      <c r="R24" s="1">
        <v>0.69899999999999995</v>
      </c>
      <c r="S24" s="6">
        <v>0</v>
      </c>
      <c r="T24" s="6">
        <v>2.5691142857142859</v>
      </c>
      <c r="U24" s="6">
        <v>1.1900571428571429</v>
      </c>
      <c r="V24" s="1">
        <v>0</v>
      </c>
      <c r="W24" s="6">
        <f t="shared" si="27"/>
        <v>15.23817142857143</v>
      </c>
      <c r="X24" s="6">
        <f t="shared" si="19"/>
        <v>11.479000000000001</v>
      </c>
      <c r="Y24" s="1">
        <f t="shared" si="0"/>
        <v>27</v>
      </c>
      <c r="Z24" s="4">
        <f t="shared" si="50"/>
        <v>6.9269639999999999</v>
      </c>
      <c r="AA24" s="4">
        <f t="shared" si="3"/>
        <v>2.6651499999999997</v>
      </c>
      <c r="AB24" s="4">
        <f t="shared" si="4"/>
        <v>0.161802</v>
      </c>
      <c r="AC24" s="4">
        <f t="shared" si="5"/>
        <v>3.1578660000000003</v>
      </c>
      <c r="AD24" s="4">
        <f t="shared" si="6"/>
        <v>0.1077278</v>
      </c>
      <c r="AE24" s="4">
        <f t="shared" si="7"/>
        <v>1.2378533999999999</v>
      </c>
      <c r="AF24" s="4">
        <f t="shared" si="8"/>
        <v>7.7000000000000013E-2</v>
      </c>
      <c r="AG24" s="4">
        <f t="shared" si="9"/>
        <v>1.5378000000000001</v>
      </c>
      <c r="AH24" s="4">
        <f t="shared" si="28"/>
        <v>0</v>
      </c>
      <c r="AI24" s="4">
        <f t="shared" si="29"/>
        <v>2.435520342857143</v>
      </c>
      <c r="AJ24" s="4">
        <f t="shared" si="46"/>
        <v>1.6541794285714286</v>
      </c>
      <c r="AK24" s="4">
        <f t="shared" si="30"/>
        <v>0</v>
      </c>
      <c r="AL24" s="4">
        <f t="shared" si="22"/>
        <v>19.96186297142857</v>
      </c>
      <c r="AM24" s="4">
        <f t="shared" si="56"/>
        <v>34.656012103174596</v>
      </c>
      <c r="AN24" s="1">
        <f>1068*40/1000</f>
        <v>42.72</v>
      </c>
      <c r="AO24" s="1">
        <f>588*40/1000</f>
        <v>23.52</v>
      </c>
      <c r="AP24" s="4">
        <f t="shared" ref="AP24" si="73">AL24/AO24*100</f>
        <v>84.871866375121471</v>
      </c>
      <c r="AQ24" s="4">
        <f t="shared" ref="AQ24" si="74">AO24/AN24</f>
        <v>0.550561797752809</v>
      </c>
      <c r="AR24" s="4">
        <f>($AG$3-AN24)/$AG$3*100</f>
        <v>25.833333333333336</v>
      </c>
      <c r="AS24" s="4">
        <f t="shared" si="51"/>
        <v>0.33862603174603179</v>
      </c>
      <c r="AT24" s="4">
        <f t="shared" si="52"/>
        <v>0.25508888888888892</v>
      </c>
      <c r="AU24" s="4">
        <f t="shared" si="55"/>
        <v>0.24743622222222225</v>
      </c>
      <c r="AV24" s="4">
        <f t="shared" si="54"/>
        <v>19.96186297142857</v>
      </c>
      <c r="AW24" s="11">
        <f t="shared" si="59"/>
        <v>34.700989631651964</v>
      </c>
      <c r="AX24" s="11">
        <f t="shared" si="60"/>
        <v>13.351208771519127</v>
      </c>
      <c r="AY24" s="11">
        <f t="shared" si="61"/>
        <v>0.8105556091211894</v>
      </c>
      <c r="AZ24" s="11">
        <f t="shared" si="62"/>
        <v>15.819495427455124</v>
      </c>
      <c r="BA24" s="11">
        <f t="shared" si="63"/>
        <v>0.53966806682417812</v>
      </c>
      <c r="BB24" s="11">
        <f t="shared" si="64"/>
        <v>6.201091560300461</v>
      </c>
      <c r="BC24" s="11">
        <f t="shared" si="65"/>
        <v>0.38573554036619817</v>
      </c>
      <c r="BD24" s="11">
        <f t="shared" si="66"/>
        <v>7.7036897918849281</v>
      </c>
      <c r="BE24" s="11">
        <f t="shared" si="67"/>
        <v>0</v>
      </c>
      <c r="BF24" s="11">
        <f t="shared" si="68"/>
        <v>12.200866954868417</v>
      </c>
      <c r="BG24" s="11">
        <f t="shared" si="69"/>
        <v>8.2866986460084266</v>
      </c>
      <c r="BH24" s="11">
        <f t="shared" si="70"/>
        <v>0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x14ac:dyDescent="0.25">
      <c r="A25" s="53"/>
      <c r="B25" s="6">
        <f t="shared" si="71"/>
        <v>1</v>
      </c>
      <c r="C25" s="22">
        <f t="shared" si="72"/>
        <v>28</v>
      </c>
      <c r="D25" s="2">
        <v>44768</v>
      </c>
      <c r="E25" s="3">
        <v>0.5</v>
      </c>
      <c r="F25" s="1"/>
      <c r="G25" s="1"/>
      <c r="H25" s="1"/>
      <c r="I25" s="1"/>
      <c r="J25" s="1"/>
      <c r="K25" s="1">
        <v>6.4450000000000003</v>
      </c>
      <c r="L25" s="19">
        <v>1.7490000000000001</v>
      </c>
      <c r="M25" s="1">
        <v>0.13600000000000001</v>
      </c>
      <c r="N25" s="1">
        <v>1.915</v>
      </c>
      <c r="O25" s="1">
        <v>5.3999999999999999E-2</v>
      </c>
      <c r="P25" s="1">
        <v>0.56599999999999995</v>
      </c>
      <c r="Q25" s="1">
        <v>2.9000000000000001E-2</v>
      </c>
      <c r="R25" s="1">
        <v>0.66200000000000003</v>
      </c>
      <c r="S25" s="6">
        <v>0</v>
      </c>
      <c r="T25" s="6">
        <v>2.3433428571428574</v>
      </c>
      <c r="U25" s="6">
        <v>1.5081428571428572</v>
      </c>
      <c r="V25" s="1">
        <v>0</v>
      </c>
      <c r="W25" s="6">
        <f t="shared" si="27"/>
        <v>15.407485714285718</v>
      </c>
      <c r="X25" s="6">
        <f t="shared" si="19"/>
        <v>11.556000000000003</v>
      </c>
      <c r="Y25" s="1">
        <f t="shared" si="0"/>
        <v>28</v>
      </c>
      <c r="Z25" s="4">
        <f t="shared" si="50"/>
        <v>6.8768149999999997</v>
      </c>
      <c r="AA25" s="4">
        <f t="shared" si="3"/>
        <v>2.6409900000000004</v>
      </c>
      <c r="AB25" s="4">
        <f t="shared" si="4"/>
        <v>0.24724800000000002</v>
      </c>
      <c r="AC25" s="4">
        <f t="shared" si="5"/>
        <v>3.4814700000000003</v>
      </c>
      <c r="AD25" s="4">
        <f t="shared" si="6"/>
        <v>0.10976039999999999</v>
      </c>
      <c r="AE25" s="4">
        <f t="shared" si="7"/>
        <v>1.1504515999999998</v>
      </c>
      <c r="AF25" s="4">
        <f t="shared" si="8"/>
        <v>6.3800000000000009E-2</v>
      </c>
      <c r="AG25" s="4">
        <f t="shared" si="9"/>
        <v>1.4564000000000001</v>
      </c>
      <c r="AH25" s="4">
        <f t="shared" si="28"/>
        <v>0</v>
      </c>
      <c r="AI25" s="4">
        <f t="shared" si="29"/>
        <v>2.2214890285714288</v>
      </c>
      <c r="AJ25" s="4">
        <f t="shared" si="46"/>
        <v>2.0963185714285713</v>
      </c>
      <c r="AK25" s="4">
        <f t="shared" si="30"/>
        <v>0</v>
      </c>
      <c r="AL25" s="4">
        <f t="shared" si="22"/>
        <v>20.344742600000004</v>
      </c>
      <c r="AM25" s="4">
        <f t="shared" si="56"/>
        <v>35.320733680555563</v>
      </c>
      <c r="AN25" s="1"/>
      <c r="AO25" s="1"/>
      <c r="AP25" s="1"/>
      <c r="AQ25" s="1"/>
      <c r="AR25" s="1"/>
      <c r="AS25" s="4">
        <f t="shared" si="51"/>
        <v>0.34238857142857149</v>
      </c>
      <c r="AT25" s="4">
        <f t="shared" si="52"/>
        <v>0.25680000000000008</v>
      </c>
      <c r="AU25" s="4">
        <f t="shared" si="55"/>
        <v>0.24909600000000007</v>
      </c>
      <c r="AV25" s="4">
        <f t="shared" si="54"/>
        <v>20.344742600000004</v>
      </c>
      <c r="AW25" s="11">
        <f t="shared" si="59"/>
        <v>33.801435266131108</v>
      </c>
      <c r="AX25" s="11">
        <f t="shared" si="60"/>
        <v>12.981191514312892</v>
      </c>
      <c r="AY25" s="11">
        <f t="shared" si="61"/>
        <v>1.2152918562852695</v>
      </c>
      <c r="AZ25" s="11">
        <f t="shared" si="62"/>
        <v>17.112381652840376</v>
      </c>
      <c r="BA25" s="11">
        <f t="shared" si="63"/>
        <v>0.53950252484393668</v>
      </c>
      <c r="BB25" s="11">
        <f t="shared" si="64"/>
        <v>5.6547857233642249</v>
      </c>
      <c r="BC25" s="11">
        <f t="shared" si="65"/>
        <v>0.31359453031369389</v>
      </c>
      <c r="BD25" s="11">
        <f t="shared" si="66"/>
        <v>7.1586061747470815</v>
      </c>
      <c r="BE25" s="11">
        <f t="shared" si="67"/>
        <v>0</v>
      </c>
      <c r="BF25" s="11">
        <f t="shared" si="68"/>
        <v>10.919228973540458</v>
      </c>
      <c r="BG25" s="11">
        <f t="shared" si="69"/>
        <v>10.303981783620948</v>
      </c>
      <c r="BH25" s="11">
        <f t="shared" si="70"/>
        <v>0</v>
      </c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x14ac:dyDescent="0.25">
      <c r="A26" s="53"/>
      <c r="B26" s="6">
        <f t="shared" si="71"/>
        <v>1</v>
      </c>
      <c r="C26" s="46">
        <f t="shared" si="72"/>
        <v>29</v>
      </c>
      <c r="D26" s="2">
        <v>44769</v>
      </c>
      <c r="E26" s="3">
        <v>0.5</v>
      </c>
      <c r="F26" s="1">
        <v>34.79</v>
      </c>
      <c r="G26" s="1">
        <v>55.14</v>
      </c>
      <c r="H26" s="1">
        <v>0.13</v>
      </c>
      <c r="I26" s="1">
        <v>8.4499999999999993</v>
      </c>
      <c r="J26" s="1">
        <v>1.5</v>
      </c>
      <c r="K26" s="1">
        <v>7.67</v>
      </c>
      <c r="L26" s="1">
        <v>2.5230000000000001</v>
      </c>
      <c r="M26" s="1">
        <v>0.13700000000000001</v>
      </c>
      <c r="N26" s="1">
        <v>2.5190000000000001</v>
      </c>
      <c r="O26" s="1">
        <v>0.155</v>
      </c>
      <c r="P26" s="1">
        <v>1.0249999999999999</v>
      </c>
      <c r="Q26" s="1">
        <v>3.4000000000000002E-2</v>
      </c>
      <c r="R26" s="1">
        <v>1.0609999999999999</v>
      </c>
      <c r="S26" s="6">
        <v>3.8314285714285717E-2</v>
      </c>
      <c r="T26" s="6">
        <v>1.8180000000000001</v>
      </c>
      <c r="U26" s="6">
        <v>1.5202285714285715</v>
      </c>
      <c r="V26" s="1">
        <v>0</v>
      </c>
      <c r="W26" s="6">
        <f t="shared" si="27"/>
        <v>18.500542857142857</v>
      </c>
      <c r="X26" s="6">
        <f t="shared" si="19"/>
        <v>15.124000000000001</v>
      </c>
      <c r="Y26" s="1">
        <f t="shared" si="0"/>
        <v>29</v>
      </c>
      <c r="Z26" s="4">
        <f t="shared" si="50"/>
        <v>8.1838899999999999</v>
      </c>
      <c r="AA26" s="4">
        <f t="shared" si="3"/>
        <v>3.8097300000000001</v>
      </c>
      <c r="AB26" s="4">
        <f t="shared" si="4"/>
        <v>0.24906600000000004</v>
      </c>
      <c r="AC26" s="4">
        <f t="shared" si="5"/>
        <v>4.579542</v>
      </c>
      <c r="AD26" s="4">
        <f t="shared" si="6"/>
        <v>0.31505299999999997</v>
      </c>
      <c r="AE26" s="4">
        <f t="shared" si="7"/>
        <v>2.0834149999999996</v>
      </c>
      <c r="AF26" s="4">
        <f t="shared" si="8"/>
        <v>7.4800000000000005E-2</v>
      </c>
      <c r="AG26" s="4">
        <f t="shared" si="9"/>
        <v>2.3342000000000001</v>
      </c>
      <c r="AH26" s="4">
        <f t="shared" si="28"/>
        <v>4.0881342857142858E-2</v>
      </c>
      <c r="AI26" s="4">
        <f t="shared" si="29"/>
        <v>1.7234639999999999</v>
      </c>
      <c r="AJ26" s="4">
        <f t="shared" si="46"/>
        <v>2.113117714285714</v>
      </c>
      <c r="AK26" s="4">
        <f t="shared" si="30"/>
        <v>0</v>
      </c>
      <c r="AL26" s="4">
        <f t="shared" si="22"/>
        <v>25.507159057142857</v>
      </c>
      <c r="AM26" s="4">
        <f t="shared" si="56"/>
        <v>44.283262251984127</v>
      </c>
      <c r="AN26" s="1">
        <f>1459*40/1000</f>
        <v>58.36</v>
      </c>
      <c r="AO26" s="1">
        <f>741*40/1000</f>
        <v>29.64</v>
      </c>
      <c r="AP26" s="4">
        <f t="shared" ref="AP26" si="75">AL26/AO26*100</f>
        <v>86.056542028147291</v>
      </c>
      <c r="AQ26" s="4">
        <f t="shared" ref="AQ26" si="76">AO26/AN26</f>
        <v>0.50788211103495551</v>
      </c>
      <c r="AR26" s="4">
        <f>($AG$3-AN26)/$AG$3*100</f>
        <v>-1.3194444444444409</v>
      </c>
      <c r="AS26" s="4">
        <f t="shared" si="51"/>
        <v>0.4111231746031746</v>
      </c>
      <c r="AT26" s="4">
        <f t="shared" si="52"/>
        <v>0.33608888888888888</v>
      </c>
      <c r="AU26" s="4">
        <f t="shared" si="55"/>
        <v>0.32600622222222225</v>
      </c>
      <c r="AV26" s="4">
        <f t="shared" si="54"/>
        <v>25.507159057142857</v>
      </c>
      <c r="AW26" s="11">
        <f>Z26/$AL26*100</f>
        <v>32.084678586376079</v>
      </c>
      <c r="AX26" s="11">
        <f t="shared" si="60"/>
        <v>14.935924426021675</v>
      </c>
      <c r="AY26" s="11">
        <f t="shared" si="61"/>
        <v>0.97645527454478798</v>
      </c>
      <c r="AZ26" s="11">
        <f t="shared" si="62"/>
        <v>17.953947712250514</v>
      </c>
      <c r="BA26" s="11">
        <f t="shared" si="63"/>
        <v>1.2351551942503554</v>
      </c>
      <c r="BB26" s="11">
        <f t="shared" si="64"/>
        <v>8.1679617684297678</v>
      </c>
      <c r="BC26" s="11">
        <f t="shared" si="65"/>
        <v>0.29325100389434983</v>
      </c>
      <c r="BD26" s="11">
        <f t="shared" si="66"/>
        <v>9.1511563274089749</v>
      </c>
      <c r="BE26" s="11">
        <f t="shared" si="67"/>
        <v>0.16027399509901402</v>
      </c>
      <c r="BF26" s="11">
        <f t="shared" si="68"/>
        <v>6.756785403419407</v>
      </c>
      <c r="BG26" s="11">
        <f t="shared" si="69"/>
        <v>8.2844103083050733</v>
      </c>
      <c r="BH26" s="11">
        <f t="shared" si="70"/>
        <v>0</v>
      </c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x14ac:dyDescent="0.25">
      <c r="A27" s="53"/>
      <c r="B27" s="6">
        <f t="shared" si="71"/>
        <v>1</v>
      </c>
      <c r="C27" s="22">
        <f t="shared" si="72"/>
        <v>30</v>
      </c>
      <c r="D27" s="2">
        <v>44770</v>
      </c>
      <c r="E27" s="3">
        <v>0.5</v>
      </c>
      <c r="F27" s="1">
        <v>32.9</v>
      </c>
      <c r="G27" s="1">
        <v>58.9</v>
      </c>
      <c r="H27" s="1"/>
      <c r="I27" s="1">
        <v>6.76</v>
      </c>
      <c r="J27" s="1">
        <v>1.42</v>
      </c>
      <c r="K27" s="1">
        <v>7.0819999999999999</v>
      </c>
      <c r="L27" s="1">
        <v>2.0579999999999998</v>
      </c>
      <c r="M27" s="1">
        <v>0.17799999999999999</v>
      </c>
      <c r="N27" s="1">
        <v>2.778</v>
      </c>
      <c r="O27" s="1">
        <v>0.09</v>
      </c>
      <c r="P27" s="1">
        <v>0.63539999999999996</v>
      </c>
      <c r="Q27" s="1">
        <v>0</v>
      </c>
      <c r="R27" s="1">
        <v>0.74099999999999999</v>
      </c>
      <c r="S27" s="6">
        <v>0.47340000000000004</v>
      </c>
      <c r="T27" s="6">
        <v>2.7262285714285719</v>
      </c>
      <c r="U27" s="6">
        <v>2.0232000000000001</v>
      </c>
      <c r="V27" s="1">
        <v>0</v>
      </c>
      <c r="W27" s="6">
        <f t="shared" si="27"/>
        <v>18.785228571428572</v>
      </c>
      <c r="X27" s="6">
        <f t="shared" si="19"/>
        <v>13.562400000000002</v>
      </c>
      <c r="Y27" s="1">
        <f t="shared" si="0"/>
        <v>30</v>
      </c>
      <c r="Z27" s="4">
        <f t="shared" si="50"/>
        <v>7.5564939999999998</v>
      </c>
      <c r="AA27" s="4">
        <f t="shared" si="3"/>
        <v>3.1075799999999996</v>
      </c>
      <c r="AB27" s="4">
        <f t="shared" si="4"/>
        <v>0.323604</v>
      </c>
      <c r="AC27" s="4">
        <f t="shared" si="5"/>
        <v>5.0504040000000003</v>
      </c>
      <c r="AD27" s="4">
        <f t="shared" si="6"/>
        <v>0.18293399999999999</v>
      </c>
      <c r="AE27" s="4">
        <f t="shared" si="7"/>
        <v>1.2915140399999998</v>
      </c>
      <c r="AF27" s="4">
        <f t="shared" si="8"/>
        <v>0</v>
      </c>
      <c r="AG27" s="4">
        <f t="shared" si="9"/>
        <v>1.6302000000000001</v>
      </c>
      <c r="AH27" s="4">
        <f t="shared" si="28"/>
        <v>0.50511780000000006</v>
      </c>
      <c r="AI27" s="4">
        <f t="shared" si="29"/>
        <v>2.5844646857142859</v>
      </c>
      <c r="AJ27" s="4">
        <f t="shared" si="46"/>
        <v>2.8122479999999999</v>
      </c>
      <c r="AK27" s="4">
        <f t="shared" si="30"/>
        <v>0</v>
      </c>
      <c r="AL27" s="4">
        <f t="shared" si="22"/>
        <v>25.044560525714285</v>
      </c>
      <c r="AM27" s="4">
        <f t="shared" si="56"/>
        <v>43.480139801587299</v>
      </c>
      <c r="AN27" s="1"/>
      <c r="AO27" s="1"/>
      <c r="AP27" s="1"/>
      <c r="AQ27" s="1"/>
      <c r="AR27" s="1"/>
      <c r="AS27" s="4">
        <f t="shared" si="51"/>
        <v>0.41744952380952383</v>
      </c>
      <c r="AT27" s="4">
        <f t="shared" si="52"/>
        <v>0.30138666666666669</v>
      </c>
      <c r="AU27" s="4">
        <f t="shared" si="55"/>
        <v>0.29234506666666671</v>
      </c>
      <c r="AV27" s="4">
        <f t="shared" si="54"/>
        <v>25.044560525714285</v>
      </c>
      <c r="AW27" s="11">
        <f t="shared" si="59"/>
        <v>30.172196442582553</v>
      </c>
      <c r="AX27" s="11">
        <f t="shared" si="60"/>
        <v>12.408203357408961</v>
      </c>
      <c r="AY27" s="11">
        <f t="shared" si="61"/>
        <v>1.2921129107765434</v>
      </c>
      <c r="AZ27" s="11">
        <f t="shared" si="62"/>
        <v>20.165672281669874</v>
      </c>
      <c r="BA27" s="11">
        <f t="shared" si="63"/>
        <v>0.73043405897330116</v>
      </c>
      <c r="BB27" s="11">
        <f t="shared" si="64"/>
        <v>5.1568644563515056</v>
      </c>
      <c r="BC27" s="11">
        <f t="shared" si="65"/>
        <v>0</v>
      </c>
      <c r="BD27" s="11">
        <f t="shared" si="66"/>
        <v>6.5091978688394487</v>
      </c>
      <c r="BE27" s="11">
        <f t="shared" si="67"/>
        <v>2.0168762773112938</v>
      </c>
      <c r="BF27" s="11">
        <f t="shared" si="68"/>
        <v>10.319465111239262</v>
      </c>
      <c r="BG27" s="11">
        <f t="shared" si="69"/>
        <v>11.228977234847259</v>
      </c>
      <c r="BH27" s="11">
        <f t="shared" si="70"/>
        <v>0</v>
      </c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x14ac:dyDescent="0.25">
      <c r="A28" s="53"/>
      <c r="B28" s="6">
        <f t="shared" si="71"/>
        <v>1</v>
      </c>
      <c r="C28" s="22">
        <f t="shared" si="72"/>
        <v>31</v>
      </c>
      <c r="D28" s="2">
        <v>44771</v>
      </c>
      <c r="E28" s="3">
        <v>0.5</v>
      </c>
      <c r="F28" s="1">
        <v>26.56</v>
      </c>
      <c r="G28" s="1">
        <v>55.85</v>
      </c>
      <c r="H28" s="1">
        <v>2.86</v>
      </c>
      <c r="I28" s="1">
        <v>13.43</v>
      </c>
      <c r="J28" s="1">
        <v>1.3</v>
      </c>
      <c r="K28" s="1">
        <v>6.3410000000000002</v>
      </c>
      <c r="L28" s="1">
        <v>1.45</v>
      </c>
      <c r="M28" s="1">
        <v>8.6999999999999994E-2</v>
      </c>
      <c r="N28" s="1">
        <v>2.2469999999999999</v>
      </c>
      <c r="O28" s="1">
        <v>6.4000000000000001E-2</v>
      </c>
      <c r="P28" s="1">
        <v>0.375</v>
      </c>
      <c r="Q28" s="1">
        <v>0</v>
      </c>
      <c r="R28" s="1">
        <v>0.54100000000000004</v>
      </c>
      <c r="S28" s="6">
        <v>1.1232000000000002</v>
      </c>
      <c r="T28" s="6">
        <v>2.9399142857142859</v>
      </c>
      <c r="U28" s="6">
        <v>1.6763142857142859</v>
      </c>
      <c r="V28" s="1">
        <v>0</v>
      </c>
      <c r="W28" s="6">
        <f t="shared" si="27"/>
        <v>16.844428571428573</v>
      </c>
      <c r="X28" s="6">
        <f t="shared" si="19"/>
        <v>11.105</v>
      </c>
      <c r="Y28" s="1">
        <f t="shared" si="0"/>
        <v>31</v>
      </c>
      <c r="Z28" s="4">
        <f t="shared" si="50"/>
        <v>6.7658469999999999</v>
      </c>
      <c r="AA28" s="4">
        <f t="shared" si="3"/>
        <v>2.1894999999999998</v>
      </c>
      <c r="AB28" s="4">
        <f t="shared" si="4"/>
        <v>0.158166</v>
      </c>
      <c r="AC28" s="4">
        <f t="shared" si="5"/>
        <v>4.0850460000000002</v>
      </c>
      <c r="AD28" s="4">
        <f t="shared" si="6"/>
        <v>0.13008639999999999</v>
      </c>
      <c r="AE28" s="4">
        <f t="shared" si="7"/>
        <v>0.76222499999999993</v>
      </c>
      <c r="AF28" s="4">
        <f t="shared" si="8"/>
        <v>0</v>
      </c>
      <c r="AG28" s="4">
        <f t="shared" si="9"/>
        <v>1.1902000000000001</v>
      </c>
      <c r="AH28" s="4">
        <f t="shared" si="28"/>
        <v>1.1984544000000001</v>
      </c>
      <c r="AI28" s="4">
        <f t="shared" si="29"/>
        <v>2.7870387428571428</v>
      </c>
      <c r="AJ28" s="4">
        <f t="shared" si="46"/>
        <v>2.3300768571428572</v>
      </c>
      <c r="AK28" s="4">
        <f t="shared" si="30"/>
        <v>0</v>
      </c>
      <c r="AL28" s="4">
        <f>SUM(Z28:AK28)</f>
        <v>21.596640399999998</v>
      </c>
      <c r="AM28" s="4">
        <f t="shared" si="56"/>
        <v>37.49416736111111</v>
      </c>
      <c r="AN28" s="1">
        <f>1163*40/1000</f>
        <v>46.52</v>
      </c>
      <c r="AO28" s="1">
        <f>650*40/1000</f>
        <v>26</v>
      </c>
      <c r="AP28" s="4">
        <f t="shared" ref="AP28:AP29" si="77">AL28/AO28*100</f>
        <v>83.064001538461525</v>
      </c>
      <c r="AQ28" s="4">
        <f t="shared" ref="AQ28:AQ29" si="78">AO28/AN28</f>
        <v>0.55889939810834044</v>
      </c>
      <c r="AR28" s="4">
        <f>($AG$3-AN28)/$AG$3*100</f>
        <v>19.236111111111107</v>
      </c>
      <c r="AS28" s="4">
        <f t="shared" si="51"/>
        <v>0.37432063492063494</v>
      </c>
      <c r="AT28" s="4">
        <f t="shared" si="52"/>
        <v>0.24677777777777779</v>
      </c>
      <c r="AU28" s="4">
        <f t="shared" si="55"/>
        <v>0.23937444444444447</v>
      </c>
      <c r="AV28" s="4">
        <f t="shared" si="54"/>
        <v>21.596640399999998</v>
      </c>
      <c r="AW28" s="11">
        <f t="shared" si="59"/>
        <v>31.328238442123617</v>
      </c>
      <c r="AX28" s="11">
        <f t="shared" si="60"/>
        <v>10.138150932031076</v>
      </c>
      <c r="AY28" s="11">
        <f t="shared" si="61"/>
        <v>0.73236390971254961</v>
      </c>
      <c r="AZ28" s="11">
        <f t="shared" si="62"/>
        <v>18.915192012920677</v>
      </c>
      <c r="BA28" s="11">
        <f t="shared" si="63"/>
        <v>0.60234553889224363</v>
      </c>
      <c r="BB28" s="11">
        <f t="shared" si="64"/>
        <v>3.5293683919467398</v>
      </c>
      <c r="BC28" s="11">
        <f t="shared" si="65"/>
        <v>0</v>
      </c>
      <c r="BD28" s="11">
        <f t="shared" si="66"/>
        <v>5.5110423563842836</v>
      </c>
      <c r="BE28" s="11">
        <f t="shared" si="67"/>
        <v>5.5492631159427939</v>
      </c>
      <c r="BF28" s="11">
        <f t="shared" si="68"/>
        <v>12.904964342774086</v>
      </c>
      <c r="BG28" s="11">
        <f t="shared" si="69"/>
        <v>10.789070957271935</v>
      </c>
      <c r="BH28" s="11">
        <f t="shared" si="70"/>
        <v>0</v>
      </c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x14ac:dyDescent="0.25">
      <c r="A29" s="53"/>
      <c r="B29" s="6">
        <f t="shared" ref="B29:B33" si="79">D29-D28</f>
        <v>3</v>
      </c>
      <c r="C29" s="46">
        <f t="shared" ref="C29:C33" si="80">C28+B29</f>
        <v>34</v>
      </c>
      <c r="D29" s="2">
        <v>44774</v>
      </c>
      <c r="E29" s="3">
        <v>0.5</v>
      </c>
      <c r="F29" s="1"/>
      <c r="G29" s="1"/>
      <c r="H29" s="1"/>
      <c r="I29" s="1"/>
      <c r="J29" s="1"/>
      <c r="K29" s="1">
        <v>7.71</v>
      </c>
      <c r="L29" s="1">
        <v>1.393</v>
      </c>
      <c r="M29" s="1">
        <v>0.03</v>
      </c>
      <c r="N29" s="1">
        <v>1.3149999999999999</v>
      </c>
      <c r="O29" s="1">
        <v>1.0999999999999999E-2</v>
      </c>
      <c r="P29" s="1">
        <v>0.192</v>
      </c>
      <c r="Q29" s="1">
        <v>0</v>
      </c>
      <c r="R29" s="1">
        <v>0.27300000000000002</v>
      </c>
      <c r="S29" s="6">
        <v>4.0219714285714288</v>
      </c>
      <c r="T29" s="6">
        <v>3.1062857142857143</v>
      </c>
      <c r="U29" s="6">
        <v>0.67165714285714284</v>
      </c>
      <c r="V29" s="6">
        <v>1.5588</v>
      </c>
      <c r="W29" s="6">
        <f t="shared" si="27"/>
        <v>20.282714285714285</v>
      </c>
      <c r="X29" s="6">
        <f t="shared" si="19"/>
        <v>10.923999999999998</v>
      </c>
      <c r="Y29" s="1">
        <f t="shared" si="0"/>
        <v>34</v>
      </c>
      <c r="Z29" s="4">
        <f t="shared" ref="Z29:Z30" si="81">K29*$E$2</f>
        <v>8.2265699999999988</v>
      </c>
      <c r="AA29" s="4">
        <f t="shared" si="3"/>
        <v>2.1034299999999999</v>
      </c>
      <c r="AB29" s="4">
        <f t="shared" si="4"/>
        <v>5.4539999999999998E-2</v>
      </c>
      <c r="AC29" s="4">
        <f t="shared" si="5"/>
        <v>2.3906700000000001</v>
      </c>
      <c r="AD29" s="4">
        <f t="shared" si="6"/>
        <v>2.2358599999999999E-2</v>
      </c>
      <c r="AE29" s="4">
        <f t="shared" si="7"/>
        <v>0.39025920000000003</v>
      </c>
      <c r="AF29" s="4">
        <f t="shared" si="8"/>
        <v>0</v>
      </c>
      <c r="AG29" s="4">
        <f t="shared" si="9"/>
        <v>0.60060000000000013</v>
      </c>
      <c r="AH29" s="4">
        <f t="shared" ref="AH29" si="82">S29*1.067</f>
        <v>4.2914435142857146</v>
      </c>
      <c r="AI29" s="4">
        <f t="shared" ref="AI29" si="83">T29*$B$2</f>
        <v>2.9447588571428569</v>
      </c>
      <c r="AJ29" s="4">
        <f t="shared" ref="AJ29" si="84">U29*$D$2</f>
        <v>0.93360342857142853</v>
      </c>
      <c r="AK29" s="4">
        <f t="shared" ref="AK29" si="85">V29*$C$2</f>
        <v>3.24885096</v>
      </c>
      <c r="AL29" s="4">
        <f t="shared" si="22"/>
        <v>25.207084559999995</v>
      </c>
      <c r="AM29" s="4">
        <f t="shared" si="56"/>
        <v>43.762299583333323</v>
      </c>
      <c r="AN29" s="1">
        <f>1378*40/1000</f>
        <v>55.12</v>
      </c>
      <c r="AO29" s="1">
        <f>696*40/1000</f>
        <v>27.84</v>
      </c>
      <c r="AP29" s="4">
        <f t="shared" si="77"/>
        <v>90.542688793103437</v>
      </c>
      <c r="AQ29" s="4">
        <f t="shared" si="78"/>
        <v>0.50507982583454281</v>
      </c>
      <c r="AR29" s="4">
        <f>($AG$3-AN29)/$AG$3*100</f>
        <v>4.3055555555555625</v>
      </c>
      <c r="AS29" s="4">
        <f t="shared" si="51"/>
        <v>0.45072698412698409</v>
      </c>
      <c r="AT29" s="4">
        <f t="shared" si="52"/>
        <v>0.2427555555555555</v>
      </c>
      <c r="AU29" s="4">
        <f t="shared" si="55"/>
        <v>0.23547288888888884</v>
      </c>
      <c r="AV29" s="4">
        <f t="shared" si="54"/>
        <v>25.207084559999995</v>
      </c>
      <c r="AW29" s="11">
        <f t="shared" ref="AW29:AW30" si="86">Z29/$AL29*100</f>
        <v>32.635943995897001</v>
      </c>
      <c r="AX29" s="11">
        <f t="shared" ref="AX29:AX30" si="87">AA29/$AL29*100</f>
        <v>8.3445984996529088</v>
      </c>
      <c r="AY29" s="11">
        <f t="shared" ref="AY29:AY30" si="88">AB29/$AL29*100</f>
        <v>0.21636774324368754</v>
      </c>
      <c r="AZ29" s="11">
        <f t="shared" ref="AZ29:AZ30" si="89">AC29/$AL29*100</f>
        <v>9.4841194121816379</v>
      </c>
      <c r="BA29" s="11">
        <f t="shared" ref="BA29:BA30" si="90">AD29/$AL29*100</f>
        <v>8.8699666741626562E-2</v>
      </c>
      <c r="BB29" s="11">
        <f t="shared" ref="BB29:BB30" si="91">AE29/$AL29*100</f>
        <v>1.5482123649447546</v>
      </c>
      <c r="BC29" s="11">
        <f t="shared" ref="BC29:BC30" si="92">AF29/$AL29*100</f>
        <v>0</v>
      </c>
      <c r="BD29" s="11">
        <f t="shared" ref="BD29:BD30" si="93">AG29/$AL29*100</f>
        <v>2.3826634872049648</v>
      </c>
      <c r="BE29" s="11">
        <f t="shared" ref="BE29:BE30" si="94">AH29/$AL29*100</f>
        <v>17.024751529955257</v>
      </c>
      <c r="BF29" s="11">
        <f t="shared" ref="BF29:BF30" si="95">AI29/$AL29*100</f>
        <v>11.682266745817024</v>
      </c>
      <c r="BG29" s="11">
        <f t="shared" ref="BG29:BG30" si="96">AJ29/$AL29*100</f>
        <v>3.7037342670438074</v>
      </c>
      <c r="BH29" s="11">
        <f t="shared" ref="BH29:BH30" si="97">AK29/$AL29*100</f>
        <v>12.888642287317342</v>
      </c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x14ac:dyDescent="0.25">
      <c r="A30" s="53"/>
      <c r="B30" s="6">
        <f t="shared" si="79"/>
        <v>1</v>
      </c>
      <c r="C30" s="22">
        <f t="shared" si="80"/>
        <v>35</v>
      </c>
      <c r="D30" s="2">
        <v>44775</v>
      </c>
      <c r="E30" s="3">
        <v>0.5</v>
      </c>
      <c r="F30" s="1">
        <v>17.46</v>
      </c>
      <c r="G30" s="1">
        <v>54.83</v>
      </c>
      <c r="H30" s="1">
        <v>5.14</v>
      </c>
      <c r="I30" s="1">
        <v>21.66</v>
      </c>
      <c r="J30" s="1">
        <v>0.91</v>
      </c>
      <c r="K30" s="1">
        <v>7.4660000000000002</v>
      </c>
      <c r="L30" s="1">
        <v>1.591</v>
      </c>
      <c r="M30" s="1">
        <v>7.0000000000000007E-2</v>
      </c>
      <c r="N30" s="1">
        <v>1.2430000000000001</v>
      </c>
      <c r="O30" s="1">
        <v>1.4E-2</v>
      </c>
      <c r="P30" s="1">
        <v>0.17199999999999999</v>
      </c>
      <c r="Q30" s="1">
        <v>0</v>
      </c>
      <c r="R30" s="1">
        <v>0.20799999999999999</v>
      </c>
      <c r="S30" s="6">
        <v>3.6635142857142862</v>
      </c>
      <c r="T30" s="6">
        <v>2.5518857142857145</v>
      </c>
      <c r="U30" s="6">
        <v>0.72488571428571424</v>
      </c>
      <c r="V30" s="6">
        <v>1.7529428571428571</v>
      </c>
      <c r="W30" s="6">
        <f t="shared" si="27"/>
        <v>19.457228571428573</v>
      </c>
      <c r="X30" s="6">
        <f t="shared" si="19"/>
        <v>10.764000000000001</v>
      </c>
      <c r="Y30" s="1">
        <f t="shared" si="0"/>
        <v>35</v>
      </c>
      <c r="Z30" s="4">
        <f t="shared" si="81"/>
        <v>7.9662220000000001</v>
      </c>
      <c r="AA30" s="4">
        <f t="shared" si="3"/>
        <v>2.4024100000000002</v>
      </c>
      <c r="AB30" s="4">
        <f t="shared" si="4"/>
        <v>0.12726000000000001</v>
      </c>
      <c r="AC30" s="4">
        <f t="shared" si="5"/>
        <v>2.2597740000000002</v>
      </c>
      <c r="AD30" s="4">
        <f t="shared" si="6"/>
        <v>2.84564E-2</v>
      </c>
      <c r="AE30" s="4">
        <f t="shared" si="7"/>
        <v>0.34960719999999995</v>
      </c>
      <c r="AF30" s="4">
        <f t="shared" si="8"/>
        <v>0</v>
      </c>
      <c r="AG30" s="4">
        <f t="shared" si="9"/>
        <v>0.45760000000000001</v>
      </c>
      <c r="AH30" s="4">
        <f t="shared" ref="AH30" si="98">S30*1.067</f>
        <v>3.9089697428571433</v>
      </c>
      <c r="AI30" s="4">
        <f t="shared" ref="AI30" si="99">T30*$B$2</f>
        <v>2.4191876571428574</v>
      </c>
      <c r="AJ30" s="4">
        <f t="shared" ref="AJ30" si="100">U30*$D$2</f>
        <v>1.0075911428571427</v>
      </c>
      <c r="AK30" s="4">
        <f t="shared" ref="AK30" si="101">V30*$C$2</f>
        <v>3.6534835028571431</v>
      </c>
      <c r="AL30" s="4">
        <f t="shared" si="22"/>
        <v>24.580561645714283</v>
      </c>
      <c r="AM30" s="4">
        <f t="shared" ref="AM30" si="102">(AL30/($AG$3))*100</f>
        <v>42.674586190476184</v>
      </c>
      <c r="AN30" s="1"/>
      <c r="AO30" s="1"/>
      <c r="AP30" s="1"/>
      <c r="AQ30" s="1"/>
      <c r="AR30" s="1"/>
      <c r="AS30" s="4">
        <f t="shared" si="51"/>
        <v>0.43238285714285718</v>
      </c>
      <c r="AT30" s="4">
        <f t="shared" si="52"/>
        <v>0.23920000000000002</v>
      </c>
      <c r="AU30" s="4">
        <f t="shared" si="55"/>
        <v>0.23202400000000004</v>
      </c>
      <c r="AV30" s="4">
        <f t="shared" si="54"/>
        <v>24.580561645714283</v>
      </c>
      <c r="AW30" s="11">
        <f t="shared" si="86"/>
        <v>32.408624810202177</v>
      </c>
      <c r="AX30" s="11">
        <f t="shared" si="87"/>
        <v>9.7736171964926175</v>
      </c>
      <c r="AY30" s="11">
        <f t="shared" si="88"/>
        <v>0.51772616848316932</v>
      </c>
      <c r="AZ30" s="11">
        <f t="shared" si="89"/>
        <v>9.1933375346368482</v>
      </c>
      <c r="BA30" s="11">
        <f t="shared" si="90"/>
        <v>0.11576789989646752</v>
      </c>
      <c r="BB30" s="11">
        <f t="shared" si="91"/>
        <v>1.4222913415851721</v>
      </c>
      <c r="BC30" s="11">
        <f t="shared" si="92"/>
        <v>0</v>
      </c>
      <c r="BD30" s="11">
        <f t="shared" si="93"/>
        <v>1.8616336217027993</v>
      </c>
      <c r="BE30" s="11">
        <f t="shared" si="94"/>
        <v>15.902686843360584</v>
      </c>
      <c r="BF30" s="11">
        <f t="shared" si="95"/>
        <v>9.8418729889544743</v>
      </c>
      <c r="BG30" s="11">
        <f t="shared" si="96"/>
        <v>4.0991379992849764</v>
      </c>
      <c r="BH30" s="11">
        <f t="shared" si="97"/>
        <v>14.863303595400726</v>
      </c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x14ac:dyDescent="0.25">
      <c r="A31" s="53"/>
      <c r="B31" s="6">
        <f t="shared" si="79"/>
        <v>1</v>
      </c>
      <c r="C31" s="22">
        <f t="shared" si="80"/>
        <v>36</v>
      </c>
      <c r="D31" s="2">
        <v>44776</v>
      </c>
      <c r="E31" s="3">
        <v>0.5</v>
      </c>
      <c r="F31" s="1">
        <v>25.87</v>
      </c>
      <c r="G31" s="1">
        <v>59.29</v>
      </c>
      <c r="H31" s="1">
        <v>2.76</v>
      </c>
      <c r="I31" s="1">
        <v>10.89</v>
      </c>
      <c r="J31" s="1">
        <v>1.18</v>
      </c>
      <c r="K31" s="1">
        <v>6.2309999999999999</v>
      </c>
      <c r="L31" s="1">
        <v>2.2130000000000001</v>
      </c>
      <c r="M31" s="1">
        <v>5.2999999999999999E-2</v>
      </c>
      <c r="N31" s="1">
        <v>1.345</v>
      </c>
      <c r="O31" s="1">
        <v>2.5000000000000001E-2</v>
      </c>
      <c r="P31" s="1">
        <v>0.23499999999999999</v>
      </c>
      <c r="Q31" s="1">
        <v>0</v>
      </c>
      <c r="R31" s="1">
        <v>0.184</v>
      </c>
      <c r="S31" s="6">
        <v>1.9540285714285717</v>
      </c>
      <c r="T31" s="6">
        <v>2.4876000000000005</v>
      </c>
      <c r="U31" s="6">
        <v>0.97662857142857162</v>
      </c>
      <c r="V31" s="6">
        <v>1.7467714285714286</v>
      </c>
      <c r="W31" s="6">
        <f t="shared" si="27"/>
        <v>17.451028571428573</v>
      </c>
      <c r="X31" s="6">
        <f t="shared" si="19"/>
        <v>10.286</v>
      </c>
      <c r="Y31" s="1">
        <f t="shared" si="0"/>
        <v>36</v>
      </c>
      <c r="Z31" s="4">
        <f t="shared" ref="Z31" si="103">K31*$E$2</f>
        <v>6.6484769999999997</v>
      </c>
      <c r="AA31" s="4">
        <f t="shared" si="3"/>
        <v>3.3416300000000003</v>
      </c>
      <c r="AB31" s="4">
        <f t="shared" si="4"/>
        <v>9.6353999999999995E-2</v>
      </c>
      <c r="AC31" s="4">
        <f t="shared" si="5"/>
        <v>2.4452099999999999</v>
      </c>
      <c r="AD31" s="4">
        <f t="shared" si="6"/>
        <v>5.0814999999999999E-2</v>
      </c>
      <c r="AE31" s="4">
        <f t="shared" si="7"/>
        <v>0.47766099999999995</v>
      </c>
      <c r="AF31" s="4">
        <f t="shared" si="8"/>
        <v>0</v>
      </c>
      <c r="AG31" s="4">
        <f t="shared" si="9"/>
        <v>0.40480000000000005</v>
      </c>
      <c r="AH31" s="4">
        <f t="shared" ref="AH31" si="104">S31*1.067</f>
        <v>2.0849484857142859</v>
      </c>
      <c r="AI31" s="4">
        <f t="shared" ref="AI31" si="105">T31*$B$2</f>
        <v>2.3582448000000005</v>
      </c>
      <c r="AJ31" s="4">
        <f t="shared" ref="AJ31" si="106">U31*$D$2</f>
        <v>1.3575137142857145</v>
      </c>
      <c r="AK31" s="4">
        <f t="shared" ref="AK31" si="107">V31*$C$2</f>
        <v>3.6406210114285718</v>
      </c>
      <c r="AL31" s="4">
        <f t="shared" ref="AL31" si="108">SUM(Z31:AK31)</f>
        <v>22.906275011428573</v>
      </c>
      <c r="AM31" s="4">
        <f t="shared" ref="AM31" si="109">(AL31/($AG$3))*100</f>
        <v>39.767838561507943</v>
      </c>
      <c r="AN31" s="1">
        <f>1093*50/1000</f>
        <v>54.65</v>
      </c>
      <c r="AO31" s="1">
        <f>666*40/1000</f>
        <v>26.64</v>
      </c>
      <c r="AP31" s="4">
        <f t="shared" ref="AP31" si="110">AL31/AO31*100</f>
        <v>85.984515808665805</v>
      </c>
      <c r="AQ31" s="4">
        <f t="shared" ref="AQ31" si="111">AO31/AN31</f>
        <v>0.4874656907593779</v>
      </c>
      <c r="AR31" s="4">
        <f>($AG$3-AN31)/$AG$3*100</f>
        <v>5.1215277777777821</v>
      </c>
      <c r="AS31" s="4">
        <f t="shared" si="51"/>
        <v>0.38780063492063493</v>
      </c>
      <c r="AT31" s="4">
        <f t="shared" si="52"/>
        <v>0.22857777777777777</v>
      </c>
      <c r="AU31" s="4">
        <f t="shared" si="55"/>
        <v>0.22172044444444444</v>
      </c>
      <c r="AV31" s="4">
        <f t="shared" si="54"/>
        <v>22.906275011428573</v>
      </c>
      <c r="AW31" s="11">
        <f t="shared" ref="AW31:AW32" si="112">Z31/$AL31*100</f>
        <v>29.024697366476616</v>
      </c>
      <c r="AX31" s="11">
        <f t="shared" ref="AX31:AX32" si="113">AA31/$AL31*100</f>
        <v>14.588273293378206</v>
      </c>
      <c r="AY31" s="11">
        <f t="shared" ref="AY31:AY32" si="114">AB31/$AL31*100</f>
        <v>0.42064456116032106</v>
      </c>
      <c r="AZ31" s="11">
        <f t="shared" ref="AZ31:AZ32" si="115">AC31/$AL31*100</f>
        <v>10.674847825672298</v>
      </c>
      <c r="BA31" s="11">
        <f t="shared" ref="BA31:BA32" si="116">AD31/$AL31*100</f>
        <v>0.22183877550866299</v>
      </c>
      <c r="BB31" s="11">
        <f t="shared" ref="BB31:BB32" si="117">AE31/$AL31*100</f>
        <v>2.085284489781432</v>
      </c>
      <c r="BC31" s="11">
        <f t="shared" ref="BC31:BC32" si="118">AF31/$AL31*100</f>
        <v>0</v>
      </c>
      <c r="BD31" s="11">
        <f t="shared" ref="BD31:BD32" si="119">AG31/$AL31*100</f>
        <v>1.7672013446011374</v>
      </c>
      <c r="BE31" s="11">
        <f t="shared" ref="BE31:BE32" si="120">AH31/$AL31*100</f>
        <v>9.1020844055790278</v>
      </c>
      <c r="BF31" s="11">
        <f t="shared" ref="BF31:BF32" si="121">AI31/$AL31*100</f>
        <v>10.295191159729843</v>
      </c>
      <c r="BG31" s="11">
        <f t="shared" ref="BG31:BG32" si="122">AJ31/$AL31*100</f>
        <v>5.9263835503957472</v>
      </c>
      <c r="BH31" s="11">
        <f t="shared" ref="BH31:BH32" si="123">AK31/$AL31*100</f>
        <v>15.893553227716708</v>
      </c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x14ac:dyDescent="0.25">
      <c r="A32" s="53"/>
      <c r="B32" s="6">
        <f t="shared" si="79"/>
        <v>1</v>
      </c>
      <c r="C32" s="22">
        <f t="shared" si="80"/>
        <v>37</v>
      </c>
      <c r="D32" s="2">
        <v>44777</v>
      </c>
      <c r="E32" s="3">
        <v>0.5</v>
      </c>
      <c r="F32" s="1">
        <v>28.84</v>
      </c>
      <c r="G32" s="1">
        <v>60.58</v>
      </c>
      <c r="H32" s="1">
        <v>0.28999999999999998</v>
      </c>
      <c r="I32" s="1">
        <v>8.41</v>
      </c>
      <c r="J32" s="1">
        <v>1.88</v>
      </c>
      <c r="K32" s="1">
        <v>5.7510000000000003</v>
      </c>
      <c r="L32" s="1">
        <v>2.5960000000000001</v>
      </c>
      <c r="M32" s="1">
        <v>9.8000000000000004E-2</v>
      </c>
      <c r="N32" s="1">
        <v>1.321</v>
      </c>
      <c r="O32" s="1">
        <v>3.6999999999999998E-2</v>
      </c>
      <c r="P32" s="1">
        <v>0.26100000000000001</v>
      </c>
      <c r="Q32" s="1">
        <v>0</v>
      </c>
      <c r="R32" s="1">
        <v>0.17799999999999999</v>
      </c>
      <c r="S32" s="6">
        <v>0.73954285714285728</v>
      </c>
      <c r="T32" s="6">
        <v>2.6187428571428573</v>
      </c>
      <c r="U32" s="6">
        <v>0.9799714285714286</v>
      </c>
      <c r="V32" s="6">
        <v>1.6362000000000001</v>
      </c>
      <c r="W32" s="6">
        <f t="shared" ref="W32:W33" si="124">SUM(K32:V32)</f>
        <v>16.216457142857145</v>
      </c>
      <c r="X32" s="6">
        <f t="shared" si="19"/>
        <v>10.242000000000003</v>
      </c>
      <c r="Y32" s="1">
        <f t="shared" si="0"/>
        <v>37</v>
      </c>
      <c r="Z32" s="4">
        <f t="shared" ref="Z32:Z34" si="125">K32*$E$2</f>
        <v>6.136317</v>
      </c>
      <c r="AA32" s="4">
        <f t="shared" si="3"/>
        <v>3.9199600000000001</v>
      </c>
      <c r="AB32" s="4">
        <f t="shared" si="4"/>
        <v>0.17816400000000002</v>
      </c>
      <c r="AC32" s="4">
        <f t="shared" si="5"/>
        <v>2.4015780000000002</v>
      </c>
      <c r="AD32" s="4">
        <f t="shared" si="6"/>
        <v>7.5206200000000001E-2</v>
      </c>
      <c r="AE32" s="4">
        <f t="shared" si="7"/>
        <v>0.5305086</v>
      </c>
      <c r="AF32" s="4">
        <f t="shared" si="8"/>
        <v>0</v>
      </c>
      <c r="AG32" s="4">
        <f t="shared" si="9"/>
        <v>0.3916</v>
      </c>
      <c r="AH32" s="4">
        <f t="shared" ref="AH32:AH33" si="126">S32*1.067</f>
        <v>0.78909222857142869</v>
      </c>
      <c r="AI32" s="4">
        <f t="shared" ref="AI32:AI33" si="127">T32*$B$2</f>
        <v>2.4825682285714286</v>
      </c>
      <c r="AJ32" s="4">
        <f t="shared" ref="AJ32:AJ33" si="128">U32*$D$2</f>
        <v>1.3621602857142856</v>
      </c>
      <c r="AK32" s="4">
        <f t="shared" ref="AK32:AK33" si="129">V32*$C$2</f>
        <v>3.4101680400000003</v>
      </c>
      <c r="AL32" s="4">
        <f t="shared" ref="AL32:AL33" si="130">SUM(Z32:AK32)</f>
        <v>21.677322582857144</v>
      </c>
      <c r="AM32" s="4">
        <f t="shared" ref="AM32:AM33" si="131">(AL32/($AG$3))*100</f>
        <v>37.634240595238097</v>
      </c>
      <c r="AN32" s="1"/>
      <c r="AO32" s="1"/>
      <c r="AP32" s="1"/>
      <c r="AQ32" s="1"/>
      <c r="AR32" s="1"/>
      <c r="AS32" s="4">
        <f t="shared" si="51"/>
        <v>0.36036571428571434</v>
      </c>
      <c r="AT32" s="4">
        <f t="shared" si="52"/>
        <v>0.22760000000000005</v>
      </c>
      <c r="AU32" s="4">
        <f t="shared" si="55"/>
        <v>0.22077200000000005</v>
      </c>
      <c r="AV32" s="4">
        <f t="shared" si="54"/>
        <v>21.677322582857144</v>
      </c>
      <c r="AW32" s="11">
        <f t="shared" si="112"/>
        <v>28.307541102205679</v>
      </c>
      <c r="AX32" s="11">
        <f t="shared" si="113"/>
        <v>18.083229536381872</v>
      </c>
      <c r="AY32" s="11">
        <f t="shared" si="114"/>
        <v>0.82189116907313842</v>
      </c>
      <c r="AZ32" s="11">
        <f t="shared" si="115"/>
        <v>11.078757493322611</v>
      </c>
      <c r="BA32" s="11">
        <f t="shared" si="116"/>
        <v>0.3469349118764074</v>
      </c>
      <c r="BB32" s="11">
        <f t="shared" si="117"/>
        <v>2.4472976216146578</v>
      </c>
      <c r="BC32" s="11">
        <f t="shared" si="118"/>
        <v>0</v>
      </c>
      <c r="BD32" s="11">
        <f t="shared" si="119"/>
        <v>1.8064961597687577</v>
      </c>
      <c r="BE32" s="11">
        <f t="shared" si="120"/>
        <v>3.6401738524454976</v>
      </c>
      <c r="BF32" s="11">
        <f t="shared" si="121"/>
        <v>11.452374798973986</v>
      </c>
      <c r="BG32" s="11">
        <f t="shared" si="122"/>
        <v>6.2838031796025815</v>
      </c>
      <c r="BH32" s="11">
        <f t="shared" si="123"/>
        <v>15.73150017473481</v>
      </c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x14ac:dyDescent="0.25">
      <c r="A33" s="53"/>
      <c r="B33" s="6">
        <f t="shared" si="79"/>
        <v>1</v>
      </c>
      <c r="C33" s="22">
        <f t="shared" si="80"/>
        <v>38</v>
      </c>
      <c r="D33" s="2">
        <v>44778</v>
      </c>
      <c r="E33" s="3">
        <v>0.5</v>
      </c>
      <c r="F33" s="1">
        <v>25.9</v>
      </c>
      <c r="G33" s="1">
        <v>64.31</v>
      </c>
      <c r="H33" s="1">
        <v>6.93</v>
      </c>
      <c r="I33" s="1">
        <v>2.85</v>
      </c>
      <c r="J33" s="1">
        <v>2.85</v>
      </c>
      <c r="K33" s="1">
        <v>6.98</v>
      </c>
      <c r="L33" s="1">
        <v>3.1219999999999999</v>
      </c>
      <c r="M33" s="1">
        <v>0.13600000000000001</v>
      </c>
      <c r="N33" s="1">
        <v>1.663</v>
      </c>
      <c r="O33" s="1">
        <v>5.5E-2</v>
      </c>
      <c r="P33" s="1">
        <v>0.36899999999999999</v>
      </c>
      <c r="Q33" s="1">
        <v>0</v>
      </c>
      <c r="R33" s="1">
        <v>0.249</v>
      </c>
      <c r="S33" s="6">
        <v>0.58320000000000005</v>
      </c>
      <c r="T33" s="6">
        <v>3.6208285714285715</v>
      </c>
      <c r="U33" s="6">
        <v>1.0836000000000001</v>
      </c>
      <c r="V33" s="6">
        <v>1.280057142857143</v>
      </c>
      <c r="W33" s="6">
        <f t="shared" si="124"/>
        <v>19.141685714285714</v>
      </c>
      <c r="X33" s="6">
        <f t="shared" si="19"/>
        <v>12.574</v>
      </c>
      <c r="Y33" s="1">
        <f t="shared" si="0"/>
        <v>38</v>
      </c>
      <c r="Z33" s="4">
        <f t="shared" si="125"/>
        <v>7.4476599999999999</v>
      </c>
      <c r="AA33" s="4">
        <f t="shared" si="3"/>
        <v>4.7142200000000001</v>
      </c>
      <c r="AB33" s="4">
        <f t="shared" si="4"/>
        <v>0.24724800000000002</v>
      </c>
      <c r="AC33" s="4">
        <f t="shared" si="5"/>
        <v>3.0233340000000002</v>
      </c>
      <c r="AD33" s="4">
        <f t="shared" si="6"/>
        <v>0.111793</v>
      </c>
      <c r="AE33" s="4">
        <f t="shared" si="7"/>
        <v>0.75002939999999996</v>
      </c>
      <c r="AF33" s="4">
        <f t="shared" si="8"/>
        <v>0</v>
      </c>
      <c r="AG33" s="4">
        <f t="shared" si="9"/>
        <v>0.54780000000000006</v>
      </c>
      <c r="AH33" s="4">
        <f t="shared" si="126"/>
        <v>0.62227440000000001</v>
      </c>
      <c r="AI33" s="4">
        <f t="shared" si="127"/>
        <v>3.4325454857142854</v>
      </c>
      <c r="AJ33" s="4">
        <f t="shared" si="128"/>
        <v>1.5062040000000001</v>
      </c>
      <c r="AK33" s="4">
        <f t="shared" si="129"/>
        <v>2.6678950971428574</v>
      </c>
      <c r="AL33" s="4">
        <f t="shared" si="130"/>
        <v>25.071003382857143</v>
      </c>
      <c r="AM33" s="4">
        <f t="shared" si="131"/>
        <v>43.526047539682537</v>
      </c>
      <c r="AN33" s="1">
        <f>1087*50/1000</f>
        <v>54.35</v>
      </c>
      <c r="AO33" s="1">
        <f>644*40/1000</f>
        <v>25.76</v>
      </c>
      <c r="AP33" s="4">
        <f t="shared" ref="AP33:AP34" si="132">AL33/AO33*100</f>
        <v>97.325323691215615</v>
      </c>
      <c r="AQ33" s="4">
        <f t="shared" ref="AQ33:AQ34" si="133">AO33/AN33</f>
        <v>0.47396504139834406</v>
      </c>
      <c r="AR33" s="4">
        <f>($AG$3-AN33)/$AG$3*100</f>
        <v>5.6423611111111116</v>
      </c>
      <c r="AS33" s="4">
        <f t="shared" si="51"/>
        <v>0.42537079365079367</v>
      </c>
      <c r="AT33" s="4">
        <f t="shared" si="52"/>
        <v>0.27942222222222224</v>
      </c>
      <c r="AU33" s="4">
        <f t="shared" si="55"/>
        <v>0.27103955555555553</v>
      </c>
      <c r="AV33" s="4">
        <f t="shared" si="54"/>
        <v>25.071003382857143</v>
      </c>
      <c r="AW33" s="11">
        <f>Z33/$AL33*100</f>
        <v>29.706270173025878</v>
      </c>
      <c r="AX33" s="11">
        <f t="shared" ref="AX33:AX41" si="134">AA33/$AL33*100</f>
        <v>18.803475584959848</v>
      </c>
      <c r="AY33" s="11">
        <f t="shared" ref="AY33:AY41" si="135">AB33/$AL33*100</f>
        <v>0.98619108387605003</v>
      </c>
      <c r="AZ33" s="11">
        <f t="shared" ref="AZ33:AZ41" si="136">AC33/$AL33*100</f>
        <v>12.059086562396111</v>
      </c>
      <c r="BA33" s="11">
        <f t="shared" ref="BA33:BA41" si="137">AD33/$AL33*100</f>
        <v>0.44590556784991286</v>
      </c>
      <c r="BB33" s="11">
        <f t="shared" ref="BB33:BB41" si="138">AE33/$AL33*100</f>
        <v>2.9916209915748695</v>
      </c>
      <c r="BC33" s="11">
        <f t="shared" ref="BC33:BC41" si="139">AF33/$AL33*100</f>
        <v>0</v>
      </c>
      <c r="BD33" s="11">
        <f t="shared" ref="BD33:BD41" si="140">AG33/$AL33*100</f>
        <v>2.1849943204689226</v>
      </c>
      <c r="BE33" s="11">
        <f t="shared" ref="BE33:BE41" si="141">AH33/$AL33*100</f>
        <v>2.4820482471215892</v>
      </c>
      <c r="BF33" s="11">
        <f t="shared" ref="BF33:BF41" si="142">AI33/$AL33*100</f>
        <v>13.691296807296371</v>
      </c>
      <c r="BG33" s="11">
        <f t="shared" ref="BG33:BG41" si="143">AJ33/$AL33*100</f>
        <v>6.0077531680678593</v>
      </c>
      <c r="BH33" s="11">
        <f t="shared" ref="BH33:BH41" si="144">AK33/$AL33*100</f>
        <v>10.641357493362593</v>
      </c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s="18" customFormat="1" x14ac:dyDescent="0.25">
      <c r="A34" s="53"/>
      <c r="B34" s="14">
        <f t="shared" ref="B34" si="145">D34-D33</f>
        <v>3</v>
      </c>
      <c r="C34" s="46">
        <f t="shared" ref="C34" si="146">C33+B34</f>
        <v>41</v>
      </c>
      <c r="D34" s="15">
        <v>44781</v>
      </c>
      <c r="E34" s="16">
        <v>0.5</v>
      </c>
      <c r="F34" s="17">
        <v>15.41</v>
      </c>
      <c r="G34" s="17">
        <v>73.06</v>
      </c>
      <c r="H34" s="17"/>
      <c r="I34" s="17">
        <v>7.63</v>
      </c>
      <c r="J34" s="17">
        <v>3.89</v>
      </c>
      <c r="K34" s="18">
        <v>7.1219999999999999</v>
      </c>
      <c r="L34" s="18">
        <v>2.3980000000000001</v>
      </c>
      <c r="M34" s="18">
        <v>9.4E-2</v>
      </c>
      <c r="N34" s="18">
        <v>1.591</v>
      </c>
      <c r="O34" s="18">
        <v>5.2999999999999999E-2</v>
      </c>
      <c r="P34" s="18">
        <v>0.34699999999999998</v>
      </c>
      <c r="Q34" s="18">
        <v>0</v>
      </c>
      <c r="R34" s="18">
        <v>0.27400000000000002</v>
      </c>
      <c r="S34" s="18">
        <f>AVERAGEA(S33,S36)</f>
        <v>0.56507142857142867</v>
      </c>
      <c r="T34" s="18">
        <f t="shared" ref="T34:V34" si="147">AVERAGEA(T33,T36)</f>
        <v>4.4930571428571433</v>
      </c>
      <c r="U34" s="18">
        <f t="shared" si="147"/>
        <v>1.1160000000000001</v>
      </c>
      <c r="V34" s="18">
        <f t="shared" si="147"/>
        <v>1.5158571428571415</v>
      </c>
      <c r="W34" s="14">
        <f t="shared" ref="W34" si="148">SUM(K34:V34)</f>
        <v>19.568985714285709</v>
      </c>
      <c r="X34" s="14">
        <f t="shared" si="19"/>
        <v>11.878999999999998</v>
      </c>
      <c r="Y34" s="17">
        <f t="shared" si="0"/>
        <v>41</v>
      </c>
      <c r="Z34" s="18">
        <f t="shared" si="125"/>
        <v>7.5991739999999997</v>
      </c>
      <c r="AA34" s="18">
        <f t="shared" si="3"/>
        <v>3.6209800000000003</v>
      </c>
      <c r="AB34" s="18">
        <f t="shared" si="4"/>
        <v>0.17089200000000002</v>
      </c>
      <c r="AC34" s="18">
        <f t="shared" si="5"/>
        <v>2.8924379999999998</v>
      </c>
      <c r="AD34" s="18">
        <f t="shared" si="6"/>
        <v>0.1077278</v>
      </c>
      <c r="AE34" s="18">
        <f t="shared" si="7"/>
        <v>0.70531219999999994</v>
      </c>
      <c r="AF34" s="18">
        <f t="shared" si="8"/>
        <v>0</v>
      </c>
      <c r="AG34" s="18">
        <f t="shared" si="9"/>
        <v>0.60280000000000011</v>
      </c>
      <c r="AH34" s="20">
        <f t="shared" ref="AH34:AH41" si="149">S34*1.067</f>
        <v>0.60293121428571439</v>
      </c>
      <c r="AI34" s="20">
        <f t="shared" ref="AI34:AI41" si="150">T34*$B$2</f>
        <v>4.2594181714285719</v>
      </c>
      <c r="AJ34" s="20">
        <f t="shared" ref="AJ34:AJ41" si="151">U34*$D$2</f>
        <v>1.55124</v>
      </c>
      <c r="AK34" s="20">
        <f t="shared" ref="AK34:AK41" si="152">V34*$C$2</f>
        <v>3.1593494571428544</v>
      </c>
      <c r="AL34" s="20">
        <f>SUM(Z34:AK34)</f>
        <v>25.272262842857142</v>
      </c>
      <c r="AM34" s="20">
        <f t="shared" ref="AM34:AM39" si="153">(AL34/($AG$3))*100</f>
        <v>43.875456324404759</v>
      </c>
      <c r="AN34" s="17">
        <f>862*50/1000</f>
        <v>43.1</v>
      </c>
      <c r="AO34" s="17">
        <f>640*40/1000</f>
        <v>25.6</v>
      </c>
      <c r="AP34" s="20">
        <f t="shared" si="132"/>
        <v>98.719776729910706</v>
      </c>
      <c r="AQ34" s="20">
        <f t="shared" si="133"/>
        <v>0.59396751740139209</v>
      </c>
      <c r="AR34" s="20">
        <f>($AG$3-AN34)/$AG$3*100</f>
        <v>25.173611111111111</v>
      </c>
      <c r="AS34" s="20">
        <f t="shared" si="51"/>
        <v>0.43486634920634909</v>
      </c>
      <c r="AT34" s="20">
        <f t="shared" si="52"/>
        <v>0.26397777777777776</v>
      </c>
      <c r="AU34" s="20">
        <f t="shared" si="55"/>
        <v>0.25605844444444442</v>
      </c>
      <c r="AV34" s="20">
        <f t="shared" si="54"/>
        <v>25.272262842857142</v>
      </c>
      <c r="AW34" s="21">
        <f t="shared" ref="AW34:AW41" si="154">Z34/$AL34*100</f>
        <v>30.069226674523144</v>
      </c>
      <c r="AX34" s="21">
        <f t="shared" si="134"/>
        <v>14.327882004532968</v>
      </c>
      <c r="AY34" s="21">
        <f t="shared" si="135"/>
        <v>0.67620379331524838</v>
      </c>
      <c r="AZ34" s="21">
        <f t="shared" si="136"/>
        <v>11.445108884729361</v>
      </c>
      <c r="BA34" s="21">
        <f t="shared" si="137"/>
        <v>0.42626891256177235</v>
      </c>
      <c r="BB34" s="21">
        <f t="shared" si="138"/>
        <v>2.7908549558289626</v>
      </c>
      <c r="BC34" s="21">
        <f t="shared" si="139"/>
        <v>0</v>
      </c>
      <c r="BD34" s="21">
        <f t="shared" si="140"/>
        <v>2.3852236887065033</v>
      </c>
      <c r="BE34" s="21">
        <f t="shared" si="141"/>
        <v>2.3857428914646031</v>
      </c>
      <c r="BF34" s="21">
        <f t="shared" si="142"/>
        <v>16.854122632047719</v>
      </c>
      <c r="BG34" s="21">
        <f t="shared" si="143"/>
        <v>6.1381127983893089</v>
      </c>
      <c r="BH34" s="21">
        <f t="shared" si="144"/>
        <v>12.501252763900409</v>
      </c>
    </row>
    <row r="35" spans="1:72" x14ac:dyDescent="0.25">
      <c r="A35" s="53" t="s">
        <v>94</v>
      </c>
      <c r="B35" s="6">
        <f t="shared" ref="B35" si="155">D35-D34</f>
        <v>1</v>
      </c>
      <c r="C35" s="22">
        <f t="shared" ref="C35" si="156">C34+B35</f>
        <v>42</v>
      </c>
      <c r="D35" s="2">
        <v>44782</v>
      </c>
      <c r="E35" s="3">
        <v>0.5</v>
      </c>
      <c r="F35" s="1">
        <v>10.53</v>
      </c>
      <c r="G35" s="1">
        <v>54.87</v>
      </c>
      <c r="H35" s="1">
        <v>2.2000000000000002</v>
      </c>
      <c r="I35" s="1">
        <v>29.75</v>
      </c>
      <c r="J35" s="1">
        <v>2.65</v>
      </c>
      <c r="W35" s="6"/>
      <c r="X35" s="6"/>
      <c r="Y35" s="1">
        <f t="shared" si="0"/>
        <v>42</v>
      </c>
      <c r="AH35" s="4"/>
      <c r="AI35" s="4"/>
      <c r="AJ35" s="4"/>
      <c r="AK35" s="4"/>
      <c r="AL35" s="4"/>
      <c r="AM35" s="4"/>
      <c r="AN35" s="1"/>
      <c r="AO35" s="1"/>
      <c r="AS35" s="4"/>
      <c r="AT35" s="4"/>
      <c r="AU35" s="4"/>
      <c r="AV35" s="4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72" x14ac:dyDescent="0.25">
      <c r="A36" s="53"/>
      <c r="B36" s="6">
        <f t="shared" ref="B36:B37" si="157">D36-D35</f>
        <v>1</v>
      </c>
      <c r="C36" s="22">
        <f t="shared" ref="C36:C37" si="158">C35+B36</f>
        <v>43</v>
      </c>
      <c r="D36" s="2">
        <v>44783</v>
      </c>
      <c r="E36" s="3">
        <v>0.5</v>
      </c>
      <c r="F36" s="1">
        <v>6.62</v>
      </c>
      <c r="G36" s="1">
        <v>59.01</v>
      </c>
      <c r="H36" s="1">
        <v>2.66</v>
      </c>
      <c r="I36" s="1">
        <v>29.41</v>
      </c>
      <c r="J36" s="1">
        <v>2.31</v>
      </c>
      <c r="K36" s="1">
        <v>5.8680000000000003</v>
      </c>
      <c r="L36" s="1">
        <v>1.319</v>
      </c>
      <c r="M36" s="1">
        <v>8.8999999999999996E-2</v>
      </c>
      <c r="N36" s="1">
        <v>1.024</v>
      </c>
      <c r="O36" s="1">
        <v>2.1999999999999999E-2</v>
      </c>
      <c r="P36" s="1">
        <v>0.182</v>
      </c>
      <c r="Q36" s="1">
        <v>0</v>
      </c>
      <c r="R36" s="1">
        <v>0.186</v>
      </c>
      <c r="S36">
        <v>0.54694285714285718</v>
      </c>
      <c r="T36">
        <v>5.3652857142857142</v>
      </c>
      <c r="U36">
        <v>1.1483999999999999</v>
      </c>
      <c r="V36">
        <v>1.7516571428571399</v>
      </c>
      <c r="W36" s="6">
        <f>SUM(K36:V36)</f>
        <v>17.502285714285712</v>
      </c>
      <c r="X36" s="6">
        <f t="shared" si="19"/>
        <v>8.6900000000000013</v>
      </c>
      <c r="Y36" s="1">
        <f t="shared" si="0"/>
        <v>43</v>
      </c>
      <c r="Z36">
        <f t="shared" ref="Z36:Z39" si="159">K36*$E$2</f>
        <v>6.2611559999999997</v>
      </c>
      <c r="AA36">
        <f t="shared" ref="AA36:AA39" si="160">L36*$G$2</f>
        <v>1.99169</v>
      </c>
      <c r="AB36">
        <f t="shared" ref="AB36:AB39" si="161">M36*$H$2</f>
        <v>0.161802</v>
      </c>
      <c r="AC36">
        <f t="shared" ref="AC36:AC39" si="162">N36*$J$2</f>
        <v>1.8616320000000002</v>
      </c>
      <c r="AD36">
        <f t="shared" ref="AD36:AD39" si="163">O36*$K$2</f>
        <v>4.4717199999999999E-2</v>
      </c>
      <c r="AE36">
        <f t="shared" ref="AE36:AE39" si="164">P36*$K$2</f>
        <v>0.36993319999999996</v>
      </c>
      <c r="AF36">
        <f t="shared" ref="AF36:AF39" si="165">Q36*$N$2</f>
        <v>0</v>
      </c>
      <c r="AG36">
        <f t="shared" ref="AG36:AG39" si="166">R36*$N$2</f>
        <v>0.40920000000000001</v>
      </c>
      <c r="AH36" s="4">
        <f t="shared" si="149"/>
        <v>0.58358802857142855</v>
      </c>
      <c r="AI36" s="4">
        <f t="shared" si="150"/>
        <v>5.0862908571428571</v>
      </c>
      <c r="AJ36" s="4">
        <f t="shared" si="151"/>
        <v>1.5962759999999998</v>
      </c>
      <c r="AK36" s="4">
        <f t="shared" si="152"/>
        <v>3.650803817142851</v>
      </c>
      <c r="AL36" s="4">
        <f t="shared" ref="AL36:AL41" si="167">SUM(Z36:AK36)</f>
        <v>22.017089102857135</v>
      </c>
      <c r="AM36" s="4">
        <f t="shared" si="153"/>
        <v>38.224113025793635</v>
      </c>
      <c r="AN36" s="1"/>
      <c r="AO36" s="1"/>
      <c r="AS36" s="4">
        <f t="shared" ref="AS36:AT39" si="168">((W36)/$AC$2)</f>
        <v>0.38893968253968247</v>
      </c>
      <c r="AT36" s="4">
        <f t="shared" si="168"/>
        <v>0.19311111111111115</v>
      </c>
      <c r="AU36" s="4">
        <f t="shared" si="55"/>
        <v>0.18731777777777781</v>
      </c>
      <c r="AV36" s="4">
        <f>AL36/0.75</f>
        <v>29.356118803809512</v>
      </c>
      <c r="AW36" s="11">
        <f t="shared" si="154"/>
        <v>28.43771022931227</v>
      </c>
      <c r="AX36" s="11">
        <f t="shared" si="134"/>
        <v>9.0461095501563857</v>
      </c>
      <c r="AY36" s="11">
        <f t="shared" si="135"/>
        <v>0.73489278825239035</v>
      </c>
      <c r="AZ36" s="11">
        <f t="shared" si="136"/>
        <v>8.4553956760724471</v>
      </c>
      <c r="BA36" s="11">
        <f t="shared" si="137"/>
        <v>0.20310223477361089</v>
      </c>
      <c r="BB36" s="11">
        <f t="shared" si="138"/>
        <v>1.6802093967635081</v>
      </c>
      <c r="BC36" s="11">
        <f t="shared" si="139"/>
        <v>0</v>
      </c>
      <c r="BD36" s="11">
        <f t="shared" si="140"/>
        <v>1.8585563154527023</v>
      </c>
      <c r="BE36" s="11">
        <f t="shared" si="141"/>
        <v>2.6506139201466778</v>
      </c>
      <c r="BF36" s="11">
        <f t="shared" si="142"/>
        <v>23.101559127009274</v>
      </c>
      <c r="BG36" s="11">
        <f t="shared" si="143"/>
        <v>7.2501682331514603</v>
      </c>
      <c r="BH36" s="11">
        <f t="shared" si="144"/>
        <v>16.581682528909283</v>
      </c>
    </row>
    <row r="37" spans="1:72" x14ac:dyDescent="0.25">
      <c r="A37" s="53"/>
      <c r="B37" s="6">
        <f t="shared" si="157"/>
        <v>1</v>
      </c>
      <c r="C37" s="22">
        <f t="shared" si="158"/>
        <v>44</v>
      </c>
      <c r="D37" s="2">
        <v>44784</v>
      </c>
      <c r="E37" s="3">
        <v>0.5</v>
      </c>
      <c r="F37" s="1">
        <v>5.77</v>
      </c>
      <c r="G37" s="1">
        <v>67.540000000000006</v>
      </c>
      <c r="H37" s="1">
        <v>0</v>
      </c>
      <c r="I37" s="1">
        <v>24.01</v>
      </c>
      <c r="J37" s="1">
        <v>2.68</v>
      </c>
      <c r="K37">
        <v>6.899</v>
      </c>
      <c r="L37">
        <v>1.3839999999999999</v>
      </c>
      <c r="M37">
        <v>3.6999999999999998E-2</v>
      </c>
      <c r="N37">
        <v>1.0029999999999999</v>
      </c>
      <c r="O37">
        <v>1.7000000000000001E-2</v>
      </c>
      <c r="P37">
        <v>0.16900000000000001</v>
      </c>
      <c r="Q37">
        <v>1.7000000000000001E-2</v>
      </c>
      <c r="R37">
        <v>0.17799999999999999</v>
      </c>
      <c r="S37">
        <v>1.7046000000000001</v>
      </c>
      <c r="T37">
        <v>6.673628571428571</v>
      </c>
      <c r="U37">
        <v>1.2731142857142856</v>
      </c>
      <c r="V37">
        <v>1.5860571428571428</v>
      </c>
      <c r="W37" s="6">
        <f t="shared" ref="W37:W41" si="169">SUM(K37:V37)</f>
        <v>20.941400000000002</v>
      </c>
      <c r="X37" s="6">
        <f t="shared" si="19"/>
        <v>9.7040000000000006</v>
      </c>
      <c r="Y37" s="1">
        <f t="shared" si="0"/>
        <v>44</v>
      </c>
      <c r="Z37">
        <f t="shared" si="159"/>
        <v>7.3612329999999995</v>
      </c>
      <c r="AA37">
        <f t="shared" si="160"/>
        <v>2.0898399999999997</v>
      </c>
      <c r="AB37">
        <f t="shared" si="161"/>
        <v>6.7265999999999992E-2</v>
      </c>
      <c r="AC37">
        <f t="shared" si="162"/>
        <v>1.8234539999999999</v>
      </c>
      <c r="AD37">
        <f t="shared" si="163"/>
        <v>3.45542E-2</v>
      </c>
      <c r="AE37">
        <f t="shared" si="164"/>
        <v>0.34350940000000002</v>
      </c>
      <c r="AF37">
        <f t="shared" si="165"/>
        <v>3.7400000000000003E-2</v>
      </c>
      <c r="AG37">
        <f t="shared" si="166"/>
        <v>0.3916</v>
      </c>
      <c r="AH37" s="4">
        <f t="shared" si="149"/>
        <v>1.8188082000000001</v>
      </c>
      <c r="AI37" s="4">
        <f t="shared" si="150"/>
        <v>6.3265998857142849</v>
      </c>
      <c r="AJ37" s="4">
        <f t="shared" si="151"/>
        <v>1.7696288571428569</v>
      </c>
      <c r="AK37" s="4">
        <f t="shared" si="152"/>
        <v>3.305660297142857</v>
      </c>
      <c r="AL37" s="4">
        <f t="shared" si="167"/>
        <v>25.369553839999998</v>
      </c>
      <c r="AM37" s="4">
        <f t="shared" si="153"/>
        <v>44.044364305555547</v>
      </c>
      <c r="AN37" s="1">
        <f>881*50/1000</f>
        <v>44.05</v>
      </c>
      <c r="AO37" s="1">
        <f>618*40/1000</f>
        <v>24.72</v>
      </c>
      <c r="AP37" s="4">
        <f t="shared" ref="AP37" si="170">AL37/AO37*100</f>
        <v>102.62764498381878</v>
      </c>
      <c r="AQ37" s="4">
        <f>AO37/AN37</f>
        <v>0.56118047673098748</v>
      </c>
      <c r="AR37" s="4">
        <f>($AG$3-AN37)/$AG$3*100</f>
        <v>23.524305555555564</v>
      </c>
      <c r="AS37" s="4">
        <f t="shared" si="168"/>
        <v>0.46536444444444447</v>
      </c>
      <c r="AT37" s="4">
        <f t="shared" si="168"/>
        <v>0.21564444444444447</v>
      </c>
      <c r="AU37" s="4">
        <f t="shared" si="55"/>
        <v>0.20917511111111112</v>
      </c>
      <c r="AV37" s="4">
        <f>AL37/0.75</f>
        <v>33.826071786666667</v>
      </c>
      <c r="AW37" s="11">
        <f t="shared" si="154"/>
        <v>29.016012841320034</v>
      </c>
      <c r="AX37" s="11">
        <f t="shared" si="134"/>
        <v>8.2375906694305492</v>
      </c>
      <c r="AY37" s="11">
        <f t="shared" si="135"/>
        <v>0.26514459191608708</v>
      </c>
      <c r="AZ37" s="11">
        <f t="shared" si="136"/>
        <v>7.1875682619414958</v>
      </c>
      <c r="BA37" s="11">
        <f t="shared" si="137"/>
        <v>0.13620342012289799</v>
      </c>
      <c r="BB37" s="11">
        <f t="shared" si="138"/>
        <v>1.3540222353393978</v>
      </c>
      <c r="BC37" s="11">
        <f t="shared" si="139"/>
        <v>0.14742080304554542</v>
      </c>
      <c r="BD37" s="11">
        <f t="shared" si="140"/>
        <v>1.543582526006299</v>
      </c>
      <c r="BE37" s="11">
        <f t="shared" si="141"/>
        <v>7.1692557601556945</v>
      </c>
      <c r="BF37" s="11">
        <f t="shared" si="142"/>
        <v>24.937765660423949</v>
      </c>
      <c r="BG37" s="11">
        <f t="shared" si="143"/>
        <v>6.9754039361649927</v>
      </c>
      <c r="BH37" s="11">
        <f t="shared" si="144"/>
        <v>13.030029294133055</v>
      </c>
    </row>
    <row r="38" spans="1:72" x14ac:dyDescent="0.25">
      <c r="A38" s="53"/>
      <c r="B38" s="6">
        <f t="shared" ref="B38" si="171">D38-D37</f>
        <v>1</v>
      </c>
      <c r="C38" s="46">
        <f t="shared" ref="C38" si="172">C37+B38</f>
        <v>45</v>
      </c>
      <c r="D38" s="2">
        <v>44785</v>
      </c>
      <c r="E38" s="3">
        <v>0.5</v>
      </c>
      <c r="F38" s="1">
        <v>4.76</v>
      </c>
      <c r="G38" s="1">
        <v>80.459999999999994</v>
      </c>
      <c r="H38" s="1">
        <v>0</v>
      </c>
      <c r="I38" s="1">
        <v>12.78</v>
      </c>
      <c r="J38" s="1">
        <v>2</v>
      </c>
      <c r="K38">
        <v>7.1929999999999996</v>
      </c>
      <c r="L38">
        <v>1.5049999999999999</v>
      </c>
      <c r="M38">
        <v>3.2000000000000001E-2</v>
      </c>
      <c r="N38">
        <v>1.089</v>
      </c>
      <c r="O38">
        <v>1.9E-2</v>
      </c>
      <c r="P38">
        <v>0.17499999999999999</v>
      </c>
      <c r="Q38">
        <v>1.7999999999999999E-2</v>
      </c>
      <c r="R38">
        <v>0.183</v>
      </c>
      <c r="S38">
        <v>2.0800285714285711</v>
      </c>
      <c r="T38">
        <v>7.2252000000000001</v>
      </c>
      <c r="U38">
        <v>1.5832285714285714</v>
      </c>
      <c r="V38">
        <v>1.9787142857142856</v>
      </c>
      <c r="W38" s="6">
        <f t="shared" si="169"/>
        <v>23.08117142857143</v>
      </c>
      <c r="X38" s="6">
        <f t="shared" si="19"/>
        <v>10.214000000000002</v>
      </c>
      <c r="Y38" s="1">
        <f t="shared" si="0"/>
        <v>45</v>
      </c>
      <c r="Z38">
        <f t="shared" si="159"/>
        <v>7.6749309999999991</v>
      </c>
      <c r="AA38">
        <f t="shared" si="160"/>
        <v>2.2725499999999998</v>
      </c>
      <c r="AB38">
        <f t="shared" si="161"/>
        <v>5.8176000000000005E-2</v>
      </c>
      <c r="AC38">
        <f t="shared" si="162"/>
        <v>1.9798020000000001</v>
      </c>
      <c r="AD38">
        <f t="shared" si="163"/>
        <v>3.8619399999999998E-2</v>
      </c>
      <c r="AE38">
        <f t="shared" si="164"/>
        <v>0.35570499999999999</v>
      </c>
      <c r="AF38">
        <f t="shared" si="165"/>
        <v>3.9600000000000003E-2</v>
      </c>
      <c r="AG38">
        <f t="shared" si="166"/>
        <v>0.40260000000000001</v>
      </c>
      <c r="AH38" s="4">
        <f t="shared" si="149"/>
        <v>2.2193904857142854</v>
      </c>
      <c r="AI38" s="4">
        <f t="shared" si="150"/>
        <v>6.8494896000000001</v>
      </c>
      <c r="AJ38" s="4">
        <f t="shared" si="151"/>
        <v>2.200687714285714</v>
      </c>
      <c r="AK38" s="4">
        <f t="shared" si="152"/>
        <v>4.1240363142857142</v>
      </c>
      <c r="AL38" s="4">
        <f t="shared" si="167"/>
        <v>28.215587514285712</v>
      </c>
      <c r="AM38" s="4">
        <f t="shared" si="153"/>
        <v>48.985394990079364</v>
      </c>
      <c r="AN38" s="1"/>
      <c r="AO38" s="1"/>
      <c r="AS38" s="4">
        <f t="shared" si="168"/>
        <v>0.51291492063492072</v>
      </c>
      <c r="AT38" s="4">
        <f t="shared" si="168"/>
        <v>0.22697777777777783</v>
      </c>
      <c r="AU38" s="4">
        <f t="shared" si="55"/>
        <v>0.2201684444444445</v>
      </c>
      <c r="AV38" s="4">
        <f>AL38/0.75</f>
        <v>37.620783352380947</v>
      </c>
      <c r="AW38" s="11">
        <f t="shared" si="154"/>
        <v>27.20103203987561</v>
      </c>
      <c r="AX38" s="11">
        <f t="shared" si="134"/>
        <v>8.0542359745278915</v>
      </c>
      <c r="AY38" s="11">
        <f t="shared" si="135"/>
        <v>0.20618390444836621</v>
      </c>
      <c r="AZ38" s="11">
        <f t="shared" si="136"/>
        <v>7.0166959982584629</v>
      </c>
      <c r="BA38" s="11">
        <f t="shared" si="137"/>
        <v>0.13687257081018347</v>
      </c>
      <c r="BB38" s="11">
        <f t="shared" si="138"/>
        <v>1.260668415356953</v>
      </c>
      <c r="BC38" s="11">
        <f t="shared" si="139"/>
        <v>0.14034795476064532</v>
      </c>
      <c r="BD38" s="11">
        <f t="shared" si="140"/>
        <v>1.426870873399894</v>
      </c>
      <c r="BE38" s="11">
        <f t="shared" si="141"/>
        <v>7.8658311991221002</v>
      </c>
      <c r="BF38" s="11">
        <f t="shared" si="142"/>
        <v>24.27555193217956</v>
      </c>
      <c r="BG38" s="11">
        <f t="shared" si="143"/>
        <v>7.7995459537090737</v>
      </c>
      <c r="BH38" s="11">
        <f t="shared" si="144"/>
        <v>14.61616318355126</v>
      </c>
    </row>
    <row r="39" spans="1:72" x14ac:dyDescent="0.25">
      <c r="A39" s="53"/>
      <c r="B39" s="6">
        <f t="shared" ref="B39" si="173">D39-D38</f>
        <v>4</v>
      </c>
      <c r="C39" s="22">
        <f t="shared" ref="C39" si="174">C38+B39</f>
        <v>49</v>
      </c>
      <c r="D39" s="13">
        <v>44789</v>
      </c>
      <c r="E39" s="3">
        <v>0.5</v>
      </c>
      <c r="F39" s="1"/>
      <c r="G39" s="1"/>
      <c r="H39" s="1"/>
      <c r="I39" s="1"/>
      <c r="J39" s="1"/>
      <c r="K39">
        <v>5.4470000000000001</v>
      </c>
      <c r="L39">
        <v>1.9690000000000001</v>
      </c>
      <c r="M39">
        <v>4.2000000000000003E-2</v>
      </c>
      <c r="N39">
        <v>1.22</v>
      </c>
      <c r="O39">
        <v>2.5999999999999999E-2</v>
      </c>
      <c r="P39">
        <v>0.22</v>
      </c>
      <c r="Q39">
        <v>1.7000000000000001E-2</v>
      </c>
      <c r="R39">
        <v>0.246</v>
      </c>
      <c r="S39">
        <v>0.11699999999999999</v>
      </c>
      <c r="T39">
        <v>4.6640571428571427</v>
      </c>
      <c r="U39">
        <v>1.8100285714285713</v>
      </c>
      <c r="V39">
        <v>2.1461142857142859</v>
      </c>
      <c r="W39" s="6">
        <f t="shared" si="169"/>
        <v>17.924200000000003</v>
      </c>
      <c r="X39" s="6">
        <f t="shared" si="19"/>
        <v>9.1870000000000012</v>
      </c>
      <c r="Y39" s="1">
        <f t="shared" si="0"/>
        <v>49</v>
      </c>
      <c r="Z39">
        <f t="shared" si="159"/>
        <v>5.8119489999999994</v>
      </c>
      <c r="AA39">
        <f t="shared" si="160"/>
        <v>2.9731900000000002</v>
      </c>
      <c r="AB39">
        <f t="shared" si="161"/>
        <v>7.6356000000000007E-2</v>
      </c>
      <c r="AC39">
        <f t="shared" si="162"/>
        <v>2.2179600000000002</v>
      </c>
      <c r="AD39">
        <f t="shared" si="163"/>
        <v>5.2847599999999995E-2</v>
      </c>
      <c r="AE39">
        <f t="shared" si="164"/>
        <v>0.44717200000000001</v>
      </c>
      <c r="AF39">
        <f t="shared" si="165"/>
        <v>3.7400000000000003E-2</v>
      </c>
      <c r="AG39">
        <f t="shared" si="166"/>
        <v>0.54120000000000001</v>
      </c>
      <c r="AH39" s="4">
        <f t="shared" si="149"/>
        <v>0.12483899999999999</v>
      </c>
      <c r="AI39" s="4">
        <f t="shared" si="150"/>
        <v>4.421526171428571</v>
      </c>
      <c r="AJ39" s="4">
        <f t="shared" si="151"/>
        <v>2.5159397142857141</v>
      </c>
      <c r="AK39" s="4">
        <f t="shared" si="152"/>
        <v>4.4729313942857143</v>
      </c>
      <c r="AL39" s="4">
        <f t="shared" si="167"/>
        <v>23.693310879999999</v>
      </c>
      <c r="AM39" s="4">
        <f t="shared" si="153"/>
        <v>41.134220277777771</v>
      </c>
      <c r="AN39" s="1">
        <f>886*50/1000</f>
        <v>44.3</v>
      </c>
      <c r="AO39" s="1">
        <f>572*40/1000</f>
        <v>22.88</v>
      </c>
      <c r="AP39" s="4">
        <f t="shared" ref="AP39" si="175">AL39/AO39*100</f>
        <v>103.55468041958042</v>
      </c>
      <c r="AQ39" s="4">
        <f t="shared" ref="AQ39" si="176">AO39/AN39</f>
        <v>0.51647855530474041</v>
      </c>
      <c r="AR39" s="4">
        <f>($AG$3-AN39)/$AG$3*100</f>
        <v>23.090277777777786</v>
      </c>
      <c r="AS39" s="4">
        <f t="shared" si="168"/>
        <v>0.39831555555555559</v>
      </c>
      <c r="AT39" s="4">
        <f t="shared" si="168"/>
        <v>0.20415555555555559</v>
      </c>
      <c r="AU39" s="4">
        <f t="shared" si="55"/>
        <v>0.19803088888888892</v>
      </c>
      <c r="AV39" s="4">
        <f>AL39/0.75</f>
        <v>31.591081173333333</v>
      </c>
      <c r="AW39" s="11">
        <f t="shared" si="154"/>
        <v>24.529914917488306</v>
      </c>
      <c r="AX39" s="11">
        <f t="shared" si="134"/>
        <v>12.548647232370255</v>
      </c>
      <c r="AY39" s="11">
        <f t="shared" si="135"/>
        <v>0.32226817259403645</v>
      </c>
      <c r="AZ39" s="11">
        <f t="shared" si="136"/>
        <v>9.3611231086839144</v>
      </c>
      <c r="BA39" s="11">
        <f t="shared" si="137"/>
        <v>0.22304860754859601</v>
      </c>
      <c r="BB39" s="11">
        <f t="shared" si="138"/>
        <v>1.8873343715650432</v>
      </c>
      <c r="BC39" s="11">
        <f t="shared" si="139"/>
        <v>0.15785045909970352</v>
      </c>
      <c r="BD39" s="11">
        <f t="shared" si="140"/>
        <v>2.284188996383945</v>
      </c>
      <c r="BE39" s="11">
        <f t="shared" si="141"/>
        <v>0.52689554715368669</v>
      </c>
      <c r="BF39" s="11">
        <f t="shared" si="142"/>
        <v>18.66149561714851</v>
      </c>
      <c r="BG39" s="11">
        <f t="shared" si="143"/>
        <v>10.618776442972642</v>
      </c>
      <c r="BH39" s="11">
        <f t="shared" si="144"/>
        <v>18.878456526991364</v>
      </c>
    </row>
    <row r="40" spans="1:72" x14ac:dyDescent="0.25">
      <c r="A40" s="53"/>
      <c r="B40" s="6">
        <f t="shared" ref="B40:B41" si="177">D40-D39</f>
        <v>1</v>
      </c>
      <c r="C40" s="22">
        <f t="shared" ref="C40:C41" si="178">C39+B40</f>
        <v>50</v>
      </c>
      <c r="D40" s="13">
        <v>44790</v>
      </c>
      <c r="E40" s="3">
        <v>0.5</v>
      </c>
      <c r="F40" s="1"/>
      <c r="G40" s="1">
        <v>64.239999999999995</v>
      </c>
      <c r="H40" s="1">
        <v>3.27</v>
      </c>
      <c r="I40" s="1">
        <v>31.41</v>
      </c>
      <c r="J40" s="1">
        <v>1.08</v>
      </c>
      <c r="X40" s="6"/>
      <c r="Y40" s="1">
        <f t="shared" si="0"/>
        <v>50</v>
      </c>
      <c r="AH40" s="4"/>
      <c r="AI40" s="4"/>
      <c r="AJ40" s="4"/>
      <c r="AK40" s="4"/>
      <c r="AL40" s="4"/>
      <c r="AM40" s="4"/>
      <c r="AN40" s="1"/>
      <c r="AO40" s="1"/>
      <c r="AS40" s="4"/>
      <c r="AT40" s="4"/>
      <c r="AU40" s="4"/>
      <c r="AV40" s="4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72" x14ac:dyDescent="0.25">
      <c r="A41" s="53"/>
      <c r="B41" s="6">
        <f t="shared" si="177"/>
        <v>1</v>
      </c>
      <c r="C41" s="46">
        <f t="shared" si="178"/>
        <v>51</v>
      </c>
      <c r="D41" s="13">
        <v>44791</v>
      </c>
      <c r="E41" s="3">
        <v>0.5</v>
      </c>
      <c r="F41" s="1">
        <v>16.25</v>
      </c>
      <c r="G41" s="1">
        <v>53.93</v>
      </c>
      <c r="H41" s="1">
        <v>0</v>
      </c>
      <c r="I41" s="1">
        <v>28.84</v>
      </c>
      <c r="J41" s="1">
        <v>1.39</v>
      </c>
      <c r="K41">
        <v>5.4470000000000001</v>
      </c>
      <c r="L41">
        <v>1.9690000000000001</v>
      </c>
      <c r="M41">
        <v>4.2000000000000003E-2</v>
      </c>
      <c r="N41">
        <v>1.22</v>
      </c>
      <c r="O41">
        <v>2.5999999999999999E-2</v>
      </c>
      <c r="P41">
        <v>0.22</v>
      </c>
      <c r="Q41">
        <v>1.7000000000000001E-2</v>
      </c>
      <c r="R41">
        <v>0.246</v>
      </c>
      <c r="S41">
        <v>0.43817142857142855</v>
      </c>
      <c r="T41">
        <v>5.5216285714285709</v>
      </c>
      <c r="U41">
        <v>1.7843142857142855</v>
      </c>
      <c r="V41">
        <v>1.5210000000000001</v>
      </c>
      <c r="W41" s="6">
        <f t="shared" si="169"/>
        <v>18.452114285714284</v>
      </c>
      <c r="X41" s="6">
        <f t="shared" si="19"/>
        <v>9.1870000000000012</v>
      </c>
      <c r="Y41" s="1">
        <f t="shared" si="0"/>
        <v>51</v>
      </c>
      <c r="Z41">
        <f t="shared" ref="Z41" si="179">K41*$E$2</f>
        <v>5.8119489999999994</v>
      </c>
      <c r="AA41">
        <f t="shared" ref="AA41" si="180">L41*$G$2</f>
        <v>2.9731900000000002</v>
      </c>
      <c r="AB41">
        <f t="shared" ref="AB41" si="181">M41*$H$2</f>
        <v>7.6356000000000007E-2</v>
      </c>
      <c r="AC41">
        <f t="shared" ref="AC41" si="182">N41*$J$2</f>
        <v>2.2179600000000002</v>
      </c>
      <c r="AD41">
        <f t="shared" ref="AD41" si="183">O41*$K$2</f>
        <v>5.2847599999999995E-2</v>
      </c>
      <c r="AE41">
        <f t="shared" ref="AE41" si="184">P41*$K$2</f>
        <v>0.44717200000000001</v>
      </c>
      <c r="AF41">
        <f t="shared" ref="AF41" si="185">Q41*$N$2</f>
        <v>3.7400000000000003E-2</v>
      </c>
      <c r="AG41">
        <f t="shared" ref="AG41" si="186">R41*$N$2</f>
        <v>0.54120000000000001</v>
      </c>
      <c r="AH41" s="4">
        <f t="shared" si="149"/>
        <v>0.46752891428571425</v>
      </c>
      <c r="AI41" s="4">
        <f t="shared" si="150"/>
        <v>5.2345038857142852</v>
      </c>
      <c r="AJ41" s="4">
        <f t="shared" si="151"/>
        <v>2.4801968571428565</v>
      </c>
      <c r="AK41" s="4">
        <f t="shared" si="152"/>
        <v>3.1700682000000002</v>
      </c>
      <c r="AL41" s="4">
        <f t="shared" si="167"/>
        <v>23.510372457142854</v>
      </c>
      <c r="AM41" s="4">
        <f>(AL41/($AG$3))*100</f>
        <v>40.816618849206343</v>
      </c>
      <c r="AN41" s="1">
        <f>925*50/1000</f>
        <v>46.25</v>
      </c>
      <c r="AO41" s="1">
        <f>574*40/1000</f>
        <v>22.96</v>
      </c>
      <c r="AP41" s="4">
        <f t="shared" ref="AP41" si="187">AL41/AO41*100</f>
        <v>102.3970925833748</v>
      </c>
      <c r="AQ41" s="4">
        <f t="shared" ref="AQ41" si="188">AO41/AN41</f>
        <v>0.49643243243243246</v>
      </c>
      <c r="AR41" s="4">
        <f>($AG$3-AN41)/$AG$3*100</f>
        <v>19.704861111111114</v>
      </c>
      <c r="AS41" s="4">
        <f>((W41)/$AC$2)</f>
        <v>0.41004698412698409</v>
      </c>
      <c r="AT41" s="4">
        <f>((X41)/$AC$2)</f>
        <v>0.20415555555555559</v>
      </c>
      <c r="AU41" s="4">
        <f t="shared" si="55"/>
        <v>0.19803088888888892</v>
      </c>
      <c r="AV41" s="4">
        <f>AL41/0.75</f>
        <v>31.347163276190471</v>
      </c>
      <c r="AW41" s="11">
        <f t="shared" si="154"/>
        <v>24.720786583005534</v>
      </c>
      <c r="AX41" s="11">
        <f t="shared" si="134"/>
        <v>12.646290506115287</v>
      </c>
      <c r="AY41" s="11">
        <f t="shared" si="135"/>
        <v>0.32477579901887832</v>
      </c>
      <c r="AZ41" s="11">
        <f t="shared" si="136"/>
        <v>9.4339636857864662</v>
      </c>
      <c r="BA41" s="11">
        <f t="shared" si="137"/>
        <v>0.22478418875045933</v>
      </c>
      <c r="BB41" s="11">
        <f t="shared" si="138"/>
        <v>1.9020200586577329</v>
      </c>
      <c r="BC41" s="11">
        <f t="shared" si="139"/>
        <v>0.15907872182023744</v>
      </c>
      <c r="BD41" s="11">
        <f t="shared" si="140"/>
        <v>2.3019626804575535</v>
      </c>
      <c r="BE41" s="11">
        <f t="shared" si="141"/>
        <v>1.9886070079832827</v>
      </c>
      <c r="BF41" s="11">
        <f t="shared" si="142"/>
        <v>22.264657419852799</v>
      </c>
      <c r="BG41" s="11">
        <f t="shared" si="143"/>
        <v>10.549372884942663</v>
      </c>
      <c r="BH41" s="11">
        <f t="shared" si="144"/>
        <v>13.483700463609113</v>
      </c>
    </row>
    <row r="42" spans="1:72" x14ac:dyDescent="0.25">
      <c r="W42" s="6"/>
      <c r="X42" s="6"/>
    </row>
    <row r="43" spans="1:72" ht="15.75" thickBot="1" x14ac:dyDescent="0.3">
      <c r="AJ43" s="24"/>
    </row>
    <row r="44" spans="1:72" ht="15.75" thickBot="1" x14ac:dyDescent="0.3">
      <c r="A44" s="51" t="s">
        <v>96</v>
      </c>
      <c r="B44" s="52"/>
    </row>
    <row r="46" spans="1:72" ht="15.75" thickBot="1" x14ac:dyDescent="0.3">
      <c r="A46" s="54" t="s">
        <v>95</v>
      </c>
      <c r="F46" t="s">
        <v>25</v>
      </c>
      <c r="K46" t="s">
        <v>8</v>
      </c>
      <c r="Z46" t="s">
        <v>26</v>
      </c>
      <c r="AW46" t="s">
        <v>29</v>
      </c>
    </row>
    <row r="47" spans="1:72" ht="15.75" thickBot="1" x14ac:dyDescent="0.3">
      <c r="A47" s="54"/>
      <c r="F47" s="27" t="s">
        <v>64</v>
      </c>
      <c r="G47" s="28" t="s">
        <v>22</v>
      </c>
      <c r="H47" s="28" t="s">
        <v>65</v>
      </c>
      <c r="I47" s="28" t="s">
        <v>66</v>
      </c>
      <c r="J47" s="28" t="s">
        <v>67</v>
      </c>
      <c r="K47" s="27" t="s">
        <v>9</v>
      </c>
      <c r="L47" s="28" t="s">
        <v>10</v>
      </c>
      <c r="M47" s="28" t="s">
        <v>11</v>
      </c>
      <c r="N47" s="28" t="s">
        <v>12</v>
      </c>
      <c r="O47" s="28" t="s">
        <v>13</v>
      </c>
      <c r="P47" s="28" t="s">
        <v>34</v>
      </c>
      <c r="Q47" s="28" t="s">
        <v>47</v>
      </c>
      <c r="R47" s="28" t="s">
        <v>35</v>
      </c>
      <c r="S47" s="28" t="s">
        <v>43</v>
      </c>
      <c r="T47" s="28" t="s">
        <v>42</v>
      </c>
      <c r="U47" s="28" t="s">
        <v>44</v>
      </c>
      <c r="V47" s="28" t="s">
        <v>46</v>
      </c>
      <c r="W47" s="29" t="s">
        <v>28</v>
      </c>
      <c r="Y47" t="s">
        <v>2</v>
      </c>
      <c r="Z47" s="27" t="s">
        <v>24</v>
      </c>
      <c r="AA47" s="28" t="s">
        <v>10</v>
      </c>
      <c r="AB47" s="28" t="s">
        <v>11</v>
      </c>
      <c r="AC47" s="28" t="s">
        <v>12</v>
      </c>
      <c r="AD47" s="28" t="s">
        <v>13</v>
      </c>
      <c r="AE47" s="28" t="s">
        <v>34</v>
      </c>
      <c r="AF47" s="28" t="s">
        <v>47</v>
      </c>
      <c r="AG47" s="28" t="s">
        <v>35</v>
      </c>
      <c r="AH47" s="28" t="s">
        <v>43</v>
      </c>
      <c r="AI47" s="28" t="s">
        <v>42</v>
      </c>
      <c r="AJ47" s="28" t="s">
        <v>44</v>
      </c>
      <c r="AK47" s="29" t="s">
        <v>46</v>
      </c>
      <c r="AL47" s="27" t="s">
        <v>27</v>
      </c>
      <c r="AM47" s="28" t="s">
        <v>31</v>
      </c>
      <c r="AN47" s="28" t="s">
        <v>50</v>
      </c>
      <c r="AO47" s="28" t="s">
        <v>49</v>
      </c>
      <c r="AP47" s="28" t="s">
        <v>48</v>
      </c>
      <c r="AQ47" s="28" t="s">
        <v>51</v>
      </c>
      <c r="AR47" s="29" t="s">
        <v>59</v>
      </c>
      <c r="AS47" s="48" t="s">
        <v>83</v>
      </c>
      <c r="AT47" s="50" t="s">
        <v>88</v>
      </c>
      <c r="AU47" s="50" t="s">
        <v>91</v>
      </c>
      <c r="AV47" s="50" t="s">
        <v>84</v>
      </c>
      <c r="AW47" s="27" t="s">
        <v>24</v>
      </c>
      <c r="AX47" s="28" t="s">
        <v>10</v>
      </c>
      <c r="AY47" s="28" t="s">
        <v>11</v>
      </c>
      <c r="AZ47" s="28" t="s">
        <v>12</v>
      </c>
      <c r="BA47" s="28" t="s">
        <v>13</v>
      </c>
      <c r="BB47" s="28" t="s">
        <v>34</v>
      </c>
      <c r="BC47" s="28" t="s">
        <v>47</v>
      </c>
      <c r="BD47" s="28" t="s">
        <v>35</v>
      </c>
      <c r="BE47" s="28" t="s">
        <v>43</v>
      </c>
      <c r="BF47" s="28" t="s">
        <v>42</v>
      </c>
      <c r="BG47" s="28" t="s">
        <v>44</v>
      </c>
      <c r="BH47" s="29" t="s">
        <v>46</v>
      </c>
    </row>
    <row r="48" spans="1:72" ht="14.45" customHeight="1" x14ac:dyDescent="0.25">
      <c r="A48" s="54"/>
      <c r="E48" s="25" t="s">
        <v>57</v>
      </c>
      <c r="F48" s="30">
        <f>AVERAGEA(F15:F19)</f>
        <v>28.548000000000002</v>
      </c>
      <c r="G48" s="30">
        <f>AVERAGEA(G16:G19)</f>
        <v>43.200625000000002</v>
      </c>
      <c r="H48" s="30">
        <f t="shared" ref="H48:AR48" si="189">AVERAGEA(H15:H19)</f>
        <v>3.6187499999999999</v>
      </c>
      <c r="I48" s="30">
        <f t="shared" si="189"/>
        <v>21.8355</v>
      </c>
      <c r="J48" s="30">
        <f t="shared" si="189"/>
        <v>3.7000000000000005E-2</v>
      </c>
      <c r="K48" s="30">
        <f t="shared" si="189"/>
        <v>4.9012000000000002</v>
      </c>
      <c r="L48" s="30">
        <f t="shared" si="189"/>
        <v>1.7329999999999999</v>
      </c>
      <c r="M48" s="30">
        <f t="shared" si="189"/>
        <v>7.9200000000000007E-2</v>
      </c>
      <c r="N48" s="30">
        <f t="shared" si="189"/>
        <v>2.4471999999999996</v>
      </c>
      <c r="O48" s="30">
        <f t="shared" si="189"/>
        <v>7.8600000000000003E-2</v>
      </c>
      <c r="P48" s="30">
        <f t="shared" si="189"/>
        <v>0.24640000000000001</v>
      </c>
      <c r="Q48" s="30">
        <f t="shared" si="189"/>
        <v>1.7800000000000003E-2</v>
      </c>
      <c r="R48" s="30">
        <f t="shared" si="189"/>
        <v>0.2412</v>
      </c>
      <c r="S48" s="30">
        <f t="shared" si="189"/>
        <v>0.41783999999999999</v>
      </c>
      <c r="T48" s="30">
        <f t="shared" si="189"/>
        <v>1.802005714285714</v>
      </c>
      <c r="U48" s="30">
        <f t="shared" si="189"/>
        <v>0.8320628571428571</v>
      </c>
      <c r="V48" s="30">
        <f t="shared" si="189"/>
        <v>0.24567428571428573</v>
      </c>
      <c r="W48" s="30">
        <f t="shared" si="189"/>
        <v>13.042182857142857</v>
      </c>
      <c r="X48" s="30"/>
      <c r="Y48" s="30">
        <f t="shared" si="189"/>
        <v>14.4</v>
      </c>
      <c r="Z48" s="30">
        <f t="shared" si="189"/>
        <v>5.2295804000000006</v>
      </c>
      <c r="AA48" s="30">
        <f t="shared" si="189"/>
        <v>2.6168299999999998</v>
      </c>
      <c r="AB48" s="30">
        <f t="shared" si="189"/>
        <v>0.14398559999999999</v>
      </c>
      <c r="AC48" s="30">
        <f t="shared" si="189"/>
        <v>4.4490096000000001</v>
      </c>
      <c r="AD48" s="30">
        <f t="shared" si="189"/>
        <v>0.15976235999999999</v>
      </c>
      <c r="AE48" s="30">
        <f t="shared" si="189"/>
        <v>0.50083263999999994</v>
      </c>
      <c r="AF48" s="30">
        <f t="shared" si="189"/>
        <v>3.9160000000000007E-2</v>
      </c>
      <c r="AG48" s="30">
        <f t="shared" si="189"/>
        <v>0.53064</v>
      </c>
      <c r="AH48" s="30">
        <f t="shared" si="189"/>
        <v>0.76844120571428565</v>
      </c>
      <c r="AI48" s="30">
        <f t="shared" si="189"/>
        <v>1.4467834285714285</v>
      </c>
      <c r="AJ48" s="30">
        <f t="shared" si="189"/>
        <v>1.1565673714285716</v>
      </c>
      <c r="AK48" s="30">
        <f t="shared" si="189"/>
        <v>0.51203434628571443</v>
      </c>
      <c r="AL48" s="47">
        <f t="shared" si="189"/>
        <v>17.553626952000002</v>
      </c>
      <c r="AM48" s="30">
        <f t="shared" si="189"/>
        <v>45.712570187499999</v>
      </c>
      <c r="AN48" s="30">
        <f t="shared" si="189"/>
        <v>28.630000000000003</v>
      </c>
      <c r="AO48" s="30">
        <f t="shared" si="189"/>
        <v>17.310000000000002</v>
      </c>
      <c r="AP48" s="30">
        <f t="shared" si="189"/>
        <v>104.30567072557881</v>
      </c>
      <c r="AQ48" s="30">
        <f t="shared" si="189"/>
        <v>0.60568946392799494</v>
      </c>
      <c r="AR48" s="30">
        <f t="shared" si="189"/>
        <v>25.442708333333329</v>
      </c>
      <c r="AS48" s="30">
        <f t="shared" ref="AS48:AV48" si="190">AVERAGEA(AS15:AS19)</f>
        <v>0.43473942857142855</v>
      </c>
      <c r="AT48" s="30">
        <f t="shared" ref="AT48:AU48" si="191">AVERAGEA(AT15:AT19)</f>
        <v>0.32482</v>
      </c>
      <c r="AU48" s="30">
        <f t="shared" si="191"/>
        <v>0.31507540000000001</v>
      </c>
      <c r="AV48" s="47">
        <f t="shared" si="190"/>
        <v>17.553626952000002</v>
      </c>
      <c r="AW48" s="30">
        <f>AVERAGEA(AW15:AW19)</f>
        <v>29.729239631760485</v>
      </c>
      <c r="AX48" s="30">
        <f>AVERAGEA(AX15:AX19)</f>
        <v>14.771800110606886</v>
      </c>
      <c r="AY48" s="30">
        <f t="shared" ref="AY48:BH48" si="192">AVERAGEA(AY15:AY19)</f>
        <v>0.81697135319324321</v>
      </c>
      <c r="AZ48" s="30">
        <f t="shared" si="192"/>
        <v>25.4801559621772</v>
      </c>
      <c r="BA48" s="30">
        <f t="shared" si="192"/>
        <v>0.91008856355844503</v>
      </c>
      <c r="BB48" s="30">
        <f t="shared" si="192"/>
        <v>2.8997696149694367</v>
      </c>
      <c r="BC48" s="30">
        <f t="shared" si="192"/>
        <v>0.21604335764053531</v>
      </c>
      <c r="BD48" s="30">
        <f t="shared" si="192"/>
        <v>3.1234740504896648</v>
      </c>
      <c r="BE48" s="30">
        <f t="shared" si="192"/>
        <v>4.377061328198411</v>
      </c>
      <c r="BF48" s="30">
        <f t="shared" si="192"/>
        <v>8.2636310173988861</v>
      </c>
      <c r="BG48" s="30">
        <f t="shared" si="192"/>
        <v>6.5898549688880594</v>
      </c>
      <c r="BH48" s="30">
        <f t="shared" si="192"/>
        <v>2.8219100411187448</v>
      </c>
    </row>
    <row r="49" spans="1:61" s="40" customFormat="1" x14ac:dyDescent="0.25">
      <c r="A49" s="54"/>
      <c r="F49" s="41">
        <f>STDEVA(F15:F19)</f>
        <v>4.3098341035357697</v>
      </c>
      <c r="G49" s="41">
        <f>STDEVA(G16:G19)</f>
        <v>5.9454584821104879</v>
      </c>
      <c r="H49" s="41">
        <f t="shared" ref="H49:BH49" si="193">STDEVA(H15:H19)</f>
        <v>2.29381187473312</v>
      </c>
      <c r="I49" s="41">
        <f t="shared" si="193"/>
        <v>9.7177110216346687</v>
      </c>
      <c r="J49" s="41">
        <f t="shared" si="193"/>
        <v>1.5652475842498514E-2</v>
      </c>
      <c r="K49" s="41">
        <f t="shared" si="193"/>
        <v>0.65656317289351696</v>
      </c>
      <c r="L49" s="41">
        <f t="shared" si="193"/>
        <v>0.44829510369844711</v>
      </c>
      <c r="M49" s="41">
        <f t="shared" si="193"/>
        <v>1.4567086187704147E-2</v>
      </c>
      <c r="N49" s="41">
        <f t="shared" si="193"/>
        <v>0.45445868899164021</v>
      </c>
      <c r="O49" s="41">
        <f t="shared" si="193"/>
        <v>9.8132563402776162E-3</v>
      </c>
      <c r="P49" s="41">
        <f t="shared" si="193"/>
        <v>9.3457476961450153E-2</v>
      </c>
      <c r="Q49" s="41">
        <f t="shared" si="193"/>
        <v>1.7569860557215586E-2</v>
      </c>
      <c r="R49" s="41">
        <f t="shared" si="193"/>
        <v>0.16152925431636223</v>
      </c>
      <c r="S49" s="41">
        <f t="shared" si="193"/>
        <v>0.394043624747415</v>
      </c>
      <c r="T49" s="41">
        <f t="shared" si="193"/>
        <v>0.38666199572595344</v>
      </c>
      <c r="U49" s="41">
        <f t="shared" si="193"/>
        <v>0.18003741039810936</v>
      </c>
      <c r="V49" s="41">
        <f t="shared" si="193"/>
        <v>0.54934440318084843</v>
      </c>
      <c r="W49" s="41">
        <f t="shared" si="193"/>
        <v>0.88510231176159226</v>
      </c>
      <c r="X49" s="41"/>
      <c r="Y49" s="41">
        <f t="shared" si="193"/>
        <v>3.6469165057620954</v>
      </c>
      <c r="Z49" s="41">
        <f t="shared" si="193"/>
        <v>0.70055290547737659</v>
      </c>
      <c r="AA49" s="41">
        <f t="shared" si="193"/>
        <v>0.67692560658465195</v>
      </c>
      <c r="AB49" s="41">
        <f t="shared" si="193"/>
        <v>2.6482962689245999E-2</v>
      </c>
      <c r="AC49" s="41">
        <f t="shared" si="193"/>
        <v>0.82620589658680077</v>
      </c>
      <c r="AD49" s="41">
        <f t="shared" si="193"/>
        <v>1.99464248372484E-2</v>
      </c>
      <c r="AE49" s="41">
        <f t="shared" si="193"/>
        <v>0.18996166767184389</v>
      </c>
      <c r="AF49" s="41">
        <f t="shared" si="193"/>
        <v>3.8653693225874294E-2</v>
      </c>
      <c r="AG49" s="41">
        <f t="shared" si="193"/>
        <v>0.35536435949599687</v>
      </c>
      <c r="AH49" s="41">
        <f t="shared" si="193"/>
        <v>0.83891968454647725</v>
      </c>
      <c r="AI49" s="41">
        <f t="shared" si="193"/>
        <v>0.61607454703602726</v>
      </c>
      <c r="AJ49" s="41">
        <f t="shared" si="193"/>
        <v>0.25025200045337093</v>
      </c>
      <c r="AK49" s="41">
        <f t="shared" si="193"/>
        <v>1.1449436051095243</v>
      </c>
      <c r="AL49" s="41">
        <f t="shared" si="193"/>
        <v>1.1083217403886783</v>
      </c>
      <c r="AM49" s="41">
        <f t="shared" si="193"/>
        <v>2.8862545322621842</v>
      </c>
      <c r="AN49" s="41">
        <f t="shared" si="193"/>
        <v>1.8651541491254826</v>
      </c>
      <c r="AO49" s="41">
        <f t="shared" si="193"/>
        <v>0.62150355322127127</v>
      </c>
      <c r="AP49" s="41">
        <f t="shared" si="193"/>
        <v>4.0197547961831557</v>
      </c>
      <c r="AQ49" s="32">
        <f t="shared" si="193"/>
        <v>2.5748112682115309E-2</v>
      </c>
      <c r="AR49" s="41">
        <f t="shared" si="193"/>
        <v>4.8571722633476089</v>
      </c>
      <c r="AS49" s="32">
        <f t="shared" ref="AS49:AV49" si="194">STDEVA(AS15:AS19)</f>
        <v>2.9503410392053075E-2</v>
      </c>
      <c r="AT49" s="32">
        <f t="shared" ref="AT49:AU49" si="195">STDEVA(AT15:AT19)</f>
        <v>3.7617752901168061E-2</v>
      </c>
      <c r="AU49" s="32">
        <f t="shared" si="195"/>
        <v>3.6489220314132854E-2</v>
      </c>
      <c r="AV49" s="41">
        <f t="shared" si="194"/>
        <v>1.1083217403886783</v>
      </c>
      <c r="AW49" s="41">
        <f t="shared" si="193"/>
        <v>2.8426724055883588</v>
      </c>
      <c r="AX49" s="41">
        <f t="shared" si="193"/>
        <v>3.2259382230317866</v>
      </c>
      <c r="AY49" s="41">
        <f t="shared" si="193"/>
        <v>0.11851900496102925</v>
      </c>
      <c r="AZ49" s="41">
        <f t="shared" si="193"/>
        <v>5.2245335042606937</v>
      </c>
      <c r="BA49" s="41">
        <f t="shared" si="193"/>
        <v>9.5056810808323691E-2</v>
      </c>
      <c r="BB49" s="41">
        <f t="shared" si="193"/>
        <v>1.2318384616382927</v>
      </c>
      <c r="BC49" s="41">
        <f t="shared" si="193"/>
        <v>0.21373819380594192</v>
      </c>
      <c r="BD49" s="41">
        <f t="shared" si="193"/>
        <v>2.2921030507116678</v>
      </c>
      <c r="BE49" s="41">
        <f t="shared" si="193"/>
        <v>4.6253453317294682</v>
      </c>
      <c r="BF49" s="41">
        <f t="shared" si="193"/>
        <v>3.4099958856776853</v>
      </c>
      <c r="BG49" s="41">
        <f t="shared" si="193"/>
        <v>1.3415540217436719</v>
      </c>
      <c r="BH49" s="41">
        <f t="shared" si="193"/>
        <v>6.3099826783307398</v>
      </c>
    </row>
    <row r="50" spans="1:61" x14ac:dyDescent="0.25">
      <c r="A50" s="54"/>
      <c r="E50" s="25" t="s">
        <v>62</v>
      </c>
      <c r="F50" s="30">
        <f>AVERAGEA(F26:F33)</f>
        <v>27.474285714285717</v>
      </c>
      <c r="G50" s="30">
        <f t="shared" ref="G50:AR50" si="196">AVERAGEA(G26:G33)</f>
        <v>58.414285714285711</v>
      </c>
      <c r="H50" s="30">
        <f t="shared" si="196"/>
        <v>3.0183333333333331</v>
      </c>
      <c r="I50" s="30">
        <f t="shared" si="196"/>
        <v>10.349999999999998</v>
      </c>
      <c r="J50" s="30">
        <f t="shared" si="196"/>
        <v>1.577142857142857</v>
      </c>
      <c r="K50" s="30">
        <f t="shared" si="196"/>
        <v>6.9038749999999993</v>
      </c>
      <c r="L50" s="30">
        <f t="shared" si="196"/>
        <v>2.1182499999999997</v>
      </c>
      <c r="M50" s="30">
        <f t="shared" si="196"/>
        <v>9.8625000000000004E-2</v>
      </c>
      <c r="N50" s="30">
        <f t="shared" si="196"/>
        <v>1.8038750000000001</v>
      </c>
      <c r="O50" s="30">
        <f t="shared" si="196"/>
        <v>5.6375000000000001E-2</v>
      </c>
      <c r="P50" s="30">
        <f t="shared" si="196"/>
        <v>0.40805000000000002</v>
      </c>
      <c r="Q50" s="30">
        <f t="shared" si="196"/>
        <v>4.2500000000000003E-3</v>
      </c>
      <c r="R50" s="30">
        <f t="shared" si="196"/>
        <v>0.42937500000000006</v>
      </c>
      <c r="S50" s="30">
        <f t="shared" si="196"/>
        <v>1.5746464285714288</v>
      </c>
      <c r="T50" s="30">
        <f t="shared" si="196"/>
        <v>2.7336857142857149</v>
      </c>
      <c r="U50" s="30">
        <f t="shared" si="196"/>
        <v>1.2070607142857144</v>
      </c>
      <c r="V50" s="30">
        <f t="shared" si="196"/>
        <v>0.99684642857142858</v>
      </c>
      <c r="W50" s="30">
        <f t="shared" si="196"/>
        <v>18.334914285714284</v>
      </c>
      <c r="X50" s="30"/>
      <c r="Y50" s="30">
        <f t="shared" si="196"/>
        <v>33.75</v>
      </c>
      <c r="Z50" s="30">
        <f t="shared" si="196"/>
        <v>7.3664346249999992</v>
      </c>
      <c r="AA50" s="30">
        <f t="shared" si="196"/>
        <v>3.1985574999999997</v>
      </c>
      <c r="AB50" s="30">
        <f t="shared" si="196"/>
        <v>0.17930024999999999</v>
      </c>
      <c r="AC50" s="30">
        <f t="shared" si="196"/>
        <v>3.2794447500000006</v>
      </c>
      <c r="AD50" s="30">
        <f t="shared" si="196"/>
        <v>0.114587825</v>
      </c>
      <c r="AE50" s="30">
        <f t="shared" si="196"/>
        <v>0.82940243000000002</v>
      </c>
      <c r="AF50" s="30">
        <f t="shared" si="196"/>
        <v>9.3500000000000007E-3</v>
      </c>
      <c r="AG50" s="30">
        <f t="shared" si="196"/>
        <v>0.94462500000000005</v>
      </c>
      <c r="AH50" s="30">
        <f t="shared" si="196"/>
        <v>1.6801477392857145</v>
      </c>
      <c r="AI50" s="30">
        <f t="shared" si="196"/>
        <v>2.5915340571428573</v>
      </c>
      <c r="AJ50" s="30">
        <f t="shared" si="196"/>
        <v>1.6778143928571427</v>
      </c>
      <c r="AK50" s="30">
        <f t="shared" si="196"/>
        <v>2.0776273264285714</v>
      </c>
      <c r="AL50" s="47">
        <f>AVERAGEA(AL26:AL33)</f>
        <v>23.948825895714286</v>
      </c>
      <c r="AM50" s="30">
        <f t="shared" si="196"/>
        <v>41.577822735615072</v>
      </c>
      <c r="AN50" s="30">
        <f t="shared" si="196"/>
        <v>53.8</v>
      </c>
      <c r="AO50" s="30">
        <f t="shared" si="196"/>
        <v>27.175999999999998</v>
      </c>
      <c r="AP50" s="30">
        <f t="shared" si="196"/>
        <v>88.594614371918723</v>
      </c>
      <c r="AQ50" s="30">
        <f t="shared" si="196"/>
        <v>0.50665841342711215</v>
      </c>
      <c r="AR50" s="30">
        <f t="shared" si="196"/>
        <v>6.5972222222222241</v>
      </c>
      <c r="AS50" s="30">
        <f>AVERAGEA(AS26:AS33)</f>
        <v>0.40744253968253968</v>
      </c>
      <c r="AT50" s="30">
        <f>AVERAGEA(AT26:AT33)</f>
        <v>0.2627261111111111</v>
      </c>
      <c r="AU50" s="30">
        <f>AVERAGEA(AU26:AU33)</f>
        <v>0.25484432777777777</v>
      </c>
      <c r="AV50" s="47">
        <f>AVERAGEA(AV26:AV33)</f>
        <v>23.948825895714286</v>
      </c>
      <c r="AW50" s="30">
        <f>AVERAGEA(AW26:AW33)</f>
        <v>30.708523864861199</v>
      </c>
      <c r="AX50" s="30">
        <f t="shared" ref="AX50:BH50" si="197">AVERAGEA(AX26:AX33)</f>
        <v>13.384434103290893</v>
      </c>
      <c r="AY50" s="30">
        <f t="shared" si="197"/>
        <v>0.74546910260878085</v>
      </c>
      <c r="AZ50" s="30">
        <f t="shared" si="197"/>
        <v>13.690620104381324</v>
      </c>
      <c r="BA50" s="30">
        <f t="shared" si="197"/>
        <v>0.4733852017486222</v>
      </c>
      <c r="BB50" s="30">
        <f t="shared" si="197"/>
        <v>3.4186126782786124</v>
      </c>
      <c r="BC50" s="30">
        <f t="shared" si="197"/>
        <v>3.6656375486793728E-2</v>
      </c>
      <c r="BD50" s="30">
        <f t="shared" si="197"/>
        <v>3.8967981857974117</v>
      </c>
      <c r="BE50" s="30">
        <f t="shared" si="197"/>
        <v>6.9847697833518829</v>
      </c>
      <c r="BF50" s="30">
        <f t="shared" si="197"/>
        <v>10.868027169775557</v>
      </c>
      <c r="BG50" s="30">
        <f t="shared" si="197"/>
        <v>7.0404088331024051</v>
      </c>
      <c r="BH50" s="30">
        <f t="shared" si="197"/>
        <v>8.7522945973165225</v>
      </c>
    </row>
    <row r="51" spans="1:61" s="40" customFormat="1" x14ac:dyDescent="0.25">
      <c r="A51" s="54"/>
      <c r="F51" s="41">
        <f>STDEVA(F26:F33)</f>
        <v>5.6420618487182246</v>
      </c>
      <c r="G51" s="41">
        <f t="shared" ref="G51:BH51" si="198">STDEVA(G26:G33)</f>
        <v>3.4301645108403438</v>
      </c>
      <c r="H51" s="41">
        <f t="shared" si="198"/>
        <v>2.6713548372813865</v>
      </c>
      <c r="I51" s="41">
        <f t="shared" si="198"/>
        <v>5.9750285912844543</v>
      </c>
      <c r="J51" s="41">
        <f t="shared" si="198"/>
        <v>0.63536641097124147</v>
      </c>
      <c r="K51" s="41">
        <f t="shared" si="198"/>
        <v>0.7259479393966799</v>
      </c>
      <c r="L51" s="41">
        <f t="shared" si="198"/>
        <v>0.61675736141301485</v>
      </c>
      <c r="M51" s="41">
        <f t="shared" si="198"/>
        <v>4.9158453712749843E-2</v>
      </c>
      <c r="N51" s="41">
        <f t="shared" si="198"/>
        <v>0.61804332661345662</v>
      </c>
      <c r="O51" s="41">
        <f t="shared" si="198"/>
        <v>4.8005766022724529E-2</v>
      </c>
      <c r="P51" s="41">
        <f t="shared" si="198"/>
        <v>0.29004919287202696</v>
      </c>
      <c r="Q51" s="41">
        <f t="shared" si="198"/>
        <v>1.2020815280171309E-2</v>
      </c>
      <c r="R51" s="41">
        <f t="shared" si="198"/>
        <v>0.32467871481996297</v>
      </c>
      <c r="S51" s="41">
        <f t="shared" si="198"/>
        <v>1.5096795976902566</v>
      </c>
      <c r="T51" s="41">
        <f t="shared" si="198"/>
        <v>0.52286855056139903</v>
      </c>
      <c r="U51" s="41">
        <f t="shared" si="198"/>
        <v>0.48157733895658089</v>
      </c>
      <c r="V51" s="41">
        <f t="shared" si="198"/>
        <v>0.83836156841921883</v>
      </c>
      <c r="W51" s="41">
        <f t="shared" si="198"/>
        <v>1.3848812429745934</v>
      </c>
      <c r="X51" s="41"/>
      <c r="Y51" s="41">
        <f t="shared" si="198"/>
        <v>3.370036032024414</v>
      </c>
      <c r="Z51" s="41">
        <f t="shared" si="198"/>
        <v>0.77458645133625736</v>
      </c>
      <c r="AA51" s="41">
        <f t="shared" si="198"/>
        <v>0.93130361573365128</v>
      </c>
      <c r="AB51" s="41">
        <f t="shared" si="198"/>
        <v>8.9370068849779272E-2</v>
      </c>
      <c r="AC51" s="41">
        <f t="shared" si="198"/>
        <v>1.1236027677832634</v>
      </c>
      <c r="AD51" s="41">
        <f t="shared" si="198"/>
        <v>9.7576520017789811E-2</v>
      </c>
      <c r="AE51" s="41">
        <f t="shared" si="198"/>
        <v>0.58955398943168158</v>
      </c>
      <c r="AF51" s="41">
        <f t="shared" si="198"/>
        <v>2.6445793616376879E-2</v>
      </c>
      <c r="AG51" s="41">
        <f t="shared" si="198"/>
        <v>0.71429317260391867</v>
      </c>
      <c r="AH51" s="41">
        <f t="shared" si="198"/>
        <v>1.6108281307355041</v>
      </c>
      <c r="AI51" s="41">
        <f t="shared" si="198"/>
        <v>0.49567938593220867</v>
      </c>
      <c r="AJ51" s="41">
        <f t="shared" si="198"/>
        <v>0.66939250114964732</v>
      </c>
      <c r="AK51" s="41">
        <f t="shared" si="198"/>
        <v>1.7473131808993356</v>
      </c>
      <c r="AL51" s="41">
        <f t="shared" si="198"/>
        <v>1.6322657395259832</v>
      </c>
      <c r="AM51" s="41">
        <f t="shared" si="198"/>
        <v>2.8337946866770531</v>
      </c>
      <c r="AN51" s="41">
        <f t="shared" si="198"/>
        <v>4.3749114276748493</v>
      </c>
      <c r="AO51" s="41">
        <f t="shared" si="198"/>
        <v>1.595894733370594</v>
      </c>
      <c r="AP51" s="41">
        <f t="shared" si="198"/>
        <v>5.5646739170917643</v>
      </c>
      <c r="AQ51" s="32">
        <f t="shared" si="198"/>
        <v>3.2289034644516629E-2</v>
      </c>
      <c r="AR51" s="41">
        <f t="shared" si="198"/>
        <v>7.5953323397132788</v>
      </c>
      <c r="AS51" s="32">
        <f t="shared" ref="AS51:AV51" si="199">STDEVA(AS26:AS33)</f>
        <v>3.0775138732768742E-2</v>
      </c>
      <c r="AT51" s="32">
        <f t="shared" ref="AT51:AU51" si="200">STDEVA(AT26:AT33)</f>
        <v>3.9210236502230641E-2</v>
      </c>
      <c r="AU51" s="32">
        <f t="shared" si="200"/>
        <v>3.8033929407163568E-2</v>
      </c>
      <c r="AV51" s="41">
        <f t="shared" si="199"/>
        <v>1.6322657395259832</v>
      </c>
      <c r="AW51" s="41">
        <f t="shared" si="198"/>
        <v>1.6377375086470969</v>
      </c>
      <c r="AX51" s="41">
        <f t="shared" si="198"/>
        <v>3.8772295459245263</v>
      </c>
      <c r="AY51" s="41">
        <f t="shared" si="198"/>
        <v>0.34917439164731529</v>
      </c>
      <c r="AZ51" s="41">
        <f t="shared" si="198"/>
        <v>4.5339548116474866</v>
      </c>
      <c r="BA51" s="41">
        <f t="shared" si="198"/>
        <v>0.38151800390067786</v>
      </c>
      <c r="BB51" s="41">
        <f t="shared" si="198"/>
        <v>2.2670729385744957</v>
      </c>
      <c r="BC51" s="41">
        <f t="shared" si="198"/>
        <v>0.10367988672172872</v>
      </c>
      <c r="BD51" s="41">
        <f t="shared" si="198"/>
        <v>2.8108974737206966</v>
      </c>
      <c r="BE51" s="41">
        <f t="shared" si="198"/>
        <v>6.4319371730685235</v>
      </c>
      <c r="BF51" s="41">
        <f t="shared" si="198"/>
        <v>2.1283385680770786</v>
      </c>
      <c r="BG51" s="41">
        <f t="shared" si="198"/>
        <v>2.8235860201720682</v>
      </c>
      <c r="BH51" s="41">
        <f t="shared" si="198"/>
        <v>7.4405954954198847</v>
      </c>
    </row>
    <row r="52" spans="1:61" x14ac:dyDescent="0.25">
      <c r="A52" s="54"/>
      <c r="E52" s="25" t="s">
        <v>63</v>
      </c>
      <c r="F52" s="30">
        <f>AVERAGEA(F36:F41)</f>
        <v>8.35</v>
      </c>
      <c r="G52" s="26">
        <f>AVERAGEA(G36:G37,G40:G41)</f>
        <v>61.180000000000007</v>
      </c>
      <c r="H52" s="26">
        <f t="shared" ref="H52:BG52" si="201">AVERAGEA(H36:H41)</f>
        <v>1.1859999999999999</v>
      </c>
      <c r="I52" s="26">
        <f t="shared" si="201"/>
        <v>25.29</v>
      </c>
      <c r="J52" s="26">
        <f t="shared" si="201"/>
        <v>1.8920000000000001</v>
      </c>
      <c r="K52" s="30">
        <f t="shared" si="201"/>
        <v>6.1707999999999998</v>
      </c>
      <c r="L52" s="26">
        <f t="shared" si="201"/>
        <v>1.6292000000000002</v>
      </c>
      <c r="M52" s="26">
        <f t="shared" si="201"/>
        <v>4.8400000000000006E-2</v>
      </c>
      <c r="N52" s="26">
        <f t="shared" si="201"/>
        <v>1.1112</v>
      </c>
      <c r="O52" s="26">
        <f t="shared" si="201"/>
        <v>2.1999999999999999E-2</v>
      </c>
      <c r="P52" s="26">
        <f t="shared" si="201"/>
        <v>0.19319999999999998</v>
      </c>
      <c r="Q52" s="26">
        <f t="shared" si="201"/>
        <v>1.3800000000000002E-2</v>
      </c>
      <c r="R52" s="26">
        <f t="shared" si="201"/>
        <v>0.20779999999999998</v>
      </c>
      <c r="S52" s="26">
        <f t="shared" si="201"/>
        <v>0.97734857142857146</v>
      </c>
      <c r="T52" s="26">
        <f t="shared" si="201"/>
        <v>5.8899600000000003</v>
      </c>
      <c r="U52" s="26">
        <f t="shared" si="201"/>
        <v>1.5198171428571425</v>
      </c>
      <c r="V52" s="26">
        <f t="shared" si="201"/>
        <v>1.7967085714285709</v>
      </c>
      <c r="W52" s="31">
        <f>AVERAGEA(W36:W41)</f>
        <v>19.580234285714287</v>
      </c>
      <c r="X52" s="26"/>
      <c r="Y52" s="26">
        <f t="shared" si="201"/>
        <v>47</v>
      </c>
      <c r="Z52" s="30">
        <f t="shared" si="201"/>
        <v>6.5842435999999989</v>
      </c>
      <c r="AA52" s="26">
        <f t="shared" si="201"/>
        <v>2.4600920000000004</v>
      </c>
      <c r="AB52" s="26">
        <f t="shared" si="201"/>
        <v>8.7991200000000006E-2</v>
      </c>
      <c r="AC52" s="26">
        <f t="shared" si="201"/>
        <v>2.0201616000000002</v>
      </c>
      <c r="AD52" s="26">
        <f t="shared" si="201"/>
        <v>4.4717199999999999E-2</v>
      </c>
      <c r="AE52" s="26">
        <f t="shared" si="201"/>
        <v>0.39269832000000005</v>
      </c>
      <c r="AF52" s="26">
        <f t="shared" si="201"/>
        <v>3.0360000000000005E-2</v>
      </c>
      <c r="AG52" s="26">
        <f t="shared" si="201"/>
        <v>0.45716000000000001</v>
      </c>
      <c r="AH52" s="26">
        <f t="shared" si="201"/>
        <v>1.0428309257142856</v>
      </c>
      <c r="AI52" s="26">
        <f t="shared" si="201"/>
        <v>5.58368208</v>
      </c>
      <c r="AJ52" s="26">
        <f t="shared" si="201"/>
        <v>2.1125458285714283</v>
      </c>
      <c r="AK52" s="31">
        <f t="shared" si="201"/>
        <v>3.7447000045714276</v>
      </c>
      <c r="AL52" s="47">
        <f t="shared" si="201"/>
        <v>24.561182758857139</v>
      </c>
      <c r="AM52" s="26">
        <f>AVERAGEA(AM36:AM41)</f>
        <v>42.640942289682528</v>
      </c>
      <c r="AN52" s="26">
        <f t="shared" si="201"/>
        <v>44.866666666666667</v>
      </c>
      <c r="AO52" s="26">
        <f t="shared" si="201"/>
        <v>23.52</v>
      </c>
      <c r="AP52" s="26">
        <f t="shared" si="201"/>
        <v>102.85980599559133</v>
      </c>
      <c r="AQ52" s="26">
        <f t="shared" si="201"/>
        <v>0.52469715482272017</v>
      </c>
      <c r="AR52" s="31">
        <f t="shared" si="201"/>
        <v>22.106481481481485</v>
      </c>
      <c r="AS52" s="31">
        <f t="shared" ref="AS52:AV52" si="202">AVERAGEA(AS36:AS41)</f>
        <v>0.43511631746031754</v>
      </c>
      <c r="AT52" s="31">
        <f t="shared" ref="AT52:AU52" si="203">AVERAGEA(AT36:AT41)</f>
        <v>0.20880888888888896</v>
      </c>
      <c r="AU52" s="31">
        <f t="shared" si="203"/>
        <v>0.20254462222222225</v>
      </c>
      <c r="AV52" s="49">
        <f t="shared" si="202"/>
        <v>32.748243678476186</v>
      </c>
      <c r="AW52" s="30">
        <f>AVERAGEA(AW36:AW41)</f>
        <v>26.781091322200346</v>
      </c>
      <c r="AX52" s="26">
        <f t="shared" si="201"/>
        <v>10.106574786520074</v>
      </c>
      <c r="AY52" s="26">
        <f t="shared" si="201"/>
        <v>0.37065305124595166</v>
      </c>
      <c r="AZ52" s="26">
        <f t="shared" si="201"/>
        <v>8.2909493461485564</v>
      </c>
      <c r="BA52" s="26">
        <f t="shared" si="201"/>
        <v>0.18480220440114953</v>
      </c>
      <c r="BB52" s="26">
        <f t="shared" si="201"/>
        <v>1.6168508955365273</v>
      </c>
      <c r="BC52" s="26">
        <f t="shared" si="201"/>
        <v>0.12093958774522633</v>
      </c>
      <c r="BD52" s="26">
        <f t="shared" si="201"/>
        <v>1.8830322783400786</v>
      </c>
      <c r="BE52" s="26">
        <f t="shared" si="201"/>
        <v>4.0402406869122887</v>
      </c>
      <c r="BF52" s="26">
        <f t="shared" si="201"/>
        <v>22.648205951322819</v>
      </c>
      <c r="BG52" s="26">
        <f t="shared" si="201"/>
        <v>8.6386534901881653</v>
      </c>
      <c r="BH52" s="31">
        <f>AVERAGEA(BH36:BH41)</f>
        <v>15.318006399438815</v>
      </c>
    </row>
    <row r="53" spans="1:61" s="40" customFormat="1" ht="15.75" thickBot="1" x14ac:dyDescent="0.3">
      <c r="F53" s="42">
        <f>STDEVA(F36:F41)</f>
        <v>5.321259249463421</v>
      </c>
      <c r="G53" s="43">
        <f>STDEVA(G36:G37,G40:G41)</f>
        <v>5.9745181116694832</v>
      </c>
      <c r="H53" s="43">
        <f t="shared" ref="H53:BH53" si="204">STDEVA(H36:H41)</f>
        <v>1.6382551693799108</v>
      </c>
      <c r="I53" s="43">
        <f t="shared" si="204"/>
        <v>7.5028294662747008</v>
      </c>
      <c r="J53" s="43">
        <f t="shared" si="204"/>
        <v>0.65549218149417987</v>
      </c>
      <c r="K53" s="41">
        <f t="shared" si="204"/>
        <v>0.82380653068545384</v>
      </c>
      <c r="L53" s="11">
        <f t="shared" si="204"/>
        <v>0.31729355492981498</v>
      </c>
      <c r="M53" s="11">
        <f t="shared" si="204"/>
        <v>2.307162759754932E-2</v>
      </c>
      <c r="N53" s="11">
        <f t="shared" si="204"/>
        <v>0.10425785342121716</v>
      </c>
      <c r="O53" s="11">
        <f t="shared" si="204"/>
        <v>4.0620192023179793E-3</v>
      </c>
      <c r="P53" s="11">
        <f t="shared" si="204"/>
        <v>2.489377432210714E-2</v>
      </c>
      <c r="Q53" s="11">
        <f t="shared" si="204"/>
        <v>7.7265775088327425E-3</v>
      </c>
      <c r="R53" s="11">
        <f t="shared" si="204"/>
        <v>3.4988569562073017E-2</v>
      </c>
      <c r="S53" s="11">
        <f t="shared" si="204"/>
        <v>0.86037180297063343</v>
      </c>
      <c r="T53" s="11">
        <f t="shared" si="204"/>
        <v>1.0381222531521974</v>
      </c>
      <c r="U53" s="11">
        <f t="shared" si="204"/>
        <v>0.29875383464365213</v>
      </c>
      <c r="V53" s="11">
        <f t="shared" si="204"/>
        <v>0.2634527021795639</v>
      </c>
      <c r="W53" s="44">
        <f t="shared" si="204"/>
        <v>2.3686656336082468</v>
      </c>
      <c r="X53" s="11"/>
      <c r="Y53" s="11">
        <f t="shared" si="204"/>
        <v>3.40587727318528</v>
      </c>
      <c r="Z53" s="42">
        <f t="shared" si="204"/>
        <v>0.87900156824138165</v>
      </c>
      <c r="AA53" s="43">
        <f t="shared" si="204"/>
        <v>0.47911326794402015</v>
      </c>
      <c r="AB53" s="43">
        <f t="shared" si="204"/>
        <v>4.1944218972344662E-2</v>
      </c>
      <c r="AC53" s="43">
        <f t="shared" si="204"/>
        <v>0.18954077751977283</v>
      </c>
      <c r="AD53" s="43">
        <f t="shared" si="204"/>
        <v>8.2564602306315332E-3</v>
      </c>
      <c r="AE53" s="43">
        <f t="shared" si="204"/>
        <v>5.0599085687114742E-2</v>
      </c>
      <c r="AF53" s="43">
        <f t="shared" si="204"/>
        <v>1.699847051943203E-2</v>
      </c>
      <c r="AG53" s="43">
        <f t="shared" si="204"/>
        <v>7.6974853036559585E-2</v>
      </c>
      <c r="AH53" s="43">
        <f t="shared" si="204"/>
        <v>0.91801671376966587</v>
      </c>
      <c r="AI53" s="43">
        <f t="shared" si="204"/>
        <v>0.98413989598827867</v>
      </c>
      <c r="AJ53" s="43">
        <f t="shared" si="204"/>
        <v>0.41526783015467589</v>
      </c>
      <c r="AK53" s="45">
        <f t="shared" si="204"/>
        <v>0.54908812188264555</v>
      </c>
      <c r="AL53" s="42">
        <f t="shared" si="204"/>
        <v>2.3631522559986693</v>
      </c>
      <c r="AM53" s="43">
        <f t="shared" si="204"/>
        <v>4.10269488888658</v>
      </c>
      <c r="AN53" s="43">
        <f t="shared" si="204"/>
        <v>1.2045054310103118</v>
      </c>
      <c r="AO53" s="43">
        <f t="shared" si="204"/>
        <v>1.0399999999999996</v>
      </c>
      <c r="AP53" s="43">
        <f t="shared" si="204"/>
        <v>0.61272053268455462</v>
      </c>
      <c r="AQ53" s="35">
        <f t="shared" si="204"/>
        <v>3.3147192092990517E-2</v>
      </c>
      <c r="AR53" s="45">
        <f t="shared" si="204"/>
        <v>2.0911552621706804</v>
      </c>
      <c r="AS53" s="36">
        <f t="shared" ref="AS53:AV53" si="205">STDEVA(AS36:AS41)</f>
        <v>5.2637014080182613E-2</v>
      </c>
      <c r="AT53" s="36">
        <f t="shared" ref="AT53:AU53" si="206">STDEVA(AT36:AT41)</f>
        <v>1.2908917388694851E-2</v>
      </c>
      <c r="AU53" s="36">
        <f t="shared" si="206"/>
        <v>1.2521649867034006E-2</v>
      </c>
      <c r="AV53" s="45">
        <f t="shared" si="205"/>
        <v>3.1508696746648921</v>
      </c>
      <c r="AW53" s="42">
        <f t="shared" si="204"/>
        <v>2.075347045066644</v>
      </c>
      <c r="AX53" s="42">
        <f t="shared" si="204"/>
        <v>2.3045420648047381</v>
      </c>
      <c r="AY53" s="42">
        <f t="shared" si="204"/>
        <v>0.20934334238701874</v>
      </c>
      <c r="AZ53" s="42">
        <f t="shared" si="204"/>
        <v>1.1532527552164744</v>
      </c>
      <c r="BA53" s="42">
        <f t="shared" si="204"/>
        <v>4.487574274412276E-2</v>
      </c>
      <c r="BB53" s="42">
        <f t="shared" si="204"/>
        <v>0.29767512739786156</v>
      </c>
      <c r="BC53" s="42">
        <f t="shared" si="204"/>
        <v>6.8046545338670217E-2</v>
      </c>
      <c r="BD53" s="42">
        <f t="shared" si="204"/>
        <v>0.40630586653584411</v>
      </c>
      <c r="BE53" s="42">
        <f t="shared" si="204"/>
        <v>3.2752761513415463</v>
      </c>
      <c r="BF53" s="42">
        <f t="shared" si="204"/>
        <v>2.456462724603198</v>
      </c>
      <c r="BG53" s="42">
        <f t="shared" si="204"/>
        <v>1.800703151506208</v>
      </c>
      <c r="BH53" s="42">
        <f t="shared" si="204"/>
        <v>2.416908349073934</v>
      </c>
    </row>
    <row r="54" spans="1:61" ht="15.75" thickBot="1" x14ac:dyDescent="0.3">
      <c r="K54" s="37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9"/>
    </row>
    <row r="55" spans="1:61" x14ac:dyDescent="0.25">
      <c r="AL55" s="27" t="s">
        <v>27</v>
      </c>
      <c r="AM55" s="28" t="s">
        <v>31</v>
      </c>
      <c r="AN55" s="28" t="s">
        <v>50</v>
      </c>
      <c r="AO55" s="28" t="s">
        <v>49</v>
      </c>
      <c r="AP55" s="28" t="s">
        <v>48</v>
      </c>
      <c r="AQ55" s="28" t="s">
        <v>51</v>
      </c>
      <c r="AR55" s="29" t="s">
        <v>59</v>
      </c>
      <c r="AX55" s="27" t="s">
        <v>24</v>
      </c>
      <c r="AY55" s="28" t="s">
        <v>10</v>
      </c>
      <c r="AZ55" s="28" t="s">
        <v>11</v>
      </c>
      <c r="BA55" s="28" t="s">
        <v>12</v>
      </c>
      <c r="BB55" s="28" t="s">
        <v>13</v>
      </c>
      <c r="BC55" s="28" t="s">
        <v>34</v>
      </c>
      <c r="BD55" s="28" t="s">
        <v>47</v>
      </c>
      <c r="BE55" s="28" t="s">
        <v>35</v>
      </c>
      <c r="BF55" s="28" t="s">
        <v>43</v>
      </c>
      <c r="BG55" s="28" t="s">
        <v>42</v>
      </c>
      <c r="BH55" s="28" t="s">
        <v>44</v>
      </c>
      <c r="BI55" s="29" t="s">
        <v>46</v>
      </c>
    </row>
    <row r="56" spans="1:61" x14ac:dyDescent="0.25">
      <c r="AK56" t="s">
        <v>57</v>
      </c>
      <c r="AL56" s="30">
        <v>16.37024373758242</v>
      </c>
      <c r="AM56" s="26">
        <v>41.627024589438342</v>
      </c>
      <c r="AN56" s="26">
        <v>27.633333333333329</v>
      </c>
      <c r="AO56" s="26">
        <v>17.123333333333335</v>
      </c>
      <c r="AP56" s="26">
        <v>103.64704755681925</v>
      </c>
      <c r="AQ56" s="26">
        <v>0.62156487947135897</v>
      </c>
      <c r="AR56" s="26">
        <v>28.038194444444439</v>
      </c>
      <c r="AS56" s="26"/>
      <c r="AT56" s="26"/>
      <c r="AU56" s="26"/>
      <c r="AV56" s="26"/>
      <c r="AW56" t="s">
        <v>57</v>
      </c>
      <c r="AX56" s="30">
        <v>31.711974917387604</v>
      </c>
      <c r="AY56" s="26">
        <v>20.891056110591641</v>
      </c>
      <c r="AZ56" s="26">
        <v>0.78594022213198533</v>
      </c>
      <c r="BA56" s="26">
        <v>20.056774798798749</v>
      </c>
      <c r="BB56" s="26">
        <v>0.78876161946586976</v>
      </c>
      <c r="BC56" s="26">
        <v>2.0055363105364736</v>
      </c>
      <c r="BD56" s="26">
        <v>0.42391061537301655</v>
      </c>
      <c r="BE56" s="26">
        <v>1.9045088739205762</v>
      </c>
      <c r="BF56" s="26">
        <v>2.1735043819320499</v>
      </c>
      <c r="BG56" s="26">
        <v>7.8155362771284356</v>
      </c>
      <c r="BH56" s="26">
        <v>4.7965216264717787</v>
      </c>
      <c r="BI56" s="31">
        <v>6.6459742462618188</v>
      </c>
    </row>
    <row r="57" spans="1:61" x14ac:dyDescent="0.25">
      <c r="AL57" s="32">
        <v>2.1133888092694431</v>
      </c>
      <c r="AM57" s="4">
        <v>5.5036166908059112</v>
      </c>
      <c r="AN57" s="4">
        <v>2.1219487898313356</v>
      </c>
      <c r="AO57" s="4">
        <v>0.56447025312824584</v>
      </c>
      <c r="AP57" s="4">
        <v>3.7869903872356985</v>
      </c>
      <c r="AQ57" s="4">
        <v>3.1747483701040601E-2</v>
      </c>
      <c r="AR57" s="4">
        <v>5.5259083068524628</v>
      </c>
      <c r="AS57" s="4"/>
      <c r="AT57" s="4"/>
      <c r="AU57" s="4"/>
      <c r="AV57" s="4"/>
      <c r="AX57" s="32">
        <v>3.3966532176153814</v>
      </c>
      <c r="AY57" s="4">
        <v>11.692239278190238</v>
      </c>
      <c r="AZ57" s="4">
        <v>0.11788423423914637</v>
      </c>
      <c r="BA57" s="4">
        <v>6.6656773216124812</v>
      </c>
      <c r="BB57" s="4">
        <v>0.17764041349963355</v>
      </c>
      <c r="BC57" s="4">
        <v>1.161416573859805</v>
      </c>
      <c r="BD57" s="4">
        <v>0.36180677353682905</v>
      </c>
      <c r="BE57" s="4">
        <v>2.0137034731076109</v>
      </c>
      <c r="BF57" s="4">
        <v>3.575919525655662</v>
      </c>
      <c r="BG57" s="4">
        <v>3.3966910390064369</v>
      </c>
      <c r="BH57" s="4">
        <v>2.9436006163171782</v>
      </c>
      <c r="BI57" s="33">
        <v>7.6725212711402664</v>
      </c>
    </row>
    <row r="58" spans="1:61" x14ac:dyDescent="0.25">
      <c r="AK58" t="s">
        <v>62</v>
      </c>
      <c r="AL58" s="30">
        <v>23.033251710238094</v>
      </c>
      <c r="AM58" s="26">
        <v>39.988284219163361</v>
      </c>
      <c r="AN58" s="26">
        <v>49.662500000000009</v>
      </c>
      <c r="AO58" s="26">
        <v>26.249999999999996</v>
      </c>
      <c r="AP58" s="26">
        <v>87.935361842006799</v>
      </c>
      <c r="AQ58" s="26">
        <v>0.53329170291804695</v>
      </c>
      <c r="AR58" s="31">
        <v>13.780381944444446</v>
      </c>
      <c r="AS58" s="26"/>
      <c r="AT58" s="26"/>
      <c r="AU58" s="26"/>
      <c r="AV58" s="26"/>
      <c r="AW58" t="s">
        <v>62</v>
      </c>
      <c r="AX58" s="30">
        <v>31.298266737322621</v>
      </c>
      <c r="AY58" s="26">
        <v>13.237907916181372</v>
      </c>
      <c r="AZ58" s="26">
        <v>0.77572415063397437</v>
      </c>
      <c r="BA58" s="26">
        <v>14.236989714472211</v>
      </c>
      <c r="BB58" s="26">
        <v>0.47363485471873434</v>
      </c>
      <c r="BC58" s="26">
        <v>3.8044100349553882</v>
      </c>
      <c r="BD58" s="26">
        <v>0.12847800295090198</v>
      </c>
      <c r="BE58" s="26">
        <v>4.5385508092433513</v>
      </c>
      <c r="BF58" s="26">
        <v>5.3754018118666602</v>
      </c>
      <c r="BG58" s="26">
        <v>11.652384383953512</v>
      </c>
      <c r="BH58" s="26">
        <v>7.6016174551652229</v>
      </c>
      <c r="BI58" s="31">
        <v>6.8766341285360495</v>
      </c>
    </row>
    <row r="59" spans="1:61" x14ac:dyDescent="0.25">
      <c r="AL59" s="32">
        <v>2.364493312411506</v>
      </c>
      <c r="AM59" s="4">
        <v>4.1050231118255303</v>
      </c>
      <c r="AN59" s="4">
        <v>6.600940950241128</v>
      </c>
      <c r="AO59" s="4">
        <v>1.8482733254890322</v>
      </c>
      <c r="AP59" s="4">
        <v>7.3007080129411568</v>
      </c>
      <c r="AQ59" s="4">
        <v>4.5897566150147118E-2</v>
      </c>
      <c r="AR59" s="33">
        <v>11.459966927502114</v>
      </c>
      <c r="AS59" s="4"/>
      <c r="AT59" s="4"/>
      <c r="AU59" s="4"/>
      <c r="AV59" s="4"/>
      <c r="AX59" s="32">
        <v>1.9285950150284175</v>
      </c>
      <c r="AY59" s="4">
        <v>3.1788803626504634</v>
      </c>
      <c r="AZ59" s="4">
        <v>0.31374071233198519</v>
      </c>
      <c r="BA59" s="4">
        <v>3.9562250610082299</v>
      </c>
      <c r="BB59" s="4">
        <v>0.30698643024119893</v>
      </c>
      <c r="BC59" s="4">
        <v>2.0755057750637049</v>
      </c>
      <c r="BD59" s="4">
        <v>0.19923070043036611</v>
      </c>
      <c r="BE59" s="4">
        <v>2.7366014456608645</v>
      </c>
      <c r="BF59" s="4">
        <v>5.8603932943783841</v>
      </c>
      <c r="BG59" s="4">
        <v>2.451511177884143</v>
      </c>
      <c r="BH59" s="4">
        <v>2.608117099818561</v>
      </c>
      <c r="BI59" s="33">
        <v>7.3186106011563137</v>
      </c>
    </row>
    <row r="60" spans="1:61" x14ac:dyDescent="0.25">
      <c r="AK60" t="s">
        <v>63</v>
      </c>
      <c r="AL60" s="30">
        <v>24.561182758857139</v>
      </c>
      <c r="AM60" s="26">
        <v>42.640942289682528</v>
      </c>
      <c r="AN60" s="26">
        <v>44.866666666666667</v>
      </c>
      <c r="AO60" s="26">
        <v>23.52</v>
      </c>
      <c r="AP60" s="26">
        <v>102.85980599559133</v>
      </c>
      <c r="AQ60" s="26">
        <v>0.52469715482272017</v>
      </c>
      <c r="AR60" s="31">
        <v>22.106481481481485</v>
      </c>
      <c r="AS60" s="26"/>
      <c r="AT60" s="26"/>
      <c r="AU60" s="26"/>
      <c r="AV60" s="26"/>
      <c r="AW60" t="s">
        <v>63</v>
      </c>
      <c r="AX60" s="30">
        <v>26.781091322200346</v>
      </c>
      <c r="AY60" s="26">
        <v>10.106574786520074</v>
      </c>
      <c r="AZ60" s="26">
        <v>0.37065305124595166</v>
      </c>
      <c r="BA60" s="26">
        <v>8.2909493461485564</v>
      </c>
      <c r="BB60" s="26">
        <v>0.18480220440114953</v>
      </c>
      <c r="BC60" s="26">
        <v>1.6168508955365273</v>
      </c>
      <c r="BD60" s="26">
        <v>0.12093958774522633</v>
      </c>
      <c r="BE60" s="26">
        <v>1.8830322783400786</v>
      </c>
      <c r="BF60" s="26">
        <v>4.0402406869122887</v>
      </c>
      <c r="BG60" s="26">
        <v>22.648205951322819</v>
      </c>
      <c r="BH60" s="26">
        <v>8.6386534901881653</v>
      </c>
      <c r="BI60" s="31">
        <v>15.318006399438815</v>
      </c>
    </row>
    <row r="61" spans="1:61" ht="15.75" thickBot="1" x14ac:dyDescent="0.3">
      <c r="AL61" s="34">
        <v>2.3631522559986693</v>
      </c>
      <c r="AM61" s="35">
        <v>4.10269488888658</v>
      </c>
      <c r="AN61" s="35">
        <v>1.2045054310103118</v>
      </c>
      <c r="AO61" s="35">
        <v>1.0399999999999996</v>
      </c>
      <c r="AP61" s="35">
        <v>0.61272053268455462</v>
      </c>
      <c r="AQ61" s="35">
        <v>3.3147192092990517E-2</v>
      </c>
      <c r="AR61" s="36">
        <v>2.0911552621706804</v>
      </c>
      <c r="AS61" s="4"/>
      <c r="AT61" s="4"/>
      <c r="AU61" s="4"/>
      <c r="AV61" s="4"/>
      <c r="AX61" s="34">
        <v>2.075347045066644</v>
      </c>
      <c r="AY61" s="35">
        <v>2.3045420648047381</v>
      </c>
      <c r="AZ61" s="35">
        <v>0.20934334238701874</v>
      </c>
      <c r="BA61" s="35">
        <v>1.1532527552164744</v>
      </c>
      <c r="BB61" s="35">
        <v>4.487574274412276E-2</v>
      </c>
      <c r="BC61" s="35">
        <v>0.29767512739786156</v>
      </c>
      <c r="BD61" s="35">
        <v>6.8046545338670217E-2</v>
      </c>
      <c r="BE61" s="35">
        <v>0.40630586653584411</v>
      </c>
      <c r="BF61" s="35">
        <v>3.2752761513415463</v>
      </c>
      <c r="BG61" s="35">
        <v>2.456462724603198</v>
      </c>
      <c r="BH61" s="35">
        <v>1.800703151506208</v>
      </c>
      <c r="BI61" s="36">
        <v>2.416908349073934</v>
      </c>
    </row>
    <row r="62" spans="1:61" x14ac:dyDescent="0.25">
      <c r="H62" t="s">
        <v>57</v>
      </c>
      <c r="I62" t="s">
        <v>62</v>
      </c>
      <c r="J62" t="s">
        <v>63</v>
      </c>
    </row>
    <row r="63" spans="1:61" x14ac:dyDescent="0.25">
      <c r="G63" t="s">
        <v>79</v>
      </c>
      <c r="H63" s="11">
        <v>37.575677809949987</v>
      </c>
      <c r="I63" s="11">
        <v>31.408643951520698</v>
      </c>
      <c r="J63" s="11">
        <v>11.09192348565356</v>
      </c>
    </row>
    <row r="64" spans="1:61" x14ac:dyDescent="0.25">
      <c r="G64" t="s">
        <v>80</v>
      </c>
      <c r="H64" s="11">
        <v>62.371676757041328</v>
      </c>
      <c r="I64" s="11">
        <v>66.784815915847247</v>
      </c>
      <c r="J64" s="11">
        <v>86.397449521785347</v>
      </c>
    </row>
    <row r="65" spans="7:11" x14ac:dyDescent="0.25">
      <c r="G65" t="s">
        <v>81</v>
      </c>
      <c r="H65" s="11">
        <v>4.7644116872861275</v>
      </c>
      <c r="I65" s="11">
        <v>3.4530070889549513</v>
      </c>
      <c r="J65" s="11">
        <v>1.5807651434643994</v>
      </c>
    </row>
    <row r="66" spans="7:11" x14ac:dyDescent="0.25">
      <c r="G66" t="s">
        <v>50</v>
      </c>
      <c r="H66" s="11">
        <v>28.630000000000003</v>
      </c>
      <c r="I66" s="11">
        <v>53.8</v>
      </c>
      <c r="J66" s="11">
        <v>44.866666666666667</v>
      </c>
    </row>
    <row r="67" spans="7:11" x14ac:dyDescent="0.25">
      <c r="G67" t="s">
        <v>49</v>
      </c>
      <c r="H67" s="11">
        <v>17.310000000000002</v>
      </c>
      <c r="I67" s="11">
        <v>27.175999999999998</v>
      </c>
      <c r="J67" s="11">
        <v>23.52</v>
      </c>
    </row>
    <row r="68" spans="7:11" x14ac:dyDescent="0.25">
      <c r="G68" t="s">
        <v>51</v>
      </c>
      <c r="H68" s="11">
        <v>0.60568946392799494</v>
      </c>
      <c r="I68" s="11">
        <v>0.50665841342711215</v>
      </c>
      <c r="J68" s="11">
        <v>0.52469715482272017</v>
      </c>
    </row>
    <row r="69" spans="7:11" x14ac:dyDescent="0.25">
      <c r="G69" t="s">
        <v>31</v>
      </c>
      <c r="H69" s="11">
        <v>45.712570187499999</v>
      </c>
      <c r="I69" s="11">
        <v>41.577822735615072</v>
      </c>
      <c r="J69" s="11">
        <v>42.640942289682528</v>
      </c>
    </row>
    <row r="70" spans="7:11" x14ac:dyDescent="0.25">
      <c r="G70" t="s">
        <v>24</v>
      </c>
      <c r="H70" s="11">
        <v>29.729239631760485</v>
      </c>
      <c r="I70" s="11">
        <v>30.708523864861199</v>
      </c>
      <c r="J70" s="11">
        <v>26.781091322200346</v>
      </c>
      <c r="K70" s="40"/>
    </row>
    <row r="71" spans="7:11" x14ac:dyDescent="0.25">
      <c r="G71" t="s">
        <v>10</v>
      </c>
      <c r="H71" s="11">
        <v>14.771800110606886</v>
      </c>
      <c r="I71" s="11">
        <v>13.384434103290893</v>
      </c>
      <c r="J71" s="11">
        <v>10.106574786520074</v>
      </c>
      <c r="K71" s="40"/>
    </row>
    <row r="72" spans="7:11" x14ac:dyDescent="0.25">
      <c r="G72" t="s">
        <v>11</v>
      </c>
      <c r="H72" s="11">
        <v>0.81697135319324321</v>
      </c>
      <c r="I72" s="11">
        <v>0.74546910260878085</v>
      </c>
      <c r="J72" s="11">
        <v>0.37065305124595166</v>
      </c>
      <c r="K72" s="40"/>
    </row>
    <row r="73" spans="7:11" x14ac:dyDescent="0.25">
      <c r="G73" t="s">
        <v>12</v>
      </c>
      <c r="H73" s="11">
        <v>25.4801559621772</v>
      </c>
      <c r="I73" s="11">
        <v>13.690620104381324</v>
      </c>
      <c r="J73" s="11">
        <v>8.2909493461485564</v>
      </c>
      <c r="K73" s="40"/>
    </row>
    <row r="74" spans="7:11" x14ac:dyDescent="0.25">
      <c r="G74" t="s">
        <v>13</v>
      </c>
      <c r="H74" s="11">
        <v>0.91008856355844503</v>
      </c>
      <c r="I74" s="11">
        <v>0.4733852017486222</v>
      </c>
      <c r="J74" s="11">
        <v>0.18480220440114953</v>
      </c>
      <c r="K74" s="40"/>
    </row>
    <row r="75" spans="7:11" x14ac:dyDescent="0.25">
      <c r="G75" t="s">
        <v>34</v>
      </c>
      <c r="H75" s="11">
        <v>2.8997696149694367</v>
      </c>
      <c r="I75" s="11">
        <v>3.4186126782786124</v>
      </c>
      <c r="J75" s="11">
        <v>1.6168508955365273</v>
      </c>
      <c r="K75" s="40"/>
    </row>
    <row r="76" spans="7:11" x14ac:dyDescent="0.25">
      <c r="G76" t="s">
        <v>47</v>
      </c>
      <c r="H76" s="11">
        <v>0.21604335764053531</v>
      </c>
      <c r="I76" s="11">
        <v>3.6656375486793728E-2</v>
      </c>
      <c r="J76" s="11">
        <v>0.12093958774522633</v>
      </c>
      <c r="K76" s="40"/>
    </row>
    <row r="77" spans="7:11" x14ac:dyDescent="0.25">
      <c r="G77" t="s">
        <v>35</v>
      </c>
      <c r="H77" s="11">
        <v>3.1234740504896648</v>
      </c>
      <c r="I77" s="11">
        <v>3.8967981857974117</v>
      </c>
      <c r="J77" s="11">
        <v>1.8830322783400786</v>
      </c>
      <c r="K77" s="40"/>
    </row>
    <row r="78" spans="7:11" x14ac:dyDescent="0.25">
      <c r="G78" t="s">
        <v>43</v>
      </c>
      <c r="H78" s="11">
        <v>4.377061328198411</v>
      </c>
      <c r="I78" s="11">
        <v>6.9847697833518829</v>
      </c>
      <c r="J78" s="11">
        <v>4.0402406869122887</v>
      </c>
      <c r="K78" s="40"/>
    </row>
    <row r="79" spans="7:11" x14ac:dyDescent="0.25">
      <c r="G79" t="s">
        <v>42</v>
      </c>
      <c r="H79" s="11">
        <v>8.2636310173988861</v>
      </c>
      <c r="I79" s="11">
        <v>10.868027169775557</v>
      </c>
      <c r="J79" s="11">
        <v>22.648205951322819</v>
      </c>
      <c r="K79" s="40"/>
    </row>
    <row r="80" spans="7:11" x14ac:dyDescent="0.25">
      <c r="G80" t="s">
        <v>44</v>
      </c>
      <c r="H80" s="11">
        <v>6.5898549688880594</v>
      </c>
      <c r="I80" s="11">
        <v>7.0404088331024051</v>
      </c>
      <c r="J80" s="11">
        <v>8.6386534901881653</v>
      </c>
      <c r="K80" s="40"/>
    </row>
    <row r="81" spans="7:11" x14ac:dyDescent="0.25">
      <c r="G81" t="s">
        <v>46</v>
      </c>
      <c r="H81" s="11">
        <v>2.8</v>
      </c>
      <c r="I81" s="11">
        <v>8.8000000000000007</v>
      </c>
      <c r="J81" s="11">
        <v>15.318006399438815</v>
      </c>
      <c r="K81" s="40"/>
    </row>
    <row r="83" spans="7:11" x14ac:dyDescent="0.25">
      <c r="H83" s="40">
        <f>SUM(H70:H81)</f>
        <v>99.978089958881256</v>
      </c>
      <c r="I83" s="40">
        <f>SUM(I70:I81)</f>
        <v>100.04770540268348</v>
      </c>
      <c r="J83" s="40">
        <f t="shared" ref="J83" si="207">SUM(J70:J81)</f>
        <v>100.00000000000001</v>
      </c>
    </row>
  </sheetData>
  <mergeCells count="9">
    <mergeCell ref="AW5:BH5"/>
    <mergeCell ref="Z5:AK5"/>
    <mergeCell ref="AK3:AK4"/>
    <mergeCell ref="A7:A20"/>
    <mergeCell ref="A21:A34"/>
    <mergeCell ref="A35:A41"/>
    <mergeCell ref="A46:A52"/>
    <mergeCell ref="K5:O5"/>
    <mergeCell ref="F5:J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3"/>
  <sheetViews>
    <sheetView zoomScale="120" zoomScaleNormal="120" workbookViewId="0">
      <selection activeCell="O55" sqref="O55"/>
    </sheetView>
  </sheetViews>
  <sheetFormatPr baseColWidth="10" defaultColWidth="9.140625" defaultRowHeight="15" x14ac:dyDescent="0.25"/>
  <cols>
    <col min="1" max="1" width="11.85546875" style="6" bestFit="1" customWidth="1"/>
    <col min="2" max="2" width="9.42578125" style="6" bestFit="1" customWidth="1"/>
    <col min="3" max="3" width="7.7109375" style="6" bestFit="1" customWidth="1"/>
    <col min="4" max="4" width="12.28515625" style="6" bestFit="1" customWidth="1"/>
    <col min="5" max="5" width="15.140625" style="6" bestFit="1" customWidth="1"/>
    <col min="6" max="6" width="11.28515625" style="6" bestFit="1" customWidth="1"/>
    <col min="7" max="7" width="11.5703125" style="6" bestFit="1" customWidth="1"/>
    <col min="8" max="8" width="8.140625" style="6" bestFit="1" customWidth="1"/>
    <col min="9" max="9" width="9" style="6" bestFit="1" customWidth="1"/>
    <col min="10" max="10" width="11.28515625" style="6" bestFit="1" customWidth="1"/>
    <col min="11" max="12" width="8.5703125" style="6" bestFit="1" customWidth="1"/>
    <col min="13" max="13" width="9.42578125" style="6" bestFit="1" customWidth="1"/>
    <col min="14" max="15" width="8.5703125" style="6" bestFit="1" customWidth="1"/>
    <col min="16" max="16" width="8.5703125" style="6" customWidth="1"/>
    <col min="17" max="19" width="8.5703125" style="6" bestFit="1" customWidth="1"/>
    <col min="20" max="21" width="15" style="6" bestFit="1" customWidth="1"/>
    <col min="22" max="28" width="13.28515625" style="6" customWidth="1"/>
    <col min="29" max="29" width="13.7109375" style="6" bestFit="1" customWidth="1"/>
    <col min="30" max="30" width="13.28515625" style="6" customWidth="1"/>
    <col min="31" max="31" width="10.42578125" style="6" bestFit="1" customWidth="1"/>
    <col min="32" max="32" width="9.28515625" style="6" bestFit="1" customWidth="1"/>
    <col min="33" max="34" width="10.42578125" style="6" bestFit="1" customWidth="1"/>
    <col min="35" max="35" width="11.42578125" style="6" bestFit="1" customWidth="1"/>
    <col min="36" max="38" width="11" style="6" customWidth="1"/>
    <col min="39" max="39" width="17" style="6" bestFit="1" customWidth="1"/>
    <col min="40" max="41" width="11" style="6" customWidth="1"/>
    <col min="42" max="42" width="16" style="6" bestFit="1" customWidth="1"/>
    <col min="43" max="43" width="11.42578125" style="6" bestFit="1" customWidth="1"/>
    <col min="44" max="44" width="17" style="6" bestFit="1" customWidth="1"/>
    <col min="45" max="48" width="16.5703125" style="6" customWidth="1"/>
    <col min="49" max="51" width="8.5703125" style="6" bestFit="1" customWidth="1"/>
    <col min="52" max="52" width="7.7109375" style="6" customWidth="1"/>
    <col min="53" max="55" width="8.5703125" style="6" bestFit="1" customWidth="1"/>
    <col min="56" max="56" width="6.5703125" style="6" bestFit="1" customWidth="1"/>
    <col min="57" max="62" width="13.28515625" style="6" bestFit="1" customWidth="1"/>
    <col min="63" max="63" width="10.42578125" style="6" bestFit="1" customWidth="1"/>
    <col min="64" max="64" width="15" style="6" bestFit="1" customWidth="1"/>
    <col min="65" max="65" width="14.85546875" style="6" bestFit="1" customWidth="1"/>
    <col min="66" max="66" width="24.5703125" style="6" bestFit="1" customWidth="1"/>
    <col min="67" max="67" width="17" style="6" bestFit="1" customWidth="1"/>
    <col min="68" max="68" width="16.85546875" style="6" bestFit="1" customWidth="1"/>
    <col min="69" max="69" width="16.7109375" style="6" bestFit="1" customWidth="1"/>
    <col min="70" max="16384" width="9.140625" style="6"/>
  </cols>
  <sheetData>
    <row r="2" spans="1:28" x14ac:dyDescent="0.25">
      <c r="Q2" s="6" t="s">
        <v>75</v>
      </c>
    </row>
    <row r="3" spans="1:28" x14ac:dyDescent="0.25">
      <c r="D3" s="6" t="s">
        <v>24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34</v>
      </c>
      <c r="J3" s="6" t="s">
        <v>47</v>
      </c>
      <c r="K3" s="6" t="s">
        <v>35</v>
      </c>
      <c r="L3" s="6" t="s">
        <v>43</v>
      </c>
      <c r="M3" s="6" t="s">
        <v>42</v>
      </c>
      <c r="N3" s="6" t="s">
        <v>44</v>
      </c>
      <c r="O3" s="6" t="s">
        <v>46</v>
      </c>
      <c r="Q3" s="14" t="s">
        <v>24</v>
      </c>
      <c r="R3" s="14" t="s">
        <v>10</v>
      </c>
      <c r="S3" s="14" t="s">
        <v>11</v>
      </c>
      <c r="T3" s="14" t="s">
        <v>12</v>
      </c>
      <c r="U3" s="14" t="s">
        <v>13</v>
      </c>
      <c r="V3" s="14" t="s">
        <v>34</v>
      </c>
      <c r="W3" s="14" t="s">
        <v>47</v>
      </c>
      <c r="X3" s="14" t="s">
        <v>35</v>
      </c>
      <c r="Y3" s="14" t="s">
        <v>43</v>
      </c>
      <c r="Z3" s="14" t="s">
        <v>42</v>
      </c>
      <c r="AA3" s="14" t="s">
        <v>44</v>
      </c>
      <c r="AB3" s="14" t="s">
        <v>46</v>
      </c>
    </row>
    <row r="4" spans="1:28" x14ac:dyDescent="0.25">
      <c r="A4" s="14" t="s">
        <v>77</v>
      </c>
      <c r="C4" s="6" t="s">
        <v>58</v>
      </c>
      <c r="D4" s="6">
        <v>29.729239631760485</v>
      </c>
      <c r="E4" s="6">
        <v>14.771800110606886</v>
      </c>
      <c r="F4" s="6">
        <v>0.81697135319324321</v>
      </c>
      <c r="G4" s="6">
        <v>25.4801559621772</v>
      </c>
      <c r="H4" s="6">
        <v>0.91008856355844503</v>
      </c>
      <c r="I4" s="6">
        <v>2.8997696149694367</v>
      </c>
      <c r="J4" s="6">
        <v>0.21604335764053531</v>
      </c>
      <c r="K4" s="6">
        <v>3.1234740504896648</v>
      </c>
      <c r="L4" s="6">
        <v>4.377061328198411</v>
      </c>
      <c r="M4" s="6">
        <v>8.2636310173988861</v>
      </c>
      <c r="N4" s="6">
        <v>6.5898549688880594</v>
      </c>
      <c r="O4" s="6">
        <v>0</v>
      </c>
      <c r="Q4" s="14">
        <v>2.8426724055883588</v>
      </c>
      <c r="R4" s="14">
        <v>3.2259382230317866</v>
      </c>
      <c r="S4" s="14">
        <v>0.11851900496102925</v>
      </c>
      <c r="T4" s="14">
        <v>5.2245335042606937</v>
      </c>
      <c r="U4" s="14">
        <v>9.5056810808323691E-2</v>
      </c>
      <c r="V4" s="14">
        <v>1.2318384616382927</v>
      </c>
      <c r="W4" s="14">
        <v>0.21373819380594192</v>
      </c>
      <c r="X4" s="14">
        <v>2.2921030507116678</v>
      </c>
      <c r="Y4" s="14">
        <v>4.6253453317294682</v>
      </c>
      <c r="Z4" s="14">
        <v>3.4099958856776853</v>
      </c>
      <c r="AA4" s="14">
        <v>1.3415540217436719</v>
      </c>
      <c r="AB4" s="14">
        <v>0</v>
      </c>
    </row>
    <row r="5" spans="1:28" x14ac:dyDescent="0.25">
      <c r="C5" s="6" t="s">
        <v>73</v>
      </c>
      <c r="D5" s="6">
        <v>30.708523864861199</v>
      </c>
      <c r="E5" s="6">
        <v>13.384434103290893</v>
      </c>
      <c r="F5" s="6">
        <v>0.74546910260878085</v>
      </c>
      <c r="G5" s="6">
        <v>13.690620104381324</v>
      </c>
      <c r="H5" s="6">
        <v>0.4733852017486222</v>
      </c>
      <c r="I5" s="6">
        <v>3.4186126782786124</v>
      </c>
      <c r="J5" s="6">
        <v>3.6656375486793728E-2</v>
      </c>
      <c r="K5" s="6">
        <v>3.8967981857974117</v>
      </c>
      <c r="L5" s="6">
        <v>6.9847697833518829</v>
      </c>
      <c r="M5" s="6">
        <v>10.868027169775557</v>
      </c>
      <c r="N5" s="6">
        <v>7.0404088331024051</v>
      </c>
      <c r="O5" s="6">
        <v>14</v>
      </c>
      <c r="Q5" s="14">
        <v>1.6377375086470969</v>
      </c>
      <c r="R5" s="14">
        <v>3.8772295459245263</v>
      </c>
      <c r="S5" s="14">
        <v>0.34917439164731529</v>
      </c>
      <c r="T5" s="14">
        <v>4.5339548116474866</v>
      </c>
      <c r="U5" s="14">
        <v>0.38151800390067786</v>
      </c>
      <c r="V5" s="14">
        <v>2.2670729385744957</v>
      </c>
      <c r="W5" s="14">
        <v>0.10367988672172872</v>
      </c>
      <c r="X5" s="14">
        <v>2.8108974737206966</v>
      </c>
      <c r="Y5" s="14">
        <v>6.4319371730685235</v>
      </c>
      <c r="Z5" s="14">
        <v>2.1283385680770786</v>
      </c>
      <c r="AA5" s="14">
        <v>2.8235860201720682</v>
      </c>
      <c r="AB5" s="14">
        <v>2.23</v>
      </c>
    </row>
    <row r="6" spans="1:28" x14ac:dyDescent="0.25">
      <c r="C6" s="6" t="s">
        <v>74</v>
      </c>
      <c r="D6" s="6">
        <v>26.781091322200346</v>
      </c>
      <c r="E6" s="6">
        <v>10.106574786520074</v>
      </c>
      <c r="F6" s="6">
        <v>0.37065305124595166</v>
      </c>
      <c r="G6" s="6">
        <v>8.2909493461485564</v>
      </c>
      <c r="H6" s="6">
        <v>0.18480220440114953</v>
      </c>
      <c r="I6" s="6">
        <v>1.6168508955365273</v>
      </c>
      <c r="J6" s="6">
        <v>0.12093958774522633</v>
      </c>
      <c r="K6" s="6">
        <v>1.8830322783400786</v>
      </c>
      <c r="L6" s="6">
        <v>4.0402406869122887</v>
      </c>
      <c r="M6" s="6">
        <v>22.648205951322819</v>
      </c>
      <c r="N6" s="6">
        <v>8.6386534901881653</v>
      </c>
      <c r="O6" s="6">
        <v>15.32</v>
      </c>
      <c r="Q6" s="14">
        <v>2.075347045066644</v>
      </c>
      <c r="R6" s="14">
        <v>2.3045420648047381</v>
      </c>
      <c r="S6" s="14">
        <v>0.20934334238701874</v>
      </c>
      <c r="T6" s="14">
        <v>1.1532527552164744</v>
      </c>
      <c r="U6" s="14">
        <v>4.487574274412276E-2</v>
      </c>
      <c r="V6" s="14">
        <v>0.29767512739786156</v>
      </c>
      <c r="W6" s="14">
        <v>6.8046545338670217E-2</v>
      </c>
      <c r="X6" s="14">
        <v>0.40630586653584411</v>
      </c>
      <c r="Y6" s="14">
        <v>3.2752761513415463</v>
      </c>
      <c r="Z6" s="14">
        <v>2.456462724603198</v>
      </c>
      <c r="AA6" s="14">
        <v>1.800703151506208</v>
      </c>
      <c r="AB6" s="14">
        <v>2.42</v>
      </c>
    </row>
    <row r="10" spans="1:28" x14ac:dyDescent="0.25">
      <c r="P10" s="6">
        <v>2.8862545322621842</v>
      </c>
    </row>
    <row r="12" spans="1:28" x14ac:dyDescent="0.25">
      <c r="P12" s="6">
        <v>2.8337946866770531</v>
      </c>
    </row>
    <row r="14" spans="1:28" x14ac:dyDescent="0.25">
      <c r="P14" s="6">
        <v>4.10269488888658</v>
      </c>
    </row>
    <row r="39" spans="1:29" x14ac:dyDescent="0.25">
      <c r="A39" s="14" t="s">
        <v>78</v>
      </c>
    </row>
    <row r="40" spans="1:29" x14ac:dyDescent="0.25">
      <c r="E40" s="6" t="s">
        <v>24</v>
      </c>
      <c r="F40" s="6" t="s">
        <v>10</v>
      </c>
      <c r="G40" s="6" t="s">
        <v>11</v>
      </c>
      <c r="H40" s="6" t="s">
        <v>12</v>
      </c>
      <c r="I40" s="6" t="s">
        <v>13</v>
      </c>
      <c r="J40" s="6" t="s">
        <v>34</v>
      </c>
      <c r="K40" s="6" t="s">
        <v>47</v>
      </c>
      <c r="L40" s="6" t="s">
        <v>35</v>
      </c>
      <c r="M40" s="6" t="s">
        <v>43</v>
      </c>
      <c r="N40" s="6" t="s">
        <v>42</v>
      </c>
      <c r="O40" s="6" t="s">
        <v>44</v>
      </c>
      <c r="P40" s="6" t="s">
        <v>46</v>
      </c>
      <c r="Q40" s="6" t="s">
        <v>76</v>
      </c>
      <c r="S40" s="6" t="s">
        <v>10</v>
      </c>
      <c r="T40" s="6" t="s">
        <v>11</v>
      </c>
      <c r="U40" s="6" t="s">
        <v>12</v>
      </c>
      <c r="V40" s="6" t="s">
        <v>13</v>
      </c>
      <c r="W40" s="6" t="s">
        <v>34</v>
      </c>
      <c r="X40" s="6" t="s">
        <v>47</v>
      </c>
      <c r="Y40" s="6" t="s">
        <v>35</v>
      </c>
      <c r="Z40" s="6" t="s">
        <v>43</v>
      </c>
      <c r="AA40" s="6" t="s">
        <v>42</v>
      </c>
      <c r="AB40" s="6" t="s">
        <v>44</v>
      </c>
      <c r="AC40" s="6" t="s">
        <v>46</v>
      </c>
    </row>
    <row r="41" spans="1:29" x14ac:dyDescent="0.25">
      <c r="D41" s="6" t="s">
        <v>58</v>
      </c>
      <c r="E41" s="6">
        <v>5.2295804000000006</v>
      </c>
      <c r="F41" s="6">
        <v>2.6168299999999998</v>
      </c>
      <c r="G41" s="6">
        <v>0.14398559999999999</v>
      </c>
      <c r="H41" s="6">
        <v>4.4490096000000001</v>
      </c>
      <c r="I41" s="6">
        <v>0.15976235999999999</v>
      </c>
      <c r="J41" s="6">
        <v>0.50083263999999994</v>
      </c>
      <c r="K41" s="6">
        <v>3.9160000000000007E-2</v>
      </c>
      <c r="L41" s="6">
        <v>0.53064</v>
      </c>
      <c r="M41" s="6">
        <v>0.76844120571428565</v>
      </c>
      <c r="N41" s="6">
        <v>1.4467834285714285</v>
      </c>
      <c r="O41" s="6">
        <v>1.1565673714285716</v>
      </c>
      <c r="P41" s="6">
        <v>0.51203434628571443</v>
      </c>
      <c r="Q41" s="6">
        <v>45.7</v>
      </c>
      <c r="R41" s="6">
        <v>0.70055290547737659</v>
      </c>
      <c r="S41" s="6">
        <v>0.67692560658465195</v>
      </c>
      <c r="T41" s="6">
        <v>2.6482962689245999E-2</v>
      </c>
      <c r="U41" s="6">
        <v>0.82620589658680077</v>
      </c>
      <c r="V41" s="6">
        <v>1.99464248372484E-2</v>
      </c>
      <c r="W41" s="6">
        <v>0.18996166767184389</v>
      </c>
      <c r="X41" s="6">
        <v>3.8653693225874294E-2</v>
      </c>
      <c r="Y41" s="6">
        <v>0.35536435949599687</v>
      </c>
      <c r="Z41" s="6">
        <v>0.83891968454647725</v>
      </c>
      <c r="AA41" s="6">
        <v>0.61607454703602726</v>
      </c>
      <c r="AB41" s="6">
        <v>0.25025200045337093</v>
      </c>
      <c r="AC41" s="6">
        <v>1.1449436051095243</v>
      </c>
    </row>
    <row r="42" spans="1:29" x14ac:dyDescent="0.25">
      <c r="D42" s="6" t="s">
        <v>73</v>
      </c>
      <c r="E42" s="6">
        <v>7.3664346249999992</v>
      </c>
      <c r="F42" s="6">
        <v>3.1985574999999997</v>
      </c>
      <c r="G42" s="6">
        <v>0.17930024999999999</v>
      </c>
      <c r="H42" s="6">
        <v>3.2794447500000006</v>
      </c>
      <c r="I42" s="6">
        <v>0.114587825</v>
      </c>
      <c r="J42" s="6">
        <v>0.82940243000000002</v>
      </c>
      <c r="K42" s="6">
        <v>9.3500000000000007E-3</v>
      </c>
      <c r="L42" s="6">
        <v>0.94462500000000005</v>
      </c>
      <c r="M42" s="6">
        <v>1.6801477392857145</v>
      </c>
      <c r="N42" s="6">
        <v>2.5915340571428573</v>
      </c>
      <c r="O42" s="6">
        <v>1.6778143928571427</v>
      </c>
      <c r="P42" s="6">
        <v>2.0776273264285714</v>
      </c>
      <c r="Q42" s="6">
        <v>41.6</v>
      </c>
      <c r="R42" s="6">
        <v>0.77458645133625736</v>
      </c>
      <c r="S42" s="6">
        <v>0.93130361573365128</v>
      </c>
      <c r="T42" s="6">
        <v>8.9370068849779272E-2</v>
      </c>
      <c r="U42" s="6">
        <v>1.1236027677832634</v>
      </c>
      <c r="V42" s="6">
        <v>9.7576520017789811E-2</v>
      </c>
      <c r="W42" s="6">
        <v>0.58955398943168158</v>
      </c>
      <c r="X42" s="6">
        <v>2.6445793616376879E-2</v>
      </c>
      <c r="Y42" s="6">
        <v>0.71429317260391867</v>
      </c>
      <c r="Z42" s="6">
        <v>1.6108281307355041</v>
      </c>
      <c r="AA42" s="6">
        <v>0.49567938593220867</v>
      </c>
      <c r="AB42" s="6">
        <v>0.66939250114964732</v>
      </c>
      <c r="AC42" s="6">
        <v>1.7473131808993356</v>
      </c>
    </row>
    <row r="43" spans="1:29" x14ac:dyDescent="0.25">
      <c r="D43" s="6" t="s">
        <v>74</v>
      </c>
      <c r="E43" s="6">
        <v>6.5842435999999989</v>
      </c>
      <c r="F43" s="6">
        <v>2.4600920000000004</v>
      </c>
      <c r="G43" s="6">
        <v>8.7991200000000006E-2</v>
      </c>
      <c r="H43" s="6">
        <v>2.0201616000000002</v>
      </c>
      <c r="I43" s="6">
        <v>4.4717199999999999E-2</v>
      </c>
      <c r="J43" s="6">
        <v>0.39269832000000005</v>
      </c>
      <c r="K43" s="6">
        <v>3.0360000000000005E-2</v>
      </c>
      <c r="L43" s="6">
        <v>0.45716000000000001</v>
      </c>
      <c r="M43" s="6">
        <v>1.0428309257142856</v>
      </c>
      <c r="N43" s="6">
        <v>5.58368208</v>
      </c>
      <c r="O43" s="6">
        <v>2.1125458285714283</v>
      </c>
      <c r="P43" s="6">
        <v>3.7447000045714276</v>
      </c>
      <c r="Q43" s="6">
        <v>42.6</v>
      </c>
      <c r="R43" s="6">
        <v>0.87900156824138165</v>
      </c>
      <c r="S43" s="6">
        <v>0.47911326794402015</v>
      </c>
      <c r="T43" s="6">
        <v>4.1944218972344662E-2</v>
      </c>
      <c r="U43" s="6">
        <v>0.18954077751977283</v>
      </c>
      <c r="V43" s="6">
        <v>8.2564602306315332E-3</v>
      </c>
      <c r="W43" s="6">
        <v>5.0599085687114742E-2</v>
      </c>
      <c r="X43" s="6">
        <v>1.699847051943203E-2</v>
      </c>
      <c r="Y43" s="6">
        <v>7.6974853036559585E-2</v>
      </c>
      <c r="Z43" s="6">
        <v>0.91801671376966587</v>
      </c>
      <c r="AA43" s="6">
        <v>0.98413989598827867</v>
      </c>
      <c r="AB43" s="6">
        <v>0.41526783015467589</v>
      </c>
      <c r="AC43" s="6">
        <v>0.54908812188264555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9"/>
  <sheetViews>
    <sheetView zoomScale="70" zoomScaleNormal="70" workbookViewId="0">
      <selection activeCell="E20" sqref="E20"/>
    </sheetView>
  </sheetViews>
  <sheetFormatPr baseColWidth="10" defaultRowHeight="15" x14ac:dyDescent="0.25"/>
  <cols>
    <col min="1" max="1" width="12.42578125" bestFit="1" customWidth="1"/>
    <col min="3" max="3" width="12.140625" bestFit="1" customWidth="1"/>
    <col min="15" max="15" width="16.5703125" bestFit="1" customWidth="1"/>
    <col min="24" max="24" width="16.5703125" bestFit="1" customWidth="1"/>
    <col min="32" max="32" width="16.5703125" bestFit="1" customWidth="1"/>
  </cols>
  <sheetData>
    <row r="1" spans="1:38" x14ac:dyDescent="0.25">
      <c r="Q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B1" t="s">
        <v>44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</row>
    <row r="2" spans="1:38" x14ac:dyDescent="0.25">
      <c r="Q2" t="s">
        <v>45</v>
      </c>
      <c r="T2">
        <v>0.56100000000000005</v>
      </c>
      <c r="U2">
        <v>1.0669999999999999</v>
      </c>
      <c r="V2">
        <v>1.0660000000000001</v>
      </c>
      <c r="W2">
        <v>1.0669999999999999</v>
      </c>
      <c r="X2">
        <v>1.0660000000000001</v>
      </c>
      <c r="Y2">
        <v>0.94799999999999995</v>
      </c>
      <c r="Z2">
        <v>1.0669999999999999</v>
      </c>
      <c r="AB2">
        <v>1.39</v>
      </c>
      <c r="AC2">
        <v>1.0669999999999999</v>
      </c>
      <c r="AD2">
        <v>1.26</v>
      </c>
      <c r="AE2">
        <v>1.51</v>
      </c>
      <c r="AF2">
        <v>1.8180000000000001</v>
      </c>
      <c r="AG2">
        <v>2.0842000000000001</v>
      </c>
      <c r="AH2">
        <v>1.8180000000000001</v>
      </c>
      <c r="AI2">
        <v>2.0326</v>
      </c>
      <c r="AJ2">
        <v>2.59</v>
      </c>
      <c r="AK2">
        <v>8</v>
      </c>
      <c r="AL2">
        <v>2.2000000000000002</v>
      </c>
    </row>
    <row r="3" spans="1:38" x14ac:dyDescent="0.25">
      <c r="C3" s="60" t="s">
        <v>33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AB3" s="1"/>
    </row>
    <row r="4" spans="1:38" x14ac:dyDescent="0.25">
      <c r="B4" t="s">
        <v>2</v>
      </c>
      <c r="C4" s="10" t="str">
        <f>'1. DF_continuous_pH7_1'!Z6</f>
        <v xml:space="preserve">C2 </v>
      </c>
      <c r="D4" s="10" t="str">
        <f>'1. DF_continuous_pH7_1'!AA6</f>
        <v>C3</v>
      </c>
      <c r="E4" s="10" t="str">
        <f>'1. DF_continuous_pH7_1'!AB6</f>
        <v>IC4</v>
      </c>
      <c r="F4" s="10" t="str">
        <f>'1. DF_continuous_pH7_1'!AC6</f>
        <v>C4</v>
      </c>
      <c r="G4" s="10" t="str">
        <f>'1. DF_continuous_pH7_1'!AD6</f>
        <v>IC5</v>
      </c>
      <c r="H4" s="10" t="str">
        <f>'1. DF_continuous_pH7_1'!AE6</f>
        <v>C5</v>
      </c>
      <c r="I4" s="10" t="str">
        <f>'1. DF_continuous_pH7_1'!AF6</f>
        <v>IC6</v>
      </c>
      <c r="J4" s="10" t="str">
        <f>'1. DF_continuous_pH7_1'!AG6</f>
        <v>C6</v>
      </c>
      <c r="K4" s="10" t="str">
        <f>'1. DF_continuous_pH7_1'!AH6</f>
        <v>Lactate</v>
      </c>
      <c r="L4" s="10" t="str">
        <f>'1. DF_continuous_pH7_1'!AI6</f>
        <v>Succinate</v>
      </c>
      <c r="M4" s="10" t="str">
        <f>'1. DF_continuous_pH7_1'!AJ6</f>
        <v>Formate</v>
      </c>
      <c r="N4" s="10" t="str">
        <f>'1. DF_continuous_pH7_1'!AK6</f>
        <v>EtOH</v>
      </c>
      <c r="O4" s="10" t="s">
        <v>54</v>
      </c>
      <c r="AB4" s="10"/>
      <c r="AC4" s="10"/>
    </row>
    <row r="5" spans="1:38" x14ac:dyDescent="0.25">
      <c r="A5" s="13">
        <v>44741</v>
      </c>
      <c r="B5" s="1">
        <f>'1. DF_continuous_pH7_1'!Y8</f>
        <v>1</v>
      </c>
      <c r="C5" s="1">
        <f>'1. DF_continuous_pH7_1'!Z8</f>
        <v>3.8732099999999998</v>
      </c>
      <c r="D5" s="1">
        <f>'1. DF_continuous_pH7_1'!AA8</f>
        <v>5.2865099999999998</v>
      </c>
      <c r="E5" s="1">
        <f>'1. DF_continuous_pH7_1'!AB8</f>
        <v>7.9991999999999994E-2</v>
      </c>
      <c r="F5" s="1">
        <f>'1. DF_continuous_pH7_1'!AC8</f>
        <v>1.2707819999999999</v>
      </c>
      <c r="G5" s="1">
        <f>'1. DF_continuous_pH7_1'!AD8</f>
        <v>5.8945400000000002E-2</v>
      </c>
      <c r="H5" s="1">
        <f>'1. DF_continuous_pH7_1'!AE8</f>
        <v>0.152445</v>
      </c>
      <c r="I5" s="1">
        <f>'1. DF_continuous_pH7_1'!AF8</f>
        <v>0</v>
      </c>
      <c r="J5" s="1">
        <f>'1. DF_continuous_pH7_1'!AG8</f>
        <v>0</v>
      </c>
      <c r="K5" s="1">
        <f>'1. DF_continuous_pH7_1'!AH8</f>
        <v>0</v>
      </c>
      <c r="L5" s="1">
        <f>'1. DF_continuous_pH7_1'!AI8</f>
        <v>0</v>
      </c>
      <c r="M5" s="1">
        <f>'1. DF_continuous_pH7_1'!AJ8</f>
        <v>0</v>
      </c>
      <c r="N5" s="1">
        <f>'1. DF_continuous_pH7_1'!AK8</f>
        <v>0</v>
      </c>
      <c r="O5" s="1">
        <f>'1. DF_continuous_pH7_1'!AM8</f>
        <v>27.92157395833334</v>
      </c>
      <c r="AB5" s="1"/>
      <c r="AC5" s="1"/>
      <c r="AD5" s="1"/>
      <c r="AE5" s="1"/>
    </row>
    <row r="6" spans="1:38" x14ac:dyDescent="0.25">
      <c r="A6" s="13">
        <v>44742</v>
      </c>
      <c r="B6" s="1">
        <f>'1. DF_continuous_pH7_1'!Y9</f>
        <v>2</v>
      </c>
      <c r="C6" s="1">
        <f>'1. DF_continuous_pH7_1'!Z9</f>
        <v>5.4598389999999997</v>
      </c>
      <c r="D6" s="1">
        <f>'1. DF_continuous_pH7_1'!AA9</f>
        <v>5.8557800000000002</v>
      </c>
      <c r="E6" s="1">
        <f>'1. DF_continuous_pH7_1'!AB9</f>
        <v>0.13635</v>
      </c>
      <c r="F6" s="1">
        <f>'1. DF_continuous_pH7_1'!AC9</f>
        <v>2.0561579999999999</v>
      </c>
      <c r="G6" s="1">
        <f>'1. DF_continuous_pH7_1'!AD9</f>
        <v>0.14228200000000002</v>
      </c>
      <c r="H6" s="1">
        <f>'1. DF_continuous_pH7_1'!AE9</f>
        <v>0.17277100000000001</v>
      </c>
      <c r="I6" s="1">
        <f>'1. DF_continuous_pH7_1'!AF9</f>
        <v>6.1600000000000009E-2</v>
      </c>
      <c r="J6" s="1">
        <f>'1. DF_continuous_pH7_1'!AG9</f>
        <v>0</v>
      </c>
      <c r="K6" s="1">
        <f>'1. DF_continuous_pH7_1'!AH9</f>
        <v>0</v>
      </c>
      <c r="L6" s="1">
        <f>'1. DF_continuous_pH7_1'!AI9</f>
        <v>0.78665039999999997</v>
      </c>
      <c r="M6" s="1">
        <f>'1. DF_continuous_pH7_1'!AJ9</f>
        <v>0</v>
      </c>
      <c r="N6" s="1">
        <f>'1. DF_continuous_pH7_1'!AK9</f>
        <v>0</v>
      </c>
      <c r="O6" s="1">
        <f>'1. DF_continuous_pH7_1'!AM9</f>
        <v>38.206850000000003</v>
      </c>
      <c r="AB6" s="1"/>
      <c r="AC6" s="1"/>
      <c r="AD6" s="1"/>
      <c r="AE6" s="1"/>
    </row>
    <row r="7" spans="1:38" x14ac:dyDescent="0.25">
      <c r="A7" s="13">
        <v>44743</v>
      </c>
      <c r="B7" s="1">
        <f>'1. DF_continuous_pH7_1'!Y10</f>
        <v>3</v>
      </c>
      <c r="C7" s="1">
        <f>'1. DF_continuous_pH7_1'!Z10</f>
        <v>5.7308570000000003</v>
      </c>
      <c r="D7" s="1">
        <f>'1. DF_continuous_pH7_1'!AA10</f>
        <v>4.7474400000000001</v>
      </c>
      <c r="E7" s="1">
        <f>'1. DF_continuous_pH7_1'!AB10</f>
        <v>0.15634799999999999</v>
      </c>
      <c r="F7" s="1">
        <f>'1. DF_continuous_pH7_1'!AC10</f>
        <v>2.3179499999999997</v>
      </c>
      <c r="G7" s="1">
        <f>'1. DF_continuous_pH7_1'!AD10</f>
        <v>0.162608</v>
      </c>
      <c r="H7" s="1">
        <f>'1. DF_continuous_pH7_1'!AE10</f>
        <v>0.17886879999999999</v>
      </c>
      <c r="I7" s="1">
        <f>'1. DF_continuous_pH7_1'!AF10</f>
        <v>0.10120000000000001</v>
      </c>
      <c r="J7" s="1">
        <f>'1. DF_continuous_pH7_1'!AG10</f>
        <v>0</v>
      </c>
      <c r="K7" s="1">
        <f>'1. DF_continuous_pH7_1'!AH10</f>
        <v>0</v>
      </c>
      <c r="L7" s="1">
        <f>'1. DF_continuous_pH7_1'!AI10</f>
        <v>1.396404</v>
      </c>
      <c r="M7" s="1">
        <f>'1. DF_continuous_pH7_1'!AJ10</f>
        <v>0</v>
      </c>
      <c r="N7" s="1">
        <f>'1. DF_continuous_pH7_1'!AK10</f>
        <v>1.75948164</v>
      </c>
      <c r="O7" s="1">
        <f>'1. DF_continuous_pH7_1'!AM10</f>
        <v>43.101972500000002</v>
      </c>
      <c r="AB7" s="1"/>
      <c r="AC7" s="1"/>
      <c r="AD7" s="1"/>
      <c r="AE7" s="1"/>
    </row>
    <row r="8" spans="1:38" x14ac:dyDescent="0.25">
      <c r="A8" s="13">
        <v>44746</v>
      </c>
      <c r="B8" s="1">
        <f>'1. DF_continuous_pH7_1'!Y11</f>
        <v>6</v>
      </c>
      <c r="C8" s="1">
        <f>'1. DF_continuous_pH7_1'!Z11</f>
        <v>5.6006829999999992</v>
      </c>
      <c r="D8" s="1">
        <f>'1. DF_continuous_pH7_1'!AA11</f>
        <v>3.1800599999999997</v>
      </c>
      <c r="E8" s="1">
        <f>'1. DF_continuous_pH7_1'!AB11</f>
        <v>0.14180400000000001</v>
      </c>
      <c r="F8" s="1">
        <f>'1. DF_continuous_pH7_1'!AC11</f>
        <v>2.2634100000000004</v>
      </c>
      <c r="G8" s="1">
        <f>'1. DF_continuous_pH7_1'!AD11</f>
        <v>0.10976039999999999</v>
      </c>
      <c r="H8" s="1">
        <f>'1. DF_continuous_pH7_1'!AE11</f>
        <v>0.18293399999999999</v>
      </c>
      <c r="I8" s="1">
        <f>'1. DF_continuous_pH7_1'!AF11</f>
        <v>0.17600000000000002</v>
      </c>
      <c r="J8" s="1">
        <f>'1. DF_continuous_pH7_1'!AG11</f>
        <v>9.240000000000001E-2</v>
      </c>
      <c r="K8" s="1">
        <f>'1. DF_continuous_pH7_1'!AH11</f>
        <v>0</v>
      </c>
      <c r="L8" s="1">
        <f>'1. DF_continuous_pH7_1'!AI11</f>
        <v>1.6608959999999999</v>
      </c>
      <c r="M8" s="1">
        <f>'1. DF_continuous_pH7_1'!AJ11</f>
        <v>0.75893999999999995</v>
      </c>
      <c r="N8" s="1">
        <f>'1. DF_continuous_pH7_1'!AK11</f>
        <v>2.5031242000000002</v>
      </c>
      <c r="O8" s="1">
        <f>'1. DF_continuous_pH7_1'!AM11</f>
        <v>43.411488541666678</v>
      </c>
      <c r="AB8" s="1"/>
      <c r="AC8" s="1"/>
      <c r="AD8" s="1"/>
      <c r="AE8" s="1"/>
    </row>
    <row r="9" spans="1:38" x14ac:dyDescent="0.25">
      <c r="A9" s="13">
        <v>44747</v>
      </c>
      <c r="B9" s="1">
        <f>'1. DF_continuous_pH7_1'!Y12</f>
        <v>7</v>
      </c>
      <c r="C9" s="1">
        <f>'1. DF_continuous_pH7_1'!Z12</f>
        <v>6.0456219999999998</v>
      </c>
      <c r="D9" s="1">
        <f>'1. DF_continuous_pH7_1'!AA12</f>
        <v>3.2857600000000002</v>
      </c>
      <c r="E9" s="1">
        <f>'1. DF_continuous_pH7_1'!AB12</f>
        <v>0.12726000000000001</v>
      </c>
      <c r="F9" s="1">
        <f>'1. DF_continuous_pH7_1'!AC12</f>
        <v>2.4015780000000002</v>
      </c>
      <c r="G9" s="1">
        <f>'1. DF_continuous_pH7_1'!AD12</f>
        <v>0.111793</v>
      </c>
      <c r="H9" s="1">
        <f>'1. DF_continuous_pH7_1'!AE12</f>
        <v>0.1869992</v>
      </c>
      <c r="I9" s="1">
        <f>'1. DF_continuous_pH7_1'!AF12</f>
        <v>0.1628</v>
      </c>
      <c r="J9" s="1">
        <f>'1. DF_continuous_pH7_1'!AG12</f>
        <v>8.3600000000000008E-2</v>
      </c>
      <c r="K9" s="1">
        <f>'1. DF_continuous_pH7_1'!AH12</f>
        <v>0</v>
      </c>
      <c r="L9" s="1">
        <f>'1. DF_continuous_pH7_1'!AI12</f>
        <v>1.4523359999999998</v>
      </c>
      <c r="M9" s="1">
        <f>'1. DF_continuous_pH7_1'!AJ12</f>
        <v>0.76310999999999996</v>
      </c>
      <c r="N9" s="1">
        <f>'1. DF_continuous_pH7_1'!AK12</f>
        <v>2.4906190000000001</v>
      </c>
      <c r="O9" s="1">
        <f>'1. DF_continuous_pH7_1'!AM12</f>
        <v>44.561138541666679</v>
      </c>
    </row>
    <row r="10" spans="1:38" x14ac:dyDescent="0.25">
      <c r="A10" s="13">
        <v>44748</v>
      </c>
      <c r="B10" s="1">
        <f>'1. DF_continuous_pH7_1'!Y13</f>
        <v>8</v>
      </c>
      <c r="C10" s="1">
        <f>'1. DF_continuous_pH7_1'!Z13</f>
        <v>5.3382009999999998</v>
      </c>
      <c r="D10" s="1">
        <f>'1. DF_continuous_pH7_1'!AA13</f>
        <v>2.7904800000000001</v>
      </c>
      <c r="E10" s="1">
        <f>'1. DF_continuous_pH7_1'!AB13</f>
        <v>9.9990000000000009E-2</v>
      </c>
      <c r="F10" s="1">
        <f>'1. DF_continuous_pH7_1'!AC13</f>
        <v>2.6851860000000003</v>
      </c>
      <c r="G10" s="1">
        <f>'1. DF_continuous_pH7_1'!AD13</f>
        <v>8.7401799999999988E-2</v>
      </c>
      <c r="H10" s="1">
        <f>'1. DF_continuous_pH7_1'!AE13</f>
        <v>0.19919480000000001</v>
      </c>
      <c r="I10" s="1">
        <f>'1. DF_continuous_pH7_1'!AF13</f>
        <v>0.1298</v>
      </c>
      <c r="J10" s="1">
        <f>'1. DF_continuous_pH7_1'!AG13</f>
        <v>0.10120000000000001</v>
      </c>
      <c r="K10" s="1">
        <f>'1. DF_continuous_pH7_1'!AH13</f>
        <v>0</v>
      </c>
      <c r="L10" s="1">
        <f>'1. DF_continuous_pH7_1'!AI13</f>
        <v>1.5060198857142857</v>
      </c>
      <c r="M10" s="1">
        <f>'1. DF_continuous_pH7_1'!AJ13</f>
        <v>0.68376085714285706</v>
      </c>
      <c r="N10" s="1">
        <f>'1. DF_continuous_pH7_1'!AK13</f>
        <v>2.9267527371428574</v>
      </c>
      <c r="O10" s="1">
        <f>'1. DF_continuous_pH7_1'!AM13</f>
        <v>43.093716354166673</v>
      </c>
    </row>
    <row r="11" spans="1:38" x14ac:dyDescent="0.25">
      <c r="A11" s="13">
        <v>44749</v>
      </c>
      <c r="B11" s="1">
        <f>'1. DF_continuous_pH7_1'!Y14</f>
        <v>9</v>
      </c>
      <c r="C11" s="1">
        <f>'1. DF_continuous_pH7_1'!Z14</f>
        <v>5.2773819999999994</v>
      </c>
      <c r="D11" s="1">
        <f>'1. DF_continuous_pH7_1'!AA14</f>
        <v>2.6817600000000001</v>
      </c>
      <c r="E11" s="1">
        <f>'1. DF_continuous_pH7_1'!AB14</f>
        <v>0.12362400000000001</v>
      </c>
      <c r="F11" s="1">
        <f>'1. DF_continuous_pH7_1'!AC14</f>
        <v>2.9015280000000003</v>
      </c>
      <c r="G11" s="1">
        <f>'1. DF_continuous_pH7_1'!AD14</f>
        <v>0.12398859999999999</v>
      </c>
      <c r="H11" s="1">
        <f>'1. DF_continuous_pH7_1'!AE14</f>
        <v>0.20326</v>
      </c>
      <c r="I11" s="1">
        <f>'1. DF_continuous_pH7_1'!AF14</f>
        <v>0.10780000000000001</v>
      </c>
      <c r="J11" s="1">
        <f>'1. DF_continuous_pH7_1'!AG14</f>
        <v>9.240000000000001E-2</v>
      </c>
      <c r="K11" s="1">
        <f>'1. DF_continuous_pH7_1'!AH14</f>
        <v>0.66474099999999992</v>
      </c>
      <c r="L11" s="1">
        <f>'1. DF_continuous_pH7_1'!AI14</f>
        <v>1.7936701714285714</v>
      </c>
      <c r="M11" s="1">
        <f>'1. DF_continuous_pH7_1'!AJ14</f>
        <v>1.2134699999999998</v>
      </c>
      <c r="N11" s="1">
        <f>'1. DF_continuous_pH7_1'!AK14</f>
        <v>2.5542764228571433</v>
      </c>
      <c r="O11" s="1">
        <f>'1. DF_continuous_pH7_1'!AM14</f>
        <v>46.192448422619051</v>
      </c>
    </row>
    <row r="12" spans="1:38" x14ac:dyDescent="0.25">
      <c r="A12" s="13">
        <v>44750</v>
      </c>
      <c r="B12" s="1">
        <f>'1. DF_continuous_pH7_1'!Y15</f>
        <v>10</v>
      </c>
      <c r="C12" s="1">
        <f>'1. DF_continuous_pH7_1'!Z15</f>
        <v>5.1781509999999997</v>
      </c>
      <c r="D12" s="1">
        <f>'1. DF_continuous_pH7_1'!AA15</f>
        <v>2.5126399999999998</v>
      </c>
      <c r="E12" s="1">
        <f>'1. DF_continuous_pH7_1'!AB15</f>
        <v>0.129078</v>
      </c>
      <c r="F12" s="1">
        <f>'1. DF_continuous_pH7_1'!AC15</f>
        <v>3.2542200000000001</v>
      </c>
      <c r="G12" s="1">
        <f>'1. DF_continuous_pH7_1'!AD15</f>
        <v>0.1382168</v>
      </c>
      <c r="H12" s="1">
        <f>'1. DF_continuous_pH7_1'!AE15</f>
        <v>0.1890318</v>
      </c>
      <c r="I12" s="1">
        <f>'1. DF_continuous_pH7_1'!AF15</f>
        <v>8.14E-2</v>
      </c>
      <c r="J12" s="1">
        <f>'1. DF_continuous_pH7_1'!AG15</f>
        <v>7.4800000000000005E-2</v>
      </c>
      <c r="K12" s="1">
        <f>'1. DF_continuous_pH7_1'!AH15</f>
        <v>0.75223499999999988</v>
      </c>
      <c r="L12" s="1">
        <f>'1. DF_continuous_pH7_1'!AI15</f>
        <v>1.8906911999999998</v>
      </c>
      <c r="M12" s="1">
        <f>'1. DF_continuous_pH7_1'!AJ15</f>
        <v>1.3843208571428569</v>
      </c>
      <c r="N12" s="1">
        <f>'1. DF_continuous_pH7_1'!AK15</f>
        <v>2.5601717314285719</v>
      </c>
      <c r="O12" s="1">
        <f>'1. DF_continuous_pH7_1'!AM15</f>
        <v>47.2524905952381</v>
      </c>
    </row>
    <row r="13" spans="1:38" x14ac:dyDescent="0.25">
      <c r="A13" s="13">
        <v>44753</v>
      </c>
      <c r="B13" s="1">
        <f>'1. DF_continuous_pH7_1'!Y16</f>
        <v>13</v>
      </c>
      <c r="C13" s="1">
        <f>'1. DF_continuous_pH7_1'!Z16</f>
        <v>6.2344809999999997</v>
      </c>
      <c r="D13" s="1">
        <f>'1. DF_continuous_pH7_1'!AA16</f>
        <v>3.32653</v>
      </c>
      <c r="E13" s="1">
        <f>'1. DF_continuous_pH7_1'!AB16</f>
        <v>0.176346</v>
      </c>
      <c r="F13" s="1">
        <f>'1. DF_continuous_pH7_1'!AC16</f>
        <v>4.2268500000000007</v>
      </c>
      <c r="G13" s="1">
        <f>'1. DF_continuous_pH7_1'!AD16</f>
        <v>0.162608</v>
      </c>
      <c r="H13" s="1">
        <f>'1. DF_continuous_pH7_1'!AE16</f>
        <v>0.49595439999999996</v>
      </c>
      <c r="I13" s="1">
        <f>'1. DF_continuous_pH7_1'!AF16</f>
        <v>7.2600000000000012E-2</v>
      </c>
      <c r="J13" s="1">
        <f>'1. DF_continuous_pH7_1'!AG16</f>
        <v>0.34760000000000002</v>
      </c>
      <c r="K13" s="1">
        <f>'1. DF_continuous_pH7_1'!AH16</f>
        <v>0</v>
      </c>
      <c r="L13" s="1">
        <f>'1. DF_continuous_pH7_1'!AI16</f>
        <v>2.1432384</v>
      </c>
      <c r="M13" s="1">
        <f>'1. DF_continuous_pH7_1'!AJ16</f>
        <v>0.80457171428571428</v>
      </c>
      <c r="N13" s="1">
        <f>'1. DF_continuous_pH7_1'!AK16</f>
        <v>0</v>
      </c>
      <c r="O13" s="1">
        <f>'1. DF_continuous_pH7_1'!AM16</f>
        <v>46.850988318452387</v>
      </c>
    </row>
    <row r="14" spans="1:38" x14ac:dyDescent="0.25">
      <c r="A14" s="13">
        <v>44754</v>
      </c>
      <c r="B14" s="1">
        <f>'1. DF_continuous_pH7_1'!Y17</f>
        <v>14</v>
      </c>
      <c r="C14" s="1">
        <f>'1. DF_continuous_pH7_1'!Z17</f>
        <v>5.3936849999999996</v>
      </c>
      <c r="D14" s="1">
        <f>'1. DF_continuous_pH7_1'!AA17</f>
        <v>3.0184900000000003</v>
      </c>
      <c r="E14" s="1">
        <f>'1. DF_continuous_pH7_1'!AB17</f>
        <v>0.161802</v>
      </c>
      <c r="F14" s="1">
        <f>'1. DF_continuous_pH7_1'!AC17</f>
        <v>4.6577159999999997</v>
      </c>
      <c r="G14" s="1">
        <f>'1. DF_continuous_pH7_1'!AD17</f>
        <v>0.18090139999999999</v>
      </c>
      <c r="H14" s="1">
        <f>'1. DF_continuous_pH7_1'!AE17</f>
        <v>0.52847600000000006</v>
      </c>
      <c r="I14" s="1">
        <f>'1. DF_continuous_pH7_1'!AF17</f>
        <v>4.1800000000000004E-2</v>
      </c>
      <c r="J14" s="1">
        <f>'1. DF_continuous_pH7_1'!AG17</f>
        <v>0.52139999999999997</v>
      </c>
      <c r="K14" s="1">
        <f>'1. DF_continuous_pH7_1'!AH17</f>
        <v>2.0893384285714287</v>
      </c>
      <c r="L14" s="1">
        <f>'1. DF_continuous_pH7_1'!AI17</f>
        <v>0.5487294857142857</v>
      </c>
      <c r="M14" s="1">
        <f>'1. DF_continuous_pH7_1'!AJ17</f>
        <v>1.1855905714285715</v>
      </c>
      <c r="N14" s="1">
        <f>'1. DF_continuous_pH7_1'!AK17</f>
        <v>0</v>
      </c>
      <c r="O14" s="1">
        <f>'1. DF_continuous_pH7_1'!AM17</f>
        <v>47.72898147321429</v>
      </c>
    </row>
    <row r="15" spans="1:38" x14ac:dyDescent="0.25">
      <c r="A15" s="13">
        <v>44755</v>
      </c>
      <c r="B15" s="1">
        <f>'1. DF_continuous_pH7_1'!Y18</f>
        <v>15</v>
      </c>
      <c r="C15" s="1">
        <f>'1. DF_continuous_pH7_1'!Z18</f>
        <v>5.0575799999999997</v>
      </c>
      <c r="D15" s="1">
        <f>'1. DF_continuous_pH7_1'!AA18</f>
        <v>2.6832699999999998</v>
      </c>
      <c r="E15" s="1">
        <f>'1. DF_continuous_pH7_1'!AB18</f>
        <v>0.143622</v>
      </c>
      <c r="F15" s="1">
        <f>'1. DF_continuous_pH7_1'!AC18</f>
        <v>5.5430820000000001</v>
      </c>
      <c r="G15" s="1">
        <f>'1. DF_continuous_pH7_1'!AD18</f>
        <v>0.17683619999999997</v>
      </c>
      <c r="H15" s="1">
        <f>'1. DF_continuous_pH7_1'!AE18</f>
        <v>0.5975843999999999</v>
      </c>
      <c r="I15" s="1">
        <f>'1. DF_continuous_pH7_1'!AF18</f>
        <v>0</v>
      </c>
      <c r="J15" s="1">
        <f>'1. DF_continuous_pH7_1'!AG18</f>
        <v>0.69080000000000008</v>
      </c>
      <c r="K15" s="1">
        <f>'1. DF_continuous_pH7_1'!AH18</f>
        <v>9.0542571428571431E-2</v>
      </c>
      <c r="L15" s="1">
        <f>'1. DF_continuous_pH7_1'!AI18</f>
        <v>1.3149030857142858</v>
      </c>
      <c r="M15" s="1">
        <f>'1. DF_continuous_pH7_1'!AJ18</f>
        <v>1.3903971428571429</v>
      </c>
      <c r="N15" s="1">
        <f>'1. DF_continuous_pH7_1'!AK18</f>
        <v>0</v>
      </c>
      <c r="O15" s="1">
        <f>'1. DF_continuous_pH7_1'!AM18</f>
        <v>46.064107812500005</v>
      </c>
    </row>
    <row r="16" spans="1:38" x14ac:dyDescent="0.25">
      <c r="A16" s="13">
        <v>44760</v>
      </c>
      <c r="B16" s="1">
        <f>'1. DF_continuous_pH7_1'!Y19</f>
        <v>20</v>
      </c>
      <c r="C16" s="1">
        <f>'1. DF_continuous_pH7_1'!Z19</f>
        <v>4.2840049999999996</v>
      </c>
      <c r="D16" s="1">
        <f>'1. DF_continuous_pH7_1'!AA19</f>
        <v>1.54322</v>
      </c>
      <c r="E16" s="1">
        <f>'1. DF_continuous_pH7_1'!AB19</f>
        <v>0.10908</v>
      </c>
      <c r="F16" s="1">
        <f>'1. DF_continuous_pH7_1'!AC19</f>
        <v>4.56318</v>
      </c>
      <c r="G16" s="1">
        <f>'1. DF_continuous_pH7_1'!AD19</f>
        <v>0.1402494</v>
      </c>
      <c r="H16" s="1">
        <f>'1. DF_continuous_pH7_1'!AE19</f>
        <v>0.69311660000000008</v>
      </c>
      <c r="I16" s="1">
        <f>'1. DF_continuous_pH7_1'!AF19</f>
        <v>0</v>
      </c>
      <c r="J16" s="1">
        <f>'1. DF_continuous_pH7_1'!AG19</f>
        <v>1.0186000000000002</v>
      </c>
      <c r="K16" s="1">
        <f>'1. DF_continuous_pH7_1'!AH19</f>
        <v>0.91009002857142862</v>
      </c>
      <c r="L16" s="1">
        <f>'1. DF_continuous_pH7_1'!AI19</f>
        <v>1.3363549714285714</v>
      </c>
      <c r="M16" s="1">
        <f>'1. DF_continuous_pH7_1'!AJ19</f>
        <v>1.0179565714285714</v>
      </c>
      <c r="N16" s="1">
        <f>'1. DF_continuous_pH7_1'!AK19</f>
        <v>0</v>
      </c>
      <c r="O16" s="1">
        <f>'1. DF_continuous_pH7_1'!AM19</f>
        <v>40.666282738095241</v>
      </c>
    </row>
    <row r="17" spans="1:15" x14ac:dyDescent="0.25">
      <c r="A17" s="13">
        <v>44761</v>
      </c>
      <c r="B17" s="1">
        <f>'1. DF_continuous_pH7_1'!Y20</f>
        <v>21</v>
      </c>
      <c r="C17" s="1">
        <f>'1. DF_continuous_pH7_1'!Z20</f>
        <v>3.7142269999999997</v>
      </c>
      <c r="D17" s="1">
        <f>'1. DF_continuous_pH7_1'!AA20</f>
        <v>1.4375199999999999</v>
      </c>
      <c r="E17" s="1">
        <f>'1. DF_continuous_pH7_1'!AB20</f>
        <v>9.2717999999999995E-2</v>
      </c>
      <c r="F17" s="1">
        <f>'1. DF_continuous_pH7_1'!AC20</f>
        <v>5.0013180000000004</v>
      </c>
      <c r="G17" s="1">
        <f>'1. DF_continuous_pH7_1'!AD20</f>
        <v>9.9597400000000003E-2</v>
      </c>
      <c r="H17" s="1">
        <f>'1. DF_continuous_pH7_1'!AE20</f>
        <v>0.5040848</v>
      </c>
      <c r="I17" s="1">
        <f>'1. DF_continuous_pH7_1'!AF20</f>
        <v>0</v>
      </c>
      <c r="J17" s="1">
        <f>'1. DF_continuous_pH7_1'!AG20</f>
        <v>1.0472000000000001</v>
      </c>
      <c r="K17" s="1">
        <f>'1. DF_continuous_pH7_1'!AH20</f>
        <v>0.39427174285714284</v>
      </c>
      <c r="L17" s="1">
        <f>'1. DF_continuous_pH7_1'!AI20</f>
        <v>1.3261165714285714</v>
      </c>
      <c r="M17" s="1">
        <f>'1. DF_continuous_pH7_1'!AJ20</f>
        <v>1.4161320000000002</v>
      </c>
      <c r="N17" s="1">
        <f>'1. DF_continuous_pH7_1'!AK20</f>
        <v>0</v>
      </c>
      <c r="O17" s="1">
        <f>'1. DF_continuous_pH7_1'!AM20</f>
        <v>26.099280406746029</v>
      </c>
    </row>
    <row r="18" spans="1:15" x14ac:dyDescent="0.25">
      <c r="A18" s="13">
        <v>44762</v>
      </c>
      <c r="B18" s="1">
        <f>'1. DF_continuous_pH7_1'!Y21</f>
        <v>22</v>
      </c>
      <c r="C18" s="1">
        <f>'1. DF_continuous_pH7_1'!Z21</f>
        <v>3.77718</v>
      </c>
      <c r="D18" s="1">
        <f>'1. DF_continuous_pH7_1'!AA21</f>
        <v>1.9252499999999999</v>
      </c>
      <c r="E18" s="1">
        <f>'1. DF_continuous_pH7_1'!AB21</f>
        <v>0.147258</v>
      </c>
      <c r="F18" s="1">
        <f>'1. DF_continuous_pH7_1'!AC21</f>
        <v>4.3413839999999997</v>
      </c>
      <c r="G18" s="1">
        <f>'1. DF_continuous_pH7_1'!AD21</f>
        <v>0.1402494</v>
      </c>
      <c r="H18" s="1">
        <f>'1. DF_continuous_pH7_1'!AE21</f>
        <v>0.56303020000000004</v>
      </c>
      <c r="I18" s="1">
        <f>'1. DF_continuous_pH7_1'!AF21</f>
        <v>0</v>
      </c>
      <c r="J18" s="1">
        <f>'1. DF_continuous_pH7_1'!AG21</f>
        <v>1.2562</v>
      </c>
      <c r="K18" s="1">
        <f>'1. DF_continuous_pH7_1'!AH21</f>
        <v>0.39427174285714284</v>
      </c>
      <c r="L18" s="1">
        <f>'1. DF_continuous_pH7_1'!AI21</f>
        <v>1.3261165714285714</v>
      </c>
      <c r="M18" s="1">
        <f>'1. DF_continuous_pH7_1'!AJ21</f>
        <v>1.4161320000000002</v>
      </c>
      <c r="N18" s="1">
        <f>'1. DF_continuous_pH7_1'!AK21</f>
        <v>0</v>
      </c>
      <c r="O18" s="1">
        <f>'1. DF_continuous_pH7_1'!AM21</f>
        <v>26.540055406746028</v>
      </c>
    </row>
    <row r="19" spans="1:15" x14ac:dyDescent="0.25">
      <c r="A19" s="13">
        <v>44763</v>
      </c>
      <c r="B19" s="1">
        <f>'1. DF_continuous_pH7_1'!Y22</f>
        <v>23</v>
      </c>
      <c r="C19" s="1">
        <f>'1. DF_continuous_pH7_1'!Z22</f>
        <v>4.9988949999999992</v>
      </c>
      <c r="D19" s="1">
        <f>'1. DF_continuous_pH7_1'!AA22</f>
        <v>2.10947</v>
      </c>
      <c r="E19" s="1">
        <f>'1. DF_continuous_pH7_1'!AB22</f>
        <v>0.165438</v>
      </c>
      <c r="F19" s="1">
        <f>'1. DF_continuous_pH7_1'!AC22</f>
        <v>4.114134</v>
      </c>
      <c r="G19" s="1">
        <f>'1. DF_continuous_pH7_1'!AD22</f>
        <v>0.13618420000000001</v>
      </c>
      <c r="H19" s="1">
        <f>'1. DF_continuous_pH7_1'!AE22</f>
        <v>0.63417119999999993</v>
      </c>
      <c r="I19" s="1">
        <f>'1. DF_continuous_pH7_1'!AF22</f>
        <v>0</v>
      </c>
      <c r="J19" s="1">
        <f>'1. DF_continuous_pH7_1'!AG22</f>
        <v>1.2385999999999999</v>
      </c>
      <c r="K19" s="1">
        <f>'1. DF_continuous_pH7_1'!AH22</f>
        <v>1.0250516571428572</v>
      </c>
      <c r="L19" s="1">
        <f>'1. DF_continuous_pH7_1'!AI22</f>
        <v>1.7337024000000001</v>
      </c>
      <c r="M19" s="1">
        <f>'1. DF_continuous_pH7_1'!AJ22</f>
        <v>1.8025122857142857</v>
      </c>
      <c r="N19" s="1">
        <f>'1. DF_continuous_pH7_1'!AK22</f>
        <v>0</v>
      </c>
      <c r="O19" s="1">
        <f>'1. DF_continuous_pH7_1'!AM22</f>
        <v>31.177358928571429</v>
      </c>
    </row>
    <row r="20" spans="1:15" x14ac:dyDescent="0.25">
      <c r="A20" s="13">
        <v>44764</v>
      </c>
      <c r="B20" s="1">
        <f>'1. DF_continuous_pH7_1'!Y23</f>
        <v>24</v>
      </c>
      <c r="C20" s="1">
        <f>'1. DF_continuous_pH7_1'!Z23</f>
        <v>6.0264159999999993</v>
      </c>
      <c r="D20" s="1">
        <f>'1. DF_continuous_pH7_1'!AA23</f>
        <v>2.1381600000000001</v>
      </c>
      <c r="E20" s="1">
        <f>'1. DF_continuous_pH7_1'!AB23</f>
        <v>0.12362400000000001</v>
      </c>
      <c r="F20" s="1">
        <f>'1. DF_continuous_pH7_1'!AC23</f>
        <v>3.2578560000000003</v>
      </c>
      <c r="G20" s="1">
        <f>'1. DF_continuous_pH7_1'!AD23</f>
        <v>7.5206200000000001E-2</v>
      </c>
      <c r="H20" s="1">
        <f>'1. DF_continuous_pH7_1'!AE23</f>
        <v>0.70327959999999989</v>
      </c>
      <c r="I20" s="1">
        <f>'1. DF_continuous_pH7_1'!AF23</f>
        <v>0.10560000000000001</v>
      </c>
      <c r="J20" s="1">
        <f>'1. DF_continuous_pH7_1'!AG23</f>
        <v>1.1616000000000002</v>
      </c>
      <c r="K20" s="1">
        <f>'1. DF_continuous_pH7_1'!AH23</f>
        <v>1.2001006285714286</v>
      </c>
      <c r="L20" s="1">
        <f>'1. DF_continuous_pH7_1'!AI23</f>
        <v>2.4825682285714286</v>
      </c>
      <c r="M20" s="1">
        <f>'1. DF_continuous_pH7_1'!AJ23</f>
        <v>1.9551342857142859</v>
      </c>
      <c r="N20" s="1">
        <f>'1. DF_continuous_pH7_1'!AK23</f>
        <v>0</v>
      </c>
      <c r="O20" s="1">
        <f>'1. DF_continuous_pH7_1'!AM23</f>
        <v>33.38462663690477</v>
      </c>
    </row>
    <row r="21" spans="1:15" x14ac:dyDescent="0.25">
      <c r="A21" s="13">
        <v>44767</v>
      </c>
      <c r="B21" s="1">
        <f>'1. DF_continuous_pH7_1'!Y24</f>
        <v>27</v>
      </c>
      <c r="C21" s="1">
        <f>'1. DF_continuous_pH7_1'!Z24</f>
        <v>6.9269639999999999</v>
      </c>
      <c r="D21" s="1">
        <f>'1. DF_continuous_pH7_1'!AA24</f>
        <v>2.6651499999999997</v>
      </c>
      <c r="E21" s="1">
        <f>'1. DF_continuous_pH7_1'!AB24</f>
        <v>0.161802</v>
      </c>
      <c r="F21" s="1">
        <f>'1. DF_continuous_pH7_1'!AC24</f>
        <v>3.1578660000000003</v>
      </c>
      <c r="G21" s="1">
        <f>'1. DF_continuous_pH7_1'!AD24</f>
        <v>0.1077278</v>
      </c>
      <c r="H21" s="1">
        <f>'1. DF_continuous_pH7_1'!AE24</f>
        <v>1.2378533999999999</v>
      </c>
      <c r="I21" s="1">
        <f>'1. DF_continuous_pH7_1'!AF24</f>
        <v>7.7000000000000013E-2</v>
      </c>
      <c r="J21" s="1">
        <f>'1. DF_continuous_pH7_1'!AG24</f>
        <v>1.5378000000000001</v>
      </c>
      <c r="K21" s="1">
        <f>'1. DF_continuous_pH7_1'!AH24</f>
        <v>0</v>
      </c>
      <c r="L21" s="1">
        <f>'1. DF_continuous_pH7_1'!AI24</f>
        <v>2.435520342857143</v>
      </c>
      <c r="M21" s="1">
        <f>'1. DF_continuous_pH7_1'!AJ24</f>
        <v>1.6541794285714286</v>
      </c>
      <c r="N21" s="1">
        <f>'1. DF_continuous_pH7_1'!AK24</f>
        <v>0</v>
      </c>
      <c r="O21" s="1">
        <f>'1. DF_continuous_pH7_1'!AM24</f>
        <v>34.656012103174596</v>
      </c>
    </row>
    <row r="22" spans="1:15" x14ac:dyDescent="0.25">
      <c r="A22" s="13">
        <v>44768</v>
      </c>
      <c r="B22" s="1">
        <f>'1. DF_continuous_pH7_1'!Y25</f>
        <v>28</v>
      </c>
      <c r="C22" s="1">
        <f>'1. DF_continuous_pH7_1'!Z25</f>
        <v>6.8768149999999997</v>
      </c>
      <c r="D22" s="1">
        <f>'1. DF_continuous_pH7_1'!AA25</f>
        <v>2.6409900000000004</v>
      </c>
      <c r="E22" s="1">
        <f>'1. DF_continuous_pH7_1'!AB25</f>
        <v>0.24724800000000002</v>
      </c>
      <c r="F22" s="1">
        <f>'1. DF_continuous_pH7_1'!AC25</f>
        <v>3.4814700000000003</v>
      </c>
      <c r="G22" s="1">
        <f>'1. DF_continuous_pH7_1'!AD25</f>
        <v>0.10976039999999999</v>
      </c>
      <c r="H22" s="1">
        <f>'1. DF_continuous_pH7_1'!AE25</f>
        <v>1.1504515999999998</v>
      </c>
      <c r="I22" s="1">
        <f>'1. DF_continuous_pH7_1'!AF25</f>
        <v>6.3800000000000009E-2</v>
      </c>
      <c r="J22" s="1">
        <f>'1. DF_continuous_pH7_1'!AG25</f>
        <v>1.4564000000000001</v>
      </c>
      <c r="K22" s="1">
        <f>'1. DF_continuous_pH7_1'!AH25</f>
        <v>0</v>
      </c>
      <c r="L22" s="1">
        <f>'1. DF_continuous_pH7_1'!AI25</f>
        <v>2.2214890285714288</v>
      </c>
      <c r="M22" s="1">
        <f>'1. DF_continuous_pH7_1'!AJ25</f>
        <v>2.0963185714285713</v>
      </c>
      <c r="N22" s="1">
        <f>'1. DF_continuous_pH7_1'!AK25</f>
        <v>0</v>
      </c>
      <c r="O22" s="1">
        <f>'1. DF_continuous_pH7_1'!AM25</f>
        <v>35.320733680555563</v>
      </c>
    </row>
    <row r="23" spans="1:15" x14ac:dyDescent="0.25">
      <c r="A23" s="13">
        <v>44769</v>
      </c>
      <c r="B23" s="1">
        <f>'1. DF_continuous_pH7_1'!Y26</f>
        <v>29</v>
      </c>
      <c r="C23" s="1">
        <f>'1. DF_continuous_pH7_1'!Z26</f>
        <v>8.1838899999999999</v>
      </c>
      <c r="D23" s="1">
        <f>'1. DF_continuous_pH7_1'!AA26</f>
        <v>3.8097300000000001</v>
      </c>
      <c r="E23" s="1">
        <f>'1. DF_continuous_pH7_1'!AB26</f>
        <v>0.24906600000000004</v>
      </c>
      <c r="F23" s="1">
        <f>'1. DF_continuous_pH7_1'!AC26</f>
        <v>4.579542</v>
      </c>
      <c r="G23" s="1">
        <f>'1. DF_continuous_pH7_1'!AD26</f>
        <v>0.31505299999999997</v>
      </c>
      <c r="H23" s="1">
        <f>'1. DF_continuous_pH7_1'!AE26</f>
        <v>2.0834149999999996</v>
      </c>
      <c r="I23" s="1">
        <f>'1. DF_continuous_pH7_1'!AF26</f>
        <v>7.4800000000000005E-2</v>
      </c>
      <c r="J23" s="1">
        <f>'1. DF_continuous_pH7_1'!AG26</f>
        <v>2.3342000000000001</v>
      </c>
      <c r="K23" s="1">
        <f>'1. DF_continuous_pH7_1'!AH26</f>
        <v>4.0881342857142858E-2</v>
      </c>
      <c r="L23" s="1">
        <f>'1. DF_continuous_pH7_1'!AI26</f>
        <v>1.7234639999999999</v>
      </c>
      <c r="M23" s="1">
        <f>'1. DF_continuous_pH7_1'!AJ26</f>
        <v>2.113117714285714</v>
      </c>
      <c r="N23" s="1">
        <f>'1. DF_continuous_pH7_1'!AK26</f>
        <v>0</v>
      </c>
      <c r="O23" s="1">
        <f>'1. DF_continuous_pH7_1'!AM26</f>
        <v>44.283262251984127</v>
      </c>
    </row>
    <row r="24" spans="1:15" x14ac:dyDescent="0.25">
      <c r="A24" s="13">
        <v>44770</v>
      </c>
      <c r="B24" s="1">
        <f>'1. DF_continuous_pH7_1'!Y27</f>
        <v>30</v>
      </c>
      <c r="C24" s="1">
        <f>'1. DF_continuous_pH7_1'!Z27</f>
        <v>7.5564939999999998</v>
      </c>
      <c r="D24" s="1">
        <f>'1. DF_continuous_pH7_1'!AA27</f>
        <v>3.1075799999999996</v>
      </c>
      <c r="E24" s="1">
        <f>'1. DF_continuous_pH7_1'!AB27</f>
        <v>0.323604</v>
      </c>
      <c r="F24" s="1">
        <f>'1. DF_continuous_pH7_1'!AC27</f>
        <v>5.0504040000000003</v>
      </c>
      <c r="G24" s="1">
        <f>'1. DF_continuous_pH7_1'!AD27</f>
        <v>0.18293399999999999</v>
      </c>
      <c r="H24" s="1">
        <f>'1. DF_continuous_pH7_1'!AE27</f>
        <v>1.2915140399999998</v>
      </c>
      <c r="I24" s="1">
        <f>'1. DF_continuous_pH7_1'!AF27</f>
        <v>0</v>
      </c>
      <c r="J24" s="1">
        <f>'1. DF_continuous_pH7_1'!AG27</f>
        <v>1.6302000000000001</v>
      </c>
      <c r="K24" s="1">
        <f>'1. DF_continuous_pH7_1'!AH27</f>
        <v>0.50511780000000006</v>
      </c>
      <c r="L24" s="1">
        <f>'1. DF_continuous_pH7_1'!AI27</f>
        <v>2.5844646857142859</v>
      </c>
      <c r="M24" s="1">
        <f>'1. DF_continuous_pH7_1'!AJ27</f>
        <v>2.8122479999999999</v>
      </c>
      <c r="N24" s="1">
        <f>'1. DF_continuous_pH7_1'!AK27</f>
        <v>0</v>
      </c>
      <c r="O24" s="1">
        <f>'1. DF_continuous_pH7_1'!AM27</f>
        <v>43.480139801587299</v>
      </c>
    </row>
    <row r="25" spans="1:15" x14ac:dyDescent="0.25">
      <c r="A25" s="13">
        <v>44771</v>
      </c>
      <c r="B25" s="1">
        <f>'1. DF_continuous_pH7_1'!Y28</f>
        <v>31</v>
      </c>
      <c r="C25" s="1">
        <f>'1. DF_continuous_pH7_1'!Z28</f>
        <v>6.7658469999999999</v>
      </c>
      <c r="D25" s="1">
        <f>'1. DF_continuous_pH7_1'!AA28</f>
        <v>2.1894999999999998</v>
      </c>
      <c r="E25" s="1">
        <f>'1. DF_continuous_pH7_1'!AB28</f>
        <v>0.158166</v>
      </c>
      <c r="F25" s="1">
        <f>'1. DF_continuous_pH7_1'!AC28</f>
        <v>4.0850460000000002</v>
      </c>
      <c r="G25" s="1">
        <f>'1. DF_continuous_pH7_1'!AD28</f>
        <v>0.13008639999999999</v>
      </c>
      <c r="H25" s="1">
        <f>'1. DF_continuous_pH7_1'!AE28</f>
        <v>0.76222499999999993</v>
      </c>
      <c r="I25" s="1">
        <f>'1. DF_continuous_pH7_1'!AF28</f>
        <v>0</v>
      </c>
      <c r="J25" s="1">
        <f>'1. DF_continuous_pH7_1'!AG28</f>
        <v>1.1902000000000001</v>
      </c>
      <c r="K25" s="1">
        <f>'1. DF_continuous_pH7_1'!AH28</f>
        <v>1.1984544000000001</v>
      </c>
      <c r="L25" s="1">
        <f>'1. DF_continuous_pH7_1'!AI28</f>
        <v>2.7870387428571428</v>
      </c>
      <c r="M25" s="1">
        <f>'1. DF_continuous_pH7_1'!AJ28</f>
        <v>2.3300768571428572</v>
      </c>
      <c r="N25" s="1">
        <f>'1. DF_continuous_pH7_1'!AK28</f>
        <v>0</v>
      </c>
      <c r="O25" s="1">
        <f>'1. DF_continuous_pH7_1'!AM28</f>
        <v>37.49416736111111</v>
      </c>
    </row>
    <row r="26" spans="1:15" x14ac:dyDescent="0.25">
      <c r="A26" s="13">
        <v>44774</v>
      </c>
      <c r="B26" s="1">
        <f>'1. DF_continuous_pH7_1'!Y29</f>
        <v>34</v>
      </c>
      <c r="C26" s="1">
        <f>'1. DF_continuous_pH7_1'!Z29</f>
        <v>8.2265699999999988</v>
      </c>
      <c r="D26" s="1">
        <f>'1. DF_continuous_pH7_1'!AA29</f>
        <v>2.1034299999999999</v>
      </c>
      <c r="E26" s="1">
        <f>'1. DF_continuous_pH7_1'!AB29</f>
        <v>5.4539999999999998E-2</v>
      </c>
      <c r="F26" s="1">
        <f>'1. DF_continuous_pH7_1'!AC29</f>
        <v>2.3906700000000001</v>
      </c>
      <c r="G26" s="1">
        <f>'1. DF_continuous_pH7_1'!AD29</f>
        <v>2.2358599999999999E-2</v>
      </c>
      <c r="H26" s="1">
        <f>'1. DF_continuous_pH7_1'!AE29</f>
        <v>0.39025920000000003</v>
      </c>
      <c r="I26" s="1">
        <f>'1. DF_continuous_pH7_1'!AF29</f>
        <v>0</v>
      </c>
      <c r="J26" s="1">
        <f>'1. DF_continuous_pH7_1'!AG29</f>
        <v>0.60060000000000013</v>
      </c>
      <c r="K26" s="1">
        <f>'1. DF_continuous_pH7_1'!AH29</f>
        <v>4.2914435142857146</v>
      </c>
      <c r="L26" s="1">
        <f>'1. DF_continuous_pH7_1'!AI29</f>
        <v>2.9447588571428569</v>
      </c>
      <c r="M26" s="1">
        <f>'1. DF_continuous_pH7_1'!AJ29</f>
        <v>0.93360342857142853</v>
      </c>
      <c r="N26" s="1">
        <f>'1. DF_continuous_pH7_1'!AK29</f>
        <v>3.24885096</v>
      </c>
      <c r="O26" s="1">
        <f>'1. DF_continuous_pH7_1'!AM29</f>
        <v>43.762299583333323</v>
      </c>
    </row>
    <row r="27" spans="1:15" x14ac:dyDescent="0.25">
      <c r="A27" s="13">
        <v>44775</v>
      </c>
      <c r="B27" s="1">
        <f>'1. DF_continuous_pH7_1'!Y30</f>
        <v>35</v>
      </c>
      <c r="C27" s="1">
        <f>'1. DF_continuous_pH7_1'!Z30</f>
        <v>7.9662220000000001</v>
      </c>
      <c r="D27" s="1">
        <f>'1. DF_continuous_pH7_1'!AA30</f>
        <v>2.4024100000000002</v>
      </c>
      <c r="E27" s="1">
        <f>'1. DF_continuous_pH7_1'!AB30</f>
        <v>0.12726000000000001</v>
      </c>
      <c r="F27" s="1">
        <f>'1. DF_continuous_pH7_1'!AC30</f>
        <v>2.2597740000000002</v>
      </c>
      <c r="G27" s="1">
        <f>'1. DF_continuous_pH7_1'!AD30</f>
        <v>2.84564E-2</v>
      </c>
      <c r="H27" s="1">
        <f>'1. DF_continuous_pH7_1'!AE30</f>
        <v>0.34960719999999995</v>
      </c>
      <c r="I27" s="1">
        <f>'1. DF_continuous_pH7_1'!AF30</f>
        <v>0</v>
      </c>
      <c r="J27" s="1">
        <f>'1. DF_continuous_pH7_1'!AG30</f>
        <v>0.45760000000000001</v>
      </c>
      <c r="K27" s="1">
        <f>'1. DF_continuous_pH7_1'!AH30</f>
        <v>3.9089697428571433</v>
      </c>
      <c r="L27" s="1">
        <f>'1. DF_continuous_pH7_1'!AI30</f>
        <v>2.4191876571428574</v>
      </c>
      <c r="M27" s="1">
        <f>'1. DF_continuous_pH7_1'!AJ30</f>
        <v>1.0075911428571427</v>
      </c>
      <c r="N27" s="1">
        <f>'1. DF_continuous_pH7_1'!AK30</f>
        <v>3.6534835028571431</v>
      </c>
      <c r="O27" s="1">
        <f>'1. DF_continuous_pH7_1'!AM30</f>
        <v>42.674586190476184</v>
      </c>
    </row>
    <row r="28" spans="1:15" x14ac:dyDescent="0.25">
      <c r="A28" s="13">
        <v>44776</v>
      </c>
      <c r="B28" s="1">
        <f>'1. DF_continuous_pH7_1'!Y31</f>
        <v>36</v>
      </c>
      <c r="C28" s="1">
        <f>'1. DF_continuous_pH7_1'!Z31</f>
        <v>6.6484769999999997</v>
      </c>
      <c r="D28" s="1">
        <f>'1. DF_continuous_pH7_1'!AA31</f>
        <v>3.3416300000000003</v>
      </c>
      <c r="E28" s="1">
        <f>'1. DF_continuous_pH7_1'!AB31</f>
        <v>9.6353999999999995E-2</v>
      </c>
      <c r="F28" s="1">
        <f>'1. DF_continuous_pH7_1'!AC31</f>
        <v>2.4452099999999999</v>
      </c>
      <c r="G28" s="1">
        <f>'1. DF_continuous_pH7_1'!AD31</f>
        <v>5.0814999999999999E-2</v>
      </c>
      <c r="H28" s="1">
        <f>'1. DF_continuous_pH7_1'!AE31</f>
        <v>0.47766099999999995</v>
      </c>
      <c r="I28" s="1">
        <f>'1. DF_continuous_pH7_1'!AF31</f>
        <v>0</v>
      </c>
      <c r="J28" s="1">
        <f>'1. DF_continuous_pH7_1'!AG31</f>
        <v>0.40480000000000005</v>
      </c>
      <c r="K28" s="1">
        <f>'1. DF_continuous_pH7_1'!AH31</f>
        <v>2.0849484857142859</v>
      </c>
      <c r="L28" s="1">
        <f>'1. DF_continuous_pH7_1'!AI31</f>
        <v>2.3582448000000005</v>
      </c>
      <c r="M28" s="1">
        <f>'1. DF_continuous_pH7_1'!AJ31</f>
        <v>1.3575137142857145</v>
      </c>
      <c r="N28" s="1">
        <f>'1. DF_continuous_pH7_1'!AK31</f>
        <v>3.6406210114285718</v>
      </c>
      <c r="O28" s="1">
        <f>'1. DF_continuous_pH7_1'!AM31</f>
        <v>39.767838561507943</v>
      </c>
    </row>
    <row r="29" spans="1:15" x14ac:dyDescent="0.25">
      <c r="A29" s="13">
        <v>44777</v>
      </c>
      <c r="B29" s="1">
        <f>'1. DF_continuous_pH7_1'!Y32</f>
        <v>37</v>
      </c>
      <c r="C29" s="1">
        <f>'1. DF_continuous_pH7_1'!Z32</f>
        <v>6.136317</v>
      </c>
      <c r="D29" s="1">
        <f>'1. DF_continuous_pH7_1'!AA32</f>
        <v>3.9199600000000001</v>
      </c>
      <c r="E29" s="1">
        <f>'1. DF_continuous_pH7_1'!AB32</f>
        <v>0.17816400000000002</v>
      </c>
      <c r="F29" s="1">
        <f>'1. DF_continuous_pH7_1'!AC32</f>
        <v>2.4015780000000002</v>
      </c>
      <c r="G29" s="1">
        <f>'1. DF_continuous_pH7_1'!AD32</f>
        <v>7.5206200000000001E-2</v>
      </c>
      <c r="H29" s="1">
        <f>'1. DF_continuous_pH7_1'!AE32</f>
        <v>0.5305086</v>
      </c>
      <c r="I29" s="1">
        <f>'1. DF_continuous_pH7_1'!AF32</f>
        <v>0</v>
      </c>
      <c r="J29" s="1">
        <f>'1. DF_continuous_pH7_1'!AG32</f>
        <v>0.3916</v>
      </c>
      <c r="K29" s="1">
        <f>'1. DF_continuous_pH7_1'!AH32</f>
        <v>0.78909222857142869</v>
      </c>
      <c r="L29" s="1">
        <f>'1. DF_continuous_pH7_1'!AI32</f>
        <v>2.4825682285714286</v>
      </c>
      <c r="M29" s="1">
        <f>'1. DF_continuous_pH7_1'!AJ32</f>
        <v>1.3621602857142856</v>
      </c>
      <c r="N29" s="1">
        <f>'1. DF_continuous_pH7_1'!AK32</f>
        <v>3.4101680400000003</v>
      </c>
      <c r="O29" s="1">
        <f>'1. DF_continuous_pH7_1'!AM32</f>
        <v>37.634240595238097</v>
      </c>
    </row>
    <row r="30" spans="1:15" x14ac:dyDescent="0.25">
      <c r="A30" s="13">
        <v>44778</v>
      </c>
      <c r="B30" s="1">
        <f>'1. DF_continuous_pH7_1'!Y33</f>
        <v>38</v>
      </c>
      <c r="C30" s="1">
        <f>'1. DF_continuous_pH7_1'!Z33</f>
        <v>7.4476599999999999</v>
      </c>
      <c r="D30" s="1">
        <f>'1. DF_continuous_pH7_1'!AA33</f>
        <v>4.7142200000000001</v>
      </c>
      <c r="E30" s="1">
        <f>'1. DF_continuous_pH7_1'!AB33</f>
        <v>0.24724800000000002</v>
      </c>
      <c r="F30" s="1">
        <f>'1. DF_continuous_pH7_1'!AC33</f>
        <v>3.0233340000000002</v>
      </c>
      <c r="G30" s="1">
        <f>'1. DF_continuous_pH7_1'!AD33</f>
        <v>0.111793</v>
      </c>
      <c r="H30" s="1">
        <f>'1. DF_continuous_pH7_1'!AE33</f>
        <v>0.75002939999999996</v>
      </c>
      <c r="I30" s="1">
        <f>'1. DF_continuous_pH7_1'!AF33</f>
        <v>0</v>
      </c>
      <c r="J30" s="1">
        <f>'1. DF_continuous_pH7_1'!AG33</f>
        <v>0.54780000000000006</v>
      </c>
      <c r="K30" s="1">
        <f>'1. DF_continuous_pH7_1'!AH33</f>
        <v>0.62227440000000001</v>
      </c>
      <c r="L30" s="1">
        <f>'1. DF_continuous_pH7_1'!AI33</f>
        <v>3.4325454857142854</v>
      </c>
      <c r="M30" s="1">
        <f>'1. DF_continuous_pH7_1'!AJ33</f>
        <v>1.5062040000000001</v>
      </c>
      <c r="N30" s="1">
        <f>'1. DF_continuous_pH7_1'!AK33</f>
        <v>2.6678950971428574</v>
      </c>
      <c r="O30" s="1">
        <f>'1. DF_continuous_pH7_1'!AM33</f>
        <v>43.526047539682537</v>
      </c>
    </row>
    <row r="31" spans="1:15" x14ac:dyDescent="0.25">
      <c r="A31" s="13">
        <v>44781</v>
      </c>
      <c r="B31" s="1">
        <f>'1. DF_continuous_pH7_1'!Y34</f>
        <v>41</v>
      </c>
      <c r="C31" s="1">
        <f>'1. DF_continuous_pH7_1'!Z34</f>
        <v>7.5991739999999997</v>
      </c>
      <c r="D31" s="1">
        <f>'1. DF_continuous_pH7_1'!AA34</f>
        <v>3.6209800000000003</v>
      </c>
      <c r="E31" s="1">
        <f>'1. DF_continuous_pH7_1'!AB34</f>
        <v>0.17089200000000002</v>
      </c>
      <c r="F31" s="1">
        <f>'1. DF_continuous_pH7_1'!AC34</f>
        <v>2.8924379999999998</v>
      </c>
      <c r="G31" s="1">
        <f>'1. DF_continuous_pH7_1'!AD34</f>
        <v>0.1077278</v>
      </c>
      <c r="H31" s="1">
        <f>'1. DF_continuous_pH7_1'!AE34</f>
        <v>0.70531219999999994</v>
      </c>
      <c r="I31" s="1">
        <f>'1. DF_continuous_pH7_1'!AF34</f>
        <v>0</v>
      </c>
      <c r="J31" s="1">
        <f>'1. DF_continuous_pH7_1'!AG34</f>
        <v>0.60280000000000011</v>
      </c>
      <c r="K31" s="1">
        <f>'1. DF_continuous_pH7_1'!AH34</f>
        <v>0.60293121428571439</v>
      </c>
      <c r="L31" s="1">
        <f>'1. DF_continuous_pH7_1'!AI34</f>
        <v>4.2594181714285719</v>
      </c>
      <c r="M31" s="1">
        <f>'1. DF_continuous_pH7_1'!AJ34</f>
        <v>1.55124</v>
      </c>
      <c r="N31" s="1">
        <f>'1. DF_continuous_pH7_1'!AK34</f>
        <v>3.1593494571428544</v>
      </c>
      <c r="O31" s="1">
        <f>'1. DF_continuous_pH7_1'!AM34</f>
        <v>43.875456324404759</v>
      </c>
    </row>
    <row r="32" spans="1:15" x14ac:dyDescent="0.25">
      <c r="A32" s="13">
        <v>44783</v>
      </c>
      <c r="B32" s="1">
        <f>'1. DF_continuous_pH7_1'!Y36</f>
        <v>43</v>
      </c>
      <c r="C32" s="1">
        <f>'1. DF_continuous_pH7_1'!Z36</f>
        <v>6.2611559999999997</v>
      </c>
      <c r="D32" s="1">
        <f>'1. DF_continuous_pH7_1'!AA36</f>
        <v>1.99169</v>
      </c>
      <c r="E32" s="1">
        <f>'1. DF_continuous_pH7_1'!AB36</f>
        <v>0.161802</v>
      </c>
      <c r="F32" s="1">
        <f>'1. DF_continuous_pH7_1'!AC36</f>
        <v>1.8616320000000002</v>
      </c>
      <c r="G32" s="1">
        <f>'1. DF_continuous_pH7_1'!AD36</f>
        <v>4.4717199999999999E-2</v>
      </c>
      <c r="H32" s="1">
        <f>'1. DF_continuous_pH7_1'!AE36</f>
        <v>0.36993319999999996</v>
      </c>
      <c r="I32" s="1">
        <f>'1. DF_continuous_pH7_1'!AF36</f>
        <v>0</v>
      </c>
      <c r="J32" s="1">
        <f>'1. DF_continuous_pH7_1'!AG36</f>
        <v>0.40920000000000001</v>
      </c>
      <c r="K32" s="1">
        <f>'1. DF_continuous_pH7_1'!AH36</f>
        <v>0.58358802857142855</v>
      </c>
      <c r="L32" s="1">
        <f>'1. DF_continuous_pH7_1'!AI36</f>
        <v>5.0862908571428571</v>
      </c>
      <c r="M32" s="1">
        <f>'1. DF_continuous_pH7_1'!AJ36</f>
        <v>1.5962759999999998</v>
      </c>
      <c r="N32" s="1">
        <f>'1. DF_continuous_pH7_1'!AK36</f>
        <v>3.650803817142851</v>
      </c>
      <c r="O32" s="1">
        <f>'1. DF_continuous_pH7_1'!AM36</f>
        <v>38.224113025793635</v>
      </c>
    </row>
    <row r="33" spans="1:35" x14ac:dyDescent="0.25">
      <c r="A33" s="13">
        <v>44784</v>
      </c>
      <c r="B33" s="1">
        <f>'1. DF_continuous_pH7_1'!Y37</f>
        <v>44</v>
      </c>
      <c r="C33" s="1">
        <f>'1. DF_continuous_pH7_1'!Z37</f>
        <v>7.3612329999999995</v>
      </c>
      <c r="D33" s="1">
        <f>'1. DF_continuous_pH7_1'!AA37</f>
        <v>2.0898399999999997</v>
      </c>
      <c r="E33" s="1">
        <f>'1. DF_continuous_pH7_1'!AB37</f>
        <v>6.7265999999999992E-2</v>
      </c>
      <c r="F33" s="1">
        <f>'1. DF_continuous_pH7_1'!AC37</f>
        <v>1.8234539999999999</v>
      </c>
      <c r="G33" s="1">
        <f>'1. DF_continuous_pH7_1'!AD37</f>
        <v>3.45542E-2</v>
      </c>
      <c r="H33" s="1">
        <f>'1. DF_continuous_pH7_1'!AE37</f>
        <v>0.34350940000000002</v>
      </c>
      <c r="I33" s="1">
        <f>'1. DF_continuous_pH7_1'!AF37</f>
        <v>3.7400000000000003E-2</v>
      </c>
      <c r="J33" s="1">
        <f>'1. DF_continuous_pH7_1'!AG37</f>
        <v>0.3916</v>
      </c>
      <c r="K33" s="1">
        <f>'1. DF_continuous_pH7_1'!AH37</f>
        <v>1.8188082000000001</v>
      </c>
      <c r="L33" s="1">
        <f>'1. DF_continuous_pH7_1'!AI37</f>
        <v>6.3265998857142849</v>
      </c>
      <c r="M33" s="1">
        <f>'1. DF_continuous_pH7_1'!AJ37</f>
        <v>1.7696288571428569</v>
      </c>
      <c r="N33" s="1">
        <f>'1. DF_continuous_pH7_1'!AK37</f>
        <v>3.305660297142857</v>
      </c>
      <c r="O33" s="1">
        <f>'1. DF_continuous_pH7_1'!AM37</f>
        <v>44.044364305555547</v>
      </c>
    </row>
    <row r="34" spans="1:35" x14ac:dyDescent="0.25">
      <c r="A34" s="13">
        <v>44785</v>
      </c>
      <c r="B34" s="1">
        <f>'1. DF_continuous_pH7_1'!Y38</f>
        <v>45</v>
      </c>
      <c r="C34" s="1">
        <f>'1. DF_continuous_pH7_1'!Z38</f>
        <v>7.6749309999999991</v>
      </c>
      <c r="D34" s="1">
        <f>'1. DF_continuous_pH7_1'!AA38</f>
        <v>2.2725499999999998</v>
      </c>
      <c r="E34" s="1">
        <f>'1. DF_continuous_pH7_1'!AB38</f>
        <v>5.8176000000000005E-2</v>
      </c>
      <c r="F34" s="1">
        <f>'1. DF_continuous_pH7_1'!AC38</f>
        <v>1.9798020000000001</v>
      </c>
      <c r="G34" s="1">
        <f>'1. DF_continuous_pH7_1'!AD38</f>
        <v>3.8619399999999998E-2</v>
      </c>
      <c r="H34" s="1">
        <f>'1. DF_continuous_pH7_1'!AE38</f>
        <v>0.35570499999999999</v>
      </c>
      <c r="I34" s="1">
        <f>'1. DF_continuous_pH7_1'!AF38</f>
        <v>3.9600000000000003E-2</v>
      </c>
      <c r="J34" s="1">
        <f>'1. DF_continuous_pH7_1'!AG38</f>
        <v>0.40260000000000001</v>
      </c>
      <c r="K34" s="1">
        <f>'1. DF_continuous_pH7_1'!AH38</f>
        <v>2.2193904857142854</v>
      </c>
      <c r="L34" s="1">
        <f>'1. DF_continuous_pH7_1'!AI38</f>
        <v>6.8494896000000001</v>
      </c>
      <c r="M34" s="1">
        <f>'1. DF_continuous_pH7_1'!AJ38</f>
        <v>2.200687714285714</v>
      </c>
      <c r="N34" s="1">
        <f>'1. DF_continuous_pH7_1'!AK38</f>
        <v>4.1240363142857142</v>
      </c>
      <c r="O34" s="1">
        <f>'1. DF_continuous_pH7_1'!AM38</f>
        <v>48.985394990079364</v>
      </c>
    </row>
    <row r="35" spans="1:35" x14ac:dyDescent="0.25">
      <c r="A35" s="13">
        <v>44789</v>
      </c>
      <c r="B35" s="1">
        <f>'1. DF_continuous_pH7_1'!Y39</f>
        <v>49</v>
      </c>
      <c r="C35" s="1">
        <f>'1. DF_continuous_pH7_1'!Z39</f>
        <v>5.8119489999999994</v>
      </c>
      <c r="D35" s="1">
        <f>'1. DF_continuous_pH7_1'!AA39</f>
        <v>2.9731900000000002</v>
      </c>
      <c r="E35" s="1">
        <f>'1. DF_continuous_pH7_1'!AB39</f>
        <v>7.6356000000000007E-2</v>
      </c>
      <c r="F35" s="1">
        <f>'1. DF_continuous_pH7_1'!AC39</f>
        <v>2.2179600000000002</v>
      </c>
      <c r="G35" s="1">
        <f>'1. DF_continuous_pH7_1'!AD39</f>
        <v>5.2847599999999995E-2</v>
      </c>
      <c r="H35" s="1">
        <f>'1. DF_continuous_pH7_1'!AE39</f>
        <v>0.44717200000000001</v>
      </c>
      <c r="I35" s="1">
        <f>'1. DF_continuous_pH7_1'!AF39</f>
        <v>3.7400000000000003E-2</v>
      </c>
      <c r="J35" s="1">
        <f>'1. DF_continuous_pH7_1'!AG39</f>
        <v>0.54120000000000001</v>
      </c>
      <c r="K35" s="1">
        <f>'1. DF_continuous_pH7_1'!AH39</f>
        <v>0.12483899999999999</v>
      </c>
      <c r="L35" s="1">
        <f>'1. DF_continuous_pH7_1'!AI39</f>
        <v>4.421526171428571</v>
      </c>
      <c r="M35" s="1">
        <f>'1. DF_continuous_pH7_1'!AJ39</f>
        <v>2.5159397142857141</v>
      </c>
      <c r="N35" s="1">
        <f>'1. DF_continuous_pH7_1'!AK39</f>
        <v>4.4729313942857143</v>
      </c>
      <c r="O35" s="1">
        <f>'1. DF_continuous_pH7_1'!AM39</f>
        <v>41.134220277777771</v>
      </c>
    </row>
    <row r="36" spans="1:35" x14ac:dyDescent="0.25">
      <c r="A36" s="13">
        <v>44791</v>
      </c>
      <c r="B36" s="1">
        <f>'1. DF_continuous_pH7_1'!Y41</f>
        <v>51</v>
      </c>
      <c r="C36" s="1">
        <f>'1. DF_continuous_pH7_1'!Z41</f>
        <v>5.8119489999999994</v>
      </c>
      <c r="D36" s="1">
        <f>'1. DF_continuous_pH7_1'!AA41</f>
        <v>2.9731900000000002</v>
      </c>
      <c r="E36" s="1">
        <f>'1. DF_continuous_pH7_1'!AB41</f>
        <v>7.6356000000000007E-2</v>
      </c>
      <c r="F36" s="1">
        <f>'1. DF_continuous_pH7_1'!AC41</f>
        <v>2.2179600000000002</v>
      </c>
      <c r="G36" s="1">
        <f>'1. DF_continuous_pH7_1'!AD41</f>
        <v>5.2847599999999995E-2</v>
      </c>
      <c r="H36" s="1">
        <f>'1. DF_continuous_pH7_1'!AE41</f>
        <v>0.44717200000000001</v>
      </c>
      <c r="I36" s="1">
        <f>'1. DF_continuous_pH7_1'!AF41</f>
        <v>3.7400000000000003E-2</v>
      </c>
      <c r="J36" s="1">
        <f>'1. DF_continuous_pH7_1'!AG41</f>
        <v>0.54120000000000001</v>
      </c>
      <c r="K36" s="1">
        <f>'1. DF_continuous_pH7_1'!AH41</f>
        <v>0.46752891428571425</v>
      </c>
      <c r="L36" s="1">
        <f>'1. DF_continuous_pH7_1'!AI41</f>
        <v>5.2345038857142852</v>
      </c>
      <c r="M36" s="1">
        <f>'1. DF_continuous_pH7_1'!AJ41</f>
        <v>2.4801968571428565</v>
      </c>
      <c r="N36" s="1">
        <f>'1. DF_continuous_pH7_1'!AK41</f>
        <v>3.1700682000000002</v>
      </c>
      <c r="O36" s="1">
        <f>'1. DF_continuous_pH7_1'!AM41</f>
        <v>40.816618849206343</v>
      </c>
    </row>
    <row r="39" spans="1:35" x14ac:dyDescent="0.25">
      <c r="AE39" s="60"/>
      <c r="AF39" s="60"/>
      <c r="AG39" s="60"/>
      <c r="AH39" s="60"/>
      <c r="AI39" s="60"/>
    </row>
    <row r="40" spans="1:35" x14ac:dyDescent="0.25">
      <c r="AE40" s="10"/>
      <c r="AF40" s="10"/>
      <c r="AG40" s="10"/>
      <c r="AH40" s="10"/>
      <c r="AI40" s="10"/>
    </row>
    <row r="41" spans="1:35" x14ac:dyDescent="0.25">
      <c r="AE41" s="4"/>
      <c r="AF41" s="4"/>
    </row>
    <row r="42" spans="1:35" x14ac:dyDescent="0.25">
      <c r="AE42" s="4"/>
      <c r="AF42" s="4"/>
    </row>
    <row r="43" spans="1:35" x14ac:dyDescent="0.25">
      <c r="AE43" s="4"/>
      <c r="AF43" s="4"/>
    </row>
    <row r="44" spans="1:35" x14ac:dyDescent="0.25">
      <c r="AE44" s="4"/>
      <c r="AF44" s="4"/>
    </row>
    <row r="76" spans="31:35" x14ac:dyDescent="0.25">
      <c r="AE76" s="60"/>
      <c r="AF76" s="60"/>
      <c r="AG76" s="60"/>
      <c r="AH76" s="60"/>
      <c r="AI76" s="60"/>
    </row>
    <row r="77" spans="31:35" x14ac:dyDescent="0.25">
      <c r="AE77" s="10"/>
      <c r="AF77" s="10"/>
      <c r="AG77" s="10"/>
      <c r="AH77" s="10"/>
      <c r="AI77" s="10"/>
    </row>
    <row r="78" spans="31:35" x14ac:dyDescent="0.25">
      <c r="AE78" s="4"/>
      <c r="AF78" s="4"/>
    </row>
    <row r="79" spans="31:35" x14ac:dyDescent="0.25">
      <c r="AE79" s="4"/>
      <c r="AF79" s="4"/>
    </row>
  </sheetData>
  <mergeCells count="3">
    <mergeCell ref="AE76:AI76"/>
    <mergeCell ref="AE39:AI39"/>
    <mergeCell ref="C3:G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N25" sqref="N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1. DF_continuous_pH7_1</vt:lpstr>
      <vt:lpstr>1. DF_continuous_pH7_2</vt:lpstr>
      <vt:lpstr>1. DF_continuous_pH7_3</vt:lpstr>
      <vt:lpstr>1. DF_continuous_pH7_4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2024-09-09T11:21:26Z</dcterms:modified>
</cp:coreProperties>
</file>