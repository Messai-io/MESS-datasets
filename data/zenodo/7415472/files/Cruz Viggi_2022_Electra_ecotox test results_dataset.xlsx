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ropbox\viki dokumentumai\Electra\Ecotox testing\IRSA\Eredmények\Növényteszt\"/>
    </mc:Choice>
  </mc:AlternateContent>
  <bookViews>
    <workbookView xWindow="0" yWindow="0" windowWidth="19440" windowHeight="8610" firstSheet="2" activeTab="2"/>
  </bookViews>
  <sheets>
    <sheet name="Búza" sheetId="2" state="hidden" r:id="rId1"/>
    <sheet name="Mustár" sheetId="3" state="hidden" r:id="rId2"/>
    <sheet name="S. alba" sheetId="8" r:id="rId3"/>
    <sheet name="T. aestivum" sheetId="9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2" i="9" l="1"/>
  <c r="AG41" i="9"/>
  <c r="AG40" i="9"/>
  <c r="AG39" i="9"/>
  <c r="AG38" i="9"/>
  <c r="AG37" i="9"/>
  <c r="AG36" i="9"/>
  <c r="AG35" i="9"/>
  <c r="AG34" i="9"/>
  <c r="AG33" i="9"/>
  <c r="AG32" i="9"/>
  <c r="AG31" i="9"/>
  <c r="AG30" i="9"/>
  <c r="AG29" i="9"/>
  <c r="AG28" i="9"/>
  <c r="AG27" i="9"/>
  <c r="AG26" i="9"/>
  <c r="AG25" i="9"/>
  <c r="AG24" i="9"/>
  <c r="AG23" i="9"/>
  <c r="AG22" i="9"/>
  <c r="AG21" i="9"/>
  <c r="AG20" i="9"/>
  <c r="AG19" i="9"/>
  <c r="AG18" i="9"/>
  <c r="AG17" i="9"/>
  <c r="AG16" i="9"/>
  <c r="AG15" i="9"/>
  <c r="AG14" i="9"/>
  <c r="L124" i="9"/>
  <c r="K124" i="9"/>
  <c r="G124" i="9"/>
  <c r="F124" i="9"/>
  <c r="AH17" i="9" s="1"/>
  <c r="B124" i="9"/>
  <c r="A124" i="9"/>
  <c r="AH16" i="9" s="1"/>
  <c r="AA103" i="9"/>
  <c r="Z103" i="9"/>
  <c r="V103" i="9"/>
  <c r="U103" i="9"/>
  <c r="AH41" i="9" s="1"/>
  <c r="Q103" i="9"/>
  <c r="P103" i="9"/>
  <c r="AH40" i="9" s="1"/>
  <c r="L103" i="9"/>
  <c r="K103" i="9"/>
  <c r="G103" i="9"/>
  <c r="F103" i="9"/>
  <c r="B103" i="9"/>
  <c r="A103" i="9"/>
  <c r="AA82" i="9"/>
  <c r="Z82" i="9"/>
  <c r="AH36" i="9" s="1"/>
  <c r="V82" i="9"/>
  <c r="U82" i="9"/>
  <c r="Q82" i="9"/>
  <c r="P82" i="9"/>
  <c r="L82" i="9"/>
  <c r="K82" i="9"/>
  <c r="G82" i="9"/>
  <c r="F82" i="9"/>
  <c r="B82" i="9"/>
  <c r="A82" i="9"/>
  <c r="AA61" i="9"/>
  <c r="Z61" i="9"/>
  <c r="AH30" i="9" s="1"/>
  <c r="V61" i="9"/>
  <c r="U61" i="9"/>
  <c r="AH29" i="9" s="1"/>
  <c r="Q61" i="9"/>
  <c r="P61" i="9"/>
  <c r="L61" i="9"/>
  <c r="K61" i="9"/>
  <c r="G61" i="9"/>
  <c r="F61" i="9"/>
  <c r="AH26" i="9" s="1"/>
  <c r="B61" i="9"/>
  <c r="A61" i="9"/>
  <c r="AA40" i="9"/>
  <c r="Z40" i="9"/>
  <c r="AH24" i="9" s="1"/>
  <c r="V40" i="9"/>
  <c r="U40" i="9"/>
  <c r="Q40" i="9"/>
  <c r="P40" i="9"/>
  <c r="AH22" i="9" s="1"/>
  <c r="L40" i="9"/>
  <c r="K40" i="9"/>
  <c r="G40" i="9"/>
  <c r="F40" i="9"/>
  <c r="AH20" i="9" s="1"/>
  <c r="B40" i="9"/>
  <c r="A40" i="9"/>
  <c r="L19" i="9"/>
  <c r="K19" i="9"/>
  <c r="AH15" i="9"/>
  <c r="G19" i="9"/>
  <c r="F19" i="9"/>
  <c r="B19" i="9"/>
  <c r="AG13" i="9" s="1"/>
  <c r="AH42" i="9"/>
  <c r="AH39" i="9"/>
  <c r="AH37" i="9"/>
  <c r="AH35" i="9"/>
  <c r="AH33" i="9"/>
  <c r="AH18" i="9"/>
  <c r="AH27" i="9"/>
  <c r="AH21" i="9"/>
  <c r="AH14" i="9"/>
  <c r="A19" i="9"/>
  <c r="AL13" i="9" l="1"/>
  <c r="AH38" i="9"/>
  <c r="AL17" i="9" s="1"/>
  <c r="AH32" i="9"/>
  <c r="AH23" i="9"/>
  <c r="AK13" i="9"/>
  <c r="AH19" i="9"/>
  <c r="AK18" i="9"/>
  <c r="AH31" i="9"/>
  <c r="AH34" i="9"/>
  <c r="AH13" i="9"/>
  <c r="AH25" i="9"/>
  <c r="AH28" i="9"/>
  <c r="AK15" i="9" l="1"/>
  <c r="AL14" i="9"/>
  <c r="AK17" i="9"/>
  <c r="AL18" i="9"/>
  <c r="AL15" i="9"/>
  <c r="AL16" i="9"/>
  <c r="AK16" i="9"/>
  <c r="AK14" i="9" l="1"/>
  <c r="AM15" i="8" l="1"/>
  <c r="AN15" i="8"/>
  <c r="AM17" i="8"/>
  <c r="AN17" i="8"/>
  <c r="AM19" i="8"/>
  <c r="AN19" i="8"/>
  <c r="AM21" i="8"/>
  <c r="AN21" i="8"/>
  <c r="AM23" i="8"/>
  <c r="AN23" i="8"/>
  <c r="AM25" i="8"/>
  <c r="AN25" i="8"/>
  <c r="AM27" i="8"/>
  <c r="AN27" i="8"/>
  <c r="AM29" i="8"/>
  <c r="AN29" i="8"/>
  <c r="Z98" i="8"/>
  <c r="Y98" i="8"/>
  <c r="W98" i="8"/>
  <c r="AM16" i="8" s="1"/>
  <c r="V98" i="8"/>
  <c r="AN16" i="8" s="1"/>
  <c r="T98" i="8"/>
  <c r="S98" i="8"/>
  <c r="Q98" i="8"/>
  <c r="AM41" i="8" s="1"/>
  <c r="P98" i="8"/>
  <c r="AN41" i="8" s="1"/>
  <c r="N98" i="8"/>
  <c r="AM40" i="8" s="1"/>
  <c r="M98" i="8"/>
  <c r="AN40" i="8" s="1"/>
  <c r="K98" i="8"/>
  <c r="AM39" i="8" s="1"/>
  <c r="J98" i="8"/>
  <c r="AN39" i="8" s="1"/>
  <c r="H98" i="8"/>
  <c r="AM38" i="8" s="1"/>
  <c r="G98" i="8"/>
  <c r="AN38" i="8" s="1"/>
  <c r="B98" i="8"/>
  <c r="AM36" i="8" s="1"/>
  <c r="A98" i="8"/>
  <c r="AN36" i="8" s="1"/>
  <c r="AI48" i="8"/>
  <c r="AH48" i="8"/>
  <c r="AF48" i="8"/>
  <c r="AM28" i="8" s="1"/>
  <c r="AE48" i="8"/>
  <c r="AN28" i="8" s="1"/>
  <c r="AC48" i="8"/>
  <c r="AB48" i="8"/>
  <c r="Z48" i="8"/>
  <c r="AM26" i="8" s="1"/>
  <c r="Y48" i="8"/>
  <c r="AN26" i="8" s="1"/>
  <c r="W48" i="8"/>
  <c r="V48" i="8"/>
  <c r="T48" i="8"/>
  <c r="AM24" i="8" s="1"/>
  <c r="S48" i="8"/>
  <c r="AN24" i="8" s="1"/>
  <c r="Q48" i="8"/>
  <c r="P48" i="8"/>
  <c r="N48" i="8"/>
  <c r="AM22" i="8" s="1"/>
  <c r="M48" i="8"/>
  <c r="AN22" i="8" s="1"/>
  <c r="K48" i="8"/>
  <c r="J48" i="8"/>
  <c r="H48" i="8"/>
  <c r="AM20" i="8" s="1"/>
  <c r="G48" i="8"/>
  <c r="AN20" i="8" s="1"/>
  <c r="E48" i="8"/>
  <c r="D48" i="8"/>
  <c r="E98" i="8" l="1"/>
  <c r="AM37" i="8" s="1"/>
  <c r="D98" i="8"/>
  <c r="AN37" i="8" s="1"/>
  <c r="Q73" i="8"/>
  <c r="AM35" i="8" s="1"/>
  <c r="P73" i="8"/>
  <c r="AN35" i="8" s="1"/>
  <c r="N73" i="8"/>
  <c r="AM34" i="8" s="1"/>
  <c r="M73" i="8"/>
  <c r="AN34" i="8" s="1"/>
  <c r="K73" i="8"/>
  <c r="AM33" i="8" s="1"/>
  <c r="J73" i="8"/>
  <c r="AN33" i="8" s="1"/>
  <c r="H73" i="8"/>
  <c r="AM32" i="8" s="1"/>
  <c r="G73" i="8"/>
  <c r="AN32" i="8" s="1"/>
  <c r="E73" i="8"/>
  <c r="AM31" i="8" s="1"/>
  <c r="D73" i="8"/>
  <c r="AN31" i="8" s="1"/>
  <c r="B73" i="8"/>
  <c r="AM30" i="8" s="1"/>
  <c r="AQ15" i="8" s="1"/>
  <c r="A73" i="8"/>
  <c r="AN30" i="8" s="1"/>
  <c r="AR15" i="8" s="1"/>
  <c r="B48" i="8"/>
  <c r="AM18" i="8" s="1"/>
  <c r="A48" i="8"/>
  <c r="AN18" i="8" s="1"/>
  <c r="H23" i="8"/>
  <c r="AM14" i="8" s="1"/>
  <c r="G23" i="8"/>
  <c r="AN14" i="8" s="1"/>
  <c r="E23" i="8"/>
  <c r="AM13" i="8" s="1"/>
  <c r="D23" i="8"/>
  <c r="AN13" i="8" s="1"/>
  <c r="B23" i="8"/>
  <c r="AM12" i="8" s="1"/>
  <c r="A23" i="8"/>
  <c r="AN12" i="8" s="1"/>
  <c r="AR12" i="8"/>
  <c r="AQ16" i="8" l="1"/>
  <c r="AR16" i="8"/>
  <c r="AQ12" i="8"/>
  <c r="AR14" i="8"/>
  <c r="AR13" i="8"/>
  <c r="AQ14" i="8"/>
  <c r="AQ13" i="8"/>
  <c r="AQ17" i="8"/>
  <c r="AR17" i="8"/>
  <c r="A51" i="2" l="1"/>
  <c r="C51" i="2"/>
  <c r="I51" i="2"/>
  <c r="T63" i="3" l="1"/>
  <c r="S63" i="3"/>
  <c r="Q63" i="3"/>
  <c r="P63" i="3"/>
  <c r="N64" i="3"/>
  <c r="M64" i="3"/>
  <c r="H63" i="3"/>
  <c r="G63" i="3"/>
  <c r="E63" i="3"/>
  <c r="D63" i="3"/>
  <c r="B62" i="3"/>
  <c r="A62" i="3"/>
  <c r="AB52" i="2"/>
  <c r="AE51" i="2"/>
  <c r="AD51" i="2"/>
  <c r="AC51" i="2"/>
  <c r="AB51" i="2"/>
  <c r="W52" i="2"/>
  <c r="Z51" i="2"/>
  <c r="Y51" i="2"/>
  <c r="X51" i="2"/>
  <c r="W51" i="2"/>
  <c r="R53" i="2"/>
  <c r="U52" i="2"/>
  <c r="T52" i="2"/>
  <c r="S52" i="2"/>
  <c r="R52" i="2"/>
  <c r="M52" i="2"/>
  <c r="F52" i="2"/>
  <c r="A52" i="2"/>
  <c r="P51" i="2"/>
  <c r="O51" i="2"/>
  <c r="N51" i="2"/>
  <c r="M51" i="2"/>
  <c r="H51" i="2"/>
  <c r="G51" i="2"/>
  <c r="F51" i="2"/>
  <c r="D51" i="2"/>
  <c r="B51" i="2"/>
</calcChain>
</file>

<file path=xl/sharedStrings.xml><?xml version="1.0" encoding="utf-8"?>
<sst xmlns="http://schemas.openxmlformats.org/spreadsheetml/2006/main" count="535" uniqueCount="82">
  <si>
    <t>SAI 219 EL 2,5-6m</t>
  </si>
  <si>
    <t>gy1</t>
  </si>
  <si>
    <t>gy2</t>
  </si>
  <si>
    <t>gy3</t>
  </si>
  <si>
    <t>sz</t>
  </si>
  <si>
    <t>SAI 359 2-4m Mustár</t>
  </si>
  <si>
    <t>gy</t>
  </si>
  <si>
    <t>SAI 275 EL 2-4m</t>
  </si>
  <si>
    <t>nk</t>
  </si>
  <si>
    <t>satnya</t>
  </si>
  <si>
    <t>-</t>
  </si>
  <si>
    <t>SAI 275 4-6m Búza</t>
  </si>
  <si>
    <t>trutyis volt (??)</t>
  </si>
  <si>
    <t>Electra mustár SAi219 2,5-6</t>
  </si>
  <si>
    <t>?? Nem volt semmi írva szárnak</t>
  </si>
  <si>
    <t>mustár SAI 275 4-6</t>
  </si>
  <si>
    <t>Sai 276 EL 4-6m</t>
  </si>
  <si>
    <t>DV (csapvíz)búza</t>
  </si>
  <si>
    <t>Sai 359 EL 2-4m búza</t>
  </si>
  <si>
    <t>Sai 276 EL 4-6m mustár</t>
  </si>
  <si>
    <t>DV (csapvíz)</t>
  </si>
  <si>
    <t>Sai 275 EL 2-4m</t>
  </si>
  <si>
    <t>SNORKEL CHAR A/1</t>
  </si>
  <si>
    <t>SNORKEL CHAR A/2</t>
  </si>
  <si>
    <t>SNORKEL CHAR A/3</t>
  </si>
  <si>
    <t>SNORKEL CHAR B/1</t>
  </si>
  <si>
    <t>SNORKEL CHAR B/2</t>
  </si>
  <si>
    <t>SNORKEL CHAR B/3</t>
  </si>
  <si>
    <t>CHAR C/1</t>
  </si>
  <si>
    <t>CHAR C/2</t>
  </si>
  <si>
    <t>CHAR C/3</t>
  </si>
  <si>
    <t>CHAR D/1</t>
  </si>
  <si>
    <t>CHAR D/2</t>
  </si>
  <si>
    <t>CHAR D/3</t>
  </si>
  <si>
    <t>SNORKEL E/1</t>
  </si>
  <si>
    <t>SNORKEL E/2</t>
  </si>
  <si>
    <t>SNORKEL E/3</t>
  </si>
  <si>
    <t>SNORKEL F/1</t>
  </si>
  <si>
    <t>SNORKEL F/2</t>
  </si>
  <si>
    <t>SNORKEL F/3</t>
  </si>
  <si>
    <t>Control G/1</t>
  </si>
  <si>
    <t>Control G/2</t>
  </si>
  <si>
    <t>Control G/3</t>
  </si>
  <si>
    <t>Control H/1</t>
  </si>
  <si>
    <t>ControlH/2</t>
  </si>
  <si>
    <t>Control H/3</t>
  </si>
  <si>
    <t>T0/1</t>
  </si>
  <si>
    <t>T0/2</t>
  </si>
  <si>
    <t>T0/3</t>
  </si>
  <si>
    <t>T0</t>
  </si>
  <si>
    <t>root</t>
  </si>
  <si>
    <t>shoot</t>
  </si>
  <si>
    <t>Water control</t>
  </si>
  <si>
    <t>Snorkel Char</t>
  </si>
  <si>
    <t>Char</t>
  </si>
  <si>
    <t>Snorkel</t>
  </si>
  <si>
    <t>Control</t>
  </si>
  <si>
    <t>Snorkel char</t>
  </si>
  <si>
    <t>average</t>
  </si>
  <si>
    <t>WATER CONTROL/1</t>
  </si>
  <si>
    <t>WATER CONTROL/2</t>
  </si>
  <si>
    <t>WATER CONTROL/3</t>
  </si>
  <si>
    <t>shoot (mm)</t>
  </si>
  <si>
    <t>root (mm)</t>
  </si>
  <si>
    <t>Average (mm)</t>
  </si>
  <si>
    <t>Sample name</t>
  </si>
  <si>
    <t>Uncont.</t>
  </si>
  <si>
    <t>Control H/2</t>
  </si>
  <si>
    <r>
      <t xml:space="preserve">Dataset for </t>
    </r>
    <r>
      <rPr>
        <i/>
        <sz val="11"/>
        <color theme="1"/>
        <rFont val="Calibri"/>
        <family val="2"/>
        <charset val="238"/>
        <scheme val="minor"/>
      </rPr>
      <t>Sinapis alba</t>
    </r>
    <r>
      <rPr>
        <sz val="11"/>
        <color theme="1"/>
        <rFont val="Calibri"/>
        <family val="2"/>
        <charset val="238"/>
        <scheme val="minor"/>
      </rPr>
      <t xml:space="preserve"> root and shoot elongation inhibition test.</t>
    </r>
  </si>
  <si>
    <t>root/1 (mm)</t>
  </si>
  <si>
    <t>root/2 (mm)</t>
  </si>
  <si>
    <t>root/3 (mm)</t>
  </si>
  <si>
    <r>
      <t xml:space="preserve">Dataset for </t>
    </r>
    <r>
      <rPr>
        <i/>
        <sz val="11"/>
        <color theme="1"/>
        <rFont val="Calibri"/>
        <family val="2"/>
        <charset val="238"/>
        <scheme val="minor"/>
      </rPr>
      <t>Triticum aestivum</t>
    </r>
    <r>
      <rPr>
        <sz val="11"/>
        <color theme="1"/>
        <rFont val="Calibri"/>
        <family val="2"/>
        <charset val="238"/>
        <scheme val="minor"/>
      </rPr>
      <t xml:space="preserve"> root and shoot elongation inhibition test.</t>
    </r>
  </si>
  <si>
    <t>List of samples:</t>
  </si>
  <si>
    <t>Water control (tap water) for the plant test</t>
  </si>
  <si>
    <t>Snorkel treatment</t>
  </si>
  <si>
    <t>Control treatment (without snorkel)</t>
  </si>
  <si>
    <t>Snorkel treatment with conductive biochar</t>
  </si>
  <si>
    <t>Control treatment (without snorkel) with biochar</t>
  </si>
  <si>
    <t>Control soil at the start of the experiment</t>
  </si>
  <si>
    <t>Related publication: https://doi.org/10.1016/j.scitotenv.2022.157325</t>
  </si>
  <si>
    <t>ELECTRA 826244 H2020 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</si>
</sst>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  <xf numFmtId="0" fontId="0" fillId="0" borderId="1" xfId="0" applyFont="1" applyBorder="1"/>
    <xf numFmtId="0" fontId="0" fillId="0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Border="1"/>
    <xf numFmtId="0" fontId="0" fillId="0" borderId="0" xfId="0" applyFill="1"/>
    <xf numFmtId="0" fontId="0" fillId="5" borderId="0" xfId="0" applyFill="1" applyBorder="1"/>
    <xf numFmtId="2" fontId="0" fillId="0" borderId="0" xfId="0" applyNumberFormat="1"/>
    <xf numFmtId="0" fontId="0" fillId="5" borderId="0" xfId="0" applyFill="1"/>
    <xf numFmtId="2" fontId="0" fillId="0" borderId="0" xfId="0" applyNumberFormat="1" applyFill="1" applyBorder="1"/>
    <xf numFmtId="0" fontId="0" fillId="0" borderId="0" xfId="0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ill="1"/>
    <xf numFmtId="0" fontId="0" fillId="0" borderId="3" xfId="0" applyFill="1" applyBorder="1"/>
    <xf numFmtId="2" fontId="0" fillId="0" borderId="3" xfId="0" applyNumberFormat="1" applyBorder="1"/>
    <xf numFmtId="0" fontId="0" fillId="0" borderId="3" xfId="0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164" fontId="0" fillId="0" borderId="3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3" xfId="0" applyBorder="1"/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/>
    <xf numFmtId="164" fontId="0" fillId="0" borderId="0" xfId="0" applyNumberFormat="1" applyBorder="1"/>
    <xf numFmtId="164" fontId="0" fillId="0" borderId="0" xfId="0" applyNumberFormat="1"/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6" borderId="2" xfId="0" applyNumberFormat="1" applyFill="1" applyBorder="1"/>
    <xf numFmtId="164" fontId="0" fillId="7" borderId="2" xfId="0" applyNumberFormat="1" applyFill="1" applyBorder="1"/>
    <xf numFmtId="164" fontId="0" fillId="0" borderId="3" xfId="0" applyNumberFormat="1" applyFill="1" applyBorder="1"/>
    <xf numFmtId="0" fontId="0" fillId="0" borderId="0" xfId="0" applyFill="1" applyBorder="1" applyAlignment="1">
      <alignment horizontal="left" vertical="center"/>
    </xf>
    <xf numFmtId="164" fontId="0" fillId="0" borderId="3" xfId="0" applyNumberFormat="1" applyFill="1" applyBorder="1" applyAlignment="1">
      <alignment horizontal="right" vertical="center"/>
    </xf>
    <xf numFmtId="164" fontId="0" fillId="0" borderId="3" xfId="0" applyNumberFormat="1" applyBorder="1"/>
    <xf numFmtId="0" fontId="0" fillId="0" borderId="0" xfId="0" applyFill="1" applyBorder="1" applyAlignment="1">
      <alignment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2" xfId="0" applyNumberFormat="1" applyFill="1" applyBorder="1"/>
    <xf numFmtId="165" fontId="0" fillId="0" borderId="0" xfId="0" applyNumberFormat="1" applyFill="1" applyBorder="1"/>
    <xf numFmtId="2" fontId="0" fillId="0" borderId="0" xfId="0" applyNumberFormat="1" applyBorder="1"/>
    <xf numFmtId="0" fontId="1" fillId="0" borderId="0" xfId="0" applyFont="1" applyFill="1"/>
    <xf numFmtId="164" fontId="0" fillId="8" borderId="0" xfId="0" applyNumberFormat="1" applyFill="1" applyBorder="1"/>
    <xf numFmtId="0" fontId="3" fillId="0" borderId="0" xfId="0" applyFont="1"/>
    <xf numFmtId="0" fontId="0" fillId="0" borderId="3" xfId="0" applyFill="1" applyBorder="1" applyAlignment="1">
      <alignment horizontal="center"/>
    </xf>
    <xf numFmtId="0" fontId="4" fillId="0" borderId="0" xfId="0" applyFont="1" applyFill="1"/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Normá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workbookViewId="0">
      <selection activeCell="A42" sqref="A42"/>
    </sheetView>
  </sheetViews>
  <sheetFormatPr defaultRowHeight="15" x14ac:dyDescent="0.25"/>
  <sheetData>
    <row r="1" spans="1:31" x14ac:dyDescent="0.25">
      <c r="A1" t="s">
        <v>0</v>
      </c>
      <c r="F1" t="s">
        <v>11</v>
      </c>
      <c r="M1" t="s">
        <v>16</v>
      </c>
      <c r="R1" t="s">
        <v>17</v>
      </c>
      <c r="W1" t="s">
        <v>18</v>
      </c>
      <c r="AB1" t="s">
        <v>21</v>
      </c>
    </row>
    <row r="2" spans="1:31" x14ac:dyDescent="0.25">
      <c r="A2" t="s">
        <v>1</v>
      </c>
      <c r="B2" t="s">
        <v>2</v>
      </c>
      <c r="C2" t="s">
        <v>3</v>
      </c>
      <c r="D2" t="s">
        <v>4</v>
      </c>
      <c r="F2" t="s">
        <v>6</v>
      </c>
      <c r="G2" t="s">
        <v>6</v>
      </c>
      <c r="H2" t="s">
        <v>6</v>
      </c>
      <c r="I2" t="s">
        <v>4</v>
      </c>
      <c r="M2" t="s">
        <v>1</v>
      </c>
      <c r="N2" t="s">
        <v>2</v>
      </c>
      <c r="O2" t="s">
        <v>3</v>
      </c>
      <c r="P2" t="s">
        <v>4</v>
      </c>
      <c r="W2" t="s">
        <v>6</v>
      </c>
      <c r="X2" t="s">
        <v>6</v>
      </c>
      <c r="Y2" t="s">
        <v>6</v>
      </c>
      <c r="Z2" t="s">
        <v>4</v>
      </c>
      <c r="AB2" t="s">
        <v>6</v>
      </c>
      <c r="AC2" t="s">
        <v>6</v>
      </c>
      <c r="AD2" t="s">
        <v>6</v>
      </c>
      <c r="AE2" t="s">
        <v>4</v>
      </c>
    </row>
    <row r="3" spans="1:31" x14ac:dyDescent="0.25">
      <c r="A3">
        <v>35</v>
      </c>
      <c r="B3">
        <v>17</v>
      </c>
      <c r="C3">
        <v>21</v>
      </c>
      <c r="D3">
        <v>5</v>
      </c>
      <c r="F3">
        <v>8</v>
      </c>
      <c r="G3">
        <v>21</v>
      </c>
      <c r="H3">
        <v>8</v>
      </c>
      <c r="I3">
        <v>3</v>
      </c>
      <c r="M3">
        <v>30</v>
      </c>
      <c r="N3">
        <v>19</v>
      </c>
      <c r="O3">
        <v>10</v>
      </c>
      <c r="P3">
        <v>3</v>
      </c>
      <c r="R3" t="s">
        <v>6</v>
      </c>
      <c r="S3" t="s">
        <v>6</v>
      </c>
      <c r="T3" t="s">
        <v>6</v>
      </c>
      <c r="U3" t="s">
        <v>4</v>
      </c>
      <c r="W3">
        <v>32</v>
      </c>
      <c r="X3">
        <v>22</v>
      </c>
      <c r="Y3">
        <v>27</v>
      </c>
      <c r="Z3">
        <v>11</v>
      </c>
      <c r="AB3">
        <v>27</v>
      </c>
      <c r="AC3">
        <v>50</v>
      </c>
      <c r="AD3">
        <v>26</v>
      </c>
      <c r="AE3">
        <v>15</v>
      </c>
    </row>
    <row r="4" spans="1:31" x14ac:dyDescent="0.25">
      <c r="A4">
        <v>15</v>
      </c>
      <c r="B4">
        <v>5</v>
      </c>
      <c r="C4">
        <v>2</v>
      </c>
      <c r="D4">
        <v>3</v>
      </c>
      <c r="F4">
        <v>5</v>
      </c>
      <c r="G4">
        <v>10</v>
      </c>
      <c r="H4">
        <v>12</v>
      </c>
      <c r="I4">
        <v>3</v>
      </c>
      <c r="M4">
        <v>16</v>
      </c>
      <c r="N4">
        <v>17</v>
      </c>
      <c r="O4">
        <v>3</v>
      </c>
      <c r="P4">
        <v>2</v>
      </c>
      <c r="R4">
        <v>60</v>
      </c>
      <c r="S4">
        <v>48</v>
      </c>
      <c r="T4">
        <v>40</v>
      </c>
      <c r="U4">
        <v>23</v>
      </c>
      <c r="W4">
        <v>16</v>
      </c>
      <c r="X4">
        <v>20</v>
      </c>
      <c r="Y4">
        <v>20</v>
      </c>
      <c r="Z4">
        <v>5</v>
      </c>
      <c r="AB4">
        <v>45</v>
      </c>
      <c r="AC4">
        <v>42</v>
      </c>
      <c r="AD4">
        <v>20</v>
      </c>
      <c r="AE4">
        <v>18</v>
      </c>
    </row>
    <row r="5" spans="1:31" x14ac:dyDescent="0.25">
      <c r="A5">
        <v>35</v>
      </c>
      <c r="B5">
        <v>19</v>
      </c>
      <c r="C5">
        <v>22</v>
      </c>
      <c r="D5">
        <v>10</v>
      </c>
      <c r="F5">
        <v>21</v>
      </c>
      <c r="G5">
        <v>10</v>
      </c>
      <c r="H5">
        <v>11</v>
      </c>
      <c r="I5">
        <v>0</v>
      </c>
      <c r="M5">
        <v>24</v>
      </c>
      <c r="N5">
        <v>10</v>
      </c>
      <c r="O5">
        <v>9</v>
      </c>
      <c r="P5">
        <v>4</v>
      </c>
      <c r="R5">
        <v>53</v>
      </c>
      <c r="S5">
        <v>17</v>
      </c>
      <c r="T5">
        <v>47</v>
      </c>
      <c r="U5">
        <v>23</v>
      </c>
      <c r="W5">
        <v>18</v>
      </c>
      <c r="X5">
        <v>15</v>
      </c>
      <c r="Y5">
        <v>18</v>
      </c>
      <c r="Z5">
        <v>5</v>
      </c>
      <c r="AB5">
        <v>21</v>
      </c>
      <c r="AC5">
        <v>13</v>
      </c>
      <c r="AD5">
        <v>26</v>
      </c>
      <c r="AE5">
        <v>10</v>
      </c>
    </row>
    <row r="6" spans="1:31" x14ac:dyDescent="0.25">
      <c r="A6">
        <v>25</v>
      </c>
      <c r="B6">
        <v>11</v>
      </c>
      <c r="C6">
        <v>9</v>
      </c>
      <c r="D6">
        <v>4</v>
      </c>
      <c r="F6">
        <v>24</v>
      </c>
      <c r="G6">
        <v>13</v>
      </c>
      <c r="H6">
        <v>4</v>
      </c>
      <c r="I6">
        <v>3</v>
      </c>
      <c r="M6">
        <v>23</v>
      </c>
      <c r="N6" t="s">
        <v>10</v>
      </c>
      <c r="O6" t="s">
        <v>10</v>
      </c>
      <c r="P6">
        <v>1</v>
      </c>
      <c r="R6">
        <v>39</v>
      </c>
      <c r="S6">
        <v>37</v>
      </c>
      <c r="T6">
        <v>35</v>
      </c>
      <c r="U6">
        <v>11</v>
      </c>
      <c r="W6">
        <v>20</v>
      </c>
      <c r="X6">
        <v>19</v>
      </c>
      <c r="Y6">
        <v>25</v>
      </c>
      <c r="Z6">
        <v>4</v>
      </c>
      <c r="AB6">
        <v>11</v>
      </c>
      <c r="AC6">
        <v>16</v>
      </c>
      <c r="AD6">
        <v>10</v>
      </c>
      <c r="AE6">
        <v>2</v>
      </c>
    </row>
    <row r="7" spans="1:31" x14ac:dyDescent="0.25">
      <c r="A7">
        <v>26</v>
      </c>
      <c r="B7">
        <v>15</v>
      </c>
      <c r="C7">
        <v>17</v>
      </c>
      <c r="D7">
        <v>4</v>
      </c>
      <c r="F7">
        <v>0</v>
      </c>
      <c r="G7">
        <v>0</v>
      </c>
      <c r="H7">
        <v>0</v>
      </c>
      <c r="I7" s="1">
        <v>1</v>
      </c>
      <c r="J7" s="1" t="s">
        <v>12</v>
      </c>
      <c r="M7">
        <v>9</v>
      </c>
      <c r="N7">
        <v>9</v>
      </c>
      <c r="O7">
        <v>2</v>
      </c>
      <c r="P7">
        <v>2</v>
      </c>
      <c r="R7">
        <v>28</v>
      </c>
      <c r="S7">
        <v>19</v>
      </c>
      <c r="T7">
        <v>46</v>
      </c>
      <c r="U7">
        <v>11</v>
      </c>
      <c r="W7">
        <v>28</v>
      </c>
      <c r="X7">
        <v>30</v>
      </c>
      <c r="Y7">
        <v>20</v>
      </c>
      <c r="Z7">
        <v>7</v>
      </c>
      <c r="AB7">
        <v>25</v>
      </c>
      <c r="AC7">
        <v>50</v>
      </c>
      <c r="AD7">
        <v>31</v>
      </c>
      <c r="AE7">
        <v>16</v>
      </c>
    </row>
    <row r="8" spans="1:31" x14ac:dyDescent="0.25">
      <c r="A8">
        <v>22</v>
      </c>
      <c r="B8">
        <v>14</v>
      </c>
      <c r="C8">
        <v>8</v>
      </c>
      <c r="D8">
        <v>2</v>
      </c>
      <c r="F8">
        <v>25</v>
      </c>
      <c r="G8">
        <v>7</v>
      </c>
      <c r="H8">
        <v>1</v>
      </c>
      <c r="I8">
        <v>3</v>
      </c>
      <c r="M8">
        <v>21</v>
      </c>
      <c r="N8" t="s">
        <v>10</v>
      </c>
      <c r="O8" t="s">
        <v>10</v>
      </c>
      <c r="P8">
        <v>3</v>
      </c>
      <c r="R8">
        <v>46</v>
      </c>
      <c r="S8">
        <v>35</v>
      </c>
      <c r="T8">
        <v>30</v>
      </c>
      <c r="U8">
        <v>15</v>
      </c>
      <c r="W8">
        <v>23</v>
      </c>
      <c r="X8">
        <v>29</v>
      </c>
      <c r="Y8">
        <v>19</v>
      </c>
      <c r="Z8">
        <v>7</v>
      </c>
      <c r="AB8">
        <v>0</v>
      </c>
      <c r="AC8">
        <v>0</v>
      </c>
      <c r="AD8">
        <v>0</v>
      </c>
      <c r="AE8">
        <v>0</v>
      </c>
    </row>
    <row r="9" spans="1:31" x14ac:dyDescent="0.25">
      <c r="A9">
        <v>17</v>
      </c>
      <c r="B9">
        <v>26</v>
      </c>
      <c r="C9">
        <v>17</v>
      </c>
      <c r="D9">
        <v>6</v>
      </c>
      <c r="F9">
        <v>20</v>
      </c>
      <c r="G9">
        <v>14</v>
      </c>
      <c r="H9">
        <v>7</v>
      </c>
      <c r="I9">
        <v>3</v>
      </c>
      <c r="M9">
        <v>25</v>
      </c>
      <c r="N9">
        <v>16</v>
      </c>
      <c r="O9">
        <v>12</v>
      </c>
      <c r="P9" t="s">
        <v>10</v>
      </c>
      <c r="R9">
        <v>52</v>
      </c>
      <c r="S9">
        <v>26</v>
      </c>
      <c r="T9">
        <v>40</v>
      </c>
      <c r="U9">
        <v>10</v>
      </c>
      <c r="W9">
        <v>37</v>
      </c>
      <c r="X9">
        <v>28</v>
      </c>
      <c r="Y9">
        <v>34</v>
      </c>
      <c r="Z9">
        <v>10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>
        <v>19</v>
      </c>
      <c r="B10">
        <v>9</v>
      </c>
      <c r="C10">
        <v>1</v>
      </c>
      <c r="D10">
        <v>2</v>
      </c>
      <c r="F10">
        <v>11</v>
      </c>
      <c r="G10">
        <v>21</v>
      </c>
      <c r="H10">
        <v>3</v>
      </c>
      <c r="I10">
        <v>2</v>
      </c>
      <c r="M10">
        <v>27</v>
      </c>
      <c r="N10">
        <v>19</v>
      </c>
      <c r="O10">
        <v>10</v>
      </c>
      <c r="P10">
        <v>4</v>
      </c>
      <c r="R10">
        <v>65</v>
      </c>
      <c r="S10">
        <v>44</v>
      </c>
      <c r="T10">
        <v>46</v>
      </c>
      <c r="U10">
        <v>30</v>
      </c>
      <c r="W10">
        <v>10</v>
      </c>
      <c r="X10">
        <v>10</v>
      </c>
      <c r="Y10">
        <v>11</v>
      </c>
      <c r="Z10">
        <v>4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>
        <v>23</v>
      </c>
      <c r="B11">
        <v>25</v>
      </c>
      <c r="C11">
        <v>19</v>
      </c>
      <c r="D11">
        <v>4</v>
      </c>
      <c r="F11">
        <v>29</v>
      </c>
      <c r="G11">
        <v>1</v>
      </c>
      <c r="H11">
        <v>1</v>
      </c>
      <c r="I11">
        <v>4</v>
      </c>
      <c r="M11">
        <v>15</v>
      </c>
      <c r="N11">
        <v>9</v>
      </c>
      <c r="O11">
        <v>0</v>
      </c>
      <c r="P11">
        <v>3</v>
      </c>
      <c r="R11">
        <v>17</v>
      </c>
      <c r="S11">
        <v>40</v>
      </c>
      <c r="T11">
        <v>38</v>
      </c>
      <c r="U11">
        <v>21</v>
      </c>
      <c r="W11">
        <v>18</v>
      </c>
      <c r="X11">
        <v>11</v>
      </c>
      <c r="Y11">
        <v>21</v>
      </c>
      <c r="Z11">
        <v>5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>
        <v>17</v>
      </c>
      <c r="B12">
        <v>17</v>
      </c>
      <c r="C12">
        <v>15</v>
      </c>
      <c r="D12">
        <v>3</v>
      </c>
      <c r="F12">
        <v>4</v>
      </c>
      <c r="G12">
        <v>24</v>
      </c>
      <c r="H12">
        <v>0</v>
      </c>
      <c r="I12">
        <v>4</v>
      </c>
      <c r="M12">
        <v>17</v>
      </c>
      <c r="N12">
        <v>8</v>
      </c>
      <c r="O12">
        <v>7</v>
      </c>
      <c r="P12">
        <v>3</v>
      </c>
      <c r="R12">
        <v>25</v>
      </c>
      <c r="S12">
        <v>38</v>
      </c>
      <c r="T12">
        <v>29</v>
      </c>
      <c r="U12">
        <v>9</v>
      </c>
      <c r="W12">
        <v>26</v>
      </c>
      <c r="X12" t="s">
        <v>10</v>
      </c>
      <c r="Y12" t="s">
        <v>10</v>
      </c>
      <c r="Z12">
        <v>3</v>
      </c>
      <c r="AB12">
        <v>0</v>
      </c>
      <c r="AC12">
        <v>0</v>
      </c>
      <c r="AD12">
        <v>0</v>
      </c>
      <c r="AE12">
        <v>2</v>
      </c>
    </row>
    <row r="13" spans="1:31" x14ac:dyDescent="0.25">
      <c r="A13">
        <v>14</v>
      </c>
      <c r="B13">
        <v>23</v>
      </c>
      <c r="C13">
        <v>18</v>
      </c>
      <c r="D13">
        <v>4</v>
      </c>
      <c r="F13">
        <v>6</v>
      </c>
      <c r="G13">
        <v>11</v>
      </c>
      <c r="H13">
        <v>3</v>
      </c>
      <c r="I13">
        <v>2</v>
      </c>
      <c r="M13">
        <v>19</v>
      </c>
      <c r="N13">
        <v>20</v>
      </c>
      <c r="O13">
        <v>9</v>
      </c>
      <c r="P13">
        <v>3</v>
      </c>
      <c r="R13">
        <v>55</v>
      </c>
      <c r="S13">
        <v>40</v>
      </c>
      <c r="T13">
        <v>20</v>
      </c>
      <c r="U13">
        <v>16</v>
      </c>
      <c r="W13">
        <v>18</v>
      </c>
      <c r="X13">
        <v>16</v>
      </c>
      <c r="Y13">
        <v>14</v>
      </c>
      <c r="Z13">
        <v>5</v>
      </c>
      <c r="AB13">
        <v>11</v>
      </c>
      <c r="AC13">
        <v>12</v>
      </c>
      <c r="AD13">
        <v>2</v>
      </c>
      <c r="AE13">
        <v>5</v>
      </c>
    </row>
    <row r="14" spans="1:31" x14ac:dyDescent="0.25">
      <c r="A14">
        <v>21</v>
      </c>
      <c r="B14">
        <v>14</v>
      </c>
      <c r="C14">
        <v>12</v>
      </c>
      <c r="D14">
        <v>3</v>
      </c>
      <c r="F14">
        <v>28</v>
      </c>
      <c r="G14">
        <v>21</v>
      </c>
      <c r="H14">
        <v>15</v>
      </c>
      <c r="I14">
        <v>3</v>
      </c>
      <c r="M14">
        <v>16</v>
      </c>
      <c r="N14">
        <v>19</v>
      </c>
      <c r="O14">
        <v>23</v>
      </c>
      <c r="P14">
        <v>4</v>
      </c>
      <c r="R14">
        <v>33</v>
      </c>
      <c r="S14">
        <v>26</v>
      </c>
      <c r="T14">
        <v>27</v>
      </c>
      <c r="U14">
        <v>16</v>
      </c>
      <c r="W14">
        <v>25</v>
      </c>
      <c r="X14">
        <v>14</v>
      </c>
      <c r="Y14">
        <v>21</v>
      </c>
      <c r="Z14">
        <v>6</v>
      </c>
      <c r="AB14">
        <v>17</v>
      </c>
      <c r="AC14">
        <v>23</v>
      </c>
      <c r="AD14">
        <v>22</v>
      </c>
      <c r="AE14">
        <v>14</v>
      </c>
    </row>
    <row r="15" spans="1:31" x14ac:dyDescent="0.25">
      <c r="A15">
        <v>19</v>
      </c>
      <c r="B15">
        <v>13</v>
      </c>
      <c r="C15">
        <v>10</v>
      </c>
      <c r="D15">
        <v>3</v>
      </c>
      <c r="F15">
        <v>3</v>
      </c>
      <c r="G15">
        <v>7</v>
      </c>
      <c r="H15">
        <v>21</v>
      </c>
      <c r="I15">
        <v>1</v>
      </c>
      <c r="M15">
        <v>25</v>
      </c>
      <c r="N15">
        <v>4</v>
      </c>
      <c r="O15">
        <v>9</v>
      </c>
      <c r="P15">
        <v>4</v>
      </c>
      <c r="R15">
        <v>42</v>
      </c>
      <c r="S15">
        <v>23</v>
      </c>
      <c r="T15">
        <v>32</v>
      </c>
      <c r="U15">
        <v>21</v>
      </c>
      <c r="W15">
        <v>21</v>
      </c>
      <c r="X15">
        <v>19</v>
      </c>
      <c r="Y15">
        <v>16</v>
      </c>
      <c r="Z15">
        <v>6</v>
      </c>
      <c r="AB15">
        <v>16</v>
      </c>
      <c r="AC15">
        <v>11</v>
      </c>
      <c r="AD15">
        <v>11</v>
      </c>
      <c r="AE15">
        <v>6</v>
      </c>
    </row>
    <row r="16" spans="1:31" x14ac:dyDescent="0.25">
      <c r="A16">
        <v>14</v>
      </c>
      <c r="B16">
        <v>7</v>
      </c>
      <c r="C16">
        <v>3</v>
      </c>
      <c r="D16">
        <v>2</v>
      </c>
      <c r="F16">
        <v>11</v>
      </c>
      <c r="G16">
        <v>2</v>
      </c>
      <c r="H16">
        <v>0</v>
      </c>
      <c r="I16">
        <v>0</v>
      </c>
      <c r="M16">
        <v>29</v>
      </c>
      <c r="N16">
        <v>17</v>
      </c>
      <c r="O16">
        <v>6</v>
      </c>
      <c r="P16">
        <v>4</v>
      </c>
      <c r="R16">
        <v>32</v>
      </c>
      <c r="S16">
        <v>25</v>
      </c>
      <c r="T16">
        <v>32</v>
      </c>
      <c r="U16">
        <v>12</v>
      </c>
      <c r="W16">
        <v>15</v>
      </c>
      <c r="X16">
        <v>4</v>
      </c>
      <c r="Y16">
        <v>6</v>
      </c>
      <c r="Z16">
        <v>3</v>
      </c>
      <c r="AB16">
        <v>27</v>
      </c>
      <c r="AC16">
        <v>22</v>
      </c>
      <c r="AD16">
        <v>17</v>
      </c>
      <c r="AE16">
        <v>10</v>
      </c>
    </row>
    <row r="17" spans="1:31" x14ac:dyDescent="0.25">
      <c r="A17">
        <v>11</v>
      </c>
      <c r="B17">
        <v>2</v>
      </c>
      <c r="C17">
        <v>0</v>
      </c>
      <c r="D17">
        <v>2</v>
      </c>
      <c r="F17">
        <v>19</v>
      </c>
      <c r="G17">
        <v>5</v>
      </c>
      <c r="H17">
        <v>7</v>
      </c>
      <c r="I17">
        <v>1</v>
      </c>
      <c r="M17">
        <v>7</v>
      </c>
      <c r="N17" t="s">
        <v>10</v>
      </c>
      <c r="O17" t="s">
        <v>10</v>
      </c>
      <c r="P17" t="s">
        <v>10</v>
      </c>
      <c r="R17">
        <v>41</v>
      </c>
      <c r="S17">
        <v>22</v>
      </c>
      <c r="T17">
        <v>38</v>
      </c>
      <c r="U17">
        <v>14</v>
      </c>
      <c r="W17" t="s">
        <v>10</v>
      </c>
      <c r="X17" t="s">
        <v>10</v>
      </c>
      <c r="Y17" t="s">
        <v>10</v>
      </c>
      <c r="Z17" t="s">
        <v>10</v>
      </c>
      <c r="AB17">
        <v>15</v>
      </c>
      <c r="AC17">
        <v>11</v>
      </c>
      <c r="AD17">
        <v>12</v>
      </c>
      <c r="AE17">
        <v>6</v>
      </c>
    </row>
    <row r="18" spans="1:31" x14ac:dyDescent="0.25">
      <c r="A18" s="2">
        <v>0</v>
      </c>
      <c r="B18" s="2">
        <v>0</v>
      </c>
      <c r="C18" s="2">
        <v>0</v>
      </c>
      <c r="D18" s="2">
        <v>0</v>
      </c>
      <c r="F18" s="2">
        <v>31</v>
      </c>
      <c r="G18" s="2">
        <v>5</v>
      </c>
      <c r="H18" s="2">
        <v>7</v>
      </c>
      <c r="I18" s="2">
        <v>2</v>
      </c>
      <c r="M18" s="2">
        <v>0</v>
      </c>
      <c r="N18" s="2">
        <v>0</v>
      </c>
      <c r="O18" s="2">
        <v>0</v>
      </c>
      <c r="P18" s="2">
        <v>0</v>
      </c>
      <c r="R18" t="s">
        <v>10</v>
      </c>
      <c r="S18" t="s">
        <v>10</v>
      </c>
      <c r="T18" t="s">
        <v>10</v>
      </c>
      <c r="U18" t="s">
        <v>10</v>
      </c>
      <c r="W18" s="2" t="s">
        <v>10</v>
      </c>
      <c r="X18" s="2" t="s">
        <v>10</v>
      </c>
      <c r="Y18" s="2" t="s">
        <v>10</v>
      </c>
      <c r="Z18" s="2" t="s">
        <v>10</v>
      </c>
      <c r="AB18" s="2">
        <v>11</v>
      </c>
      <c r="AC18" s="2">
        <v>10</v>
      </c>
      <c r="AD18" s="2">
        <v>12</v>
      </c>
      <c r="AE18" s="2">
        <v>3</v>
      </c>
    </row>
    <row r="19" spans="1:31" x14ac:dyDescent="0.25">
      <c r="A19">
        <v>27</v>
      </c>
      <c r="B19">
        <v>16</v>
      </c>
      <c r="C19">
        <v>17</v>
      </c>
      <c r="D19">
        <v>15</v>
      </c>
      <c r="F19">
        <v>12</v>
      </c>
      <c r="G19">
        <v>6</v>
      </c>
      <c r="H19">
        <v>24</v>
      </c>
      <c r="I19">
        <v>4</v>
      </c>
      <c r="M19">
        <v>20</v>
      </c>
      <c r="N19">
        <v>17</v>
      </c>
      <c r="O19">
        <v>26</v>
      </c>
      <c r="P19">
        <v>5</v>
      </c>
      <c r="R19" s="2" t="s">
        <v>10</v>
      </c>
      <c r="S19" s="2" t="s">
        <v>10</v>
      </c>
      <c r="T19" s="2" t="s">
        <v>10</v>
      </c>
      <c r="U19" s="2" t="s">
        <v>10</v>
      </c>
      <c r="W19" s="3">
        <v>26</v>
      </c>
      <c r="X19" s="3">
        <v>34</v>
      </c>
      <c r="Y19" s="3">
        <v>26</v>
      </c>
      <c r="Z19">
        <v>11</v>
      </c>
      <c r="AB19" s="3">
        <v>57</v>
      </c>
      <c r="AC19" s="3">
        <v>34</v>
      </c>
      <c r="AD19" s="3">
        <v>31</v>
      </c>
      <c r="AE19" s="3">
        <v>20</v>
      </c>
    </row>
    <row r="20" spans="1:31" x14ac:dyDescent="0.25">
      <c r="A20">
        <v>25</v>
      </c>
      <c r="B20">
        <v>29</v>
      </c>
      <c r="C20">
        <v>18</v>
      </c>
      <c r="D20">
        <v>5</v>
      </c>
      <c r="F20">
        <v>2</v>
      </c>
      <c r="G20">
        <v>11</v>
      </c>
      <c r="H20">
        <v>22</v>
      </c>
      <c r="I20">
        <v>3</v>
      </c>
      <c r="M20">
        <v>16</v>
      </c>
      <c r="N20">
        <v>10</v>
      </c>
      <c r="O20">
        <v>2</v>
      </c>
      <c r="P20">
        <v>4</v>
      </c>
      <c r="R20">
        <v>28</v>
      </c>
      <c r="S20">
        <v>35</v>
      </c>
      <c r="T20">
        <v>42</v>
      </c>
      <c r="U20">
        <v>19</v>
      </c>
      <c r="W20" s="3">
        <v>31</v>
      </c>
      <c r="X20" s="3">
        <v>41</v>
      </c>
      <c r="Y20" s="3">
        <v>48</v>
      </c>
      <c r="Z20">
        <v>20</v>
      </c>
      <c r="AB20" s="3">
        <v>25</v>
      </c>
      <c r="AC20" s="3">
        <v>31</v>
      </c>
      <c r="AD20" s="3">
        <v>50</v>
      </c>
      <c r="AE20" s="3">
        <v>13</v>
      </c>
    </row>
    <row r="21" spans="1:31" x14ac:dyDescent="0.25">
      <c r="A21">
        <v>24</v>
      </c>
      <c r="B21">
        <v>12</v>
      </c>
      <c r="C21">
        <v>15</v>
      </c>
      <c r="D21">
        <v>5</v>
      </c>
      <c r="F21">
        <v>22</v>
      </c>
      <c r="G21">
        <v>22</v>
      </c>
      <c r="H21">
        <v>20</v>
      </c>
      <c r="I21">
        <v>3</v>
      </c>
      <c r="M21">
        <v>20</v>
      </c>
      <c r="N21">
        <v>8</v>
      </c>
      <c r="O21">
        <v>11</v>
      </c>
      <c r="P21">
        <v>3</v>
      </c>
      <c r="R21">
        <v>55</v>
      </c>
      <c r="S21">
        <v>48</v>
      </c>
      <c r="T21">
        <v>27</v>
      </c>
      <c r="U21">
        <v>19</v>
      </c>
      <c r="W21" s="3">
        <v>22</v>
      </c>
      <c r="X21" s="3">
        <v>15</v>
      </c>
      <c r="Y21" s="3">
        <v>16</v>
      </c>
      <c r="Z21">
        <v>0</v>
      </c>
      <c r="AB21" s="3">
        <v>42</v>
      </c>
      <c r="AC21" s="3">
        <v>34</v>
      </c>
      <c r="AD21" s="3">
        <v>22</v>
      </c>
      <c r="AE21" s="3">
        <v>18</v>
      </c>
    </row>
    <row r="22" spans="1:31" x14ac:dyDescent="0.25">
      <c r="A22">
        <v>14</v>
      </c>
      <c r="B22">
        <v>17</v>
      </c>
      <c r="C22">
        <v>16</v>
      </c>
      <c r="D22">
        <v>3</v>
      </c>
      <c r="F22">
        <v>11</v>
      </c>
      <c r="G22">
        <v>16</v>
      </c>
      <c r="H22">
        <v>6</v>
      </c>
      <c r="I22">
        <v>2</v>
      </c>
      <c r="M22">
        <v>21</v>
      </c>
      <c r="N22">
        <v>27</v>
      </c>
      <c r="O22">
        <v>32</v>
      </c>
      <c r="P22">
        <v>8</v>
      </c>
      <c r="R22">
        <v>50</v>
      </c>
      <c r="S22">
        <v>73</v>
      </c>
      <c r="T22">
        <v>48</v>
      </c>
      <c r="U22">
        <v>24</v>
      </c>
      <c r="W22" s="3">
        <v>22</v>
      </c>
      <c r="X22" s="3">
        <v>29</v>
      </c>
      <c r="Y22" s="3">
        <v>19</v>
      </c>
      <c r="Z22">
        <v>9</v>
      </c>
      <c r="AB22" s="3">
        <v>16</v>
      </c>
      <c r="AC22" s="3">
        <v>21</v>
      </c>
      <c r="AD22" s="3">
        <v>22</v>
      </c>
      <c r="AE22" s="3">
        <v>4</v>
      </c>
    </row>
    <row r="23" spans="1:31" x14ac:dyDescent="0.25">
      <c r="A23">
        <v>29</v>
      </c>
      <c r="B23">
        <v>28</v>
      </c>
      <c r="C23">
        <v>26</v>
      </c>
      <c r="D23">
        <v>4</v>
      </c>
      <c r="F23">
        <v>16</v>
      </c>
      <c r="G23">
        <v>16</v>
      </c>
      <c r="H23">
        <v>22</v>
      </c>
      <c r="I23">
        <v>4</v>
      </c>
      <c r="M23">
        <v>25</v>
      </c>
      <c r="N23">
        <v>15</v>
      </c>
      <c r="O23">
        <v>18</v>
      </c>
      <c r="P23">
        <v>4</v>
      </c>
      <c r="R23">
        <v>71</v>
      </c>
      <c r="S23">
        <v>43</v>
      </c>
      <c r="T23">
        <v>46</v>
      </c>
      <c r="U23">
        <v>26</v>
      </c>
      <c r="W23" s="3">
        <v>14</v>
      </c>
      <c r="X23" s="3">
        <v>9</v>
      </c>
      <c r="Y23" s="3">
        <v>16</v>
      </c>
      <c r="Z23">
        <v>10</v>
      </c>
      <c r="AB23" s="3">
        <v>20</v>
      </c>
      <c r="AC23" s="3">
        <v>26</v>
      </c>
      <c r="AD23" s="3">
        <v>32</v>
      </c>
      <c r="AE23" s="3">
        <v>7</v>
      </c>
    </row>
    <row r="24" spans="1:31" x14ac:dyDescent="0.25">
      <c r="A24">
        <v>32</v>
      </c>
      <c r="B24">
        <v>25</v>
      </c>
      <c r="C24">
        <v>20</v>
      </c>
      <c r="D24">
        <v>8</v>
      </c>
      <c r="F24">
        <v>23</v>
      </c>
      <c r="G24">
        <v>17</v>
      </c>
      <c r="H24">
        <v>11</v>
      </c>
      <c r="I24">
        <v>7</v>
      </c>
      <c r="M24">
        <v>26</v>
      </c>
      <c r="N24">
        <v>14</v>
      </c>
      <c r="O24">
        <v>13</v>
      </c>
      <c r="P24">
        <v>3</v>
      </c>
      <c r="R24">
        <v>37</v>
      </c>
      <c r="S24">
        <v>50</v>
      </c>
      <c r="T24">
        <v>32</v>
      </c>
      <c r="U24">
        <v>16</v>
      </c>
      <c r="W24" s="3">
        <v>21</v>
      </c>
      <c r="X24" s="3">
        <v>12</v>
      </c>
      <c r="Y24" s="3">
        <v>14</v>
      </c>
      <c r="Z24">
        <v>11</v>
      </c>
      <c r="AB24" s="3">
        <v>39</v>
      </c>
      <c r="AC24" s="3">
        <v>33</v>
      </c>
      <c r="AD24" s="3">
        <v>37</v>
      </c>
      <c r="AE24" s="3">
        <v>16</v>
      </c>
    </row>
    <row r="25" spans="1:31" x14ac:dyDescent="0.25">
      <c r="A25">
        <v>24</v>
      </c>
      <c r="B25">
        <v>20</v>
      </c>
      <c r="C25">
        <v>22</v>
      </c>
      <c r="D25">
        <v>9</v>
      </c>
      <c r="F25">
        <v>28</v>
      </c>
      <c r="G25">
        <v>0.5</v>
      </c>
      <c r="H25">
        <v>0</v>
      </c>
      <c r="I25">
        <v>1</v>
      </c>
      <c r="M25">
        <v>20</v>
      </c>
      <c r="N25">
        <v>20</v>
      </c>
      <c r="O25" t="s">
        <v>10</v>
      </c>
      <c r="P25">
        <v>4</v>
      </c>
      <c r="R25">
        <v>42</v>
      </c>
      <c r="S25">
        <v>51</v>
      </c>
      <c r="T25">
        <v>31</v>
      </c>
      <c r="U25">
        <v>13</v>
      </c>
      <c r="W25" s="3">
        <v>27</v>
      </c>
      <c r="X25" s="3">
        <v>30</v>
      </c>
      <c r="Y25" s="3">
        <v>17</v>
      </c>
      <c r="Z25">
        <v>10</v>
      </c>
      <c r="AB25" s="3">
        <v>34</v>
      </c>
      <c r="AC25" s="3">
        <v>27</v>
      </c>
      <c r="AD25" s="3">
        <v>22</v>
      </c>
      <c r="AE25" s="3">
        <v>17</v>
      </c>
    </row>
    <row r="26" spans="1:31" x14ac:dyDescent="0.25">
      <c r="A26">
        <v>22</v>
      </c>
      <c r="B26">
        <v>0</v>
      </c>
      <c r="C26">
        <v>0</v>
      </c>
      <c r="D26">
        <v>3</v>
      </c>
      <c r="F26" t="s">
        <v>8</v>
      </c>
      <c r="G26" t="s">
        <v>8</v>
      </c>
      <c r="H26" t="s">
        <v>8</v>
      </c>
      <c r="I26" t="s">
        <v>8</v>
      </c>
      <c r="M26">
        <v>33</v>
      </c>
      <c r="N26">
        <v>15</v>
      </c>
      <c r="O26">
        <v>16</v>
      </c>
      <c r="P26">
        <v>5</v>
      </c>
      <c r="R26">
        <v>52</v>
      </c>
      <c r="S26">
        <v>52</v>
      </c>
      <c r="T26">
        <v>51</v>
      </c>
      <c r="U26">
        <v>18</v>
      </c>
      <c r="W26" s="3">
        <v>22</v>
      </c>
      <c r="X26" s="3">
        <v>33</v>
      </c>
      <c r="Y26" s="3">
        <v>27</v>
      </c>
      <c r="Z26">
        <v>9</v>
      </c>
      <c r="AB26" s="3">
        <v>23</v>
      </c>
      <c r="AC26" s="3">
        <v>21</v>
      </c>
      <c r="AD26" s="3">
        <v>21</v>
      </c>
      <c r="AE26" s="3">
        <v>10</v>
      </c>
    </row>
    <row r="27" spans="1:31" x14ac:dyDescent="0.25">
      <c r="A27">
        <v>12</v>
      </c>
      <c r="B27">
        <v>5</v>
      </c>
      <c r="C27">
        <v>1</v>
      </c>
      <c r="D27">
        <v>3</v>
      </c>
      <c r="F27">
        <v>22</v>
      </c>
      <c r="G27">
        <v>23</v>
      </c>
      <c r="H27">
        <v>8</v>
      </c>
      <c r="I27">
        <v>4</v>
      </c>
      <c r="M27">
        <v>28</v>
      </c>
      <c r="N27">
        <v>17</v>
      </c>
      <c r="O27">
        <v>14</v>
      </c>
      <c r="P27">
        <v>4</v>
      </c>
      <c r="R27">
        <v>36</v>
      </c>
      <c r="S27">
        <v>34</v>
      </c>
      <c r="T27">
        <v>37</v>
      </c>
      <c r="U27">
        <v>14</v>
      </c>
      <c r="W27" s="3">
        <v>38</v>
      </c>
      <c r="X27" s="3">
        <v>27</v>
      </c>
      <c r="Y27" s="3">
        <v>25</v>
      </c>
      <c r="Z27">
        <v>17</v>
      </c>
      <c r="AB27" s="3">
        <v>54</v>
      </c>
      <c r="AC27" s="3">
        <v>48</v>
      </c>
      <c r="AD27" s="3">
        <v>15</v>
      </c>
      <c r="AE27" s="3">
        <v>21</v>
      </c>
    </row>
    <row r="28" spans="1:31" x14ac:dyDescent="0.25">
      <c r="A28">
        <v>20</v>
      </c>
      <c r="B28">
        <v>8</v>
      </c>
      <c r="C28">
        <v>1</v>
      </c>
      <c r="D28">
        <v>2</v>
      </c>
      <c r="F28">
        <v>12</v>
      </c>
      <c r="G28">
        <v>9</v>
      </c>
      <c r="H28">
        <v>13</v>
      </c>
      <c r="I28">
        <v>4</v>
      </c>
      <c r="M28">
        <v>11</v>
      </c>
      <c r="N28">
        <v>13</v>
      </c>
      <c r="O28">
        <v>21</v>
      </c>
      <c r="P28">
        <v>5</v>
      </c>
      <c r="R28">
        <v>71</v>
      </c>
      <c r="S28">
        <v>53</v>
      </c>
      <c r="T28">
        <v>54</v>
      </c>
      <c r="U28">
        <v>23</v>
      </c>
      <c r="W28" s="3">
        <v>30</v>
      </c>
      <c r="X28" s="3">
        <v>30</v>
      </c>
      <c r="Y28" s="3">
        <v>21</v>
      </c>
      <c r="Z28">
        <v>6</v>
      </c>
      <c r="AB28" s="3">
        <v>31</v>
      </c>
      <c r="AC28" s="3">
        <v>4</v>
      </c>
      <c r="AD28" s="3">
        <v>2</v>
      </c>
      <c r="AE28" s="3">
        <v>9</v>
      </c>
    </row>
    <row r="29" spans="1:31" x14ac:dyDescent="0.25">
      <c r="A29">
        <v>15</v>
      </c>
      <c r="B29">
        <v>19</v>
      </c>
      <c r="C29">
        <v>18</v>
      </c>
      <c r="D29">
        <v>4</v>
      </c>
      <c r="F29">
        <v>5</v>
      </c>
      <c r="G29">
        <v>8</v>
      </c>
      <c r="H29">
        <v>16</v>
      </c>
      <c r="I29">
        <v>5</v>
      </c>
      <c r="M29">
        <v>19</v>
      </c>
      <c r="N29" t="s">
        <v>10</v>
      </c>
      <c r="O29" t="s">
        <v>10</v>
      </c>
      <c r="P29">
        <v>4</v>
      </c>
      <c r="R29">
        <v>41</v>
      </c>
      <c r="S29">
        <v>56</v>
      </c>
      <c r="T29">
        <v>72</v>
      </c>
      <c r="U29">
        <v>30</v>
      </c>
      <c r="W29" s="3">
        <v>16</v>
      </c>
      <c r="X29" s="3">
        <v>26</v>
      </c>
      <c r="Y29" s="3">
        <v>25</v>
      </c>
      <c r="Z29">
        <v>5</v>
      </c>
      <c r="AB29" s="3">
        <v>27</v>
      </c>
      <c r="AC29" s="3">
        <v>33</v>
      </c>
      <c r="AD29" s="3">
        <v>20</v>
      </c>
      <c r="AE29" s="3">
        <v>11</v>
      </c>
    </row>
    <row r="30" spans="1:31" x14ac:dyDescent="0.25">
      <c r="A30">
        <v>26</v>
      </c>
      <c r="B30">
        <v>11</v>
      </c>
      <c r="C30">
        <v>0</v>
      </c>
      <c r="D30">
        <v>4</v>
      </c>
      <c r="F30">
        <v>25</v>
      </c>
      <c r="G30">
        <v>9</v>
      </c>
      <c r="H30">
        <v>9</v>
      </c>
      <c r="I30">
        <v>3</v>
      </c>
      <c r="M30">
        <v>16</v>
      </c>
      <c r="N30" t="s">
        <v>10</v>
      </c>
      <c r="O30" t="s">
        <v>10</v>
      </c>
      <c r="P30">
        <v>3</v>
      </c>
      <c r="R30">
        <v>35</v>
      </c>
      <c r="S30">
        <v>26</v>
      </c>
      <c r="T30">
        <v>23</v>
      </c>
      <c r="U30">
        <v>21</v>
      </c>
      <c r="W30" s="3">
        <v>19</v>
      </c>
      <c r="X30" s="3">
        <v>24</v>
      </c>
      <c r="Y30" s="3">
        <v>23</v>
      </c>
      <c r="Z30">
        <v>7</v>
      </c>
      <c r="AB30" s="3">
        <v>11</v>
      </c>
      <c r="AC30" s="3">
        <v>5</v>
      </c>
      <c r="AD30" s="3">
        <v>20</v>
      </c>
      <c r="AE30" s="3">
        <v>0</v>
      </c>
    </row>
    <row r="31" spans="1:31" x14ac:dyDescent="0.25">
      <c r="A31">
        <v>0</v>
      </c>
      <c r="B31">
        <v>0</v>
      </c>
      <c r="C31">
        <v>0</v>
      </c>
      <c r="D31">
        <v>0</v>
      </c>
      <c r="F31">
        <v>19</v>
      </c>
      <c r="G31">
        <v>16</v>
      </c>
      <c r="H31">
        <v>13</v>
      </c>
      <c r="I31">
        <v>2</v>
      </c>
      <c r="M31">
        <v>10</v>
      </c>
      <c r="N31">
        <v>4</v>
      </c>
      <c r="O31" t="s">
        <v>10</v>
      </c>
      <c r="P31">
        <v>2</v>
      </c>
      <c r="R31">
        <v>34</v>
      </c>
      <c r="S31">
        <v>39</v>
      </c>
      <c r="T31">
        <v>37</v>
      </c>
      <c r="U31">
        <v>11</v>
      </c>
      <c r="W31" s="3">
        <v>14</v>
      </c>
      <c r="X31" s="3">
        <v>30</v>
      </c>
      <c r="Y31" t="s">
        <v>10</v>
      </c>
      <c r="Z31">
        <v>3</v>
      </c>
      <c r="AB31" s="3">
        <v>35</v>
      </c>
      <c r="AC31" s="3">
        <v>25</v>
      </c>
      <c r="AD31" s="3">
        <v>20</v>
      </c>
      <c r="AE31" s="3">
        <v>12</v>
      </c>
    </row>
    <row r="32" spans="1:31" x14ac:dyDescent="0.25">
      <c r="A32">
        <v>0</v>
      </c>
      <c r="B32">
        <v>0</v>
      </c>
      <c r="C32">
        <v>0</v>
      </c>
      <c r="D32">
        <v>0</v>
      </c>
      <c r="F32">
        <v>18</v>
      </c>
      <c r="G32">
        <v>18</v>
      </c>
      <c r="H32">
        <v>0</v>
      </c>
      <c r="I32">
        <v>13</v>
      </c>
      <c r="M32">
        <v>14</v>
      </c>
      <c r="N32" t="s">
        <v>10</v>
      </c>
      <c r="O32" t="s">
        <v>10</v>
      </c>
      <c r="P32">
        <v>2</v>
      </c>
      <c r="R32">
        <v>51</v>
      </c>
      <c r="S32">
        <v>38</v>
      </c>
      <c r="T32">
        <v>45</v>
      </c>
      <c r="U32">
        <v>33</v>
      </c>
      <c r="W32" s="3">
        <v>20</v>
      </c>
      <c r="X32" s="3">
        <v>15</v>
      </c>
      <c r="Y32" s="3">
        <v>10</v>
      </c>
      <c r="Z32">
        <v>5</v>
      </c>
      <c r="AB32" s="3">
        <v>13</v>
      </c>
      <c r="AC32" s="3">
        <v>16</v>
      </c>
      <c r="AD32" s="3">
        <v>16</v>
      </c>
      <c r="AE32" s="3">
        <v>5</v>
      </c>
    </row>
    <row r="33" spans="1:31" x14ac:dyDescent="0.25">
      <c r="A33">
        <v>0</v>
      </c>
      <c r="B33">
        <v>0</v>
      </c>
      <c r="C33">
        <v>0</v>
      </c>
      <c r="D33">
        <v>0</v>
      </c>
      <c r="F33">
        <v>8</v>
      </c>
      <c r="G33">
        <v>9</v>
      </c>
      <c r="H33">
        <v>26</v>
      </c>
      <c r="I33">
        <v>5</v>
      </c>
      <c r="M33">
        <v>10</v>
      </c>
      <c r="N33" t="s">
        <v>10</v>
      </c>
      <c r="O33" t="s">
        <v>10</v>
      </c>
      <c r="P33">
        <v>2</v>
      </c>
      <c r="R33">
        <v>46</v>
      </c>
      <c r="S33">
        <v>36</v>
      </c>
      <c r="T33">
        <v>29</v>
      </c>
      <c r="U33">
        <v>14</v>
      </c>
      <c r="W33" s="3">
        <v>1</v>
      </c>
      <c r="X33" t="s">
        <v>10</v>
      </c>
      <c r="Y33" t="s">
        <v>10</v>
      </c>
      <c r="Z33">
        <v>4</v>
      </c>
      <c r="AB33" s="3">
        <v>17</v>
      </c>
      <c r="AC33" s="3">
        <v>16</v>
      </c>
      <c r="AD33" s="3">
        <v>15</v>
      </c>
      <c r="AE33" s="3">
        <v>5</v>
      </c>
    </row>
    <row r="34" spans="1:31" x14ac:dyDescent="0.25">
      <c r="A34" s="2">
        <v>0</v>
      </c>
      <c r="B34" s="2">
        <v>0</v>
      </c>
      <c r="C34" s="2">
        <v>0</v>
      </c>
      <c r="D34" s="2">
        <v>0</v>
      </c>
      <c r="F34" s="2">
        <v>20</v>
      </c>
      <c r="G34" s="2">
        <v>22</v>
      </c>
      <c r="H34" s="2">
        <v>27</v>
      </c>
      <c r="I34" s="2">
        <v>4</v>
      </c>
      <c r="M34" s="2">
        <v>0</v>
      </c>
      <c r="N34" s="2">
        <v>0</v>
      </c>
      <c r="O34" s="2">
        <v>0</v>
      </c>
      <c r="P34" s="2">
        <v>0</v>
      </c>
      <c r="R34">
        <v>25</v>
      </c>
      <c r="S34">
        <v>33</v>
      </c>
      <c r="T34">
        <v>22</v>
      </c>
      <c r="U34">
        <v>8</v>
      </c>
      <c r="W34" s="2" t="s">
        <v>10</v>
      </c>
      <c r="X34" s="2" t="s">
        <v>10</v>
      </c>
      <c r="Y34" s="2" t="s">
        <v>10</v>
      </c>
      <c r="Z34" s="2" t="s">
        <v>10</v>
      </c>
      <c r="AB34" s="5">
        <v>20</v>
      </c>
      <c r="AC34" s="5">
        <v>12</v>
      </c>
      <c r="AD34" s="5">
        <v>10</v>
      </c>
      <c r="AE34" s="5">
        <v>4</v>
      </c>
    </row>
    <row r="35" spans="1:31" x14ac:dyDescent="0.25">
      <c r="A35">
        <v>20</v>
      </c>
      <c r="B35">
        <v>22</v>
      </c>
      <c r="C35">
        <v>22</v>
      </c>
      <c r="D35">
        <v>4</v>
      </c>
      <c r="F35">
        <v>21</v>
      </c>
      <c r="G35">
        <v>21</v>
      </c>
      <c r="H35">
        <v>30</v>
      </c>
      <c r="I35">
        <v>5</v>
      </c>
      <c r="M35">
        <v>21</v>
      </c>
      <c r="N35">
        <v>19</v>
      </c>
      <c r="O35">
        <v>24</v>
      </c>
      <c r="P35">
        <v>5</v>
      </c>
      <c r="R35" s="2" t="s">
        <v>10</v>
      </c>
      <c r="S35" s="2" t="s">
        <v>10</v>
      </c>
      <c r="T35" s="2" t="s">
        <v>10</v>
      </c>
      <c r="U35" s="2" t="s">
        <v>10</v>
      </c>
      <c r="W35" s="3">
        <v>21</v>
      </c>
      <c r="X35" s="3">
        <v>19</v>
      </c>
      <c r="Y35">
        <v>15</v>
      </c>
      <c r="Z35" s="3">
        <v>7</v>
      </c>
      <c r="AB35" s="3">
        <v>33</v>
      </c>
      <c r="AC35" s="3">
        <v>27</v>
      </c>
      <c r="AD35" s="3">
        <v>24</v>
      </c>
      <c r="AE35" s="3">
        <v>13</v>
      </c>
    </row>
    <row r="36" spans="1:31" x14ac:dyDescent="0.25">
      <c r="A36">
        <v>12</v>
      </c>
      <c r="B36">
        <v>31</v>
      </c>
      <c r="C36">
        <v>29</v>
      </c>
      <c r="D36">
        <v>12</v>
      </c>
      <c r="F36">
        <v>11</v>
      </c>
      <c r="G36">
        <v>19</v>
      </c>
      <c r="H36">
        <v>21</v>
      </c>
      <c r="I36">
        <v>3</v>
      </c>
      <c r="M36">
        <v>17</v>
      </c>
      <c r="N36">
        <v>23</v>
      </c>
      <c r="O36">
        <v>18</v>
      </c>
      <c r="P36">
        <v>5</v>
      </c>
      <c r="R36">
        <v>57</v>
      </c>
      <c r="S36">
        <v>35</v>
      </c>
      <c r="T36">
        <v>49</v>
      </c>
      <c r="U36">
        <v>27</v>
      </c>
      <c r="W36" s="3">
        <v>22</v>
      </c>
      <c r="X36" s="3">
        <v>24</v>
      </c>
      <c r="Y36" s="3">
        <v>18</v>
      </c>
      <c r="Z36" s="3">
        <v>5</v>
      </c>
      <c r="AB36" s="3">
        <v>41</v>
      </c>
      <c r="AC36" s="3">
        <v>41</v>
      </c>
      <c r="AD36" s="3">
        <v>26</v>
      </c>
      <c r="AE36" s="3">
        <v>20</v>
      </c>
    </row>
    <row r="37" spans="1:31" x14ac:dyDescent="0.25">
      <c r="A37">
        <v>26</v>
      </c>
      <c r="B37">
        <v>17</v>
      </c>
      <c r="C37">
        <v>12</v>
      </c>
      <c r="D37">
        <v>4</v>
      </c>
      <c r="F37">
        <v>8</v>
      </c>
      <c r="G37">
        <v>9</v>
      </c>
      <c r="H37">
        <v>26</v>
      </c>
      <c r="I37">
        <v>3</v>
      </c>
      <c r="M37">
        <v>20</v>
      </c>
      <c r="N37">
        <v>22</v>
      </c>
      <c r="O37">
        <v>18</v>
      </c>
      <c r="P37">
        <v>4</v>
      </c>
      <c r="R37">
        <v>46</v>
      </c>
      <c r="S37">
        <v>45</v>
      </c>
      <c r="T37">
        <v>49</v>
      </c>
      <c r="U37">
        <v>12</v>
      </c>
      <c r="W37" s="3">
        <v>16</v>
      </c>
      <c r="X37" s="3">
        <v>17</v>
      </c>
      <c r="Y37" s="3">
        <v>12</v>
      </c>
      <c r="Z37" s="3">
        <v>4</v>
      </c>
      <c r="AB37" s="3">
        <v>62</v>
      </c>
      <c r="AC37" s="3">
        <v>49</v>
      </c>
      <c r="AD37" s="3">
        <v>37</v>
      </c>
      <c r="AE37" s="3">
        <v>22</v>
      </c>
    </row>
    <row r="38" spans="1:31" x14ac:dyDescent="0.25">
      <c r="A38">
        <v>35</v>
      </c>
      <c r="B38">
        <v>20</v>
      </c>
      <c r="C38">
        <v>24</v>
      </c>
      <c r="D38">
        <v>7</v>
      </c>
      <c r="F38">
        <v>24</v>
      </c>
      <c r="G38">
        <v>17</v>
      </c>
      <c r="H38">
        <v>17</v>
      </c>
      <c r="I38">
        <v>3</v>
      </c>
      <c r="M38">
        <v>30</v>
      </c>
      <c r="N38">
        <v>27</v>
      </c>
      <c r="O38">
        <v>15</v>
      </c>
      <c r="P38">
        <v>8</v>
      </c>
      <c r="R38">
        <v>64</v>
      </c>
      <c r="S38">
        <v>45</v>
      </c>
      <c r="T38">
        <v>43</v>
      </c>
      <c r="U38">
        <v>22</v>
      </c>
      <c r="W38" s="3">
        <v>31</v>
      </c>
      <c r="X38" s="3">
        <v>35</v>
      </c>
      <c r="Y38" s="3">
        <v>27</v>
      </c>
      <c r="Z38" s="3">
        <v>11</v>
      </c>
      <c r="AB38" s="3" t="s">
        <v>10</v>
      </c>
      <c r="AC38" s="3" t="s">
        <v>10</v>
      </c>
      <c r="AD38" s="3" t="s">
        <v>10</v>
      </c>
      <c r="AE38" s="3" t="s">
        <v>10</v>
      </c>
    </row>
    <row r="39" spans="1:31" x14ac:dyDescent="0.25">
      <c r="A39">
        <v>40</v>
      </c>
      <c r="B39">
        <v>19</v>
      </c>
      <c r="C39">
        <v>34</v>
      </c>
      <c r="D39">
        <v>15</v>
      </c>
      <c r="F39">
        <v>22</v>
      </c>
      <c r="G39">
        <v>22</v>
      </c>
      <c r="H39">
        <v>21</v>
      </c>
      <c r="I39">
        <v>4</v>
      </c>
      <c r="M39">
        <v>15</v>
      </c>
      <c r="N39">
        <v>20</v>
      </c>
      <c r="O39">
        <v>12</v>
      </c>
      <c r="P39">
        <v>3</v>
      </c>
      <c r="R39">
        <v>42</v>
      </c>
      <c r="S39">
        <v>53</v>
      </c>
      <c r="T39">
        <v>43</v>
      </c>
      <c r="U39">
        <v>18</v>
      </c>
      <c r="W39" s="3">
        <v>26</v>
      </c>
      <c r="X39" s="3">
        <v>25</v>
      </c>
      <c r="Y39" s="3">
        <v>26</v>
      </c>
      <c r="Z39" s="3">
        <v>11</v>
      </c>
      <c r="AB39" s="3">
        <v>22</v>
      </c>
      <c r="AC39" s="3">
        <v>27</v>
      </c>
      <c r="AD39" s="3">
        <v>14</v>
      </c>
      <c r="AE39" s="3">
        <v>11</v>
      </c>
    </row>
    <row r="40" spans="1:31" x14ac:dyDescent="0.25">
      <c r="A40">
        <v>35</v>
      </c>
      <c r="B40">
        <v>22</v>
      </c>
      <c r="C40">
        <v>20</v>
      </c>
      <c r="D40">
        <v>6</v>
      </c>
      <c r="F40" t="s">
        <v>8</v>
      </c>
      <c r="G40" t="s">
        <v>8</v>
      </c>
      <c r="H40" t="s">
        <v>8</v>
      </c>
      <c r="I40" t="s">
        <v>8</v>
      </c>
      <c r="M40">
        <v>4</v>
      </c>
      <c r="N40">
        <v>32</v>
      </c>
      <c r="O40">
        <v>15</v>
      </c>
      <c r="P40">
        <v>4</v>
      </c>
      <c r="R40">
        <v>45</v>
      </c>
      <c r="S40">
        <v>50</v>
      </c>
      <c r="T40">
        <v>40</v>
      </c>
      <c r="U40">
        <v>27</v>
      </c>
      <c r="W40" s="3">
        <v>24</v>
      </c>
      <c r="X40" s="3">
        <v>12</v>
      </c>
      <c r="Y40" s="3">
        <v>14</v>
      </c>
      <c r="Z40" s="3">
        <v>5</v>
      </c>
      <c r="AB40" t="s">
        <v>10</v>
      </c>
      <c r="AC40" t="s">
        <v>10</v>
      </c>
      <c r="AD40" t="s">
        <v>10</v>
      </c>
      <c r="AE40" t="s">
        <v>10</v>
      </c>
    </row>
    <row r="41" spans="1:31" x14ac:dyDescent="0.25">
      <c r="A41">
        <v>14</v>
      </c>
      <c r="B41">
        <v>11</v>
      </c>
      <c r="C41">
        <v>0</v>
      </c>
      <c r="D41">
        <v>1</v>
      </c>
      <c r="F41">
        <v>11</v>
      </c>
      <c r="G41">
        <v>11</v>
      </c>
      <c r="H41">
        <v>25</v>
      </c>
      <c r="I41">
        <v>3</v>
      </c>
      <c r="M41">
        <v>20</v>
      </c>
      <c r="N41">
        <v>16</v>
      </c>
      <c r="O41">
        <v>25</v>
      </c>
      <c r="P41">
        <v>3</v>
      </c>
      <c r="R41" t="s">
        <v>10</v>
      </c>
      <c r="S41" t="s">
        <v>10</v>
      </c>
      <c r="T41" t="s">
        <v>10</v>
      </c>
      <c r="U41" t="s">
        <v>10</v>
      </c>
      <c r="W41" s="3">
        <v>35</v>
      </c>
      <c r="X41" s="3">
        <v>32</v>
      </c>
      <c r="Y41" s="3">
        <v>26</v>
      </c>
      <c r="Z41" s="3">
        <v>11</v>
      </c>
      <c r="AB41">
        <v>13</v>
      </c>
      <c r="AC41">
        <v>20</v>
      </c>
      <c r="AD41">
        <v>15</v>
      </c>
      <c r="AE41">
        <v>3</v>
      </c>
    </row>
    <row r="42" spans="1:31" x14ac:dyDescent="0.25">
      <c r="A42">
        <v>25</v>
      </c>
      <c r="B42">
        <v>19</v>
      </c>
      <c r="C42">
        <v>17</v>
      </c>
      <c r="D42">
        <v>9</v>
      </c>
      <c r="F42">
        <v>11</v>
      </c>
      <c r="G42">
        <v>23</v>
      </c>
      <c r="H42">
        <v>12</v>
      </c>
      <c r="I42">
        <v>3</v>
      </c>
      <c r="M42">
        <v>12</v>
      </c>
      <c r="N42">
        <v>20</v>
      </c>
      <c r="O42">
        <v>5</v>
      </c>
      <c r="P42">
        <v>6</v>
      </c>
      <c r="R42">
        <v>44</v>
      </c>
      <c r="S42">
        <v>38</v>
      </c>
      <c r="T42">
        <v>35</v>
      </c>
      <c r="U42">
        <v>15</v>
      </c>
      <c r="W42" s="3">
        <v>12</v>
      </c>
      <c r="X42" s="3">
        <v>20</v>
      </c>
      <c r="Y42" s="3">
        <v>16</v>
      </c>
      <c r="Z42" s="3">
        <v>3</v>
      </c>
      <c r="AB42">
        <v>29</v>
      </c>
      <c r="AC42">
        <v>46</v>
      </c>
      <c r="AD42">
        <v>38</v>
      </c>
      <c r="AE42">
        <v>17</v>
      </c>
    </row>
    <row r="43" spans="1:31" x14ac:dyDescent="0.25">
      <c r="A43">
        <v>26</v>
      </c>
      <c r="B43">
        <v>37</v>
      </c>
      <c r="C43">
        <v>23</v>
      </c>
      <c r="D43">
        <v>9</v>
      </c>
      <c r="F43">
        <v>26</v>
      </c>
      <c r="G43">
        <v>20</v>
      </c>
      <c r="H43">
        <v>13</v>
      </c>
      <c r="I43">
        <v>2</v>
      </c>
      <c r="M43">
        <v>16</v>
      </c>
      <c r="N43">
        <v>26</v>
      </c>
      <c r="O43" t="s">
        <v>10</v>
      </c>
      <c r="P43">
        <v>6</v>
      </c>
      <c r="R43">
        <v>46</v>
      </c>
      <c r="S43">
        <v>31</v>
      </c>
      <c r="T43">
        <v>29</v>
      </c>
      <c r="U43">
        <v>19</v>
      </c>
      <c r="W43" s="3">
        <v>32</v>
      </c>
      <c r="X43" s="3">
        <v>24</v>
      </c>
      <c r="Y43" s="3">
        <v>29</v>
      </c>
      <c r="Z43" s="3">
        <v>12</v>
      </c>
      <c r="AB43">
        <v>15</v>
      </c>
      <c r="AC43">
        <v>17</v>
      </c>
      <c r="AD43">
        <v>17</v>
      </c>
      <c r="AE43">
        <v>4</v>
      </c>
    </row>
    <row r="44" spans="1:31" x14ac:dyDescent="0.25">
      <c r="A44">
        <v>31</v>
      </c>
      <c r="B44">
        <v>21</v>
      </c>
      <c r="C44">
        <v>20</v>
      </c>
      <c r="D44">
        <v>5</v>
      </c>
      <c r="F44">
        <v>23</v>
      </c>
      <c r="G44">
        <v>18</v>
      </c>
      <c r="H44">
        <v>6</v>
      </c>
      <c r="I44">
        <v>4</v>
      </c>
      <c r="M44" t="s">
        <v>10</v>
      </c>
      <c r="N44" t="s">
        <v>10</v>
      </c>
      <c r="O44" t="s">
        <v>10</v>
      </c>
      <c r="P44" t="s">
        <v>10</v>
      </c>
      <c r="R44">
        <v>22</v>
      </c>
      <c r="S44">
        <v>42</v>
      </c>
      <c r="T44">
        <v>31</v>
      </c>
      <c r="U44">
        <v>8</v>
      </c>
      <c r="W44" s="3">
        <v>22</v>
      </c>
      <c r="X44" s="3">
        <v>23</v>
      </c>
      <c r="Y44" s="3">
        <v>21</v>
      </c>
      <c r="Z44" s="3">
        <v>12</v>
      </c>
      <c r="AB44">
        <v>19</v>
      </c>
      <c r="AC44">
        <v>16</v>
      </c>
      <c r="AD44">
        <v>20</v>
      </c>
      <c r="AE44">
        <v>8</v>
      </c>
    </row>
    <row r="45" spans="1:31" x14ac:dyDescent="0.25">
      <c r="A45">
        <v>34</v>
      </c>
      <c r="B45">
        <v>15</v>
      </c>
      <c r="C45">
        <v>11</v>
      </c>
      <c r="D45">
        <v>6</v>
      </c>
      <c r="F45">
        <v>24</v>
      </c>
      <c r="G45">
        <v>19</v>
      </c>
      <c r="H45">
        <v>17</v>
      </c>
      <c r="I45">
        <v>3</v>
      </c>
      <c r="M45" t="s">
        <v>10</v>
      </c>
      <c r="N45" t="s">
        <v>10</v>
      </c>
      <c r="O45" t="s">
        <v>10</v>
      </c>
      <c r="P45">
        <v>3</v>
      </c>
      <c r="R45">
        <v>42</v>
      </c>
      <c r="S45">
        <v>32</v>
      </c>
      <c r="T45">
        <v>32</v>
      </c>
      <c r="U45">
        <v>10</v>
      </c>
      <c r="W45" s="3">
        <v>21</v>
      </c>
      <c r="X45" s="3">
        <v>20</v>
      </c>
      <c r="Y45" s="3">
        <v>21</v>
      </c>
      <c r="Z45" s="3">
        <v>6</v>
      </c>
      <c r="AB45">
        <v>18</v>
      </c>
      <c r="AC45">
        <v>20</v>
      </c>
      <c r="AD45">
        <v>16</v>
      </c>
      <c r="AE45">
        <v>4</v>
      </c>
    </row>
    <row r="46" spans="1:31" x14ac:dyDescent="0.25">
      <c r="A46">
        <v>32</v>
      </c>
      <c r="B46">
        <v>31</v>
      </c>
      <c r="C46">
        <v>29</v>
      </c>
      <c r="D46">
        <v>14</v>
      </c>
      <c r="F46">
        <v>8</v>
      </c>
      <c r="G46">
        <v>7</v>
      </c>
      <c r="H46">
        <v>23</v>
      </c>
      <c r="I46">
        <v>2</v>
      </c>
      <c r="M46" t="s">
        <v>10</v>
      </c>
      <c r="N46" t="s">
        <v>10</v>
      </c>
      <c r="O46" t="s">
        <v>10</v>
      </c>
      <c r="P46">
        <v>3</v>
      </c>
      <c r="R46">
        <v>33</v>
      </c>
      <c r="S46">
        <v>50</v>
      </c>
      <c r="T46">
        <v>34</v>
      </c>
      <c r="U46">
        <v>10</v>
      </c>
      <c r="W46" s="3">
        <v>20</v>
      </c>
      <c r="X46" s="3">
        <v>16</v>
      </c>
      <c r="Y46" s="3">
        <v>17</v>
      </c>
      <c r="Z46" s="3">
        <v>5</v>
      </c>
      <c r="AB46">
        <v>32</v>
      </c>
      <c r="AC46">
        <v>30</v>
      </c>
      <c r="AD46">
        <v>14</v>
      </c>
      <c r="AE46">
        <v>13</v>
      </c>
    </row>
    <row r="47" spans="1:31" x14ac:dyDescent="0.25">
      <c r="A47">
        <v>19</v>
      </c>
      <c r="B47">
        <v>15</v>
      </c>
      <c r="C47">
        <v>7</v>
      </c>
      <c r="D47">
        <v>3</v>
      </c>
      <c r="F47">
        <v>25</v>
      </c>
      <c r="G47">
        <v>18</v>
      </c>
      <c r="H47">
        <v>18</v>
      </c>
      <c r="I47">
        <v>2</v>
      </c>
      <c r="M47">
        <v>25</v>
      </c>
      <c r="N47">
        <v>17</v>
      </c>
      <c r="O47">
        <v>6</v>
      </c>
      <c r="P47">
        <v>4</v>
      </c>
      <c r="R47">
        <v>38</v>
      </c>
      <c r="S47">
        <v>56</v>
      </c>
      <c r="T47">
        <v>41</v>
      </c>
      <c r="U47">
        <v>20</v>
      </c>
      <c r="W47" s="3">
        <v>17</v>
      </c>
      <c r="X47" s="3">
        <v>17</v>
      </c>
      <c r="Y47" s="3">
        <v>24</v>
      </c>
      <c r="Z47" s="3">
        <v>6</v>
      </c>
      <c r="AB47">
        <v>14</v>
      </c>
      <c r="AC47">
        <v>10</v>
      </c>
      <c r="AD47">
        <v>7</v>
      </c>
      <c r="AE47">
        <v>4</v>
      </c>
    </row>
    <row r="48" spans="1:31" x14ac:dyDescent="0.25">
      <c r="A48">
        <v>28</v>
      </c>
      <c r="B48">
        <v>9</v>
      </c>
      <c r="C48">
        <v>27</v>
      </c>
      <c r="D48">
        <v>6</v>
      </c>
      <c r="F48">
        <v>22</v>
      </c>
      <c r="G48">
        <v>16</v>
      </c>
      <c r="H48">
        <v>16</v>
      </c>
      <c r="I48">
        <v>3</v>
      </c>
      <c r="M48">
        <v>15</v>
      </c>
      <c r="N48">
        <v>19</v>
      </c>
      <c r="O48" t="s">
        <v>10</v>
      </c>
      <c r="P48">
        <v>5</v>
      </c>
      <c r="R48">
        <v>36</v>
      </c>
      <c r="S48">
        <v>35</v>
      </c>
      <c r="T48">
        <v>40</v>
      </c>
      <c r="U48">
        <v>16</v>
      </c>
      <c r="W48" s="3">
        <v>23</v>
      </c>
      <c r="X48" s="3">
        <v>15</v>
      </c>
      <c r="Y48" s="3">
        <v>15</v>
      </c>
      <c r="Z48" s="3">
        <v>5</v>
      </c>
      <c r="AB48">
        <v>22</v>
      </c>
      <c r="AC48">
        <v>26</v>
      </c>
      <c r="AD48">
        <v>30</v>
      </c>
      <c r="AE48">
        <v>11</v>
      </c>
    </row>
    <row r="49" spans="1:31" x14ac:dyDescent="0.25">
      <c r="A49">
        <v>0</v>
      </c>
      <c r="B49">
        <v>0</v>
      </c>
      <c r="C49">
        <v>0</v>
      </c>
      <c r="D49">
        <v>0</v>
      </c>
      <c r="F49">
        <v>26</v>
      </c>
      <c r="G49">
        <v>16</v>
      </c>
      <c r="H49">
        <v>13</v>
      </c>
      <c r="I49">
        <v>3</v>
      </c>
      <c r="M49">
        <v>12</v>
      </c>
      <c r="N49">
        <v>19</v>
      </c>
      <c r="O49">
        <v>22</v>
      </c>
      <c r="P49">
        <v>4</v>
      </c>
      <c r="R49">
        <v>54</v>
      </c>
      <c r="S49">
        <v>36</v>
      </c>
      <c r="T49">
        <v>36</v>
      </c>
      <c r="U49">
        <v>19</v>
      </c>
      <c r="W49" t="s">
        <v>10</v>
      </c>
      <c r="X49" t="s">
        <v>10</v>
      </c>
      <c r="Y49" t="s">
        <v>10</v>
      </c>
      <c r="Z49" s="3">
        <v>5</v>
      </c>
      <c r="AB49">
        <v>32</v>
      </c>
      <c r="AC49">
        <v>23</v>
      </c>
      <c r="AD49">
        <v>17</v>
      </c>
      <c r="AE49">
        <v>10</v>
      </c>
    </row>
    <row r="50" spans="1:31" x14ac:dyDescent="0.25">
      <c r="A50">
        <v>0</v>
      </c>
      <c r="B50">
        <v>0</v>
      </c>
      <c r="C50">
        <v>0</v>
      </c>
      <c r="D50">
        <v>0</v>
      </c>
      <c r="F50">
        <v>16</v>
      </c>
      <c r="G50">
        <v>19</v>
      </c>
      <c r="H50">
        <v>35</v>
      </c>
      <c r="I50">
        <v>26</v>
      </c>
      <c r="M50" t="s">
        <v>10</v>
      </c>
      <c r="N50" t="s">
        <v>10</v>
      </c>
      <c r="O50" t="s">
        <v>10</v>
      </c>
      <c r="P50" t="s">
        <v>10</v>
      </c>
      <c r="R50">
        <v>25</v>
      </c>
      <c r="S50">
        <v>35</v>
      </c>
      <c r="T50">
        <v>24</v>
      </c>
      <c r="U50">
        <v>6</v>
      </c>
      <c r="W50" t="s">
        <v>10</v>
      </c>
      <c r="X50" t="s">
        <v>10</v>
      </c>
      <c r="Y50" t="s">
        <v>10</v>
      </c>
      <c r="Z50" t="s">
        <v>10</v>
      </c>
      <c r="AB50">
        <v>21</v>
      </c>
      <c r="AC50">
        <v>20</v>
      </c>
      <c r="AD50">
        <v>13</v>
      </c>
      <c r="AE50">
        <v>7</v>
      </c>
    </row>
    <row r="51" spans="1:31" x14ac:dyDescent="0.25">
      <c r="A51" s="7">
        <f>AVERAGE(A3:A50)</f>
        <v>20</v>
      </c>
      <c r="B51" s="7">
        <f>AVERAGE(B3:B50)</f>
        <v>14.5</v>
      </c>
      <c r="C51" s="7">
        <f>AVERAGE(C3:C50)</f>
        <v>12.5625</v>
      </c>
      <c r="D51" s="6">
        <f>AVERAGE(D3:D50)</f>
        <v>4.645833333333333</v>
      </c>
      <c r="F51" s="7">
        <f>AVERAGE(F41:F50,F3:F39)</f>
        <v>16.652173913043477</v>
      </c>
      <c r="G51" s="7">
        <f>AVERAGE(G3:G50)</f>
        <v>13.684782608695652</v>
      </c>
      <c r="H51" s="7">
        <f>AVERAGE(H3:H50)</f>
        <v>13.260869565217391</v>
      </c>
      <c r="I51" s="6">
        <f>AVERAGE(I8:I50,I3:I6)</f>
        <v>3.7111111111111112</v>
      </c>
      <c r="M51" s="7">
        <f>AVERAGE(M3:M50)</f>
        <v>18.15909090909091</v>
      </c>
      <c r="N51" s="7">
        <f>AVERAGE(N3:N50)</f>
        <v>15.864864864864865</v>
      </c>
      <c r="O51" s="7">
        <f>AVERAGE(O3:O50)</f>
        <v>12.515151515151516</v>
      </c>
      <c r="P51" s="6">
        <f>AVERAGE(P3:P50)</f>
        <v>3.6590909090909092</v>
      </c>
      <c r="R51">
        <v>24</v>
      </c>
      <c r="S51">
        <v>22</v>
      </c>
      <c r="T51">
        <v>18</v>
      </c>
      <c r="U51">
        <v>9</v>
      </c>
      <c r="W51" s="7">
        <f>AVERAGE(W3:W50)</f>
        <v>22.13953488372093</v>
      </c>
      <c r="X51" s="7">
        <f>AVERAGE(X3:X50)</f>
        <v>21.73170731707317</v>
      </c>
      <c r="Y51" s="7">
        <f>AVERAGE(Y3:Y50)</f>
        <v>20.5</v>
      </c>
      <c r="Z51" s="8">
        <f>AVERAGE(Z3:Z50)</f>
        <v>7.1818181818181817</v>
      </c>
      <c r="AB51" s="7">
        <f>AVERAGE(AB3:AB50)</f>
        <v>23.108695652173914</v>
      </c>
      <c r="AC51" s="7">
        <f>AVERAGE(AC3:AC50)</f>
        <v>22.130434782608695</v>
      </c>
      <c r="AD51" s="7">
        <f>AVERAGE(AD3:AD50)</f>
        <v>18.086956521739129</v>
      </c>
      <c r="AE51" s="8">
        <f>AVERAGE(AE3:AE50)</f>
        <v>9.2608695652173907</v>
      </c>
    </row>
    <row r="52" spans="1:31" x14ac:dyDescent="0.25">
      <c r="A52" s="6">
        <f>AVERAGE(A3:C50)</f>
        <v>15.6875</v>
      </c>
      <c r="F52" s="6">
        <f>AVERAGE(F3:H50)</f>
        <v>14.532608695652174</v>
      </c>
      <c r="M52" s="6">
        <f>AVERAGE(M3:O50)</f>
        <v>15.780701754385966</v>
      </c>
      <c r="R52" s="7">
        <f>AVERAGE(R4:R51)</f>
        <v>42.727272727272727</v>
      </c>
      <c r="S52" s="7">
        <f>AVERAGE(S4:S51)</f>
        <v>38.909090909090907</v>
      </c>
      <c r="T52" s="7">
        <f>AVERAGE(T4:T51)</f>
        <v>37.272727272727273</v>
      </c>
      <c r="U52" s="6">
        <f>AVERAGE(U4:U51)</f>
        <v>17.25</v>
      </c>
      <c r="W52" s="8">
        <f>AVERAGE(W3:Y50)</f>
        <v>21.475806451612904</v>
      </c>
      <c r="AB52" s="8">
        <f>AVERAGE(AB3:AD50)</f>
        <v>21.108695652173914</v>
      </c>
    </row>
    <row r="53" spans="1:31" x14ac:dyDescent="0.25">
      <c r="R53" s="6">
        <f>AVERAGE(R4:T51)</f>
        <v>39.636363636363633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topLeftCell="A49" workbookViewId="0">
      <selection activeCell="A42" sqref="A42"/>
    </sheetView>
  </sheetViews>
  <sheetFormatPr defaultRowHeight="15" x14ac:dyDescent="0.25"/>
  <sheetData>
    <row r="1" spans="1:20" x14ac:dyDescent="0.25">
      <c r="A1" t="s">
        <v>5</v>
      </c>
      <c r="D1" t="s">
        <v>7</v>
      </c>
      <c r="G1" t="s">
        <v>13</v>
      </c>
      <c r="M1" t="s">
        <v>15</v>
      </c>
      <c r="P1" t="s">
        <v>19</v>
      </c>
      <c r="S1" t="s">
        <v>20</v>
      </c>
    </row>
    <row r="2" spans="1:20" x14ac:dyDescent="0.25">
      <c r="A2" t="s">
        <v>6</v>
      </c>
      <c r="B2" t="s">
        <v>4</v>
      </c>
      <c r="D2" t="s">
        <v>6</v>
      </c>
      <c r="E2" t="s">
        <v>4</v>
      </c>
      <c r="G2" t="s">
        <v>6</v>
      </c>
      <c r="H2" t="s">
        <v>4</v>
      </c>
      <c r="M2" t="s">
        <v>6</v>
      </c>
      <c r="N2" t="s">
        <v>4</v>
      </c>
      <c r="P2" t="s">
        <v>6</v>
      </c>
      <c r="Q2" t="s">
        <v>4</v>
      </c>
      <c r="S2" t="s">
        <v>6</v>
      </c>
      <c r="T2" t="s">
        <v>4</v>
      </c>
    </row>
    <row r="3" spans="1:20" x14ac:dyDescent="0.25">
      <c r="A3">
        <v>17</v>
      </c>
      <c r="B3">
        <v>21</v>
      </c>
      <c r="D3">
        <v>10</v>
      </c>
      <c r="E3">
        <v>20</v>
      </c>
      <c r="G3">
        <v>10</v>
      </c>
      <c r="H3">
        <v>11</v>
      </c>
      <c r="M3">
        <v>20</v>
      </c>
      <c r="N3">
        <v>8</v>
      </c>
      <c r="P3">
        <v>5</v>
      </c>
      <c r="Q3">
        <v>22</v>
      </c>
      <c r="S3">
        <v>46</v>
      </c>
      <c r="T3">
        <v>36</v>
      </c>
    </row>
    <row r="4" spans="1:20" x14ac:dyDescent="0.25">
      <c r="A4">
        <v>13</v>
      </c>
      <c r="B4">
        <v>21</v>
      </c>
      <c r="D4">
        <v>16</v>
      </c>
      <c r="E4">
        <v>23</v>
      </c>
      <c r="G4">
        <v>10</v>
      </c>
      <c r="H4">
        <v>28</v>
      </c>
      <c r="M4">
        <v>21</v>
      </c>
      <c r="N4">
        <v>13</v>
      </c>
      <c r="P4">
        <v>11</v>
      </c>
      <c r="Q4">
        <v>15</v>
      </c>
      <c r="S4">
        <v>39</v>
      </c>
      <c r="T4">
        <v>21</v>
      </c>
    </row>
    <row r="5" spans="1:20" x14ac:dyDescent="0.25">
      <c r="A5">
        <v>15</v>
      </c>
      <c r="B5">
        <v>17</v>
      </c>
      <c r="D5">
        <v>17</v>
      </c>
      <c r="E5">
        <v>22</v>
      </c>
      <c r="G5">
        <v>9</v>
      </c>
      <c r="H5">
        <v>25</v>
      </c>
      <c r="M5">
        <v>25</v>
      </c>
      <c r="N5">
        <v>15</v>
      </c>
      <c r="P5">
        <v>12</v>
      </c>
      <c r="Q5">
        <v>19</v>
      </c>
      <c r="S5">
        <v>28</v>
      </c>
      <c r="T5">
        <v>23</v>
      </c>
    </row>
    <row r="6" spans="1:20" x14ac:dyDescent="0.25">
      <c r="A6">
        <v>21</v>
      </c>
      <c r="B6">
        <v>20</v>
      </c>
      <c r="D6">
        <v>17</v>
      </c>
      <c r="E6">
        <v>18</v>
      </c>
      <c r="G6">
        <v>15</v>
      </c>
      <c r="H6">
        <v>32</v>
      </c>
      <c r="M6">
        <v>16</v>
      </c>
      <c r="N6">
        <v>13</v>
      </c>
      <c r="P6">
        <v>8</v>
      </c>
      <c r="Q6">
        <v>16</v>
      </c>
      <c r="S6">
        <v>25</v>
      </c>
      <c r="T6">
        <v>27</v>
      </c>
    </row>
    <row r="7" spans="1:20" x14ac:dyDescent="0.25">
      <c r="A7">
        <v>22</v>
      </c>
      <c r="B7">
        <v>29</v>
      </c>
      <c r="D7">
        <v>14</v>
      </c>
      <c r="E7">
        <v>19</v>
      </c>
      <c r="G7" s="1">
        <v>19</v>
      </c>
      <c r="H7" s="1">
        <v>13</v>
      </c>
      <c r="M7">
        <v>10</v>
      </c>
      <c r="N7">
        <v>10</v>
      </c>
      <c r="P7">
        <v>13</v>
      </c>
      <c r="Q7">
        <v>18</v>
      </c>
      <c r="S7">
        <v>27</v>
      </c>
      <c r="T7">
        <v>25</v>
      </c>
    </row>
    <row r="8" spans="1:20" x14ac:dyDescent="0.25">
      <c r="A8">
        <v>21</v>
      </c>
      <c r="B8">
        <v>19</v>
      </c>
      <c r="D8">
        <v>17</v>
      </c>
      <c r="E8">
        <v>18</v>
      </c>
      <c r="G8">
        <v>13</v>
      </c>
      <c r="H8">
        <v>18</v>
      </c>
      <c r="M8">
        <v>9</v>
      </c>
      <c r="N8">
        <v>13</v>
      </c>
      <c r="P8">
        <v>7</v>
      </c>
      <c r="Q8">
        <v>22</v>
      </c>
      <c r="S8">
        <v>60</v>
      </c>
      <c r="T8">
        <v>22</v>
      </c>
    </row>
    <row r="9" spans="1:20" x14ac:dyDescent="0.25">
      <c r="A9">
        <v>13</v>
      </c>
      <c r="B9">
        <v>15</v>
      </c>
      <c r="D9">
        <v>11</v>
      </c>
      <c r="E9">
        <v>9</v>
      </c>
      <c r="G9">
        <v>35</v>
      </c>
      <c r="H9">
        <v>17</v>
      </c>
      <c r="M9">
        <v>20</v>
      </c>
      <c r="N9">
        <v>9</v>
      </c>
      <c r="P9">
        <v>7</v>
      </c>
      <c r="Q9">
        <v>19</v>
      </c>
      <c r="S9">
        <v>25</v>
      </c>
      <c r="T9">
        <v>23</v>
      </c>
    </row>
    <row r="10" spans="1:20" x14ac:dyDescent="0.25">
      <c r="A10">
        <v>17</v>
      </c>
      <c r="B10">
        <v>24</v>
      </c>
      <c r="D10">
        <v>11</v>
      </c>
      <c r="E10">
        <v>20</v>
      </c>
      <c r="G10">
        <v>10</v>
      </c>
      <c r="H10">
        <v>19</v>
      </c>
      <c r="M10">
        <v>11</v>
      </c>
      <c r="N10">
        <v>7</v>
      </c>
      <c r="P10">
        <v>16</v>
      </c>
      <c r="Q10">
        <v>21</v>
      </c>
      <c r="S10">
        <v>22</v>
      </c>
      <c r="T10">
        <v>20</v>
      </c>
    </row>
    <row r="11" spans="1:20" x14ac:dyDescent="0.25">
      <c r="A11">
        <v>16</v>
      </c>
      <c r="B11">
        <v>19</v>
      </c>
      <c r="D11">
        <v>27</v>
      </c>
      <c r="E11">
        <v>13</v>
      </c>
      <c r="G11">
        <v>10</v>
      </c>
      <c r="H11">
        <v>19</v>
      </c>
      <c r="M11">
        <v>20</v>
      </c>
      <c r="N11">
        <v>15</v>
      </c>
      <c r="P11">
        <v>15</v>
      </c>
      <c r="Q11">
        <v>20</v>
      </c>
      <c r="S11">
        <v>38</v>
      </c>
      <c r="T11">
        <v>19</v>
      </c>
    </row>
    <row r="12" spans="1:20" x14ac:dyDescent="0.25">
      <c r="A12">
        <v>11</v>
      </c>
      <c r="B12">
        <v>6</v>
      </c>
      <c r="D12">
        <v>18</v>
      </c>
      <c r="E12">
        <v>18</v>
      </c>
      <c r="G12">
        <v>12</v>
      </c>
      <c r="H12">
        <v>20</v>
      </c>
      <c r="M12">
        <v>20</v>
      </c>
      <c r="N12">
        <v>9</v>
      </c>
      <c r="P12">
        <v>17</v>
      </c>
      <c r="Q12">
        <v>12</v>
      </c>
      <c r="S12">
        <v>33</v>
      </c>
      <c r="T12">
        <v>20</v>
      </c>
    </row>
    <row r="13" spans="1:20" x14ac:dyDescent="0.25">
      <c r="A13">
        <v>11</v>
      </c>
      <c r="B13">
        <v>11</v>
      </c>
      <c r="D13">
        <v>19</v>
      </c>
      <c r="E13">
        <v>19</v>
      </c>
      <c r="G13">
        <v>21</v>
      </c>
      <c r="H13">
        <v>14</v>
      </c>
      <c r="M13">
        <v>37</v>
      </c>
      <c r="N13">
        <v>9</v>
      </c>
      <c r="P13">
        <v>15</v>
      </c>
      <c r="Q13">
        <v>11</v>
      </c>
      <c r="S13">
        <v>52</v>
      </c>
      <c r="T13">
        <v>21</v>
      </c>
    </row>
    <row r="14" spans="1:20" x14ac:dyDescent="0.25">
      <c r="A14">
        <v>15</v>
      </c>
      <c r="B14">
        <v>20</v>
      </c>
      <c r="D14">
        <v>17</v>
      </c>
      <c r="E14">
        <v>17</v>
      </c>
      <c r="G14">
        <v>5</v>
      </c>
      <c r="H14">
        <v>25</v>
      </c>
      <c r="M14">
        <v>11</v>
      </c>
      <c r="N14">
        <v>6</v>
      </c>
      <c r="P14">
        <v>20</v>
      </c>
      <c r="Q14">
        <v>22</v>
      </c>
      <c r="S14">
        <v>50</v>
      </c>
      <c r="T14">
        <v>18</v>
      </c>
    </row>
    <row r="15" spans="1:20" x14ac:dyDescent="0.25">
      <c r="A15">
        <v>20</v>
      </c>
      <c r="B15">
        <v>27</v>
      </c>
      <c r="D15">
        <v>22</v>
      </c>
      <c r="E15">
        <v>12</v>
      </c>
      <c r="G15">
        <v>13</v>
      </c>
      <c r="H15">
        <v>12</v>
      </c>
      <c r="M15">
        <v>9</v>
      </c>
      <c r="N15">
        <v>6</v>
      </c>
      <c r="P15">
        <v>11</v>
      </c>
      <c r="Q15">
        <v>13</v>
      </c>
      <c r="S15">
        <v>30</v>
      </c>
      <c r="T15">
        <v>15</v>
      </c>
    </row>
    <row r="16" spans="1:20" x14ac:dyDescent="0.25">
      <c r="A16">
        <v>9</v>
      </c>
      <c r="B16">
        <v>14</v>
      </c>
      <c r="D16">
        <v>12</v>
      </c>
      <c r="E16">
        <v>20</v>
      </c>
      <c r="G16">
        <v>14</v>
      </c>
      <c r="H16">
        <v>17</v>
      </c>
      <c r="M16">
        <v>10</v>
      </c>
      <c r="N16">
        <v>4</v>
      </c>
      <c r="P16">
        <v>6</v>
      </c>
      <c r="Q16">
        <v>24</v>
      </c>
      <c r="S16">
        <v>18</v>
      </c>
      <c r="T16">
        <v>24</v>
      </c>
    </row>
    <row r="17" spans="1:20" x14ac:dyDescent="0.25">
      <c r="A17">
        <v>31</v>
      </c>
      <c r="B17">
        <v>12</v>
      </c>
      <c r="D17">
        <v>22</v>
      </c>
      <c r="E17">
        <v>9</v>
      </c>
      <c r="G17">
        <v>6</v>
      </c>
      <c r="H17">
        <v>11</v>
      </c>
      <c r="M17">
        <v>39</v>
      </c>
      <c r="N17">
        <v>11</v>
      </c>
      <c r="P17">
        <v>6</v>
      </c>
      <c r="Q17">
        <v>9</v>
      </c>
      <c r="S17">
        <v>40</v>
      </c>
      <c r="T17">
        <v>16</v>
      </c>
    </row>
    <row r="18" spans="1:20" x14ac:dyDescent="0.25">
      <c r="A18">
        <v>11</v>
      </c>
      <c r="B18">
        <v>8</v>
      </c>
      <c r="D18">
        <v>23</v>
      </c>
      <c r="E18">
        <v>5</v>
      </c>
      <c r="G18">
        <v>0</v>
      </c>
      <c r="H18">
        <v>15</v>
      </c>
      <c r="I18" s="1"/>
      <c r="M18">
        <v>12</v>
      </c>
      <c r="N18">
        <v>4</v>
      </c>
      <c r="P18">
        <v>5</v>
      </c>
      <c r="Q18">
        <v>5</v>
      </c>
      <c r="S18">
        <v>31</v>
      </c>
      <c r="T18">
        <v>24</v>
      </c>
    </row>
    <row r="19" spans="1:20" x14ac:dyDescent="0.25">
      <c r="A19">
        <v>20</v>
      </c>
      <c r="B19">
        <v>17</v>
      </c>
      <c r="D19">
        <v>16</v>
      </c>
      <c r="E19">
        <v>15</v>
      </c>
      <c r="G19">
        <v>11</v>
      </c>
      <c r="H19">
        <v>17</v>
      </c>
      <c r="M19">
        <v>19</v>
      </c>
      <c r="N19">
        <v>10</v>
      </c>
      <c r="P19">
        <v>8</v>
      </c>
      <c r="Q19">
        <v>13</v>
      </c>
      <c r="S19">
        <v>21</v>
      </c>
      <c r="T19">
        <v>24</v>
      </c>
    </row>
    <row r="20" spans="1:20" x14ac:dyDescent="0.25">
      <c r="A20">
        <v>10</v>
      </c>
      <c r="B20">
        <v>7</v>
      </c>
      <c r="D20" t="s">
        <v>8</v>
      </c>
      <c r="E20" t="s">
        <v>8</v>
      </c>
      <c r="G20">
        <v>21</v>
      </c>
      <c r="H20">
        <v>8</v>
      </c>
      <c r="M20">
        <v>17</v>
      </c>
      <c r="N20">
        <v>15</v>
      </c>
      <c r="P20">
        <v>5</v>
      </c>
      <c r="Q20">
        <v>7</v>
      </c>
      <c r="S20" t="s">
        <v>10</v>
      </c>
      <c r="T20" t="s">
        <v>10</v>
      </c>
    </row>
    <row r="21" spans="1:20" x14ac:dyDescent="0.25">
      <c r="A21">
        <v>30</v>
      </c>
      <c r="B21">
        <v>19</v>
      </c>
      <c r="D21" t="s">
        <v>8</v>
      </c>
      <c r="E21" t="s">
        <v>8</v>
      </c>
      <c r="G21">
        <v>0</v>
      </c>
      <c r="H21">
        <v>0</v>
      </c>
      <c r="M21">
        <v>23</v>
      </c>
      <c r="N21">
        <v>9</v>
      </c>
      <c r="P21" t="s">
        <v>10</v>
      </c>
      <c r="Q21" t="s">
        <v>10</v>
      </c>
      <c r="S21" t="s">
        <v>10</v>
      </c>
      <c r="T21" t="s">
        <v>10</v>
      </c>
    </row>
    <row r="22" spans="1:20" x14ac:dyDescent="0.25">
      <c r="A22" s="2">
        <v>23</v>
      </c>
      <c r="B22" s="2">
        <v>8</v>
      </c>
      <c r="D22" s="2" t="s">
        <v>8</v>
      </c>
      <c r="E22" s="2" t="s">
        <v>8</v>
      </c>
      <c r="G22" s="2">
        <v>0</v>
      </c>
      <c r="H22" s="2">
        <v>0</v>
      </c>
      <c r="M22" s="2">
        <v>17</v>
      </c>
      <c r="N22" s="2">
        <v>14</v>
      </c>
      <c r="P22" s="2" t="s">
        <v>10</v>
      </c>
      <c r="Q22" s="2" t="s">
        <v>10</v>
      </c>
      <c r="S22" s="4" t="s">
        <v>10</v>
      </c>
      <c r="T22" s="4" t="s">
        <v>10</v>
      </c>
    </row>
    <row r="23" spans="1:20" x14ac:dyDescent="0.25">
      <c r="A23">
        <v>11</v>
      </c>
      <c r="B23">
        <v>22</v>
      </c>
      <c r="D23">
        <v>14</v>
      </c>
      <c r="E23">
        <v>19</v>
      </c>
      <c r="G23">
        <v>16</v>
      </c>
      <c r="H23">
        <v>15</v>
      </c>
      <c r="M23">
        <v>15</v>
      </c>
      <c r="N23">
        <v>25</v>
      </c>
      <c r="P23" s="3">
        <v>5</v>
      </c>
      <c r="Q23" s="3">
        <v>20</v>
      </c>
      <c r="S23">
        <v>41</v>
      </c>
      <c r="T23">
        <v>26</v>
      </c>
    </row>
    <row r="24" spans="1:20" x14ac:dyDescent="0.25">
      <c r="A24">
        <v>17</v>
      </c>
      <c r="B24">
        <v>30</v>
      </c>
      <c r="D24">
        <v>14</v>
      </c>
      <c r="E24">
        <v>25</v>
      </c>
      <c r="G24">
        <v>14</v>
      </c>
      <c r="H24">
        <v>25</v>
      </c>
      <c r="M24">
        <v>14</v>
      </c>
      <c r="N24">
        <v>17</v>
      </c>
      <c r="P24" s="3">
        <v>7</v>
      </c>
      <c r="Q24" s="3">
        <v>20</v>
      </c>
      <c r="S24">
        <v>30</v>
      </c>
      <c r="T24">
        <v>25</v>
      </c>
    </row>
    <row r="25" spans="1:20" x14ac:dyDescent="0.25">
      <c r="A25">
        <v>27</v>
      </c>
      <c r="B25">
        <v>29</v>
      </c>
      <c r="D25">
        <v>16</v>
      </c>
      <c r="E25">
        <v>16</v>
      </c>
      <c r="G25">
        <v>17</v>
      </c>
      <c r="H25">
        <v>0</v>
      </c>
      <c r="I25" t="s">
        <v>14</v>
      </c>
      <c r="M25">
        <v>0</v>
      </c>
      <c r="N25">
        <v>0</v>
      </c>
      <c r="P25" s="3">
        <v>10</v>
      </c>
      <c r="Q25" s="3">
        <v>22</v>
      </c>
      <c r="S25">
        <v>25</v>
      </c>
      <c r="T25">
        <v>22</v>
      </c>
    </row>
    <row r="26" spans="1:20" x14ac:dyDescent="0.25">
      <c r="A26">
        <v>13</v>
      </c>
      <c r="B26">
        <v>19</v>
      </c>
      <c r="D26">
        <v>17</v>
      </c>
      <c r="E26">
        <v>19</v>
      </c>
      <c r="G26">
        <v>10</v>
      </c>
      <c r="H26">
        <v>6</v>
      </c>
      <c r="M26">
        <v>25</v>
      </c>
      <c r="N26">
        <v>6</v>
      </c>
      <c r="P26" s="3">
        <v>12</v>
      </c>
      <c r="Q26" s="3">
        <v>20</v>
      </c>
      <c r="S26">
        <v>17</v>
      </c>
      <c r="T26">
        <v>21</v>
      </c>
    </row>
    <row r="27" spans="1:20" x14ac:dyDescent="0.25">
      <c r="A27">
        <v>16</v>
      </c>
      <c r="B27">
        <v>22</v>
      </c>
      <c r="D27">
        <v>9</v>
      </c>
      <c r="E27">
        <v>8</v>
      </c>
      <c r="G27">
        <v>9</v>
      </c>
      <c r="H27">
        <v>17</v>
      </c>
      <c r="M27">
        <v>11</v>
      </c>
      <c r="N27">
        <v>21</v>
      </c>
      <c r="P27" s="3">
        <v>8</v>
      </c>
      <c r="Q27" s="3">
        <v>15</v>
      </c>
      <c r="S27">
        <v>20</v>
      </c>
      <c r="T27">
        <v>19</v>
      </c>
    </row>
    <row r="28" spans="1:20" x14ac:dyDescent="0.25">
      <c r="A28">
        <v>21</v>
      </c>
      <c r="B28">
        <v>19</v>
      </c>
      <c r="D28">
        <v>12</v>
      </c>
      <c r="E28">
        <v>10</v>
      </c>
      <c r="G28">
        <v>15</v>
      </c>
      <c r="H28">
        <v>22</v>
      </c>
      <c r="M28">
        <v>13</v>
      </c>
      <c r="N28">
        <v>12</v>
      </c>
      <c r="P28" s="3">
        <v>11</v>
      </c>
      <c r="Q28" s="3">
        <v>17</v>
      </c>
      <c r="S28">
        <v>24</v>
      </c>
      <c r="T28">
        <v>20</v>
      </c>
    </row>
    <row r="29" spans="1:20" x14ac:dyDescent="0.25">
      <c r="A29">
        <v>24</v>
      </c>
      <c r="B29">
        <v>15</v>
      </c>
      <c r="D29">
        <v>15</v>
      </c>
      <c r="E29">
        <v>12</v>
      </c>
      <c r="G29">
        <v>11</v>
      </c>
      <c r="H29">
        <v>14</v>
      </c>
      <c r="M29">
        <v>16</v>
      </c>
      <c r="N29">
        <v>24</v>
      </c>
      <c r="P29" s="3">
        <v>9</v>
      </c>
      <c r="Q29" s="3">
        <v>11</v>
      </c>
      <c r="S29">
        <v>22</v>
      </c>
      <c r="T29">
        <v>15</v>
      </c>
    </row>
    <row r="30" spans="1:20" x14ac:dyDescent="0.25">
      <c r="A30">
        <v>21</v>
      </c>
      <c r="B30">
        <v>12</v>
      </c>
      <c r="D30">
        <v>11</v>
      </c>
      <c r="E30">
        <v>16</v>
      </c>
      <c r="G30">
        <v>14</v>
      </c>
      <c r="H30">
        <v>17</v>
      </c>
      <c r="M30">
        <v>9</v>
      </c>
      <c r="N30">
        <v>17</v>
      </c>
      <c r="P30" s="3">
        <v>12</v>
      </c>
      <c r="Q30" s="3">
        <v>17</v>
      </c>
      <c r="S30">
        <v>32</v>
      </c>
      <c r="T30">
        <v>21</v>
      </c>
    </row>
    <row r="31" spans="1:20" x14ac:dyDescent="0.25">
      <c r="A31">
        <v>21</v>
      </c>
      <c r="B31">
        <v>9</v>
      </c>
      <c r="D31">
        <v>25</v>
      </c>
      <c r="E31">
        <v>9</v>
      </c>
      <c r="G31">
        <v>16</v>
      </c>
      <c r="H31">
        <v>14</v>
      </c>
      <c r="M31">
        <v>14</v>
      </c>
      <c r="N31">
        <v>15</v>
      </c>
      <c r="P31" s="3">
        <v>9</v>
      </c>
      <c r="Q31" s="3">
        <v>16</v>
      </c>
      <c r="S31">
        <v>22</v>
      </c>
      <c r="T31">
        <v>14</v>
      </c>
    </row>
    <row r="32" spans="1:20" x14ac:dyDescent="0.25">
      <c r="A32">
        <v>20</v>
      </c>
      <c r="B32">
        <v>12</v>
      </c>
      <c r="D32">
        <v>22</v>
      </c>
      <c r="E32">
        <v>28</v>
      </c>
      <c r="G32">
        <v>10</v>
      </c>
      <c r="H32">
        <v>14</v>
      </c>
      <c r="M32">
        <v>7</v>
      </c>
      <c r="N32">
        <v>15</v>
      </c>
      <c r="P32" s="3">
        <v>11</v>
      </c>
      <c r="Q32" s="3">
        <v>20</v>
      </c>
      <c r="S32">
        <v>13</v>
      </c>
      <c r="T32">
        <v>11</v>
      </c>
    </row>
    <row r="33" spans="1:20" x14ac:dyDescent="0.25">
      <c r="A33">
        <v>13</v>
      </c>
      <c r="B33">
        <v>16</v>
      </c>
      <c r="D33">
        <v>17</v>
      </c>
      <c r="E33">
        <v>15</v>
      </c>
      <c r="G33">
        <v>26</v>
      </c>
      <c r="H33">
        <v>23</v>
      </c>
      <c r="M33">
        <v>25</v>
      </c>
      <c r="N33">
        <v>16</v>
      </c>
      <c r="P33" s="3">
        <v>12</v>
      </c>
      <c r="Q33" s="3">
        <v>10</v>
      </c>
      <c r="S33">
        <v>18</v>
      </c>
      <c r="T33">
        <v>24</v>
      </c>
    </row>
    <row r="34" spans="1:20" x14ac:dyDescent="0.25">
      <c r="A34">
        <v>19</v>
      </c>
      <c r="B34">
        <v>12</v>
      </c>
      <c r="D34">
        <v>26</v>
      </c>
      <c r="E34">
        <v>14</v>
      </c>
      <c r="G34">
        <v>15</v>
      </c>
      <c r="H34">
        <v>9</v>
      </c>
      <c r="M34">
        <v>10</v>
      </c>
      <c r="N34">
        <v>11</v>
      </c>
      <c r="P34" s="3">
        <v>13</v>
      </c>
      <c r="Q34" s="3">
        <v>11</v>
      </c>
      <c r="S34">
        <v>14</v>
      </c>
      <c r="T34">
        <v>26</v>
      </c>
    </row>
    <row r="35" spans="1:20" x14ac:dyDescent="0.25">
      <c r="A35">
        <v>16</v>
      </c>
      <c r="B35">
        <v>11</v>
      </c>
      <c r="D35">
        <v>12</v>
      </c>
      <c r="E35">
        <v>15</v>
      </c>
      <c r="G35">
        <v>15</v>
      </c>
      <c r="H35">
        <v>7</v>
      </c>
      <c r="M35">
        <v>11</v>
      </c>
      <c r="N35">
        <v>11</v>
      </c>
      <c r="P35" s="3">
        <v>10</v>
      </c>
      <c r="Q35" s="3">
        <v>24</v>
      </c>
      <c r="S35">
        <v>51</v>
      </c>
      <c r="T35">
        <v>23</v>
      </c>
    </row>
    <row r="36" spans="1:20" x14ac:dyDescent="0.25">
      <c r="A36">
        <v>18</v>
      </c>
      <c r="B36">
        <v>16</v>
      </c>
      <c r="D36">
        <v>19</v>
      </c>
      <c r="E36">
        <v>17</v>
      </c>
      <c r="G36">
        <v>8</v>
      </c>
      <c r="H36">
        <v>8</v>
      </c>
      <c r="M36">
        <v>10</v>
      </c>
      <c r="N36">
        <v>10</v>
      </c>
      <c r="P36" s="3">
        <v>9</v>
      </c>
      <c r="Q36" s="3">
        <v>14</v>
      </c>
      <c r="S36">
        <v>48</v>
      </c>
      <c r="T36">
        <v>21</v>
      </c>
    </row>
    <row r="37" spans="1:20" x14ac:dyDescent="0.25">
      <c r="A37">
        <v>12</v>
      </c>
      <c r="B37">
        <v>8</v>
      </c>
      <c r="D37">
        <v>16</v>
      </c>
      <c r="E37">
        <v>26</v>
      </c>
      <c r="G37">
        <v>7</v>
      </c>
      <c r="H37">
        <v>12</v>
      </c>
      <c r="M37">
        <v>5</v>
      </c>
      <c r="N37">
        <v>20</v>
      </c>
      <c r="P37" s="3">
        <v>10</v>
      </c>
      <c r="Q37" s="3">
        <v>15</v>
      </c>
      <c r="S37">
        <v>35</v>
      </c>
      <c r="T37">
        <v>16</v>
      </c>
    </row>
    <row r="38" spans="1:20" x14ac:dyDescent="0.25">
      <c r="A38">
        <v>25</v>
      </c>
      <c r="B38">
        <v>9</v>
      </c>
      <c r="D38">
        <v>12</v>
      </c>
      <c r="E38" s="1">
        <v>4</v>
      </c>
      <c r="F38" s="1" t="s">
        <v>9</v>
      </c>
      <c r="G38">
        <v>16</v>
      </c>
      <c r="H38">
        <v>9</v>
      </c>
      <c r="M38">
        <v>13</v>
      </c>
      <c r="N38">
        <v>13</v>
      </c>
      <c r="P38" s="3">
        <v>11</v>
      </c>
      <c r="Q38" s="3">
        <v>18</v>
      </c>
      <c r="S38" t="s">
        <v>10</v>
      </c>
      <c r="T38" t="s">
        <v>10</v>
      </c>
    </row>
    <row r="39" spans="1:20" x14ac:dyDescent="0.25">
      <c r="A39">
        <v>31</v>
      </c>
      <c r="B39">
        <v>14</v>
      </c>
      <c r="D39">
        <v>32</v>
      </c>
      <c r="E39">
        <v>8</v>
      </c>
      <c r="G39">
        <v>0</v>
      </c>
      <c r="H39">
        <v>0</v>
      </c>
      <c r="M39">
        <v>10</v>
      </c>
      <c r="N39">
        <v>3</v>
      </c>
      <c r="P39" s="3">
        <v>15</v>
      </c>
      <c r="Q39" s="3">
        <v>19</v>
      </c>
      <c r="S39">
        <v>11</v>
      </c>
      <c r="T39">
        <v>7</v>
      </c>
    </row>
    <row r="40" spans="1:20" x14ac:dyDescent="0.25">
      <c r="A40">
        <v>21</v>
      </c>
      <c r="B40">
        <v>9</v>
      </c>
      <c r="D40">
        <v>8</v>
      </c>
      <c r="E40">
        <v>16</v>
      </c>
      <c r="G40">
        <v>0</v>
      </c>
      <c r="H40">
        <v>0</v>
      </c>
      <c r="M40">
        <v>8</v>
      </c>
      <c r="N40">
        <v>2</v>
      </c>
      <c r="P40" s="3">
        <v>20</v>
      </c>
      <c r="Q40" s="3">
        <v>17</v>
      </c>
      <c r="S40">
        <v>1</v>
      </c>
      <c r="T40">
        <v>6</v>
      </c>
    </row>
    <row r="41" spans="1:20" x14ac:dyDescent="0.25">
      <c r="A41">
        <v>12</v>
      </c>
      <c r="B41">
        <v>14</v>
      </c>
      <c r="D41">
        <v>18</v>
      </c>
      <c r="E41">
        <v>9</v>
      </c>
      <c r="G41">
        <v>0</v>
      </c>
      <c r="H41">
        <v>0</v>
      </c>
      <c r="M41">
        <v>11</v>
      </c>
      <c r="N41">
        <v>12</v>
      </c>
      <c r="P41" s="3">
        <v>1</v>
      </c>
      <c r="Q41" s="3">
        <v>1</v>
      </c>
      <c r="S41">
        <v>1</v>
      </c>
      <c r="T41">
        <v>1</v>
      </c>
    </row>
    <row r="42" spans="1:20" x14ac:dyDescent="0.25">
      <c r="A42" s="2">
        <v>12</v>
      </c>
      <c r="B42" s="2">
        <v>7</v>
      </c>
      <c r="D42" s="2">
        <v>0</v>
      </c>
      <c r="E42" s="2">
        <v>3</v>
      </c>
      <c r="G42" s="2">
        <v>0</v>
      </c>
      <c r="H42" s="2">
        <v>0</v>
      </c>
      <c r="M42" s="2">
        <v>12</v>
      </c>
      <c r="N42" s="2">
        <v>7</v>
      </c>
      <c r="P42" s="2" t="s">
        <v>10</v>
      </c>
      <c r="Q42" s="2" t="s">
        <v>10</v>
      </c>
      <c r="S42" s="2">
        <v>1</v>
      </c>
      <c r="T42" s="2">
        <v>1</v>
      </c>
    </row>
    <row r="43" spans="1:20" x14ac:dyDescent="0.25">
      <c r="A43">
        <v>18</v>
      </c>
      <c r="B43">
        <v>24</v>
      </c>
      <c r="D43">
        <v>15</v>
      </c>
      <c r="E43">
        <v>22</v>
      </c>
      <c r="G43">
        <v>9</v>
      </c>
      <c r="H43">
        <v>28</v>
      </c>
      <c r="M43">
        <v>11</v>
      </c>
      <c r="N43">
        <v>16</v>
      </c>
      <c r="P43" s="3">
        <v>20</v>
      </c>
      <c r="Q43" s="3">
        <v>17</v>
      </c>
      <c r="S43" s="3">
        <v>68</v>
      </c>
      <c r="T43" s="3">
        <v>27</v>
      </c>
    </row>
    <row r="44" spans="1:20" x14ac:dyDescent="0.25">
      <c r="A44">
        <v>16</v>
      </c>
      <c r="B44">
        <v>28</v>
      </c>
      <c r="D44">
        <v>38</v>
      </c>
      <c r="E44">
        <v>15</v>
      </c>
      <c r="G44">
        <v>14</v>
      </c>
      <c r="H44">
        <v>30</v>
      </c>
      <c r="M44">
        <v>15</v>
      </c>
      <c r="N44">
        <v>20</v>
      </c>
      <c r="P44" s="3">
        <v>21</v>
      </c>
      <c r="Q44" s="3">
        <v>15</v>
      </c>
      <c r="S44" s="3">
        <v>10</v>
      </c>
      <c r="T44" s="3">
        <v>21</v>
      </c>
    </row>
    <row r="45" spans="1:20" x14ac:dyDescent="0.25">
      <c r="A45">
        <v>27</v>
      </c>
      <c r="B45">
        <v>9</v>
      </c>
      <c r="D45">
        <v>13</v>
      </c>
      <c r="E45">
        <v>12</v>
      </c>
      <c r="G45">
        <v>9</v>
      </c>
      <c r="H45">
        <v>22</v>
      </c>
      <c r="M45">
        <v>13</v>
      </c>
      <c r="N45">
        <v>20</v>
      </c>
      <c r="P45" s="3">
        <v>12</v>
      </c>
      <c r="Q45" s="3">
        <v>17</v>
      </c>
      <c r="S45" s="3">
        <v>25</v>
      </c>
      <c r="T45" s="3">
        <v>22</v>
      </c>
    </row>
    <row r="46" spans="1:20" x14ac:dyDescent="0.25">
      <c r="A46">
        <v>13</v>
      </c>
      <c r="B46">
        <v>20</v>
      </c>
      <c r="D46">
        <v>14</v>
      </c>
      <c r="E46">
        <v>16</v>
      </c>
      <c r="G46">
        <v>13</v>
      </c>
      <c r="H46">
        <v>13</v>
      </c>
      <c r="M46">
        <v>22</v>
      </c>
      <c r="N46">
        <v>21</v>
      </c>
      <c r="P46" s="3">
        <v>15</v>
      </c>
      <c r="Q46" s="3">
        <v>22</v>
      </c>
      <c r="S46" s="3">
        <v>23</v>
      </c>
      <c r="T46" s="3">
        <v>20</v>
      </c>
    </row>
    <row r="47" spans="1:20" x14ac:dyDescent="0.25">
      <c r="A47">
        <v>19</v>
      </c>
      <c r="B47">
        <v>25</v>
      </c>
      <c r="D47">
        <v>16</v>
      </c>
      <c r="E47">
        <v>22</v>
      </c>
      <c r="G47">
        <v>4</v>
      </c>
      <c r="H47">
        <v>10</v>
      </c>
      <c r="M47">
        <v>15</v>
      </c>
      <c r="N47">
        <v>12</v>
      </c>
      <c r="P47" s="3">
        <v>3</v>
      </c>
      <c r="Q47" s="3">
        <v>13</v>
      </c>
      <c r="S47" s="3">
        <v>44</v>
      </c>
      <c r="T47" s="3">
        <v>25</v>
      </c>
    </row>
    <row r="48" spans="1:20" x14ac:dyDescent="0.25">
      <c r="A48">
        <v>15</v>
      </c>
      <c r="B48">
        <v>9</v>
      </c>
      <c r="D48">
        <v>13</v>
      </c>
      <c r="E48">
        <v>17</v>
      </c>
      <c r="G48">
        <v>18</v>
      </c>
      <c r="H48">
        <v>36</v>
      </c>
      <c r="M48">
        <v>28</v>
      </c>
      <c r="N48">
        <v>20</v>
      </c>
      <c r="P48" s="3">
        <v>11</v>
      </c>
      <c r="Q48" s="3">
        <v>16</v>
      </c>
      <c r="S48" s="3">
        <v>31</v>
      </c>
      <c r="T48" s="3">
        <v>25</v>
      </c>
    </row>
    <row r="49" spans="1:20" x14ac:dyDescent="0.25">
      <c r="A49">
        <v>11</v>
      </c>
      <c r="B49">
        <v>23</v>
      </c>
      <c r="D49">
        <v>14</v>
      </c>
      <c r="E49">
        <v>12</v>
      </c>
      <c r="G49">
        <v>8</v>
      </c>
      <c r="H49">
        <v>15</v>
      </c>
      <c r="M49">
        <v>13</v>
      </c>
      <c r="N49">
        <v>10</v>
      </c>
      <c r="P49" s="3">
        <v>4</v>
      </c>
      <c r="Q49" s="3">
        <v>10</v>
      </c>
      <c r="S49" s="3">
        <v>55</v>
      </c>
      <c r="T49" s="3">
        <v>20</v>
      </c>
    </row>
    <row r="50" spans="1:20" x14ac:dyDescent="0.25">
      <c r="A50">
        <v>26</v>
      </c>
      <c r="B50">
        <v>25</v>
      </c>
      <c r="D50">
        <v>28</v>
      </c>
      <c r="E50">
        <v>22</v>
      </c>
      <c r="G50">
        <v>16</v>
      </c>
      <c r="H50">
        <v>12</v>
      </c>
      <c r="M50">
        <v>13</v>
      </c>
      <c r="N50">
        <v>11</v>
      </c>
      <c r="P50" s="3">
        <v>15</v>
      </c>
      <c r="Q50" s="3">
        <v>11</v>
      </c>
      <c r="S50" s="3">
        <v>76</v>
      </c>
      <c r="T50" s="3">
        <v>28</v>
      </c>
    </row>
    <row r="51" spans="1:20" x14ac:dyDescent="0.25">
      <c r="A51">
        <v>28</v>
      </c>
      <c r="B51">
        <v>22</v>
      </c>
      <c r="D51">
        <v>19</v>
      </c>
      <c r="E51">
        <v>19</v>
      </c>
      <c r="G51">
        <v>14</v>
      </c>
      <c r="H51">
        <v>21</v>
      </c>
      <c r="M51">
        <v>20</v>
      </c>
      <c r="N51">
        <v>9</v>
      </c>
      <c r="P51" s="3">
        <v>19</v>
      </c>
      <c r="Q51" s="3">
        <v>9</v>
      </c>
      <c r="S51" s="3">
        <v>59</v>
      </c>
      <c r="T51" s="3">
        <v>16</v>
      </c>
    </row>
    <row r="52" spans="1:20" x14ac:dyDescent="0.25">
      <c r="A52">
        <v>14</v>
      </c>
      <c r="B52">
        <v>23</v>
      </c>
      <c r="D52">
        <v>20</v>
      </c>
      <c r="E52">
        <v>11</v>
      </c>
      <c r="G52">
        <v>15</v>
      </c>
      <c r="H52">
        <v>26</v>
      </c>
      <c r="M52">
        <v>1</v>
      </c>
      <c r="N52">
        <v>6</v>
      </c>
      <c r="P52" s="3">
        <v>9</v>
      </c>
      <c r="Q52" s="3">
        <v>11</v>
      </c>
      <c r="S52" s="3">
        <v>36</v>
      </c>
      <c r="T52" s="3">
        <v>17</v>
      </c>
    </row>
    <row r="53" spans="1:20" x14ac:dyDescent="0.25">
      <c r="A53">
        <v>15</v>
      </c>
      <c r="B53">
        <v>18</v>
      </c>
      <c r="D53">
        <v>17</v>
      </c>
      <c r="E53">
        <v>16</v>
      </c>
      <c r="G53">
        <v>25</v>
      </c>
      <c r="H53">
        <v>27</v>
      </c>
      <c r="M53">
        <v>7</v>
      </c>
      <c r="N53">
        <v>13</v>
      </c>
      <c r="P53" s="3">
        <v>11</v>
      </c>
      <c r="Q53" s="3">
        <v>13</v>
      </c>
      <c r="S53" s="3">
        <v>30</v>
      </c>
      <c r="T53" s="3">
        <v>19</v>
      </c>
    </row>
    <row r="54" spans="1:20" x14ac:dyDescent="0.25">
      <c r="A54">
        <v>9</v>
      </c>
      <c r="B54">
        <v>5</v>
      </c>
      <c r="D54">
        <v>16</v>
      </c>
      <c r="E54">
        <v>16</v>
      </c>
      <c r="G54">
        <v>22</v>
      </c>
      <c r="H54">
        <v>18</v>
      </c>
      <c r="M54">
        <v>15</v>
      </c>
      <c r="N54">
        <v>12</v>
      </c>
      <c r="P54" t="s">
        <v>10</v>
      </c>
      <c r="Q54" t="s">
        <v>10</v>
      </c>
      <c r="S54" s="3">
        <v>22</v>
      </c>
      <c r="T54" s="3">
        <v>18</v>
      </c>
    </row>
    <row r="55" spans="1:20" x14ac:dyDescent="0.25">
      <c r="A55">
        <v>14</v>
      </c>
      <c r="B55">
        <v>9</v>
      </c>
      <c r="D55">
        <v>10</v>
      </c>
      <c r="E55">
        <v>13</v>
      </c>
      <c r="G55">
        <v>20</v>
      </c>
      <c r="H55">
        <v>17</v>
      </c>
      <c r="M55">
        <v>25</v>
      </c>
      <c r="N55">
        <v>10</v>
      </c>
      <c r="P55">
        <v>25</v>
      </c>
      <c r="Q55">
        <v>24</v>
      </c>
      <c r="S55" s="3">
        <v>13</v>
      </c>
      <c r="T55" s="3">
        <v>24</v>
      </c>
    </row>
    <row r="56" spans="1:20" x14ac:dyDescent="0.25">
      <c r="A56">
        <v>12</v>
      </c>
      <c r="B56">
        <v>3</v>
      </c>
      <c r="D56">
        <v>23</v>
      </c>
      <c r="E56">
        <v>10</v>
      </c>
      <c r="G56">
        <v>14</v>
      </c>
      <c r="H56">
        <v>16</v>
      </c>
      <c r="M56">
        <v>13</v>
      </c>
      <c r="N56">
        <v>10</v>
      </c>
      <c r="P56">
        <v>5</v>
      </c>
      <c r="Q56">
        <v>10</v>
      </c>
      <c r="S56" s="3">
        <v>19</v>
      </c>
      <c r="T56" s="3">
        <v>11</v>
      </c>
    </row>
    <row r="57" spans="1:20" x14ac:dyDescent="0.25">
      <c r="A57">
        <v>11</v>
      </c>
      <c r="B57">
        <v>19</v>
      </c>
      <c r="D57">
        <v>23</v>
      </c>
      <c r="E57">
        <v>12</v>
      </c>
      <c r="G57">
        <v>6</v>
      </c>
      <c r="H57">
        <v>12</v>
      </c>
      <c r="M57">
        <v>10</v>
      </c>
      <c r="N57">
        <v>12</v>
      </c>
      <c r="P57">
        <v>16</v>
      </c>
      <c r="Q57">
        <v>23</v>
      </c>
      <c r="S57" s="3">
        <v>47</v>
      </c>
      <c r="T57" s="3">
        <v>14</v>
      </c>
    </row>
    <row r="58" spans="1:20" x14ac:dyDescent="0.25">
      <c r="A58">
        <v>13</v>
      </c>
      <c r="B58">
        <v>21</v>
      </c>
      <c r="D58">
        <v>17</v>
      </c>
      <c r="E58">
        <v>23</v>
      </c>
      <c r="G58">
        <v>8</v>
      </c>
      <c r="H58">
        <v>4</v>
      </c>
      <c r="M58">
        <v>9</v>
      </c>
      <c r="N58">
        <v>12</v>
      </c>
      <c r="P58">
        <v>16</v>
      </c>
      <c r="Q58">
        <v>14</v>
      </c>
      <c r="S58" s="3">
        <v>29</v>
      </c>
      <c r="T58" s="3">
        <v>24</v>
      </c>
    </row>
    <row r="59" spans="1:20" x14ac:dyDescent="0.25">
      <c r="A59">
        <v>15</v>
      </c>
      <c r="B59">
        <v>18</v>
      </c>
      <c r="D59">
        <v>19</v>
      </c>
      <c r="E59">
        <v>4</v>
      </c>
      <c r="G59">
        <v>10</v>
      </c>
      <c r="H59">
        <v>22</v>
      </c>
      <c r="M59">
        <v>15</v>
      </c>
      <c r="N59">
        <v>7</v>
      </c>
      <c r="P59">
        <v>13</v>
      </c>
      <c r="Q59">
        <v>24</v>
      </c>
      <c r="S59" s="3">
        <v>6</v>
      </c>
      <c r="T59" s="3">
        <v>3</v>
      </c>
    </row>
    <row r="60" spans="1:20" x14ac:dyDescent="0.25">
      <c r="A60">
        <v>33</v>
      </c>
      <c r="B60">
        <v>17</v>
      </c>
      <c r="D60">
        <v>2</v>
      </c>
      <c r="E60">
        <v>1</v>
      </c>
      <c r="G60">
        <v>21</v>
      </c>
      <c r="H60">
        <v>25</v>
      </c>
      <c r="M60">
        <v>0</v>
      </c>
      <c r="N60">
        <v>0</v>
      </c>
      <c r="P60">
        <v>12</v>
      </c>
      <c r="Q60">
        <v>20</v>
      </c>
      <c r="S60" s="3">
        <v>5</v>
      </c>
      <c r="T60" s="3">
        <v>7</v>
      </c>
    </row>
    <row r="61" spans="1:20" x14ac:dyDescent="0.25">
      <c r="A61">
        <v>25</v>
      </c>
      <c r="B61">
        <v>6</v>
      </c>
      <c r="D61">
        <v>3</v>
      </c>
      <c r="E61">
        <v>0</v>
      </c>
      <c r="G61">
        <v>2</v>
      </c>
      <c r="H61">
        <v>9</v>
      </c>
      <c r="M61">
        <v>21</v>
      </c>
      <c r="N61">
        <v>9</v>
      </c>
      <c r="P61">
        <v>2</v>
      </c>
      <c r="Q61">
        <v>4</v>
      </c>
      <c r="S61" s="3">
        <v>7</v>
      </c>
      <c r="T61" s="3">
        <v>16</v>
      </c>
    </row>
    <row r="62" spans="1:20" x14ac:dyDescent="0.25">
      <c r="A62" s="8">
        <f>AVERAGE(A3:A61)</f>
        <v>17.796610169491526</v>
      </c>
      <c r="B62" s="8">
        <f>AVERAGE(B3:B61)</f>
        <v>16.322033898305083</v>
      </c>
      <c r="D62" t="s">
        <v>8</v>
      </c>
      <c r="E62" t="s">
        <v>8</v>
      </c>
      <c r="G62">
        <v>11</v>
      </c>
      <c r="H62">
        <v>15</v>
      </c>
      <c r="M62">
        <v>4</v>
      </c>
      <c r="N62">
        <v>7</v>
      </c>
      <c r="P62" s="2">
        <v>11</v>
      </c>
      <c r="Q62" s="2">
        <v>11</v>
      </c>
      <c r="S62" t="s">
        <v>10</v>
      </c>
      <c r="T62" t="s">
        <v>10</v>
      </c>
    </row>
    <row r="63" spans="1:20" x14ac:dyDescent="0.25">
      <c r="D63" s="8">
        <f>AVERAGE(D3:D62)</f>
        <v>16.5</v>
      </c>
      <c r="E63" s="8">
        <f>AVERAGE(E39:E62,E37,E3:E37)</f>
        <v>15.196428571428571</v>
      </c>
      <c r="G63" s="8">
        <f>AVERAGE(G8:G62,G3:G6)</f>
        <v>11.745762711864407</v>
      </c>
      <c r="H63" s="8">
        <f>AVERAGE(H8:H62,H3:H6)</f>
        <v>15.220338983050848</v>
      </c>
      <c r="M63">
        <v>15</v>
      </c>
      <c r="N63">
        <v>17</v>
      </c>
      <c r="P63" s="8">
        <f>AVERAGE(P3:P62)</f>
        <v>11.107142857142858</v>
      </c>
      <c r="Q63" s="8">
        <f>AVERAGE(Q3:Q62)</f>
        <v>15.696428571428571</v>
      </c>
      <c r="S63" s="8">
        <f>AVERAGE(S3:S62)</f>
        <v>29.381818181818183</v>
      </c>
      <c r="T63" s="8">
        <f>AVERAGE(T3:T62)</f>
        <v>19.163636363636364</v>
      </c>
    </row>
    <row r="64" spans="1:20" x14ac:dyDescent="0.25">
      <c r="M64" s="8">
        <f>AVERAGE(M3:M63)</f>
        <v>14.590163934426229</v>
      </c>
      <c r="N64" s="8">
        <f>AVERAGE(N3:N63)</f>
        <v>11.655737704918034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1"/>
  <sheetViews>
    <sheetView tabSelected="1" zoomScale="75" zoomScaleNormal="75" workbookViewId="0">
      <selection activeCell="J12" sqref="J12"/>
    </sheetView>
  </sheetViews>
  <sheetFormatPr defaultRowHeight="15" x14ac:dyDescent="0.25"/>
  <cols>
    <col min="1" max="2" width="9.140625" customWidth="1"/>
    <col min="4" max="5" width="9.140625" customWidth="1"/>
    <col min="7" max="8" width="9.140625" customWidth="1"/>
    <col min="10" max="10" width="14.42578125" customWidth="1"/>
    <col min="11" max="11" width="9.140625" customWidth="1"/>
    <col min="13" max="14" width="9.140625" customWidth="1"/>
    <col min="16" max="17" width="9.140625" customWidth="1"/>
    <col min="21" max="26" width="9.140625" customWidth="1"/>
    <col min="28" max="28" width="16.140625" customWidth="1"/>
    <col min="38" max="38" width="18.85546875" customWidth="1"/>
    <col min="42" max="42" width="15" customWidth="1"/>
  </cols>
  <sheetData>
    <row r="1" spans="1:53" s="13" customFormat="1" x14ac:dyDescent="0.25">
      <c r="A1" s="13" t="s">
        <v>59</v>
      </c>
      <c r="D1" s="13" t="s">
        <v>60</v>
      </c>
      <c r="G1" s="13" t="s">
        <v>61</v>
      </c>
      <c r="J1" s="13" t="s">
        <v>68</v>
      </c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x14ac:dyDescent="0.25">
      <c r="A2" t="s">
        <v>62</v>
      </c>
      <c r="B2" t="s">
        <v>63</v>
      </c>
      <c r="D2" t="s">
        <v>62</v>
      </c>
      <c r="E2" t="s">
        <v>63</v>
      </c>
      <c r="G2" t="s">
        <v>62</v>
      </c>
      <c r="H2" t="s">
        <v>63</v>
      </c>
      <c r="I2" s="3"/>
      <c r="AG2" s="3"/>
      <c r="AH2" s="3"/>
      <c r="AI2" s="3"/>
      <c r="AJ2" s="3"/>
      <c r="AK2" s="35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x14ac:dyDescent="0.25">
      <c r="A3" s="10">
        <v>28</v>
      </c>
      <c r="B3" s="10">
        <v>47</v>
      </c>
      <c r="C3" s="10"/>
      <c r="D3" s="10">
        <v>39</v>
      </c>
      <c r="E3" s="10">
        <v>62</v>
      </c>
      <c r="G3" s="10">
        <v>25</v>
      </c>
      <c r="H3" s="10">
        <v>30</v>
      </c>
      <c r="I3" s="3"/>
      <c r="J3" s="53" t="s">
        <v>73</v>
      </c>
      <c r="K3" s="10"/>
      <c r="S3" s="10"/>
      <c r="T3" s="10"/>
      <c r="U3" s="10"/>
      <c r="V3" s="10"/>
      <c r="W3" s="10"/>
      <c r="AA3" s="3"/>
      <c r="AB3" s="3"/>
      <c r="AC3" s="3"/>
      <c r="AD3" s="3"/>
      <c r="AE3" s="3"/>
      <c r="AF3" s="3"/>
      <c r="AG3" s="3"/>
      <c r="AH3" s="3"/>
      <c r="AI3" s="3"/>
      <c r="AJ3" s="3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x14ac:dyDescent="0.25">
      <c r="A4" s="10">
        <v>30</v>
      </c>
      <c r="B4" s="10">
        <v>27</v>
      </c>
      <c r="C4" s="10"/>
      <c r="D4" s="10">
        <v>27</v>
      </c>
      <c r="E4" s="10">
        <v>36</v>
      </c>
      <c r="G4" s="10">
        <v>26</v>
      </c>
      <c r="H4" s="10">
        <v>36</v>
      </c>
      <c r="I4" s="3"/>
      <c r="J4" t="s">
        <v>52</v>
      </c>
      <c r="K4" s="10" t="s">
        <v>74</v>
      </c>
      <c r="S4" s="10"/>
      <c r="T4" s="10"/>
      <c r="U4" s="10"/>
      <c r="V4" s="10"/>
      <c r="W4" s="10"/>
      <c r="AA4" s="3"/>
      <c r="AB4" s="56"/>
      <c r="AC4" s="57"/>
      <c r="AD4" s="57"/>
      <c r="AE4" s="57"/>
      <c r="AF4" s="57"/>
      <c r="AG4" s="57"/>
      <c r="AH4" s="57"/>
      <c r="AI4" s="32"/>
      <c r="AJ4" s="3"/>
      <c r="AK4" s="10"/>
      <c r="AL4" s="10"/>
      <c r="AM4" s="10"/>
      <c r="AN4" s="10"/>
      <c r="AO4" s="10"/>
      <c r="AP4" s="10"/>
      <c r="AQ4" s="10"/>
      <c r="AR4" s="10"/>
      <c r="AS4" s="3"/>
      <c r="AT4" s="3"/>
      <c r="AU4" s="3"/>
      <c r="AV4" s="3"/>
      <c r="AW4" s="10"/>
      <c r="AX4" s="10"/>
      <c r="AY4" s="10"/>
      <c r="AZ4" s="10"/>
      <c r="BA4" s="10"/>
    </row>
    <row r="5" spans="1:53" x14ac:dyDescent="0.25">
      <c r="A5" s="10">
        <v>33</v>
      </c>
      <c r="B5" s="10">
        <v>56</v>
      </c>
      <c r="C5" s="10"/>
      <c r="D5" s="10">
        <v>35</v>
      </c>
      <c r="E5" s="10">
        <v>38</v>
      </c>
      <c r="G5" s="10">
        <v>29</v>
      </c>
      <c r="H5" s="10">
        <v>33</v>
      </c>
      <c r="I5" s="3"/>
      <c r="J5" t="s">
        <v>49</v>
      </c>
      <c r="K5" s="10" t="s">
        <v>79</v>
      </c>
      <c r="S5" s="10"/>
      <c r="T5" s="10"/>
      <c r="U5" s="10"/>
      <c r="V5" s="10"/>
      <c r="W5" s="10"/>
      <c r="AA5" s="3"/>
      <c r="AB5" s="56"/>
      <c r="AC5" s="32"/>
      <c r="AD5" s="32"/>
      <c r="AE5" s="32"/>
      <c r="AF5" s="32"/>
      <c r="AG5" s="32"/>
      <c r="AH5" s="32"/>
      <c r="AI5" s="32"/>
      <c r="AJ5" s="3"/>
      <c r="AK5" s="10"/>
      <c r="AL5" s="10"/>
      <c r="AM5" s="10"/>
      <c r="AN5" s="10"/>
      <c r="AS5" s="3"/>
      <c r="AT5" s="3"/>
      <c r="AU5" s="3"/>
      <c r="AV5" s="3"/>
    </row>
    <row r="6" spans="1:53" x14ac:dyDescent="0.25">
      <c r="A6" s="10">
        <v>23</v>
      </c>
      <c r="B6" s="10">
        <v>20</v>
      </c>
      <c r="C6" s="10"/>
      <c r="D6" s="10">
        <v>27</v>
      </c>
      <c r="E6" s="10">
        <v>56</v>
      </c>
      <c r="G6" s="10">
        <v>33</v>
      </c>
      <c r="H6" s="10">
        <v>47</v>
      </c>
      <c r="I6" s="3"/>
      <c r="J6" t="s">
        <v>57</v>
      </c>
      <c r="K6" s="10" t="s">
        <v>77</v>
      </c>
      <c r="S6" s="10"/>
      <c r="T6" s="10"/>
      <c r="U6" s="10"/>
      <c r="V6" s="10"/>
      <c r="W6" s="10"/>
      <c r="AA6" s="3"/>
      <c r="AB6" s="39"/>
      <c r="AC6" s="16"/>
      <c r="AD6" s="16"/>
      <c r="AE6" s="16"/>
      <c r="AF6" s="16"/>
      <c r="AG6" s="16"/>
      <c r="AH6" s="16"/>
      <c r="AI6" s="32"/>
      <c r="AJ6" s="3"/>
      <c r="AK6" s="18"/>
      <c r="AL6" s="10"/>
      <c r="AM6" s="18"/>
      <c r="AN6" s="10"/>
      <c r="AS6" s="3"/>
      <c r="AT6" s="3"/>
      <c r="AU6" s="3"/>
      <c r="AV6" s="3"/>
    </row>
    <row r="7" spans="1:53" x14ac:dyDescent="0.25">
      <c r="A7" s="10">
        <v>40</v>
      </c>
      <c r="B7" s="10">
        <v>43</v>
      </c>
      <c r="C7" s="10"/>
      <c r="D7" s="10">
        <v>29</v>
      </c>
      <c r="E7" s="10">
        <v>64</v>
      </c>
      <c r="G7" s="10">
        <v>31</v>
      </c>
      <c r="H7" s="10">
        <v>51</v>
      </c>
      <c r="I7" s="3"/>
      <c r="J7" t="s">
        <v>54</v>
      </c>
      <c r="K7" s="10" t="s">
        <v>78</v>
      </c>
      <c r="S7" s="10"/>
      <c r="T7" s="10"/>
      <c r="U7" s="10"/>
      <c r="V7" s="10"/>
      <c r="W7" s="10"/>
      <c r="AA7" s="3"/>
      <c r="AB7" s="3"/>
      <c r="AC7" s="3"/>
      <c r="AD7" s="3"/>
      <c r="AE7" s="3"/>
      <c r="AF7" s="3"/>
      <c r="AG7" s="3"/>
      <c r="AH7" s="3"/>
      <c r="AI7" s="32"/>
      <c r="AJ7" s="3"/>
      <c r="AO7" s="9"/>
      <c r="AS7" s="3"/>
      <c r="AT7" s="3"/>
      <c r="AU7" s="3"/>
      <c r="AV7" s="3"/>
    </row>
    <row r="8" spans="1:53" x14ac:dyDescent="0.25">
      <c r="A8" s="10">
        <v>29</v>
      </c>
      <c r="B8" s="10">
        <v>39</v>
      </c>
      <c r="C8" s="10"/>
      <c r="D8" s="10">
        <v>39</v>
      </c>
      <c r="E8" s="10">
        <v>71</v>
      </c>
      <c r="G8" s="10">
        <v>35</v>
      </c>
      <c r="H8" s="10">
        <v>71</v>
      </c>
      <c r="I8" s="3"/>
      <c r="J8" t="s">
        <v>55</v>
      </c>
      <c r="K8" s="10" t="s">
        <v>75</v>
      </c>
      <c r="S8" s="10"/>
      <c r="T8" s="10"/>
      <c r="U8" s="10"/>
      <c r="V8" s="10"/>
      <c r="W8" s="10"/>
      <c r="AA8" s="3"/>
      <c r="AB8" s="32"/>
      <c r="AC8" s="32"/>
      <c r="AD8" s="32"/>
      <c r="AE8" s="32"/>
      <c r="AF8" s="32"/>
      <c r="AG8" s="32"/>
      <c r="AH8" s="32"/>
      <c r="AI8" s="32"/>
      <c r="AJ8" s="32"/>
      <c r="AK8" s="15"/>
      <c r="AO8" s="9"/>
      <c r="AS8" s="3"/>
      <c r="AT8" s="3"/>
      <c r="AU8" s="3"/>
      <c r="AV8" s="3"/>
      <c r="AW8" s="9"/>
      <c r="AX8" s="9"/>
      <c r="AY8" s="9"/>
      <c r="AZ8" s="9"/>
      <c r="BA8" s="9"/>
    </row>
    <row r="9" spans="1:53" x14ac:dyDescent="0.25">
      <c r="A9" s="10">
        <v>40</v>
      </c>
      <c r="B9" s="10">
        <v>31</v>
      </c>
      <c r="C9" s="10"/>
      <c r="D9" s="10">
        <v>35</v>
      </c>
      <c r="E9" s="10">
        <v>46</v>
      </c>
      <c r="G9" s="10">
        <v>20</v>
      </c>
      <c r="H9" s="10">
        <v>5</v>
      </c>
      <c r="I9" s="3"/>
      <c r="J9" t="s">
        <v>56</v>
      </c>
      <c r="K9" s="10" t="s">
        <v>76</v>
      </c>
      <c r="S9" s="10"/>
      <c r="T9" s="10"/>
      <c r="U9" s="10"/>
      <c r="V9" s="10"/>
      <c r="W9" s="10"/>
      <c r="AA9" s="3"/>
      <c r="AB9" s="32"/>
      <c r="AC9" s="32"/>
      <c r="AD9" s="32"/>
      <c r="AE9" s="32"/>
      <c r="AF9" s="32"/>
      <c r="AG9" s="32"/>
      <c r="AH9" s="32"/>
      <c r="AI9" s="32"/>
      <c r="AJ9" s="32"/>
      <c r="AK9" s="27"/>
      <c r="AL9" s="3"/>
      <c r="AM9" s="3"/>
      <c r="AN9" s="3"/>
      <c r="AO9" s="3"/>
      <c r="AS9" s="3"/>
      <c r="AT9" s="3"/>
      <c r="AU9" s="3"/>
      <c r="AV9" s="3"/>
      <c r="AW9" s="9"/>
      <c r="AX9" s="9"/>
      <c r="AY9" s="9"/>
      <c r="AZ9" s="9"/>
      <c r="BA9" s="9"/>
    </row>
    <row r="10" spans="1:53" x14ac:dyDescent="0.25">
      <c r="A10" s="10">
        <v>17</v>
      </c>
      <c r="B10" s="10">
        <v>38</v>
      </c>
      <c r="C10" s="10"/>
      <c r="D10" s="10">
        <v>28</v>
      </c>
      <c r="E10" s="10">
        <v>38</v>
      </c>
      <c r="G10" s="10">
        <v>37</v>
      </c>
      <c r="H10" s="10">
        <v>74</v>
      </c>
      <c r="I10" s="3"/>
      <c r="S10" s="10"/>
      <c r="T10" s="10"/>
      <c r="U10" s="10"/>
      <c r="V10" s="10"/>
      <c r="W10" s="10"/>
      <c r="AA10" s="3"/>
      <c r="AB10" s="57"/>
      <c r="AC10" s="57"/>
      <c r="AD10" s="57"/>
      <c r="AE10" s="57"/>
      <c r="AF10" s="57"/>
      <c r="AG10" s="57"/>
      <c r="AH10" s="57"/>
      <c r="AI10" s="57"/>
      <c r="AJ10" s="57"/>
      <c r="AK10" s="42"/>
      <c r="AL10" s="21" t="s">
        <v>65</v>
      </c>
      <c r="AM10" s="58" t="s">
        <v>64</v>
      </c>
      <c r="AN10" s="58"/>
      <c r="AO10" s="25"/>
      <c r="AP10" s="26"/>
      <c r="AQ10" s="54" t="s">
        <v>64</v>
      </c>
      <c r="AR10" s="54"/>
      <c r="AS10" s="55"/>
      <c r="AT10" s="55"/>
      <c r="AU10" s="55"/>
      <c r="AV10" s="55"/>
      <c r="AW10" s="9"/>
      <c r="AX10" s="9"/>
      <c r="AY10" s="9"/>
      <c r="AZ10" s="9"/>
      <c r="BA10" s="9"/>
    </row>
    <row r="11" spans="1:53" x14ac:dyDescent="0.25">
      <c r="A11" s="10">
        <v>19</v>
      </c>
      <c r="B11" s="10">
        <v>7</v>
      </c>
      <c r="C11" s="10"/>
      <c r="D11" s="10">
        <v>27</v>
      </c>
      <c r="E11" s="10">
        <v>10</v>
      </c>
      <c r="G11" s="10">
        <v>31</v>
      </c>
      <c r="H11" s="10">
        <v>46</v>
      </c>
      <c r="I11" s="3"/>
      <c r="J11" s="10" t="s">
        <v>80</v>
      </c>
      <c r="S11" s="10"/>
      <c r="T11" s="10"/>
      <c r="U11" s="10"/>
      <c r="V11" s="10"/>
      <c r="W11" s="10"/>
      <c r="AA11" s="3"/>
      <c r="AB11" s="57"/>
      <c r="AC11" s="32"/>
      <c r="AD11" s="32"/>
      <c r="AE11" s="32"/>
      <c r="AF11" s="32"/>
      <c r="AG11" s="32"/>
      <c r="AH11" s="32"/>
      <c r="AI11" s="32"/>
      <c r="AJ11" s="32"/>
      <c r="AK11" s="27"/>
      <c r="AL11" s="19"/>
      <c r="AM11" s="31" t="s">
        <v>50</v>
      </c>
      <c r="AN11" s="31" t="s">
        <v>51</v>
      </c>
      <c r="AO11" s="32"/>
      <c r="AP11" s="19"/>
      <c r="AQ11" s="31" t="s">
        <v>50</v>
      </c>
      <c r="AR11" s="31" t="s">
        <v>51</v>
      </c>
      <c r="AS11" s="32"/>
      <c r="AT11" s="32"/>
      <c r="AU11" s="32"/>
      <c r="AV11" s="32"/>
      <c r="AW11" s="32"/>
      <c r="AX11" s="32"/>
      <c r="AY11" s="32"/>
      <c r="AZ11" s="32"/>
      <c r="BA11" s="9"/>
    </row>
    <row r="12" spans="1:53" x14ac:dyDescent="0.25">
      <c r="A12" s="10">
        <v>30</v>
      </c>
      <c r="B12" s="10">
        <v>33</v>
      </c>
      <c r="C12" s="10"/>
      <c r="D12" s="10">
        <v>30</v>
      </c>
      <c r="E12" s="10">
        <v>51</v>
      </c>
      <c r="G12" s="10">
        <v>33</v>
      </c>
      <c r="H12" s="10">
        <v>48</v>
      </c>
      <c r="I12" s="3"/>
      <c r="J12" s="10" t="s">
        <v>81</v>
      </c>
      <c r="AA12" s="3"/>
      <c r="AB12" s="32"/>
      <c r="AC12" s="16"/>
      <c r="AD12" s="16"/>
      <c r="AE12" s="16"/>
      <c r="AF12" s="16"/>
      <c r="AG12" s="16"/>
      <c r="AH12" s="16"/>
      <c r="AI12" s="16"/>
      <c r="AJ12" s="16"/>
      <c r="AK12" s="16"/>
      <c r="AL12" s="23" t="s">
        <v>52</v>
      </c>
      <c r="AM12" s="24">
        <f>B23</f>
        <v>32.85</v>
      </c>
      <c r="AN12" s="24">
        <f>A23</f>
        <v>26.7</v>
      </c>
      <c r="AO12" s="3"/>
      <c r="AP12" s="26" t="s">
        <v>49</v>
      </c>
      <c r="AQ12" s="40">
        <f>AVERAGE(AM15:AM17)</f>
        <v>15.926942355889723</v>
      </c>
      <c r="AR12" s="38">
        <f>AVERAGE(AN15:AN17)</f>
        <v>22.554135338345862</v>
      </c>
      <c r="AS12" s="28"/>
      <c r="AT12" s="28"/>
      <c r="AU12" s="28"/>
      <c r="AV12" s="28"/>
      <c r="AW12" s="29"/>
      <c r="AX12" s="29"/>
      <c r="AY12" s="9"/>
      <c r="AZ12" s="9"/>
      <c r="BA12" s="9"/>
    </row>
    <row r="13" spans="1:53" x14ac:dyDescent="0.25">
      <c r="A13" s="10">
        <v>27</v>
      </c>
      <c r="B13" s="10">
        <v>32</v>
      </c>
      <c r="C13" s="10"/>
      <c r="D13" s="10">
        <v>21</v>
      </c>
      <c r="E13" s="10">
        <v>28</v>
      </c>
      <c r="G13" s="10">
        <v>39</v>
      </c>
      <c r="H13" s="10">
        <v>65</v>
      </c>
      <c r="I13" s="3"/>
      <c r="AA13" s="3"/>
      <c r="AB13" s="32"/>
      <c r="AC13" s="16"/>
      <c r="AD13" s="16"/>
      <c r="AE13" s="16"/>
      <c r="AF13" s="16"/>
      <c r="AG13" s="16"/>
      <c r="AH13" s="16"/>
      <c r="AI13" s="16"/>
      <c r="AJ13" s="16"/>
      <c r="AK13" s="16"/>
      <c r="AL13" s="23" t="s">
        <v>52</v>
      </c>
      <c r="AM13" s="24">
        <f>E23</f>
        <v>38.299999999999997</v>
      </c>
      <c r="AN13" s="24">
        <f>D23</f>
        <v>29.3</v>
      </c>
      <c r="AO13" s="3"/>
      <c r="AP13" s="26" t="s">
        <v>57</v>
      </c>
      <c r="AQ13" s="38">
        <f>AVERAGE(AM18:AM23)</f>
        <v>28.862231968810914</v>
      </c>
      <c r="AR13" s="38">
        <f>AVERAGE(AN18:AN23)</f>
        <v>31.16135477582846</v>
      </c>
      <c r="AS13" s="28"/>
      <c r="AT13" s="28"/>
      <c r="AU13" s="28"/>
      <c r="AV13" s="28"/>
      <c r="AW13" s="29"/>
      <c r="AX13" s="29"/>
      <c r="AY13" s="9"/>
      <c r="AZ13" s="9"/>
      <c r="BA13" s="9"/>
    </row>
    <row r="14" spans="1:53" x14ac:dyDescent="0.25">
      <c r="A14" s="10">
        <v>33</v>
      </c>
      <c r="B14" s="10">
        <v>42</v>
      </c>
      <c r="C14" s="10"/>
      <c r="D14" s="10">
        <v>28</v>
      </c>
      <c r="E14" s="10">
        <v>33</v>
      </c>
      <c r="G14" s="10">
        <v>30</v>
      </c>
      <c r="H14" s="10">
        <v>36</v>
      </c>
      <c r="I14" s="3"/>
      <c r="AB14" s="27"/>
      <c r="AC14" s="16"/>
      <c r="AD14" s="16"/>
      <c r="AE14" s="16"/>
      <c r="AF14" s="16"/>
      <c r="AG14" s="16"/>
      <c r="AH14" s="17"/>
      <c r="AI14" s="16"/>
      <c r="AJ14" s="16"/>
      <c r="AK14" s="16"/>
      <c r="AL14" s="23" t="s">
        <v>52</v>
      </c>
      <c r="AM14" s="24">
        <f>H23</f>
        <v>42.8</v>
      </c>
      <c r="AN14" s="24">
        <f>G23</f>
        <v>30.15</v>
      </c>
      <c r="AO14" s="3"/>
      <c r="AP14" s="26" t="s">
        <v>54</v>
      </c>
      <c r="AQ14" s="38">
        <f>AVERAGE(AM24:AM29)</f>
        <v>29.512719298245614</v>
      </c>
      <c r="AR14" s="41">
        <f>AVERAGE(AN24:AN29)</f>
        <v>33.01885964912281</v>
      </c>
      <c r="AS14" s="28"/>
      <c r="AT14" s="28"/>
      <c r="AU14" s="28"/>
      <c r="AV14" s="28"/>
      <c r="AW14" s="29"/>
      <c r="AX14" s="29"/>
      <c r="AY14" s="9"/>
      <c r="AZ14" s="9"/>
      <c r="BA14" s="9"/>
    </row>
    <row r="15" spans="1:53" x14ac:dyDescent="0.25">
      <c r="A15" s="10">
        <v>30</v>
      </c>
      <c r="B15" s="10">
        <v>9</v>
      </c>
      <c r="C15" s="10"/>
      <c r="D15" s="10">
        <v>23</v>
      </c>
      <c r="E15" s="10">
        <v>22</v>
      </c>
      <c r="G15" s="10">
        <v>28</v>
      </c>
      <c r="H15" s="10">
        <v>10</v>
      </c>
      <c r="I15" s="3"/>
      <c r="AB15" s="27"/>
      <c r="AC15" s="16"/>
      <c r="AD15" s="16"/>
      <c r="AE15" s="16"/>
      <c r="AF15" s="16"/>
      <c r="AG15" s="16"/>
      <c r="AH15" s="16"/>
      <c r="AI15" s="16"/>
      <c r="AJ15" s="16"/>
      <c r="AK15" s="16"/>
      <c r="AL15" s="19" t="s">
        <v>49</v>
      </c>
      <c r="AM15" s="24">
        <f>T98</f>
        <v>15.357142857142858</v>
      </c>
      <c r="AN15" s="24">
        <f>S98</f>
        <v>22.857142857142858</v>
      </c>
      <c r="AO15" s="28"/>
      <c r="AP15" s="26" t="s">
        <v>55</v>
      </c>
      <c r="AQ15" s="38">
        <f>AVERAGE(AM30:AM35)</f>
        <v>12.375490196078431</v>
      </c>
      <c r="AR15" s="38">
        <f>AVERAGE(AN30:AN35)</f>
        <v>26.075000000000003</v>
      </c>
      <c r="AS15" s="28"/>
      <c r="AT15" s="28"/>
      <c r="AU15" s="28"/>
      <c r="AV15" s="28"/>
      <c r="AW15" s="29"/>
      <c r="AX15" s="29"/>
      <c r="AY15" s="9"/>
      <c r="AZ15" s="9"/>
      <c r="BA15" s="9"/>
    </row>
    <row r="16" spans="1:53" x14ac:dyDescent="0.25">
      <c r="A16" s="10">
        <v>17</v>
      </c>
      <c r="B16" s="10">
        <v>13</v>
      </c>
      <c r="C16" s="10"/>
      <c r="D16" s="10">
        <v>41</v>
      </c>
      <c r="E16" s="10">
        <v>29</v>
      </c>
      <c r="G16" s="10">
        <v>27</v>
      </c>
      <c r="H16" s="10">
        <v>60</v>
      </c>
      <c r="I16" s="3"/>
      <c r="AB16" s="27"/>
      <c r="AC16" s="16"/>
      <c r="AD16" s="16"/>
      <c r="AE16" s="16"/>
      <c r="AF16" s="16"/>
      <c r="AG16" s="16"/>
      <c r="AH16" s="16"/>
      <c r="AI16" s="16"/>
      <c r="AJ16" s="16"/>
      <c r="AK16" s="16"/>
      <c r="AL16" s="19" t="s">
        <v>49</v>
      </c>
      <c r="AM16" s="24">
        <f>W98</f>
        <v>16.473684210526315</v>
      </c>
      <c r="AN16" s="24">
        <f>V98</f>
        <v>24.105263157894736</v>
      </c>
      <c r="AO16" s="28"/>
      <c r="AP16" s="26" t="s">
        <v>56</v>
      </c>
      <c r="AQ16" s="38">
        <f>AVERAGE(AM36:AM41)</f>
        <v>15.160623781676412</v>
      </c>
      <c r="AR16" s="38">
        <f>AVERAGE(AN36:AN41)</f>
        <v>26.453557504873299</v>
      </c>
      <c r="AS16" s="28"/>
      <c r="AT16" s="28"/>
      <c r="AU16" s="14"/>
      <c r="AV16" s="28"/>
      <c r="AW16" s="29"/>
      <c r="AX16" s="29"/>
      <c r="AY16" s="9"/>
      <c r="AZ16" s="9"/>
      <c r="BA16" s="9"/>
    </row>
    <row r="17" spans="1:53" x14ac:dyDescent="0.25">
      <c r="A17" s="10">
        <v>11</v>
      </c>
      <c r="B17" s="10">
        <v>9</v>
      </c>
      <c r="C17" s="10"/>
      <c r="D17" s="10">
        <v>24</v>
      </c>
      <c r="E17" s="10">
        <v>27</v>
      </c>
      <c r="G17" s="10">
        <v>25</v>
      </c>
      <c r="H17" s="10">
        <v>40</v>
      </c>
      <c r="I17" s="3"/>
      <c r="AB17" s="27"/>
      <c r="AC17" s="16"/>
      <c r="AD17" s="16"/>
      <c r="AE17" s="16"/>
      <c r="AF17" s="16"/>
      <c r="AG17" s="16"/>
      <c r="AH17" s="16"/>
      <c r="AI17" s="16"/>
      <c r="AJ17" s="16"/>
      <c r="AK17" s="16"/>
      <c r="AL17" s="19" t="s">
        <v>49</v>
      </c>
      <c r="AM17" s="24">
        <f>Z98</f>
        <v>15.95</v>
      </c>
      <c r="AN17" s="24">
        <f>Y98</f>
        <v>20.7</v>
      </c>
      <c r="AO17" s="28"/>
      <c r="AP17" s="19" t="s">
        <v>52</v>
      </c>
      <c r="AQ17" s="38">
        <f>AVERAGE(AM12:AM14)</f>
        <v>37.983333333333334</v>
      </c>
      <c r="AR17" s="20">
        <f>AVERAGE(AN12:AN14)</f>
        <v>28.716666666666669</v>
      </c>
      <c r="AS17" s="28"/>
      <c r="AT17" s="28"/>
      <c r="AU17" s="3"/>
      <c r="AV17" s="3"/>
      <c r="AW17" s="9"/>
      <c r="AX17" s="9"/>
      <c r="AY17" s="9"/>
      <c r="AZ17" s="9"/>
      <c r="BA17" s="9"/>
    </row>
    <row r="18" spans="1:53" x14ac:dyDescent="0.25">
      <c r="A18" s="10">
        <v>22</v>
      </c>
      <c r="B18" s="10">
        <v>47</v>
      </c>
      <c r="C18" s="10"/>
      <c r="D18" s="10">
        <v>5</v>
      </c>
      <c r="E18" s="10">
        <v>5</v>
      </c>
      <c r="G18" s="10">
        <v>28</v>
      </c>
      <c r="H18" s="10">
        <v>22</v>
      </c>
      <c r="I18" s="3"/>
      <c r="AB18" s="27"/>
      <c r="AC18" s="16"/>
      <c r="AD18" s="16"/>
      <c r="AE18" s="16"/>
      <c r="AF18" s="16"/>
      <c r="AG18" s="16"/>
      <c r="AH18" s="16"/>
      <c r="AI18" s="16"/>
      <c r="AJ18" s="16"/>
      <c r="AK18" s="16"/>
      <c r="AL18" s="19" t="s">
        <v>53</v>
      </c>
      <c r="AM18" s="24">
        <f>B48</f>
        <v>28.95</v>
      </c>
      <c r="AN18" s="24">
        <f>A48</f>
        <v>31.65</v>
      </c>
      <c r="AO18" s="28"/>
      <c r="AP18" s="3"/>
      <c r="AQ18" s="10"/>
      <c r="AS18" s="3"/>
      <c r="AT18" s="3"/>
      <c r="AU18" s="3"/>
      <c r="AV18" s="3"/>
      <c r="AW18" s="9"/>
      <c r="AX18" s="9"/>
      <c r="AY18" s="9"/>
      <c r="AZ18" s="9"/>
      <c r="BA18" s="9"/>
    </row>
    <row r="19" spans="1:53" x14ac:dyDescent="0.25">
      <c r="A19" s="10">
        <v>19</v>
      </c>
      <c r="B19" s="10">
        <v>46</v>
      </c>
      <c r="C19" s="10"/>
      <c r="D19" s="10">
        <v>37</v>
      </c>
      <c r="E19" s="10">
        <v>43</v>
      </c>
      <c r="G19" s="10">
        <v>30</v>
      </c>
      <c r="H19" s="10">
        <v>56</v>
      </c>
      <c r="I19" s="3"/>
      <c r="AB19" s="27"/>
      <c r="AC19" s="16"/>
      <c r="AD19" s="16"/>
      <c r="AE19" s="16"/>
      <c r="AF19" s="16"/>
      <c r="AG19" s="16"/>
      <c r="AH19" s="16"/>
      <c r="AI19" s="16"/>
      <c r="AJ19" s="16"/>
      <c r="AK19" s="16"/>
      <c r="AL19" s="19" t="s">
        <v>53</v>
      </c>
      <c r="AM19" s="24">
        <f>E48</f>
        <v>34.222222222222221</v>
      </c>
      <c r="AN19" s="24">
        <f>D48</f>
        <v>34.722222222222221</v>
      </c>
      <c r="AO19" s="28"/>
      <c r="AP19" s="3"/>
      <c r="AQ19" s="10"/>
      <c r="AR19" s="10"/>
      <c r="AS19" s="3"/>
      <c r="AT19" s="3"/>
      <c r="AU19" s="3"/>
      <c r="AV19" s="3"/>
      <c r="AW19" s="3"/>
      <c r="AX19" s="3"/>
      <c r="AY19" s="3"/>
      <c r="AZ19" s="3"/>
      <c r="BA19" s="9"/>
    </row>
    <row r="20" spans="1:53" x14ac:dyDescent="0.25">
      <c r="A20" s="10">
        <v>27</v>
      </c>
      <c r="B20" s="10">
        <v>45</v>
      </c>
      <c r="C20" s="10"/>
      <c r="D20" s="10">
        <v>40</v>
      </c>
      <c r="E20" s="10">
        <v>36</v>
      </c>
      <c r="G20" s="10">
        <v>36</v>
      </c>
      <c r="H20" s="10">
        <v>43</v>
      </c>
      <c r="I20" s="3"/>
      <c r="AB20" s="27"/>
      <c r="AC20" s="16"/>
      <c r="AD20" s="16"/>
      <c r="AE20" s="16"/>
      <c r="AF20" s="16"/>
      <c r="AG20" s="16"/>
      <c r="AH20" s="16"/>
      <c r="AI20" s="16"/>
      <c r="AJ20" s="16"/>
      <c r="AK20" s="16"/>
      <c r="AL20" s="19" t="s">
        <v>53</v>
      </c>
      <c r="AM20" s="24">
        <f>H48</f>
        <v>34.055555555555557</v>
      </c>
      <c r="AN20" s="24">
        <f>G48</f>
        <v>34.833333333333336</v>
      </c>
      <c r="AO20" s="28"/>
      <c r="AP20" s="3"/>
      <c r="AQ20" s="10"/>
      <c r="AR20" s="10"/>
      <c r="AS20" s="3"/>
      <c r="AT20" s="3"/>
      <c r="AU20" s="3"/>
      <c r="AV20" s="3"/>
      <c r="AW20" s="3"/>
      <c r="AX20" s="3"/>
      <c r="AY20" s="3"/>
      <c r="AZ20" s="3"/>
      <c r="BA20" s="9"/>
    </row>
    <row r="21" spans="1:53" x14ac:dyDescent="0.25">
      <c r="A21" s="10">
        <v>28</v>
      </c>
      <c r="B21" s="10">
        <v>50</v>
      </c>
      <c r="C21" s="10"/>
      <c r="D21" s="10">
        <v>21</v>
      </c>
      <c r="E21" s="10">
        <v>46</v>
      </c>
      <c r="G21" s="10">
        <v>33</v>
      </c>
      <c r="H21" s="10">
        <v>49</v>
      </c>
      <c r="I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19" t="s">
        <v>53</v>
      </c>
      <c r="AM21" s="24">
        <f>K48</f>
        <v>25.666666666666668</v>
      </c>
      <c r="AN21" s="24">
        <f>J48</f>
        <v>29.888888888888889</v>
      </c>
      <c r="AO21" s="28"/>
      <c r="AP21" s="3"/>
      <c r="AQ21" s="10"/>
      <c r="AR21" s="10"/>
      <c r="AS21" s="3"/>
      <c r="AT21" s="3"/>
      <c r="AU21" s="3"/>
      <c r="AV21" s="3"/>
      <c r="AW21" s="3"/>
      <c r="AX21" s="3"/>
      <c r="AY21" s="3"/>
      <c r="AZ21" s="3"/>
      <c r="BA21" s="9"/>
    </row>
    <row r="22" spans="1:53" x14ac:dyDescent="0.25">
      <c r="A22" s="10">
        <v>31</v>
      </c>
      <c r="B22" s="10">
        <v>23</v>
      </c>
      <c r="C22" s="10"/>
      <c r="D22" s="10">
        <v>30</v>
      </c>
      <c r="E22" s="10">
        <v>25</v>
      </c>
      <c r="G22" s="10">
        <v>27</v>
      </c>
      <c r="H22" s="10">
        <v>34</v>
      </c>
      <c r="I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19" t="s">
        <v>53</v>
      </c>
      <c r="AM22" s="24">
        <f>N48</f>
        <v>28.7</v>
      </c>
      <c r="AN22" s="24">
        <f>M48</f>
        <v>28.4</v>
      </c>
      <c r="AO22" s="28"/>
      <c r="AP22" s="3"/>
      <c r="AQ22" s="10"/>
      <c r="AR22" s="10"/>
      <c r="AS22" s="3"/>
      <c r="AT22" s="3"/>
      <c r="AU22" s="3"/>
      <c r="AV22" s="3"/>
      <c r="AW22" s="3"/>
      <c r="AX22" s="3"/>
      <c r="AY22" s="3"/>
      <c r="AZ22" s="3"/>
      <c r="BA22" s="9"/>
    </row>
    <row r="23" spans="1:53" x14ac:dyDescent="0.25">
      <c r="A23" s="36">
        <f>AVERAGE(A3:A22)</f>
        <v>26.7</v>
      </c>
      <c r="B23" s="37">
        <f>AVERAGE(B3:B22)</f>
        <v>32.85</v>
      </c>
      <c r="C23" s="30"/>
      <c r="D23" s="36">
        <f>AVERAGE(D3:D22)</f>
        <v>29.3</v>
      </c>
      <c r="E23" s="37">
        <f>AVERAGE(E3:E22)</f>
        <v>38.299999999999997</v>
      </c>
      <c r="F23" s="30"/>
      <c r="G23" s="36">
        <f>AVERAGE(G3:G22)</f>
        <v>30.15</v>
      </c>
      <c r="H23" s="37">
        <f>AVERAGE(H3:H22)</f>
        <v>42.8</v>
      </c>
      <c r="I23" s="3" t="s">
        <v>58</v>
      </c>
      <c r="AL23" s="19" t="s">
        <v>53</v>
      </c>
      <c r="AM23" s="24">
        <f>Q48</f>
        <v>21.578947368421051</v>
      </c>
      <c r="AN23" s="24">
        <f>P48</f>
        <v>27.473684210526315</v>
      </c>
      <c r="AO23" s="28"/>
      <c r="AP23" s="3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3" x14ac:dyDescent="0.25">
      <c r="A24" s="9"/>
      <c r="B24" s="9"/>
      <c r="D24" s="9"/>
      <c r="E24" s="9"/>
      <c r="G24" s="9"/>
      <c r="H24" s="9"/>
      <c r="J24" s="9"/>
      <c r="K24" s="9"/>
      <c r="M24" s="9"/>
      <c r="N24" s="9"/>
      <c r="AL24" s="19" t="s">
        <v>54</v>
      </c>
      <c r="AM24" s="24">
        <f>T48</f>
        <v>36.700000000000003</v>
      </c>
      <c r="AN24" s="24">
        <f>S48</f>
        <v>30.7</v>
      </c>
      <c r="AO24" s="28"/>
      <c r="AP24" s="3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3" x14ac:dyDescent="0.25">
      <c r="AL25" s="19" t="s">
        <v>54</v>
      </c>
      <c r="AM25" s="24">
        <f>W48</f>
        <v>31.210526315789473</v>
      </c>
      <c r="AN25" s="24">
        <f>V48</f>
        <v>28.736842105263158</v>
      </c>
      <c r="AO25" s="28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3" s="13" customFormat="1" x14ac:dyDescent="0.25">
      <c r="A26" s="13" t="s">
        <v>22</v>
      </c>
      <c r="D26" s="13" t="s">
        <v>23</v>
      </c>
      <c r="G26" s="13" t="s">
        <v>24</v>
      </c>
      <c r="J26" s="13" t="s">
        <v>25</v>
      </c>
      <c r="M26" s="13" t="s">
        <v>26</v>
      </c>
      <c r="P26" s="13" t="s">
        <v>27</v>
      </c>
      <c r="S26" s="13" t="s">
        <v>28</v>
      </c>
      <c r="V26" s="13" t="s">
        <v>29</v>
      </c>
      <c r="Y26" s="13" t="s">
        <v>30</v>
      </c>
      <c r="AA26" s="11"/>
      <c r="AB26" s="13" t="s">
        <v>31</v>
      </c>
      <c r="AE26" s="13" t="s">
        <v>32</v>
      </c>
      <c r="AH26" s="13" t="s">
        <v>33</v>
      </c>
      <c r="AK26" s="10"/>
      <c r="AL26" s="19" t="s">
        <v>54</v>
      </c>
      <c r="AM26" s="24">
        <f>Z48</f>
        <v>30.315789473684209</v>
      </c>
      <c r="AN26" s="24">
        <f>Y48</f>
        <v>31.526315789473685</v>
      </c>
      <c r="AO26" s="28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 spans="1:53" x14ac:dyDescent="0.25">
      <c r="A27" t="s">
        <v>62</v>
      </c>
      <c r="B27" t="s">
        <v>63</v>
      </c>
      <c r="D27" t="s">
        <v>62</v>
      </c>
      <c r="E27" t="s">
        <v>63</v>
      </c>
      <c r="G27" t="s">
        <v>62</v>
      </c>
      <c r="H27" t="s">
        <v>63</v>
      </c>
      <c r="J27" t="s">
        <v>62</v>
      </c>
      <c r="K27" t="s">
        <v>63</v>
      </c>
      <c r="M27" t="s">
        <v>62</v>
      </c>
      <c r="N27" t="s">
        <v>63</v>
      </c>
      <c r="P27" t="s">
        <v>62</v>
      </c>
      <c r="Q27" t="s">
        <v>63</v>
      </c>
      <c r="S27" t="s">
        <v>62</v>
      </c>
      <c r="T27" t="s">
        <v>63</v>
      </c>
      <c r="V27" t="s">
        <v>62</v>
      </c>
      <c r="W27" t="s">
        <v>63</v>
      </c>
      <c r="Y27" t="s">
        <v>62</v>
      </c>
      <c r="Z27" t="s">
        <v>63</v>
      </c>
      <c r="AB27" t="s">
        <v>62</v>
      </c>
      <c r="AC27" t="s">
        <v>63</v>
      </c>
      <c r="AE27" t="s">
        <v>62</v>
      </c>
      <c r="AF27" t="s">
        <v>63</v>
      </c>
      <c r="AH27" t="s">
        <v>62</v>
      </c>
      <c r="AI27" t="s">
        <v>63</v>
      </c>
      <c r="AJ27" s="9"/>
      <c r="AK27" s="3"/>
      <c r="AL27" s="19" t="s">
        <v>54</v>
      </c>
      <c r="AM27" s="24">
        <f>AC48</f>
        <v>30.55</v>
      </c>
      <c r="AN27" s="24">
        <f>AB48</f>
        <v>37.6</v>
      </c>
      <c r="AO27" s="28"/>
      <c r="AP27" s="3"/>
      <c r="AQ27" s="3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3" s="10" customFormat="1" x14ac:dyDescent="0.25">
      <c r="A28" s="10">
        <v>28</v>
      </c>
      <c r="B28" s="10">
        <v>21</v>
      </c>
      <c r="D28" s="10">
        <v>23</v>
      </c>
      <c r="E28" s="10">
        <v>11</v>
      </c>
      <c r="G28" s="10">
        <v>44</v>
      </c>
      <c r="H28" s="10">
        <v>48</v>
      </c>
      <c r="J28" s="10">
        <v>53</v>
      </c>
      <c r="K28" s="10">
        <v>48</v>
      </c>
      <c r="M28" s="10">
        <v>35</v>
      </c>
      <c r="N28" s="10">
        <v>52</v>
      </c>
      <c r="P28" s="10">
        <v>13</v>
      </c>
      <c r="Q28" s="10">
        <v>34</v>
      </c>
      <c r="S28" s="10">
        <v>39</v>
      </c>
      <c r="T28" s="10">
        <v>33</v>
      </c>
      <c r="V28" s="10">
        <v>28</v>
      </c>
      <c r="W28" s="10">
        <v>39</v>
      </c>
      <c r="Y28" s="10">
        <v>36</v>
      </c>
      <c r="Z28" s="10">
        <v>14</v>
      </c>
      <c r="AB28" s="10">
        <v>36</v>
      </c>
      <c r="AC28" s="10">
        <v>20</v>
      </c>
      <c r="AE28" s="10">
        <v>33</v>
      </c>
      <c r="AF28" s="10">
        <v>10</v>
      </c>
      <c r="AH28" s="10">
        <v>58</v>
      </c>
      <c r="AI28" s="10">
        <v>57</v>
      </c>
      <c r="AJ28" s="3"/>
      <c r="AK28" s="3"/>
      <c r="AL28" s="19" t="s">
        <v>54</v>
      </c>
      <c r="AM28" s="24">
        <f>AF48</f>
        <v>18.8</v>
      </c>
      <c r="AN28" s="24">
        <f>AE48</f>
        <v>33.1</v>
      </c>
      <c r="AO28" s="28"/>
      <c r="AP28" s="3"/>
      <c r="AQ28" s="3"/>
    </row>
    <row r="29" spans="1:53" s="10" customFormat="1" x14ac:dyDescent="0.25">
      <c r="A29" s="10">
        <v>34</v>
      </c>
      <c r="B29" s="10">
        <v>22</v>
      </c>
      <c r="D29" s="10">
        <v>36</v>
      </c>
      <c r="E29" s="10">
        <v>54</v>
      </c>
      <c r="G29" s="10">
        <v>32</v>
      </c>
      <c r="H29" s="10">
        <v>21</v>
      </c>
      <c r="J29" s="10">
        <v>25</v>
      </c>
      <c r="K29" s="10">
        <v>23</v>
      </c>
      <c r="M29" s="10">
        <v>33</v>
      </c>
      <c r="N29" s="10">
        <v>9</v>
      </c>
      <c r="P29" s="10">
        <v>33</v>
      </c>
      <c r="Q29" s="10">
        <v>24</v>
      </c>
      <c r="S29" s="10">
        <v>44</v>
      </c>
      <c r="T29" s="10">
        <v>44</v>
      </c>
      <c r="V29" s="10">
        <v>34</v>
      </c>
      <c r="W29" s="10">
        <v>52</v>
      </c>
      <c r="Y29" s="10">
        <v>42</v>
      </c>
      <c r="Z29" s="10">
        <v>53</v>
      </c>
      <c r="AB29" s="10">
        <v>40</v>
      </c>
      <c r="AC29" s="10">
        <v>18</v>
      </c>
      <c r="AE29" s="10">
        <v>35</v>
      </c>
      <c r="AF29" s="10">
        <v>20</v>
      </c>
      <c r="AH29" s="10">
        <v>26</v>
      </c>
      <c r="AI29" s="10">
        <v>11</v>
      </c>
      <c r="AJ29" s="3"/>
      <c r="AK29" s="3"/>
      <c r="AL29" s="19" t="s">
        <v>54</v>
      </c>
      <c r="AM29" s="24">
        <f>AI48</f>
        <v>29.5</v>
      </c>
      <c r="AN29" s="24">
        <f>AH48</f>
        <v>36.450000000000003</v>
      </c>
      <c r="AO29" s="28"/>
      <c r="AP29" s="3"/>
      <c r="AQ29" s="3"/>
    </row>
    <row r="30" spans="1:53" s="10" customFormat="1" x14ac:dyDescent="0.25">
      <c r="A30" s="10">
        <v>37</v>
      </c>
      <c r="B30" s="10">
        <v>41</v>
      </c>
      <c r="D30" s="10">
        <v>38</v>
      </c>
      <c r="E30" s="10">
        <v>27</v>
      </c>
      <c r="G30" s="10">
        <v>31</v>
      </c>
      <c r="H30" s="10">
        <v>22</v>
      </c>
      <c r="J30" s="10">
        <v>29</v>
      </c>
      <c r="K30" s="10">
        <v>22</v>
      </c>
      <c r="M30" s="10">
        <v>30</v>
      </c>
      <c r="N30" s="10">
        <v>24</v>
      </c>
      <c r="P30" s="10">
        <v>44</v>
      </c>
      <c r="Q30" s="10">
        <v>33</v>
      </c>
      <c r="S30" s="10">
        <v>23</v>
      </c>
      <c r="T30" s="10">
        <v>27</v>
      </c>
      <c r="V30" s="10">
        <v>42</v>
      </c>
      <c r="W30" s="10">
        <v>39</v>
      </c>
      <c r="Y30" s="10">
        <v>37</v>
      </c>
      <c r="Z30" s="10">
        <v>38</v>
      </c>
      <c r="AB30" s="10">
        <v>40</v>
      </c>
      <c r="AC30" s="10">
        <v>42</v>
      </c>
      <c r="AE30" s="10">
        <v>35</v>
      </c>
      <c r="AF30" s="10">
        <v>37</v>
      </c>
      <c r="AH30" s="10">
        <v>10</v>
      </c>
      <c r="AI30" s="10">
        <v>5</v>
      </c>
      <c r="AJ30" s="3"/>
      <c r="AK30" s="3"/>
      <c r="AL30" s="19" t="s">
        <v>55</v>
      </c>
      <c r="AM30" s="24">
        <f>B73</f>
        <v>13.45</v>
      </c>
      <c r="AN30" s="24">
        <f>A73</f>
        <v>24.6</v>
      </c>
      <c r="AO30" s="28"/>
      <c r="AP30" s="3"/>
      <c r="AQ30" s="3"/>
    </row>
    <row r="31" spans="1:53" s="10" customFormat="1" x14ac:dyDescent="0.25">
      <c r="A31" s="10">
        <v>34</v>
      </c>
      <c r="B31" s="10">
        <v>25</v>
      </c>
      <c r="D31" s="10">
        <v>40</v>
      </c>
      <c r="E31" s="10">
        <v>32</v>
      </c>
      <c r="G31" s="10">
        <v>35</v>
      </c>
      <c r="H31" s="10">
        <v>33</v>
      </c>
      <c r="J31" s="10">
        <v>28</v>
      </c>
      <c r="K31" s="10">
        <v>14</v>
      </c>
      <c r="M31" s="10">
        <v>37</v>
      </c>
      <c r="N31" s="10">
        <v>48</v>
      </c>
      <c r="P31" s="10">
        <v>36</v>
      </c>
      <c r="Q31" s="10">
        <v>19</v>
      </c>
      <c r="S31" s="10">
        <v>27</v>
      </c>
      <c r="T31" s="10">
        <v>29</v>
      </c>
      <c r="V31" s="10">
        <v>24</v>
      </c>
      <c r="W31" s="10">
        <v>25</v>
      </c>
      <c r="Y31" s="10">
        <v>41</v>
      </c>
      <c r="Z31" s="10">
        <v>27</v>
      </c>
      <c r="AB31" s="10">
        <v>60</v>
      </c>
      <c r="AC31" s="10">
        <v>42</v>
      </c>
      <c r="AE31" s="10">
        <v>33</v>
      </c>
      <c r="AF31" s="10">
        <v>13</v>
      </c>
      <c r="AH31" s="10">
        <v>47</v>
      </c>
      <c r="AI31" s="10">
        <v>30</v>
      </c>
      <c r="AJ31" s="3"/>
      <c r="AK31" s="3"/>
      <c r="AL31" s="19" t="s">
        <v>55</v>
      </c>
      <c r="AM31" s="24">
        <f>E73</f>
        <v>12.7</v>
      </c>
      <c r="AN31" s="24">
        <f>D73</f>
        <v>25.35</v>
      </c>
      <c r="AO31" s="28"/>
      <c r="AP31" s="3"/>
      <c r="AQ31" s="3"/>
    </row>
    <row r="32" spans="1:53" s="10" customFormat="1" x14ac:dyDescent="0.25">
      <c r="A32" s="10">
        <v>20</v>
      </c>
      <c r="B32" s="10">
        <v>24</v>
      </c>
      <c r="D32" s="10">
        <v>36</v>
      </c>
      <c r="E32" s="10">
        <v>24</v>
      </c>
      <c r="G32" s="10">
        <v>26</v>
      </c>
      <c r="H32" s="10">
        <v>21</v>
      </c>
      <c r="J32" s="10">
        <v>24</v>
      </c>
      <c r="K32" s="10">
        <v>30</v>
      </c>
      <c r="M32" s="10">
        <v>39</v>
      </c>
      <c r="N32" s="10">
        <v>21</v>
      </c>
      <c r="P32" s="10">
        <v>34</v>
      </c>
      <c r="Q32" s="10">
        <v>43</v>
      </c>
      <c r="S32" s="10">
        <v>42</v>
      </c>
      <c r="T32" s="10">
        <v>59</v>
      </c>
      <c r="V32" s="10">
        <v>2</v>
      </c>
      <c r="W32" s="10">
        <v>37</v>
      </c>
      <c r="Y32" s="10">
        <v>37</v>
      </c>
      <c r="Z32" s="10">
        <v>23</v>
      </c>
      <c r="AB32" s="10">
        <v>47</v>
      </c>
      <c r="AC32" s="10">
        <v>22</v>
      </c>
      <c r="AE32" s="10">
        <v>39</v>
      </c>
      <c r="AF32" s="10">
        <v>17</v>
      </c>
      <c r="AH32" s="10">
        <v>27</v>
      </c>
      <c r="AI32" s="10">
        <v>7</v>
      </c>
      <c r="AJ32" s="3"/>
      <c r="AK32" s="3"/>
      <c r="AL32" s="19" t="s">
        <v>55</v>
      </c>
      <c r="AM32" s="24">
        <f>H73</f>
        <v>14.45</v>
      </c>
      <c r="AN32" s="24">
        <f>G73</f>
        <v>27.25</v>
      </c>
      <c r="AO32" s="28"/>
      <c r="AP32" s="3"/>
      <c r="AQ32" s="3"/>
    </row>
    <row r="33" spans="1:53" s="10" customFormat="1" x14ac:dyDescent="0.25">
      <c r="A33" s="10">
        <v>49</v>
      </c>
      <c r="B33" s="10">
        <v>38</v>
      </c>
      <c r="D33" s="10">
        <v>31</v>
      </c>
      <c r="E33" s="10">
        <v>26</v>
      </c>
      <c r="G33" s="10">
        <v>44</v>
      </c>
      <c r="H33" s="10">
        <v>72</v>
      </c>
      <c r="J33" s="10">
        <v>47</v>
      </c>
      <c r="K33" s="10">
        <v>28</v>
      </c>
      <c r="M33" s="10">
        <v>36</v>
      </c>
      <c r="N33" s="10">
        <v>42</v>
      </c>
      <c r="P33" s="10">
        <v>28</v>
      </c>
      <c r="Q33" s="10">
        <v>14</v>
      </c>
      <c r="S33" s="10">
        <v>50</v>
      </c>
      <c r="T33" s="10">
        <v>41</v>
      </c>
      <c r="V33" s="10">
        <v>42</v>
      </c>
      <c r="W33" s="10">
        <v>39</v>
      </c>
      <c r="Y33" s="10">
        <v>34</v>
      </c>
      <c r="Z33" s="10">
        <v>21</v>
      </c>
      <c r="AB33" s="10">
        <v>49</v>
      </c>
      <c r="AC33" s="10">
        <v>45</v>
      </c>
      <c r="AE33" s="10">
        <v>56</v>
      </c>
      <c r="AF33" s="10">
        <v>30</v>
      </c>
      <c r="AH33" s="10">
        <v>39</v>
      </c>
      <c r="AI33" s="10">
        <v>43</v>
      </c>
      <c r="AJ33" s="3"/>
      <c r="AK33" s="3"/>
      <c r="AL33" s="19" t="s">
        <v>55</v>
      </c>
      <c r="AM33" s="24">
        <f>K73</f>
        <v>11.95</v>
      </c>
      <c r="AN33" s="24">
        <f>J73</f>
        <v>28.35</v>
      </c>
      <c r="AO33" s="28"/>
      <c r="AP33" s="3"/>
      <c r="AQ33" s="3"/>
    </row>
    <row r="34" spans="1:53" s="10" customFormat="1" x14ac:dyDescent="0.25">
      <c r="A34" s="10">
        <v>49</v>
      </c>
      <c r="B34" s="10">
        <v>33</v>
      </c>
      <c r="D34" s="10">
        <v>32</v>
      </c>
      <c r="E34" s="10">
        <v>29</v>
      </c>
      <c r="G34" s="10">
        <v>42</v>
      </c>
      <c r="H34" s="10">
        <v>51</v>
      </c>
      <c r="J34" s="10">
        <v>32</v>
      </c>
      <c r="K34" s="10">
        <v>22</v>
      </c>
      <c r="M34" s="10">
        <v>28</v>
      </c>
      <c r="N34" s="10">
        <v>41</v>
      </c>
      <c r="P34" s="10">
        <v>40</v>
      </c>
      <c r="Q34" s="10">
        <v>46</v>
      </c>
      <c r="S34" s="10">
        <v>25</v>
      </c>
      <c r="T34" s="10">
        <v>32</v>
      </c>
      <c r="V34" s="10">
        <v>32</v>
      </c>
      <c r="W34" s="10">
        <v>29</v>
      </c>
      <c r="Y34" s="10">
        <v>34</v>
      </c>
      <c r="Z34" s="10">
        <v>18</v>
      </c>
      <c r="AB34" s="10">
        <v>25</v>
      </c>
      <c r="AC34" s="10">
        <v>10</v>
      </c>
      <c r="AE34" s="10">
        <v>39</v>
      </c>
      <c r="AF34" s="10">
        <v>33</v>
      </c>
      <c r="AH34" s="10">
        <v>29</v>
      </c>
      <c r="AI34" s="10">
        <v>16</v>
      </c>
      <c r="AJ34" s="3"/>
      <c r="AK34" s="3"/>
      <c r="AL34" s="19" t="s">
        <v>55</v>
      </c>
      <c r="AM34" s="24">
        <f>N73</f>
        <v>10.35</v>
      </c>
      <c r="AN34" s="24">
        <f>M73</f>
        <v>26</v>
      </c>
      <c r="AO34" s="28"/>
      <c r="AP34" s="3"/>
      <c r="AQ34" s="3"/>
    </row>
    <row r="35" spans="1:53" s="10" customFormat="1" x14ac:dyDescent="0.25">
      <c r="A35" s="10">
        <v>28</v>
      </c>
      <c r="B35" s="10">
        <v>44</v>
      </c>
      <c r="D35" s="10">
        <v>53</v>
      </c>
      <c r="E35" s="10">
        <v>64</v>
      </c>
      <c r="G35" s="10">
        <v>23</v>
      </c>
      <c r="H35" s="10">
        <v>19</v>
      </c>
      <c r="J35" s="10">
        <v>26</v>
      </c>
      <c r="K35" s="10">
        <v>11</v>
      </c>
      <c r="M35" s="10">
        <v>39</v>
      </c>
      <c r="N35" s="10">
        <v>33</v>
      </c>
      <c r="P35" s="10">
        <v>32</v>
      </c>
      <c r="Q35" s="10">
        <v>13</v>
      </c>
      <c r="S35" s="10">
        <v>24</v>
      </c>
      <c r="T35" s="10">
        <v>41</v>
      </c>
      <c r="V35" s="10">
        <v>19</v>
      </c>
      <c r="W35" s="10">
        <v>9</v>
      </c>
      <c r="Y35" s="10">
        <v>24</v>
      </c>
      <c r="Z35" s="10">
        <v>14</v>
      </c>
      <c r="AB35" s="10">
        <v>34</v>
      </c>
      <c r="AC35" s="10">
        <v>13</v>
      </c>
      <c r="AE35" s="10">
        <v>32</v>
      </c>
      <c r="AF35" s="10">
        <v>22</v>
      </c>
      <c r="AH35" s="10">
        <v>40</v>
      </c>
      <c r="AI35" s="10">
        <v>15</v>
      </c>
      <c r="AJ35" s="3"/>
      <c r="AK35" s="3"/>
      <c r="AL35" s="19" t="s">
        <v>55</v>
      </c>
      <c r="AM35" s="24">
        <f>Q73</f>
        <v>11.352941176470589</v>
      </c>
      <c r="AN35" s="24">
        <f>P73</f>
        <v>24.9</v>
      </c>
      <c r="AO35" s="28"/>
      <c r="AP35" s="3"/>
      <c r="AQ35" s="3"/>
    </row>
    <row r="36" spans="1:53" s="10" customFormat="1" x14ac:dyDescent="0.25">
      <c r="A36" s="10">
        <v>32</v>
      </c>
      <c r="B36" s="10">
        <v>36</v>
      </c>
      <c r="D36" s="10">
        <v>30</v>
      </c>
      <c r="E36" s="10">
        <v>21</v>
      </c>
      <c r="G36" s="10">
        <v>36</v>
      </c>
      <c r="H36" s="10">
        <v>43</v>
      </c>
      <c r="J36" s="10">
        <v>34</v>
      </c>
      <c r="K36" s="10">
        <v>28</v>
      </c>
      <c r="M36" s="10">
        <v>24</v>
      </c>
      <c r="N36" s="10">
        <v>13</v>
      </c>
      <c r="P36" s="10">
        <v>17</v>
      </c>
      <c r="Q36" s="10">
        <v>22</v>
      </c>
      <c r="S36" s="10">
        <v>31</v>
      </c>
      <c r="T36" s="10">
        <v>26</v>
      </c>
      <c r="V36" s="10">
        <v>39</v>
      </c>
      <c r="W36" s="10">
        <v>42</v>
      </c>
      <c r="Y36" s="10">
        <v>31</v>
      </c>
      <c r="Z36" s="10">
        <v>20</v>
      </c>
      <c r="AB36" s="10">
        <v>32</v>
      </c>
      <c r="AC36" s="10">
        <v>23</v>
      </c>
      <c r="AE36" s="10">
        <v>40</v>
      </c>
      <c r="AF36" s="10">
        <v>30</v>
      </c>
      <c r="AH36" s="10">
        <v>32</v>
      </c>
      <c r="AI36" s="10">
        <v>18</v>
      </c>
      <c r="AJ36" s="3"/>
      <c r="AK36" s="3"/>
      <c r="AL36" s="19" t="s">
        <v>56</v>
      </c>
      <c r="AM36" s="24">
        <f>B98</f>
        <v>15.052631578947368</v>
      </c>
      <c r="AN36" s="24">
        <f>A98</f>
        <v>23.315789473684209</v>
      </c>
      <c r="AO36" s="28"/>
      <c r="AP36" s="3"/>
      <c r="AQ36" s="3"/>
    </row>
    <row r="37" spans="1:53" s="10" customFormat="1" x14ac:dyDescent="0.25">
      <c r="A37" s="10">
        <v>34</v>
      </c>
      <c r="B37" s="10">
        <v>24</v>
      </c>
      <c r="D37" s="10">
        <v>56</v>
      </c>
      <c r="E37" s="10">
        <v>72</v>
      </c>
      <c r="G37" s="10">
        <v>36</v>
      </c>
      <c r="H37" s="10">
        <v>19</v>
      </c>
      <c r="J37" s="10">
        <v>31</v>
      </c>
      <c r="K37" s="10">
        <v>13</v>
      </c>
      <c r="M37" s="10">
        <v>22</v>
      </c>
      <c r="N37" s="10">
        <v>12</v>
      </c>
      <c r="P37" s="10">
        <v>14</v>
      </c>
      <c r="Q37" s="10">
        <v>19</v>
      </c>
      <c r="S37" s="10">
        <v>29</v>
      </c>
      <c r="T37" s="10">
        <v>41</v>
      </c>
      <c r="V37" s="10">
        <v>39</v>
      </c>
      <c r="W37" s="10">
        <v>29</v>
      </c>
      <c r="Y37" s="10">
        <v>2</v>
      </c>
      <c r="Z37" s="10">
        <v>12</v>
      </c>
      <c r="AB37" s="10">
        <v>34</v>
      </c>
      <c r="AC37" s="10">
        <v>24</v>
      </c>
      <c r="AE37" s="10">
        <v>41</v>
      </c>
      <c r="AF37" s="10">
        <v>27</v>
      </c>
      <c r="AH37" s="10">
        <v>43</v>
      </c>
      <c r="AI37" s="10">
        <v>28</v>
      </c>
      <c r="AJ37" s="3"/>
      <c r="AK37" s="3"/>
      <c r="AL37" s="19" t="s">
        <v>56</v>
      </c>
      <c r="AM37" s="24">
        <f>E98</f>
        <v>18.2</v>
      </c>
      <c r="AN37" s="24">
        <f>D98</f>
        <v>27.5</v>
      </c>
      <c r="AO37" s="28"/>
      <c r="AP37" s="3"/>
      <c r="AQ37" s="3"/>
    </row>
    <row r="38" spans="1:53" s="10" customFormat="1" x14ac:dyDescent="0.25">
      <c r="A38" s="10">
        <v>35</v>
      </c>
      <c r="B38" s="10">
        <v>18</v>
      </c>
      <c r="D38" s="10">
        <v>33</v>
      </c>
      <c r="E38" s="10">
        <v>23</v>
      </c>
      <c r="G38" s="10">
        <v>37</v>
      </c>
      <c r="H38" s="10">
        <v>38</v>
      </c>
      <c r="J38" s="10">
        <v>32</v>
      </c>
      <c r="K38" s="10">
        <v>48</v>
      </c>
      <c r="M38" s="10">
        <v>23</v>
      </c>
      <c r="N38" s="10">
        <v>18</v>
      </c>
      <c r="P38" s="10">
        <v>44</v>
      </c>
      <c r="Q38" s="10">
        <v>18</v>
      </c>
      <c r="S38" s="10">
        <v>33</v>
      </c>
      <c r="T38" s="10">
        <v>33</v>
      </c>
      <c r="V38" s="10">
        <v>27</v>
      </c>
      <c r="W38" s="10">
        <v>9</v>
      </c>
      <c r="Y38" s="10">
        <v>29</v>
      </c>
      <c r="Z38" s="10">
        <v>38</v>
      </c>
      <c r="AB38" s="10">
        <v>31</v>
      </c>
      <c r="AC38" s="10">
        <v>36</v>
      </c>
      <c r="AE38" s="10">
        <v>22</v>
      </c>
      <c r="AF38" s="10">
        <v>5</v>
      </c>
      <c r="AH38" s="10">
        <v>42</v>
      </c>
      <c r="AI38" s="10">
        <v>37</v>
      </c>
      <c r="AJ38" s="3"/>
      <c r="AK38" s="3"/>
      <c r="AL38" s="19" t="s">
        <v>56</v>
      </c>
      <c r="AM38" s="24">
        <f>H98</f>
        <v>19.111111111111111</v>
      </c>
      <c r="AN38" s="24">
        <f>G98</f>
        <v>27.555555555555557</v>
      </c>
      <c r="AO38" s="28"/>
      <c r="AP38" s="3"/>
      <c r="AQ38" s="3"/>
    </row>
    <row r="39" spans="1:53" s="10" customFormat="1" x14ac:dyDescent="0.25">
      <c r="A39" s="10">
        <v>32</v>
      </c>
      <c r="B39" s="10">
        <v>45</v>
      </c>
      <c r="D39" s="10">
        <v>29</v>
      </c>
      <c r="E39" s="10">
        <v>31</v>
      </c>
      <c r="G39" s="10">
        <v>28</v>
      </c>
      <c r="H39" s="10">
        <v>39</v>
      </c>
      <c r="J39" s="10">
        <v>34</v>
      </c>
      <c r="K39" s="10">
        <v>31</v>
      </c>
      <c r="M39" s="10">
        <v>26</v>
      </c>
      <c r="N39" s="10">
        <v>30</v>
      </c>
      <c r="P39" s="10">
        <v>27</v>
      </c>
      <c r="Q39" s="10">
        <v>21</v>
      </c>
      <c r="S39" s="10">
        <v>27</v>
      </c>
      <c r="T39" s="10">
        <v>42</v>
      </c>
      <c r="V39" s="10">
        <v>12</v>
      </c>
      <c r="W39" s="10">
        <v>21</v>
      </c>
      <c r="Y39" s="10">
        <v>28</v>
      </c>
      <c r="Z39" s="10">
        <v>36</v>
      </c>
      <c r="AB39" s="10">
        <v>32</v>
      </c>
      <c r="AC39" s="10">
        <v>20</v>
      </c>
      <c r="AE39" s="10">
        <v>38</v>
      </c>
      <c r="AF39" s="10">
        <v>10</v>
      </c>
      <c r="AH39" s="10">
        <v>41</v>
      </c>
      <c r="AI39" s="10">
        <v>41</v>
      </c>
      <c r="AJ39" s="3"/>
      <c r="AK39" s="3"/>
      <c r="AL39" s="19" t="s">
        <v>56</v>
      </c>
      <c r="AM39" s="24">
        <f>K98</f>
        <v>12.85</v>
      </c>
      <c r="AN39" s="24">
        <f>J98</f>
        <v>25.4</v>
      </c>
      <c r="AO39" s="28"/>
      <c r="AP39" s="3"/>
      <c r="AQ39" s="3"/>
    </row>
    <row r="40" spans="1:53" s="10" customFormat="1" x14ac:dyDescent="0.25">
      <c r="A40" s="10">
        <v>28</v>
      </c>
      <c r="B40" s="10">
        <v>38</v>
      </c>
      <c r="D40" s="10">
        <v>22</v>
      </c>
      <c r="E40" s="10">
        <v>9</v>
      </c>
      <c r="G40" s="10">
        <v>47</v>
      </c>
      <c r="H40" s="10">
        <v>23</v>
      </c>
      <c r="J40" s="10">
        <v>32</v>
      </c>
      <c r="K40" s="10">
        <v>23</v>
      </c>
      <c r="M40" s="10">
        <v>25</v>
      </c>
      <c r="N40" s="10">
        <v>19</v>
      </c>
      <c r="P40" s="10">
        <v>33</v>
      </c>
      <c r="Q40" s="10">
        <v>19</v>
      </c>
      <c r="S40" s="10">
        <v>24</v>
      </c>
      <c r="T40" s="10">
        <v>19</v>
      </c>
      <c r="V40" s="10">
        <v>10</v>
      </c>
      <c r="W40" s="10">
        <v>24</v>
      </c>
      <c r="Y40" s="10">
        <v>44</v>
      </c>
      <c r="Z40" s="10">
        <v>62</v>
      </c>
      <c r="AB40" s="10">
        <v>40</v>
      </c>
      <c r="AC40" s="10">
        <v>36</v>
      </c>
      <c r="AE40" s="10">
        <v>46</v>
      </c>
      <c r="AF40" s="10">
        <v>10</v>
      </c>
      <c r="AH40" s="10">
        <v>49</v>
      </c>
      <c r="AI40" s="10">
        <v>39</v>
      </c>
      <c r="AK40" s="3"/>
      <c r="AL40" s="19" t="s">
        <v>56</v>
      </c>
      <c r="AM40" s="24">
        <f>N98</f>
        <v>14.3</v>
      </c>
      <c r="AN40" s="24">
        <f>M98</f>
        <v>32.700000000000003</v>
      </c>
      <c r="AO40" s="28"/>
      <c r="AP40" s="3"/>
      <c r="AQ40" s="3"/>
    </row>
    <row r="41" spans="1:53" s="10" customFormat="1" x14ac:dyDescent="0.25">
      <c r="A41" s="10">
        <v>39</v>
      </c>
      <c r="B41" s="10">
        <v>41</v>
      </c>
      <c r="D41" s="10">
        <v>32</v>
      </c>
      <c r="E41" s="10">
        <v>41</v>
      </c>
      <c r="G41" s="10">
        <v>37</v>
      </c>
      <c r="H41" s="10">
        <v>11</v>
      </c>
      <c r="J41" s="10">
        <v>32</v>
      </c>
      <c r="K41" s="10">
        <v>42</v>
      </c>
      <c r="M41" s="10">
        <v>28</v>
      </c>
      <c r="N41" s="10">
        <v>16</v>
      </c>
      <c r="P41" s="10">
        <v>13</v>
      </c>
      <c r="Q41" s="10">
        <v>15</v>
      </c>
      <c r="S41" s="10">
        <v>19</v>
      </c>
      <c r="T41" s="10">
        <v>39</v>
      </c>
      <c r="V41" s="10">
        <v>41</v>
      </c>
      <c r="W41" s="10">
        <v>22</v>
      </c>
      <c r="Y41" s="10">
        <v>38</v>
      </c>
      <c r="Z41" s="10">
        <v>27</v>
      </c>
      <c r="AB41" s="10">
        <v>17</v>
      </c>
      <c r="AC41" s="10">
        <v>7</v>
      </c>
      <c r="AE41" s="10">
        <v>12</v>
      </c>
      <c r="AF41" s="10">
        <v>5</v>
      </c>
      <c r="AH41" s="10">
        <v>12</v>
      </c>
      <c r="AI41" s="10">
        <v>5</v>
      </c>
      <c r="AL41" s="19" t="s">
        <v>56</v>
      </c>
      <c r="AM41" s="24">
        <f>Q98</f>
        <v>11.45</v>
      </c>
      <c r="AN41" s="24">
        <f>P98</f>
        <v>22.25</v>
      </c>
      <c r="AO41" s="28"/>
    </row>
    <row r="42" spans="1:53" s="10" customFormat="1" x14ac:dyDescent="0.25">
      <c r="A42" s="10">
        <v>25</v>
      </c>
      <c r="B42" s="10">
        <v>27</v>
      </c>
      <c r="D42" s="10">
        <v>39</v>
      </c>
      <c r="E42" s="10">
        <v>34</v>
      </c>
      <c r="G42" s="10">
        <v>33</v>
      </c>
      <c r="H42" s="10">
        <v>66</v>
      </c>
      <c r="J42" s="10">
        <v>28</v>
      </c>
      <c r="K42" s="10">
        <v>24</v>
      </c>
      <c r="M42" s="10">
        <v>32</v>
      </c>
      <c r="N42" s="10">
        <v>33</v>
      </c>
      <c r="P42" s="10">
        <v>26</v>
      </c>
      <c r="Q42" s="10">
        <v>21</v>
      </c>
      <c r="S42" s="10">
        <v>31</v>
      </c>
      <c r="T42" s="10">
        <v>43</v>
      </c>
      <c r="V42" s="10">
        <v>31</v>
      </c>
      <c r="W42" s="10">
        <v>42</v>
      </c>
      <c r="Y42" s="10">
        <v>42</v>
      </c>
      <c r="Z42" s="10">
        <v>44</v>
      </c>
      <c r="AB42" s="10">
        <v>32</v>
      </c>
      <c r="AC42" s="10">
        <v>25</v>
      </c>
      <c r="AE42" s="10">
        <v>30</v>
      </c>
      <c r="AF42" s="10">
        <v>23</v>
      </c>
      <c r="AH42" s="10">
        <v>36</v>
      </c>
      <c r="AI42" s="10">
        <v>35</v>
      </c>
      <c r="AO42" s="3"/>
    </row>
    <row r="43" spans="1:53" s="10" customFormat="1" x14ac:dyDescent="0.25">
      <c r="A43" s="10">
        <v>27</v>
      </c>
      <c r="B43" s="10">
        <v>29</v>
      </c>
      <c r="D43" s="10">
        <v>32</v>
      </c>
      <c r="E43" s="10">
        <v>38</v>
      </c>
      <c r="G43" s="10">
        <v>29</v>
      </c>
      <c r="H43" s="10">
        <v>18</v>
      </c>
      <c r="J43" s="10">
        <v>27</v>
      </c>
      <c r="K43" s="10">
        <v>23</v>
      </c>
      <c r="M43" s="10">
        <v>17</v>
      </c>
      <c r="N43" s="10">
        <v>29</v>
      </c>
      <c r="P43" s="10">
        <v>17</v>
      </c>
      <c r="Q43" s="10">
        <v>5</v>
      </c>
      <c r="S43" s="10">
        <v>28</v>
      </c>
      <c r="T43" s="10">
        <v>54</v>
      </c>
      <c r="V43" s="10">
        <v>32</v>
      </c>
      <c r="W43" s="10">
        <v>40</v>
      </c>
      <c r="Y43" s="10">
        <v>35</v>
      </c>
      <c r="Z43" s="10">
        <v>47</v>
      </c>
      <c r="AB43" s="10">
        <v>43</v>
      </c>
      <c r="AC43" s="10">
        <v>56</v>
      </c>
      <c r="AE43" s="10">
        <v>10</v>
      </c>
      <c r="AF43" s="10">
        <v>5</v>
      </c>
      <c r="AH43" s="10">
        <v>37</v>
      </c>
      <c r="AI43" s="10">
        <v>40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3" s="10" customFormat="1" x14ac:dyDescent="0.25">
      <c r="A44" s="10">
        <v>28</v>
      </c>
      <c r="B44" s="10">
        <v>22</v>
      </c>
      <c r="D44" s="10">
        <v>31</v>
      </c>
      <c r="E44" s="10">
        <v>36</v>
      </c>
      <c r="G44" s="10">
        <v>31</v>
      </c>
      <c r="H44" s="10">
        <v>39</v>
      </c>
      <c r="J44" s="10">
        <v>18</v>
      </c>
      <c r="K44" s="10">
        <v>29</v>
      </c>
      <c r="M44" s="10">
        <v>19</v>
      </c>
      <c r="N44" s="10">
        <v>36</v>
      </c>
      <c r="P44" s="10">
        <v>19</v>
      </c>
      <c r="Q44" s="10">
        <v>17</v>
      </c>
      <c r="S44" s="10">
        <v>38</v>
      </c>
      <c r="T44" s="10">
        <v>44</v>
      </c>
      <c r="V44" s="10">
        <v>29</v>
      </c>
      <c r="W44" s="10">
        <v>23</v>
      </c>
      <c r="Y44" s="10">
        <v>18</v>
      </c>
      <c r="Z44" s="10">
        <v>12</v>
      </c>
      <c r="AB44" s="10">
        <v>40</v>
      </c>
      <c r="AC44" s="10">
        <v>43</v>
      </c>
      <c r="AE44" s="10">
        <v>20</v>
      </c>
      <c r="AF44" s="10">
        <v>23</v>
      </c>
      <c r="AH44" s="10">
        <v>39</v>
      </c>
      <c r="AI44" s="10">
        <v>42</v>
      </c>
      <c r="AK44" s="3"/>
      <c r="AL44" s="42"/>
      <c r="AM44" s="57"/>
      <c r="AN44" s="57"/>
      <c r="AO44" s="32"/>
      <c r="AP44" s="32"/>
      <c r="AQ44" s="57"/>
      <c r="AR44" s="57"/>
      <c r="AS44" s="32"/>
      <c r="AT44" s="32"/>
      <c r="AU44" s="32"/>
      <c r="AV44" s="32"/>
      <c r="AW44" s="3"/>
      <c r="AX44" s="3"/>
    </row>
    <row r="45" spans="1:53" s="10" customFormat="1" x14ac:dyDescent="0.25">
      <c r="A45" s="10">
        <v>17</v>
      </c>
      <c r="B45" s="10">
        <v>9</v>
      </c>
      <c r="D45" s="10">
        <v>32</v>
      </c>
      <c r="E45" s="10">
        <v>44</v>
      </c>
      <c r="G45" s="10">
        <v>36</v>
      </c>
      <c r="H45" s="10">
        <v>30</v>
      </c>
      <c r="J45" s="10">
        <v>6</v>
      </c>
      <c r="K45" s="10">
        <v>3</v>
      </c>
      <c r="M45" s="10">
        <v>24</v>
      </c>
      <c r="N45" s="10">
        <v>27</v>
      </c>
      <c r="P45" s="10">
        <v>24</v>
      </c>
      <c r="Q45" s="10">
        <v>21</v>
      </c>
      <c r="S45" s="10">
        <v>34</v>
      </c>
      <c r="T45" s="10">
        <v>37</v>
      </c>
      <c r="V45" s="10">
        <v>30</v>
      </c>
      <c r="W45" s="10">
        <v>41</v>
      </c>
      <c r="Y45" s="10">
        <v>24</v>
      </c>
      <c r="Z45" s="10">
        <v>36</v>
      </c>
      <c r="AB45" s="10">
        <v>42</v>
      </c>
      <c r="AC45" s="10">
        <v>33</v>
      </c>
      <c r="AE45" s="10">
        <v>28</v>
      </c>
      <c r="AF45" s="10">
        <v>12</v>
      </c>
      <c r="AH45" s="10">
        <v>27</v>
      </c>
      <c r="AI45" s="10">
        <v>40</v>
      </c>
      <c r="AK45" s="3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3"/>
      <c r="AX45" s="3"/>
    </row>
    <row r="46" spans="1:53" s="10" customFormat="1" x14ac:dyDescent="0.25">
      <c r="A46" s="10">
        <v>31</v>
      </c>
      <c r="B46" s="10">
        <v>29</v>
      </c>
      <c r="M46" s="10">
        <v>29</v>
      </c>
      <c r="N46" s="10">
        <v>10</v>
      </c>
      <c r="P46" s="10">
        <v>28</v>
      </c>
      <c r="Q46" s="10">
        <v>6</v>
      </c>
      <c r="S46" s="10">
        <v>29</v>
      </c>
      <c r="T46" s="10">
        <v>38</v>
      </c>
      <c r="V46" s="10">
        <v>33</v>
      </c>
      <c r="W46" s="10">
        <v>31</v>
      </c>
      <c r="Y46" s="10">
        <v>23</v>
      </c>
      <c r="Z46" s="10">
        <v>34</v>
      </c>
      <c r="AB46" s="10">
        <v>47</v>
      </c>
      <c r="AC46" s="10">
        <v>51</v>
      </c>
      <c r="AE46" s="10">
        <v>41</v>
      </c>
      <c r="AF46" s="10">
        <v>30</v>
      </c>
      <c r="AH46" s="10">
        <v>42</v>
      </c>
      <c r="AI46" s="10">
        <v>38</v>
      </c>
      <c r="AK46" s="3"/>
      <c r="AL46" s="39"/>
      <c r="AM46" s="16"/>
      <c r="AN46" s="16"/>
      <c r="AO46" s="16"/>
      <c r="AP46" s="43"/>
      <c r="AQ46" s="32"/>
      <c r="AR46" s="32"/>
      <c r="AS46" s="32"/>
      <c r="AT46" s="32"/>
      <c r="AU46" s="32"/>
      <c r="AV46" s="32"/>
      <c r="AW46" s="3"/>
      <c r="AX46" s="3"/>
    </row>
    <row r="47" spans="1:53" s="10" customFormat="1" x14ac:dyDescent="0.25">
      <c r="A47" s="10">
        <v>26</v>
      </c>
      <c r="B47" s="10">
        <v>13</v>
      </c>
      <c r="M47" s="10">
        <v>22</v>
      </c>
      <c r="N47" s="10">
        <v>61</v>
      </c>
      <c r="S47" s="10">
        <v>17</v>
      </c>
      <c r="T47" s="10">
        <v>12</v>
      </c>
      <c r="AB47" s="10">
        <v>31</v>
      </c>
      <c r="AC47" s="10">
        <v>45</v>
      </c>
      <c r="AE47" s="10">
        <v>32</v>
      </c>
      <c r="AF47" s="10">
        <v>14</v>
      </c>
      <c r="AH47" s="10">
        <v>53</v>
      </c>
      <c r="AI47" s="10">
        <v>43</v>
      </c>
      <c r="AK47" s="3"/>
      <c r="AL47" s="39"/>
      <c r="AM47" s="43"/>
      <c r="AN47" s="43"/>
      <c r="AO47" s="43"/>
      <c r="AP47" s="43"/>
      <c r="AQ47" s="32"/>
      <c r="AR47" s="32"/>
      <c r="AS47" s="32"/>
      <c r="AT47" s="32"/>
      <c r="AU47" s="55"/>
      <c r="AV47" s="55"/>
      <c r="AW47" s="3"/>
      <c r="AX47" s="3"/>
    </row>
    <row r="48" spans="1:53" x14ac:dyDescent="0.25">
      <c r="A48" s="36">
        <f>AVERAGE(A28:A47)</f>
        <v>31.65</v>
      </c>
      <c r="B48" s="37">
        <f>AVERAGE(B28:B47)</f>
        <v>28.95</v>
      </c>
      <c r="D48" s="36">
        <f>AVERAGE(D28:D47)</f>
        <v>34.722222222222221</v>
      </c>
      <c r="E48" s="37">
        <f>AVERAGE(E28:E47)</f>
        <v>34.222222222222221</v>
      </c>
      <c r="G48" s="36">
        <f>AVERAGE(G28:G47)</f>
        <v>34.833333333333336</v>
      </c>
      <c r="H48" s="37">
        <f>AVERAGE(H28:H47)</f>
        <v>34.055555555555557</v>
      </c>
      <c r="J48" s="36">
        <f>AVERAGE(J28:J47)</f>
        <v>29.888888888888889</v>
      </c>
      <c r="K48" s="37">
        <f>AVERAGE(K28:K47)</f>
        <v>25.666666666666668</v>
      </c>
      <c r="M48" s="36">
        <f>AVERAGE(M28:M47)</f>
        <v>28.4</v>
      </c>
      <c r="N48" s="37">
        <f>AVERAGE(N28:N47)</f>
        <v>28.7</v>
      </c>
      <c r="P48" s="36">
        <f>AVERAGE(P28:P47)</f>
        <v>27.473684210526315</v>
      </c>
      <c r="Q48" s="37">
        <f>AVERAGE(Q28:Q47)</f>
        <v>21.578947368421051</v>
      </c>
      <c r="S48" s="36">
        <f>AVERAGE(S28:S47)</f>
        <v>30.7</v>
      </c>
      <c r="T48" s="37">
        <f>AVERAGE(T28:T47)</f>
        <v>36.700000000000003</v>
      </c>
      <c r="V48" s="36">
        <f>AVERAGE(V28:V47)</f>
        <v>28.736842105263158</v>
      </c>
      <c r="W48" s="37">
        <f>AVERAGE(W28:W47)</f>
        <v>31.210526315789473</v>
      </c>
      <c r="Y48" s="36">
        <f>AVERAGE(Y28:Y47)</f>
        <v>31.526315789473685</v>
      </c>
      <c r="Z48" s="37">
        <f>AVERAGE(Z28:Z47)</f>
        <v>30.315789473684209</v>
      </c>
      <c r="AB48" s="36">
        <f>AVERAGE(AB28:AB47)</f>
        <v>37.6</v>
      </c>
      <c r="AC48" s="37">
        <f>AVERAGE(AC28:AC47)</f>
        <v>30.55</v>
      </c>
      <c r="AE48" s="36">
        <f>AVERAGE(AE28:AE47)</f>
        <v>33.1</v>
      </c>
      <c r="AF48" s="37">
        <f>AVERAGE(AF28:AF47)</f>
        <v>18.8</v>
      </c>
      <c r="AH48" s="36">
        <f>AVERAGE(AH28:AH47)</f>
        <v>36.450000000000003</v>
      </c>
      <c r="AI48" s="37">
        <f>AVERAGE(AI28:AI47)</f>
        <v>29.5</v>
      </c>
      <c r="AJ48" s="3" t="s">
        <v>58</v>
      </c>
      <c r="AK48" s="3"/>
      <c r="AL48" s="3"/>
      <c r="AM48" s="43"/>
      <c r="AN48" s="43"/>
      <c r="AO48" s="43"/>
      <c r="AP48" s="43"/>
      <c r="AQ48" s="44"/>
      <c r="AR48" s="44"/>
      <c r="AS48" s="25"/>
      <c r="AT48" s="25"/>
      <c r="AU48" s="45"/>
      <c r="AV48" s="45"/>
      <c r="AW48" s="3"/>
      <c r="AX48" s="3"/>
      <c r="AY48" s="10"/>
      <c r="AZ48" s="10"/>
      <c r="BA48" s="10"/>
    </row>
    <row r="49" spans="1:53" x14ac:dyDescent="0.25">
      <c r="A49" s="9"/>
      <c r="B49" s="9"/>
      <c r="D49" s="9"/>
      <c r="E49" s="9"/>
      <c r="G49" s="9"/>
      <c r="H49" s="9"/>
      <c r="J49" s="9"/>
      <c r="K49" s="9"/>
      <c r="M49" s="9"/>
      <c r="N49" s="9"/>
      <c r="P49" s="9"/>
      <c r="Q49" s="9"/>
      <c r="U49" s="3"/>
      <c r="V49" s="14"/>
      <c r="W49" s="14"/>
      <c r="X49" s="14"/>
      <c r="Y49" s="14"/>
      <c r="Z49" s="3"/>
      <c r="AK49" s="3"/>
      <c r="AL49" s="3"/>
      <c r="AM49" s="44"/>
      <c r="AN49" s="44"/>
      <c r="AO49" s="44"/>
      <c r="AP49" s="43"/>
      <c r="AQ49" s="44"/>
      <c r="AR49" s="44"/>
      <c r="AS49" s="25"/>
      <c r="AT49" s="25"/>
      <c r="AU49" s="45"/>
      <c r="AV49" s="45"/>
      <c r="AW49" s="3"/>
      <c r="AX49" s="3"/>
      <c r="AY49" s="10"/>
      <c r="AZ49" s="10"/>
      <c r="BA49" s="10"/>
    </row>
    <row r="50" spans="1:53" x14ac:dyDescent="0.25">
      <c r="AK50" s="3"/>
      <c r="AL50" s="3"/>
      <c r="AM50" s="44"/>
      <c r="AN50" s="44"/>
      <c r="AO50" s="44"/>
      <c r="AP50" s="43"/>
      <c r="AQ50" s="44"/>
      <c r="AR50" s="44"/>
      <c r="AS50" s="25"/>
      <c r="AT50" s="25"/>
      <c r="AU50" s="45"/>
      <c r="AV50" s="45"/>
      <c r="AW50" s="3"/>
      <c r="AX50" s="3"/>
      <c r="AY50" s="10"/>
      <c r="AZ50" s="10"/>
      <c r="BA50" s="10"/>
    </row>
    <row r="51" spans="1:53" s="13" customFormat="1" x14ac:dyDescent="0.25">
      <c r="A51" s="13" t="s">
        <v>34</v>
      </c>
      <c r="D51" s="13" t="s">
        <v>35</v>
      </c>
      <c r="G51" s="13" t="s">
        <v>36</v>
      </c>
      <c r="J51" s="13" t="s">
        <v>37</v>
      </c>
      <c r="M51" s="13" t="s">
        <v>38</v>
      </c>
      <c r="P51" s="13" t="s">
        <v>39</v>
      </c>
      <c r="AA51" s="11"/>
      <c r="AK51" s="3"/>
      <c r="AL51" s="3"/>
      <c r="AM51" s="44"/>
      <c r="AN51" s="44"/>
      <c r="AO51" s="44"/>
      <c r="AP51" s="43"/>
      <c r="AQ51" s="44"/>
      <c r="AR51" s="44"/>
      <c r="AS51" s="25"/>
      <c r="AT51" s="25"/>
      <c r="AU51" s="45"/>
      <c r="AV51" s="45"/>
      <c r="AW51" s="3"/>
      <c r="AX51" s="3"/>
      <c r="AY51" s="10"/>
      <c r="AZ51" s="10"/>
      <c r="BA51" s="10"/>
    </row>
    <row r="52" spans="1:53" x14ac:dyDescent="0.25">
      <c r="A52" t="s">
        <v>62</v>
      </c>
      <c r="B52" t="s">
        <v>63</v>
      </c>
      <c r="D52" t="s">
        <v>62</v>
      </c>
      <c r="E52" t="s">
        <v>63</v>
      </c>
      <c r="G52" t="s">
        <v>62</v>
      </c>
      <c r="H52" t="s">
        <v>63</v>
      </c>
      <c r="J52" t="s">
        <v>62</v>
      </c>
      <c r="K52" t="s">
        <v>63</v>
      </c>
      <c r="M52" t="s">
        <v>62</v>
      </c>
      <c r="N52" t="s">
        <v>63</v>
      </c>
      <c r="P52" t="s">
        <v>62</v>
      </c>
      <c r="Q52" t="s">
        <v>63</v>
      </c>
      <c r="AK52" s="3"/>
      <c r="AL52" s="3"/>
      <c r="AM52" s="44"/>
      <c r="AN52" s="44"/>
      <c r="AO52" s="44"/>
      <c r="AP52" s="43"/>
      <c r="AQ52" s="44"/>
      <c r="AR52" s="44"/>
      <c r="AS52" s="25"/>
      <c r="AT52" s="25"/>
      <c r="AU52" s="45"/>
      <c r="AV52" s="45"/>
      <c r="AW52" s="3"/>
      <c r="AX52" s="3"/>
      <c r="AY52" s="10"/>
      <c r="AZ52" s="10"/>
      <c r="BA52" s="10"/>
    </row>
    <row r="53" spans="1:53" s="10" customFormat="1" x14ac:dyDescent="0.25">
      <c r="A53" s="10">
        <v>30</v>
      </c>
      <c r="B53" s="10">
        <v>20</v>
      </c>
      <c r="D53" s="10">
        <v>22</v>
      </c>
      <c r="E53" s="10">
        <v>9</v>
      </c>
      <c r="G53" s="10">
        <v>36</v>
      </c>
      <c r="H53" s="10">
        <v>23</v>
      </c>
      <c r="J53" s="10">
        <v>25</v>
      </c>
      <c r="K53" s="10">
        <v>7</v>
      </c>
      <c r="M53" s="10">
        <v>11</v>
      </c>
      <c r="N53" s="10">
        <v>5</v>
      </c>
      <c r="P53" s="10">
        <v>33</v>
      </c>
      <c r="Q53" s="10">
        <v>30</v>
      </c>
      <c r="AK53" s="3"/>
      <c r="AL53" s="3"/>
      <c r="AM53" s="44"/>
      <c r="AN53" s="44"/>
      <c r="AO53" s="44"/>
      <c r="AP53" s="43"/>
      <c r="AQ53" s="44"/>
      <c r="AR53" s="44"/>
      <c r="AS53" s="25"/>
      <c r="AT53" s="25"/>
      <c r="AU53" s="45"/>
      <c r="AV53" s="45"/>
      <c r="AW53" s="3"/>
      <c r="AX53" s="3"/>
    </row>
    <row r="54" spans="1:53" s="10" customFormat="1" x14ac:dyDescent="0.25">
      <c r="A54" s="10">
        <v>22</v>
      </c>
      <c r="B54" s="10">
        <v>8</v>
      </c>
      <c r="D54" s="10">
        <v>34</v>
      </c>
      <c r="E54" s="10">
        <v>16</v>
      </c>
      <c r="G54" s="10">
        <v>35</v>
      </c>
      <c r="H54" s="10">
        <v>21</v>
      </c>
      <c r="J54" s="10">
        <v>39</v>
      </c>
      <c r="K54" s="10">
        <v>30</v>
      </c>
      <c r="M54" s="10">
        <v>28</v>
      </c>
      <c r="N54" s="10">
        <v>7</v>
      </c>
      <c r="P54" s="10">
        <v>32</v>
      </c>
      <c r="Q54" s="10">
        <v>12</v>
      </c>
      <c r="AK54" s="3"/>
      <c r="AL54" s="3"/>
      <c r="AM54" s="44"/>
      <c r="AN54" s="44"/>
      <c r="AO54" s="44"/>
      <c r="AP54" s="43"/>
      <c r="AQ54" s="44"/>
      <c r="AR54" s="44"/>
      <c r="AS54" s="25"/>
      <c r="AT54" s="25"/>
      <c r="AU54" s="45"/>
      <c r="AV54" s="45"/>
      <c r="AW54" s="3"/>
      <c r="AX54" s="3"/>
    </row>
    <row r="55" spans="1:53" s="10" customFormat="1" x14ac:dyDescent="0.25">
      <c r="A55" s="10">
        <v>20</v>
      </c>
      <c r="B55" s="10">
        <v>11</v>
      </c>
      <c r="D55" s="10">
        <v>22</v>
      </c>
      <c r="E55" s="10">
        <v>11</v>
      </c>
      <c r="G55" s="10">
        <v>28</v>
      </c>
      <c r="H55" s="10">
        <v>13</v>
      </c>
      <c r="J55" s="10">
        <v>22</v>
      </c>
      <c r="K55" s="10">
        <v>10</v>
      </c>
      <c r="M55" s="10">
        <v>32</v>
      </c>
      <c r="N55" s="10">
        <v>9</v>
      </c>
      <c r="P55" s="10">
        <v>28</v>
      </c>
      <c r="Q55" s="10">
        <v>11</v>
      </c>
      <c r="AK55" s="3"/>
      <c r="AL55" s="3"/>
      <c r="AM55" s="44"/>
      <c r="AN55" s="44"/>
      <c r="AO55" s="44"/>
      <c r="AP55" s="43"/>
      <c r="AQ55" s="44"/>
      <c r="AR55" s="44"/>
      <c r="AS55" s="25"/>
      <c r="AT55" s="25"/>
      <c r="AU55" s="25"/>
      <c r="AV55" s="25"/>
      <c r="AW55" s="3"/>
      <c r="AX55" s="3"/>
    </row>
    <row r="56" spans="1:53" s="10" customFormat="1" x14ac:dyDescent="0.25">
      <c r="A56" s="10">
        <v>28</v>
      </c>
      <c r="B56" s="10">
        <v>10</v>
      </c>
      <c r="D56" s="10">
        <v>27</v>
      </c>
      <c r="E56" s="10">
        <v>13</v>
      </c>
      <c r="G56" s="10">
        <v>36</v>
      </c>
      <c r="H56" s="10">
        <v>10</v>
      </c>
      <c r="J56" s="10">
        <v>41</v>
      </c>
      <c r="K56" s="10">
        <v>25</v>
      </c>
      <c r="M56" s="10">
        <v>28</v>
      </c>
      <c r="N56" s="10">
        <v>12</v>
      </c>
      <c r="P56" s="10">
        <v>26</v>
      </c>
      <c r="Q56" s="10">
        <v>3</v>
      </c>
      <c r="AK56" s="3"/>
      <c r="AL56" s="3"/>
      <c r="AM56" s="44"/>
      <c r="AN56" s="44"/>
      <c r="AO56" s="44"/>
      <c r="AP56" s="43"/>
      <c r="AQ56" s="44"/>
      <c r="AR56" s="44"/>
      <c r="AS56" s="25"/>
      <c r="AT56" s="25"/>
      <c r="AU56" s="25"/>
      <c r="AV56" s="25"/>
      <c r="AW56" s="3"/>
      <c r="AX56" s="3"/>
    </row>
    <row r="57" spans="1:53" s="10" customFormat="1" x14ac:dyDescent="0.25">
      <c r="A57" s="10">
        <v>32</v>
      </c>
      <c r="B57" s="10">
        <v>9</v>
      </c>
      <c r="D57" s="10">
        <v>21</v>
      </c>
      <c r="E57" s="10">
        <v>7</v>
      </c>
      <c r="G57" s="10">
        <v>31</v>
      </c>
      <c r="H57" s="10">
        <v>16</v>
      </c>
      <c r="J57" s="10">
        <v>36</v>
      </c>
      <c r="K57" s="10">
        <v>7</v>
      </c>
      <c r="M57" s="10">
        <v>33</v>
      </c>
      <c r="N57" s="10">
        <v>17</v>
      </c>
      <c r="P57" s="10">
        <v>17</v>
      </c>
      <c r="Q57" s="10">
        <v>7</v>
      </c>
      <c r="AK57" s="3"/>
      <c r="AL57" s="3"/>
      <c r="AM57" s="57"/>
      <c r="AN57" s="57"/>
      <c r="AO57" s="32"/>
      <c r="AP57" s="32"/>
      <c r="AQ57" s="55"/>
      <c r="AR57" s="55"/>
      <c r="AS57" s="55"/>
      <c r="AT57" s="55"/>
      <c r="AU57" s="55"/>
      <c r="AV57" s="55"/>
      <c r="AW57" s="3"/>
      <c r="AX57" s="3"/>
    </row>
    <row r="58" spans="1:53" s="10" customFormat="1" x14ac:dyDescent="0.25">
      <c r="A58" s="10">
        <v>20</v>
      </c>
      <c r="B58" s="10">
        <v>13</v>
      </c>
      <c r="D58" s="10">
        <v>30</v>
      </c>
      <c r="E58" s="10">
        <v>8</v>
      </c>
      <c r="G58" s="10">
        <v>30</v>
      </c>
      <c r="H58" s="10">
        <v>37</v>
      </c>
      <c r="J58" s="10">
        <v>29</v>
      </c>
      <c r="K58" s="10">
        <v>11</v>
      </c>
      <c r="M58" s="10">
        <v>28</v>
      </c>
      <c r="N58" s="10">
        <v>10</v>
      </c>
      <c r="P58" s="10">
        <v>26</v>
      </c>
      <c r="Q58" s="10">
        <v>9</v>
      </c>
      <c r="AK58" s="3"/>
      <c r="AL58" s="3"/>
      <c r="AM58" s="44"/>
      <c r="AN58" s="44"/>
      <c r="AO58" s="44"/>
      <c r="AP58" s="14"/>
      <c r="AQ58" s="44"/>
      <c r="AR58" s="44"/>
      <c r="AS58" s="25"/>
      <c r="AT58" s="25"/>
      <c r="AU58" s="45"/>
      <c r="AV58" s="45"/>
      <c r="AW58" s="3"/>
      <c r="AX58" s="3"/>
    </row>
    <row r="59" spans="1:53" s="10" customFormat="1" x14ac:dyDescent="0.25">
      <c r="A59" s="10">
        <v>31</v>
      </c>
      <c r="B59" s="10">
        <v>18</v>
      </c>
      <c r="D59" s="10">
        <v>27</v>
      </c>
      <c r="E59" s="10">
        <v>11</v>
      </c>
      <c r="G59" s="10">
        <v>25</v>
      </c>
      <c r="H59" s="10">
        <v>7</v>
      </c>
      <c r="J59" s="10">
        <v>36</v>
      </c>
      <c r="K59" s="10">
        <v>10</v>
      </c>
      <c r="M59" s="10">
        <v>26</v>
      </c>
      <c r="N59" s="10">
        <v>9</v>
      </c>
      <c r="P59" s="10">
        <v>17</v>
      </c>
      <c r="Q59" s="10">
        <v>13</v>
      </c>
      <c r="AK59" s="3"/>
      <c r="AL59" s="3"/>
      <c r="AM59" s="44"/>
      <c r="AN59" s="44"/>
      <c r="AO59" s="44"/>
      <c r="AP59" s="43"/>
      <c r="AQ59" s="44"/>
      <c r="AR59" s="44"/>
      <c r="AS59" s="44"/>
      <c r="AT59" s="44"/>
      <c r="AU59" s="45"/>
      <c r="AV59" s="45"/>
      <c r="AW59" s="3"/>
      <c r="AX59" s="3"/>
    </row>
    <row r="60" spans="1:53" s="10" customFormat="1" x14ac:dyDescent="0.25">
      <c r="A60" s="10">
        <v>30</v>
      </c>
      <c r="B60" s="10">
        <v>22</v>
      </c>
      <c r="D60" s="10">
        <v>20</v>
      </c>
      <c r="E60" s="10">
        <v>13</v>
      </c>
      <c r="G60" s="10">
        <v>15</v>
      </c>
      <c r="H60" s="10">
        <v>13</v>
      </c>
      <c r="J60" s="10">
        <v>17</v>
      </c>
      <c r="K60" s="10">
        <v>6</v>
      </c>
      <c r="M60" s="10">
        <v>27</v>
      </c>
      <c r="N60" s="10">
        <v>7</v>
      </c>
      <c r="P60" s="10">
        <v>22</v>
      </c>
      <c r="Q60" s="10">
        <v>7</v>
      </c>
      <c r="AK60" s="3"/>
      <c r="AL60" s="3"/>
      <c r="AM60" s="44"/>
      <c r="AN60" s="44"/>
      <c r="AO60" s="44"/>
      <c r="AP60" s="43"/>
      <c r="AQ60" s="44"/>
      <c r="AR60" s="44"/>
      <c r="AS60" s="44"/>
      <c r="AT60" s="44"/>
      <c r="AU60" s="45"/>
      <c r="AV60" s="45"/>
      <c r="AW60" s="3"/>
      <c r="AX60" s="3"/>
    </row>
    <row r="61" spans="1:53" s="10" customFormat="1" x14ac:dyDescent="0.25">
      <c r="A61" s="10">
        <v>18</v>
      </c>
      <c r="B61" s="10">
        <v>10</v>
      </c>
      <c r="D61" s="10">
        <v>28</v>
      </c>
      <c r="E61" s="10">
        <v>16</v>
      </c>
      <c r="G61" s="10">
        <v>22</v>
      </c>
      <c r="H61" s="10">
        <v>11</v>
      </c>
      <c r="J61" s="10">
        <v>28</v>
      </c>
      <c r="K61" s="10">
        <v>10</v>
      </c>
      <c r="M61" s="10">
        <v>37</v>
      </c>
      <c r="N61" s="10">
        <v>13</v>
      </c>
      <c r="P61" s="10">
        <v>36</v>
      </c>
      <c r="Q61" s="10">
        <v>8</v>
      </c>
      <c r="AK61" s="3"/>
      <c r="AL61" s="3"/>
      <c r="AM61" s="44"/>
      <c r="AN61" s="44"/>
      <c r="AO61" s="44"/>
      <c r="AP61" s="43"/>
      <c r="AQ61" s="44"/>
      <c r="AR61" s="44"/>
      <c r="AS61" s="44"/>
      <c r="AT61" s="44"/>
      <c r="AU61" s="45"/>
      <c r="AV61" s="45"/>
      <c r="AW61" s="3"/>
      <c r="AX61" s="3"/>
    </row>
    <row r="62" spans="1:53" s="10" customFormat="1" x14ac:dyDescent="0.25">
      <c r="A62" s="10">
        <v>20</v>
      </c>
      <c r="B62" s="10">
        <v>18</v>
      </c>
      <c r="D62" s="10">
        <v>24</v>
      </c>
      <c r="E62" s="10">
        <v>12</v>
      </c>
      <c r="G62" s="10">
        <v>30</v>
      </c>
      <c r="H62" s="10">
        <v>16</v>
      </c>
      <c r="J62" s="10">
        <v>32</v>
      </c>
      <c r="K62" s="10">
        <v>10</v>
      </c>
      <c r="M62" s="10">
        <v>26</v>
      </c>
      <c r="N62" s="10">
        <v>9</v>
      </c>
      <c r="P62" s="10">
        <v>32</v>
      </c>
      <c r="Q62" s="10">
        <v>10</v>
      </c>
      <c r="AK62" s="3"/>
      <c r="AL62" s="3"/>
      <c r="AM62" s="44"/>
      <c r="AN62" s="44"/>
      <c r="AO62" s="44"/>
      <c r="AP62" s="43"/>
      <c r="AQ62" s="25"/>
      <c r="AR62" s="25"/>
      <c r="AS62" s="44"/>
      <c r="AT62" s="44"/>
      <c r="AU62" s="45"/>
      <c r="AV62" s="45"/>
      <c r="AW62" s="3"/>
      <c r="AX62" s="3"/>
    </row>
    <row r="63" spans="1:53" s="10" customFormat="1" x14ac:dyDescent="0.25">
      <c r="A63" s="10">
        <v>30</v>
      </c>
      <c r="B63" s="10">
        <v>20</v>
      </c>
      <c r="D63" s="10">
        <v>24</v>
      </c>
      <c r="E63" s="10">
        <v>7</v>
      </c>
      <c r="G63" s="10">
        <v>32</v>
      </c>
      <c r="H63" s="10">
        <v>15</v>
      </c>
      <c r="J63" s="10">
        <v>41</v>
      </c>
      <c r="K63" s="10">
        <v>18</v>
      </c>
      <c r="M63" s="10">
        <v>25</v>
      </c>
      <c r="N63" s="10">
        <v>8</v>
      </c>
      <c r="P63" s="10">
        <v>23</v>
      </c>
      <c r="Q63" s="10">
        <v>23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3" s="10" customFormat="1" x14ac:dyDescent="0.25">
      <c r="A64" s="10">
        <v>22</v>
      </c>
      <c r="B64" s="10">
        <v>16</v>
      </c>
      <c r="D64" s="10">
        <v>30</v>
      </c>
      <c r="E64" s="10">
        <v>25</v>
      </c>
      <c r="G64" s="10">
        <v>28</v>
      </c>
      <c r="H64" s="10">
        <v>9</v>
      </c>
      <c r="J64" s="10">
        <v>11</v>
      </c>
      <c r="K64" s="10">
        <v>5</v>
      </c>
      <c r="M64" s="10">
        <v>14</v>
      </c>
      <c r="N64" s="10">
        <v>9</v>
      </c>
      <c r="P64" s="10">
        <v>25</v>
      </c>
      <c r="Q64" s="10">
        <v>5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28" s="10" customFormat="1" x14ac:dyDescent="0.25">
      <c r="A65" s="10">
        <v>29</v>
      </c>
      <c r="B65" s="10">
        <v>10</v>
      </c>
      <c r="D65" s="10">
        <v>23</v>
      </c>
      <c r="E65" s="10">
        <v>11</v>
      </c>
      <c r="G65" s="10">
        <v>35</v>
      </c>
      <c r="H65" s="10">
        <v>15</v>
      </c>
      <c r="J65" s="10">
        <v>42</v>
      </c>
      <c r="K65" s="10">
        <v>8</v>
      </c>
      <c r="M65" s="10">
        <v>23</v>
      </c>
      <c r="N65" s="10">
        <v>10</v>
      </c>
      <c r="P65" s="10">
        <v>23</v>
      </c>
      <c r="Q65" s="10">
        <v>8</v>
      </c>
    </row>
    <row r="66" spans="1:28" s="10" customFormat="1" x14ac:dyDescent="0.25">
      <c r="A66" s="10">
        <v>31</v>
      </c>
      <c r="B66" s="10">
        <v>18</v>
      </c>
      <c r="D66" s="10">
        <v>28</v>
      </c>
      <c r="E66" s="10">
        <v>10</v>
      </c>
      <c r="G66" s="10">
        <v>22</v>
      </c>
      <c r="H66" s="10">
        <v>11</v>
      </c>
      <c r="J66" s="10">
        <v>21</v>
      </c>
      <c r="K66" s="10">
        <v>11</v>
      </c>
      <c r="M66" s="10">
        <v>25</v>
      </c>
      <c r="N66" s="10">
        <v>11</v>
      </c>
      <c r="P66" s="10">
        <v>25</v>
      </c>
      <c r="Q66" s="10">
        <v>16</v>
      </c>
    </row>
    <row r="67" spans="1:28" s="10" customFormat="1" x14ac:dyDescent="0.25">
      <c r="A67" s="10">
        <v>27</v>
      </c>
      <c r="B67" s="10">
        <v>10</v>
      </c>
      <c r="D67" s="10">
        <v>23</v>
      </c>
      <c r="E67" s="10">
        <v>11</v>
      </c>
      <c r="G67" s="10">
        <v>24</v>
      </c>
      <c r="H67" s="10">
        <v>14</v>
      </c>
      <c r="J67" s="10">
        <v>22</v>
      </c>
      <c r="K67" s="10">
        <v>10</v>
      </c>
      <c r="M67" s="10">
        <v>31</v>
      </c>
      <c r="N67" s="10">
        <v>15</v>
      </c>
      <c r="P67" s="10">
        <v>13</v>
      </c>
      <c r="Q67" s="10">
        <v>11</v>
      </c>
    </row>
    <row r="68" spans="1:28" s="10" customFormat="1" x14ac:dyDescent="0.25">
      <c r="A68" s="10">
        <v>22</v>
      </c>
      <c r="B68" s="10">
        <v>7</v>
      </c>
      <c r="D68" s="10">
        <v>16</v>
      </c>
      <c r="E68" s="10">
        <v>8</v>
      </c>
      <c r="G68" s="10">
        <v>36</v>
      </c>
      <c r="H68" s="10">
        <v>21</v>
      </c>
      <c r="J68" s="10">
        <v>36</v>
      </c>
      <c r="K68" s="10">
        <v>26</v>
      </c>
      <c r="M68" s="10">
        <v>34</v>
      </c>
      <c r="N68" s="10">
        <v>8</v>
      </c>
      <c r="P68" s="10">
        <v>10</v>
      </c>
      <c r="Q68" s="10">
        <v>5</v>
      </c>
    </row>
    <row r="69" spans="1:28" s="10" customFormat="1" x14ac:dyDescent="0.25">
      <c r="A69" s="10">
        <v>25</v>
      </c>
      <c r="B69" s="10">
        <v>20</v>
      </c>
      <c r="D69" s="10">
        <v>23</v>
      </c>
      <c r="E69" s="10">
        <v>13</v>
      </c>
      <c r="G69" s="10">
        <v>20</v>
      </c>
      <c r="H69" s="10">
        <v>10</v>
      </c>
      <c r="J69" s="10">
        <v>23</v>
      </c>
      <c r="K69" s="10">
        <v>11</v>
      </c>
      <c r="M69" s="10">
        <v>20</v>
      </c>
      <c r="N69" s="10">
        <v>28</v>
      </c>
      <c r="P69" s="10">
        <v>30</v>
      </c>
      <c r="Q69" s="10">
        <v>8</v>
      </c>
    </row>
    <row r="70" spans="1:28" s="10" customFormat="1" x14ac:dyDescent="0.25">
      <c r="A70" s="10">
        <v>23</v>
      </c>
      <c r="B70" s="10">
        <v>11</v>
      </c>
      <c r="D70" s="10">
        <v>29</v>
      </c>
      <c r="E70" s="10">
        <v>11</v>
      </c>
      <c r="G70" s="10">
        <v>30</v>
      </c>
      <c r="H70" s="10">
        <v>11</v>
      </c>
      <c r="J70" s="10">
        <v>22</v>
      </c>
      <c r="K70" s="10">
        <v>5</v>
      </c>
      <c r="M70" s="10">
        <v>38</v>
      </c>
      <c r="N70" s="10">
        <v>7</v>
      </c>
      <c r="P70" s="10">
        <v>29</v>
      </c>
      <c r="Q70" s="10">
        <v>14</v>
      </c>
    </row>
    <row r="71" spans="1:28" s="10" customFormat="1" x14ac:dyDescent="0.25">
      <c r="A71" s="10">
        <v>10</v>
      </c>
      <c r="B71" s="10">
        <v>5</v>
      </c>
      <c r="D71" s="10">
        <v>26</v>
      </c>
      <c r="E71" s="10">
        <v>16</v>
      </c>
      <c r="G71" s="10">
        <v>27</v>
      </c>
      <c r="H71" s="10">
        <v>13</v>
      </c>
      <c r="J71" s="10">
        <v>24</v>
      </c>
      <c r="K71" s="10">
        <v>10</v>
      </c>
      <c r="M71" s="10">
        <v>16</v>
      </c>
      <c r="N71" s="10">
        <v>6</v>
      </c>
      <c r="P71" s="10">
        <v>27</v>
      </c>
      <c r="Q71" s="10">
        <v>10</v>
      </c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s="10" customFormat="1" x14ac:dyDescent="0.25">
      <c r="A72" s="10">
        <v>22</v>
      </c>
      <c r="B72" s="10">
        <v>13</v>
      </c>
      <c r="D72" s="10">
        <v>30</v>
      </c>
      <c r="E72" s="10">
        <v>26</v>
      </c>
      <c r="G72" s="10">
        <v>3</v>
      </c>
      <c r="H72" s="10">
        <v>3</v>
      </c>
      <c r="J72" s="10">
        <v>20</v>
      </c>
      <c r="K72" s="10">
        <v>9</v>
      </c>
      <c r="M72" s="10">
        <v>18</v>
      </c>
      <c r="N72" s="10">
        <v>7</v>
      </c>
      <c r="P72" s="10">
        <v>24</v>
      </c>
      <c r="Q72" s="10">
        <v>6</v>
      </c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s="12" customFormat="1" x14ac:dyDescent="0.25">
      <c r="A73" s="36">
        <f>AVERAGE(A53:A72)</f>
        <v>24.6</v>
      </c>
      <c r="B73" s="37">
        <f>AVERAGE(B53:B72)</f>
        <v>13.45</v>
      </c>
      <c r="C73" s="30"/>
      <c r="D73" s="36">
        <f>AVERAGE(D53:D72)</f>
        <v>25.35</v>
      </c>
      <c r="E73" s="37">
        <f>AVERAGE(E53:E72)</f>
        <v>12.7</v>
      </c>
      <c r="F73" s="30"/>
      <c r="G73" s="36">
        <f>AVERAGE(G53:G72)</f>
        <v>27.25</v>
      </c>
      <c r="H73" s="37">
        <f>AVERAGE(H53:H72)</f>
        <v>14.45</v>
      </c>
      <c r="I73" s="30"/>
      <c r="J73" s="36">
        <f>AVERAGE(J53:J72)</f>
        <v>28.35</v>
      </c>
      <c r="K73" s="37">
        <f>AVERAGE(K53:K72)</f>
        <v>11.95</v>
      </c>
      <c r="L73" s="30"/>
      <c r="M73" s="36">
        <f>AVERAGE(M53:M72)</f>
        <v>26</v>
      </c>
      <c r="N73" s="37">
        <f>AVERAGE(N53:N72)</f>
        <v>10.35</v>
      </c>
      <c r="O73" s="30"/>
      <c r="P73" s="36">
        <f>AVERAGE(P53:P72)</f>
        <v>24.9</v>
      </c>
      <c r="Q73" s="37">
        <f>AVERAGE(Q58:Q70,Q53:Q56)</f>
        <v>11.352941176470589</v>
      </c>
      <c r="R73" s="3" t="s">
        <v>58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x14ac:dyDescent="0.25">
      <c r="A74" s="9"/>
      <c r="B74" s="9"/>
      <c r="D74" s="9"/>
      <c r="E74" s="9"/>
      <c r="G74" s="9"/>
      <c r="H74" s="9"/>
      <c r="J74" s="9"/>
      <c r="K74" s="9"/>
      <c r="M74" s="9"/>
      <c r="N74" s="9"/>
      <c r="P74" s="9"/>
      <c r="Q74" s="9"/>
      <c r="S74" s="3"/>
      <c r="T74" s="3"/>
      <c r="U74" s="3"/>
      <c r="V74" s="14"/>
      <c r="W74" s="14"/>
      <c r="X74" s="14"/>
      <c r="Y74" s="14"/>
      <c r="Z74" s="3"/>
      <c r="AA74" s="3"/>
      <c r="AB74" s="3"/>
    </row>
    <row r="75" spans="1:28" x14ac:dyDescent="0.25">
      <c r="U75" s="3"/>
      <c r="V75" s="3"/>
      <c r="W75" s="3"/>
      <c r="X75" s="3"/>
      <c r="Y75" s="3"/>
      <c r="Z75" s="3"/>
    </row>
    <row r="76" spans="1:28" s="13" customFormat="1" x14ac:dyDescent="0.25">
      <c r="A76" s="13" t="s">
        <v>40</v>
      </c>
      <c r="D76" s="13" t="s">
        <v>41</v>
      </c>
      <c r="G76" s="13" t="s">
        <v>42</v>
      </c>
      <c r="J76" s="13" t="s">
        <v>43</v>
      </c>
      <c r="M76" s="13" t="s">
        <v>44</v>
      </c>
      <c r="P76" s="13" t="s">
        <v>45</v>
      </c>
      <c r="S76" s="13" t="s">
        <v>46</v>
      </c>
      <c r="V76" s="13" t="s">
        <v>47</v>
      </c>
      <c r="Y76" s="13" t="s">
        <v>48</v>
      </c>
    </row>
    <row r="77" spans="1:28" x14ac:dyDescent="0.25">
      <c r="A77" t="s">
        <v>62</v>
      </c>
      <c r="B77" t="s">
        <v>63</v>
      </c>
      <c r="D77" t="s">
        <v>62</v>
      </c>
      <c r="E77" t="s">
        <v>63</v>
      </c>
      <c r="G77" t="s">
        <v>62</v>
      </c>
      <c r="H77" t="s">
        <v>63</v>
      </c>
      <c r="J77" t="s">
        <v>62</v>
      </c>
      <c r="K77" t="s">
        <v>63</v>
      </c>
      <c r="M77" t="s">
        <v>62</v>
      </c>
      <c r="N77" t="s">
        <v>63</v>
      </c>
      <c r="P77" t="s">
        <v>62</v>
      </c>
      <c r="Q77" t="s">
        <v>63</v>
      </c>
      <c r="S77" t="s">
        <v>62</v>
      </c>
      <c r="T77" t="s">
        <v>63</v>
      </c>
      <c r="V77" t="s">
        <v>62</v>
      </c>
      <c r="W77" t="s">
        <v>63</v>
      </c>
      <c r="Y77" t="s">
        <v>62</v>
      </c>
      <c r="Z77" t="s">
        <v>63</v>
      </c>
    </row>
    <row r="78" spans="1:28" s="10" customFormat="1" x14ac:dyDescent="0.25">
      <c r="A78" s="10">
        <v>29</v>
      </c>
      <c r="B78" s="10">
        <v>9</v>
      </c>
      <c r="D78" s="10">
        <v>26</v>
      </c>
      <c r="E78" s="10">
        <v>32</v>
      </c>
      <c r="G78" s="10">
        <v>34</v>
      </c>
      <c r="H78" s="10">
        <v>24</v>
      </c>
      <c r="J78" s="10">
        <v>35</v>
      </c>
      <c r="K78" s="10">
        <v>16</v>
      </c>
      <c r="M78" s="10">
        <v>48</v>
      </c>
      <c r="N78" s="10">
        <v>10</v>
      </c>
      <c r="P78" s="10">
        <v>23</v>
      </c>
      <c r="Q78" s="10">
        <v>17</v>
      </c>
      <c r="S78" s="10">
        <v>28</v>
      </c>
      <c r="T78" s="10">
        <v>8</v>
      </c>
      <c r="V78" s="10">
        <v>22</v>
      </c>
      <c r="W78" s="10">
        <v>8</v>
      </c>
      <c r="Y78" s="10">
        <v>24</v>
      </c>
      <c r="Z78" s="10">
        <v>5</v>
      </c>
    </row>
    <row r="79" spans="1:28" s="10" customFormat="1" x14ac:dyDescent="0.25">
      <c r="A79" s="10">
        <v>32</v>
      </c>
      <c r="B79" s="10">
        <v>21</v>
      </c>
      <c r="D79" s="10">
        <v>28</v>
      </c>
      <c r="E79" s="10">
        <v>25</v>
      </c>
      <c r="G79" s="10">
        <v>23</v>
      </c>
      <c r="H79" s="10">
        <v>18</v>
      </c>
      <c r="J79" s="10">
        <v>43</v>
      </c>
      <c r="K79" s="10">
        <v>17</v>
      </c>
      <c r="M79" s="10">
        <v>51</v>
      </c>
      <c r="N79" s="10">
        <v>28</v>
      </c>
      <c r="P79" s="10">
        <v>28</v>
      </c>
      <c r="Q79" s="10">
        <v>20</v>
      </c>
      <c r="S79" s="10">
        <v>24</v>
      </c>
      <c r="T79" s="10">
        <v>13</v>
      </c>
      <c r="V79" s="10">
        <v>21</v>
      </c>
      <c r="W79" s="10">
        <v>17</v>
      </c>
      <c r="Y79" s="10">
        <v>27</v>
      </c>
      <c r="Z79" s="10">
        <v>13</v>
      </c>
    </row>
    <row r="80" spans="1:28" s="10" customFormat="1" x14ac:dyDescent="0.25">
      <c r="A80" s="10">
        <v>48</v>
      </c>
      <c r="B80" s="10">
        <v>12</v>
      </c>
      <c r="D80" s="10">
        <v>29</v>
      </c>
      <c r="E80" s="10">
        <v>18</v>
      </c>
      <c r="G80" s="10">
        <v>42</v>
      </c>
      <c r="H80" s="10">
        <v>14</v>
      </c>
      <c r="J80" s="10">
        <v>28</v>
      </c>
      <c r="K80" s="10">
        <v>16</v>
      </c>
      <c r="M80" s="10">
        <v>41</v>
      </c>
      <c r="N80" s="10">
        <v>13</v>
      </c>
      <c r="P80" s="10">
        <v>30</v>
      </c>
      <c r="Q80" s="10">
        <v>15</v>
      </c>
      <c r="S80" s="10">
        <v>11</v>
      </c>
      <c r="T80" s="10">
        <v>9</v>
      </c>
      <c r="V80" s="10">
        <v>26</v>
      </c>
      <c r="W80" s="10">
        <v>17</v>
      </c>
      <c r="Y80" s="10">
        <v>34</v>
      </c>
      <c r="Z80" s="10">
        <v>22</v>
      </c>
    </row>
    <row r="81" spans="1:26" s="10" customFormat="1" x14ac:dyDescent="0.25">
      <c r="A81" s="10">
        <v>23</v>
      </c>
      <c r="B81" s="10">
        <v>19</v>
      </c>
      <c r="D81" s="10">
        <v>22</v>
      </c>
      <c r="E81" s="10">
        <v>14</v>
      </c>
      <c r="G81" s="10">
        <v>45</v>
      </c>
      <c r="H81" s="10">
        <v>14</v>
      </c>
      <c r="J81" s="10">
        <v>10</v>
      </c>
      <c r="K81" s="10">
        <v>5</v>
      </c>
      <c r="M81" s="10">
        <v>28</v>
      </c>
      <c r="N81" s="10">
        <v>11</v>
      </c>
      <c r="P81" s="10">
        <v>10</v>
      </c>
      <c r="Q81" s="10">
        <v>5</v>
      </c>
      <c r="S81" s="10">
        <v>17</v>
      </c>
      <c r="T81" s="10">
        <v>25</v>
      </c>
      <c r="V81" s="10">
        <v>24</v>
      </c>
      <c r="W81" s="10">
        <v>18</v>
      </c>
      <c r="Y81" s="10">
        <v>26</v>
      </c>
      <c r="Z81" s="10">
        <v>18</v>
      </c>
    </row>
    <row r="82" spans="1:26" s="10" customFormat="1" x14ac:dyDescent="0.25">
      <c r="A82" s="10">
        <v>33</v>
      </c>
      <c r="B82" s="10">
        <v>24</v>
      </c>
      <c r="D82" s="10">
        <v>29</v>
      </c>
      <c r="E82" s="10">
        <v>19</v>
      </c>
      <c r="G82" s="10">
        <v>46</v>
      </c>
      <c r="H82" s="10">
        <v>24</v>
      </c>
      <c r="J82" s="10">
        <v>29</v>
      </c>
      <c r="K82" s="10">
        <v>10</v>
      </c>
      <c r="M82" s="10">
        <v>42</v>
      </c>
      <c r="N82" s="10">
        <v>15</v>
      </c>
      <c r="P82" s="10">
        <v>12</v>
      </c>
      <c r="Q82" s="10">
        <v>10</v>
      </c>
      <c r="S82" s="10">
        <v>28</v>
      </c>
      <c r="T82" s="10">
        <v>12</v>
      </c>
      <c r="V82" s="10">
        <v>24</v>
      </c>
      <c r="W82" s="10">
        <v>25</v>
      </c>
      <c r="Y82" s="10">
        <v>35</v>
      </c>
      <c r="Z82" s="10">
        <v>39</v>
      </c>
    </row>
    <row r="83" spans="1:26" s="10" customFormat="1" x14ac:dyDescent="0.25">
      <c r="A83" s="10">
        <v>37</v>
      </c>
      <c r="B83" s="10">
        <v>14</v>
      </c>
      <c r="D83" s="10">
        <v>22</v>
      </c>
      <c r="E83" s="10">
        <v>16</v>
      </c>
      <c r="G83" s="10">
        <v>22</v>
      </c>
      <c r="H83" s="10">
        <v>18</v>
      </c>
      <c r="J83" s="10">
        <v>33</v>
      </c>
      <c r="K83" s="10">
        <v>18</v>
      </c>
      <c r="M83" s="10">
        <v>30</v>
      </c>
      <c r="N83" s="10">
        <v>7</v>
      </c>
      <c r="P83" s="10">
        <v>13</v>
      </c>
      <c r="Q83" s="10">
        <v>9</v>
      </c>
      <c r="S83" s="10">
        <v>26</v>
      </c>
      <c r="T83" s="10">
        <v>21</v>
      </c>
      <c r="V83" s="10">
        <v>29</v>
      </c>
      <c r="W83" s="10">
        <v>19</v>
      </c>
      <c r="Y83" s="10">
        <v>21</v>
      </c>
      <c r="Z83" s="10">
        <v>17</v>
      </c>
    </row>
    <row r="84" spans="1:26" s="10" customFormat="1" x14ac:dyDescent="0.25">
      <c r="A84" s="10">
        <v>2</v>
      </c>
      <c r="B84" s="10">
        <v>14</v>
      </c>
      <c r="D84" s="10">
        <v>32</v>
      </c>
      <c r="E84" s="10">
        <v>18</v>
      </c>
      <c r="G84" s="10">
        <v>19</v>
      </c>
      <c r="H84" s="10">
        <v>16</v>
      </c>
      <c r="J84" s="10">
        <v>32</v>
      </c>
      <c r="K84" s="10">
        <v>16</v>
      </c>
      <c r="M84" s="10">
        <v>28</v>
      </c>
      <c r="N84" s="10">
        <v>10</v>
      </c>
      <c r="P84" s="10">
        <v>26</v>
      </c>
      <c r="Q84" s="10">
        <v>13</v>
      </c>
      <c r="S84" s="10">
        <v>23</v>
      </c>
      <c r="T84" s="10">
        <v>9</v>
      </c>
      <c r="V84" s="10">
        <v>23</v>
      </c>
      <c r="W84" s="10">
        <v>19</v>
      </c>
      <c r="Y84" s="10">
        <v>9</v>
      </c>
      <c r="Z84" s="10">
        <v>20</v>
      </c>
    </row>
    <row r="85" spans="1:26" s="10" customFormat="1" x14ac:dyDescent="0.25">
      <c r="A85" s="10">
        <v>19</v>
      </c>
      <c r="B85" s="10">
        <v>19</v>
      </c>
      <c r="D85" s="10">
        <v>27</v>
      </c>
      <c r="E85" s="10">
        <v>13</v>
      </c>
      <c r="G85" s="10">
        <v>30</v>
      </c>
      <c r="H85" s="10">
        <v>29</v>
      </c>
      <c r="J85" s="10">
        <v>40</v>
      </c>
      <c r="K85" s="10">
        <v>11</v>
      </c>
      <c r="M85" s="10">
        <v>49</v>
      </c>
      <c r="N85" s="10">
        <v>20</v>
      </c>
      <c r="P85" s="10">
        <v>27</v>
      </c>
      <c r="Q85" s="10">
        <v>11</v>
      </c>
      <c r="S85" s="10">
        <v>14</v>
      </c>
      <c r="T85" s="10">
        <v>23</v>
      </c>
      <c r="V85" s="10">
        <v>29</v>
      </c>
      <c r="W85" s="10">
        <v>32</v>
      </c>
      <c r="Y85" s="10">
        <v>24</v>
      </c>
      <c r="Z85" s="10">
        <v>29</v>
      </c>
    </row>
    <row r="86" spans="1:26" s="10" customFormat="1" x14ac:dyDescent="0.25">
      <c r="A86" s="10">
        <v>32</v>
      </c>
      <c r="B86" s="10">
        <v>12</v>
      </c>
      <c r="D86" s="10">
        <v>23</v>
      </c>
      <c r="E86" s="10">
        <v>13</v>
      </c>
      <c r="G86" s="10">
        <v>27</v>
      </c>
      <c r="H86" s="10">
        <v>25</v>
      </c>
      <c r="J86" s="10">
        <v>27</v>
      </c>
      <c r="K86" s="10">
        <v>10</v>
      </c>
      <c r="M86" s="10">
        <v>21</v>
      </c>
      <c r="N86" s="10">
        <v>25</v>
      </c>
      <c r="P86" s="10">
        <v>17</v>
      </c>
      <c r="Q86" s="10">
        <v>5</v>
      </c>
      <c r="S86" s="10">
        <v>24</v>
      </c>
      <c r="T86" s="10">
        <v>16</v>
      </c>
      <c r="V86" s="10">
        <v>22</v>
      </c>
      <c r="W86" s="10">
        <v>19</v>
      </c>
      <c r="Y86" s="10">
        <v>21</v>
      </c>
      <c r="Z86" s="10">
        <v>14</v>
      </c>
    </row>
    <row r="87" spans="1:26" s="10" customFormat="1" x14ac:dyDescent="0.25">
      <c r="A87" s="10">
        <v>31</v>
      </c>
      <c r="B87" s="10">
        <v>29</v>
      </c>
      <c r="D87" s="10">
        <v>20</v>
      </c>
      <c r="E87" s="10">
        <v>19</v>
      </c>
      <c r="G87" s="10">
        <v>31</v>
      </c>
      <c r="H87" s="10">
        <v>17</v>
      </c>
      <c r="J87" s="10">
        <v>28</v>
      </c>
      <c r="K87" s="10">
        <v>15</v>
      </c>
      <c r="M87" s="10">
        <v>27</v>
      </c>
      <c r="N87" s="10">
        <v>5</v>
      </c>
      <c r="P87" s="10">
        <v>26</v>
      </c>
      <c r="Q87" s="10">
        <v>17</v>
      </c>
      <c r="S87" s="10">
        <v>30</v>
      </c>
      <c r="T87" s="10">
        <v>14</v>
      </c>
      <c r="V87" s="10">
        <v>26</v>
      </c>
      <c r="W87" s="10">
        <v>14</v>
      </c>
      <c r="Y87" s="10">
        <v>5</v>
      </c>
      <c r="Z87" s="10">
        <v>6</v>
      </c>
    </row>
    <row r="88" spans="1:26" s="10" customFormat="1" x14ac:dyDescent="0.25">
      <c r="A88" s="10">
        <v>25</v>
      </c>
      <c r="B88" s="10">
        <v>12</v>
      </c>
      <c r="D88" s="10">
        <v>29</v>
      </c>
      <c r="E88" s="10">
        <v>21</v>
      </c>
      <c r="G88" s="10">
        <v>30</v>
      </c>
      <c r="H88" s="10">
        <v>28</v>
      </c>
      <c r="J88" s="10">
        <v>23</v>
      </c>
      <c r="K88" s="10">
        <v>13</v>
      </c>
      <c r="M88" s="10">
        <v>30</v>
      </c>
      <c r="N88" s="10">
        <v>10</v>
      </c>
      <c r="P88" s="10">
        <v>17</v>
      </c>
      <c r="Q88" s="10">
        <v>11</v>
      </c>
      <c r="S88" s="10">
        <v>37</v>
      </c>
      <c r="T88" s="10">
        <v>12</v>
      </c>
      <c r="V88" s="10">
        <v>21</v>
      </c>
      <c r="W88" s="10">
        <v>11</v>
      </c>
      <c r="Y88" s="10">
        <v>25</v>
      </c>
      <c r="Z88" s="10">
        <v>17</v>
      </c>
    </row>
    <row r="89" spans="1:26" s="10" customFormat="1" x14ac:dyDescent="0.25">
      <c r="A89" s="10">
        <v>34</v>
      </c>
      <c r="B89" s="10">
        <v>17</v>
      </c>
      <c r="D89" s="10">
        <v>32</v>
      </c>
      <c r="E89" s="10">
        <v>11</v>
      </c>
      <c r="G89" s="10">
        <v>24</v>
      </c>
      <c r="H89" s="10">
        <v>16</v>
      </c>
      <c r="J89" s="10">
        <v>20</v>
      </c>
      <c r="K89" s="10">
        <v>10</v>
      </c>
      <c r="M89" s="10">
        <v>33</v>
      </c>
      <c r="N89" s="10">
        <v>9</v>
      </c>
      <c r="P89" s="10">
        <v>12</v>
      </c>
      <c r="Q89" s="10">
        <v>5</v>
      </c>
      <c r="S89" s="10">
        <v>24</v>
      </c>
      <c r="T89" s="10">
        <v>26</v>
      </c>
      <c r="V89" s="10">
        <v>32</v>
      </c>
      <c r="W89" s="10">
        <v>18</v>
      </c>
      <c r="Y89" s="10">
        <v>20</v>
      </c>
      <c r="Z89" s="10">
        <v>19</v>
      </c>
    </row>
    <row r="90" spans="1:26" s="10" customFormat="1" x14ac:dyDescent="0.25">
      <c r="A90" s="10">
        <v>23</v>
      </c>
      <c r="B90" s="10">
        <v>12</v>
      </c>
      <c r="D90" s="10">
        <v>31</v>
      </c>
      <c r="E90" s="10">
        <v>15</v>
      </c>
      <c r="G90" s="10">
        <v>24</v>
      </c>
      <c r="H90" s="10">
        <v>13</v>
      </c>
      <c r="J90" s="10">
        <v>20</v>
      </c>
      <c r="K90" s="10">
        <v>9</v>
      </c>
      <c r="M90" s="10">
        <v>36</v>
      </c>
      <c r="N90" s="10">
        <v>23</v>
      </c>
      <c r="P90" s="10">
        <v>27</v>
      </c>
      <c r="Q90" s="10">
        <v>7</v>
      </c>
      <c r="S90" s="10">
        <v>26</v>
      </c>
      <c r="T90" s="10">
        <v>13</v>
      </c>
      <c r="V90" s="10">
        <v>33</v>
      </c>
      <c r="W90" s="10">
        <v>11</v>
      </c>
      <c r="Y90" s="10">
        <v>6</v>
      </c>
      <c r="Z90" s="10">
        <v>11</v>
      </c>
    </row>
    <row r="91" spans="1:26" s="10" customFormat="1" x14ac:dyDescent="0.25">
      <c r="A91" s="10">
        <v>29</v>
      </c>
      <c r="B91" s="10">
        <v>14</v>
      </c>
      <c r="D91" s="10">
        <v>33</v>
      </c>
      <c r="E91" s="10">
        <v>23</v>
      </c>
      <c r="G91" s="10">
        <v>26</v>
      </c>
      <c r="H91" s="10">
        <v>21</v>
      </c>
      <c r="J91" s="10">
        <v>32</v>
      </c>
      <c r="K91" s="10">
        <v>21</v>
      </c>
      <c r="M91" s="10">
        <v>22</v>
      </c>
      <c r="N91" s="10">
        <v>27</v>
      </c>
      <c r="P91" s="10">
        <v>24</v>
      </c>
      <c r="Q91" s="10">
        <v>17</v>
      </c>
      <c r="S91" s="10">
        <v>8</v>
      </c>
      <c r="T91" s="10">
        <v>14</v>
      </c>
      <c r="V91" s="10">
        <v>11</v>
      </c>
      <c r="W91" s="10">
        <v>12</v>
      </c>
      <c r="Y91" s="10">
        <v>31</v>
      </c>
      <c r="Z91" s="10">
        <v>15</v>
      </c>
    </row>
    <row r="92" spans="1:26" s="10" customFormat="1" x14ac:dyDescent="0.25">
      <c r="A92" s="10">
        <v>14</v>
      </c>
      <c r="B92" s="10">
        <v>17</v>
      </c>
      <c r="D92" s="10">
        <v>27</v>
      </c>
      <c r="E92" s="10">
        <v>16</v>
      </c>
      <c r="G92" s="10">
        <v>15</v>
      </c>
      <c r="H92" s="10">
        <v>16</v>
      </c>
      <c r="J92" s="10">
        <v>26</v>
      </c>
      <c r="K92" s="10">
        <v>16</v>
      </c>
      <c r="M92" s="10">
        <v>46</v>
      </c>
      <c r="N92" s="10">
        <v>15</v>
      </c>
      <c r="P92" s="10">
        <v>42</v>
      </c>
      <c r="Q92" s="10">
        <v>11</v>
      </c>
      <c r="V92" s="10">
        <v>25</v>
      </c>
      <c r="W92" s="10">
        <v>13</v>
      </c>
      <c r="Y92" s="10">
        <v>26</v>
      </c>
      <c r="Z92" s="10">
        <v>12</v>
      </c>
    </row>
    <row r="93" spans="1:26" s="10" customFormat="1" x14ac:dyDescent="0.25">
      <c r="A93" s="10">
        <v>10</v>
      </c>
      <c r="B93" s="10">
        <v>14</v>
      </c>
      <c r="D93" s="10">
        <v>29</v>
      </c>
      <c r="E93" s="10">
        <v>22</v>
      </c>
      <c r="G93" s="10">
        <v>24</v>
      </c>
      <c r="H93" s="10">
        <v>18</v>
      </c>
      <c r="J93" s="10">
        <v>13</v>
      </c>
      <c r="K93" s="10">
        <v>11</v>
      </c>
      <c r="M93" s="10">
        <v>30</v>
      </c>
      <c r="N93" s="10">
        <v>15</v>
      </c>
      <c r="P93" s="10">
        <v>22</v>
      </c>
      <c r="Q93" s="10">
        <v>15</v>
      </c>
      <c r="V93" s="10">
        <v>36</v>
      </c>
      <c r="W93" s="10">
        <v>19</v>
      </c>
      <c r="Y93" s="10">
        <v>11</v>
      </c>
      <c r="Z93" s="10">
        <v>12</v>
      </c>
    </row>
    <row r="94" spans="1:26" s="10" customFormat="1" x14ac:dyDescent="0.25">
      <c r="A94" s="10">
        <v>8</v>
      </c>
      <c r="B94" s="10">
        <v>9</v>
      </c>
      <c r="D94" s="10">
        <v>28</v>
      </c>
      <c r="E94" s="10">
        <v>19</v>
      </c>
      <c r="G94" s="10">
        <v>9</v>
      </c>
      <c r="H94" s="10">
        <v>7</v>
      </c>
      <c r="J94" s="10">
        <v>12</v>
      </c>
      <c r="K94" s="10">
        <v>10</v>
      </c>
      <c r="M94" s="10">
        <v>22</v>
      </c>
      <c r="N94" s="10">
        <v>10</v>
      </c>
      <c r="P94" s="10">
        <v>13</v>
      </c>
      <c r="Q94" s="10">
        <v>8</v>
      </c>
      <c r="V94" s="10">
        <v>16</v>
      </c>
      <c r="W94" s="10">
        <v>12</v>
      </c>
      <c r="Y94" s="10">
        <v>16</v>
      </c>
      <c r="Z94" s="10">
        <v>9</v>
      </c>
    </row>
    <row r="95" spans="1:26" s="10" customFormat="1" x14ac:dyDescent="0.25">
      <c r="A95" s="10">
        <v>10</v>
      </c>
      <c r="B95" s="10">
        <v>12</v>
      </c>
      <c r="D95" s="10">
        <v>29</v>
      </c>
      <c r="E95" s="10">
        <v>17</v>
      </c>
      <c r="G95" s="10">
        <v>25</v>
      </c>
      <c r="H95" s="10">
        <v>26</v>
      </c>
      <c r="J95" s="10">
        <v>19</v>
      </c>
      <c r="K95" s="10">
        <v>11</v>
      </c>
      <c r="M95" s="10">
        <v>30</v>
      </c>
      <c r="N95" s="10">
        <v>11</v>
      </c>
      <c r="P95" s="10">
        <v>19</v>
      </c>
      <c r="Q95" s="10">
        <v>10</v>
      </c>
      <c r="V95" s="10">
        <v>12</v>
      </c>
      <c r="W95" s="10">
        <v>19</v>
      </c>
      <c r="Y95" s="10">
        <v>26</v>
      </c>
      <c r="Z95" s="10">
        <v>14</v>
      </c>
    </row>
    <row r="96" spans="1:26" s="10" customFormat="1" x14ac:dyDescent="0.25">
      <c r="A96" s="10">
        <v>4</v>
      </c>
      <c r="B96" s="10">
        <v>6</v>
      </c>
      <c r="D96" s="10">
        <v>22</v>
      </c>
      <c r="E96" s="10">
        <v>18</v>
      </c>
      <c r="J96" s="10">
        <v>13</v>
      </c>
      <c r="K96" s="10">
        <v>8</v>
      </c>
      <c r="M96" s="10">
        <v>15</v>
      </c>
      <c r="N96" s="10">
        <v>9</v>
      </c>
      <c r="P96" s="10">
        <v>27</v>
      </c>
      <c r="Q96" s="10">
        <v>14</v>
      </c>
      <c r="V96" s="10">
        <v>26</v>
      </c>
      <c r="W96" s="10">
        <v>10</v>
      </c>
      <c r="Y96" s="10">
        <v>11</v>
      </c>
      <c r="Z96" s="10">
        <v>14</v>
      </c>
    </row>
    <row r="97" spans="1:27" s="10" customFormat="1" x14ac:dyDescent="0.25">
      <c r="D97" s="10">
        <v>32</v>
      </c>
      <c r="E97" s="10">
        <v>15</v>
      </c>
      <c r="J97" s="10">
        <v>25</v>
      </c>
      <c r="K97" s="10">
        <v>14</v>
      </c>
      <c r="M97" s="10">
        <v>25</v>
      </c>
      <c r="N97" s="10">
        <v>13</v>
      </c>
      <c r="P97" s="10">
        <v>30</v>
      </c>
      <c r="Q97" s="10">
        <v>9</v>
      </c>
      <c r="Y97" s="10">
        <v>16</v>
      </c>
      <c r="Z97" s="10">
        <v>13</v>
      </c>
    </row>
    <row r="98" spans="1:27" x14ac:dyDescent="0.25">
      <c r="A98" s="36">
        <f>AVERAGE(A78:A97)</f>
        <v>23.315789473684209</v>
      </c>
      <c r="B98" s="37">
        <f>AVERAGE(B78:B97)</f>
        <v>15.052631578947368</v>
      </c>
      <c r="D98" s="36">
        <f>AVERAGE(D78:D97)</f>
        <v>27.5</v>
      </c>
      <c r="E98" s="37">
        <f>AVERAGE(E78:E97)</f>
        <v>18.2</v>
      </c>
      <c r="G98" s="36">
        <f>AVERAGE(G78:G97)</f>
        <v>27.555555555555557</v>
      </c>
      <c r="H98" s="37">
        <f>AVERAGE(H78:H97)</f>
        <v>19.111111111111111</v>
      </c>
      <c r="J98" s="36">
        <f>AVERAGE(J78:J97)</f>
        <v>25.4</v>
      </c>
      <c r="K98" s="37">
        <f>AVERAGE(K78:K97)</f>
        <v>12.85</v>
      </c>
      <c r="M98" s="36">
        <f>AVERAGE(M78:M97)</f>
        <v>32.700000000000003</v>
      </c>
      <c r="N98" s="37">
        <f>AVERAGE(N78:N97)</f>
        <v>14.3</v>
      </c>
      <c r="P98" s="36">
        <f>AVERAGE(P78:P97)</f>
        <v>22.25</v>
      </c>
      <c r="Q98" s="37">
        <f>AVERAGE(Q78:Q97)</f>
        <v>11.45</v>
      </c>
      <c r="S98" s="36">
        <f>AVERAGE(S78:S97)</f>
        <v>22.857142857142858</v>
      </c>
      <c r="T98" s="37">
        <f>AVERAGE(T78:T97)</f>
        <v>15.357142857142858</v>
      </c>
      <c r="V98" s="36">
        <f>AVERAGE(V78:V97)</f>
        <v>24.105263157894736</v>
      </c>
      <c r="W98" s="37">
        <f>AVERAGE(W78:W97)</f>
        <v>16.473684210526315</v>
      </c>
      <c r="Y98" s="36">
        <f>AVERAGE(Y78:Y97)</f>
        <v>20.7</v>
      </c>
      <c r="Z98" s="37">
        <f>AVERAGE(Z78:Z97)</f>
        <v>15.95</v>
      </c>
      <c r="AA98" s="3" t="s">
        <v>58</v>
      </c>
    </row>
    <row r="99" spans="1:27" x14ac:dyDescent="0.25">
      <c r="A99" s="9"/>
      <c r="B99" s="9"/>
      <c r="D99" s="9"/>
      <c r="E99" s="9"/>
      <c r="G99" s="9"/>
      <c r="H99" s="9"/>
      <c r="J99" s="9"/>
      <c r="K99" s="9"/>
      <c r="M99" s="9"/>
      <c r="N99" s="9"/>
      <c r="P99" s="9"/>
      <c r="Q99" s="9"/>
    </row>
    <row r="101" spans="1:27" x14ac:dyDescent="0.25">
      <c r="A101" s="9"/>
      <c r="B101" s="9"/>
      <c r="D101" s="9"/>
      <c r="E101" s="9"/>
      <c r="G101" s="9"/>
      <c r="H101" s="9"/>
      <c r="J101" s="9"/>
      <c r="K101" s="9"/>
      <c r="M101" s="9"/>
      <c r="N101" s="9"/>
      <c r="P101" s="9"/>
      <c r="Q101" s="9"/>
    </row>
  </sheetData>
  <mergeCells count="20">
    <mergeCell ref="AM44:AN44"/>
    <mergeCell ref="AQ44:AR44"/>
    <mergeCell ref="AU47:AV47"/>
    <mergeCell ref="AM57:AN57"/>
    <mergeCell ref="AQ57:AR57"/>
    <mergeCell ref="AS57:AT57"/>
    <mergeCell ref="AU57:AV57"/>
    <mergeCell ref="AQ10:AR10"/>
    <mergeCell ref="AS10:AT10"/>
    <mergeCell ref="AU10:AV10"/>
    <mergeCell ref="AB4:AB5"/>
    <mergeCell ref="AC4:AD4"/>
    <mergeCell ref="AE4:AF4"/>
    <mergeCell ref="AG4:AH4"/>
    <mergeCell ref="AB10:AB11"/>
    <mergeCell ref="AC10:AD10"/>
    <mergeCell ref="AE10:AF10"/>
    <mergeCell ref="AG10:AH10"/>
    <mergeCell ref="AI10:AJ10"/>
    <mergeCell ref="AM10:AN10"/>
  </mergeCells>
  <conditionalFormatting sqref="A3:B22 D3:E22 G3:H22">
    <cfRule type="cellIs" dxfId="0" priority="25" operator="equal">
      <formula>0</formula>
    </cfRule>
  </conditionalFormatting>
  <conditionalFormatting sqref="AI12:AI1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{2D29EAB5-86EC-46A4-8489-4AA0B061B772}</x14:id>
        </ext>
      </extLst>
    </cfRule>
  </conditionalFormatting>
  <conditionalFormatting sqref="AJ12:AJ1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{5AA29BA3-DF8E-408B-914D-4AA6BC6E7323}</x14:id>
        </ext>
      </extLst>
    </cfRule>
  </conditionalFormatting>
  <conditionalFormatting sqref="AK12:AK1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{BF2CA45C-944E-4A02-B2D8-20982E67F49B}</x14:id>
        </ext>
      </extLst>
    </cfRule>
  </conditionalFormatting>
  <conditionalFormatting sqref="AI15:AI17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{338A7A90-4FC7-4ACE-BFAC-8188775339D2}</x14:id>
        </ext>
      </extLst>
    </cfRule>
  </conditionalFormatting>
  <conditionalFormatting sqref="AJ15:AJ17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{CDD54FBC-9571-45D7-B1E9-DB99F566D602}</x14:id>
        </ext>
      </extLst>
    </cfRule>
  </conditionalFormatting>
  <conditionalFormatting sqref="AI18:AI20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{F573F8B5-D050-458C-9208-E5AC3EEE7F5B}</x14:id>
        </ext>
      </extLst>
    </cfRule>
  </conditionalFormatting>
  <conditionalFormatting sqref="AJ18:AJ2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{BA6E81B5-F3A2-4ADC-AAE7-69C0FF8A3398}</x14:id>
        </ext>
      </extLst>
    </cfRule>
  </conditionalFormatting>
  <conditionalFormatting sqref="AK18:AK20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{22B96B65-7E9E-4D7C-B4F0-3445CF67E1EE}</x14:id>
        </ext>
      </extLst>
    </cfRule>
  </conditionalFormatting>
  <conditionalFormatting sqref="AK15:AK1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{020D99DD-CCB5-4FE6-84BE-3CAD350812C2}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29EAB5-86EC-46A4-8489-4AA0B061B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AI12:AI14</xm:sqref>
        </x14:conditionalFormatting>
        <x14:conditionalFormatting xmlns:xm="http://schemas.microsoft.com/office/excel/2006/main">
          <x14:cfRule type="dataBar" id="{5AA29BA3-DF8E-408B-914D-4AA6BC6E73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AJ12:AJ14</xm:sqref>
        </x14:conditionalFormatting>
        <x14:conditionalFormatting xmlns:xm="http://schemas.microsoft.com/office/excel/2006/main">
          <x14:cfRule type="dataBar" id="{BF2CA45C-944E-4A02-B2D8-20982E67F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AK12:AK14</xm:sqref>
        </x14:conditionalFormatting>
        <x14:conditionalFormatting xmlns:xm="http://schemas.microsoft.com/office/excel/2006/main">
          <x14:cfRule type="dataBar" id="{338A7A90-4FC7-4ACE-BFAC-8188775339D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AI15:AI17</xm:sqref>
        </x14:conditionalFormatting>
        <x14:conditionalFormatting xmlns:xm="http://schemas.microsoft.com/office/excel/2006/main">
          <x14:cfRule type="dataBar" id="{CDD54FBC-9571-45D7-B1E9-DB99F566D6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AJ15:AJ17</xm:sqref>
        </x14:conditionalFormatting>
        <x14:conditionalFormatting xmlns:xm="http://schemas.microsoft.com/office/excel/2006/main">
          <x14:cfRule type="dataBar" id="{F573F8B5-D050-458C-9208-E5AC3EEE7F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AI18:AI20</xm:sqref>
        </x14:conditionalFormatting>
        <x14:conditionalFormatting xmlns:xm="http://schemas.microsoft.com/office/excel/2006/main">
          <x14:cfRule type="dataBar" id="{BA6E81B5-F3A2-4ADC-AAE7-69C0FF8A33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AJ18:AJ20</xm:sqref>
        </x14:conditionalFormatting>
        <x14:conditionalFormatting xmlns:xm="http://schemas.microsoft.com/office/excel/2006/main">
          <x14:cfRule type="dataBar" id="{22B96B65-7E9E-4D7C-B4F0-3445CF67E1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AK18:AK20</xm:sqref>
        </x14:conditionalFormatting>
        <x14:conditionalFormatting xmlns:xm="http://schemas.microsoft.com/office/excel/2006/main">
          <x14:cfRule type="dataBar" id="{020D99DD-CCB5-4FE6-84BE-3CAD350812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AK15:AK17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4"/>
  <sheetViews>
    <sheetView zoomScale="75" zoomScaleNormal="75" workbookViewId="0">
      <selection activeCell="X4" sqref="X4"/>
    </sheetView>
  </sheetViews>
  <sheetFormatPr defaultRowHeight="15" x14ac:dyDescent="0.25"/>
  <cols>
    <col min="16" max="16" width="14.28515625" customWidth="1"/>
    <col min="32" max="32" width="17.140625" customWidth="1"/>
    <col min="36" max="36" width="14.85546875" customWidth="1"/>
  </cols>
  <sheetData>
    <row r="1" spans="1:52" x14ac:dyDescent="0.25">
      <c r="A1" s="13" t="s">
        <v>59</v>
      </c>
      <c r="B1" s="13"/>
      <c r="C1" s="13"/>
      <c r="D1" s="13"/>
      <c r="E1" s="13"/>
      <c r="F1" s="13" t="s">
        <v>60</v>
      </c>
      <c r="G1" s="13"/>
      <c r="H1" s="13"/>
      <c r="I1" s="13"/>
      <c r="J1" s="13"/>
      <c r="K1" s="13" t="s">
        <v>61</v>
      </c>
      <c r="L1" s="13"/>
      <c r="M1" s="13"/>
      <c r="N1" s="13"/>
      <c r="O1" s="13"/>
      <c r="P1" s="13" t="s">
        <v>72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0"/>
      <c r="AE1" s="3"/>
      <c r="AF1" s="3"/>
      <c r="AG1" s="3"/>
      <c r="AH1" s="3"/>
      <c r="AI1" s="3"/>
      <c r="AJ1" s="3"/>
      <c r="AK1" s="3"/>
      <c r="AL1" s="3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51" t="s">
        <v>62</v>
      </c>
      <c r="B2" s="51" t="s">
        <v>69</v>
      </c>
      <c r="C2" s="51" t="s">
        <v>70</v>
      </c>
      <c r="D2" s="51" t="s">
        <v>71</v>
      </c>
      <c r="F2" s="51" t="s">
        <v>62</v>
      </c>
      <c r="G2" s="51" t="s">
        <v>69</v>
      </c>
      <c r="H2" s="51" t="s">
        <v>70</v>
      </c>
      <c r="I2" s="51" t="s">
        <v>71</v>
      </c>
      <c r="K2" s="51" t="s">
        <v>62</v>
      </c>
      <c r="L2" s="51" t="s">
        <v>69</v>
      </c>
      <c r="M2" s="51" t="s">
        <v>70</v>
      </c>
      <c r="N2" s="51" t="s">
        <v>71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3"/>
      <c r="AF2" s="3"/>
      <c r="AG2" s="3"/>
      <c r="AH2" s="3"/>
      <c r="AI2" s="3"/>
      <c r="AJ2" s="3"/>
      <c r="AK2" s="3"/>
      <c r="AL2" s="3"/>
    </row>
    <row r="3" spans="1:52" x14ac:dyDescent="0.25">
      <c r="A3" s="10">
        <v>11</v>
      </c>
      <c r="B3" s="10">
        <v>27</v>
      </c>
      <c r="C3" s="10">
        <v>31</v>
      </c>
      <c r="D3" s="10">
        <v>26</v>
      </c>
      <c r="E3" s="10"/>
      <c r="F3" s="10">
        <v>14</v>
      </c>
      <c r="G3" s="10">
        <v>30</v>
      </c>
      <c r="H3" s="10">
        <v>43</v>
      </c>
      <c r="I3" s="10">
        <v>31</v>
      </c>
      <c r="K3" s="10">
        <v>8</v>
      </c>
      <c r="L3" s="10">
        <v>26</v>
      </c>
      <c r="M3" s="10">
        <v>29</v>
      </c>
      <c r="N3" s="10">
        <v>27</v>
      </c>
      <c r="O3" s="10"/>
      <c r="P3" s="53" t="s">
        <v>73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42"/>
      <c r="AF3" s="42"/>
      <c r="AG3" s="57"/>
      <c r="AH3" s="57"/>
      <c r="AI3" s="57"/>
      <c r="AJ3" s="57"/>
      <c r="AK3" s="57"/>
      <c r="AL3" s="57"/>
    </row>
    <row r="4" spans="1:52" x14ac:dyDescent="0.25">
      <c r="A4" s="10">
        <v>11</v>
      </c>
      <c r="B4" s="10">
        <v>20</v>
      </c>
      <c r="C4" s="10">
        <v>31</v>
      </c>
      <c r="D4" s="10">
        <v>25</v>
      </c>
      <c r="E4" s="10"/>
      <c r="F4" s="10">
        <v>8</v>
      </c>
      <c r="G4" s="10">
        <v>28</v>
      </c>
      <c r="H4" s="10">
        <v>43</v>
      </c>
      <c r="I4" s="10">
        <v>36</v>
      </c>
      <c r="K4" s="10">
        <v>12</v>
      </c>
      <c r="L4" s="10">
        <v>28</v>
      </c>
      <c r="M4" s="10">
        <v>44</v>
      </c>
      <c r="N4" s="10">
        <v>28</v>
      </c>
      <c r="O4" s="10"/>
      <c r="P4" t="s">
        <v>52</v>
      </c>
      <c r="Q4" s="10" t="s">
        <v>74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22"/>
      <c r="AF4" s="22"/>
      <c r="AG4" s="22"/>
      <c r="AH4" s="22"/>
      <c r="AI4" s="22"/>
      <c r="AJ4" s="22"/>
      <c r="AK4" s="22"/>
      <c r="AL4" s="22"/>
    </row>
    <row r="5" spans="1:52" x14ac:dyDescent="0.25">
      <c r="A5" s="10">
        <v>12</v>
      </c>
      <c r="B5" s="10">
        <v>32</v>
      </c>
      <c r="C5" s="10">
        <v>47</v>
      </c>
      <c r="D5" s="10">
        <v>31</v>
      </c>
      <c r="E5" s="10"/>
      <c r="F5" s="10">
        <v>10</v>
      </c>
      <c r="G5" s="10">
        <v>26</v>
      </c>
      <c r="H5" s="10">
        <v>42</v>
      </c>
      <c r="I5" s="10">
        <v>31</v>
      </c>
      <c r="K5" s="10">
        <v>11</v>
      </c>
      <c r="L5" s="10">
        <v>20</v>
      </c>
      <c r="M5" s="10">
        <v>47</v>
      </c>
      <c r="N5" s="10">
        <v>36</v>
      </c>
      <c r="O5" s="10"/>
      <c r="P5" t="s">
        <v>49</v>
      </c>
      <c r="Q5" s="10" t="s">
        <v>79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33"/>
      <c r="AF5" s="39"/>
      <c r="AG5" s="16"/>
      <c r="AH5" s="16"/>
      <c r="AI5" s="43"/>
      <c r="AJ5" s="43"/>
      <c r="AK5" s="33"/>
      <c r="AL5" s="33"/>
    </row>
    <row r="6" spans="1:52" x14ac:dyDescent="0.25">
      <c r="A6" s="10">
        <v>13</v>
      </c>
      <c r="B6" s="10">
        <v>29</v>
      </c>
      <c r="C6" s="10">
        <v>38</v>
      </c>
      <c r="D6" s="10">
        <v>26</v>
      </c>
      <c r="E6" s="10"/>
      <c r="F6" s="10">
        <v>10</v>
      </c>
      <c r="G6" s="10">
        <v>28</v>
      </c>
      <c r="H6" s="10">
        <v>44</v>
      </c>
      <c r="I6" s="10">
        <v>30</v>
      </c>
      <c r="K6" s="10">
        <v>15</v>
      </c>
      <c r="L6" s="10">
        <v>38</v>
      </c>
      <c r="M6" s="10">
        <v>49</v>
      </c>
      <c r="N6" s="10">
        <v>39</v>
      </c>
      <c r="O6" s="10"/>
      <c r="P6" t="s">
        <v>57</v>
      </c>
      <c r="Q6" s="10" t="s">
        <v>77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33"/>
      <c r="AF6" s="39"/>
      <c r="AG6" s="43"/>
      <c r="AH6" s="43"/>
      <c r="AI6" s="43"/>
      <c r="AJ6" s="43"/>
      <c r="AK6" s="33"/>
      <c r="AL6" s="33"/>
    </row>
    <row r="7" spans="1:52" x14ac:dyDescent="0.25">
      <c r="A7" s="10">
        <v>16</v>
      </c>
      <c r="B7" s="10">
        <v>31</v>
      </c>
      <c r="C7" s="10">
        <v>45</v>
      </c>
      <c r="D7" s="10">
        <v>33</v>
      </c>
      <c r="E7" s="10"/>
      <c r="F7" s="10">
        <v>12</v>
      </c>
      <c r="G7" s="10">
        <v>40</v>
      </c>
      <c r="H7" s="10">
        <v>31</v>
      </c>
      <c r="I7" s="10">
        <v>36</v>
      </c>
      <c r="K7" s="10">
        <v>7</v>
      </c>
      <c r="L7" s="10">
        <v>24</v>
      </c>
      <c r="M7" s="10">
        <v>27</v>
      </c>
      <c r="N7" s="10">
        <v>28</v>
      </c>
      <c r="O7" s="10"/>
      <c r="P7" t="s">
        <v>54</v>
      </c>
      <c r="Q7" s="10" t="s">
        <v>78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3"/>
      <c r="AF7" s="3"/>
      <c r="AG7" s="43"/>
      <c r="AH7" s="43"/>
      <c r="AI7" s="43"/>
      <c r="AJ7" s="43"/>
      <c r="AK7" s="44"/>
      <c r="AL7" s="44"/>
    </row>
    <row r="8" spans="1:52" x14ac:dyDescent="0.25">
      <c r="A8" s="10">
        <v>11</v>
      </c>
      <c r="B8" s="10">
        <v>26</v>
      </c>
      <c r="C8" s="10">
        <v>29</v>
      </c>
      <c r="D8" s="10">
        <v>26</v>
      </c>
      <c r="E8" s="10"/>
      <c r="F8" s="10">
        <v>13</v>
      </c>
      <c r="G8" s="10">
        <v>33</v>
      </c>
      <c r="H8" s="10">
        <v>41</v>
      </c>
      <c r="I8" s="10">
        <v>47</v>
      </c>
      <c r="K8" s="10">
        <v>8</v>
      </c>
      <c r="L8" s="10">
        <v>22</v>
      </c>
      <c r="M8" s="10">
        <v>32</v>
      </c>
      <c r="N8" s="10">
        <v>24</v>
      </c>
      <c r="O8" s="10"/>
      <c r="P8" t="s">
        <v>55</v>
      </c>
      <c r="Q8" s="10" t="s">
        <v>75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3"/>
      <c r="AF8" s="3"/>
      <c r="AG8" s="44"/>
      <c r="AH8" s="44"/>
      <c r="AI8" s="43"/>
      <c r="AJ8" s="43"/>
      <c r="AK8" s="44"/>
      <c r="AL8" s="44"/>
    </row>
    <row r="9" spans="1:52" x14ac:dyDescent="0.25">
      <c r="A9" s="10">
        <v>11</v>
      </c>
      <c r="B9" s="10">
        <v>27</v>
      </c>
      <c r="C9" s="10">
        <v>32</v>
      </c>
      <c r="D9" s="10">
        <v>28</v>
      </c>
      <c r="E9" s="10"/>
      <c r="F9" s="10">
        <v>8</v>
      </c>
      <c r="G9" s="10">
        <v>27</v>
      </c>
      <c r="H9" s="10">
        <v>31</v>
      </c>
      <c r="I9" s="10">
        <v>39</v>
      </c>
      <c r="K9" s="10">
        <v>6</v>
      </c>
      <c r="L9" s="10">
        <v>21</v>
      </c>
      <c r="M9" s="10">
        <v>16</v>
      </c>
      <c r="N9" s="10">
        <v>21</v>
      </c>
      <c r="O9" s="10"/>
      <c r="P9" t="s">
        <v>56</v>
      </c>
      <c r="Q9" s="10" t="s">
        <v>76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3"/>
      <c r="AF9" s="3"/>
      <c r="AG9" s="44"/>
      <c r="AH9" s="44"/>
      <c r="AI9" s="43"/>
      <c r="AJ9" s="43"/>
      <c r="AK9" s="44"/>
      <c r="AL9" s="44"/>
    </row>
    <row r="10" spans="1:52" x14ac:dyDescent="0.25">
      <c r="A10" s="10">
        <v>9</v>
      </c>
      <c r="B10" s="10">
        <v>25</v>
      </c>
      <c r="C10" s="10">
        <v>23</v>
      </c>
      <c r="D10" s="10">
        <v>20</v>
      </c>
      <c r="E10" s="10"/>
      <c r="F10" s="10">
        <v>5</v>
      </c>
      <c r="G10" s="10">
        <v>17</v>
      </c>
      <c r="H10" s="10">
        <v>31</v>
      </c>
      <c r="I10" s="10">
        <v>19</v>
      </c>
      <c r="K10" s="10">
        <v>10</v>
      </c>
      <c r="L10" s="10">
        <v>25</v>
      </c>
      <c r="M10" s="10">
        <v>41</v>
      </c>
      <c r="N10" s="10">
        <v>24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3"/>
      <c r="AF10" s="3"/>
      <c r="AG10" s="44"/>
      <c r="AH10" s="44"/>
      <c r="AI10" s="43"/>
      <c r="AJ10" s="43"/>
      <c r="AK10" s="44"/>
      <c r="AL10" s="44"/>
    </row>
    <row r="11" spans="1:52" x14ac:dyDescent="0.25">
      <c r="A11" s="10">
        <v>8</v>
      </c>
      <c r="B11" s="10">
        <v>28</v>
      </c>
      <c r="C11" s="10">
        <v>19</v>
      </c>
      <c r="D11" s="10">
        <v>21</v>
      </c>
      <c r="E11" s="10"/>
      <c r="F11" s="10">
        <v>8</v>
      </c>
      <c r="G11" s="10">
        <v>20</v>
      </c>
      <c r="H11" s="10">
        <v>26</v>
      </c>
      <c r="I11" s="10">
        <v>33</v>
      </c>
      <c r="K11" s="10">
        <v>13</v>
      </c>
      <c r="L11" s="10">
        <v>27</v>
      </c>
      <c r="M11" s="10">
        <v>40</v>
      </c>
      <c r="N11" s="10">
        <v>28</v>
      </c>
      <c r="O11" s="10"/>
      <c r="P11" s="10" t="s">
        <v>80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3"/>
      <c r="AF11" s="21" t="s">
        <v>65</v>
      </c>
      <c r="AG11" s="58" t="s">
        <v>64</v>
      </c>
      <c r="AH11" s="58"/>
      <c r="AI11" s="10"/>
      <c r="AJ11" s="26"/>
      <c r="AK11" s="54" t="s">
        <v>64</v>
      </c>
      <c r="AL11" s="54"/>
    </row>
    <row r="12" spans="1:52" x14ac:dyDescent="0.25">
      <c r="A12" s="10">
        <v>10</v>
      </c>
      <c r="B12" s="10">
        <v>28</v>
      </c>
      <c r="C12" s="10">
        <v>29</v>
      </c>
      <c r="D12" s="10">
        <v>28</v>
      </c>
      <c r="E12" s="10"/>
      <c r="F12" s="10">
        <v>10</v>
      </c>
      <c r="G12" s="10">
        <v>25</v>
      </c>
      <c r="H12" s="10">
        <v>36</v>
      </c>
      <c r="I12" s="10">
        <v>27</v>
      </c>
      <c r="K12" s="10">
        <v>10</v>
      </c>
      <c r="L12" s="10">
        <v>29</v>
      </c>
      <c r="M12" s="10">
        <v>39</v>
      </c>
      <c r="N12" s="10">
        <v>24</v>
      </c>
      <c r="O12" s="10"/>
      <c r="P12" s="10" t="s">
        <v>81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3"/>
      <c r="AF12" s="19"/>
      <c r="AG12" s="52" t="s">
        <v>50</v>
      </c>
      <c r="AH12" s="52" t="s">
        <v>51</v>
      </c>
      <c r="AI12" s="10"/>
      <c r="AJ12" s="19"/>
      <c r="AK12" s="34" t="s">
        <v>50</v>
      </c>
      <c r="AL12" s="34" t="s">
        <v>51</v>
      </c>
    </row>
    <row r="13" spans="1:52" x14ac:dyDescent="0.25">
      <c r="A13" s="10">
        <v>12</v>
      </c>
      <c r="B13" s="10">
        <v>32</v>
      </c>
      <c r="C13" s="10">
        <v>38</v>
      </c>
      <c r="D13" s="10">
        <v>28</v>
      </c>
      <c r="E13" s="10"/>
      <c r="F13" s="10">
        <v>10</v>
      </c>
      <c r="G13" s="10">
        <v>32</v>
      </c>
      <c r="H13" s="10">
        <v>39</v>
      </c>
      <c r="I13" s="10">
        <v>30</v>
      </c>
      <c r="K13" s="10">
        <v>8</v>
      </c>
      <c r="L13" s="10">
        <v>14</v>
      </c>
      <c r="M13" s="10">
        <v>29</v>
      </c>
      <c r="N13" s="10">
        <v>21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3"/>
      <c r="AF13" s="23" t="s">
        <v>52</v>
      </c>
      <c r="AG13" s="38">
        <f>B19</f>
        <v>27.3125</v>
      </c>
      <c r="AH13" s="38">
        <f>A19</f>
        <v>10.3125</v>
      </c>
      <c r="AI13" s="3"/>
      <c r="AJ13" s="26" t="s">
        <v>49</v>
      </c>
      <c r="AK13" s="40">
        <f>AVERAGE(AG16:AG18)</f>
        <v>17.233399470899474</v>
      </c>
      <c r="AL13" s="38">
        <f>AVERAGE(AH16:AH18)</f>
        <v>4.5216269841269847</v>
      </c>
    </row>
    <row r="14" spans="1:52" x14ac:dyDescent="0.25">
      <c r="A14" s="10">
        <v>7</v>
      </c>
      <c r="B14" s="10">
        <v>20</v>
      </c>
      <c r="C14" s="10">
        <v>34</v>
      </c>
      <c r="D14" s="10">
        <v>19</v>
      </c>
      <c r="E14" s="10"/>
      <c r="F14" s="10">
        <v>9</v>
      </c>
      <c r="G14" s="10">
        <v>27</v>
      </c>
      <c r="H14" s="10">
        <v>34</v>
      </c>
      <c r="I14" s="10">
        <v>26</v>
      </c>
      <c r="K14" s="10">
        <v>8</v>
      </c>
      <c r="L14" s="10">
        <v>19</v>
      </c>
      <c r="M14" s="10">
        <v>29</v>
      </c>
      <c r="N14" s="10">
        <v>18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3"/>
      <c r="AF14" s="23" t="s">
        <v>52</v>
      </c>
      <c r="AG14" s="38">
        <f>G19</f>
        <v>29.8125</v>
      </c>
      <c r="AH14" s="38">
        <f>F19</f>
        <v>9.375</v>
      </c>
      <c r="AI14" s="3"/>
      <c r="AJ14" s="26" t="s">
        <v>57</v>
      </c>
      <c r="AK14" s="38">
        <f>AVERAGE(AG19:AG24)</f>
        <v>26.745601851851848</v>
      </c>
      <c r="AL14" s="38">
        <f>AVERAGE(AH19:AH24)</f>
        <v>10.978472222222223</v>
      </c>
    </row>
    <row r="15" spans="1:52" x14ac:dyDescent="0.25">
      <c r="A15" s="10">
        <v>8</v>
      </c>
      <c r="B15" s="10">
        <v>22</v>
      </c>
      <c r="C15" s="10">
        <v>14</v>
      </c>
      <c r="D15" s="10">
        <v>16</v>
      </c>
      <c r="E15" s="10"/>
      <c r="F15" s="10">
        <v>8</v>
      </c>
      <c r="G15" s="10">
        <v>21</v>
      </c>
      <c r="H15" s="10">
        <v>32</v>
      </c>
      <c r="I15" s="10">
        <v>24</v>
      </c>
      <c r="K15" s="10">
        <v>13</v>
      </c>
      <c r="L15" s="10">
        <v>41</v>
      </c>
      <c r="M15" s="10">
        <v>32</v>
      </c>
      <c r="N15" s="10">
        <v>41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3"/>
      <c r="AF15" s="23" t="s">
        <v>52</v>
      </c>
      <c r="AG15" s="38">
        <f>L19</f>
        <v>29.555555555555557</v>
      </c>
      <c r="AH15" s="38">
        <f>K19</f>
        <v>10.133333333333333</v>
      </c>
      <c r="AI15" s="48"/>
      <c r="AJ15" s="26" t="s">
        <v>54</v>
      </c>
      <c r="AK15" s="38">
        <f>AVERAGE(AG25:AG30)</f>
        <v>25.798611111111114</v>
      </c>
      <c r="AL15" s="41">
        <f>AVERAGE(AH25:AH30)</f>
        <v>7.3303571428571432</v>
      </c>
    </row>
    <row r="16" spans="1:52" x14ac:dyDescent="0.25">
      <c r="A16" s="10">
        <v>8</v>
      </c>
      <c r="B16" s="10">
        <v>17</v>
      </c>
      <c r="C16" s="10">
        <v>28</v>
      </c>
      <c r="D16" s="10">
        <v>18</v>
      </c>
      <c r="E16" s="10"/>
      <c r="F16" s="10">
        <v>11</v>
      </c>
      <c r="G16" s="10">
        <v>28</v>
      </c>
      <c r="H16" s="10">
        <v>28</v>
      </c>
      <c r="I16" s="10">
        <v>26</v>
      </c>
      <c r="K16" s="10">
        <v>14</v>
      </c>
      <c r="L16" s="10">
        <v>29</v>
      </c>
      <c r="M16" s="10">
        <v>41</v>
      </c>
      <c r="N16" s="10">
        <v>36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3"/>
      <c r="AF16" s="19" t="s">
        <v>49</v>
      </c>
      <c r="AG16" s="41">
        <f>B124</f>
        <v>14.822222222222223</v>
      </c>
      <c r="AH16" s="41">
        <f>A124</f>
        <v>4.4666666666666668</v>
      </c>
      <c r="AI16" s="3"/>
      <c r="AJ16" s="26" t="s">
        <v>55</v>
      </c>
      <c r="AK16" s="38">
        <f>AVERAGE(AG31:AG36)</f>
        <v>26.019775132275132</v>
      </c>
      <c r="AL16" s="38">
        <f>AVERAGE(AH31:AH36)</f>
        <v>9.2277777777777779</v>
      </c>
    </row>
    <row r="17" spans="1:52" x14ac:dyDescent="0.25">
      <c r="A17" s="10">
        <v>7</v>
      </c>
      <c r="B17" s="10">
        <v>19</v>
      </c>
      <c r="C17" s="10">
        <v>28</v>
      </c>
      <c r="D17" s="10">
        <v>19</v>
      </c>
      <c r="E17" s="10"/>
      <c r="F17" s="10">
        <v>9</v>
      </c>
      <c r="G17" s="10">
        <v>24</v>
      </c>
      <c r="H17" s="10">
        <v>36</v>
      </c>
      <c r="I17" s="10">
        <v>24</v>
      </c>
      <c r="K17" s="10">
        <v>9</v>
      </c>
      <c r="L17" s="10">
        <v>18</v>
      </c>
      <c r="M17" s="10">
        <v>33</v>
      </c>
      <c r="N17" s="10">
        <v>26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3"/>
      <c r="AF17" s="19" t="s">
        <v>49</v>
      </c>
      <c r="AG17" s="41">
        <f>G124</f>
        <v>18.854166666666668</v>
      </c>
      <c r="AH17" s="41">
        <f>F124</f>
        <v>4.8125</v>
      </c>
      <c r="AI17" s="3"/>
      <c r="AJ17" s="26" t="s">
        <v>56</v>
      </c>
      <c r="AK17" s="38">
        <f>AVERAGE(AG37:AG42)</f>
        <v>22.0849537037037</v>
      </c>
      <c r="AL17" s="38">
        <f>AVERAGE(AH37:AH42)</f>
        <v>7.3835317460317462</v>
      </c>
    </row>
    <row r="18" spans="1:52" x14ac:dyDescent="0.25">
      <c r="A18" s="10">
        <v>11</v>
      </c>
      <c r="B18" s="10">
        <v>28</v>
      </c>
      <c r="C18" s="10">
        <v>48</v>
      </c>
      <c r="D18" s="10">
        <v>22</v>
      </c>
      <c r="E18" s="10"/>
      <c r="F18" s="10">
        <v>5</v>
      </c>
      <c r="G18" s="10">
        <v>17</v>
      </c>
      <c r="H18" s="10">
        <v>6</v>
      </c>
      <c r="I18" s="10">
        <v>6</v>
      </c>
      <c r="J18" s="10"/>
      <c r="O18" s="10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19" t="s">
        <v>49</v>
      </c>
      <c r="AG18" s="38">
        <f>L124</f>
        <v>18.023809523809526</v>
      </c>
      <c r="AH18" s="38">
        <f>K124</f>
        <v>4.2857142857142856</v>
      </c>
      <c r="AI18" s="3"/>
      <c r="AJ18" s="19" t="s">
        <v>66</v>
      </c>
      <c r="AK18" s="38">
        <f>AVERAGE(AG13:AG15)</f>
        <v>28.893518518518519</v>
      </c>
      <c r="AL18" s="38">
        <f>AVERAGE(AH13:AH15)</f>
        <v>9.9402777777777782</v>
      </c>
    </row>
    <row r="19" spans="1:52" x14ac:dyDescent="0.25">
      <c r="A19" s="36">
        <f>AVERAGE(A3:A18)</f>
        <v>10.3125</v>
      </c>
      <c r="B19" s="50">
        <f>AVERAGE(B3:D18)</f>
        <v>27.3125</v>
      </c>
      <c r="C19" s="46"/>
      <c r="D19" s="46"/>
      <c r="F19" s="36">
        <f>AVERAGE(F3:F18)</f>
        <v>9.375</v>
      </c>
      <c r="G19" s="50">
        <f>AVERAGE(G3:I18)</f>
        <v>29.8125</v>
      </c>
      <c r="H19" s="46"/>
      <c r="I19" s="46"/>
      <c r="K19" s="36">
        <f>AVERAGE(K3:K18)</f>
        <v>10.133333333333333</v>
      </c>
      <c r="L19" s="50">
        <f>AVERAGE(L3:N18)</f>
        <v>29.555555555555557</v>
      </c>
      <c r="M19" s="46"/>
      <c r="N19" s="46"/>
      <c r="O19" s="10" t="s">
        <v>58</v>
      </c>
      <c r="P19" s="14"/>
      <c r="Q19" s="14"/>
      <c r="R19" s="14"/>
      <c r="S19" s="14"/>
      <c r="T19" s="3"/>
      <c r="U19" s="14"/>
      <c r="V19" s="14"/>
      <c r="W19" s="14"/>
      <c r="X19" s="14"/>
      <c r="Y19" s="3"/>
      <c r="Z19" s="14"/>
      <c r="AA19" s="14"/>
      <c r="AB19" s="14"/>
      <c r="AC19" s="14"/>
      <c r="AD19" s="3"/>
      <c r="AE19" s="3"/>
      <c r="AF19" s="19" t="s">
        <v>53</v>
      </c>
      <c r="AG19" s="41">
        <f>B40</f>
        <v>24.875</v>
      </c>
      <c r="AH19" s="41">
        <f>A40</f>
        <v>10.0625</v>
      </c>
      <c r="AI19" s="3"/>
      <c r="AJ19" s="10"/>
    </row>
    <row r="20" spans="1:52" x14ac:dyDescent="0.25">
      <c r="O20" s="10"/>
      <c r="P20" s="3"/>
      <c r="Q20" s="47"/>
      <c r="R20" s="3"/>
      <c r="S20" s="3"/>
      <c r="T20" s="10"/>
      <c r="U20" s="3"/>
      <c r="V20" s="47"/>
      <c r="W20" s="3"/>
      <c r="X20" s="3"/>
      <c r="Y20" s="10"/>
      <c r="Z20" s="10"/>
      <c r="AA20" s="47"/>
      <c r="AB20" s="3"/>
      <c r="AC20" s="3"/>
      <c r="AD20" s="10"/>
      <c r="AE20" s="3"/>
      <c r="AF20" s="19" t="s">
        <v>53</v>
      </c>
      <c r="AG20" s="38">
        <f>G40</f>
        <v>27.125</v>
      </c>
      <c r="AH20" s="38">
        <f>F40</f>
        <v>10.0625</v>
      </c>
      <c r="AI20" s="3"/>
      <c r="AJ20" s="10"/>
      <c r="AK20" s="10"/>
      <c r="AL20" s="10"/>
    </row>
    <row r="21" spans="1:52" x14ac:dyDescent="0.25">
      <c r="AD21" s="10"/>
      <c r="AE21" s="3"/>
      <c r="AF21" s="19" t="s">
        <v>53</v>
      </c>
      <c r="AG21" s="38">
        <f>L40</f>
        <v>30.2</v>
      </c>
      <c r="AH21" s="38">
        <f>K40</f>
        <v>12</v>
      </c>
      <c r="AI21" s="3"/>
      <c r="AJ21" s="10"/>
      <c r="AK21" s="10"/>
      <c r="AL21" s="10"/>
    </row>
    <row r="22" spans="1:52" x14ac:dyDescent="0.25">
      <c r="A22" s="13" t="s">
        <v>22</v>
      </c>
      <c r="B22" s="13"/>
      <c r="C22" s="13"/>
      <c r="D22" s="13"/>
      <c r="E22" s="13"/>
      <c r="F22" s="13" t="s">
        <v>23</v>
      </c>
      <c r="G22" s="13"/>
      <c r="H22" s="13"/>
      <c r="I22" s="13"/>
      <c r="J22" s="13"/>
      <c r="K22" s="13" t="s">
        <v>24</v>
      </c>
      <c r="L22" s="13"/>
      <c r="M22" s="13"/>
      <c r="N22" s="13"/>
      <c r="O22" s="13"/>
      <c r="P22" s="13" t="s">
        <v>25</v>
      </c>
      <c r="Q22" s="13"/>
      <c r="R22" s="13"/>
      <c r="S22" s="13"/>
      <c r="T22" s="13"/>
      <c r="U22" s="13" t="s">
        <v>26</v>
      </c>
      <c r="V22" s="13"/>
      <c r="W22" s="13"/>
      <c r="X22" s="13"/>
      <c r="Y22" s="13"/>
      <c r="Z22" s="13" t="s">
        <v>27</v>
      </c>
      <c r="AA22" s="13"/>
      <c r="AB22" s="13"/>
      <c r="AC22" s="13"/>
      <c r="AD22" s="10"/>
      <c r="AE22" s="3"/>
      <c r="AF22" s="19" t="s">
        <v>53</v>
      </c>
      <c r="AG22" s="38">
        <f>Q40</f>
        <v>28.444444444444443</v>
      </c>
      <c r="AH22" s="38">
        <f>P40</f>
        <v>12.466666666666667</v>
      </c>
      <c r="AI22" s="3"/>
      <c r="AJ22" s="10"/>
      <c r="AK22" s="10"/>
      <c r="AL22" s="10"/>
    </row>
    <row r="23" spans="1:52" x14ac:dyDescent="0.25">
      <c r="A23" s="51" t="s">
        <v>62</v>
      </c>
      <c r="B23" s="51" t="s">
        <v>69</v>
      </c>
      <c r="C23" s="51" t="s">
        <v>70</v>
      </c>
      <c r="D23" s="51" t="s">
        <v>71</v>
      </c>
      <c r="F23" s="51" t="s">
        <v>62</v>
      </c>
      <c r="G23" s="51" t="s">
        <v>69</v>
      </c>
      <c r="H23" s="51" t="s">
        <v>70</v>
      </c>
      <c r="I23" s="51" t="s">
        <v>71</v>
      </c>
      <c r="K23" s="51" t="s">
        <v>62</v>
      </c>
      <c r="L23" s="51" t="s">
        <v>69</v>
      </c>
      <c r="M23" s="51" t="s">
        <v>70</v>
      </c>
      <c r="N23" s="51" t="s">
        <v>71</v>
      </c>
      <c r="P23" s="51" t="s">
        <v>62</v>
      </c>
      <c r="Q23" s="51" t="s">
        <v>69</v>
      </c>
      <c r="R23" s="51" t="s">
        <v>70</v>
      </c>
      <c r="S23" s="51" t="s">
        <v>71</v>
      </c>
      <c r="U23" s="51" t="s">
        <v>62</v>
      </c>
      <c r="V23" s="51" t="s">
        <v>69</v>
      </c>
      <c r="W23" s="51" t="s">
        <v>70</v>
      </c>
      <c r="X23" s="51" t="s">
        <v>71</v>
      </c>
      <c r="Z23" s="51" t="s">
        <v>62</v>
      </c>
      <c r="AA23" s="51" t="s">
        <v>69</v>
      </c>
      <c r="AB23" s="51" t="s">
        <v>70</v>
      </c>
      <c r="AC23" s="51" t="s">
        <v>71</v>
      </c>
      <c r="AD23" s="10"/>
      <c r="AE23" s="3"/>
      <c r="AF23" s="19" t="s">
        <v>53</v>
      </c>
      <c r="AG23" s="38">
        <f>V40</f>
        <v>25.229166666666668</v>
      </c>
      <c r="AH23" s="38">
        <f>U40</f>
        <v>9.8125</v>
      </c>
      <c r="AI23" s="3"/>
      <c r="AJ23" s="10"/>
      <c r="AK23" s="10"/>
      <c r="AL23" s="10"/>
    </row>
    <row r="24" spans="1:52" x14ac:dyDescent="0.25">
      <c r="A24" s="10">
        <v>12</v>
      </c>
      <c r="B24" s="10">
        <v>28</v>
      </c>
      <c r="C24" s="10">
        <v>26</v>
      </c>
      <c r="D24" s="10">
        <v>42</v>
      </c>
      <c r="E24" s="10"/>
      <c r="F24" s="10">
        <v>9</v>
      </c>
      <c r="G24" s="10">
        <v>23</v>
      </c>
      <c r="H24" s="10">
        <v>29</v>
      </c>
      <c r="I24" s="10">
        <v>29</v>
      </c>
      <c r="J24" s="10"/>
      <c r="K24" s="10">
        <v>9</v>
      </c>
      <c r="L24" s="10">
        <v>23</v>
      </c>
      <c r="M24" s="10">
        <v>35</v>
      </c>
      <c r="N24" s="10">
        <v>36</v>
      </c>
      <c r="O24" s="10"/>
      <c r="P24" s="10">
        <v>9</v>
      </c>
      <c r="Q24" s="10">
        <v>19</v>
      </c>
      <c r="R24" s="10">
        <v>23</v>
      </c>
      <c r="S24" s="10">
        <v>18</v>
      </c>
      <c r="T24" s="10"/>
      <c r="U24" s="10">
        <v>12</v>
      </c>
      <c r="V24" s="10">
        <v>28</v>
      </c>
      <c r="W24" s="10">
        <v>38</v>
      </c>
      <c r="X24" s="10">
        <v>23</v>
      </c>
      <c r="Y24" s="10"/>
      <c r="Z24" s="10">
        <v>28</v>
      </c>
      <c r="AA24" s="10">
        <v>42</v>
      </c>
      <c r="AB24" s="10">
        <v>62</v>
      </c>
      <c r="AC24" s="10">
        <v>22</v>
      </c>
      <c r="AD24" s="10"/>
      <c r="AF24" s="19" t="s">
        <v>53</v>
      </c>
      <c r="AG24" s="38">
        <f>AA40</f>
        <v>24.6</v>
      </c>
      <c r="AH24" s="38">
        <f>Z40</f>
        <v>11.466666666666667</v>
      </c>
      <c r="AI24" s="10"/>
      <c r="AJ24" s="10"/>
      <c r="AK24" s="10"/>
      <c r="AL24" s="10"/>
    </row>
    <row r="25" spans="1:52" x14ac:dyDescent="0.25">
      <c r="A25" s="10">
        <v>12</v>
      </c>
      <c r="B25" s="10">
        <v>19</v>
      </c>
      <c r="C25" s="10">
        <v>23</v>
      </c>
      <c r="D25" s="10">
        <v>14</v>
      </c>
      <c r="E25" s="10"/>
      <c r="F25" s="10">
        <v>6</v>
      </c>
      <c r="G25" s="10">
        <v>19</v>
      </c>
      <c r="H25" s="10">
        <v>24</v>
      </c>
      <c r="I25" s="10">
        <v>19</v>
      </c>
      <c r="J25" s="10"/>
      <c r="K25" s="10">
        <v>26</v>
      </c>
      <c r="L25" s="10">
        <v>20</v>
      </c>
      <c r="M25" s="10">
        <v>29</v>
      </c>
      <c r="N25" s="10">
        <v>61</v>
      </c>
      <c r="O25" s="10"/>
      <c r="P25" s="10">
        <v>24</v>
      </c>
      <c r="Q25" s="10">
        <v>49</v>
      </c>
      <c r="R25" s="10">
        <v>35</v>
      </c>
      <c r="S25" s="10">
        <v>36</v>
      </c>
      <c r="T25" s="10"/>
      <c r="U25" s="10">
        <v>18</v>
      </c>
      <c r="V25" s="10">
        <v>36</v>
      </c>
      <c r="W25" s="10">
        <v>53</v>
      </c>
      <c r="X25" s="10">
        <v>42</v>
      </c>
      <c r="Y25" s="10"/>
      <c r="Z25" s="10">
        <v>23</v>
      </c>
      <c r="AA25" s="10">
        <v>28</v>
      </c>
      <c r="AB25" s="10">
        <v>52</v>
      </c>
      <c r="AC25" s="10">
        <v>32</v>
      </c>
      <c r="AD25" s="10"/>
      <c r="AF25" s="19" t="s">
        <v>54</v>
      </c>
      <c r="AG25" s="38">
        <f>B61</f>
        <v>26.5625</v>
      </c>
      <c r="AH25" s="38">
        <f>A61</f>
        <v>8.1875</v>
      </c>
      <c r="AI25" s="10"/>
      <c r="AJ25" s="10"/>
      <c r="AK25" s="10"/>
      <c r="AL25" s="10"/>
    </row>
    <row r="26" spans="1:52" x14ac:dyDescent="0.25">
      <c r="A26" s="10">
        <v>11</v>
      </c>
      <c r="B26" s="10">
        <v>42</v>
      </c>
      <c r="C26" s="10">
        <v>16</v>
      </c>
      <c r="D26" s="10">
        <v>21</v>
      </c>
      <c r="E26" s="10"/>
      <c r="F26" s="10">
        <v>8</v>
      </c>
      <c r="G26" s="10">
        <v>29</v>
      </c>
      <c r="H26" s="10">
        <v>31</v>
      </c>
      <c r="I26" s="10">
        <v>26</v>
      </c>
      <c r="J26" s="10"/>
      <c r="K26" s="10">
        <v>11</v>
      </c>
      <c r="L26" s="10">
        <v>23</v>
      </c>
      <c r="M26" s="10">
        <v>31</v>
      </c>
      <c r="N26" s="10">
        <v>26</v>
      </c>
      <c r="O26" s="10"/>
      <c r="P26" s="10">
        <v>22</v>
      </c>
      <c r="Q26" s="10">
        <v>28</v>
      </c>
      <c r="R26" s="10">
        <v>22</v>
      </c>
      <c r="S26" s="10">
        <v>77</v>
      </c>
      <c r="T26" s="10"/>
      <c r="U26" s="10">
        <v>10</v>
      </c>
      <c r="V26" s="10">
        <v>24</v>
      </c>
      <c r="W26" s="10">
        <v>18</v>
      </c>
      <c r="X26" s="10">
        <v>17</v>
      </c>
      <c r="Y26" s="10"/>
      <c r="Z26" s="10">
        <v>7</v>
      </c>
      <c r="AA26" s="10">
        <v>18</v>
      </c>
      <c r="AB26" s="10">
        <v>24</v>
      </c>
      <c r="AC26" s="10">
        <v>21</v>
      </c>
      <c r="AD26" s="10"/>
      <c r="AE26" s="3"/>
      <c r="AF26" s="19" t="s">
        <v>54</v>
      </c>
      <c r="AG26" s="38">
        <f>G61</f>
        <v>23.875</v>
      </c>
      <c r="AH26" s="38">
        <f>F61</f>
        <v>7.25</v>
      </c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0">
        <v>15</v>
      </c>
      <c r="B27" s="10">
        <v>26</v>
      </c>
      <c r="C27" s="10">
        <v>30</v>
      </c>
      <c r="D27" s="10">
        <v>48</v>
      </c>
      <c r="E27" s="10"/>
      <c r="F27" s="10">
        <v>13</v>
      </c>
      <c r="G27" s="10">
        <v>27</v>
      </c>
      <c r="H27" s="10">
        <v>37</v>
      </c>
      <c r="I27" s="10">
        <v>46</v>
      </c>
      <c r="J27" s="10"/>
      <c r="K27" s="10">
        <v>6</v>
      </c>
      <c r="L27" s="10">
        <v>15</v>
      </c>
      <c r="M27" s="10">
        <v>17</v>
      </c>
      <c r="N27" s="10">
        <v>20</v>
      </c>
      <c r="O27" s="10"/>
      <c r="P27" s="10">
        <v>19</v>
      </c>
      <c r="Q27" s="10">
        <v>26</v>
      </c>
      <c r="R27" s="10">
        <v>36</v>
      </c>
      <c r="S27" s="10">
        <v>24</v>
      </c>
      <c r="T27" s="10"/>
      <c r="U27" s="10">
        <v>8</v>
      </c>
      <c r="V27" s="10">
        <v>22</v>
      </c>
      <c r="W27" s="10">
        <v>25</v>
      </c>
      <c r="X27" s="10">
        <v>41</v>
      </c>
      <c r="Y27" s="10"/>
      <c r="Z27" s="10">
        <v>7</v>
      </c>
      <c r="AA27" s="10">
        <v>22</v>
      </c>
      <c r="AB27" s="10">
        <v>24</v>
      </c>
      <c r="AC27" s="10">
        <v>33</v>
      </c>
      <c r="AD27" s="10"/>
      <c r="AF27" s="19" t="s">
        <v>54</v>
      </c>
      <c r="AG27" s="38">
        <f>L61</f>
        <v>29.166666666666668</v>
      </c>
      <c r="AH27" s="38">
        <f>K61</f>
        <v>7.3571428571428568</v>
      </c>
      <c r="AI27" s="10"/>
      <c r="AJ27" s="10"/>
      <c r="AK27" s="10"/>
      <c r="AL27" s="10"/>
    </row>
    <row r="28" spans="1:52" x14ac:dyDescent="0.25">
      <c r="A28" s="10">
        <v>18</v>
      </c>
      <c r="B28" s="10">
        <v>30</v>
      </c>
      <c r="C28" s="10">
        <v>42</v>
      </c>
      <c r="D28" s="10">
        <v>48</v>
      </c>
      <c r="E28" s="10"/>
      <c r="F28" s="10">
        <v>11</v>
      </c>
      <c r="G28" s="10">
        <v>35</v>
      </c>
      <c r="H28" s="10">
        <v>21</v>
      </c>
      <c r="I28" s="10">
        <v>31</v>
      </c>
      <c r="J28" s="10"/>
      <c r="K28" s="10">
        <v>8</v>
      </c>
      <c r="L28" s="10">
        <v>18</v>
      </c>
      <c r="M28" s="10">
        <v>23</v>
      </c>
      <c r="N28" s="10">
        <v>21</v>
      </c>
      <c r="O28" s="10"/>
      <c r="P28" s="10">
        <v>9</v>
      </c>
      <c r="Q28" s="10">
        <v>22</v>
      </c>
      <c r="R28" s="10">
        <v>28</v>
      </c>
      <c r="S28" s="10">
        <v>19</v>
      </c>
      <c r="T28" s="10"/>
      <c r="U28" s="10">
        <v>11</v>
      </c>
      <c r="V28" s="10">
        <v>23</v>
      </c>
      <c r="W28" s="10">
        <v>26</v>
      </c>
      <c r="X28" s="10">
        <v>25</v>
      </c>
      <c r="Y28" s="10"/>
      <c r="Z28" s="10">
        <v>8</v>
      </c>
      <c r="AA28" s="10">
        <v>25</v>
      </c>
      <c r="AB28" s="10">
        <v>21</v>
      </c>
      <c r="AC28" s="10">
        <v>22</v>
      </c>
      <c r="AD28" s="10"/>
      <c r="AE28" s="10"/>
      <c r="AF28" s="19" t="s">
        <v>54</v>
      </c>
      <c r="AG28" s="38">
        <f>Q61</f>
        <v>21.5</v>
      </c>
      <c r="AH28" s="38">
        <f>P61</f>
        <v>7</v>
      </c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>
        <v>13</v>
      </c>
      <c r="B29" s="10">
        <v>41</v>
      </c>
      <c r="C29" s="10">
        <v>23</v>
      </c>
      <c r="D29" s="10">
        <v>25</v>
      </c>
      <c r="E29" s="10"/>
      <c r="F29" s="10">
        <v>7</v>
      </c>
      <c r="G29" s="10">
        <v>23</v>
      </c>
      <c r="H29" s="10">
        <v>34</v>
      </c>
      <c r="I29" s="10">
        <v>24</v>
      </c>
      <c r="J29" s="10"/>
      <c r="K29" s="10">
        <v>14</v>
      </c>
      <c r="L29" s="10">
        <v>36</v>
      </c>
      <c r="M29" s="10">
        <v>49</v>
      </c>
      <c r="N29" s="10">
        <v>68</v>
      </c>
      <c r="O29" s="10"/>
      <c r="P29" s="10">
        <v>11</v>
      </c>
      <c r="Q29" s="10">
        <v>22</v>
      </c>
      <c r="R29" s="10">
        <v>25</v>
      </c>
      <c r="S29" s="10">
        <v>31</v>
      </c>
      <c r="T29" s="10"/>
      <c r="U29" s="10">
        <v>6</v>
      </c>
      <c r="V29" s="10">
        <v>13</v>
      </c>
      <c r="W29" s="10">
        <v>12</v>
      </c>
      <c r="X29" s="10">
        <v>12</v>
      </c>
      <c r="Y29" s="10"/>
      <c r="Z29" s="10">
        <v>14</v>
      </c>
      <c r="AA29" s="10">
        <v>33</v>
      </c>
      <c r="AB29" s="10">
        <v>23</v>
      </c>
      <c r="AC29" s="10">
        <v>23</v>
      </c>
      <c r="AD29" s="10"/>
      <c r="AE29" s="10"/>
      <c r="AF29" s="19" t="s">
        <v>54</v>
      </c>
      <c r="AG29" s="38">
        <f>V61</f>
        <v>23.104166666666668</v>
      </c>
      <c r="AH29" s="38">
        <f>U61</f>
        <v>5.875</v>
      </c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>
        <v>10</v>
      </c>
      <c r="B30" s="10">
        <v>24</v>
      </c>
      <c r="C30" s="10">
        <v>32</v>
      </c>
      <c r="D30" s="10">
        <v>20</v>
      </c>
      <c r="E30" s="10"/>
      <c r="F30" s="10">
        <v>8</v>
      </c>
      <c r="G30" s="10">
        <v>12</v>
      </c>
      <c r="H30" s="10">
        <v>14</v>
      </c>
      <c r="I30" s="10">
        <v>12</v>
      </c>
      <c r="J30" s="10"/>
      <c r="K30" s="10">
        <v>8</v>
      </c>
      <c r="L30" s="10">
        <v>22</v>
      </c>
      <c r="M30" s="10">
        <v>24</v>
      </c>
      <c r="N30" s="10">
        <v>20</v>
      </c>
      <c r="O30" s="10"/>
      <c r="P30" s="10">
        <v>16</v>
      </c>
      <c r="Q30" s="10">
        <v>43</v>
      </c>
      <c r="R30" s="10">
        <v>30</v>
      </c>
      <c r="S30" s="10">
        <v>28</v>
      </c>
      <c r="T30" s="10"/>
      <c r="U30" s="10">
        <v>11</v>
      </c>
      <c r="V30" s="10">
        <v>28</v>
      </c>
      <c r="W30" s="10">
        <v>39</v>
      </c>
      <c r="X30" s="10">
        <v>24</v>
      </c>
      <c r="Y30" s="10"/>
      <c r="Z30" s="10">
        <v>10</v>
      </c>
      <c r="AA30" s="10">
        <v>22</v>
      </c>
      <c r="AB30" s="10">
        <v>49</v>
      </c>
      <c r="AC30" s="10">
        <v>26</v>
      </c>
      <c r="AD30" s="10"/>
      <c r="AE30" s="10"/>
      <c r="AF30" s="19" t="s">
        <v>54</v>
      </c>
      <c r="AG30" s="38">
        <f>AA61</f>
        <v>30.583333333333332</v>
      </c>
      <c r="AH30" s="38">
        <f>Z61</f>
        <v>8.3125</v>
      </c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>
        <v>9</v>
      </c>
      <c r="B31" s="10">
        <v>42</v>
      </c>
      <c r="C31" s="10">
        <v>17</v>
      </c>
      <c r="D31" s="10">
        <v>24</v>
      </c>
      <c r="E31" s="10"/>
      <c r="F31" s="10">
        <v>10</v>
      </c>
      <c r="G31" s="10">
        <v>28</v>
      </c>
      <c r="H31" s="10">
        <v>44</v>
      </c>
      <c r="I31" s="10">
        <v>26</v>
      </c>
      <c r="J31" s="10"/>
      <c r="K31" s="10">
        <v>11</v>
      </c>
      <c r="L31" s="10">
        <v>25</v>
      </c>
      <c r="M31" s="10">
        <v>53</v>
      </c>
      <c r="N31" s="10">
        <v>23</v>
      </c>
      <c r="O31" s="10"/>
      <c r="P31" s="10">
        <v>9</v>
      </c>
      <c r="Q31" s="10">
        <v>25</v>
      </c>
      <c r="R31" s="10">
        <v>28</v>
      </c>
      <c r="S31" s="10">
        <v>30</v>
      </c>
      <c r="T31" s="10"/>
      <c r="U31" s="10">
        <v>7</v>
      </c>
      <c r="V31" s="10">
        <v>18</v>
      </c>
      <c r="W31" s="10">
        <v>23</v>
      </c>
      <c r="X31" s="10">
        <v>26</v>
      </c>
      <c r="Y31" s="10"/>
      <c r="Z31" s="10">
        <v>9</v>
      </c>
      <c r="AA31" s="10">
        <v>12</v>
      </c>
      <c r="AB31" s="10">
        <v>14</v>
      </c>
      <c r="AC31" s="10">
        <v>20</v>
      </c>
      <c r="AD31" s="10"/>
      <c r="AE31" s="10"/>
      <c r="AF31" s="19" t="s">
        <v>55</v>
      </c>
      <c r="AG31" s="38">
        <f>B82</f>
        <v>23.541666666666668</v>
      </c>
      <c r="AH31" s="38">
        <f>A82</f>
        <v>6.0625</v>
      </c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0">
        <v>10</v>
      </c>
      <c r="B32" s="10">
        <v>17</v>
      </c>
      <c r="C32" s="10">
        <v>27</v>
      </c>
      <c r="D32" s="10">
        <v>16</v>
      </c>
      <c r="E32" s="10"/>
      <c r="F32" s="10">
        <v>10</v>
      </c>
      <c r="G32" s="10">
        <v>20</v>
      </c>
      <c r="H32" s="10">
        <v>23</v>
      </c>
      <c r="I32" s="10">
        <v>30</v>
      </c>
      <c r="J32" s="10"/>
      <c r="K32" s="10">
        <v>8</v>
      </c>
      <c r="L32" s="10">
        <v>22</v>
      </c>
      <c r="M32" s="10">
        <v>18</v>
      </c>
      <c r="N32" s="10">
        <v>23</v>
      </c>
      <c r="O32" s="10"/>
      <c r="P32" s="10">
        <v>8</v>
      </c>
      <c r="Q32" s="10">
        <v>25</v>
      </c>
      <c r="R32" s="10">
        <v>27</v>
      </c>
      <c r="S32" s="10">
        <v>22</v>
      </c>
      <c r="T32" s="10"/>
      <c r="U32" s="10">
        <v>10</v>
      </c>
      <c r="V32" s="10">
        <v>26</v>
      </c>
      <c r="W32" s="10">
        <v>20</v>
      </c>
      <c r="X32" s="10">
        <v>16</v>
      </c>
      <c r="Y32" s="10"/>
      <c r="Z32" s="10">
        <v>11</v>
      </c>
      <c r="AA32" s="10">
        <v>16</v>
      </c>
      <c r="AB32" s="10">
        <v>20</v>
      </c>
      <c r="AC32" s="10">
        <v>38</v>
      </c>
      <c r="AD32" s="10"/>
      <c r="AE32" s="10"/>
      <c r="AF32" s="19" t="s">
        <v>55</v>
      </c>
      <c r="AG32" s="38">
        <f>G82</f>
        <v>22.755555555555556</v>
      </c>
      <c r="AH32" s="38">
        <f>F82</f>
        <v>5.8666666666666663</v>
      </c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>
        <v>12</v>
      </c>
      <c r="B33" s="10">
        <v>25</v>
      </c>
      <c r="C33" s="10">
        <v>26</v>
      </c>
      <c r="D33" s="10">
        <v>38</v>
      </c>
      <c r="E33" s="10"/>
      <c r="F33" s="10">
        <v>16</v>
      </c>
      <c r="G33" s="10">
        <v>32</v>
      </c>
      <c r="H33" s="10">
        <v>16</v>
      </c>
      <c r="I33" s="10">
        <v>45</v>
      </c>
      <c r="J33" s="10"/>
      <c r="K33" s="10">
        <v>14</v>
      </c>
      <c r="L33" s="10">
        <v>43</v>
      </c>
      <c r="M33" s="10">
        <v>46</v>
      </c>
      <c r="N33" s="10">
        <v>65</v>
      </c>
      <c r="O33" s="10"/>
      <c r="P33" s="10">
        <v>9</v>
      </c>
      <c r="Q33" s="10">
        <v>19</v>
      </c>
      <c r="R33" s="10">
        <v>27</v>
      </c>
      <c r="S33" s="10">
        <v>43</v>
      </c>
      <c r="T33" s="10"/>
      <c r="U33" s="10">
        <v>11</v>
      </c>
      <c r="V33" s="10">
        <v>23</v>
      </c>
      <c r="W33" s="10">
        <v>32</v>
      </c>
      <c r="X33" s="10">
        <v>23</v>
      </c>
      <c r="Y33" s="10"/>
      <c r="Z33" s="10">
        <v>12</v>
      </c>
      <c r="AA33" s="10">
        <v>22</v>
      </c>
      <c r="AB33" s="10">
        <v>32</v>
      </c>
      <c r="AC33" s="10">
        <v>26</v>
      </c>
      <c r="AD33" s="10"/>
      <c r="AE33" s="10"/>
      <c r="AF33" s="19" t="s">
        <v>55</v>
      </c>
      <c r="AG33" s="38">
        <f>L82</f>
        <v>22.541666666666668</v>
      </c>
      <c r="AH33" s="38">
        <f>K82</f>
        <v>5.625</v>
      </c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0">
        <v>5</v>
      </c>
      <c r="B34" s="10">
        <v>17</v>
      </c>
      <c r="C34" s="10">
        <v>22</v>
      </c>
      <c r="D34" s="10">
        <v>20</v>
      </c>
      <c r="E34" s="10"/>
      <c r="F34" s="10">
        <v>10</v>
      </c>
      <c r="G34" s="10">
        <v>24</v>
      </c>
      <c r="H34" s="10">
        <v>28</v>
      </c>
      <c r="I34" s="10">
        <v>34</v>
      </c>
      <c r="J34" s="10"/>
      <c r="K34" s="10">
        <v>10</v>
      </c>
      <c r="L34" s="10">
        <v>21</v>
      </c>
      <c r="M34" s="10">
        <v>29</v>
      </c>
      <c r="N34" s="10">
        <v>16</v>
      </c>
      <c r="O34" s="10"/>
      <c r="P34" s="10">
        <v>11</v>
      </c>
      <c r="Q34" s="10">
        <v>28</v>
      </c>
      <c r="R34" s="10">
        <v>32</v>
      </c>
      <c r="S34" s="10">
        <v>18</v>
      </c>
      <c r="T34" s="10"/>
      <c r="U34" s="10">
        <v>8</v>
      </c>
      <c r="V34" s="10">
        <v>18</v>
      </c>
      <c r="W34" s="10">
        <v>32</v>
      </c>
      <c r="X34" s="10">
        <v>18</v>
      </c>
      <c r="Y34" s="10"/>
      <c r="Z34" s="10">
        <v>8</v>
      </c>
      <c r="AA34" s="10">
        <v>15</v>
      </c>
      <c r="AB34" s="10">
        <v>23</v>
      </c>
      <c r="AC34" s="10">
        <v>17</v>
      </c>
      <c r="AD34" s="10"/>
      <c r="AE34" s="10"/>
      <c r="AF34" s="19" t="s">
        <v>55</v>
      </c>
      <c r="AG34" s="38">
        <f>Q82</f>
        <v>30.666666666666668</v>
      </c>
      <c r="AH34" s="38">
        <f>P82</f>
        <v>13.8125</v>
      </c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>
        <v>8</v>
      </c>
      <c r="B35" s="10">
        <v>23</v>
      </c>
      <c r="C35" s="10">
        <v>20</v>
      </c>
      <c r="D35" s="10">
        <v>21</v>
      </c>
      <c r="E35" s="10"/>
      <c r="F35" s="10">
        <v>6</v>
      </c>
      <c r="G35" s="10">
        <v>24</v>
      </c>
      <c r="H35" s="10">
        <v>25</v>
      </c>
      <c r="I35" s="10">
        <v>24</v>
      </c>
      <c r="J35" s="10"/>
      <c r="K35" s="10">
        <v>9</v>
      </c>
      <c r="L35" s="10">
        <v>18</v>
      </c>
      <c r="M35" s="10">
        <v>16</v>
      </c>
      <c r="N35" s="10">
        <v>22</v>
      </c>
      <c r="O35" s="10"/>
      <c r="P35" s="10">
        <v>11</v>
      </c>
      <c r="Q35" s="10">
        <v>23</v>
      </c>
      <c r="R35" s="10">
        <v>34</v>
      </c>
      <c r="S35" s="10">
        <v>29</v>
      </c>
      <c r="T35" s="10"/>
      <c r="U35" s="10">
        <v>9</v>
      </c>
      <c r="V35" s="10">
        <v>23</v>
      </c>
      <c r="W35" s="10">
        <v>18</v>
      </c>
      <c r="X35" s="10">
        <v>17</v>
      </c>
      <c r="Y35" s="10"/>
      <c r="Z35" s="10">
        <v>5</v>
      </c>
      <c r="AA35" s="10">
        <v>12</v>
      </c>
      <c r="AB35" s="10">
        <v>12</v>
      </c>
      <c r="AC35" s="10">
        <v>14</v>
      </c>
      <c r="AD35" s="10"/>
      <c r="AE35" s="10"/>
      <c r="AF35" s="19" t="s">
        <v>55</v>
      </c>
      <c r="AG35" s="38">
        <f>V82</f>
        <v>29.375</v>
      </c>
      <c r="AH35" s="38">
        <f>U82</f>
        <v>11</v>
      </c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0">
        <v>5</v>
      </c>
      <c r="B36" s="10">
        <v>22</v>
      </c>
      <c r="C36" s="10">
        <v>8</v>
      </c>
      <c r="D36" s="10">
        <v>14</v>
      </c>
      <c r="E36" s="10"/>
      <c r="F36" s="10">
        <v>11</v>
      </c>
      <c r="G36" s="10">
        <v>26</v>
      </c>
      <c r="H36" s="10">
        <v>28</v>
      </c>
      <c r="I36" s="10">
        <v>26</v>
      </c>
      <c r="J36" s="10"/>
      <c r="K36" s="10">
        <v>21</v>
      </c>
      <c r="L36" s="10">
        <v>32</v>
      </c>
      <c r="M36" s="10">
        <v>73</v>
      </c>
      <c r="N36" s="10">
        <v>43</v>
      </c>
      <c r="O36" s="10"/>
      <c r="P36" s="10">
        <v>7</v>
      </c>
      <c r="Q36" s="10">
        <v>22</v>
      </c>
      <c r="R36" s="10">
        <v>36</v>
      </c>
      <c r="S36" s="10">
        <v>22</v>
      </c>
      <c r="T36" s="10"/>
      <c r="U36" s="10">
        <v>12</v>
      </c>
      <c r="V36" s="10">
        <v>41</v>
      </c>
      <c r="W36" s="10">
        <v>42</v>
      </c>
      <c r="X36" s="10">
        <v>32</v>
      </c>
      <c r="Y36" s="10"/>
      <c r="Z36" s="10">
        <v>14</v>
      </c>
      <c r="AA36" s="10">
        <v>10</v>
      </c>
      <c r="AB36" s="10">
        <v>16</v>
      </c>
      <c r="AC36" s="10">
        <v>28</v>
      </c>
      <c r="AD36" s="10"/>
      <c r="AE36" s="10"/>
      <c r="AF36" s="19" t="s">
        <v>55</v>
      </c>
      <c r="AG36" s="38">
        <f>AA82</f>
        <v>27.238095238095237</v>
      </c>
      <c r="AH36" s="38">
        <f>Z82</f>
        <v>13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10">
        <v>10</v>
      </c>
      <c r="B37" s="10">
        <v>22</v>
      </c>
      <c r="C37" s="10">
        <v>28</v>
      </c>
      <c r="D37" s="10">
        <v>21</v>
      </c>
      <c r="E37" s="10"/>
      <c r="F37" s="10">
        <v>12</v>
      </c>
      <c r="G37" s="10">
        <v>28</v>
      </c>
      <c r="H37" s="10">
        <v>24</v>
      </c>
      <c r="I37" s="10">
        <v>22</v>
      </c>
      <c r="J37" s="10"/>
      <c r="K37" s="10">
        <v>17</v>
      </c>
      <c r="L37" s="10">
        <v>31</v>
      </c>
      <c r="M37" s="10">
        <v>42</v>
      </c>
      <c r="N37" s="10">
        <v>23</v>
      </c>
      <c r="O37" s="10"/>
      <c r="P37" s="10">
        <v>12</v>
      </c>
      <c r="Q37" s="10">
        <v>17</v>
      </c>
      <c r="R37" s="10">
        <v>22</v>
      </c>
      <c r="S37" s="10">
        <v>35</v>
      </c>
      <c r="T37" s="10"/>
      <c r="U37" s="10">
        <v>12</v>
      </c>
      <c r="V37" s="10">
        <v>39</v>
      </c>
      <c r="W37" s="10">
        <v>30</v>
      </c>
      <c r="X37" s="10">
        <v>33</v>
      </c>
      <c r="Y37" s="10"/>
      <c r="Z37" s="10">
        <v>9</v>
      </c>
      <c r="AA37" s="10">
        <v>31</v>
      </c>
      <c r="AB37" s="10">
        <v>39</v>
      </c>
      <c r="AC37" s="10">
        <v>22</v>
      </c>
      <c r="AD37" s="10"/>
      <c r="AE37" s="10"/>
      <c r="AF37" s="19" t="s">
        <v>56</v>
      </c>
      <c r="AG37" s="38">
        <f>B103</f>
        <v>25.288888888888888</v>
      </c>
      <c r="AH37" s="38">
        <f>A103</f>
        <v>6.2666666666666666</v>
      </c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>
        <v>5</v>
      </c>
      <c r="B38" s="10">
        <v>16</v>
      </c>
      <c r="C38" s="10">
        <v>17</v>
      </c>
      <c r="D38" s="10">
        <v>23</v>
      </c>
      <c r="E38" s="10"/>
      <c r="F38" s="10">
        <v>17</v>
      </c>
      <c r="G38" s="10">
        <v>26</v>
      </c>
      <c r="H38" s="10">
        <v>49</v>
      </c>
      <c r="I38" s="10">
        <v>22</v>
      </c>
      <c r="J38" s="10"/>
      <c r="K38" s="10">
        <v>8</v>
      </c>
      <c r="L38" s="10">
        <v>28</v>
      </c>
      <c r="M38" s="10">
        <v>13</v>
      </c>
      <c r="N38" s="10">
        <v>17</v>
      </c>
      <c r="O38" s="10"/>
      <c r="P38" s="10">
        <v>10</v>
      </c>
      <c r="Q38" s="10">
        <v>18</v>
      </c>
      <c r="R38" s="10">
        <v>28</v>
      </c>
      <c r="S38" s="10">
        <v>29</v>
      </c>
      <c r="T38" s="10"/>
      <c r="U38" s="10">
        <v>8</v>
      </c>
      <c r="V38" s="10">
        <v>12</v>
      </c>
      <c r="W38" s="10">
        <v>13</v>
      </c>
      <c r="X38" s="10">
        <v>26</v>
      </c>
      <c r="Y38" s="10"/>
      <c r="Z38" s="10">
        <v>7</v>
      </c>
      <c r="AA38" s="10">
        <v>17</v>
      </c>
      <c r="AB38" s="10">
        <v>12</v>
      </c>
      <c r="AC38" s="10">
        <v>15</v>
      </c>
      <c r="AD38" s="10"/>
      <c r="AE38" s="10"/>
      <c r="AF38" s="19" t="s">
        <v>56</v>
      </c>
      <c r="AG38" s="38">
        <f>G103</f>
        <v>19.622222222222224</v>
      </c>
      <c r="AH38" s="38">
        <f>F103</f>
        <v>5.8666666666666663</v>
      </c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>
        <v>6</v>
      </c>
      <c r="B39" s="10">
        <v>24</v>
      </c>
      <c r="C39" s="10">
        <v>12</v>
      </c>
      <c r="D39" s="10">
        <v>12</v>
      </c>
      <c r="E39" s="10"/>
      <c r="F39" s="10">
        <v>7</v>
      </c>
      <c r="G39" s="10">
        <v>21</v>
      </c>
      <c r="H39" s="10">
        <v>26</v>
      </c>
      <c r="I39" s="10">
        <v>36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4</v>
      </c>
      <c r="V39" s="10">
        <v>12</v>
      </c>
      <c r="W39" s="10">
        <v>14</v>
      </c>
      <c r="X39" s="10">
        <v>15</v>
      </c>
      <c r="Y39" s="10"/>
      <c r="Z39" s="10"/>
      <c r="AA39" s="10"/>
      <c r="AB39" s="10"/>
      <c r="AC39" s="10"/>
      <c r="AD39" s="10"/>
      <c r="AE39" s="10"/>
      <c r="AF39" s="19" t="s">
        <v>56</v>
      </c>
      <c r="AG39" s="38">
        <f>L103</f>
        <v>18.520833333333332</v>
      </c>
      <c r="AH39" s="38">
        <f>K103</f>
        <v>5.5</v>
      </c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36">
        <f>AVERAGE(A24:A39)</f>
        <v>10.0625</v>
      </c>
      <c r="B40" s="50">
        <f>AVERAGE(B24:D39)</f>
        <v>24.875</v>
      </c>
      <c r="C40" s="46"/>
      <c r="D40" s="46"/>
      <c r="F40" s="36">
        <f>AVERAGE(F24:F39)</f>
        <v>10.0625</v>
      </c>
      <c r="G40" s="50">
        <f>AVERAGE(G24:I39)</f>
        <v>27.125</v>
      </c>
      <c r="H40" s="46"/>
      <c r="I40" s="46"/>
      <c r="K40" s="36">
        <f>AVERAGE(K24:K39)</f>
        <v>12</v>
      </c>
      <c r="L40" s="50">
        <f>AVERAGE(L24:N39)</f>
        <v>30.2</v>
      </c>
      <c r="M40" s="46"/>
      <c r="N40" s="46"/>
      <c r="P40" s="36">
        <f>AVERAGE(P24:P39)</f>
        <v>12.466666666666667</v>
      </c>
      <c r="Q40" s="50">
        <f>AVERAGE(Q24:S39)</f>
        <v>28.444444444444443</v>
      </c>
      <c r="R40" s="46"/>
      <c r="S40" s="46"/>
      <c r="U40" s="36">
        <f>AVERAGE(U24:U39)</f>
        <v>9.8125</v>
      </c>
      <c r="V40" s="50">
        <f>AVERAGE(V24:X39)</f>
        <v>25.229166666666668</v>
      </c>
      <c r="W40" s="46"/>
      <c r="X40" s="46"/>
      <c r="Z40" s="36">
        <f>AVERAGE(Z24:Z39)</f>
        <v>11.466666666666667</v>
      </c>
      <c r="AA40" s="50">
        <f>AVERAGE(AA24:AC39)</f>
        <v>24.6</v>
      </c>
      <c r="AB40" s="46"/>
      <c r="AC40" s="46"/>
      <c r="AD40" s="10" t="s">
        <v>58</v>
      </c>
      <c r="AE40" s="10"/>
      <c r="AF40" s="19" t="s">
        <v>56</v>
      </c>
      <c r="AG40" s="41">
        <f>Q103</f>
        <v>23.333333333333332</v>
      </c>
      <c r="AH40" s="41">
        <f>P103</f>
        <v>9.6428571428571423</v>
      </c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D41" s="10"/>
      <c r="AE41" s="10"/>
      <c r="AF41" s="19" t="s">
        <v>56</v>
      </c>
      <c r="AG41" s="41">
        <f>V103</f>
        <v>19.244444444444444</v>
      </c>
      <c r="AH41" s="41">
        <f>U103</f>
        <v>7.4</v>
      </c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D42" s="10"/>
      <c r="AE42" s="10"/>
      <c r="AF42" s="19" t="s">
        <v>56</v>
      </c>
      <c r="AG42" s="41">
        <f>AA103</f>
        <v>26.5</v>
      </c>
      <c r="AH42" s="41">
        <f>Z103</f>
        <v>9.625</v>
      </c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3" t="s">
        <v>28</v>
      </c>
      <c r="B43" s="13"/>
      <c r="C43" s="13"/>
      <c r="D43" s="13"/>
      <c r="E43" s="13"/>
      <c r="F43" s="13" t="s">
        <v>29</v>
      </c>
      <c r="G43" s="13"/>
      <c r="H43" s="13"/>
      <c r="I43" s="13"/>
      <c r="J43" s="13"/>
      <c r="K43" s="13" t="s">
        <v>30</v>
      </c>
      <c r="L43" s="13"/>
      <c r="M43" s="13"/>
      <c r="N43" s="13"/>
      <c r="O43" s="13"/>
      <c r="P43" s="13" t="s">
        <v>31</v>
      </c>
      <c r="Q43" s="13"/>
      <c r="R43" s="13"/>
      <c r="S43" s="13"/>
      <c r="T43" s="13"/>
      <c r="U43" s="13" t="s">
        <v>32</v>
      </c>
      <c r="V43" s="13"/>
      <c r="W43" s="13"/>
      <c r="X43" s="13"/>
      <c r="Y43" s="13"/>
      <c r="Z43" s="13" t="s">
        <v>33</v>
      </c>
      <c r="AA43" s="13"/>
      <c r="AB43" s="13"/>
      <c r="AC43" s="13"/>
      <c r="AD43" s="10"/>
      <c r="AE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51" t="s">
        <v>62</v>
      </c>
      <c r="B44" s="51" t="s">
        <v>69</v>
      </c>
      <c r="C44" s="51" t="s">
        <v>70</v>
      </c>
      <c r="D44" s="51" t="s">
        <v>71</v>
      </c>
      <c r="F44" s="51" t="s">
        <v>62</v>
      </c>
      <c r="G44" s="51" t="s">
        <v>69</v>
      </c>
      <c r="H44" s="51" t="s">
        <v>70</v>
      </c>
      <c r="I44" s="51" t="s">
        <v>71</v>
      </c>
      <c r="K44" s="51" t="s">
        <v>62</v>
      </c>
      <c r="L44" s="51" t="s">
        <v>69</v>
      </c>
      <c r="M44" s="51" t="s">
        <v>70</v>
      </c>
      <c r="N44" s="51" t="s">
        <v>71</v>
      </c>
      <c r="P44" s="51" t="s">
        <v>62</v>
      </c>
      <c r="Q44" s="51" t="s">
        <v>69</v>
      </c>
      <c r="R44" s="51" t="s">
        <v>70</v>
      </c>
      <c r="S44" s="51" t="s">
        <v>71</v>
      </c>
      <c r="U44" s="51" t="s">
        <v>62</v>
      </c>
      <c r="V44" s="51" t="s">
        <v>69</v>
      </c>
      <c r="W44" s="51" t="s">
        <v>70</v>
      </c>
      <c r="X44" s="51" t="s">
        <v>71</v>
      </c>
      <c r="Z44" s="51" t="s">
        <v>62</v>
      </c>
      <c r="AA44" s="51" t="s">
        <v>69</v>
      </c>
      <c r="AB44" s="51" t="s">
        <v>70</v>
      </c>
      <c r="AC44" s="51" t="s">
        <v>71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>
        <v>15</v>
      </c>
      <c r="B45" s="10">
        <v>26</v>
      </c>
      <c r="C45" s="10">
        <v>22</v>
      </c>
      <c r="D45" s="10">
        <v>40</v>
      </c>
      <c r="E45" s="10"/>
      <c r="F45" s="10">
        <v>5</v>
      </c>
      <c r="G45" s="10">
        <v>20</v>
      </c>
      <c r="H45" s="10">
        <v>20</v>
      </c>
      <c r="I45" s="10">
        <v>22</v>
      </c>
      <c r="J45" s="10"/>
      <c r="K45" s="10">
        <v>15</v>
      </c>
      <c r="L45" s="10">
        <v>36</v>
      </c>
      <c r="M45" s="10">
        <v>41</v>
      </c>
      <c r="N45" s="10">
        <v>65</v>
      </c>
      <c r="O45" s="10"/>
      <c r="P45" s="10">
        <v>7</v>
      </c>
      <c r="Q45" s="10">
        <v>19</v>
      </c>
      <c r="R45" s="10">
        <v>14</v>
      </c>
      <c r="S45" s="10">
        <v>22</v>
      </c>
      <c r="T45" s="10"/>
      <c r="U45" s="10">
        <v>5</v>
      </c>
      <c r="V45" s="10">
        <v>11</v>
      </c>
      <c r="W45" s="10">
        <v>8</v>
      </c>
      <c r="X45" s="10">
        <v>10</v>
      </c>
      <c r="Y45" s="10"/>
      <c r="Z45" s="10">
        <v>11</v>
      </c>
      <c r="AA45" s="10">
        <v>25</v>
      </c>
      <c r="AB45" s="10">
        <v>33</v>
      </c>
      <c r="AC45" s="10">
        <v>60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>
        <v>17</v>
      </c>
      <c r="B46" s="10">
        <v>30</v>
      </c>
      <c r="C46" s="10">
        <v>32</v>
      </c>
      <c r="D46" s="10">
        <v>67</v>
      </c>
      <c r="E46" s="10"/>
      <c r="F46" s="10">
        <v>11</v>
      </c>
      <c r="G46" s="10">
        <v>30</v>
      </c>
      <c r="H46" s="10">
        <v>34</v>
      </c>
      <c r="I46" s="10">
        <v>24</v>
      </c>
      <c r="J46" s="10"/>
      <c r="K46" s="10">
        <v>6</v>
      </c>
      <c r="L46" s="10">
        <v>21</v>
      </c>
      <c r="M46" s="10">
        <v>24</v>
      </c>
      <c r="N46" s="10">
        <v>30</v>
      </c>
      <c r="O46" s="10"/>
      <c r="P46" s="10">
        <v>5</v>
      </c>
      <c r="Q46" s="10">
        <v>17</v>
      </c>
      <c r="R46" s="10">
        <v>13</v>
      </c>
      <c r="S46" s="10">
        <v>16</v>
      </c>
      <c r="T46" s="10"/>
      <c r="U46" s="10">
        <v>7</v>
      </c>
      <c r="V46" s="10">
        <v>12</v>
      </c>
      <c r="W46" s="10">
        <v>30</v>
      </c>
      <c r="X46" s="10">
        <v>40</v>
      </c>
      <c r="Y46" s="10"/>
      <c r="Z46" s="10">
        <v>6</v>
      </c>
      <c r="AA46" s="10">
        <v>21</v>
      </c>
      <c r="AB46" s="10">
        <v>24</v>
      </c>
      <c r="AC46" s="10">
        <v>20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>
        <v>8</v>
      </c>
      <c r="B47" s="10">
        <v>27</v>
      </c>
      <c r="C47" s="10">
        <v>36</v>
      </c>
      <c r="D47" s="10">
        <v>70</v>
      </c>
      <c r="E47" s="10"/>
      <c r="F47" s="10">
        <v>7</v>
      </c>
      <c r="G47" s="10">
        <v>16</v>
      </c>
      <c r="H47" s="10">
        <v>36</v>
      </c>
      <c r="I47" s="10">
        <v>47</v>
      </c>
      <c r="J47" s="10"/>
      <c r="K47" s="10">
        <v>4</v>
      </c>
      <c r="L47" s="10">
        <v>16</v>
      </c>
      <c r="M47" s="10">
        <v>17</v>
      </c>
      <c r="N47" s="10">
        <v>36</v>
      </c>
      <c r="O47" s="10"/>
      <c r="P47" s="10">
        <v>5</v>
      </c>
      <c r="Q47" s="10">
        <v>20</v>
      </c>
      <c r="R47" s="10">
        <v>15</v>
      </c>
      <c r="S47" s="10">
        <v>22</v>
      </c>
      <c r="T47" s="10"/>
      <c r="U47" s="10">
        <v>5</v>
      </c>
      <c r="V47" s="10">
        <v>26</v>
      </c>
      <c r="W47" s="10">
        <v>31</v>
      </c>
      <c r="X47" s="10">
        <v>41</v>
      </c>
      <c r="Y47" s="10"/>
      <c r="Z47" s="10">
        <v>5</v>
      </c>
      <c r="AA47" s="10">
        <v>32</v>
      </c>
      <c r="AB47" s="10">
        <v>46</v>
      </c>
      <c r="AC47" s="10">
        <v>63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>
        <v>12</v>
      </c>
      <c r="B48" s="10">
        <v>25</v>
      </c>
      <c r="C48" s="10">
        <v>23</v>
      </c>
      <c r="D48" s="10">
        <v>49</v>
      </c>
      <c r="E48" s="10"/>
      <c r="F48" s="10">
        <v>15</v>
      </c>
      <c r="G48" s="10">
        <v>40</v>
      </c>
      <c r="H48" s="10">
        <v>47</v>
      </c>
      <c r="I48" s="10">
        <v>51</v>
      </c>
      <c r="J48" s="10"/>
      <c r="K48" s="10">
        <v>5</v>
      </c>
      <c r="L48" s="10">
        <v>22</v>
      </c>
      <c r="M48" s="10">
        <v>30</v>
      </c>
      <c r="N48" s="10">
        <v>33</v>
      </c>
      <c r="O48" s="10"/>
      <c r="P48" s="10">
        <v>19</v>
      </c>
      <c r="Q48" s="10">
        <v>38</v>
      </c>
      <c r="R48" s="10">
        <v>40</v>
      </c>
      <c r="S48" s="10">
        <v>44</v>
      </c>
      <c r="U48" s="10">
        <v>5</v>
      </c>
      <c r="V48" s="10">
        <v>27</v>
      </c>
      <c r="W48" s="10">
        <v>30</v>
      </c>
      <c r="X48" s="10">
        <v>35</v>
      </c>
      <c r="Y48" s="10"/>
      <c r="Z48" s="10">
        <v>16</v>
      </c>
      <c r="AA48" s="10">
        <v>26</v>
      </c>
      <c r="AB48" s="10">
        <v>34</v>
      </c>
      <c r="AC48" s="10">
        <v>50</v>
      </c>
      <c r="AD48" s="10"/>
    </row>
    <row r="49" spans="1:52" x14ac:dyDescent="0.25">
      <c r="A49" s="10">
        <v>7</v>
      </c>
      <c r="B49" s="10">
        <v>16</v>
      </c>
      <c r="C49" s="10">
        <v>21</v>
      </c>
      <c r="D49" s="10">
        <v>22</v>
      </c>
      <c r="E49" s="10"/>
      <c r="F49" s="10">
        <v>14</v>
      </c>
      <c r="G49" s="10">
        <v>50</v>
      </c>
      <c r="H49" s="10">
        <v>57</v>
      </c>
      <c r="I49" s="10">
        <v>85</v>
      </c>
      <c r="J49" s="10"/>
      <c r="K49" s="10">
        <v>7</v>
      </c>
      <c r="L49" s="10">
        <v>24</v>
      </c>
      <c r="M49" s="10">
        <v>27</v>
      </c>
      <c r="N49" s="10">
        <v>34</v>
      </c>
      <c r="O49" s="10"/>
      <c r="P49" s="10">
        <v>5</v>
      </c>
      <c r="Q49" s="10">
        <v>16</v>
      </c>
      <c r="R49" s="10">
        <v>20</v>
      </c>
      <c r="S49" s="10">
        <v>22</v>
      </c>
      <c r="U49" s="10">
        <v>6</v>
      </c>
      <c r="V49" s="10">
        <v>16</v>
      </c>
      <c r="W49" s="10">
        <v>10</v>
      </c>
      <c r="X49" s="10">
        <v>18</v>
      </c>
      <c r="Y49" s="10"/>
      <c r="Z49" s="10">
        <v>7</v>
      </c>
      <c r="AA49" s="10">
        <v>27</v>
      </c>
      <c r="AB49" s="10">
        <v>26</v>
      </c>
      <c r="AC49" s="10">
        <v>38</v>
      </c>
      <c r="AD49" s="10"/>
    </row>
    <row r="50" spans="1:52" x14ac:dyDescent="0.25">
      <c r="A50" s="10">
        <v>10</v>
      </c>
      <c r="B50" s="10">
        <v>26</v>
      </c>
      <c r="C50" s="10">
        <v>31</v>
      </c>
      <c r="D50" s="10">
        <v>37</v>
      </c>
      <c r="E50" s="10"/>
      <c r="F50" s="10">
        <v>11</v>
      </c>
      <c r="G50" s="10">
        <v>20</v>
      </c>
      <c r="H50" s="10">
        <v>22</v>
      </c>
      <c r="I50" s="10">
        <v>39</v>
      </c>
      <c r="J50" s="10"/>
      <c r="K50" s="10">
        <v>7</v>
      </c>
      <c r="L50" s="10">
        <v>24</v>
      </c>
      <c r="M50" s="10">
        <v>20</v>
      </c>
      <c r="N50" s="10">
        <v>42</v>
      </c>
      <c r="O50" s="10"/>
      <c r="P50" s="10">
        <v>5</v>
      </c>
      <c r="Q50" s="10">
        <v>16</v>
      </c>
      <c r="R50" s="10">
        <v>18</v>
      </c>
      <c r="S50" s="10">
        <v>20</v>
      </c>
      <c r="U50" s="10">
        <v>7</v>
      </c>
      <c r="V50" s="10">
        <v>26</v>
      </c>
      <c r="W50" s="10">
        <v>31</v>
      </c>
      <c r="X50" s="10">
        <v>20</v>
      </c>
      <c r="Y50" s="10"/>
      <c r="Z50" s="10">
        <v>10</v>
      </c>
      <c r="AA50" s="10">
        <v>25</v>
      </c>
      <c r="AB50" s="10">
        <v>37</v>
      </c>
      <c r="AC50" s="10">
        <v>43</v>
      </c>
      <c r="AD50" s="10"/>
    </row>
    <row r="51" spans="1:52" x14ac:dyDescent="0.25">
      <c r="A51" s="10">
        <v>5</v>
      </c>
      <c r="B51" s="10">
        <v>10</v>
      </c>
      <c r="C51" s="10">
        <v>17</v>
      </c>
      <c r="D51" s="10">
        <v>22</v>
      </c>
      <c r="E51" s="10"/>
      <c r="F51" s="10">
        <v>6</v>
      </c>
      <c r="G51" s="10">
        <v>13</v>
      </c>
      <c r="H51" s="10">
        <v>22</v>
      </c>
      <c r="I51" s="10">
        <v>24</v>
      </c>
      <c r="J51" s="10"/>
      <c r="K51" s="10">
        <v>3</v>
      </c>
      <c r="L51" s="10">
        <v>6</v>
      </c>
      <c r="M51" s="10">
        <v>17</v>
      </c>
      <c r="N51" s="10">
        <v>20</v>
      </c>
      <c r="O51" s="10"/>
      <c r="P51" s="10">
        <v>3</v>
      </c>
      <c r="Q51" s="10">
        <v>11</v>
      </c>
      <c r="R51" s="10">
        <v>17</v>
      </c>
      <c r="S51" s="10">
        <v>22</v>
      </c>
      <c r="T51" s="10"/>
      <c r="U51" s="10">
        <v>6</v>
      </c>
      <c r="V51" s="10">
        <v>20</v>
      </c>
      <c r="W51" s="10">
        <v>22</v>
      </c>
      <c r="X51" s="10">
        <v>25</v>
      </c>
      <c r="Y51" s="10"/>
      <c r="Z51" s="10">
        <v>7</v>
      </c>
      <c r="AA51" s="10">
        <v>24</v>
      </c>
      <c r="AB51" s="10">
        <v>13</v>
      </c>
      <c r="AC51" s="10">
        <v>20</v>
      </c>
      <c r="AD51" s="10"/>
      <c r="AE51" s="3"/>
      <c r="AF51" s="3"/>
      <c r="AG51" s="3"/>
      <c r="AH51" s="3"/>
      <c r="AI51" s="3"/>
      <c r="AJ51" s="3"/>
      <c r="AK51" s="3"/>
      <c r="AL51" s="3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10">
        <v>5</v>
      </c>
      <c r="B52" s="10">
        <v>25</v>
      </c>
      <c r="C52" s="10">
        <v>27</v>
      </c>
      <c r="D52" s="10">
        <v>29</v>
      </c>
      <c r="E52" s="10"/>
      <c r="F52" s="10">
        <v>4</v>
      </c>
      <c r="G52" s="10">
        <v>9</v>
      </c>
      <c r="H52" s="10">
        <v>11</v>
      </c>
      <c r="I52" s="10">
        <v>13</v>
      </c>
      <c r="J52" s="10"/>
      <c r="K52" s="10">
        <v>5</v>
      </c>
      <c r="L52" s="10">
        <v>16</v>
      </c>
      <c r="M52" s="10">
        <v>20</v>
      </c>
      <c r="N52" s="10">
        <v>31</v>
      </c>
      <c r="O52" s="10"/>
      <c r="P52" s="10">
        <v>8</v>
      </c>
      <c r="Q52" s="10">
        <v>28</v>
      </c>
      <c r="R52" s="10">
        <v>15</v>
      </c>
      <c r="S52" s="10">
        <v>23</v>
      </c>
      <c r="U52" s="10">
        <v>4</v>
      </c>
      <c r="V52" s="10">
        <v>11</v>
      </c>
      <c r="W52" s="10">
        <v>12</v>
      </c>
      <c r="X52" s="10">
        <v>12</v>
      </c>
      <c r="Y52" s="10"/>
      <c r="Z52" s="10">
        <v>7</v>
      </c>
      <c r="AA52" s="10">
        <v>17</v>
      </c>
      <c r="AB52" s="10">
        <v>21</v>
      </c>
      <c r="AC52" s="10">
        <v>30</v>
      </c>
      <c r="AD52" s="10"/>
    </row>
    <row r="53" spans="1:52" x14ac:dyDescent="0.25">
      <c r="A53" s="10">
        <v>13</v>
      </c>
      <c r="B53" s="10">
        <v>17</v>
      </c>
      <c r="C53" s="10">
        <v>21</v>
      </c>
      <c r="D53" s="10">
        <v>50</v>
      </c>
      <c r="E53" s="10"/>
      <c r="F53" s="10">
        <v>10</v>
      </c>
      <c r="G53" s="10">
        <v>27</v>
      </c>
      <c r="H53" s="10">
        <v>31</v>
      </c>
      <c r="I53" s="10">
        <v>43</v>
      </c>
      <c r="J53" s="10"/>
      <c r="K53" s="10">
        <v>7</v>
      </c>
      <c r="L53" s="10">
        <v>17</v>
      </c>
      <c r="M53" s="10">
        <v>20</v>
      </c>
      <c r="N53" s="10">
        <v>22</v>
      </c>
      <c r="O53" s="10"/>
      <c r="P53" s="10">
        <v>5</v>
      </c>
      <c r="Q53" s="10">
        <v>17</v>
      </c>
      <c r="R53" s="10">
        <v>16</v>
      </c>
      <c r="S53" s="10">
        <v>17</v>
      </c>
      <c r="T53" s="10"/>
      <c r="U53" s="10">
        <v>5</v>
      </c>
      <c r="V53" s="10">
        <v>20</v>
      </c>
      <c r="W53" s="10">
        <v>22</v>
      </c>
      <c r="X53" s="10">
        <v>36</v>
      </c>
      <c r="Y53" s="10"/>
      <c r="Z53" s="10">
        <v>9</v>
      </c>
      <c r="AA53" s="10">
        <v>24</v>
      </c>
      <c r="AB53" s="10">
        <v>26</v>
      </c>
      <c r="AC53" s="10">
        <v>29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>
        <v>8</v>
      </c>
      <c r="B54" s="10">
        <v>24</v>
      </c>
      <c r="C54" s="10">
        <v>27</v>
      </c>
      <c r="D54" s="10">
        <v>44</v>
      </c>
      <c r="E54" s="10"/>
      <c r="F54" s="10">
        <v>7</v>
      </c>
      <c r="G54" s="10">
        <v>13</v>
      </c>
      <c r="H54" s="10">
        <v>17</v>
      </c>
      <c r="I54" s="10">
        <v>21</v>
      </c>
      <c r="J54" s="10"/>
      <c r="K54" s="10">
        <v>17</v>
      </c>
      <c r="L54" s="10">
        <v>33</v>
      </c>
      <c r="M54" s="10">
        <v>47</v>
      </c>
      <c r="N54" s="10">
        <v>50</v>
      </c>
      <c r="O54" s="10"/>
      <c r="P54" s="10">
        <v>7</v>
      </c>
      <c r="Q54" s="10">
        <v>24</v>
      </c>
      <c r="R54" s="10">
        <v>26</v>
      </c>
      <c r="S54" s="10">
        <v>38</v>
      </c>
      <c r="T54" s="10"/>
      <c r="U54" s="10">
        <v>5</v>
      </c>
      <c r="V54" s="10">
        <v>23</v>
      </c>
      <c r="W54" s="10">
        <v>14</v>
      </c>
      <c r="X54" s="10">
        <v>17</v>
      </c>
      <c r="Y54" s="10"/>
      <c r="Z54" s="10">
        <v>10</v>
      </c>
      <c r="AA54" s="10">
        <v>33</v>
      </c>
      <c r="AB54" s="10">
        <v>44</v>
      </c>
      <c r="AC54" s="10">
        <v>63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>
        <v>5</v>
      </c>
      <c r="B55" s="10">
        <v>24</v>
      </c>
      <c r="C55" s="10">
        <v>28</v>
      </c>
      <c r="D55" s="10">
        <v>36</v>
      </c>
      <c r="E55" s="10"/>
      <c r="F55" s="10">
        <v>5</v>
      </c>
      <c r="G55" s="10">
        <v>11</v>
      </c>
      <c r="H55" s="10">
        <v>17</v>
      </c>
      <c r="I55" s="10">
        <v>30</v>
      </c>
      <c r="J55" s="10"/>
      <c r="K55" s="10">
        <v>7</v>
      </c>
      <c r="L55" s="10">
        <v>9</v>
      </c>
      <c r="M55" s="10">
        <v>44</v>
      </c>
      <c r="N55" s="10">
        <v>54</v>
      </c>
      <c r="O55" s="10"/>
      <c r="P55" s="10">
        <v>4</v>
      </c>
      <c r="Q55" s="10">
        <v>10</v>
      </c>
      <c r="R55" s="10">
        <v>11</v>
      </c>
      <c r="S55" s="10">
        <v>12</v>
      </c>
      <c r="T55" s="10"/>
      <c r="U55" s="10">
        <v>10</v>
      </c>
      <c r="V55" s="10">
        <v>25</v>
      </c>
      <c r="W55" s="10">
        <v>36</v>
      </c>
      <c r="X55" s="10">
        <v>42</v>
      </c>
      <c r="Y55" s="10"/>
      <c r="Z55" s="10">
        <v>15</v>
      </c>
      <c r="AA55" s="10">
        <v>34</v>
      </c>
      <c r="AB55" s="10">
        <v>41</v>
      </c>
      <c r="AC55" s="10">
        <v>66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>
        <v>3</v>
      </c>
      <c r="B56" s="10">
        <v>11</v>
      </c>
      <c r="C56" s="10">
        <v>12</v>
      </c>
      <c r="D56" s="10">
        <v>13</v>
      </c>
      <c r="E56" s="10"/>
      <c r="F56" s="10">
        <v>4</v>
      </c>
      <c r="G56" s="10">
        <v>7</v>
      </c>
      <c r="H56" s="10">
        <v>11</v>
      </c>
      <c r="I56" s="10">
        <v>13</v>
      </c>
      <c r="J56" s="10"/>
      <c r="K56" s="10">
        <v>11</v>
      </c>
      <c r="L56" s="10">
        <v>39</v>
      </c>
      <c r="M56" s="10">
        <v>41</v>
      </c>
      <c r="N56" s="10">
        <v>57</v>
      </c>
      <c r="O56" s="10"/>
      <c r="P56" s="10">
        <v>11</v>
      </c>
      <c r="Q56" s="10">
        <v>19</v>
      </c>
      <c r="R56" s="10">
        <v>33</v>
      </c>
      <c r="S56" s="10">
        <v>43</v>
      </c>
      <c r="T56" s="10"/>
      <c r="U56" s="10">
        <v>7</v>
      </c>
      <c r="V56" s="10">
        <v>14</v>
      </c>
      <c r="W56" s="10">
        <v>15</v>
      </c>
      <c r="X56" s="10">
        <v>17</v>
      </c>
      <c r="Y56" s="10"/>
      <c r="Z56" s="10">
        <v>7</v>
      </c>
      <c r="AA56" s="10">
        <v>17</v>
      </c>
      <c r="AB56" s="10">
        <v>21</v>
      </c>
      <c r="AC56" s="10">
        <v>30</v>
      </c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0">
        <v>9</v>
      </c>
      <c r="B57" s="10">
        <v>13</v>
      </c>
      <c r="C57" s="10">
        <v>20</v>
      </c>
      <c r="D57" s="10">
        <v>22</v>
      </c>
      <c r="E57" s="10"/>
      <c r="F57" s="10">
        <v>3</v>
      </c>
      <c r="G57" s="10">
        <v>9</v>
      </c>
      <c r="H57" s="10">
        <v>11</v>
      </c>
      <c r="I57" s="10">
        <v>11</v>
      </c>
      <c r="J57" s="10"/>
      <c r="K57" s="10">
        <v>4</v>
      </c>
      <c r="L57" s="10">
        <v>25</v>
      </c>
      <c r="M57" s="10">
        <v>28</v>
      </c>
      <c r="N57" s="10">
        <v>46</v>
      </c>
      <c r="O57" s="10"/>
      <c r="P57" s="10"/>
      <c r="Q57" s="10"/>
      <c r="R57" s="10"/>
      <c r="S57" s="10"/>
      <c r="T57" s="10"/>
      <c r="U57" s="10">
        <v>6</v>
      </c>
      <c r="V57" s="10">
        <v>16</v>
      </c>
      <c r="W57" s="10">
        <v>25</v>
      </c>
      <c r="X57" s="10">
        <v>29</v>
      </c>
      <c r="Y57" s="10"/>
      <c r="Z57" s="10">
        <v>3</v>
      </c>
      <c r="AA57" s="10">
        <v>11</v>
      </c>
      <c r="AB57" s="10">
        <v>12</v>
      </c>
      <c r="AC57" s="10">
        <v>13</v>
      </c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0">
        <v>5</v>
      </c>
      <c r="B58" s="10">
        <v>22</v>
      </c>
      <c r="C58" s="10">
        <v>25</v>
      </c>
      <c r="D58" s="10">
        <v>37</v>
      </c>
      <c r="E58" s="10"/>
      <c r="F58" s="10">
        <v>7</v>
      </c>
      <c r="G58" s="10">
        <v>13</v>
      </c>
      <c r="H58" s="10">
        <v>15</v>
      </c>
      <c r="I58" s="10">
        <v>17</v>
      </c>
      <c r="J58" s="10"/>
      <c r="K58" s="10">
        <v>5</v>
      </c>
      <c r="L58" s="10">
        <v>10</v>
      </c>
      <c r="M58" s="10">
        <v>13</v>
      </c>
      <c r="N58" s="10">
        <v>18</v>
      </c>
      <c r="O58" s="10"/>
      <c r="P58" s="10"/>
      <c r="Q58" s="10"/>
      <c r="R58" s="10"/>
      <c r="S58" s="10"/>
      <c r="T58" s="10"/>
      <c r="U58" s="10">
        <v>6</v>
      </c>
      <c r="V58" s="10">
        <v>20</v>
      </c>
      <c r="W58" s="10">
        <v>20</v>
      </c>
      <c r="X58" s="10">
        <v>38</v>
      </c>
      <c r="Y58" s="10"/>
      <c r="Z58" s="10">
        <v>4</v>
      </c>
      <c r="AA58" s="10">
        <v>19</v>
      </c>
      <c r="AB58" s="10">
        <v>10</v>
      </c>
      <c r="AC58" s="10">
        <v>17</v>
      </c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>
        <v>6</v>
      </c>
      <c r="B59" s="10">
        <v>10</v>
      </c>
      <c r="C59" s="10">
        <v>20</v>
      </c>
      <c r="D59" s="10">
        <v>27</v>
      </c>
      <c r="E59" s="10"/>
      <c r="F59" s="10">
        <v>4</v>
      </c>
      <c r="G59" s="10">
        <v>11</v>
      </c>
      <c r="H59" s="10">
        <v>13</v>
      </c>
      <c r="I59" s="10">
        <v>13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>
        <v>4</v>
      </c>
      <c r="V59" s="10">
        <v>24</v>
      </c>
      <c r="W59" s="10">
        <v>26</v>
      </c>
      <c r="X59" s="10">
        <v>42</v>
      </c>
      <c r="Y59" s="10"/>
      <c r="Z59" s="10">
        <v>5</v>
      </c>
      <c r="AA59" s="10">
        <v>18</v>
      </c>
      <c r="AB59" s="10">
        <v>17</v>
      </c>
      <c r="AC59" s="10">
        <v>23</v>
      </c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0">
        <v>3</v>
      </c>
      <c r="B60" s="10">
        <v>10</v>
      </c>
      <c r="C60" s="10">
        <v>15</v>
      </c>
      <c r="D60" s="10">
        <v>17</v>
      </c>
      <c r="E60" s="10"/>
      <c r="F60" s="10">
        <v>3</v>
      </c>
      <c r="G60" s="10">
        <v>10</v>
      </c>
      <c r="H60" s="10">
        <v>13</v>
      </c>
      <c r="I60" s="10">
        <v>17</v>
      </c>
      <c r="J60" s="10"/>
      <c r="O60" s="10"/>
      <c r="T60" s="10"/>
      <c r="U60" s="10">
        <v>6</v>
      </c>
      <c r="V60" s="10">
        <v>16</v>
      </c>
      <c r="W60" s="10">
        <v>15</v>
      </c>
      <c r="X60" s="10">
        <v>33</v>
      </c>
      <c r="Y60" s="10"/>
      <c r="Z60" s="10">
        <v>11</v>
      </c>
      <c r="AA60" s="10">
        <v>39</v>
      </c>
      <c r="AB60" s="10">
        <v>44</v>
      </c>
      <c r="AC60" s="10">
        <v>62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36">
        <f>AVERAGE(A45:A60)</f>
        <v>8.1875</v>
      </c>
      <c r="B61" s="50">
        <f>AVERAGE(B45:D60)</f>
        <v>26.5625</v>
      </c>
      <c r="C61" s="46"/>
      <c r="D61" s="46"/>
      <c r="F61" s="36">
        <f>AVERAGE(F45:F60)</f>
        <v>7.25</v>
      </c>
      <c r="G61" s="50">
        <f>AVERAGE(G45:I60)</f>
        <v>23.875</v>
      </c>
      <c r="H61" s="46"/>
      <c r="I61" s="46"/>
      <c r="K61" s="36">
        <f>AVERAGE(K45:K60)</f>
        <v>7.3571428571428568</v>
      </c>
      <c r="L61" s="50">
        <f>AVERAGE(L45:N60)</f>
        <v>29.166666666666668</v>
      </c>
      <c r="M61" s="46"/>
      <c r="N61" s="46"/>
      <c r="O61" s="12"/>
      <c r="P61" s="36">
        <f>AVERAGE(P45:P60)</f>
        <v>7</v>
      </c>
      <c r="Q61" s="50">
        <f>AVERAGE(Q45:S60)</f>
        <v>21.5</v>
      </c>
      <c r="R61" s="46"/>
      <c r="S61" s="46"/>
      <c r="U61" s="36">
        <f>AVERAGE(U45:U60)</f>
        <v>5.875</v>
      </c>
      <c r="V61" s="50">
        <f>AVERAGE(V45:X60)</f>
        <v>23.104166666666668</v>
      </c>
      <c r="W61" s="46"/>
      <c r="X61" s="46"/>
      <c r="Z61" s="36">
        <f>AVERAGE(Z45:Z60)</f>
        <v>8.3125</v>
      </c>
      <c r="AA61" s="50">
        <f>AVERAGE(AA45:AC60)</f>
        <v>30.583333333333332</v>
      </c>
      <c r="AB61" s="46"/>
      <c r="AC61" s="46"/>
      <c r="AD61" s="10" t="s">
        <v>58</v>
      </c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3" t="s">
        <v>34</v>
      </c>
      <c r="B64" s="13"/>
      <c r="C64" s="13"/>
      <c r="D64" s="13"/>
      <c r="E64" s="13"/>
      <c r="F64" s="13" t="s">
        <v>35</v>
      </c>
      <c r="G64" s="13"/>
      <c r="H64" s="13"/>
      <c r="I64" s="13"/>
      <c r="J64" s="13"/>
      <c r="K64" s="13" t="s">
        <v>36</v>
      </c>
      <c r="L64" s="13"/>
      <c r="M64" s="13"/>
      <c r="N64" s="13"/>
      <c r="O64" s="13"/>
      <c r="P64" s="13" t="s">
        <v>37</v>
      </c>
      <c r="Q64" s="13"/>
      <c r="R64" s="13"/>
      <c r="S64" s="13"/>
      <c r="T64" s="13"/>
      <c r="U64" s="13" t="s">
        <v>38</v>
      </c>
      <c r="V64" s="13"/>
      <c r="W64" s="13"/>
      <c r="X64" s="13"/>
      <c r="Y64" s="13"/>
      <c r="Z64" s="13" t="s">
        <v>39</v>
      </c>
      <c r="AA64" s="13"/>
      <c r="AB64" s="13"/>
      <c r="AC64" s="13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51" t="s">
        <v>62</v>
      </c>
      <c r="B65" s="51" t="s">
        <v>69</v>
      </c>
      <c r="C65" s="51" t="s">
        <v>70</v>
      </c>
      <c r="D65" s="51" t="s">
        <v>71</v>
      </c>
      <c r="F65" s="51" t="s">
        <v>62</v>
      </c>
      <c r="G65" s="51" t="s">
        <v>69</v>
      </c>
      <c r="H65" s="51" t="s">
        <v>70</v>
      </c>
      <c r="I65" s="51" t="s">
        <v>71</v>
      </c>
      <c r="K65" s="51" t="s">
        <v>62</v>
      </c>
      <c r="L65" s="51" t="s">
        <v>69</v>
      </c>
      <c r="M65" s="51" t="s">
        <v>70</v>
      </c>
      <c r="N65" s="51" t="s">
        <v>71</v>
      </c>
      <c r="P65" s="51" t="s">
        <v>62</v>
      </c>
      <c r="Q65" s="51" t="s">
        <v>69</v>
      </c>
      <c r="R65" s="51" t="s">
        <v>70</v>
      </c>
      <c r="S65" s="51" t="s">
        <v>71</v>
      </c>
      <c r="U65" s="51" t="s">
        <v>62</v>
      </c>
      <c r="V65" s="51" t="s">
        <v>69</v>
      </c>
      <c r="W65" s="51" t="s">
        <v>70</v>
      </c>
      <c r="X65" s="51" t="s">
        <v>71</v>
      </c>
      <c r="Z65" s="51" t="s">
        <v>62</v>
      </c>
      <c r="AA65" s="51" t="s">
        <v>69</v>
      </c>
      <c r="AB65" s="51" t="s">
        <v>70</v>
      </c>
      <c r="AC65" s="51" t="s">
        <v>71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10">
        <v>5</v>
      </c>
      <c r="B66" s="10">
        <v>11</v>
      </c>
      <c r="C66" s="10">
        <v>17</v>
      </c>
      <c r="D66" s="10">
        <v>25</v>
      </c>
      <c r="E66" s="10"/>
      <c r="F66" s="10">
        <v>7</v>
      </c>
      <c r="G66" s="10">
        <v>22</v>
      </c>
      <c r="H66" s="10">
        <v>25</v>
      </c>
      <c r="I66" s="10">
        <v>40</v>
      </c>
      <c r="J66" s="10"/>
      <c r="K66" s="10">
        <v>6</v>
      </c>
      <c r="L66" s="10">
        <v>25</v>
      </c>
      <c r="M66" s="10">
        <v>30</v>
      </c>
      <c r="N66" s="10">
        <v>33</v>
      </c>
      <c r="O66" s="10"/>
      <c r="P66" s="10">
        <v>22</v>
      </c>
      <c r="Q66" s="10">
        <v>32</v>
      </c>
      <c r="R66" s="10">
        <v>39</v>
      </c>
      <c r="S66" s="10">
        <v>28</v>
      </c>
      <c r="T66" s="10"/>
      <c r="U66" s="10">
        <v>12</v>
      </c>
      <c r="V66" s="10">
        <v>22</v>
      </c>
      <c r="W66" s="10">
        <v>37</v>
      </c>
      <c r="X66" s="10">
        <v>25</v>
      </c>
      <c r="Y66" s="10"/>
      <c r="Z66" s="10">
        <v>23</v>
      </c>
      <c r="AA66" s="10">
        <v>28</v>
      </c>
      <c r="AB66" s="10">
        <v>19</v>
      </c>
      <c r="AC66" s="10">
        <v>42</v>
      </c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>
        <v>7</v>
      </c>
      <c r="B67" s="10">
        <v>17</v>
      </c>
      <c r="C67" s="10">
        <v>20</v>
      </c>
      <c r="D67" s="10">
        <v>28</v>
      </c>
      <c r="E67" s="10"/>
      <c r="F67" s="10">
        <v>4</v>
      </c>
      <c r="G67" s="10">
        <v>15</v>
      </c>
      <c r="H67" s="10">
        <v>19</v>
      </c>
      <c r="I67" s="10">
        <v>21</v>
      </c>
      <c r="J67" s="10"/>
      <c r="K67" s="10">
        <v>8</v>
      </c>
      <c r="L67" s="10">
        <v>22</v>
      </c>
      <c r="M67" s="10">
        <v>26</v>
      </c>
      <c r="N67" s="10">
        <v>36</v>
      </c>
      <c r="O67" s="10"/>
      <c r="P67" s="10">
        <v>30</v>
      </c>
      <c r="Q67" s="10">
        <v>45</v>
      </c>
      <c r="R67" s="10">
        <v>36</v>
      </c>
      <c r="S67" s="10">
        <v>33</v>
      </c>
      <c r="T67" s="10"/>
      <c r="U67" s="10">
        <v>11</v>
      </c>
      <c r="V67" s="10">
        <v>24</v>
      </c>
      <c r="W67" s="10">
        <v>34</v>
      </c>
      <c r="X67" s="10">
        <v>23</v>
      </c>
      <c r="Y67" s="10"/>
      <c r="Z67" s="10">
        <v>9</v>
      </c>
      <c r="AA67" s="10">
        <v>23</v>
      </c>
      <c r="AB67" s="10">
        <v>24</v>
      </c>
      <c r="AC67" s="10">
        <v>34</v>
      </c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10">
        <v>5</v>
      </c>
      <c r="B68" s="10">
        <v>24</v>
      </c>
      <c r="C68" s="10">
        <v>27</v>
      </c>
      <c r="D68" s="10">
        <v>33</v>
      </c>
      <c r="E68" s="10"/>
      <c r="F68" s="10">
        <v>6</v>
      </c>
      <c r="G68" s="10">
        <v>20</v>
      </c>
      <c r="H68" s="10">
        <v>21</v>
      </c>
      <c r="I68" s="10">
        <v>30</v>
      </c>
      <c r="J68" s="10"/>
      <c r="K68" s="10">
        <v>6</v>
      </c>
      <c r="L68" s="10">
        <v>29</v>
      </c>
      <c r="M68" s="10">
        <v>32</v>
      </c>
      <c r="N68" s="10">
        <v>41</v>
      </c>
      <c r="O68" s="10"/>
      <c r="P68" s="10">
        <v>17</v>
      </c>
      <c r="Q68" s="10">
        <v>37</v>
      </c>
      <c r="R68" s="10">
        <v>31</v>
      </c>
      <c r="S68" s="10">
        <v>29</v>
      </c>
      <c r="T68" s="10"/>
      <c r="U68" s="10">
        <v>10</v>
      </c>
      <c r="V68" s="10">
        <v>26</v>
      </c>
      <c r="W68" s="10">
        <v>29</v>
      </c>
      <c r="X68" s="10">
        <v>33</v>
      </c>
      <c r="Y68" s="10"/>
      <c r="Z68" s="10">
        <v>22</v>
      </c>
      <c r="AA68" s="10">
        <v>37</v>
      </c>
      <c r="AB68" s="10">
        <v>32</v>
      </c>
      <c r="AC68" s="10">
        <v>34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10">
        <v>9</v>
      </c>
      <c r="B69" s="10">
        <v>25</v>
      </c>
      <c r="C69" s="10">
        <v>26</v>
      </c>
      <c r="D69" s="10">
        <v>37</v>
      </c>
      <c r="E69" s="10"/>
      <c r="F69" s="10">
        <v>5</v>
      </c>
      <c r="G69" s="10">
        <v>16</v>
      </c>
      <c r="H69" s="10">
        <v>25</v>
      </c>
      <c r="I69" s="10">
        <v>29</v>
      </c>
      <c r="J69" s="10"/>
      <c r="K69" s="10">
        <v>5</v>
      </c>
      <c r="L69" s="10">
        <v>13</v>
      </c>
      <c r="M69" s="10">
        <v>20</v>
      </c>
      <c r="N69" s="10">
        <v>23</v>
      </c>
      <c r="O69" s="10"/>
      <c r="P69" s="10">
        <v>8</v>
      </c>
      <c r="Q69" s="10">
        <v>32</v>
      </c>
      <c r="R69" s="10">
        <v>24</v>
      </c>
      <c r="S69" s="10">
        <v>31</v>
      </c>
      <c r="T69" s="10"/>
      <c r="U69" s="10">
        <v>19</v>
      </c>
      <c r="V69" s="10">
        <v>26</v>
      </c>
      <c r="W69" s="10">
        <v>34</v>
      </c>
      <c r="X69" s="10">
        <v>45</v>
      </c>
      <c r="Y69" s="10"/>
      <c r="Z69" s="10">
        <v>17</v>
      </c>
      <c r="AA69" s="10">
        <v>23</v>
      </c>
      <c r="AB69" s="10">
        <v>41</v>
      </c>
      <c r="AC69" s="10">
        <v>25</v>
      </c>
      <c r="AD69" s="10"/>
      <c r="AE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10">
        <v>8</v>
      </c>
      <c r="B70" s="10">
        <v>24</v>
      </c>
      <c r="C70" s="10">
        <v>27</v>
      </c>
      <c r="D70" s="10">
        <v>30</v>
      </c>
      <c r="E70" s="10"/>
      <c r="F70" s="10">
        <v>8</v>
      </c>
      <c r="G70" s="10">
        <v>21</v>
      </c>
      <c r="H70" s="10">
        <v>25</v>
      </c>
      <c r="I70" s="10">
        <v>32</v>
      </c>
      <c r="J70" s="10"/>
      <c r="K70" s="10">
        <v>5</v>
      </c>
      <c r="L70" s="10">
        <v>17</v>
      </c>
      <c r="M70" s="10">
        <v>20</v>
      </c>
      <c r="N70" s="10">
        <v>21</v>
      </c>
      <c r="O70" s="10"/>
      <c r="P70" s="10">
        <v>22</v>
      </c>
      <c r="Q70" s="10">
        <v>33</v>
      </c>
      <c r="R70" s="10">
        <v>49</v>
      </c>
      <c r="S70" s="10">
        <v>37</v>
      </c>
      <c r="T70" s="10"/>
      <c r="U70" s="10">
        <v>12</v>
      </c>
      <c r="V70" s="10">
        <v>26</v>
      </c>
      <c r="W70" s="10">
        <v>29</v>
      </c>
      <c r="X70" s="10">
        <v>35</v>
      </c>
      <c r="Y70" s="10"/>
      <c r="Z70" s="10">
        <v>22</v>
      </c>
      <c r="AA70" s="10">
        <v>27</v>
      </c>
      <c r="AB70" s="10">
        <v>32</v>
      </c>
      <c r="AC70" s="10">
        <v>53</v>
      </c>
      <c r="AD70" s="10"/>
      <c r="AE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0">
        <v>5</v>
      </c>
      <c r="B71" s="10">
        <v>16</v>
      </c>
      <c r="C71" s="10">
        <v>17</v>
      </c>
      <c r="D71" s="10">
        <v>27</v>
      </c>
      <c r="E71" s="10"/>
      <c r="F71" s="10">
        <v>4</v>
      </c>
      <c r="G71" s="10">
        <v>10</v>
      </c>
      <c r="H71" s="10">
        <v>12</v>
      </c>
      <c r="I71" s="10">
        <v>14</v>
      </c>
      <c r="J71" s="10"/>
      <c r="K71" s="10">
        <v>4</v>
      </c>
      <c r="L71" s="10">
        <v>24</v>
      </c>
      <c r="M71" s="10">
        <v>15</v>
      </c>
      <c r="N71" s="10">
        <v>13</v>
      </c>
      <c r="O71" s="10"/>
      <c r="P71" s="10">
        <v>13</v>
      </c>
      <c r="Q71" s="10">
        <v>23</v>
      </c>
      <c r="R71" s="10">
        <v>28</v>
      </c>
      <c r="S71" s="10">
        <v>35</v>
      </c>
      <c r="T71" s="10"/>
      <c r="U71" s="10">
        <v>8</v>
      </c>
      <c r="V71" s="10">
        <v>24</v>
      </c>
      <c r="W71" s="10">
        <v>36</v>
      </c>
      <c r="X71" s="10">
        <v>22</v>
      </c>
      <c r="Y71" s="10"/>
      <c r="Z71" s="10">
        <v>8</v>
      </c>
      <c r="AA71" s="10">
        <v>15</v>
      </c>
      <c r="AB71" s="10">
        <v>18</v>
      </c>
      <c r="AC71" s="10">
        <v>31</v>
      </c>
      <c r="AD71" s="10"/>
      <c r="AE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0">
        <v>8</v>
      </c>
      <c r="B72" s="10">
        <v>30</v>
      </c>
      <c r="C72" s="10">
        <v>31</v>
      </c>
      <c r="D72" s="10">
        <v>40</v>
      </c>
      <c r="E72" s="10"/>
      <c r="F72" s="10">
        <v>6</v>
      </c>
      <c r="G72" s="10">
        <v>15</v>
      </c>
      <c r="H72" s="10">
        <v>19</v>
      </c>
      <c r="I72" s="10">
        <v>22</v>
      </c>
      <c r="J72" s="10"/>
      <c r="K72" s="10">
        <v>6</v>
      </c>
      <c r="L72" s="10">
        <v>17</v>
      </c>
      <c r="M72" s="10">
        <v>20</v>
      </c>
      <c r="N72" s="10">
        <v>26</v>
      </c>
      <c r="O72" s="10"/>
      <c r="P72" s="10">
        <v>7</v>
      </c>
      <c r="Q72" s="10">
        <v>19</v>
      </c>
      <c r="R72" s="10">
        <v>28</v>
      </c>
      <c r="S72" s="10">
        <v>27</v>
      </c>
      <c r="T72" s="10"/>
      <c r="U72" s="10">
        <v>15</v>
      </c>
      <c r="V72" s="10">
        <v>24</v>
      </c>
      <c r="W72" s="10">
        <v>19</v>
      </c>
      <c r="X72" s="10">
        <v>45</v>
      </c>
      <c r="Y72" s="10"/>
      <c r="Z72" s="10">
        <v>5</v>
      </c>
      <c r="AA72" s="10">
        <v>28</v>
      </c>
      <c r="AB72" s="10">
        <v>20</v>
      </c>
      <c r="AC72" s="10">
        <v>18</v>
      </c>
      <c r="AD72" s="10"/>
      <c r="AE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0">
        <v>5</v>
      </c>
      <c r="B73" s="10">
        <v>9</v>
      </c>
      <c r="C73" s="10">
        <v>11</v>
      </c>
      <c r="D73" s="10">
        <v>12</v>
      </c>
      <c r="E73" s="10"/>
      <c r="F73" s="10">
        <v>6</v>
      </c>
      <c r="G73" s="10">
        <v>19</v>
      </c>
      <c r="H73" s="10">
        <v>21</v>
      </c>
      <c r="I73" s="10">
        <v>26</v>
      </c>
      <c r="J73" s="10"/>
      <c r="K73" s="10">
        <v>10</v>
      </c>
      <c r="L73" s="10">
        <v>20</v>
      </c>
      <c r="M73" s="10">
        <v>22</v>
      </c>
      <c r="N73" s="10">
        <v>36</v>
      </c>
      <c r="O73" s="10"/>
      <c r="P73" s="10">
        <v>15</v>
      </c>
      <c r="Q73" s="10">
        <v>33</v>
      </c>
      <c r="R73" s="10">
        <v>41</v>
      </c>
      <c r="S73" s="10">
        <v>45</v>
      </c>
      <c r="T73" s="10"/>
      <c r="U73" s="10">
        <v>13</v>
      </c>
      <c r="V73" s="10">
        <v>35</v>
      </c>
      <c r="W73" s="10">
        <v>37</v>
      </c>
      <c r="X73" s="10">
        <v>37</v>
      </c>
      <c r="Y73" s="10"/>
      <c r="Z73" s="10">
        <v>10</v>
      </c>
      <c r="AA73" s="10">
        <v>22</v>
      </c>
      <c r="AB73" s="10">
        <v>22</v>
      </c>
      <c r="AC73" s="10">
        <v>29</v>
      </c>
      <c r="AD73" s="10"/>
      <c r="AE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spans="1:52" x14ac:dyDescent="0.25">
      <c r="A74" s="10">
        <v>8</v>
      </c>
      <c r="B74" s="10">
        <v>21</v>
      </c>
      <c r="C74" s="10">
        <v>30</v>
      </c>
      <c r="D74" s="10">
        <v>34</v>
      </c>
      <c r="E74" s="10"/>
      <c r="F74" s="10">
        <v>4</v>
      </c>
      <c r="G74" s="10">
        <v>13</v>
      </c>
      <c r="H74" s="10">
        <v>20</v>
      </c>
      <c r="I74" s="10">
        <v>23</v>
      </c>
      <c r="J74" s="10"/>
      <c r="K74" s="10">
        <v>5</v>
      </c>
      <c r="L74" s="10">
        <v>19</v>
      </c>
      <c r="M74" s="10">
        <v>29</v>
      </c>
      <c r="N74" s="10">
        <v>10</v>
      </c>
      <c r="O74" s="10"/>
      <c r="P74" s="10">
        <v>22</v>
      </c>
      <c r="Q74" s="10">
        <v>23</v>
      </c>
      <c r="R74" s="10">
        <v>54</v>
      </c>
      <c r="S74" s="10">
        <v>36</v>
      </c>
      <c r="T74" s="10"/>
      <c r="U74" s="10">
        <v>11</v>
      </c>
      <c r="V74" s="10">
        <v>26</v>
      </c>
      <c r="W74" s="10">
        <v>31</v>
      </c>
      <c r="X74" s="10">
        <v>22</v>
      </c>
      <c r="Y74" s="10"/>
      <c r="Z74" s="10">
        <v>14</v>
      </c>
      <c r="AA74" s="10">
        <v>28</v>
      </c>
      <c r="AB74" s="10">
        <v>38</v>
      </c>
      <c r="AC74" s="10">
        <v>30</v>
      </c>
      <c r="AD74" s="10"/>
    </row>
    <row r="75" spans="1:52" x14ac:dyDescent="0.25">
      <c r="A75" s="10">
        <v>5</v>
      </c>
      <c r="B75" s="10">
        <v>7</v>
      </c>
      <c r="C75" s="10">
        <v>10</v>
      </c>
      <c r="D75" s="10">
        <v>15</v>
      </c>
      <c r="E75" s="10"/>
      <c r="F75" s="10">
        <v>5</v>
      </c>
      <c r="G75" s="10">
        <v>17</v>
      </c>
      <c r="H75" s="10">
        <v>21</v>
      </c>
      <c r="I75" s="10">
        <v>23</v>
      </c>
      <c r="J75" s="10"/>
      <c r="K75" s="10">
        <v>6</v>
      </c>
      <c r="L75" s="10">
        <v>17</v>
      </c>
      <c r="M75" s="10">
        <v>23</v>
      </c>
      <c r="N75" s="10">
        <v>40</v>
      </c>
      <c r="O75" s="10"/>
      <c r="P75" s="10">
        <v>11</v>
      </c>
      <c r="Q75" s="10">
        <v>26</v>
      </c>
      <c r="R75" s="10">
        <v>22</v>
      </c>
      <c r="S75" s="10">
        <v>31</v>
      </c>
      <c r="T75" s="10"/>
      <c r="U75" s="10">
        <v>5</v>
      </c>
      <c r="V75" s="10">
        <v>15</v>
      </c>
      <c r="W75" s="10">
        <v>29</v>
      </c>
      <c r="X75" s="10">
        <v>17</v>
      </c>
      <c r="Y75" s="10"/>
      <c r="Z75" s="10">
        <v>8</v>
      </c>
      <c r="AA75" s="10">
        <v>22</v>
      </c>
      <c r="AB75" s="10">
        <v>25</v>
      </c>
      <c r="AC75" s="10">
        <v>18</v>
      </c>
      <c r="AD75" s="10"/>
    </row>
    <row r="76" spans="1:52" x14ac:dyDescent="0.25">
      <c r="A76" s="10">
        <v>7</v>
      </c>
      <c r="B76" s="10">
        <v>15</v>
      </c>
      <c r="C76" s="10">
        <v>16</v>
      </c>
      <c r="D76" s="10">
        <v>17</v>
      </c>
      <c r="E76" s="10"/>
      <c r="F76" s="10">
        <v>10</v>
      </c>
      <c r="G76" s="10">
        <v>26</v>
      </c>
      <c r="H76" s="10">
        <v>28</v>
      </c>
      <c r="I76" s="10">
        <v>30</v>
      </c>
      <c r="J76" s="10"/>
      <c r="K76" s="10">
        <v>5</v>
      </c>
      <c r="L76" s="10">
        <v>24</v>
      </c>
      <c r="M76" s="10">
        <v>27</v>
      </c>
      <c r="N76" s="10">
        <v>32</v>
      </c>
      <c r="O76" s="10"/>
      <c r="P76" s="10">
        <v>13</v>
      </c>
      <c r="Q76" s="10">
        <v>32</v>
      </c>
      <c r="R76" s="10">
        <v>41</v>
      </c>
      <c r="S76" s="10">
        <v>30</v>
      </c>
      <c r="T76" s="10"/>
      <c r="U76" s="10">
        <v>16</v>
      </c>
      <c r="V76" s="10">
        <v>32</v>
      </c>
      <c r="W76" s="10">
        <v>33</v>
      </c>
      <c r="X76" s="10">
        <v>45</v>
      </c>
      <c r="Y76" s="10"/>
      <c r="Z76" s="10">
        <v>13</v>
      </c>
      <c r="AA76" s="10">
        <v>28</v>
      </c>
      <c r="AB76" s="10">
        <v>23</v>
      </c>
      <c r="AC76" s="10">
        <v>31</v>
      </c>
      <c r="AD76" s="10"/>
      <c r="AE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>
        <v>4</v>
      </c>
      <c r="B77" s="10">
        <v>17</v>
      </c>
      <c r="C77" s="10">
        <v>16</v>
      </c>
      <c r="D77" s="10">
        <v>21</v>
      </c>
      <c r="E77" s="10"/>
      <c r="F77" s="10">
        <v>5</v>
      </c>
      <c r="G77" s="10">
        <v>21</v>
      </c>
      <c r="H77" s="10">
        <v>26</v>
      </c>
      <c r="I77" s="10">
        <v>44</v>
      </c>
      <c r="J77" s="10"/>
      <c r="K77" s="10">
        <v>5</v>
      </c>
      <c r="L77" s="10">
        <v>17</v>
      </c>
      <c r="M77" s="10">
        <v>21</v>
      </c>
      <c r="N77" s="10">
        <v>27</v>
      </c>
      <c r="O77" s="10"/>
      <c r="P77" s="10">
        <v>8</v>
      </c>
      <c r="Q77" s="10">
        <v>28</v>
      </c>
      <c r="R77" s="10">
        <v>33</v>
      </c>
      <c r="S77" s="10">
        <v>28</v>
      </c>
      <c r="T77" s="10"/>
      <c r="U77" s="10">
        <v>8</v>
      </c>
      <c r="V77" s="10">
        <v>27</v>
      </c>
      <c r="W77" s="10">
        <v>24</v>
      </c>
      <c r="X77" s="10">
        <v>36</v>
      </c>
      <c r="Y77" s="10"/>
      <c r="Z77" s="10">
        <v>11</v>
      </c>
      <c r="AA77" s="10">
        <v>23</v>
      </c>
      <c r="AB77" s="10">
        <v>28</v>
      </c>
      <c r="AC77" s="10">
        <v>39</v>
      </c>
      <c r="AD77" s="10"/>
    </row>
    <row r="78" spans="1:52" x14ac:dyDescent="0.25">
      <c r="A78" s="10">
        <v>6</v>
      </c>
      <c r="B78" s="10">
        <v>27</v>
      </c>
      <c r="C78" s="10">
        <v>30</v>
      </c>
      <c r="D78" s="10">
        <v>40</v>
      </c>
      <c r="E78" s="10"/>
      <c r="F78" s="10">
        <v>6</v>
      </c>
      <c r="G78" s="10">
        <v>24</v>
      </c>
      <c r="H78" s="10">
        <v>26</v>
      </c>
      <c r="I78" s="10">
        <v>28</v>
      </c>
      <c r="J78" s="10"/>
      <c r="K78" s="10">
        <v>5</v>
      </c>
      <c r="L78" s="10">
        <v>20</v>
      </c>
      <c r="M78" s="10">
        <v>17</v>
      </c>
      <c r="N78" s="10">
        <v>31</v>
      </c>
      <c r="O78" s="10"/>
      <c r="P78" s="10">
        <v>10</v>
      </c>
      <c r="Q78" s="10">
        <v>28</v>
      </c>
      <c r="R78" s="10">
        <v>34</v>
      </c>
      <c r="S78" s="10">
        <v>30</v>
      </c>
      <c r="T78" s="10"/>
      <c r="U78" s="10">
        <v>7</v>
      </c>
      <c r="V78" s="10">
        <v>18</v>
      </c>
      <c r="W78" s="10">
        <v>22</v>
      </c>
      <c r="X78" s="10">
        <v>31</v>
      </c>
      <c r="Y78" s="10"/>
      <c r="Z78" s="10">
        <v>8</v>
      </c>
      <c r="AA78" s="10">
        <v>17</v>
      </c>
      <c r="AB78" s="10">
        <v>17</v>
      </c>
      <c r="AC78" s="10">
        <v>24</v>
      </c>
      <c r="AD78" s="10"/>
      <c r="AE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>
        <v>5</v>
      </c>
      <c r="B79" s="10">
        <v>25</v>
      </c>
      <c r="C79" s="10">
        <v>27</v>
      </c>
      <c r="D79" s="10">
        <v>37</v>
      </c>
      <c r="E79" s="10"/>
      <c r="F79" s="10">
        <v>7</v>
      </c>
      <c r="G79" s="10">
        <v>22</v>
      </c>
      <c r="H79" s="10">
        <v>24</v>
      </c>
      <c r="I79" s="10">
        <v>36</v>
      </c>
      <c r="J79" s="10"/>
      <c r="K79" s="10">
        <v>5</v>
      </c>
      <c r="L79" s="10">
        <v>19</v>
      </c>
      <c r="M79" s="10">
        <v>20</v>
      </c>
      <c r="N79" s="10">
        <v>22</v>
      </c>
      <c r="O79" s="10"/>
      <c r="P79" s="10">
        <v>5</v>
      </c>
      <c r="Q79" s="10">
        <v>18</v>
      </c>
      <c r="R79" s="10">
        <v>24</v>
      </c>
      <c r="S79" s="10">
        <v>15</v>
      </c>
      <c r="T79" s="10"/>
      <c r="U79" s="10">
        <v>4</v>
      </c>
      <c r="V79" s="10">
        <v>19</v>
      </c>
      <c r="W79" s="10">
        <v>18</v>
      </c>
      <c r="X79" s="10">
        <v>28</v>
      </c>
      <c r="Y79" s="10"/>
      <c r="Z79" s="10">
        <v>12</v>
      </c>
      <c r="AA79" s="10">
        <v>22</v>
      </c>
      <c r="AB79" s="10">
        <v>33</v>
      </c>
      <c r="AC79" s="10">
        <v>21</v>
      </c>
      <c r="AD79" s="10"/>
      <c r="AE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0">
        <v>5</v>
      </c>
      <c r="B80" s="10">
        <v>26</v>
      </c>
      <c r="C80" s="10">
        <v>25</v>
      </c>
      <c r="D80" s="10">
        <v>31</v>
      </c>
      <c r="E80" s="10"/>
      <c r="F80" s="10">
        <v>5</v>
      </c>
      <c r="G80" s="10">
        <v>17</v>
      </c>
      <c r="H80" s="10">
        <v>15</v>
      </c>
      <c r="I80" s="10">
        <v>21</v>
      </c>
      <c r="J80" s="10"/>
      <c r="K80" s="10">
        <v>6</v>
      </c>
      <c r="L80" s="10">
        <v>15</v>
      </c>
      <c r="M80" s="10">
        <v>17</v>
      </c>
      <c r="N80" s="10">
        <v>21</v>
      </c>
      <c r="O80" s="10"/>
      <c r="P80" s="10">
        <v>10</v>
      </c>
      <c r="Q80" s="10">
        <v>34</v>
      </c>
      <c r="R80" s="10">
        <v>19</v>
      </c>
      <c r="S80" s="10">
        <v>24</v>
      </c>
      <c r="T80" s="10"/>
      <c r="U80" s="10">
        <v>13</v>
      </c>
      <c r="V80" s="10">
        <v>28</v>
      </c>
      <c r="W80" s="10">
        <v>27</v>
      </c>
      <c r="X80" s="10">
        <v>46</v>
      </c>
      <c r="Y80" s="10"/>
      <c r="AD80" s="10"/>
      <c r="AE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0">
        <v>5</v>
      </c>
      <c r="B81" s="10">
        <v>17</v>
      </c>
      <c r="C81" s="10">
        <v>30</v>
      </c>
      <c r="D81" s="10">
        <v>32</v>
      </c>
      <c r="E81" s="10"/>
      <c r="F81" s="10"/>
      <c r="G81" s="10"/>
      <c r="H81" s="10"/>
      <c r="I81" s="10"/>
      <c r="J81" s="10"/>
      <c r="K81" s="10">
        <v>3</v>
      </c>
      <c r="L81" s="10">
        <v>9</v>
      </c>
      <c r="M81" s="10">
        <v>11</v>
      </c>
      <c r="N81" s="10">
        <v>13</v>
      </c>
      <c r="O81" s="10"/>
      <c r="P81" s="10">
        <v>8</v>
      </c>
      <c r="Q81" s="10">
        <v>19</v>
      </c>
      <c r="R81" s="10">
        <v>19</v>
      </c>
      <c r="S81" s="10">
        <v>29</v>
      </c>
      <c r="T81" s="10"/>
      <c r="U81" s="10">
        <v>12</v>
      </c>
      <c r="V81" s="10">
        <v>34</v>
      </c>
      <c r="W81" s="10">
        <v>43</v>
      </c>
      <c r="X81" s="10">
        <v>32</v>
      </c>
      <c r="Y81" s="10"/>
      <c r="Z81" s="10"/>
      <c r="AA81" s="10"/>
      <c r="AB81" s="10"/>
      <c r="AC81" s="10"/>
      <c r="AD81" s="10"/>
      <c r="AE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36">
        <f>AVERAGE(A66:A81)</f>
        <v>6.0625</v>
      </c>
      <c r="B82" s="50">
        <f>AVERAGE(B66:D81)</f>
        <v>23.541666666666668</v>
      </c>
      <c r="C82" s="46"/>
      <c r="D82" s="46"/>
      <c r="F82" s="36">
        <f>AVERAGE(F66:F81)</f>
        <v>5.8666666666666663</v>
      </c>
      <c r="G82" s="50">
        <f>AVERAGE(G66:I81)</f>
        <v>22.755555555555556</v>
      </c>
      <c r="H82" s="46"/>
      <c r="I82" s="46"/>
      <c r="K82" s="36">
        <f>AVERAGE(K66:K81)</f>
        <v>5.625</v>
      </c>
      <c r="L82" s="50">
        <f>AVERAGE(L66:N81)</f>
        <v>22.541666666666668</v>
      </c>
      <c r="M82" s="46"/>
      <c r="N82" s="46"/>
      <c r="P82" s="36">
        <f>AVERAGE(P66:P81)</f>
        <v>13.8125</v>
      </c>
      <c r="Q82" s="50">
        <f>AVERAGE(Q66:S81)</f>
        <v>30.666666666666668</v>
      </c>
      <c r="R82" s="46"/>
      <c r="S82" s="46"/>
      <c r="U82" s="36">
        <f>AVERAGE(U66:U81)</f>
        <v>11</v>
      </c>
      <c r="V82" s="50">
        <f>AVERAGE(V66:X81)</f>
        <v>29.375</v>
      </c>
      <c r="W82" s="46"/>
      <c r="X82" s="46"/>
      <c r="Z82" s="36">
        <f>AVERAGE(Z66:Z81)</f>
        <v>13</v>
      </c>
      <c r="AA82" s="50">
        <f>AVERAGE(AA66:AC81)</f>
        <v>27.238095238095237</v>
      </c>
      <c r="AB82" s="46"/>
      <c r="AC82" s="46"/>
      <c r="AD82" s="10" t="s">
        <v>58</v>
      </c>
      <c r="AE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D83" s="10"/>
      <c r="AE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D84" s="10"/>
      <c r="AE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3" t="s">
        <v>40</v>
      </c>
      <c r="B85" s="13"/>
      <c r="C85" s="13"/>
      <c r="D85" s="13"/>
      <c r="E85" s="13"/>
      <c r="F85" s="13" t="s">
        <v>41</v>
      </c>
      <c r="G85" s="13"/>
      <c r="H85" s="13"/>
      <c r="I85" s="13"/>
      <c r="J85" s="13"/>
      <c r="K85" s="13" t="s">
        <v>42</v>
      </c>
      <c r="L85" s="13"/>
      <c r="M85" s="13"/>
      <c r="N85" s="13"/>
      <c r="O85" s="13"/>
      <c r="P85" s="13" t="s">
        <v>43</v>
      </c>
      <c r="Q85" s="13"/>
      <c r="R85" s="13"/>
      <c r="S85" s="13"/>
      <c r="T85" s="13"/>
      <c r="U85" s="13" t="s">
        <v>67</v>
      </c>
      <c r="V85" s="13"/>
      <c r="W85" s="13"/>
      <c r="X85" s="13"/>
      <c r="Y85" s="13"/>
      <c r="Z85" s="13" t="s">
        <v>45</v>
      </c>
      <c r="AA85" s="13"/>
      <c r="AB85" s="13"/>
      <c r="AC85" s="13"/>
      <c r="AD85" s="10"/>
      <c r="AE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51" t="s">
        <v>62</v>
      </c>
      <c r="B86" s="51" t="s">
        <v>69</v>
      </c>
      <c r="C86" s="51" t="s">
        <v>70</v>
      </c>
      <c r="D86" s="51" t="s">
        <v>71</v>
      </c>
      <c r="F86" s="51" t="s">
        <v>62</v>
      </c>
      <c r="G86" s="51" t="s">
        <v>69</v>
      </c>
      <c r="H86" s="51" t="s">
        <v>70</v>
      </c>
      <c r="I86" s="51" t="s">
        <v>71</v>
      </c>
      <c r="K86" s="51" t="s">
        <v>62</v>
      </c>
      <c r="L86" s="51" t="s">
        <v>69</v>
      </c>
      <c r="M86" s="51" t="s">
        <v>70</v>
      </c>
      <c r="N86" s="51" t="s">
        <v>71</v>
      </c>
      <c r="P86" s="51" t="s">
        <v>62</v>
      </c>
      <c r="Q86" s="51" t="s">
        <v>69</v>
      </c>
      <c r="R86" s="51" t="s">
        <v>70</v>
      </c>
      <c r="S86" s="51" t="s">
        <v>71</v>
      </c>
      <c r="U86" s="51" t="s">
        <v>62</v>
      </c>
      <c r="V86" s="51" t="s">
        <v>69</v>
      </c>
      <c r="W86" s="51" t="s">
        <v>70</v>
      </c>
      <c r="X86" s="51" t="s">
        <v>71</v>
      </c>
      <c r="Z86" s="51" t="s">
        <v>62</v>
      </c>
      <c r="AA86" s="51" t="s">
        <v>69</v>
      </c>
      <c r="AB86" s="51" t="s">
        <v>70</v>
      </c>
      <c r="AC86" s="51" t="s">
        <v>71</v>
      </c>
      <c r="AD86" s="10"/>
      <c r="AE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0">
        <v>5</v>
      </c>
      <c r="B87" s="10">
        <v>20</v>
      </c>
      <c r="C87" s="10">
        <v>25</v>
      </c>
      <c r="D87" s="10">
        <v>30</v>
      </c>
      <c r="E87" s="10"/>
      <c r="F87" s="10">
        <v>18</v>
      </c>
      <c r="G87" s="10">
        <v>31</v>
      </c>
      <c r="H87" s="10">
        <v>30</v>
      </c>
      <c r="I87" s="10">
        <v>46</v>
      </c>
      <c r="J87" s="10"/>
      <c r="K87" s="10">
        <v>13</v>
      </c>
      <c r="L87" s="10">
        <v>33</v>
      </c>
      <c r="M87" s="10">
        <v>36</v>
      </c>
      <c r="N87" s="10">
        <v>45</v>
      </c>
      <c r="O87" s="10"/>
      <c r="P87" s="10">
        <v>13</v>
      </c>
      <c r="Q87" s="10">
        <v>22</v>
      </c>
      <c r="R87" s="10">
        <v>28</v>
      </c>
      <c r="S87" s="10">
        <v>38</v>
      </c>
      <c r="T87" s="10"/>
      <c r="U87" s="10">
        <v>4</v>
      </c>
      <c r="V87" s="10">
        <v>18</v>
      </c>
      <c r="W87" s="10">
        <v>25</v>
      </c>
      <c r="X87" s="10">
        <v>16</v>
      </c>
      <c r="Y87" s="10"/>
      <c r="Z87" s="10">
        <v>17</v>
      </c>
      <c r="AA87" s="10">
        <v>29</v>
      </c>
      <c r="AB87" s="10">
        <v>49</v>
      </c>
      <c r="AC87" s="10">
        <v>35</v>
      </c>
      <c r="AD87" s="10"/>
      <c r="AE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0">
        <v>10</v>
      </c>
      <c r="B88" s="10">
        <v>33</v>
      </c>
      <c r="C88" s="10">
        <v>31</v>
      </c>
      <c r="D88" s="10">
        <v>40</v>
      </c>
      <c r="E88" s="10"/>
      <c r="F88" s="10">
        <v>5</v>
      </c>
      <c r="G88" s="10">
        <v>24</v>
      </c>
      <c r="H88" s="10">
        <v>25</v>
      </c>
      <c r="I88" s="10">
        <v>30</v>
      </c>
      <c r="J88" s="10"/>
      <c r="K88" s="10">
        <v>9</v>
      </c>
      <c r="L88" s="10">
        <v>19</v>
      </c>
      <c r="M88" s="10">
        <v>21</v>
      </c>
      <c r="N88" s="10">
        <v>48</v>
      </c>
      <c r="O88" s="10"/>
      <c r="P88" s="10">
        <v>11</v>
      </c>
      <c r="Q88" s="10">
        <v>28</v>
      </c>
      <c r="R88" s="10">
        <v>24</v>
      </c>
      <c r="S88" s="10">
        <v>29</v>
      </c>
      <c r="T88" s="10"/>
      <c r="U88" s="10">
        <v>7</v>
      </c>
      <c r="V88" s="10">
        <v>19</v>
      </c>
      <c r="W88" s="10">
        <v>23</v>
      </c>
      <c r="X88" s="10">
        <v>14</v>
      </c>
      <c r="Y88" s="10"/>
      <c r="Z88" s="10">
        <v>13</v>
      </c>
      <c r="AA88" s="10">
        <v>33</v>
      </c>
      <c r="AB88" s="10">
        <v>42</v>
      </c>
      <c r="AC88" s="10">
        <v>33</v>
      </c>
      <c r="AD88" s="10"/>
      <c r="AE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0">
        <v>8</v>
      </c>
      <c r="B89" s="10">
        <v>31</v>
      </c>
      <c r="C89" s="10">
        <v>35</v>
      </c>
      <c r="D89" s="10">
        <v>45</v>
      </c>
      <c r="E89" s="10"/>
      <c r="F89" s="10">
        <v>3</v>
      </c>
      <c r="G89" s="10">
        <v>9</v>
      </c>
      <c r="H89" s="10">
        <v>10</v>
      </c>
      <c r="I89" s="10">
        <v>15</v>
      </c>
      <c r="J89" s="10"/>
      <c r="K89" s="10">
        <v>6</v>
      </c>
      <c r="L89" s="10">
        <v>15</v>
      </c>
      <c r="M89" s="10">
        <v>17</v>
      </c>
      <c r="N89" s="10">
        <v>33</v>
      </c>
      <c r="O89" s="10"/>
      <c r="P89" s="10">
        <v>7</v>
      </c>
      <c r="Q89" s="10">
        <v>25</v>
      </c>
      <c r="R89" s="10">
        <v>18</v>
      </c>
      <c r="S89" s="10">
        <v>21</v>
      </c>
      <c r="T89" s="10"/>
      <c r="U89" s="10">
        <v>4</v>
      </c>
      <c r="V89" s="10">
        <v>10</v>
      </c>
      <c r="W89" s="10">
        <v>21</v>
      </c>
      <c r="X89" s="10">
        <v>9</v>
      </c>
      <c r="Y89" s="10"/>
      <c r="Z89" s="10">
        <v>18</v>
      </c>
      <c r="AA89" s="10">
        <v>28</v>
      </c>
      <c r="AB89" s="10">
        <v>39</v>
      </c>
      <c r="AC89" s="10">
        <v>30</v>
      </c>
      <c r="AD89" s="10"/>
      <c r="AE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0">
        <v>3</v>
      </c>
      <c r="B90" s="10">
        <v>11</v>
      </c>
      <c r="C90" s="10">
        <v>13</v>
      </c>
      <c r="D90" s="10">
        <v>15</v>
      </c>
      <c r="E90" s="10"/>
      <c r="F90" s="10">
        <v>5</v>
      </c>
      <c r="G90" s="10">
        <v>18</v>
      </c>
      <c r="H90" s="10">
        <v>17</v>
      </c>
      <c r="I90" s="10">
        <v>30</v>
      </c>
      <c r="J90" s="10"/>
      <c r="K90" s="10">
        <v>6</v>
      </c>
      <c r="L90" s="10">
        <v>10</v>
      </c>
      <c r="M90" s="10">
        <v>16</v>
      </c>
      <c r="N90" s="10">
        <v>31</v>
      </c>
      <c r="O90" s="10"/>
      <c r="P90" s="10">
        <v>14</v>
      </c>
      <c r="Q90" s="10">
        <v>34</v>
      </c>
      <c r="R90" s="10">
        <v>45</v>
      </c>
      <c r="S90" s="10">
        <v>32</v>
      </c>
      <c r="T90" s="10"/>
      <c r="U90" s="10">
        <v>9</v>
      </c>
      <c r="V90" s="10">
        <v>22</v>
      </c>
      <c r="W90" s="10">
        <v>36</v>
      </c>
      <c r="X90" s="10">
        <v>22</v>
      </c>
      <c r="Y90" s="10"/>
      <c r="Z90" s="10">
        <v>9</v>
      </c>
      <c r="AA90" s="10">
        <v>22</v>
      </c>
      <c r="AB90" s="10">
        <v>23</v>
      </c>
      <c r="AC90" s="10">
        <v>29</v>
      </c>
      <c r="AD90" s="10"/>
      <c r="AE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0">
        <v>6</v>
      </c>
      <c r="B91" s="10">
        <v>21</v>
      </c>
      <c r="C91" s="10">
        <v>20</v>
      </c>
      <c r="D91" s="10">
        <v>33</v>
      </c>
      <c r="E91" s="10"/>
      <c r="F91" s="10">
        <v>5</v>
      </c>
      <c r="G91" s="10">
        <v>18</v>
      </c>
      <c r="H91" s="10">
        <v>20</v>
      </c>
      <c r="I91" s="10">
        <v>22</v>
      </c>
      <c r="J91" s="10"/>
      <c r="K91" s="10">
        <v>5</v>
      </c>
      <c r="L91" s="10">
        <v>23</v>
      </c>
      <c r="M91" s="10">
        <v>24</v>
      </c>
      <c r="N91" s="10">
        <v>24</v>
      </c>
      <c r="O91" s="10"/>
      <c r="P91" s="10">
        <v>6</v>
      </c>
      <c r="Q91" s="10">
        <v>20</v>
      </c>
      <c r="R91" s="10">
        <v>18</v>
      </c>
      <c r="S91" s="10">
        <v>12</v>
      </c>
      <c r="T91" s="10"/>
      <c r="U91" s="10">
        <v>12</v>
      </c>
      <c r="V91" s="10">
        <v>18</v>
      </c>
      <c r="W91" s="10">
        <v>25</v>
      </c>
      <c r="X91" s="10">
        <v>23</v>
      </c>
      <c r="Y91" s="10"/>
      <c r="Z91" s="10">
        <v>15</v>
      </c>
      <c r="AA91" s="10">
        <v>30</v>
      </c>
      <c r="AB91" s="10">
        <v>33</v>
      </c>
      <c r="AC91" s="10">
        <v>58</v>
      </c>
      <c r="AD91" s="10"/>
      <c r="AE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0">
        <v>10</v>
      </c>
      <c r="B92" s="10">
        <v>20</v>
      </c>
      <c r="C92" s="10">
        <v>17</v>
      </c>
      <c r="D92" s="10">
        <v>41</v>
      </c>
      <c r="E92" s="10"/>
      <c r="F92" s="10">
        <v>5</v>
      </c>
      <c r="G92" s="10">
        <v>13</v>
      </c>
      <c r="H92" s="10">
        <v>18</v>
      </c>
      <c r="I92" s="10">
        <v>20</v>
      </c>
      <c r="J92" s="10"/>
      <c r="K92" s="10">
        <v>4</v>
      </c>
      <c r="L92" s="10">
        <v>13</v>
      </c>
      <c r="M92" s="10">
        <v>21</v>
      </c>
      <c r="N92" s="10">
        <v>22</v>
      </c>
      <c r="O92" s="10"/>
      <c r="P92" s="10">
        <v>13</v>
      </c>
      <c r="Q92" s="10">
        <v>25</v>
      </c>
      <c r="R92" s="10">
        <v>30</v>
      </c>
      <c r="S92" s="10">
        <v>41</v>
      </c>
      <c r="T92" s="10"/>
      <c r="U92" s="10">
        <v>10</v>
      </c>
      <c r="V92" s="10">
        <v>26</v>
      </c>
      <c r="W92" s="10">
        <v>32</v>
      </c>
      <c r="X92" s="10">
        <v>22</v>
      </c>
      <c r="Y92" s="10"/>
      <c r="Z92" s="10">
        <v>8</v>
      </c>
      <c r="AA92" s="10">
        <v>23</v>
      </c>
      <c r="AB92" s="10">
        <v>28</v>
      </c>
      <c r="AC92" s="10">
        <v>20</v>
      </c>
      <c r="AD92" s="10"/>
      <c r="AE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0">
        <v>13</v>
      </c>
      <c r="B93" s="10">
        <v>37</v>
      </c>
      <c r="C93" s="10">
        <v>41</v>
      </c>
      <c r="D93" s="10">
        <v>57</v>
      </c>
      <c r="E93" s="10"/>
      <c r="F93" s="10">
        <v>9</v>
      </c>
      <c r="G93" s="10">
        <v>13</v>
      </c>
      <c r="H93" s="10">
        <v>17</v>
      </c>
      <c r="I93" s="10">
        <v>44</v>
      </c>
      <c r="J93" s="10"/>
      <c r="K93" s="10">
        <v>3</v>
      </c>
      <c r="L93" s="10">
        <v>10</v>
      </c>
      <c r="M93" s="10">
        <v>13</v>
      </c>
      <c r="N93" s="10">
        <v>17</v>
      </c>
      <c r="O93" s="10"/>
      <c r="P93" s="10">
        <v>9</v>
      </c>
      <c r="Q93" s="10">
        <v>17</v>
      </c>
      <c r="R93" s="10">
        <v>21</v>
      </c>
      <c r="S93" s="10">
        <v>18</v>
      </c>
      <c r="T93" s="10"/>
      <c r="U93" s="10">
        <v>10</v>
      </c>
      <c r="V93" s="10">
        <v>10</v>
      </c>
      <c r="W93" s="10">
        <v>17</v>
      </c>
      <c r="X93" s="10">
        <v>27</v>
      </c>
      <c r="Y93" s="10"/>
      <c r="Z93" s="10">
        <v>9</v>
      </c>
      <c r="AA93" s="10">
        <v>23</v>
      </c>
      <c r="AB93" s="10">
        <v>23</v>
      </c>
      <c r="AC93" s="10">
        <v>36</v>
      </c>
      <c r="AD93" s="10"/>
      <c r="AE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x14ac:dyDescent="0.25">
      <c r="A94" s="10">
        <v>7</v>
      </c>
      <c r="B94" s="10">
        <v>21</v>
      </c>
      <c r="C94" s="10">
        <v>27</v>
      </c>
      <c r="D94" s="10">
        <v>36</v>
      </c>
      <c r="E94" s="10"/>
      <c r="F94" s="10">
        <v>3</v>
      </c>
      <c r="G94" s="10">
        <v>10</v>
      </c>
      <c r="H94" s="10">
        <v>13</v>
      </c>
      <c r="I94" s="10">
        <v>11</v>
      </c>
      <c r="J94" s="10"/>
      <c r="K94" s="10">
        <v>5</v>
      </c>
      <c r="L94" s="10">
        <v>21</v>
      </c>
      <c r="M94" s="10">
        <v>23</v>
      </c>
      <c r="N94" s="10">
        <v>30</v>
      </c>
      <c r="O94" s="10"/>
      <c r="P94" s="10">
        <v>6</v>
      </c>
      <c r="Q94" s="10">
        <v>17</v>
      </c>
      <c r="R94" s="10">
        <v>22</v>
      </c>
      <c r="S94" s="10">
        <v>16</v>
      </c>
      <c r="T94" s="10"/>
      <c r="U94" s="10">
        <v>7</v>
      </c>
      <c r="V94" s="10">
        <v>15</v>
      </c>
      <c r="W94" s="10">
        <v>9</v>
      </c>
      <c r="X94" s="10">
        <v>19</v>
      </c>
      <c r="Y94" s="10"/>
      <c r="Z94" s="10">
        <v>8</v>
      </c>
      <c r="AA94" s="10">
        <v>15</v>
      </c>
      <c r="AB94" s="10">
        <v>20</v>
      </c>
      <c r="AC94" s="10">
        <v>29</v>
      </c>
      <c r="AD94" s="10"/>
      <c r="AE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x14ac:dyDescent="0.25">
      <c r="A95" s="10">
        <v>5</v>
      </c>
      <c r="B95" s="10">
        <v>16</v>
      </c>
      <c r="C95" s="10">
        <v>19</v>
      </c>
      <c r="D95" s="10">
        <v>21</v>
      </c>
      <c r="E95" s="10"/>
      <c r="F95" s="10">
        <v>5</v>
      </c>
      <c r="G95" s="10">
        <v>10</v>
      </c>
      <c r="H95" s="10">
        <v>12</v>
      </c>
      <c r="I95" s="10">
        <v>25</v>
      </c>
      <c r="J95" s="10"/>
      <c r="K95" s="10">
        <v>4</v>
      </c>
      <c r="L95" s="10">
        <v>11</v>
      </c>
      <c r="M95" s="10">
        <v>11</v>
      </c>
      <c r="N95" s="10">
        <v>14</v>
      </c>
      <c r="O95" s="10"/>
      <c r="P95" s="10">
        <v>4</v>
      </c>
      <c r="Q95" s="10">
        <v>17</v>
      </c>
      <c r="R95" s="10">
        <v>17</v>
      </c>
      <c r="S95" s="10">
        <v>19</v>
      </c>
      <c r="T95" s="10"/>
      <c r="U95" s="10">
        <v>6</v>
      </c>
      <c r="V95" s="10">
        <v>11</v>
      </c>
      <c r="W95" s="10">
        <v>22</v>
      </c>
      <c r="X95" s="10">
        <v>19</v>
      </c>
      <c r="Y95" s="10"/>
      <c r="Z95" s="10">
        <v>7</v>
      </c>
      <c r="AA95" s="10">
        <v>18</v>
      </c>
      <c r="AB95" s="10">
        <v>19</v>
      </c>
      <c r="AC95" s="10">
        <v>34</v>
      </c>
      <c r="AD95" s="10"/>
      <c r="AE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0">
        <v>5</v>
      </c>
      <c r="B96" s="10">
        <v>15</v>
      </c>
      <c r="C96" s="10">
        <v>17</v>
      </c>
      <c r="D96" s="10">
        <v>23</v>
      </c>
      <c r="E96" s="10"/>
      <c r="F96" s="10">
        <v>4</v>
      </c>
      <c r="G96" s="10">
        <v>11</v>
      </c>
      <c r="H96" s="10">
        <v>13</v>
      </c>
      <c r="I96" s="10">
        <v>17</v>
      </c>
      <c r="J96" s="10"/>
      <c r="K96" s="10">
        <v>5</v>
      </c>
      <c r="L96" s="10">
        <v>16</v>
      </c>
      <c r="M96" s="10">
        <v>15</v>
      </c>
      <c r="N96" s="10">
        <v>20</v>
      </c>
      <c r="O96" s="10"/>
      <c r="P96" s="10">
        <v>23</v>
      </c>
      <c r="Q96" s="10">
        <v>21</v>
      </c>
      <c r="R96" s="10">
        <v>37</v>
      </c>
      <c r="S96" s="10">
        <v>46</v>
      </c>
      <c r="T96" s="10"/>
      <c r="U96" s="10">
        <v>8</v>
      </c>
      <c r="V96" s="10">
        <v>22</v>
      </c>
      <c r="W96" s="10">
        <v>29</v>
      </c>
      <c r="X96" s="10">
        <v>25</v>
      </c>
      <c r="Y96" s="10"/>
      <c r="Z96" s="10">
        <v>8</v>
      </c>
      <c r="AA96" s="10">
        <v>17</v>
      </c>
      <c r="AB96" s="10">
        <v>20</v>
      </c>
      <c r="AC96" s="10">
        <v>22</v>
      </c>
      <c r="AD96" s="10"/>
      <c r="AE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>
        <v>3</v>
      </c>
      <c r="B97" s="10">
        <v>17</v>
      </c>
      <c r="C97" s="10">
        <v>13</v>
      </c>
      <c r="D97" s="10">
        <v>10</v>
      </c>
      <c r="E97" s="10"/>
      <c r="F97" s="10">
        <v>5</v>
      </c>
      <c r="G97" s="10">
        <v>10</v>
      </c>
      <c r="H97" s="10">
        <v>10</v>
      </c>
      <c r="I97" s="10">
        <v>13</v>
      </c>
      <c r="J97" s="10"/>
      <c r="K97" s="10">
        <v>5</v>
      </c>
      <c r="L97" s="10">
        <v>11</v>
      </c>
      <c r="M97" s="10">
        <v>15</v>
      </c>
      <c r="N97" s="10">
        <v>23</v>
      </c>
      <c r="O97" s="10"/>
      <c r="P97" s="10">
        <v>9</v>
      </c>
      <c r="Q97" s="10">
        <v>20</v>
      </c>
      <c r="R97" s="10">
        <v>16</v>
      </c>
      <c r="S97" s="10">
        <v>31</v>
      </c>
      <c r="T97" s="10"/>
      <c r="U97" s="10">
        <v>6</v>
      </c>
      <c r="V97" s="10">
        <v>12</v>
      </c>
      <c r="W97" s="10">
        <v>17</v>
      </c>
      <c r="X97" s="10">
        <v>19</v>
      </c>
      <c r="Y97" s="10"/>
      <c r="Z97" s="10">
        <v>5</v>
      </c>
      <c r="AA97" s="10">
        <v>22</v>
      </c>
      <c r="AB97" s="10">
        <v>32</v>
      </c>
      <c r="AC97" s="10">
        <v>25</v>
      </c>
      <c r="AD97" s="10"/>
      <c r="AE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>
        <v>5</v>
      </c>
      <c r="B98" s="10">
        <v>30</v>
      </c>
      <c r="C98" s="10">
        <v>33</v>
      </c>
      <c r="D98" s="10">
        <v>36</v>
      </c>
      <c r="E98" s="10"/>
      <c r="F98" s="10">
        <v>5</v>
      </c>
      <c r="G98" s="10">
        <v>15</v>
      </c>
      <c r="H98" s="10">
        <v>17</v>
      </c>
      <c r="I98" s="10">
        <v>21</v>
      </c>
      <c r="J98" s="10"/>
      <c r="K98" s="10">
        <v>5</v>
      </c>
      <c r="L98" s="10">
        <v>11</v>
      </c>
      <c r="M98" s="10">
        <v>14</v>
      </c>
      <c r="N98" s="10">
        <v>25</v>
      </c>
      <c r="O98" s="10"/>
      <c r="P98" s="10">
        <v>13</v>
      </c>
      <c r="Q98" s="10">
        <v>28</v>
      </c>
      <c r="R98" s="10">
        <v>32</v>
      </c>
      <c r="S98" s="10">
        <v>16</v>
      </c>
      <c r="T98" s="10"/>
      <c r="U98" s="10">
        <v>7</v>
      </c>
      <c r="V98" s="10">
        <v>15</v>
      </c>
      <c r="W98" s="10">
        <v>15</v>
      </c>
      <c r="X98" s="10">
        <v>21</v>
      </c>
      <c r="Y98" s="10"/>
      <c r="Z98" s="10">
        <v>11</v>
      </c>
      <c r="AA98" s="10">
        <v>29</v>
      </c>
      <c r="AB98" s="10">
        <v>22</v>
      </c>
      <c r="AC98" s="10">
        <v>26</v>
      </c>
      <c r="AD98" s="10"/>
    </row>
    <row r="99" spans="1:52" x14ac:dyDescent="0.25">
      <c r="A99" s="10">
        <v>5</v>
      </c>
      <c r="B99" s="10">
        <v>20</v>
      </c>
      <c r="C99" s="10">
        <v>22</v>
      </c>
      <c r="D99" s="10">
        <v>32</v>
      </c>
      <c r="E99" s="10"/>
      <c r="F99" s="10">
        <v>7</v>
      </c>
      <c r="G99" s="10">
        <v>30</v>
      </c>
      <c r="H99" s="10">
        <v>31</v>
      </c>
      <c r="I99" s="10">
        <v>51</v>
      </c>
      <c r="J99" s="10"/>
      <c r="K99" s="10">
        <v>5</v>
      </c>
      <c r="L99" s="10">
        <v>10</v>
      </c>
      <c r="M99" s="10">
        <v>10</v>
      </c>
      <c r="N99" s="10">
        <v>13</v>
      </c>
      <c r="O99" s="10"/>
      <c r="P99" s="10">
        <v>4</v>
      </c>
      <c r="Q99" s="10">
        <v>12</v>
      </c>
      <c r="R99" s="10">
        <v>22</v>
      </c>
      <c r="S99" s="10">
        <v>16</v>
      </c>
      <c r="T99" s="10"/>
      <c r="U99" s="10">
        <v>6</v>
      </c>
      <c r="V99" s="10">
        <v>16</v>
      </c>
      <c r="W99" s="10">
        <v>8</v>
      </c>
      <c r="X99" s="10">
        <v>8</v>
      </c>
      <c r="Y99" s="10"/>
      <c r="Z99" s="10">
        <v>6</v>
      </c>
      <c r="AA99" s="10">
        <v>20</v>
      </c>
      <c r="AB99" s="10">
        <v>20</v>
      </c>
      <c r="AC99" s="10">
        <v>28</v>
      </c>
      <c r="AD99" s="10"/>
    </row>
    <row r="100" spans="1:52" x14ac:dyDescent="0.25">
      <c r="A100" s="10">
        <v>4</v>
      </c>
      <c r="B100" s="10">
        <v>10</v>
      </c>
      <c r="C100" s="10">
        <v>14</v>
      </c>
      <c r="D100" s="10">
        <v>21</v>
      </c>
      <c r="E100" s="10"/>
      <c r="F100" s="10">
        <v>5</v>
      </c>
      <c r="G100" s="10">
        <v>19</v>
      </c>
      <c r="H100" s="10">
        <v>20</v>
      </c>
      <c r="I100" s="10">
        <v>23</v>
      </c>
      <c r="J100" s="10"/>
      <c r="K100" s="10">
        <v>5</v>
      </c>
      <c r="L100" s="10">
        <v>13</v>
      </c>
      <c r="M100" s="10">
        <v>14</v>
      </c>
      <c r="N100" s="10">
        <v>26</v>
      </c>
      <c r="O100" s="10"/>
      <c r="P100" s="10">
        <v>3</v>
      </c>
      <c r="Q100" s="10">
        <v>8</v>
      </c>
      <c r="R100" s="10">
        <v>13</v>
      </c>
      <c r="S100" s="10">
        <v>8</v>
      </c>
      <c r="T100" s="10"/>
      <c r="U100" s="10">
        <v>9</v>
      </c>
      <c r="V100" s="10">
        <v>21</v>
      </c>
      <c r="W100" s="10">
        <v>22</v>
      </c>
      <c r="X100" s="10">
        <v>38</v>
      </c>
      <c r="Y100" s="10"/>
      <c r="Z100" s="10">
        <v>7</v>
      </c>
      <c r="AA100" s="10">
        <v>17</v>
      </c>
      <c r="AB100" s="10">
        <v>20</v>
      </c>
      <c r="AC100" s="10">
        <v>26</v>
      </c>
      <c r="AD100" s="10"/>
    </row>
    <row r="101" spans="1:52" x14ac:dyDescent="0.25">
      <c r="A101" s="10">
        <v>5</v>
      </c>
      <c r="B101" s="10">
        <v>20</v>
      </c>
      <c r="C101" s="10">
        <v>19</v>
      </c>
      <c r="D101" s="10">
        <v>30</v>
      </c>
      <c r="E101" s="10"/>
      <c r="F101" s="10">
        <v>4</v>
      </c>
      <c r="G101" s="10">
        <v>10</v>
      </c>
      <c r="H101" s="10">
        <v>10</v>
      </c>
      <c r="I101" s="10">
        <v>11</v>
      </c>
      <c r="J101" s="10"/>
      <c r="K101" s="10">
        <v>4</v>
      </c>
      <c r="L101" s="10">
        <v>7</v>
      </c>
      <c r="M101" s="10">
        <v>10</v>
      </c>
      <c r="N101" s="10">
        <v>13</v>
      </c>
      <c r="O101" s="10"/>
      <c r="T101" s="10"/>
      <c r="U101" s="10">
        <v>6</v>
      </c>
      <c r="V101" s="10">
        <v>13</v>
      </c>
      <c r="W101" s="10">
        <v>11</v>
      </c>
      <c r="X101" s="10">
        <v>24</v>
      </c>
      <c r="Y101" s="10"/>
      <c r="Z101" s="10">
        <v>6</v>
      </c>
      <c r="AA101" s="10">
        <v>24</v>
      </c>
      <c r="AB101" s="10">
        <v>22</v>
      </c>
      <c r="AC101" s="10">
        <v>16</v>
      </c>
      <c r="AD101" s="10"/>
    </row>
    <row r="102" spans="1:5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>
        <v>4</v>
      </c>
      <c r="L102" s="10">
        <v>5</v>
      </c>
      <c r="M102" s="10">
        <v>6</v>
      </c>
      <c r="N102" s="10">
        <v>11</v>
      </c>
      <c r="O102" s="10"/>
      <c r="T102" s="10"/>
      <c r="Y102" s="10"/>
      <c r="Z102" s="10">
        <v>7</v>
      </c>
      <c r="AA102" s="10">
        <v>29</v>
      </c>
      <c r="AB102" s="10">
        <v>17</v>
      </c>
      <c r="AC102" s="10">
        <v>17</v>
      </c>
      <c r="AD102" s="10"/>
    </row>
    <row r="103" spans="1:52" x14ac:dyDescent="0.25">
      <c r="A103" s="36">
        <f>AVERAGE(A87:A102)</f>
        <v>6.2666666666666666</v>
      </c>
      <c r="B103" s="50">
        <f>AVERAGE(B87:D102)</f>
        <v>25.288888888888888</v>
      </c>
      <c r="C103" s="46"/>
      <c r="D103" s="46"/>
      <c r="F103" s="36">
        <f>AVERAGE(F87:F102)</f>
        <v>5.8666666666666663</v>
      </c>
      <c r="G103" s="50">
        <f>AVERAGE(G87:I102)</f>
        <v>19.622222222222224</v>
      </c>
      <c r="H103" s="46"/>
      <c r="I103" s="46"/>
      <c r="K103" s="36">
        <f>AVERAGE(K87:K102)</f>
        <v>5.5</v>
      </c>
      <c r="L103" s="50">
        <f>AVERAGE(L87:N102)</f>
        <v>18.520833333333332</v>
      </c>
      <c r="M103" s="46"/>
      <c r="N103" s="46"/>
      <c r="P103" s="36">
        <f>AVERAGE(P87:P102)</f>
        <v>9.6428571428571423</v>
      </c>
      <c r="Q103" s="50">
        <f>AVERAGE(Q87:S102)</f>
        <v>23.333333333333332</v>
      </c>
      <c r="R103" s="46"/>
      <c r="S103" s="46"/>
      <c r="U103" s="36">
        <f>AVERAGE(U87:U102)</f>
        <v>7.4</v>
      </c>
      <c r="V103" s="50">
        <f>AVERAGE(V87:X102)</f>
        <v>19.244444444444444</v>
      </c>
      <c r="W103" s="46"/>
      <c r="X103" s="46"/>
      <c r="Z103" s="36">
        <f>AVERAGE(Z87:Z102)</f>
        <v>9.625</v>
      </c>
      <c r="AA103" s="50">
        <f>AVERAGE(AA87:AC102)</f>
        <v>26.5</v>
      </c>
      <c r="AB103" s="46"/>
      <c r="AC103" s="46"/>
      <c r="AD103" s="10" t="s">
        <v>58</v>
      </c>
    </row>
    <row r="104" spans="1:52" x14ac:dyDescent="0.25">
      <c r="AD104" s="10"/>
    </row>
    <row r="105" spans="1:52" x14ac:dyDescent="0.25">
      <c r="AD105" s="10"/>
    </row>
    <row r="106" spans="1:52" x14ac:dyDescent="0.25">
      <c r="A106" s="13" t="s">
        <v>46</v>
      </c>
      <c r="B106" s="13"/>
      <c r="C106" s="13"/>
      <c r="D106" s="13"/>
      <c r="E106" s="13"/>
      <c r="F106" s="13" t="s">
        <v>47</v>
      </c>
      <c r="G106" s="13"/>
      <c r="H106" s="13"/>
      <c r="I106" s="13"/>
      <c r="J106" s="13"/>
      <c r="K106" s="13" t="s">
        <v>48</v>
      </c>
      <c r="L106" s="13"/>
      <c r="M106" s="13"/>
      <c r="N106" s="13"/>
      <c r="O106" s="13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</row>
    <row r="107" spans="1:52" x14ac:dyDescent="0.25">
      <c r="A107" s="51" t="s">
        <v>62</v>
      </c>
      <c r="B107" s="51" t="s">
        <v>69</v>
      </c>
      <c r="C107" s="51" t="s">
        <v>70</v>
      </c>
      <c r="D107" s="51" t="s">
        <v>71</v>
      </c>
      <c r="F107" s="51" t="s">
        <v>62</v>
      </c>
      <c r="G107" s="51" t="s">
        <v>69</v>
      </c>
      <c r="H107" s="51" t="s">
        <v>70</v>
      </c>
      <c r="I107" s="51" t="s">
        <v>71</v>
      </c>
      <c r="K107" s="51" t="s">
        <v>62</v>
      </c>
      <c r="L107" s="51" t="s">
        <v>69</v>
      </c>
      <c r="M107" s="51" t="s">
        <v>70</v>
      </c>
      <c r="N107" s="51" t="s">
        <v>71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</row>
    <row r="108" spans="1:52" x14ac:dyDescent="0.25">
      <c r="A108" s="10">
        <v>3</v>
      </c>
      <c r="B108" s="10">
        <v>7</v>
      </c>
      <c r="C108" s="10">
        <v>9</v>
      </c>
      <c r="D108" s="10">
        <v>16</v>
      </c>
      <c r="E108" s="10"/>
      <c r="F108" s="10">
        <v>4</v>
      </c>
      <c r="G108" s="10">
        <v>10</v>
      </c>
      <c r="H108" s="10">
        <v>11</v>
      </c>
      <c r="I108" s="10">
        <v>13</v>
      </c>
      <c r="J108" s="10"/>
      <c r="K108" s="10">
        <v>4</v>
      </c>
      <c r="L108" s="10">
        <v>7</v>
      </c>
      <c r="M108" s="10">
        <v>11</v>
      </c>
      <c r="N108" s="10">
        <v>15</v>
      </c>
      <c r="O108" s="10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</row>
    <row r="109" spans="1:52" x14ac:dyDescent="0.25">
      <c r="A109" s="10">
        <v>4</v>
      </c>
      <c r="B109" s="10">
        <v>11</v>
      </c>
      <c r="C109" s="10">
        <v>10</v>
      </c>
      <c r="D109" s="10">
        <v>21</v>
      </c>
      <c r="E109" s="10"/>
      <c r="F109" s="10">
        <v>5</v>
      </c>
      <c r="G109" s="10">
        <v>13</v>
      </c>
      <c r="H109" s="10">
        <v>16</v>
      </c>
      <c r="I109" s="10">
        <v>33</v>
      </c>
      <c r="J109" s="10"/>
      <c r="K109" s="10">
        <v>5</v>
      </c>
      <c r="L109" s="10">
        <v>11</v>
      </c>
      <c r="M109" s="10">
        <v>17</v>
      </c>
      <c r="N109" s="10">
        <v>32</v>
      </c>
      <c r="O109" s="10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</row>
    <row r="110" spans="1:52" x14ac:dyDescent="0.25">
      <c r="A110" s="10">
        <v>6</v>
      </c>
      <c r="B110" s="10">
        <v>16</v>
      </c>
      <c r="C110" s="10">
        <v>18</v>
      </c>
      <c r="D110" s="10">
        <v>28</v>
      </c>
      <c r="E110" s="10"/>
      <c r="F110" s="10">
        <v>9</v>
      </c>
      <c r="G110" s="10">
        <v>24</v>
      </c>
      <c r="H110" s="10">
        <v>27</v>
      </c>
      <c r="I110" s="10">
        <v>35</v>
      </c>
      <c r="J110" s="10"/>
      <c r="K110" s="10">
        <v>5</v>
      </c>
      <c r="L110" s="10">
        <v>16</v>
      </c>
      <c r="M110" s="10">
        <v>19</v>
      </c>
      <c r="N110" s="10">
        <v>31</v>
      </c>
      <c r="O110" s="10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</row>
    <row r="111" spans="1:52" x14ac:dyDescent="0.25">
      <c r="A111" s="10">
        <v>4</v>
      </c>
      <c r="B111" s="10">
        <v>6</v>
      </c>
      <c r="C111" s="10">
        <v>10</v>
      </c>
      <c r="D111" s="10">
        <v>23</v>
      </c>
      <c r="E111" s="10"/>
      <c r="F111" s="10">
        <v>4</v>
      </c>
      <c r="G111" s="10">
        <v>14</v>
      </c>
      <c r="H111" s="10">
        <v>17</v>
      </c>
      <c r="I111" s="10">
        <v>23</v>
      </c>
      <c r="J111" s="10"/>
      <c r="K111" s="10">
        <v>10</v>
      </c>
      <c r="L111" s="10">
        <v>31</v>
      </c>
      <c r="M111" s="10">
        <v>27</v>
      </c>
      <c r="N111" s="10">
        <v>42</v>
      </c>
      <c r="O111" s="10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</row>
    <row r="112" spans="1:52" x14ac:dyDescent="0.25">
      <c r="A112" s="10">
        <v>5</v>
      </c>
      <c r="B112" s="10">
        <v>7</v>
      </c>
      <c r="C112" s="10">
        <v>12</v>
      </c>
      <c r="D112" s="10">
        <v>13</v>
      </c>
      <c r="E112" s="10"/>
      <c r="F112" s="10">
        <v>5</v>
      </c>
      <c r="G112" s="10">
        <v>21</v>
      </c>
      <c r="H112" s="10">
        <v>33</v>
      </c>
      <c r="I112" s="10">
        <v>26</v>
      </c>
      <c r="J112" s="10"/>
      <c r="K112" s="10">
        <v>3</v>
      </c>
      <c r="L112" s="10">
        <v>19</v>
      </c>
      <c r="M112" s="10">
        <v>21</v>
      </c>
      <c r="N112" s="10">
        <v>26</v>
      </c>
      <c r="O112" s="10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</row>
    <row r="113" spans="1:30" x14ac:dyDescent="0.25">
      <c r="A113" s="10">
        <v>2</v>
      </c>
      <c r="B113" s="10">
        <v>3</v>
      </c>
      <c r="C113" s="10">
        <v>7</v>
      </c>
      <c r="D113" s="10">
        <v>10</v>
      </c>
      <c r="E113" s="10"/>
      <c r="F113" s="10">
        <v>4</v>
      </c>
      <c r="G113" s="10">
        <v>17</v>
      </c>
      <c r="H113" s="10">
        <v>19</v>
      </c>
      <c r="I113" s="10">
        <v>24</v>
      </c>
      <c r="J113" s="10"/>
      <c r="K113" s="10">
        <v>4</v>
      </c>
      <c r="L113" s="10">
        <v>20</v>
      </c>
      <c r="M113" s="10">
        <v>22</v>
      </c>
      <c r="N113" s="10">
        <v>27</v>
      </c>
      <c r="O113" s="10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</row>
    <row r="114" spans="1:30" x14ac:dyDescent="0.25">
      <c r="A114" s="10">
        <v>4</v>
      </c>
      <c r="B114" s="10">
        <v>13</v>
      </c>
      <c r="C114" s="10">
        <v>15</v>
      </c>
      <c r="D114" s="10">
        <v>17</v>
      </c>
      <c r="E114" s="10"/>
      <c r="F114" s="10">
        <v>4</v>
      </c>
      <c r="G114" s="10">
        <v>10</v>
      </c>
      <c r="H114" s="10">
        <v>15</v>
      </c>
      <c r="I114" s="10">
        <v>22</v>
      </c>
      <c r="J114" s="10"/>
      <c r="K114" s="10">
        <v>5</v>
      </c>
      <c r="L114" s="10">
        <v>16</v>
      </c>
      <c r="M114" s="10">
        <v>21</v>
      </c>
      <c r="N114" s="10">
        <v>24</v>
      </c>
      <c r="O114" s="10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</row>
    <row r="115" spans="1:30" x14ac:dyDescent="0.25">
      <c r="A115" s="10">
        <v>6</v>
      </c>
      <c r="B115" s="10">
        <v>14</v>
      </c>
      <c r="C115" s="10">
        <v>10</v>
      </c>
      <c r="D115" s="10">
        <v>24</v>
      </c>
      <c r="E115" s="10"/>
      <c r="F115" s="10">
        <v>5</v>
      </c>
      <c r="G115" s="10">
        <v>13</v>
      </c>
      <c r="H115" s="10">
        <v>15</v>
      </c>
      <c r="I115" s="10">
        <v>23</v>
      </c>
      <c r="J115" s="10"/>
      <c r="K115" s="10">
        <v>4</v>
      </c>
      <c r="L115" s="10">
        <v>15</v>
      </c>
      <c r="M115" s="10">
        <v>19</v>
      </c>
      <c r="N115" s="10">
        <v>20</v>
      </c>
      <c r="O115" s="10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</row>
    <row r="116" spans="1:30" x14ac:dyDescent="0.25">
      <c r="A116" s="10">
        <v>3</v>
      </c>
      <c r="B116" s="10">
        <v>10</v>
      </c>
      <c r="C116" s="10">
        <v>11</v>
      </c>
      <c r="D116" s="10">
        <v>13</v>
      </c>
      <c r="E116" s="10"/>
      <c r="F116" s="10">
        <v>5</v>
      </c>
      <c r="G116" s="10">
        <v>15</v>
      </c>
      <c r="H116" s="10">
        <v>19</v>
      </c>
      <c r="I116" s="10">
        <v>24</v>
      </c>
      <c r="J116" s="10"/>
      <c r="K116" s="10">
        <v>3</v>
      </c>
      <c r="L116" s="10">
        <v>10</v>
      </c>
      <c r="M116" s="10">
        <v>14</v>
      </c>
      <c r="N116" s="10">
        <v>19</v>
      </c>
    </row>
    <row r="117" spans="1:30" x14ac:dyDescent="0.25">
      <c r="A117" s="10">
        <v>4</v>
      </c>
      <c r="B117" s="10">
        <v>21</v>
      </c>
      <c r="C117" s="10">
        <v>23</v>
      </c>
      <c r="D117" s="10">
        <v>26</v>
      </c>
      <c r="E117" s="10"/>
      <c r="F117" s="10">
        <v>8</v>
      </c>
      <c r="G117" s="10">
        <v>24</v>
      </c>
      <c r="H117" s="10">
        <v>26</v>
      </c>
      <c r="I117" s="10">
        <v>31</v>
      </c>
      <c r="J117" s="10"/>
      <c r="K117" s="10">
        <v>3</v>
      </c>
      <c r="L117" s="10">
        <v>5</v>
      </c>
      <c r="M117" s="10">
        <v>10</v>
      </c>
      <c r="N117" s="10">
        <v>12</v>
      </c>
    </row>
    <row r="118" spans="1:30" x14ac:dyDescent="0.25">
      <c r="A118" s="10">
        <v>3</v>
      </c>
      <c r="B118" s="10">
        <v>13</v>
      </c>
      <c r="C118" s="10">
        <v>15</v>
      </c>
      <c r="D118" s="10">
        <v>17</v>
      </c>
      <c r="E118" s="10"/>
      <c r="F118" s="10">
        <v>4</v>
      </c>
      <c r="G118" s="10">
        <v>10</v>
      </c>
      <c r="H118" s="10">
        <v>13</v>
      </c>
      <c r="I118" s="10">
        <v>16</v>
      </c>
      <c r="J118" s="10"/>
      <c r="K118" s="10">
        <v>3</v>
      </c>
      <c r="L118" s="10">
        <v>10</v>
      </c>
      <c r="M118" s="10">
        <v>17</v>
      </c>
      <c r="N118" s="10">
        <v>19</v>
      </c>
    </row>
    <row r="119" spans="1:30" x14ac:dyDescent="0.25">
      <c r="A119" s="10">
        <v>3</v>
      </c>
      <c r="B119" s="10">
        <v>12</v>
      </c>
      <c r="C119" s="10">
        <v>14</v>
      </c>
      <c r="D119" s="10">
        <v>16</v>
      </c>
      <c r="E119" s="10"/>
      <c r="F119" s="10">
        <v>4</v>
      </c>
      <c r="G119" s="10">
        <v>23</v>
      </c>
      <c r="H119" s="10">
        <v>19</v>
      </c>
      <c r="I119" s="10">
        <v>27</v>
      </c>
      <c r="J119" s="10"/>
      <c r="K119" s="10">
        <v>4</v>
      </c>
      <c r="L119" s="10">
        <v>11</v>
      </c>
      <c r="M119" s="10">
        <v>20</v>
      </c>
      <c r="N119" s="10">
        <v>28</v>
      </c>
    </row>
    <row r="120" spans="1:30" x14ac:dyDescent="0.25">
      <c r="A120" s="10">
        <v>7</v>
      </c>
      <c r="B120" s="10">
        <v>10</v>
      </c>
      <c r="C120" s="10">
        <v>17</v>
      </c>
      <c r="D120" s="10">
        <v>21</v>
      </c>
      <c r="E120" s="10"/>
      <c r="F120" s="10">
        <v>4</v>
      </c>
      <c r="G120" s="10">
        <v>7</v>
      </c>
      <c r="H120" s="10">
        <v>12</v>
      </c>
      <c r="I120" s="10">
        <v>20</v>
      </c>
      <c r="J120" s="10"/>
      <c r="K120" s="10">
        <v>4</v>
      </c>
      <c r="L120" s="10">
        <v>7</v>
      </c>
      <c r="M120" s="10">
        <v>10</v>
      </c>
      <c r="N120" s="10">
        <v>21</v>
      </c>
    </row>
    <row r="121" spans="1:30" x14ac:dyDescent="0.25">
      <c r="A121" s="10">
        <v>10</v>
      </c>
      <c r="B121" s="10">
        <v>25</v>
      </c>
      <c r="C121" s="10">
        <v>27</v>
      </c>
      <c r="D121" s="10">
        <v>30</v>
      </c>
      <c r="E121" s="10"/>
      <c r="F121" s="10">
        <v>3</v>
      </c>
      <c r="G121" s="10">
        <v>5</v>
      </c>
      <c r="H121" s="10">
        <v>7</v>
      </c>
      <c r="I121" s="10">
        <v>10</v>
      </c>
      <c r="J121" s="10"/>
      <c r="K121" s="10">
        <v>3</v>
      </c>
      <c r="L121" s="10">
        <v>9</v>
      </c>
      <c r="M121" s="10">
        <v>11</v>
      </c>
      <c r="N121" s="10">
        <v>15</v>
      </c>
    </row>
    <row r="122" spans="1:30" x14ac:dyDescent="0.25">
      <c r="A122" s="10">
        <v>3</v>
      </c>
      <c r="B122" s="10">
        <v>6</v>
      </c>
      <c r="C122" s="10">
        <v>9</v>
      </c>
      <c r="D122" s="10">
        <v>11</v>
      </c>
      <c r="E122" s="10"/>
      <c r="F122" s="10">
        <v>4</v>
      </c>
      <c r="G122" s="10">
        <v>9</v>
      </c>
      <c r="H122" s="10">
        <v>17</v>
      </c>
      <c r="I122" s="10">
        <v>35</v>
      </c>
      <c r="J122" s="10"/>
      <c r="K122" s="10"/>
      <c r="L122" s="10"/>
      <c r="M122" s="10"/>
      <c r="N122" s="10"/>
    </row>
    <row r="123" spans="1:30" x14ac:dyDescent="0.25">
      <c r="A123" s="10"/>
      <c r="B123" s="10"/>
      <c r="C123" s="10"/>
      <c r="D123" s="10"/>
      <c r="E123" s="10"/>
      <c r="F123" s="10">
        <v>5</v>
      </c>
      <c r="G123" s="10">
        <v>16</v>
      </c>
      <c r="H123" s="10">
        <v>21</v>
      </c>
      <c r="I123" s="10">
        <v>25</v>
      </c>
      <c r="J123" s="10"/>
      <c r="K123" s="10"/>
      <c r="L123" s="10"/>
      <c r="M123" s="10"/>
      <c r="N123" s="10"/>
    </row>
    <row r="124" spans="1:30" x14ac:dyDescent="0.25">
      <c r="A124" s="36">
        <f>AVERAGE(A108:A123)</f>
        <v>4.4666666666666668</v>
      </c>
      <c r="B124" s="50">
        <f>AVERAGE(B108:D123)</f>
        <v>14.822222222222223</v>
      </c>
      <c r="C124" s="46"/>
      <c r="D124" s="46"/>
      <c r="F124" s="36">
        <f>AVERAGE(F108:F123)</f>
        <v>4.8125</v>
      </c>
      <c r="G124" s="50">
        <f>AVERAGE(G108:I123)</f>
        <v>18.854166666666668</v>
      </c>
      <c r="H124" s="46"/>
      <c r="I124" s="46"/>
      <c r="K124" s="36">
        <f>AVERAGE(K108:K123)</f>
        <v>4.2857142857142856</v>
      </c>
      <c r="L124" s="50">
        <f>AVERAGE(L108:N123)</f>
        <v>18.023809523809526</v>
      </c>
      <c r="M124" s="46"/>
      <c r="N124" s="46"/>
      <c r="O124" s="10" t="s">
        <v>58</v>
      </c>
    </row>
  </sheetData>
  <mergeCells count="5">
    <mergeCell ref="AG11:AH11"/>
    <mergeCell ref="AK11:AL11"/>
    <mergeCell ref="AG3:AH3"/>
    <mergeCell ref="AI3:AJ3"/>
    <mergeCell ref="AK3:AL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Búza</vt:lpstr>
      <vt:lpstr>Mustár</vt:lpstr>
      <vt:lpstr>S. alba</vt:lpstr>
      <vt:lpstr>T. aestivum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Mágnesnóra</dc:creator>
  <cp:lastModifiedBy>Feigl Viktória</cp:lastModifiedBy>
  <dcterms:created xsi:type="dcterms:W3CDTF">2019-10-30T15:41:01Z</dcterms:created>
  <dcterms:modified xsi:type="dcterms:W3CDTF">2022-12-16T18:03:59Z</dcterms:modified>
</cp:coreProperties>
</file>